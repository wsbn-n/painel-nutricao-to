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4385" yWindow="-15" windowWidth="14430" windowHeight="12720" tabRatio="671"/>
  </bookViews>
  <sheets>
    <sheet name="banco" sheetId="1" r:id="rId1"/>
    <sheet name="procv" sheetId="2" r:id="rId2"/>
    <sheet name="banco regsau" sheetId="6" r:id="rId3"/>
    <sheet name="população" sheetId="8" r:id="rId4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AA38" i="8" l="1"/>
  <c r="AA37" i="8"/>
  <c r="AA36" i="8"/>
  <c r="AA35" i="8"/>
  <c r="AA34" i="8"/>
  <c r="AA33" i="8"/>
  <c r="AA32" i="8"/>
  <c r="AA31" i="8"/>
  <c r="AA30" i="8"/>
  <c r="AA26" i="8"/>
  <c r="AA25" i="8"/>
  <c r="AA24" i="8"/>
  <c r="AA23" i="8"/>
  <c r="AA22" i="8"/>
  <c r="AA21" i="8"/>
  <c r="AA20" i="8"/>
  <c r="AA19" i="8"/>
  <c r="AA18" i="8"/>
  <c r="AA5" i="8"/>
  <c r="AA6" i="8"/>
  <c r="AA7" i="8"/>
  <c r="AA8" i="8"/>
  <c r="AA9" i="8"/>
  <c r="AA10" i="8"/>
  <c r="AA11" i="8"/>
  <c r="AA12" i="8"/>
  <c r="AA4" i="8"/>
  <c r="Q38" i="8"/>
  <c r="R38" i="8"/>
  <c r="S38" i="8"/>
  <c r="T38" i="8"/>
  <c r="U38" i="8"/>
  <c r="V38" i="8"/>
  <c r="W38" i="8"/>
  <c r="X38" i="8"/>
  <c r="Y38" i="8"/>
  <c r="Z38" i="8"/>
  <c r="Z37" i="8"/>
  <c r="Y37" i="8"/>
  <c r="X37" i="8"/>
  <c r="W37" i="8"/>
  <c r="V37" i="8"/>
  <c r="U37" i="8"/>
  <c r="T37" i="8"/>
  <c r="S37" i="8"/>
  <c r="R37" i="8"/>
  <c r="Z36" i="8"/>
  <c r="Y36" i="8"/>
  <c r="X36" i="8"/>
  <c r="W36" i="8"/>
  <c r="V36" i="8"/>
  <c r="U36" i="8"/>
  <c r="T36" i="8"/>
  <c r="S36" i="8"/>
  <c r="R36" i="8"/>
  <c r="Z35" i="8"/>
  <c r="Y35" i="8"/>
  <c r="X35" i="8"/>
  <c r="W35" i="8"/>
  <c r="V35" i="8"/>
  <c r="U35" i="8"/>
  <c r="T35" i="8"/>
  <c r="S35" i="8"/>
  <c r="R35" i="8"/>
  <c r="Z34" i="8"/>
  <c r="Y34" i="8"/>
  <c r="X34" i="8"/>
  <c r="W34" i="8"/>
  <c r="V34" i="8"/>
  <c r="U34" i="8"/>
  <c r="T34" i="8"/>
  <c r="S34" i="8"/>
  <c r="R34" i="8"/>
  <c r="Z33" i="8"/>
  <c r="Y33" i="8"/>
  <c r="X33" i="8"/>
  <c r="W33" i="8"/>
  <c r="V33" i="8"/>
  <c r="U33" i="8"/>
  <c r="T33" i="8"/>
  <c r="S33" i="8"/>
  <c r="R33" i="8"/>
  <c r="Z32" i="8"/>
  <c r="Y32" i="8"/>
  <c r="X32" i="8"/>
  <c r="W32" i="8"/>
  <c r="V32" i="8"/>
  <c r="U32" i="8"/>
  <c r="T32" i="8"/>
  <c r="S32" i="8"/>
  <c r="R32" i="8"/>
  <c r="Z31" i="8"/>
  <c r="Y31" i="8"/>
  <c r="X31" i="8"/>
  <c r="W31" i="8"/>
  <c r="V31" i="8"/>
  <c r="U31" i="8"/>
  <c r="T31" i="8"/>
  <c r="S31" i="8"/>
  <c r="R31" i="8"/>
  <c r="Z30" i="8"/>
  <c r="Y30" i="8"/>
  <c r="X30" i="8"/>
  <c r="W30" i="8"/>
  <c r="V30" i="8"/>
  <c r="U30" i="8"/>
  <c r="T30" i="8"/>
  <c r="S30" i="8"/>
  <c r="R30" i="8"/>
  <c r="Q35" i="8"/>
  <c r="Q34" i="8"/>
  <c r="Q33" i="8"/>
  <c r="Q32" i="8"/>
  <c r="Q31" i="8"/>
  <c r="Q37" i="8"/>
  <c r="Q36" i="8"/>
  <c r="Q30" i="8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H139" i="1" l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BD2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BD76" i="1"/>
  <c r="BD77" i="1"/>
  <c r="BD78" i="1"/>
  <c r="BD79" i="1"/>
  <c r="BD80" i="1"/>
  <c r="BD81" i="1"/>
  <c r="BD82" i="1"/>
  <c r="BD83" i="1"/>
  <c r="BD84" i="1"/>
  <c r="BD85" i="1"/>
  <c r="BD86" i="1"/>
  <c r="BD87" i="1"/>
  <c r="BD88" i="1"/>
  <c r="BD89" i="1"/>
  <c r="BD90" i="1"/>
  <c r="BD91" i="1"/>
  <c r="BD92" i="1"/>
  <c r="BD93" i="1"/>
  <c r="BD94" i="1"/>
  <c r="BD95" i="1"/>
  <c r="BD96" i="1"/>
  <c r="BD97" i="1"/>
  <c r="BD98" i="1"/>
  <c r="BD99" i="1"/>
  <c r="BD100" i="1"/>
  <c r="BD101" i="1"/>
  <c r="BD102" i="1"/>
  <c r="BD103" i="1"/>
  <c r="BD104" i="1"/>
  <c r="BD105" i="1"/>
  <c r="BD106" i="1"/>
  <c r="BD107" i="1"/>
  <c r="BD108" i="1"/>
  <c r="BD109" i="1"/>
  <c r="BD110" i="1"/>
  <c r="BD111" i="1"/>
  <c r="BD112" i="1"/>
  <c r="BD113" i="1"/>
  <c r="BD114" i="1"/>
  <c r="BD115" i="1"/>
  <c r="BD116" i="1"/>
  <c r="BD117" i="1"/>
  <c r="BD118" i="1"/>
  <c r="BD119" i="1"/>
  <c r="BD120" i="1"/>
  <c r="BD121" i="1"/>
  <c r="BD122" i="1"/>
  <c r="BD123" i="1"/>
  <c r="BD124" i="1"/>
  <c r="BD125" i="1"/>
  <c r="BD126" i="1"/>
  <c r="BD127" i="1"/>
  <c r="BD128" i="1"/>
  <c r="BD129" i="1"/>
  <c r="BD130" i="1"/>
  <c r="BD131" i="1"/>
  <c r="BD132" i="1"/>
  <c r="BD133" i="1"/>
  <c r="BD134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3" i="1"/>
  <c r="BD164" i="1"/>
  <c r="BD165" i="1"/>
  <c r="BD166" i="1"/>
  <c r="BD167" i="1"/>
  <c r="BD168" i="1"/>
  <c r="BD169" i="1"/>
  <c r="BD170" i="1"/>
  <c r="BD171" i="1"/>
  <c r="BD172" i="1"/>
  <c r="BD173" i="1"/>
  <c r="BD174" i="1"/>
  <c r="BD175" i="1"/>
  <c r="BD176" i="1"/>
  <c r="BD177" i="1"/>
  <c r="BD178" i="1"/>
  <c r="BD179" i="1"/>
  <c r="BD180" i="1"/>
  <c r="BD181" i="1"/>
  <c r="BD182" i="1"/>
  <c r="BD183" i="1"/>
  <c r="BD184" i="1"/>
  <c r="BD185" i="1"/>
  <c r="BD186" i="1"/>
  <c r="BD187" i="1"/>
  <c r="BD188" i="1"/>
  <c r="BD189" i="1"/>
  <c r="BD190" i="1"/>
  <c r="BD191" i="1"/>
  <c r="BD192" i="1"/>
  <c r="BD193" i="1"/>
  <c r="BD194" i="1"/>
  <c r="BD195" i="1"/>
  <c r="BD196" i="1"/>
  <c r="BD197" i="1"/>
  <c r="BD198" i="1"/>
  <c r="BD199" i="1"/>
  <c r="BD200" i="1"/>
  <c r="BD201" i="1"/>
  <c r="BD202" i="1"/>
  <c r="BD203" i="1"/>
  <c r="BD204" i="1"/>
  <c r="BD205" i="1"/>
  <c r="BD206" i="1"/>
  <c r="BD207" i="1"/>
  <c r="BD208" i="1"/>
  <c r="BD209" i="1"/>
  <c r="BD210" i="1"/>
  <c r="BD211" i="1"/>
  <c r="BD212" i="1"/>
  <c r="BD213" i="1"/>
  <c r="BD214" i="1"/>
  <c r="BD215" i="1"/>
  <c r="BD216" i="1"/>
  <c r="BD217" i="1"/>
  <c r="BD218" i="1"/>
  <c r="BD219" i="1"/>
  <c r="BD220" i="1"/>
  <c r="BD221" i="1"/>
  <c r="BD222" i="1"/>
  <c r="BD223" i="1"/>
  <c r="BD224" i="1"/>
  <c r="BD225" i="1"/>
  <c r="BD226" i="1"/>
  <c r="BD227" i="1"/>
  <c r="BD228" i="1"/>
  <c r="BD229" i="1"/>
  <c r="BD230" i="1"/>
  <c r="BD231" i="1"/>
  <c r="BD232" i="1"/>
  <c r="BD233" i="1"/>
  <c r="BD234" i="1"/>
  <c r="BD235" i="1"/>
  <c r="BD236" i="1"/>
  <c r="BD237" i="1"/>
  <c r="BD238" i="1"/>
  <c r="BD239" i="1"/>
  <c r="BD240" i="1"/>
  <c r="BD241" i="1"/>
  <c r="BD242" i="1"/>
  <c r="BD243" i="1"/>
  <c r="BD244" i="1"/>
  <c r="BD245" i="1"/>
  <c r="BD246" i="1"/>
  <c r="BD247" i="1"/>
  <c r="BD248" i="1"/>
  <c r="BD249" i="1"/>
  <c r="BD250" i="1"/>
  <c r="BD251" i="1"/>
  <c r="BD252" i="1"/>
  <c r="BD253" i="1"/>
  <c r="BD254" i="1"/>
  <c r="BD255" i="1"/>
  <c r="BD256" i="1"/>
  <c r="BD257" i="1"/>
  <c r="BD258" i="1"/>
  <c r="BD259" i="1"/>
  <c r="BD260" i="1"/>
  <c r="BD261" i="1"/>
  <c r="BD262" i="1"/>
  <c r="BD263" i="1"/>
  <c r="BD264" i="1"/>
  <c r="BD265" i="1"/>
  <c r="BD266" i="1"/>
  <c r="BD267" i="1"/>
  <c r="BD268" i="1"/>
  <c r="BD269" i="1"/>
  <c r="BD270" i="1"/>
  <c r="BD271" i="1"/>
  <c r="BD272" i="1"/>
  <c r="BD273" i="1"/>
  <c r="BD274" i="1"/>
  <c r="BD275" i="1"/>
  <c r="BD276" i="1"/>
  <c r="BD277" i="1"/>
  <c r="BD278" i="1"/>
  <c r="BD279" i="1"/>
  <c r="BD280" i="1"/>
  <c r="BD281" i="1"/>
  <c r="BD282" i="1"/>
  <c r="BD283" i="1"/>
  <c r="BD284" i="1"/>
  <c r="BD285" i="1"/>
  <c r="BD286" i="1"/>
  <c r="BD287" i="1"/>
  <c r="BD288" i="1"/>
  <c r="BD289" i="1"/>
  <c r="BD290" i="1"/>
  <c r="BD291" i="1"/>
  <c r="BD292" i="1"/>
  <c r="BD293" i="1"/>
  <c r="BD294" i="1"/>
  <c r="BD295" i="1"/>
  <c r="BD296" i="1"/>
  <c r="BD297" i="1"/>
  <c r="BD298" i="1"/>
  <c r="BD299" i="1"/>
  <c r="BD300" i="1"/>
  <c r="BD301" i="1"/>
  <c r="BD302" i="1"/>
  <c r="BD303" i="1"/>
  <c r="BD304" i="1"/>
  <c r="BD305" i="1"/>
  <c r="BD306" i="1"/>
  <c r="BD307" i="1"/>
  <c r="BD308" i="1"/>
  <c r="BD309" i="1"/>
  <c r="BD310" i="1"/>
  <c r="BD311" i="1"/>
  <c r="BD312" i="1"/>
  <c r="BD313" i="1"/>
  <c r="BD314" i="1"/>
  <c r="BD315" i="1"/>
  <c r="BD316" i="1"/>
  <c r="BD317" i="1"/>
  <c r="BD318" i="1"/>
  <c r="BD319" i="1"/>
  <c r="BD320" i="1"/>
  <c r="BD321" i="1"/>
  <c r="BD322" i="1"/>
  <c r="BD323" i="1"/>
  <c r="BD324" i="1"/>
  <c r="BD325" i="1"/>
  <c r="BD326" i="1"/>
  <c r="BD327" i="1"/>
  <c r="BD328" i="1"/>
  <c r="BD329" i="1"/>
  <c r="BD330" i="1"/>
  <c r="BD331" i="1"/>
  <c r="BD332" i="1"/>
  <c r="BD333" i="1"/>
  <c r="BD334" i="1"/>
  <c r="BD335" i="1"/>
  <c r="BD336" i="1"/>
  <c r="BD337" i="1"/>
  <c r="BD338" i="1"/>
  <c r="BD339" i="1"/>
  <c r="BD340" i="1"/>
  <c r="BD341" i="1"/>
  <c r="BD342" i="1"/>
  <c r="BD343" i="1"/>
  <c r="BD344" i="1"/>
  <c r="BD345" i="1"/>
  <c r="BD346" i="1"/>
  <c r="BD347" i="1"/>
  <c r="BD348" i="1"/>
  <c r="BD349" i="1"/>
  <c r="BD350" i="1"/>
  <c r="BD351" i="1"/>
  <c r="BD352" i="1"/>
  <c r="BD353" i="1"/>
  <c r="BD354" i="1"/>
  <c r="BD355" i="1"/>
  <c r="BD356" i="1"/>
  <c r="BD357" i="1"/>
  <c r="BD358" i="1"/>
  <c r="BD359" i="1"/>
  <c r="BD360" i="1"/>
  <c r="BD361" i="1"/>
  <c r="BD362" i="1"/>
  <c r="BD363" i="1"/>
  <c r="BD364" i="1"/>
  <c r="BD365" i="1"/>
  <c r="BD366" i="1"/>
  <c r="BD367" i="1"/>
  <c r="BD368" i="1"/>
  <c r="BD369" i="1"/>
  <c r="BD370" i="1"/>
  <c r="BD371" i="1"/>
  <c r="BD372" i="1"/>
  <c r="BD373" i="1"/>
  <c r="BD374" i="1"/>
  <c r="BD375" i="1"/>
  <c r="BD376" i="1"/>
  <c r="BD377" i="1"/>
  <c r="BD378" i="1"/>
  <c r="BD379" i="1"/>
  <c r="BD380" i="1"/>
  <c r="BD381" i="1"/>
  <c r="BD382" i="1"/>
  <c r="BD383" i="1"/>
  <c r="BD384" i="1"/>
  <c r="BD385" i="1"/>
  <c r="BD386" i="1"/>
  <c r="BD387" i="1"/>
  <c r="BD388" i="1"/>
  <c r="BD389" i="1"/>
  <c r="BD390" i="1"/>
  <c r="BD391" i="1"/>
  <c r="BD392" i="1"/>
  <c r="BD393" i="1"/>
  <c r="BD394" i="1"/>
  <c r="BD395" i="1"/>
  <c r="BD396" i="1"/>
  <c r="BD397" i="1"/>
  <c r="BD398" i="1"/>
  <c r="BD399" i="1"/>
  <c r="BD400" i="1"/>
  <c r="BD401" i="1"/>
  <c r="BD402" i="1"/>
  <c r="BD403" i="1"/>
  <c r="BD404" i="1"/>
  <c r="BD405" i="1"/>
  <c r="BD406" i="1"/>
  <c r="BD407" i="1"/>
  <c r="BD408" i="1"/>
  <c r="BD409" i="1"/>
  <c r="BD410" i="1"/>
  <c r="BD411" i="1"/>
  <c r="BD412" i="1"/>
  <c r="BD413" i="1"/>
  <c r="BD414" i="1"/>
  <c r="BD415" i="1"/>
  <c r="BD416" i="1"/>
  <c r="BD417" i="1"/>
  <c r="BD418" i="1"/>
  <c r="BD419" i="1"/>
  <c r="BD420" i="1"/>
  <c r="BD421" i="1"/>
  <c r="BD422" i="1"/>
  <c r="BD423" i="1"/>
  <c r="BD424" i="1"/>
  <c r="BD425" i="1"/>
  <c r="BD426" i="1"/>
  <c r="BD427" i="1"/>
  <c r="BD428" i="1"/>
  <c r="BD429" i="1"/>
  <c r="BD430" i="1"/>
  <c r="BD431" i="1"/>
  <c r="BD432" i="1"/>
  <c r="BD433" i="1"/>
  <c r="BD434" i="1"/>
  <c r="BD435" i="1"/>
  <c r="BD436" i="1"/>
  <c r="BD437" i="1"/>
  <c r="BD438" i="1"/>
  <c r="BD439" i="1"/>
  <c r="BD440" i="1"/>
  <c r="BD441" i="1"/>
  <c r="BD442" i="1"/>
  <c r="BD443" i="1"/>
  <c r="BD444" i="1"/>
  <c r="BD445" i="1"/>
  <c r="BD446" i="1"/>
  <c r="BD447" i="1"/>
  <c r="BD448" i="1"/>
  <c r="BD449" i="1"/>
  <c r="BD450" i="1"/>
  <c r="BD451" i="1"/>
  <c r="BD452" i="1"/>
  <c r="BD453" i="1"/>
  <c r="BD454" i="1"/>
  <c r="BD455" i="1"/>
  <c r="BD456" i="1"/>
  <c r="BD457" i="1"/>
  <c r="BD458" i="1"/>
  <c r="BD459" i="1"/>
  <c r="BD460" i="1"/>
  <c r="BD461" i="1"/>
  <c r="BD462" i="1"/>
  <c r="BD463" i="1"/>
  <c r="BD464" i="1"/>
  <c r="BD465" i="1"/>
  <c r="BD466" i="1"/>
  <c r="BD467" i="1"/>
  <c r="BD468" i="1"/>
  <c r="BD469" i="1"/>
  <c r="BD470" i="1"/>
  <c r="BD471" i="1"/>
  <c r="BD472" i="1"/>
  <c r="BD473" i="1"/>
  <c r="BD474" i="1"/>
  <c r="BD475" i="1"/>
  <c r="BD476" i="1"/>
  <c r="BD477" i="1"/>
  <c r="BD478" i="1"/>
  <c r="BD479" i="1"/>
  <c r="BD480" i="1"/>
  <c r="BD481" i="1"/>
  <c r="BD482" i="1"/>
  <c r="BD483" i="1"/>
  <c r="BD484" i="1"/>
  <c r="BD485" i="1"/>
  <c r="BD486" i="1"/>
  <c r="BD487" i="1"/>
  <c r="BD488" i="1"/>
  <c r="BD489" i="1"/>
  <c r="BD490" i="1"/>
  <c r="BD491" i="1"/>
  <c r="BD492" i="1"/>
  <c r="BD493" i="1"/>
  <c r="BD494" i="1"/>
  <c r="BD495" i="1"/>
  <c r="BD496" i="1"/>
  <c r="BD497" i="1"/>
  <c r="BD498" i="1"/>
  <c r="BD499" i="1"/>
  <c r="BD500" i="1"/>
  <c r="BD501" i="1"/>
  <c r="BD502" i="1"/>
  <c r="BD503" i="1"/>
  <c r="BD504" i="1"/>
  <c r="BD505" i="1"/>
  <c r="BD506" i="1"/>
  <c r="BD507" i="1"/>
  <c r="BD508" i="1"/>
  <c r="BD509" i="1"/>
  <c r="BD510" i="1"/>
  <c r="BD511" i="1"/>
  <c r="BD512" i="1"/>
  <c r="BD513" i="1"/>
  <c r="BD514" i="1"/>
  <c r="BD515" i="1"/>
  <c r="BD516" i="1"/>
  <c r="BD517" i="1"/>
  <c r="BD518" i="1"/>
  <c r="BD519" i="1"/>
  <c r="BD520" i="1"/>
  <c r="BD521" i="1"/>
  <c r="BD522" i="1"/>
  <c r="BD523" i="1"/>
  <c r="BD524" i="1"/>
  <c r="BD525" i="1"/>
  <c r="BD526" i="1"/>
  <c r="BD527" i="1"/>
  <c r="BD528" i="1"/>
  <c r="BD529" i="1"/>
  <c r="BD530" i="1"/>
  <c r="BD531" i="1"/>
  <c r="BD532" i="1"/>
  <c r="BD533" i="1"/>
  <c r="BD534" i="1"/>
  <c r="BD535" i="1"/>
  <c r="BD536" i="1"/>
  <c r="BD537" i="1"/>
  <c r="BD538" i="1"/>
  <c r="BD539" i="1"/>
  <c r="BD540" i="1"/>
  <c r="BD541" i="1"/>
  <c r="BD542" i="1"/>
  <c r="BD543" i="1"/>
  <c r="BD544" i="1"/>
  <c r="BD545" i="1"/>
  <c r="BD546" i="1"/>
  <c r="BD547" i="1"/>
  <c r="BD548" i="1"/>
  <c r="BD549" i="1"/>
  <c r="BD550" i="1"/>
  <c r="BD551" i="1"/>
  <c r="BD552" i="1"/>
  <c r="BD553" i="1"/>
  <c r="BD554" i="1"/>
  <c r="BD555" i="1"/>
  <c r="BD556" i="1"/>
  <c r="BD557" i="1"/>
  <c r="BD558" i="1"/>
  <c r="BD559" i="1"/>
  <c r="BD560" i="1"/>
  <c r="BD561" i="1"/>
  <c r="BD562" i="1"/>
  <c r="BD563" i="1"/>
  <c r="BD564" i="1"/>
  <c r="BD565" i="1"/>
  <c r="BD566" i="1"/>
  <c r="BD567" i="1"/>
  <c r="BD568" i="1"/>
  <c r="BD569" i="1"/>
  <c r="BD570" i="1"/>
  <c r="BD571" i="1"/>
  <c r="BD572" i="1"/>
  <c r="BD573" i="1"/>
  <c r="BD574" i="1"/>
  <c r="BD575" i="1"/>
  <c r="BD576" i="1"/>
  <c r="BD577" i="1"/>
  <c r="BD578" i="1"/>
  <c r="BD579" i="1"/>
  <c r="BD580" i="1"/>
  <c r="BD581" i="1"/>
  <c r="BD582" i="1"/>
  <c r="BD583" i="1"/>
  <c r="BD584" i="1"/>
  <c r="BD585" i="1"/>
  <c r="BD586" i="1"/>
  <c r="BD587" i="1"/>
  <c r="BD588" i="1"/>
  <c r="BD589" i="1"/>
  <c r="BD590" i="1"/>
  <c r="BD591" i="1"/>
  <c r="BD592" i="1"/>
  <c r="BD593" i="1"/>
  <c r="BD594" i="1"/>
  <c r="BD595" i="1"/>
  <c r="BD596" i="1"/>
  <c r="BD597" i="1"/>
  <c r="BD598" i="1"/>
  <c r="BD599" i="1"/>
  <c r="BD600" i="1"/>
  <c r="BD601" i="1"/>
  <c r="BD602" i="1"/>
  <c r="BD603" i="1"/>
  <c r="BD604" i="1"/>
  <c r="BD605" i="1"/>
  <c r="BD606" i="1"/>
  <c r="BD607" i="1"/>
  <c r="BD608" i="1"/>
  <c r="BD609" i="1"/>
  <c r="BD610" i="1"/>
  <c r="BD611" i="1"/>
  <c r="BD612" i="1"/>
  <c r="BD613" i="1"/>
  <c r="BD614" i="1"/>
  <c r="BD615" i="1"/>
  <c r="BD616" i="1"/>
  <c r="BD617" i="1"/>
  <c r="BD618" i="1"/>
  <c r="BD619" i="1"/>
  <c r="BD620" i="1"/>
  <c r="BD621" i="1"/>
  <c r="BD622" i="1"/>
  <c r="BD623" i="1"/>
  <c r="BD624" i="1"/>
  <c r="BD625" i="1"/>
  <c r="BD626" i="1"/>
  <c r="BD627" i="1"/>
  <c r="BD628" i="1"/>
  <c r="BD629" i="1"/>
  <c r="BD630" i="1"/>
  <c r="BD631" i="1"/>
  <c r="BD632" i="1"/>
  <c r="BD633" i="1"/>
  <c r="BD634" i="1"/>
  <c r="BD635" i="1"/>
  <c r="BD636" i="1"/>
  <c r="BD637" i="1"/>
  <c r="BD638" i="1"/>
  <c r="BD639" i="1"/>
  <c r="BD640" i="1"/>
  <c r="BD641" i="1"/>
  <c r="BD642" i="1"/>
  <c r="BD643" i="1"/>
  <c r="BD644" i="1"/>
  <c r="BD645" i="1"/>
  <c r="BD646" i="1"/>
  <c r="BD647" i="1"/>
  <c r="BD648" i="1"/>
  <c r="BD649" i="1"/>
  <c r="BD650" i="1"/>
  <c r="BD651" i="1"/>
  <c r="BD652" i="1"/>
  <c r="BD653" i="1"/>
  <c r="BD654" i="1"/>
  <c r="BD655" i="1"/>
  <c r="BD656" i="1"/>
  <c r="BD657" i="1"/>
  <c r="BD658" i="1"/>
  <c r="BD659" i="1"/>
  <c r="BD660" i="1"/>
  <c r="BD661" i="1"/>
  <c r="BD662" i="1"/>
  <c r="BD663" i="1"/>
  <c r="BD664" i="1"/>
  <c r="BD665" i="1"/>
  <c r="BD666" i="1"/>
  <c r="BD667" i="1"/>
  <c r="BD668" i="1"/>
  <c r="BD669" i="1"/>
  <c r="BD670" i="1"/>
  <c r="BD671" i="1"/>
  <c r="BD672" i="1"/>
  <c r="BD673" i="1"/>
  <c r="BD674" i="1"/>
  <c r="BD675" i="1"/>
  <c r="BD676" i="1"/>
  <c r="BD677" i="1"/>
  <c r="BD678" i="1"/>
  <c r="BD679" i="1"/>
  <c r="BD680" i="1"/>
  <c r="BD681" i="1"/>
  <c r="BD682" i="1"/>
  <c r="BD683" i="1"/>
  <c r="BD684" i="1"/>
  <c r="BD685" i="1"/>
  <c r="BD686" i="1"/>
  <c r="BD687" i="1"/>
  <c r="BD688" i="1"/>
  <c r="BD689" i="1"/>
  <c r="BD690" i="1"/>
  <c r="BD691" i="1"/>
  <c r="BD692" i="1"/>
  <c r="BD693" i="1"/>
  <c r="BD694" i="1"/>
  <c r="BD695" i="1"/>
  <c r="BD696" i="1"/>
  <c r="BD697" i="1"/>
  <c r="BD698" i="1"/>
  <c r="BD699" i="1"/>
  <c r="BD700" i="1"/>
  <c r="BD701" i="1"/>
  <c r="BD702" i="1"/>
  <c r="BD703" i="1"/>
  <c r="BD704" i="1"/>
  <c r="BD705" i="1"/>
  <c r="BD706" i="1"/>
  <c r="BD707" i="1"/>
  <c r="BD708" i="1"/>
  <c r="BD709" i="1"/>
  <c r="BD710" i="1"/>
  <c r="BD711" i="1"/>
  <c r="BD712" i="1"/>
  <c r="BD713" i="1"/>
  <c r="BD714" i="1"/>
  <c r="BD715" i="1"/>
  <c r="BD716" i="1"/>
  <c r="BD717" i="1"/>
  <c r="BD718" i="1"/>
  <c r="BD719" i="1"/>
  <c r="BD720" i="1"/>
  <c r="BD721" i="1"/>
  <c r="BD722" i="1"/>
  <c r="BD723" i="1"/>
  <c r="BD724" i="1"/>
  <c r="BD725" i="1"/>
  <c r="BD726" i="1"/>
  <c r="BD727" i="1"/>
  <c r="BD728" i="1"/>
  <c r="BD729" i="1"/>
  <c r="BD730" i="1"/>
  <c r="BD731" i="1"/>
  <c r="BD732" i="1"/>
  <c r="BD733" i="1"/>
  <c r="BD734" i="1"/>
  <c r="BD735" i="1"/>
  <c r="BD736" i="1"/>
  <c r="BD737" i="1"/>
  <c r="BD738" i="1"/>
  <c r="BD739" i="1"/>
  <c r="BD740" i="1"/>
  <c r="BD741" i="1"/>
  <c r="BD742" i="1"/>
  <c r="BD743" i="1"/>
  <c r="BD744" i="1"/>
  <c r="BD745" i="1"/>
  <c r="BD746" i="1"/>
  <c r="BD747" i="1"/>
  <c r="BD748" i="1"/>
  <c r="BD749" i="1"/>
  <c r="BD750" i="1"/>
  <c r="BD751" i="1"/>
  <c r="BD752" i="1"/>
  <c r="BD753" i="1"/>
  <c r="BD754" i="1"/>
  <c r="BD755" i="1"/>
  <c r="BD756" i="1"/>
  <c r="BD757" i="1"/>
  <c r="BD758" i="1"/>
  <c r="BD759" i="1"/>
  <c r="BD760" i="1"/>
  <c r="BD761" i="1"/>
  <c r="BD762" i="1"/>
  <c r="BD763" i="1"/>
  <c r="BD764" i="1"/>
  <c r="BD765" i="1"/>
  <c r="BD766" i="1"/>
  <c r="BD767" i="1"/>
  <c r="BD768" i="1"/>
  <c r="BD769" i="1"/>
  <c r="BD770" i="1"/>
  <c r="BD771" i="1"/>
  <c r="BD772" i="1"/>
  <c r="BD773" i="1"/>
  <c r="BD774" i="1"/>
  <c r="BD775" i="1"/>
  <c r="BD776" i="1"/>
  <c r="BD777" i="1"/>
  <c r="BD778" i="1"/>
  <c r="BD779" i="1"/>
  <c r="BD780" i="1"/>
  <c r="BD781" i="1"/>
  <c r="BD782" i="1"/>
  <c r="BD783" i="1"/>
  <c r="BD784" i="1"/>
  <c r="BD785" i="1"/>
  <c r="BD786" i="1"/>
  <c r="BD787" i="1"/>
  <c r="BD788" i="1"/>
  <c r="BD789" i="1"/>
  <c r="BD790" i="1"/>
  <c r="BD791" i="1"/>
  <c r="BD792" i="1"/>
  <c r="BD793" i="1"/>
  <c r="BD794" i="1"/>
  <c r="BD795" i="1"/>
  <c r="BD796" i="1"/>
  <c r="BD797" i="1"/>
  <c r="BD798" i="1"/>
  <c r="BD799" i="1"/>
  <c r="BD800" i="1"/>
  <c r="BD801" i="1"/>
  <c r="BD802" i="1"/>
  <c r="BD803" i="1"/>
  <c r="BD804" i="1"/>
  <c r="BD805" i="1"/>
  <c r="BD806" i="1"/>
  <c r="BD807" i="1"/>
  <c r="BD808" i="1"/>
  <c r="BD809" i="1"/>
  <c r="BD810" i="1"/>
  <c r="BD811" i="1"/>
  <c r="BD812" i="1"/>
  <c r="BD813" i="1"/>
  <c r="BD814" i="1"/>
  <c r="BD815" i="1"/>
  <c r="BD816" i="1"/>
  <c r="BD817" i="1"/>
  <c r="BD818" i="1"/>
  <c r="BD819" i="1"/>
  <c r="BD820" i="1"/>
  <c r="BD821" i="1"/>
  <c r="BD822" i="1"/>
  <c r="BD823" i="1"/>
  <c r="BD824" i="1"/>
  <c r="BD825" i="1"/>
  <c r="BD826" i="1"/>
  <c r="BD827" i="1"/>
  <c r="BD828" i="1"/>
  <c r="BD829" i="1"/>
  <c r="BD830" i="1"/>
  <c r="BD831" i="1"/>
  <c r="BD832" i="1"/>
  <c r="BD833" i="1"/>
  <c r="BD834" i="1"/>
  <c r="BD835" i="1"/>
  <c r="BD836" i="1"/>
  <c r="BD837" i="1"/>
  <c r="BD838" i="1"/>
  <c r="BD839" i="1"/>
  <c r="BD840" i="1"/>
  <c r="BD841" i="1"/>
  <c r="BD842" i="1"/>
  <c r="BD843" i="1"/>
  <c r="BD844" i="1"/>
  <c r="BD845" i="1"/>
  <c r="BD846" i="1"/>
  <c r="BD847" i="1"/>
  <c r="BD848" i="1"/>
  <c r="BD849" i="1"/>
  <c r="BD850" i="1"/>
  <c r="BD851" i="1"/>
  <c r="BD852" i="1"/>
  <c r="BD853" i="1"/>
  <c r="BD854" i="1"/>
  <c r="BD855" i="1"/>
  <c r="BD856" i="1"/>
  <c r="BD857" i="1"/>
  <c r="BD858" i="1"/>
  <c r="BD859" i="1"/>
  <c r="BD860" i="1"/>
  <c r="BD861" i="1"/>
  <c r="BD862" i="1"/>
  <c r="BD863" i="1"/>
  <c r="BD864" i="1"/>
  <c r="BD865" i="1"/>
  <c r="BD866" i="1"/>
  <c r="BD867" i="1"/>
  <c r="BD868" i="1"/>
  <c r="BD869" i="1"/>
  <c r="BD870" i="1"/>
  <c r="BD871" i="1"/>
  <c r="BD872" i="1"/>
  <c r="BD873" i="1"/>
  <c r="BD874" i="1"/>
  <c r="BD875" i="1"/>
  <c r="BD876" i="1"/>
  <c r="BD877" i="1"/>
  <c r="BD878" i="1"/>
  <c r="BD879" i="1"/>
  <c r="BD880" i="1"/>
  <c r="BD881" i="1"/>
  <c r="BD882" i="1"/>
  <c r="BD883" i="1"/>
  <c r="BD884" i="1"/>
  <c r="BD885" i="1"/>
  <c r="BD886" i="1"/>
  <c r="BD887" i="1"/>
  <c r="BD888" i="1"/>
  <c r="BD889" i="1"/>
  <c r="BD890" i="1"/>
  <c r="BD891" i="1"/>
  <c r="BD892" i="1"/>
  <c r="BD893" i="1"/>
  <c r="BD894" i="1"/>
  <c r="BD895" i="1"/>
  <c r="BD896" i="1"/>
  <c r="BD897" i="1"/>
  <c r="BD898" i="1"/>
  <c r="BD899" i="1"/>
  <c r="BD900" i="1"/>
  <c r="BD901" i="1"/>
  <c r="BD902" i="1"/>
  <c r="BD903" i="1"/>
  <c r="BD904" i="1"/>
  <c r="BD905" i="1"/>
  <c r="BD906" i="1"/>
  <c r="BD907" i="1"/>
  <c r="BD908" i="1"/>
  <c r="BD909" i="1"/>
  <c r="BD910" i="1"/>
  <c r="BD911" i="1"/>
  <c r="BD912" i="1"/>
  <c r="BD913" i="1"/>
  <c r="BD914" i="1"/>
  <c r="BD915" i="1"/>
  <c r="BD916" i="1"/>
  <c r="BD917" i="1"/>
  <c r="BD918" i="1"/>
  <c r="BD919" i="1"/>
  <c r="BD920" i="1"/>
  <c r="BD921" i="1"/>
  <c r="BD922" i="1"/>
  <c r="BD923" i="1"/>
  <c r="BD924" i="1"/>
  <c r="BD925" i="1"/>
  <c r="BD926" i="1"/>
  <c r="BD927" i="1"/>
  <c r="BD928" i="1"/>
  <c r="BD929" i="1"/>
  <c r="BD930" i="1"/>
  <c r="BD931" i="1"/>
  <c r="BD932" i="1"/>
  <c r="BD933" i="1"/>
  <c r="BD934" i="1"/>
  <c r="BD935" i="1"/>
  <c r="BD936" i="1"/>
  <c r="BD937" i="1"/>
  <c r="BD938" i="1"/>
  <c r="BD939" i="1"/>
  <c r="BD940" i="1"/>
  <c r="BD941" i="1"/>
  <c r="BD942" i="1"/>
  <c r="BD943" i="1"/>
  <c r="BD944" i="1"/>
  <c r="BD945" i="1"/>
  <c r="BD946" i="1"/>
  <c r="BD947" i="1"/>
  <c r="BD948" i="1"/>
  <c r="BD949" i="1"/>
  <c r="BD950" i="1"/>
  <c r="BD951" i="1"/>
  <c r="BD952" i="1"/>
  <c r="BD953" i="1"/>
  <c r="BD954" i="1"/>
  <c r="BD955" i="1"/>
  <c r="BD956" i="1"/>
  <c r="BD957" i="1"/>
  <c r="BD958" i="1"/>
  <c r="BD959" i="1"/>
  <c r="BD960" i="1"/>
  <c r="BD961" i="1"/>
  <c r="BD962" i="1"/>
  <c r="BD963" i="1"/>
  <c r="BD964" i="1"/>
  <c r="BD965" i="1"/>
  <c r="BD966" i="1"/>
  <c r="BD967" i="1"/>
  <c r="BD968" i="1"/>
  <c r="BD969" i="1"/>
  <c r="BD970" i="1"/>
  <c r="BD971" i="1"/>
  <c r="BD972" i="1"/>
  <c r="BD973" i="1"/>
  <c r="BD974" i="1"/>
  <c r="BD975" i="1"/>
  <c r="BD976" i="1"/>
  <c r="BD977" i="1"/>
  <c r="BD978" i="1"/>
  <c r="BD979" i="1"/>
  <c r="BD980" i="1"/>
  <c r="BD981" i="1"/>
  <c r="BD982" i="1"/>
  <c r="BD983" i="1"/>
  <c r="BD984" i="1"/>
  <c r="BD985" i="1"/>
  <c r="BD986" i="1"/>
  <c r="BD987" i="1"/>
  <c r="BD988" i="1"/>
  <c r="BD989" i="1"/>
  <c r="BD990" i="1"/>
  <c r="BD991" i="1"/>
  <c r="BD992" i="1"/>
  <c r="BD993" i="1"/>
  <c r="BD994" i="1"/>
  <c r="BD995" i="1"/>
  <c r="BD996" i="1"/>
  <c r="BD997" i="1"/>
  <c r="BD998" i="1"/>
  <c r="BD999" i="1"/>
  <c r="BD1000" i="1"/>
  <c r="BD1001" i="1"/>
  <c r="BD1002" i="1"/>
  <c r="BD1003" i="1"/>
  <c r="BD1004" i="1"/>
  <c r="BD1005" i="1"/>
  <c r="BD1006" i="1"/>
  <c r="BD1007" i="1"/>
  <c r="BD1008" i="1"/>
  <c r="BD1009" i="1"/>
  <c r="BD1010" i="1"/>
  <c r="BD1011" i="1"/>
  <c r="BD1012" i="1"/>
  <c r="BD1013" i="1"/>
  <c r="BD1014" i="1"/>
  <c r="BD1015" i="1"/>
  <c r="BD1016" i="1"/>
  <c r="BD1017" i="1"/>
  <c r="BD1018" i="1"/>
  <c r="BD1019" i="1"/>
  <c r="BD1020" i="1"/>
  <c r="BD1021" i="1"/>
  <c r="BD1022" i="1"/>
  <c r="BD1023" i="1"/>
  <c r="BD1024" i="1"/>
  <c r="BD1025" i="1"/>
  <c r="BD1026" i="1"/>
  <c r="BD1027" i="1"/>
  <c r="BD1028" i="1"/>
  <c r="BD1029" i="1"/>
  <c r="BD1030" i="1"/>
  <c r="BD1031" i="1"/>
  <c r="BD1032" i="1"/>
  <c r="BD1033" i="1"/>
  <c r="BD1034" i="1"/>
  <c r="BD1035" i="1"/>
  <c r="BD1036" i="1"/>
  <c r="BD1037" i="1"/>
  <c r="BD1038" i="1"/>
  <c r="BD1039" i="1"/>
  <c r="BD1040" i="1"/>
  <c r="BD1041" i="1"/>
  <c r="BD1042" i="1"/>
  <c r="BD1043" i="1"/>
  <c r="BD1044" i="1"/>
  <c r="BD1045" i="1"/>
  <c r="BD1046" i="1"/>
  <c r="BD1047" i="1"/>
  <c r="BD1048" i="1"/>
  <c r="BD1049" i="1"/>
  <c r="BD1050" i="1"/>
  <c r="BD1051" i="1"/>
  <c r="BD1052" i="1"/>
  <c r="BD1053" i="1"/>
  <c r="BD1054" i="1"/>
  <c r="BD1055" i="1"/>
  <c r="BD1056" i="1"/>
  <c r="BD1057" i="1"/>
  <c r="BD1058" i="1"/>
  <c r="BD1059" i="1"/>
  <c r="BD1060" i="1"/>
  <c r="BD1061" i="1"/>
  <c r="BD1062" i="1"/>
  <c r="BD1063" i="1"/>
  <c r="BD1064" i="1"/>
  <c r="BD1065" i="1"/>
  <c r="BD1066" i="1"/>
  <c r="BD1067" i="1"/>
  <c r="BD1068" i="1"/>
  <c r="BD1069" i="1"/>
  <c r="BD1070" i="1"/>
  <c r="BD1071" i="1"/>
  <c r="BD1072" i="1"/>
  <c r="BD1073" i="1"/>
  <c r="BD1074" i="1"/>
  <c r="BD1075" i="1"/>
  <c r="BD1076" i="1"/>
  <c r="BD1077" i="1"/>
  <c r="BD1078" i="1"/>
  <c r="BD1079" i="1"/>
  <c r="BD1080" i="1"/>
  <c r="BD1081" i="1"/>
  <c r="BD1082" i="1"/>
  <c r="BD1083" i="1"/>
  <c r="BD1084" i="1"/>
  <c r="BD1085" i="1"/>
  <c r="BD1086" i="1"/>
  <c r="BD1087" i="1"/>
  <c r="BD1088" i="1"/>
  <c r="BD1089" i="1"/>
  <c r="BD1090" i="1"/>
  <c r="BD1091" i="1"/>
  <c r="BD1092" i="1"/>
  <c r="BD1093" i="1"/>
  <c r="BD1094" i="1"/>
  <c r="BD1095" i="1"/>
  <c r="BD1096" i="1"/>
  <c r="BD1097" i="1"/>
  <c r="BD1098" i="1"/>
  <c r="BD1099" i="1"/>
  <c r="BD1100" i="1"/>
  <c r="BD1101" i="1"/>
  <c r="BD1102" i="1"/>
  <c r="BD1103" i="1"/>
  <c r="BD1104" i="1"/>
  <c r="BD1105" i="1"/>
  <c r="BD1106" i="1"/>
  <c r="BD1107" i="1"/>
  <c r="BD1108" i="1"/>
  <c r="BD1109" i="1"/>
  <c r="BD1110" i="1"/>
  <c r="BD1111" i="1"/>
  <c r="BD1112" i="1"/>
  <c r="BD1113" i="1"/>
  <c r="BD1114" i="1"/>
  <c r="BD1115" i="1"/>
  <c r="BD1116" i="1"/>
  <c r="BD1117" i="1"/>
  <c r="BD1118" i="1"/>
  <c r="BD1119" i="1"/>
  <c r="BD1120" i="1"/>
  <c r="BD1121" i="1"/>
  <c r="BD1122" i="1"/>
  <c r="BD1123" i="1"/>
  <c r="BD1124" i="1"/>
  <c r="BD1125" i="1"/>
  <c r="BD1126" i="1"/>
  <c r="BD1127" i="1"/>
  <c r="BD1128" i="1"/>
  <c r="BD1129" i="1"/>
  <c r="BD1130" i="1"/>
  <c r="BD1131" i="1"/>
  <c r="BD1132" i="1"/>
  <c r="BD1133" i="1"/>
  <c r="BD1134" i="1"/>
  <c r="BD1135" i="1"/>
  <c r="BD1136" i="1"/>
  <c r="BD1137" i="1"/>
  <c r="BD1138" i="1"/>
  <c r="BD1139" i="1"/>
  <c r="BD1140" i="1"/>
  <c r="BD1141" i="1"/>
  <c r="BD1142" i="1"/>
  <c r="BD1143" i="1"/>
  <c r="BD1144" i="1"/>
  <c r="BD1145" i="1"/>
  <c r="BD1146" i="1"/>
  <c r="BD1147" i="1"/>
  <c r="BD1148" i="1"/>
  <c r="BD1149" i="1"/>
  <c r="BD1150" i="1"/>
  <c r="BD1151" i="1"/>
  <c r="BD1152" i="1"/>
  <c r="BD1153" i="1"/>
  <c r="BD1154" i="1"/>
  <c r="BD1155" i="1"/>
  <c r="BD1156" i="1"/>
  <c r="BD1157" i="1"/>
  <c r="BD1158" i="1"/>
  <c r="BD1159" i="1"/>
  <c r="BD1160" i="1"/>
  <c r="BD1161" i="1"/>
  <c r="BD1162" i="1"/>
  <c r="BD1163" i="1"/>
  <c r="BD1164" i="1"/>
  <c r="BD1165" i="1"/>
  <c r="BD1166" i="1"/>
  <c r="BD1167" i="1"/>
  <c r="BD1168" i="1"/>
  <c r="BD1169" i="1"/>
  <c r="BD1170" i="1"/>
  <c r="BD1171" i="1"/>
  <c r="BD1172" i="1"/>
  <c r="BD1173" i="1"/>
  <c r="BD1174" i="1"/>
  <c r="BD1175" i="1"/>
  <c r="BD1176" i="1"/>
  <c r="BD1177" i="1"/>
  <c r="BD1178" i="1"/>
  <c r="BD1179" i="1"/>
  <c r="BD1180" i="1"/>
  <c r="BD1181" i="1"/>
  <c r="BD1182" i="1"/>
  <c r="BD1183" i="1"/>
  <c r="BD1184" i="1"/>
  <c r="BD1185" i="1"/>
  <c r="BD1186" i="1"/>
  <c r="BD1187" i="1"/>
  <c r="BD1188" i="1"/>
  <c r="BD1189" i="1"/>
  <c r="BD1190" i="1"/>
  <c r="BD1191" i="1"/>
  <c r="BD1192" i="1"/>
  <c r="BD1193" i="1"/>
  <c r="BD1194" i="1"/>
  <c r="BD1195" i="1"/>
  <c r="BD1196" i="1"/>
  <c r="BD1197" i="1"/>
  <c r="BD1198" i="1"/>
  <c r="BD1199" i="1"/>
  <c r="BD1200" i="1"/>
  <c r="BD1201" i="1"/>
  <c r="BD1202" i="1"/>
  <c r="BD1203" i="1"/>
  <c r="BD1204" i="1"/>
  <c r="BD1205" i="1"/>
  <c r="BD1206" i="1"/>
  <c r="BD1207" i="1"/>
  <c r="BD1208" i="1"/>
  <c r="BD1209" i="1"/>
  <c r="BD1210" i="1"/>
  <c r="BD1211" i="1"/>
  <c r="BD1212" i="1"/>
  <c r="BD1213" i="1"/>
  <c r="BD1214" i="1"/>
  <c r="BD1215" i="1"/>
  <c r="BD1216" i="1"/>
  <c r="BD1217" i="1"/>
  <c r="BD1218" i="1"/>
  <c r="BD1219" i="1"/>
  <c r="BD1220" i="1"/>
  <c r="BD1221" i="1"/>
  <c r="BD1222" i="1"/>
  <c r="BD1223" i="1"/>
  <c r="BD1224" i="1"/>
  <c r="BD1225" i="1"/>
  <c r="BD1226" i="1"/>
  <c r="BD1227" i="1"/>
  <c r="BD1228" i="1"/>
  <c r="BD1229" i="1"/>
  <c r="BD1230" i="1"/>
  <c r="BD1231" i="1"/>
  <c r="BD1232" i="1"/>
  <c r="BD1233" i="1"/>
  <c r="BD1234" i="1"/>
  <c r="BD1235" i="1"/>
  <c r="BD1236" i="1"/>
  <c r="BD1237" i="1"/>
  <c r="BD1238" i="1"/>
  <c r="BD1239" i="1"/>
  <c r="BD1240" i="1"/>
  <c r="BD1241" i="1"/>
  <c r="BD1242" i="1"/>
  <c r="BD1243" i="1"/>
  <c r="BD1244" i="1"/>
  <c r="BD1245" i="1"/>
  <c r="BD1246" i="1"/>
  <c r="BD1247" i="1"/>
  <c r="BD1248" i="1"/>
  <c r="BD1249" i="1"/>
  <c r="BD1250" i="1"/>
  <c r="BD1251" i="1"/>
  <c r="BD1252" i="1"/>
  <c r="BD1253" i="1"/>
  <c r="BD1254" i="1"/>
  <c r="BD1255" i="1"/>
  <c r="BD1256" i="1"/>
  <c r="BD1257" i="1"/>
  <c r="BD1258" i="1"/>
  <c r="BD1259" i="1"/>
  <c r="BD1260" i="1"/>
  <c r="BD1261" i="1"/>
  <c r="BD1262" i="1"/>
  <c r="BD1263" i="1"/>
  <c r="BD1264" i="1"/>
  <c r="BD1265" i="1"/>
  <c r="BD1266" i="1"/>
  <c r="BD1267" i="1"/>
  <c r="BD1268" i="1"/>
  <c r="BD1269" i="1"/>
  <c r="BD1270" i="1"/>
  <c r="BD1271" i="1"/>
  <c r="BD1272" i="1"/>
  <c r="BD1273" i="1"/>
  <c r="BD1274" i="1"/>
  <c r="BD1275" i="1"/>
  <c r="BD1276" i="1"/>
  <c r="BD1277" i="1"/>
  <c r="BD1278" i="1"/>
  <c r="BD1279" i="1"/>
  <c r="BD1280" i="1"/>
  <c r="BD1281" i="1"/>
  <c r="BD1282" i="1"/>
  <c r="BD1283" i="1"/>
  <c r="BD1284" i="1"/>
  <c r="BD1285" i="1"/>
  <c r="BD1286" i="1"/>
  <c r="BD1287" i="1"/>
  <c r="BD1288" i="1"/>
  <c r="BD1289" i="1"/>
  <c r="BD1290" i="1"/>
  <c r="BD1291" i="1"/>
  <c r="BD1292" i="1"/>
  <c r="BD1293" i="1"/>
  <c r="BD1294" i="1"/>
  <c r="BD1295" i="1"/>
  <c r="BD1296" i="1"/>
  <c r="BD1297" i="1"/>
  <c r="BD1298" i="1"/>
  <c r="BD1299" i="1"/>
  <c r="BD1300" i="1"/>
  <c r="BD1301" i="1"/>
  <c r="BD1302" i="1"/>
  <c r="BD1303" i="1"/>
  <c r="BD1304" i="1"/>
  <c r="BD1305" i="1"/>
  <c r="BD1306" i="1"/>
  <c r="BD1307" i="1"/>
  <c r="BD1308" i="1"/>
  <c r="BD1309" i="1"/>
  <c r="BD1310" i="1"/>
  <c r="BD1311" i="1"/>
  <c r="BD1312" i="1"/>
  <c r="BD1313" i="1"/>
  <c r="BD1314" i="1"/>
  <c r="BD1315" i="1"/>
  <c r="BD1316" i="1"/>
  <c r="BD1317" i="1"/>
  <c r="BD1318" i="1"/>
  <c r="BD1319" i="1"/>
  <c r="BD1320" i="1"/>
  <c r="BD1321" i="1"/>
  <c r="BD1322" i="1"/>
  <c r="BD1323" i="1"/>
  <c r="BD1324" i="1"/>
  <c r="BD1325" i="1"/>
  <c r="BD1326" i="1"/>
  <c r="BD1327" i="1"/>
  <c r="BD1328" i="1"/>
  <c r="BD1329" i="1"/>
  <c r="BD1330" i="1"/>
  <c r="BD1331" i="1"/>
  <c r="BD1332" i="1"/>
  <c r="BD1333" i="1"/>
  <c r="BD1334" i="1"/>
  <c r="BD1335" i="1"/>
  <c r="BD1336" i="1"/>
  <c r="BD1337" i="1"/>
  <c r="BD1338" i="1"/>
  <c r="BD1339" i="1"/>
  <c r="BD1340" i="1"/>
  <c r="BD1341" i="1"/>
  <c r="BD1342" i="1"/>
  <c r="BD1343" i="1"/>
  <c r="BD1344" i="1"/>
  <c r="BD1345" i="1"/>
  <c r="BD1346" i="1"/>
  <c r="BD1347" i="1"/>
  <c r="BD1348" i="1"/>
  <c r="BD1349" i="1"/>
  <c r="BD1350" i="1"/>
  <c r="BD1351" i="1"/>
  <c r="BD1352" i="1"/>
  <c r="BD1353" i="1"/>
  <c r="BD1354" i="1"/>
  <c r="BD1355" i="1"/>
  <c r="BD1356" i="1"/>
  <c r="BD1357" i="1"/>
  <c r="BD1358" i="1"/>
  <c r="BD1359" i="1"/>
  <c r="BD1360" i="1"/>
  <c r="BD1361" i="1"/>
  <c r="BD1362" i="1"/>
  <c r="BD1363" i="1"/>
  <c r="BD1364" i="1"/>
  <c r="BD1365" i="1"/>
  <c r="BD1366" i="1"/>
  <c r="BD1367" i="1"/>
  <c r="BD1368" i="1"/>
  <c r="BD1369" i="1"/>
  <c r="BD1370" i="1"/>
  <c r="BD1371" i="1"/>
  <c r="BD1372" i="1"/>
  <c r="BD1373" i="1"/>
  <c r="BD1374" i="1"/>
  <c r="BD1375" i="1"/>
  <c r="BD1376" i="1"/>
  <c r="BD1377" i="1"/>
  <c r="BD1378" i="1"/>
  <c r="BD1379" i="1"/>
  <c r="BD1380" i="1"/>
  <c r="BD1381" i="1"/>
  <c r="BD1382" i="1"/>
  <c r="BD1383" i="1"/>
  <c r="BD1384" i="1"/>
  <c r="BD1385" i="1"/>
  <c r="BD1386" i="1"/>
  <c r="BD1387" i="1"/>
  <c r="BD1388" i="1"/>
  <c r="BD1389" i="1"/>
  <c r="BD1390" i="1"/>
  <c r="BD1391" i="1"/>
  <c r="AZ2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199" i="1"/>
  <c r="AZ200" i="1"/>
  <c r="AZ201" i="1"/>
  <c r="AZ202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19" i="1"/>
  <c r="AZ220" i="1"/>
  <c r="AZ221" i="1"/>
  <c r="AZ222" i="1"/>
  <c r="AZ223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0" i="1"/>
  <c r="AZ241" i="1"/>
  <c r="AZ242" i="1"/>
  <c r="AZ243" i="1"/>
  <c r="AZ244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1" i="1"/>
  <c r="AZ262" i="1"/>
  <c r="AZ263" i="1"/>
  <c r="AZ264" i="1"/>
  <c r="AZ265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3" i="1"/>
  <c r="AZ284" i="1"/>
  <c r="AZ285" i="1"/>
  <c r="AZ286" i="1"/>
  <c r="AZ287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4" i="1"/>
  <c r="AZ305" i="1"/>
  <c r="AZ306" i="1"/>
  <c r="AZ307" i="1"/>
  <c r="AZ308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47" i="1"/>
  <c r="AZ348" i="1"/>
  <c r="AZ349" i="1"/>
  <c r="AZ350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68" i="1"/>
  <c r="AZ369" i="1"/>
  <c r="AZ370" i="1"/>
  <c r="AZ371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2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24" i="1"/>
  <c r="AZ425" i="1"/>
  <c r="AZ426" i="1"/>
  <c r="AZ427" i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0" i="1"/>
  <c r="AZ461" i="1"/>
  <c r="AZ462" i="1"/>
  <c r="AZ463" i="1"/>
  <c r="AZ464" i="1"/>
  <c r="AZ465" i="1"/>
  <c r="AZ466" i="1"/>
  <c r="AZ467" i="1"/>
  <c r="AZ468" i="1"/>
  <c r="AZ469" i="1"/>
  <c r="AZ470" i="1"/>
  <c r="AZ471" i="1"/>
  <c r="AZ472" i="1"/>
  <c r="AZ473" i="1"/>
  <c r="AZ474" i="1"/>
  <c r="AZ475" i="1"/>
  <c r="AZ476" i="1"/>
  <c r="AZ477" i="1"/>
  <c r="AZ478" i="1"/>
  <c r="AZ479" i="1"/>
  <c r="AZ480" i="1"/>
  <c r="AZ481" i="1"/>
  <c r="AZ482" i="1"/>
  <c r="AZ483" i="1"/>
  <c r="AZ484" i="1"/>
  <c r="AZ485" i="1"/>
  <c r="AZ486" i="1"/>
  <c r="AZ487" i="1"/>
  <c r="AZ488" i="1"/>
  <c r="AZ489" i="1"/>
  <c r="AZ490" i="1"/>
  <c r="AZ491" i="1"/>
  <c r="AZ492" i="1"/>
  <c r="AZ493" i="1"/>
  <c r="AZ494" i="1"/>
  <c r="AZ495" i="1"/>
  <c r="AZ496" i="1"/>
  <c r="AZ497" i="1"/>
  <c r="AZ498" i="1"/>
  <c r="AZ499" i="1"/>
  <c r="AZ500" i="1"/>
  <c r="AZ501" i="1"/>
  <c r="AZ502" i="1"/>
  <c r="AZ503" i="1"/>
  <c r="AZ504" i="1"/>
  <c r="AZ505" i="1"/>
  <c r="AZ506" i="1"/>
  <c r="AZ507" i="1"/>
  <c r="AZ508" i="1"/>
  <c r="AZ509" i="1"/>
  <c r="AZ510" i="1"/>
  <c r="AZ511" i="1"/>
  <c r="AZ512" i="1"/>
  <c r="AZ513" i="1"/>
  <c r="AZ514" i="1"/>
  <c r="AZ515" i="1"/>
  <c r="AZ516" i="1"/>
  <c r="AZ517" i="1"/>
  <c r="AZ518" i="1"/>
  <c r="AZ519" i="1"/>
  <c r="AZ520" i="1"/>
  <c r="AZ521" i="1"/>
  <c r="AZ522" i="1"/>
  <c r="AZ523" i="1"/>
  <c r="AZ524" i="1"/>
  <c r="AZ525" i="1"/>
  <c r="AZ526" i="1"/>
  <c r="AZ527" i="1"/>
  <c r="AZ528" i="1"/>
  <c r="AZ529" i="1"/>
  <c r="AZ530" i="1"/>
  <c r="AZ531" i="1"/>
  <c r="AZ532" i="1"/>
  <c r="AZ533" i="1"/>
  <c r="AZ534" i="1"/>
  <c r="AZ535" i="1"/>
  <c r="AZ536" i="1"/>
  <c r="AZ537" i="1"/>
  <c r="AZ538" i="1"/>
  <c r="AZ539" i="1"/>
  <c r="AZ540" i="1"/>
  <c r="AZ541" i="1"/>
  <c r="AZ542" i="1"/>
  <c r="AZ543" i="1"/>
  <c r="AZ544" i="1"/>
  <c r="AZ545" i="1"/>
  <c r="AZ546" i="1"/>
  <c r="AZ547" i="1"/>
  <c r="AZ548" i="1"/>
  <c r="AZ549" i="1"/>
  <c r="AZ550" i="1"/>
  <c r="AZ551" i="1"/>
  <c r="AZ552" i="1"/>
  <c r="AZ553" i="1"/>
  <c r="AZ554" i="1"/>
  <c r="AZ555" i="1"/>
  <c r="AZ556" i="1"/>
  <c r="AZ557" i="1"/>
  <c r="AZ558" i="1"/>
  <c r="AZ559" i="1"/>
  <c r="AZ560" i="1"/>
  <c r="AZ561" i="1"/>
  <c r="AZ562" i="1"/>
  <c r="AZ563" i="1"/>
  <c r="AZ564" i="1"/>
  <c r="AZ565" i="1"/>
  <c r="AZ566" i="1"/>
  <c r="AZ567" i="1"/>
  <c r="AZ568" i="1"/>
  <c r="AZ569" i="1"/>
  <c r="AZ570" i="1"/>
  <c r="AZ571" i="1"/>
  <c r="AZ572" i="1"/>
  <c r="AZ573" i="1"/>
  <c r="AZ574" i="1"/>
  <c r="AZ575" i="1"/>
  <c r="AZ576" i="1"/>
  <c r="AZ577" i="1"/>
  <c r="AZ578" i="1"/>
  <c r="AZ579" i="1"/>
  <c r="AZ580" i="1"/>
  <c r="AZ581" i="1"/>
  <c r="AZ582" i="1"/>
  <c r="AZ583" i="1"/>
  <c r="AZ584" i="1"/>
  <c r="AZ585" i="1"/>
  <c r="AZ586" i="1"/>
  <c r="AZ587" i="1"/>
  <c r="AZ588" i="1"/>
  <c r="AZ589" i="1"/>
  <c r="AZ590" i="1"/>
  <c r="AZ591" i="1"/>
  <c r="AZ592" i="1"/>
  <c r="AZ593" i="1"/>
  <c r="AZ594" i="1"/>
  <c r="AZ595" i="1"/>
  <c r="AZ596" i="1"/>
  <c r="AZ597" i="1"/>
  <c r="AZ598" i="1"/>
  <c r="AZ599" i="1"/>
  <c r="AZ600" i="1"/>
  <c r="AZ601" i="1"/>
  <c r="AZ602" i="1"/>
  <c r="AZ603" i="1"/>
  <c r="AZ604" i="1"/>
  <c r="AZ605" i="1"/>
  <c r="AZ606" i="1"/>
  <c r="AZ607" i="1"/>
  <c r="AZ608" i="1"/>
  <c r="AZ609" i="1"/>
  <c r="AZ610" i="1"/>
  <c r="AZ611" i="1"/>
  <c r="AZ612" i="1"/>
  <c r="AZ613" i="1"/>
  <c r="AZ614" i="1"/>
  <c r="AZ615" i="1"/>
  <c r="AZ616" i="1"/>
  <c r="AZ617" i="1"/>
  <c r="AZ618" i="1"/>
  <c r="AZ619" i="1"/>
  <c r="AZ620" i="1"/>
  <c r="AZ621" i="1"/>
  <c r="AZ622" i="1"/>
  <c r="AZ623" i="1"/>
  <c r="AZ624" i="1"/>
  <c r="AZ625" i="1"/>
  <c r="AZ626" i="1"/>
  <c r="AZ627" i="1"/>
  <c r="AZ628" i="1"/>
  <c r="AZ629" i="1"/>
  <c r="AZ630" i="1"/>
  <c r="AZ631" i="1"/>
  <c r="AZ632" i="1"/>
  <c r="AZ633" i="1"/>
  <c r="AZ634" i="1"/>
  <c r="AZ635" i="1"/>
  <c r="AZ636" i="1"/>
  <c r="AZ637" i="1"/>
  <c r="AZ638" i="1"/>
  <c r="AZ639" i="1"/>
  <c r="AZ640" i="1"/>
  <c r="AZ641" i="1"/>
  <c r="AZ642" i="1"/>
  <c r="AZ643" i="1"/>
  <c r="AZ644" i="1"/>
  <c r="AZ645" i="1"/>
  <c r="AZ646" i="1"/>
  <c r="AZ647" i="1"/>
  <c r="AZ648" i="1"/>
  <c r="AZ649" i="1"/>
  <c r="AZ650" i="1"/>
  <c r="AZ651" i="1"/>
  <c r="AZ652" i="1"/>
  <c r="AZ653" i="1"/>
  <c r="AZ654" i="1"/>
  <c r="AZ655" i="1"/>
  <c r="AZ656" i="1"/>
  <c r="AZ657" i="1"/>
  <c r="AZ658" i="1"/>
  <c r="AZ659" i="1"/>
  <c r="AZ660" i="1"/>
  <c r="AZ661" i="1"/>
  <c r="AZ662" i="1"/>
  <c r="AZ663" i="1"/>
  <c r="AZ664" i="1"/>
  <c r="AZ665" i="1"/>
  <c r="AZ666" i="1"/>
  <c r="AZ667" i="1"/>
  <c r="AZ668" i="1"/>
  <c r="AZ669" i="1"/>
  <c r="AZ670" i="1"/>
  <c r="AZ671" i="1"/>
  <c r="AZ672" i="1"/>
  <c r="AZ673" i="1"/>
  <c r="AZ674" i="1"/>
  <c r="AZ675" i="1"/>
  <c r="AZ676" i="1"/>
  <c r="AZ677" i="1"/>
  <c r="AZ678" i="1"/>
  <c r="AZ679" i="1"/>
  <c r="AZ680" i="1"/>
  <c r="AZ681" i="1"/>
  <c r="AZ682" i="1"/>
  <c r="AZ683" i="1"/>
  <c r="AZ684" i="1"/>
  <c r="AZ685" i="1"/>
  <c r="AZ686" i="1"/>
  <c r="AZ687" i="1"/>
  <c r="AZ688" i="1"/>
  <c r="AZ689" i="1"/>
  <c r="AZ690" i="1"/>
  <c r="AZ691" i="1"/>
  <c r="AZ692" i="1"/>
  <c r="AZ693" i="1"/>
  <c r="AZ694" i="1"/>
  <c r="AZ695" i="1"/>
  <c r="AZ696" i="1"/>
  <c r="AZ697" i="1"/>
  <c r="AZ698" i="1"/>
  <c r="AZ699" i="1"/>
  <c r="AZ700" i="1"/>
  <c r="AZ701" i="1"/>
  <c r="AZ702" i="1"/>
  <c r="AZ703" i="1"/>
  <c r="AZ704" i="1"/>
  <c r="AZ705" i="1"/>
  <c r="AZ706" i="1"/>
  <c r="AZ707" i="1"/>
  <c r="AZ708" i="1"/>
  <c r="AZ709" i="1"/>
  <c r="AZ710" i="1"/>
  <c r="AZ711" i="1"/>
  <c r="AZ712" i="1"/>
  <c r="AZ713" i="1"/>
  <c r="AZ714" i="1"/>
  <c r="AZ715" i="1"/>
  <c r="AZ716" i="1"/>
  <c r="AZ717" i="1"/>
  <c r="AZ718" i="1"/>
  <c r="AZ719" i="1"/>
  <c r="AZ720" i="1"/>
  <c r="AZ721" i="1"/>
  <c r="AZ722" i="1"/>
  <c r="AZ723" i="1"/>
  <c r="AZ724" i="1"/>
  <c r="AZ725" i="1"/>
  <c r="AZ726" i="1"/>
  <c r="AZ727" i="1"/>
  <c r="AZ728" i="1"/>
  <c r="AZ729" i="1"/>
  <c r="AZ730" i="1"/>
  <c r="AZ731" i="1"/>
  <c r="AZ732" i="1"/>
  <c r="AZ733" i="1"/>
  <c r="AZ734" i="1"/>
  <c r="AZ735" i="1"/>
  <c r="AZ736" i="1"/>
  <c r="AZ737" i="1"/>
  <c r="AZ738" i="1"/>
  <c r="AZ739" i="1"/>
  <c r="AZ740" i="1"/>
  <c r="AZ741" i="1"/>
  <c r="AZ742" i="1"/>
  <c r="AZ743" i="1"/>
  <c r="AZ744" i="1"/>
  <c r="AZ745" i="1"/>
  <c r="AZ746" i="1"/>
  <c r="AZ747" i="1"/>
  <c r="AZ748" i="1"/>
  <c r="AZ749" i="1"/>
  <c r="AZ750" i="1"/>
  <c r="AZ751" i="1"/>
  <c r="AZ752" i="1"/>
  <c r="AZ753" i="1"/>
  <c r="AZ754" i="1"/>
  <c r="AZ755" i="1"/>
  <c r="AZ756" i="1"/>
  <c r="AZ757" i="1"/>
  <c r="AZ758" i="1"/>
  <c r="AZ759" i="1"/>
  <c r="AZ760" i="1"/>
  <c r="AZ761" i="1"/>
  <c r="AZ762" i="1"/>
  <c r="AZ763" i="1"/>
  <c r="AZ764" i="1"/>
  <c r="AZ765" i="1"/>
  <c r="AZ766" i="1"/>
  <c r="AZ767" i="1"/>
  <c r="AZ768" i="1"/>
  <c r="AZ769" i="1"/>
  <c r="AZ770" i="1"/>
  <c r="AZ771" i="1"/>
  <c r="AZ772" i="1"/>
  <c r="AZ773" i="1"/>
  <c r="AZ774" i="1"/>
  <c r="AZ775" i="1"/>
  <c r="AZ776" i="1"/>
  <c r="AZ777" i="1"/>
  <c r="AZ778" i="1"/>
  <c r="AZ779" i="1"/>
  <c r="AZ780" i="1"/>
  <c r="AZ781" i="1"/>
  <c r="AZ782" i="1"/>
  <c r="AZ783" i="1"/>
  <c r="AZ784" i="1"/>
  <c r="AZ785" i="1"/>
  <c r="AZ786" i="1"/>
  <c r="AZ787" i="1"/>
  <c r="AZ788" i="1"/>
  <c r="AZ789" i="1"/>
  <c r="AZ790" i="1"/>
  <c r="AZ791" i="1"/>
  <c r="AZ792" i="1"/>
  <c r="AZ793" i="1"/>
  <c r="AZ794" i="1"/>
  <c r="AZ795" i="1"/>
  <c r="AZ796" i="1"/>
  <c r="AZ797" i="1"/>
  <c r="AZ798" i="1"/>
  <c r="AZ799" i="1"/>
  <c r="AZ800" i="1"/>
  <c r="AZ801" i="1"/>
  <c r="AZ802" i="1"/>
  <c r="AZ803" i="1"/>
  <c r="AZ804" i="1"/>
  <c r="AZ805" i="1"/>
  <c r="AZ806" i="1"/>
  <c r="AZ807" i="1"/>
  <c r="AZ808" i="1"/>
  <c r="AZ809" i="1"/>
  <c r="AZ810" i="1"/>
  <c r="AZ811" i="1"/>
  <c r="AZ812" i="1"/>
  <c r="AZ813" i="1"/>
  <c r="AZ814" i="1"/>
  <c r="AZ815" i="1"/>
  <c r="AZ816" i="1"/>
  <c r="AZ817" i="1"/>
  <c r="AZ818" i="1"/>
  <c r="AZ819" i="1"/>
  <c r="AZ820" i="1"/>
  <c r="AZ821" i="1"/>
  <c r="AZ822" i="1"/>
  <c r="AZ823" i="1"/>
  <c r="AZ824" i="1"/>
  <c r="AZ825" i="1"/>
  <c r="AZ826" i="1"/>
  <c r="AZ827" i="1"/>
  <c r="AZ828" i="1"/>
  <c r="AZ829" i="1"/>
  <c r="AZ830" i="1"/>
  <c r="AZ831" i="1"/>
  <c r="AZ832" i="1"/>
  <c r="AZ833" i="1"/>
  <c r="AZ834" i="1"/>
  <c r="AZ835" i="1"/>
  <c r="AZ836" i="1"/>
  <c r="AZ837" i="1"/>
  <c r="AZ838" i="1"/>
  <c r="AZ839" i="1"/>
  <c r="AZ840" i="1"/>
  <c r="AZ841" i="1"/>
  <c r="AZ842" i="1"/>
  <c r="AZ843" i="1"/>
  <c r="AZ844" i="1"/>
  <c r="AZ845" i="1"/>
  <c r="AZ846" i="1"/>
  <c r="AZ847" i="1"/>
  <c r="AZ848" i="1"/>
  <c r="AZ849" i="1"/>
  <c r="AZ850" i="1"/>
  <c r="AZ851" i="1"/>
  <c r="AZ852" i="1"/>
  <c r="AZ853" i="1"/>
  <c r="AZ854" i="1"/>
  <c r="AZ855" i="1"/>
  <c r="AZ856" i="1"/>
  <c r="AZ857" i="1"/>
  <c r="AZ858" i="1"/>
  <c r="AZ859" i="1"/>
  <c r="AZ860" i="1"/>
  <c r="AZ861" i="1"/>
  <c r="AZ862" i="1"/>
  <c r="AZ863" i="1"/>
  <c r="AZ864" i="1"/>
  <c r="AZ865" i="1"/>
  <c r="AZ866" i="1"/>
  <c r="AZ867" i="1"/>
  <c r="AZ868" i="1"/>
  <c r="AZ869" i="1"/>
  <c r="AZ870" i="1"/>
  <c r="AZ871" i="1"/>
  <c r="AZ872" i="1"/>
  <c r="AZ873" i="1"/>
  <c r="AZ874" i="1"/>
  <c r="AZ875" i="1"/>
  <c r="AZ876" i="1"/>
  <c r="AZ877" i="1"/>
  <c r="AZ878" i="1"/>
  <c r="AZ879" i="1"/>
  <c r="AZ880" i="1"/>
  <c r="AZ881" i="1"/>
  <c r="AZ882" i="1"/>
  <c r="AZ883" i="1"/>
  <c r="AZ884" i="1"/>
  <c r="AZ885" i="1"/>
  <c r="AZ886" i="1"/>
  <c r="AZ887" i="1"/>
  <c r="AZ888" i="1"/>
  <c r="AZ889" i="1"/>
  <c r="AZ890" i="1"/>
  <c r="AZ891" i="1"/>
  <c r="AZ892" i="1"/>
  <c r="AZ893" i="1"/>
  <c r="AZ894" i="1"/>
  <c r="AZ895" i="1"/>
  <c r="AZ896" i="1"/>
  <c r="AZ897" i="1"/>
  <c r="AZ898" i="1"/>
  <c r="AZ899" i="1"/>
  <c r="AZ900" i="1"/>
  <c r="AZ901" i="1"/>
  <c r="AZ902" i="1"/>
  <c r="AZ903" i="1"/>
  <c r="AZ904" i="1"/>
  <c r="AZ905" i="1"/>
  <c r="AZ906" i="1"/>
  <c r="AZ907" i="1"/>
  <c r="AZ908" i="1"/>
  <c r="AZ909" i="1"/>
  <c r="AZ910" i="1"/>
  <c r="AZ911" i="1"/>
  <c r="AZ912" i="1"/>
  <c r="AZ913" i="1"/>
  <c r="AZ914" i="1"/>
  <c r="AZ915" i="1"/>
  <c r="AZ916" i="1"/>
  <c r="AZ917" i="1"/>
  <c r="AZ918" i="1"/>
  <c r="AZ919" i="1"/>
  <c r="AZ920" i="1"/>
  <c r="AZ921" i="1"/>
  <c r="AZ922" i="1"/>
  <c r="AZ923" i="1"/>
  <c r="AZ924" i="1"/>
  <c r="AZ925" i="1"/>
  <c r="AZ926" i="1"/>
  <c r="AZ927" i="1"/>
  <c r="AZ928" i="1"/>
  <c r="AZ929" i="1"/>
  <c r="AZ930" i="1"/>
  <c r="AZ931" i="1"/>
  <c r="AZ932" i="1"/>
  <c r="AZ933" i="1"/>
  <c r="AZ934" i="1"/>
  <c r="AZ935" i="1"/>
  <c r="AZ936" i="1"/>
  <c r="AZ937" i="1"/>
  <c r="AZ938" i="1"/>
  <c r="AZ939" i="1"/>
  <c r="AZ940" i="1"/>
  <c r="AZ941" i="1"/>
  <c r="AZ942" i="1"/>
  <c r="AZ943" i="1"/>
  <c r="AZ944" i="1"/>
  <c r="AZ945" i="1"/>
  <c r="AZ946" i="1"/>
  <c r="AZ947" i="1"/>
  <c r="AZ948" i="1"/>
  <c r="AZ949" i="1"/>
  <c r="AZ950" i="1"/>
  <c r="AZ951" i="1"/>
  <c r="AZ952" i="1"/>
  <c r="AZ953" i="1"/>
  <c r="AZ954" i="1"/>
  <c r="AZ955" i="1"/>
  <c r="AZ956" i="1"/>
  <c r="AZ957" i="1"/>
  <c r="AZ958" i="1"/>
  <c r="AZ959" i="1"/>
  <c r="AZ960" i="1"/>
  <c r="AZ961" i="1"/>
  <c r="AZ962" i="1"/>
  <c r="AZ963" i="1"/>
  <c r="AZ964" i="1"/>
  <c r="AZ965" i="1"/>
  <c r="AZ966" i="1"/>
  <c r="AZ967" i="1"/>
  <c r="AZ968" i="1"/>
  <c r="AZ969" i="1"/>
  <c r="AZ970" i="1"/>
  <c r="AZ971" i="1"/>
  <c r="AZ972" i="1"/>
  <c r="AZ973" i="1"/>
  <c r="AZ974" i="1"/>
  <c r="AZ975" i="1"/>
  <c r="AZ976" i="1"/>
  <c r="AZ977" i="1"/>
  <c r="AZ978" i="1"/>
  <c r="AZ979" i="1"/>
  <c r="AZ980" i="1"/>
  <c r="AZ981" i="1"/>
  <c r="AZ982" i="1"/>
  <c r="AZ983" i="1"/>
  <c r="AZ984" i="1"/>
  <c r="AZ985" i="1"/>
  <c r="AZ986" i="1"/>
  <c r="AZ987" i="1"/>
  <c r="AZ988" i="1"/>
  <c r="AZ989" i="1"/>
  <c r="AZ990" i="1"/>
  <c r="AZ991" i="1"/>
  <c r="AZ992" i="1"/>
  <c r="AZ993" i="1"/>
  <c r="AZ994" i="1"/>
  <c r="AZ995" i="1"/>
  <c r="AZ996" i="1"/>
  <c r="AZ997" i="1"/>
  <c r="AZ998" i="1"/>
  <c r="AZ999" i="1"/>
  <c r="AZ1000" i="1"/>
  <c r="AZ1001" i="1"/>
  <c r="AZ1002" i="1"/>
  <c r="AZ1003" i="1"/>
  <c r="AZ1004" i="1"/>
  <c r="AZ1005" i="1"/>
  <c r="AZ1006" i="1"/>
  <c r="AZ1007" i="1"/>
  <c r="AZ1008" i="1"/>
  <c r="AZ1009" i="1"/>
  <c r="AZ1010" i="1"/>
  <c r="AZ1011" i="1"/>
  <c r="AZ1012" i="1"/>
  <c r="AZ1013" i="1"/>
  <c r="AZ1014" i="1"/>
  <c r="AZ1015" i="1"/>
  <c r="AZ1016" i="1"/>
  <c r="AZ1017" i="1"/>
  <c r="AZ1018" i="1"/>
  <c r="AZ1019" i="1"/>
  <c r="AZ1020" i="1"/>
  <c r="AZ1021" i="1"/>
  <c r="AZ1022" i="1"/>
  <c r="AZ1023" i="1"/>
  <c r="AZ1024" i="1"/>
  <c r="AZ1025" i="1"/>
  <c r="AZ1026" i="1"/>
  <c r="AZ1027" i="1"/>
  <c r="AZ1028" i="1"/>
  <c r="AZ1029" i="1"/>
  <c r="AZ1030" i="1"/>
  <c r="AZ1031" i="1"/>
  <c r="AZ1032" i="1"/>
  <c r="AZ1033" i="1"/>
  <c r="AZ1034" i="1"/>
  <c r="AZ1035" i="1"/>
  <c r="AZ1036" i="1"/>
  <c r="AZ1037" i="1"/>
  <c r="AZ1038" i="1"/>
  <c r="AZ1039" i="1"/>
  <c r="AZ1040" i="1"/>
  <c r="AZ1041" i="1"/>
  <c r="AZ1042" i="1"/>
  <c r="AZ1043" i="1"/>
  <c r="AZ1044" i="1"/>
  <c r="AZ1045" i="1"/>
  <c r="AZ1046" i="1"/>
  <c r="AZ1047" i="1"/>
  <c r="AZ1048" i="1"/>
  <c r="AZ1049" i="1"/>
  <c r="AZ1050" i="1"/>
  <c r="AZ1051" i="1"/>
  <c r="AZ1052" i="1"/>
  <c r="AZ1053" i="1"/>
  <c r="AZ1054" i="1"/>
  <c r="AZ1055" i="1"/>
  <c r="AZ1056" i="1"/>
  <c r="AZ1057" i="1"/>
  <c r="AZ1058" i="1"/>
  <c r="AZ1059" i="1"/>
  <c r="AZ1060" i="1"/>
  <c r="AZ1061" i="1"/>
  <c r="AZ1062" i="1"/>
  <c r="AZ1063" i="1"/>
  <c r="AZ1064" i="1"/>
  <c r="AZ1065" i="1"/>
  <c r="AZ1066" i="1"/>
  <c r="AZ1067" i="1"/>
  <c r="AZ1068" i="1"/>
  <c r="AZ1069" i="1"/>
  <c r="AZ1070" i="1"/>
  <c r="AZ1071" i="1"/>
  <c r="AZ1072" i="1"/>
  <c r="AZ1073" i="1"/>
  <c r="AZ1074" i="1"/>
  <c r="AZ1075" i="1"/>
  <c r="AZ1076" i="1"/>
  <c r="AZ1077" i="1"/>
  <c r="AZ1078" i="1"/>
  <c r="AZ1079" i="1"/>
  <c r="AZ1080" i="1"/>
  <c r="AZ1081" i="1"/>
  <c r="AZ1082" i="1"/>
  <c r="AZ1083" i="1"/>
  <c r="AZ1084" i="1"/>
  <c r="AZ1085" i="1"/>
  <c r="AZ1086" i="1"/>
  <c r="AZ1087" i="1"/>
  <c r="AZ1088" i="1"/>
  <c r="AZ1089" i="1"/>
  <c r="AZ1090" i="1"/>
  <c r="AZ1091" i="1"/>
  <c r="AZ1092" i="1"/>
  <c r="AZ1093" i="1"/>
  <c r="AZ1094" i="1"/>
  <c r="AZ1095" i="1"/>
  <c r="AZ1096" i="1"/>
  <c r="AZ1097" i="1"/>
  <c r="AZ1098" i="1"/>
  <c r="AZ1099" i="1"/>
  <c r="AZ1100" i="1"/>
  <c r="AZ1101" i="1"/>
  <c r="AZ1102" i="1"/>
  <c r="AZ1103" i="1"/>
  <c r="AZ1104" i="1"/>
  <c r="AZ1105" i="1"/>
  <c r="AZ1106" i="1"/>
  <c r="AZ1107" i="1"/>
  <c r="AZ1108" i="1"/>
  <c r="AZ1109" i="1"/>
  <c r="AZ1110" i="1"/>
  <c r="AZ1111" i="1"/>
  <c r="AZ1112" i="1"/>
  <c r="AZ1113" i="1"/>
  <c r="AZ1114" i="1"/>
  <c r="AZ1115" i="1"/>
  <c r="AZ1116" i="1"/>
  <c r="AZ1117" i="1"/>
  <c r="AZ1118" i="1"/>
  <c r="AZ1119" i="1"/>
  <c r="AZ1120" i="1"/>
  <c r="AZ1121" i="1"/>
  <c r="AZ1122" i="1"/>
  <c r="AZ1123" i="1"/>
  <c r="AZ1124" i="1"/>
  <c r="AZ1125" i="1"/>
  <c r="AZ1126" i="1"/>
  <c r="AZ1127" i="1"/>
  <c r="AZ1128" i="1"/>
  <c r="AZ1129" i="1"/>
  <c r="AZ1130" i="1"/>
  <c r="AZ1131" i="1"/>
  <c r="AZ1132" i="1"/>
  <c r="AZ1133" i="1"/>
  <c r="AZ1134" i="1"/>
  <c r="AZ1135" i="1"/>
  <c r="AZ1136" i="1"/>
  <c r="AZ1137" i="1"/>
  <c r="AZ1138" i="1"/>
  <c r="AZ1139" i="1"/>
  <c r="AZ1140" i="1"/>
  <c r="AZ1141" i="1"/>
  <c r="AZ1142" i="1"/>
  <c r="AZ1143" i="1"/>
  <c r="AZ1144" i="1"/>
  <c r="AZ1145" i="1"/>
  <c r="AZ1146" i="1"/>
  <c r="AZ1147" i="1"/>
  <c r="AZ1148" i="1"/>
  <c r="AZ1149" i="1"/>
  <c r="AZ1150" i="1"/>
  <c r="AZ1151" i="1"/>
  <c r="AZ1152" i="1"/>
  <c r="AZ1153" i="1"/>
  <c r="AZ1154" i="1"/>
  <c r="AZ1155" i="1"/>
  <c r="AZ1156" i="1"/>
  <c r="AZ1157" i="1"/>
  <c r="AZ1158" i="1"/>
  <c r="AZ1159" i="1"/>
  <c r="AZ1160" i="1"/>
  <c r="AZ1161" i="1"/>
  <c r="AZ1162" i="1"/>
  <c r="AZ1163" i="1"/>
  <c r="AZ1164" i="1"/>
  <c r="AZ1165" i="1"/>
  <c r="AZ1166" i="1"/>
  <c r="AZ1167" i="1"/>
  <c r="AZ1168" i="1"/>
  <c r="AZ1169" i="1"/>
  <c r="AZ1170" i="1"/>
  <c r="AZ1171" i="1"/>
  <c r="AZ1172" i="1"/>
  <c r="AZ1173" i="1"/>
  <c r="AZ1174" i="1"/>
  <c r="AZ1175" i="1"/>
  <c r="AZ1176" i="1"/>
  <c r="AZ1177" i="1"/>
  <c r="AZ1178" i="1"/>
  <c r="AZ1179" i="1"/>
  <c r="AZ1180" i="1"/>
  <c r="AZ1181" i="1"/>
  <c r="AZ1182" i="1"/>
  <c r="AZ1183" i="1"/>
  <c r="AZ1184" i="1"/>
  <c r="AZ1185" i="1"/>
  <c r="AZ1186" i="1"/>
  <c r="AZ1187" i="1"/>
  <c r="AZ1188" i="1"/>
  <c r="AZ1189" i="1"/>
  <c r="AZ1190" i="1"/>
  <c r="AZ1191" i="1"/>
  <c r="AZ1192" i="1"/>
  <c r="AZ1193" i="1"/>
  <c r="AZ1194" i="1"/>
  <c r="AZ1195" i="1"/>
  <c r="AZ1196" i="1"/>
  <c r="AZ1197" i="1"/>
  <c r="AZ1198" i="1"/>
  <c r="AZ1199" i="1"/>
  <c r="AZ1200" i="1"/>
  <c r="AZ1201" i="1"/>
  <c r="AZ1202" i="1"/>
  <c r="AZ1203" i="1"/>
  <c r="AZ1204" i="1"/>
  <c r="AZ1205" i="1"/>
  <c r="AZ1206" i="1"/>
  <c r="AZ1207" i="1"/>
  <c r="AZ1208" i="1"/>
  <c r="AZ1209" i="1"/>
  <c r="AZ1210" i="1"/>
  <c r="AZ1211" i="1"/>
  <c r="AZ1212" i="1"/>
  <c r="AZ1213" i="1"/>
  <c r="AZ1214" i="1"/>
  <c r="AZ1215" i="1"/>
  <c r="AZ1216" i="1"/>
  <c r="AZ1217" i="1"/>
  <c r="AZ1218" i="1"/>
  <c r="AZ1219" i="1"/>
  <c r="AZ1220" i="1"/>
  <c r="AZ1221" i="1"/>
  <c r="AZ1222" i="1"/>
  <c r="AZ1223" i="1"/>
  <c r="AZ1224" i="1"/>
  <c r="AZ1225" i="1"/>
  <c r="AZ1226" i="1"/>
  <c r="AZ1227" i="1"/>
  <c r="AZ1228" i="1"/>
  <c r="AZ1229" i="1"/>
  <c r="AZ1230" i="1"/>
  <c r="AZ1231" i="1"/>
  <c r="AZ1232" i="1"/>
  <c r="AZ1233" i="1"/>
  <c r="AZ1234" i="1"/>
  <c r="AZ1235" i="1"/>
  <c r="AZ1236" i="1"/>
  <c r="AZ1237" i="1"/>
  <c r="AZ1238" i="1"/>
  <c r="AZ1239" i="1"/>
  <c r="AZ1240" i="1"/>
  <c r="AZ1241" i="1"/>
  <c r="AZ1242" i="1"/>
  <c r="AZ1243" i="1"/>
  <c r="AZ1244" i="1"/>
  <c r="AZ1245" i="1"/>
  <c r="AZ1246" i="1"/>
  <c r="AZ1247" i="1"/>
  <c r="AZ1248" i="1"/>
  <c r="AZ1249" i="1"/>
  <c r="AZ1250" i="1"/>
  <c r="AZ1251" i="1"/>
  <c r="AZ1252" i="1"/>
  <c r="AZ1253" i="1"/>
  <c r="AZ1254" i="1"/>
  <c r="AZ1255" i="1"/>
  <c r="AZ1256" i="1"/>
  <c r="AZ1257" i="1"/>
  <c r="AZ1258" i="1"/>
  <c r="AZ1259" i="1"/>
  <c r="AZ1260" i="1"/>
  <c r="AZ1261" i="1"/>
  <c r="AZ1262" i="1"/>
  <c r="AZ1263" i="1"/>
  <c r="AZ1264" i="1"/>
  <c r="AZ1265" i="1"/>
  <c r="AZ1266" i="1"/>
  <c r="AZ1267" i="1"/>
  <c r="AZ1268" i="1"/>
  <c r="AZ1269" i="1"/>
  <c r="AZ1270" i="1"/>
  <c r="AZ1271" i="1"/>
  <c r="AZ1272" i="1"/>
  <c r="AZ1273" i="1"/>
  <c r="AZ1274" i="1"/>
  <c r="AZ1275" i="1"/>
  <c r="AZ1276" i="1"/>
  <c r="AZ1277" i="1"/>
  <c r="AZ1278" i="1"/>
  <c r="AZ1279" i="1"/>
  <c r="AZ1280" i="1"/>
  <c r="AZ1281" i="1"/>
  <c r="AZ1282" i="1"/>
  <c r="AZ1283" i="1"/>
  <c r="AZ1284" i="1"/>
  <c r="AZ1285" i="1"/>
  <c r="AZ1286" i="1"/>
  <c r="AZ1287" i="1"/>
  <c r="AZ1288" i="1"/>
  <c r="AZ1289" i="1"/>
  <c r="AZ1290" i="1"/>
  <c r="AZ1291" i="1"/>
  <c r="AZ1292" i="1"/>
  <c r="AZ1293" i="1"/>
  <c r="AZ1294" i="1"/>
  <c r="AZ1295" i="1"/>
  <c r="AZ1296" i="1"/>
  <c r="AZ1297" i="1"/>
  <c r="AZ1298" i="1"/>
  <c r="AZ1299" i="1"/>
  <c r="AZ1300" i="1"/>
  <c r="AZ1301" i="1"/>
  <c r="AZ1302" i="1"/>
  <c r="AZ1303" i="1"/>
  <c r="AZ1304" i="1"/>
  <c r="AZ1305" i="1"/>
  <c r="AZ1306" i="1"/>
  <c r="AZ1307" i="1"/>
  <c r="AZ1308" i="1"/>
  <c r="AZ1309" i="1"/>
  <c r="AZ1310" i="1"/>
  <c r="AZ1311" i="1"/>
  <c r="AZ1312" i="1"/>
  <c r="AZ1313" i="1"/>
  <c r="AZ1314" i="1"/>
  <c r="AZ1315" i="1"/>
  <c r="AZ1316" i="1"/>
  <c r="AZ1317" i="1"/>
  <c r="AZ1318" i="1"/>
  <c r="AZ1319" i="1"/>
  <c r="AZ1320" i="1"/>
  <c r="AZ1321" i="1"/>
  <c r="AZ1322" i="1"/>
  <c r="AZ1323" i="1"/>
  <c r="AZ1324" i="1"/>
  <c r="AZ1325" i="1"/>
  <c r="AZ1326" i="1"/>
  <c r="AZ1327" i="1"/>
  <c r="AZ1328" i="1"/>
  <c r="AZ1329" i="1"/>
  <c r="AZ1330" i="1"/>
  <c r="AZ1331" i="1"/>
  <c r="AZ1332" i="1"/>
  <c r="AZ1333" i="1"/>
  <c r="AZ1334" i="1"/>
  <c r="AZ1335" i="1"/>
  <c r="AZ1336" i="1"/>
  <c r="AZ1337" i="1"/>
  <c r="AZ1338" i="1"/>
  <c r="AZ1339" i="1"/>
  <c r="AZ1340" i="1"/>
  <c r="AZ1341" i="1"/>
  <c r="AZ1342" i="1"/>
  <c r="AZ1343" i="1"/>
  <c r="AZ1344" i="1"/>
  <c r="AZ1345" i="1"/>
  <c r="AZ1346" i="1"/>
  <c r="AZ1347" i="1"/>
  <c r="AZ1348" i="1"/>
  <c r="AZ1349" i="1"/>
  <c r="AZ1350" i="1"/>
  <c r="AZ1351" i="1"/>
  <c r="AZ1352" i="1"/>
  <c r="AZ1353" i="1"/>
  <c r="AZ1354" i="1"/>
  <c r="AZ1355" i="1"/>
  <c r="AZ1356" i="1"/>
  <c r="AZ1357" i="1"/>
  <c r="AZ1358" i="1"/>
  <c r="AZ1359" i="1"/>
  <c r="AZ1360" i="1"/>
  <c r="AZ1361" i="1"/>
  <c r="AZ1362" i="1"/>
  <c r="AZ1363" i="1"/>
  <c r="AZ1364" i="1"/>
  <c r="AZ1365" i="1"/>
  <c r="AZ1366" i="1"/>
  <c r="AZ1367" i="1"/>
  <c r="AZ1368" i="1"/>
  <c r="AZ1369" i="1"/>
  <c r="AZ1370" i="1"/>
  <c r="AZ1371" i="1"/>
  <c r="AZ1372" i="1"/>
  <c r="AZ1373" i="1"/>
  <c r="AZ1374" i="1"/>
  <c r="AZ1375" i="1"/>
  <c r="AZ1376" i="1"/>
  <c r="AZ1377" i="1"/>
  <c r="AZ1378" i="1"/>
  <c r="AZ1379" i="1"/>
  <c r="AZ1380" i="1"/>
  <c r="AZ1381" i="1"/>
  <c r="AZ1382" i="1"/>
  <c r="AZ1383" i="1"/>
  <c r="AZ1384" i="1"/>
  <c r="AZ1385" i="1"/>
  <c r="AZ1386" i="1"/>
  <c r="AZ1387" i="1"/>
  <c r="AZ1388" i="1"/>
  <c r="AZ1389" i="1"/>
  <c r="AZ1390" i="1"/>
  <c r="AZ1391" i="1"/>
  <c r="AV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V1315" i="1"/>
  <c r="AV1316" i="1"/>
  <c r="AV1317" i="1"/>
  <c r="AV1318" i="1"/>
  <c r="AV1319" i="1"/>
  <c r="AV1320" i="1"/>
  <c r="AV1321" i="1"/>
  <c r="AV1322" i="1"/>
  <c r="AV1323" i="1"/>
  <c r="AV1324" i="1"/>
  <c r="AV1325" i="1"/>
  <c r="AV1326" i="1"/>
  <c r="AV1327" i="1"/>
  <c r="AV1328" i="1"/>
  <c r="AV1329" i="1"/>
  <c r="AV1330" i="1"/>
  <c r="AV1331" i="1"/>
  <c r="AV1332" i="1"/>
  <c r="AV1333" i="1"/>
  <c r="AV1334" i="1"/>
  <c r="AV1335" i="1"/>
  <c r="AV1336" i="1"/>
  <c r="AV1337" i="1"/>
  <c r="AV1338" i="1"/>
  <c r="AV1339" i="1"/>
  <c r="AV1340" i="1"/>
  <c r="AV1341" i="1"/>
  <c r="AV1342" i="1"/>
  <c r="AV1343" i="1"/>
  <c r="AV1344" i="1"/>
  <c r="AV1345" i="1"/>
  <c r="AV1346" i="1"/>
  <c r="AV1347" i="1"/>
  <c r="AV1348" i="1"/>
  <c r="AV1349" i="1"/>
  <c r="AV1350" i="1"/>
  <c r="AV1351" i="1"/>
  <c r="AV1352" i="1"/>
  <c r="AV1353" i="1"/>
  <c r="AV1354" i="1"/>
  <c r="AV1355" i="1"/>
  <c r="AV1356" i="1"/>
  <c r="AV1357" i="1"/>
  <c r="AV1358" i="1"/>
  <c r="AV1359" i="1"/>
  <c r="AV1360" i="1"/>
  <c r="AV1361" i="1"/>
  <c r="AV1362" i="1"/>
  <c r="AV1363" i="1"/>
  <c r="AV1364" i="1"/>
  <c r="AV1365" i="1"/>
  <c r="AV1366" i="1"/>
  <c r="AV1367" i="1"/>
  <c r="AV1368" i="1"/>
  <c r="AV1369" i="1"/>
  <c r="AV1370" i="1"/>
  <c r="AV1371" i="1"/>
  <c r="AV1372" i="1"/>
  <c r="AV1373" i="1"/>
  <c r="AV1374" i="1"/>
  <c r="AV1375" i="1"/>
  <c r="AV1376" i="1"/>
  <c r="AV1377" i="1"/>
  <c r="AV1378" i="1"/>
  <c r="AV1379" i="1"/>
  <c r="AV1380" i="1"/>
  <c r="AV1381" i="1"/>
  <c r="AV1382" i="1"/>
  <c r="AV1383" i="1"/>
  <c r="AV1384" i="1"/>
  <c r="AV1385" i="1"/>
  <c r="AV1386" i="1"/>
  <c r="AV1387" i="1"/>
  <c r="AV1388" i="1"/>
  <c r="AV1389" i="1"/>
  <c r="AV1390" i="1"/>
  <c r="AV1391" i="1"/>
  <c r="AR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AR1315" i="1"/>
  <c r="AR1316" i="1"/>
  <c r="AR1317" i="1"/>
  <c r="AR1318" i="1"/>
  <c r="AR1319" i="1"/>
  <c r="AR1320" i="1"/>
  <c r="AR1321" i="1"/>
  <c r="AR1322" i="1"/>
  <c r="AR1323" i="1"/>
  <c r="AR1324" i="1"/>
  <c r="AR1325" i="1"/>
  <c r="AR1326" i="1"/>
  <c r="AR1327" i="1"/>
  <c r="AR1328" i="1"/>
  <c r="AR1329" i="1"/>
  <c r="AR1330" i="1"/>
  <c r="AR1331" i="1"/>
  <c r="AR1332" i="1"/>
  <c r="AR1333" i="1"/>
  <c r="AR1334" i="1"/>
  <c r="AR1335" i="1"/>
  <c r="AR1336" i="1"/>
  <c r="AR1337" i="1"/>
  <c r="AR1338" i="1"/>
  <c r="AR1339" i="1"/>
  <c r="AR1340" i="1"/>
  <c r="AR1341" i="1"/>
  <c r="AR1342" i="1"/>
  <c r="AR1343" i="1"/>
  <c r="AR1344" i="1"/>
  <c r="AR1345" i="1"/>
  <c r="AR1346" i="1"/>
  <c r="AR1347" i="1"/>
  <c r="AR1348" i="1"/>
  <c r="AR1349" i="1"/>
  <c r="AR1350" i="1"/>
  <c r="AR1351" i="1"/>
  <c r="AR1352" i="1"/>
  <c r="AR1353" i="1"/>
  <c r="AR1354" i="1"/>
  <c r="AR1355" i="1"/>
  <c r="AR1356" i="1"/>
  <c r="AR1357" i="1"/>
  <c r="AR1358" i="1"/>
  <c r="AR1359" i="1"/>
  <c r="AR1360" i="1"/>
  <c r="AR1361" i="1"/>
  <c r="AR1362" i="1"/>
  <c r="AR1363" i="1"/>
  <c r="AR1364" i="1"/>
  <c r="AR1365" i="1"/>
  <c r="AR1366" i="1"/>
  <c r="AR1367" i="1"/>
  <c r="AR1368" i="1"/>
  <c r="AR1369" i="1"/>
  <c r="AR1370" i="1"/>
  <c r="AR1371" i="1"/>
  <c r="AR1372" i="1"/>
  <c r="AR1373" i="1"/>
  <c r="AR1374" i="1"/>
  <c r="AR1375" i="1"/>
  <c r="AR1376" i="1"/>
  <c r="AR1377" i="1"/>
  <c r="AR1378" i="1"/>
  <c r="AR1379" i="1"/>
  <c r="AR1380" i="1"/>
  <c r="AR1381" i="1"/>
  <c r="AR1382" i="1"/>
  <c r="AR1383" i="1"/>
  <c r="AR1384" i="1"/>
  <c r="AR1385" i="1"/>
  <c r="AR1386" i="1"/>
  <c r="AR1387" i="1"/>
  <c r="AR1388" i="1"/>
  <c r="AR1389" i="1"/>
  <c r="AR1390" i="1"/>
  <c r="AR1391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AN1315" i="1"/>
  <c r="AN1316" i="1"/>
  <c r="AN1317" i="1"/>
  <c r="AN1318" i="1"/>
  <c r="AN1319" i="1"/>
  <c r="AN1320" i="1"/>
  <c r="AN1321" i="1"/>
  <c r="AN1322" i="1"/>
  <c r="AN1323" i="1"/>
  <c r="AN1324" i="1"/>
  <c r="AN1325" i="1"/>
  <c r="AN1326" i="1"/>
  <c r="AN1327" i="1"/>
  <c r="AN1328" i="1"/>
  <c r="AN1329" i="1"/>
  <c r="AN1330" i="1"/>
  <c r="AN1331" i="1"/>
  <c r="AN1332" i="1"/>
  <c r="AN1333" i="1"/>
  <c r="AN1334" i="1"/>
  <c r="AN1335" i="1"/>
  <c r="AN1336" i="1"/>
  <c r="AN1337" i="1"/>
  <c r="AN1338" i="1"/>
  <c r="AN1339" i="1"/>
  <c r="AN1340" i="1"/>
  <c r="AN1341" i="1"/>
  <c r="AN1342" i="1"/>
  <c r="AN1343" i="1"/>
  <c r="AN1344" i="1"/>
  <c r="AN1345" i="1"/>
  <c r="AN1346" i="1"/>
  <c r="AN1347" i="1"/>
  <c r="AN1348" i="1"/>
  <c r="AN1349" i="1"/>
  <c r="AN1350" i="1"/>
  <c r="AN1351" i="1"/>
  <c r="AN1352" i="1"/>
  <c r="AN1353" i="1"/>
  <c r="AN1354" i="1"/>
  <c r="AN1355" i="1"/>
  <c r="AN1356" i="1"/>
  <c r="AN1357" i="1"/>
  <c r="AN1358" i="1"/>
  <c r="AN1359" i="1"/>
  <c r="AN1360" i="1"/>
  <c r="AN1361" i="1"/>
  <c r="AN1362" i="1"/>
  <c r="AN1363" i="1"/>
  <c r="AN1364" i="1"/>
  <c r="AN1365" i="1"/>
  <c r="AN1366" i="1"/>
  <c r="AN1367" i="1"/>
  <c r="AN1368" i="1"/>
  <c r="AN1369" i="1"/>
  <c r="AN1370" i="1"/>
  <c r="AN1371" i="1"/>
  <c r="AN1372" i="1"/>
  <c r="AN1373" i="1"/>
  <c r="AN1374" i="1"/>
  <c r="AN1375" i="1"/>
  <c r="AN1376" i="1"/>
  <c r="AN1377" i="1"/>
  <c r="AN1378" i="1"/>
  <c r="AN1379" i="1"/>
  <c r="AN1380" i="1"/>
  <c r="AN1381" i="1"/>
  <c r="AN1382" i="1"/>
  <c r="AN1383" i="1"/>
  <c r="AN1384" i="1"/>
  <c r="AN1385" i="1"/>
  <c r="AN1386" i="1"/>
  <c r="AN1387" i="1"/>
  <c r="AN1388" i="1"/>
  <c r="AN1389" i="1"/>
  <c r="AN1390" i="1"/>
  <c r="AN1391" i="1"/>
  <c r="AJ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J849" i="1"/>
  <c r="AJ850" i="1"/>
  <c r="AJ851" i="1"/>
  <c r="AJ852" i="1"/>
  <c r="AJ853" i="1"/>
  <c r="AJ854" i="1"/>
  <c r="AJ855" i="1"/>
  <c r="AJ856" i="1"/>
  <c r="AJ857" i="1"/>
  <c r="AJ858" i="1"/>
  <c r="AJ859" i="1"/>
  <c r="AJ860" i="1"/>
  <c r="AJ861" i="1"/>
  <c r="AJ862" i="1"/>
  <c r="AJ863" i="1"/>
  <c r="AJ864" i="1"/>
  <c r="AJ865" i="1"/>
  <c r="AJ866" i="1"/>
  <c r="AJ867" i="1"/>
  <c r="AJ868" i="1"/>
  <c r="AJ869" i="1"/>
  <c r="AJ870" i="1"/>
  <c r="AJ871" i="1"/>
  <c r="AJ872" i="1"/>
  <c r="AJ873" i="1"/>
  <c r="AJ874" i="1"/>
  <c r="AJ875" i="1"/>
  <c r="AJ876" i="1"/>
  <c r="AJ877" i="1"/>
  <c r="AJ878" i="1"/>
  <c r="AJ879" i="1"/>
  <c r="AJ880" i="1"/>
  <c r="AJ881" i="1"/>
  <c r="AJ882" i="1"/>
  <c r="AJ883" i="1"/>
  <c r="AJ884" i="1"/>
  <c r="AJ885" i="1"/>
  <c r="AJ886" i="1"/>
  <c r="AJ887" i="1"/>
  <c r="AJ888" i="1"/>
  <c r="AJ889" i="1"/>
  <c r="AJ890" i="1"/>
  <c r="AJ891" i="1"/>
  <c r="AJ892" i="1"/>
  <c r="AJ893" i="1"/>
  <c r="AJ894" i="1"/>
  <c r="AJ895" i="1"/>
  <c r="AJ896" i="1"/>
  <c r="AJ897" i="1"/>
  <c r="AJ898" i="1"/>
  <c r="AJ899" i="1"/>
  <c r="AJ900" i="1"/>
  <c r="AJ901" i="1"/>
  <c r="AJ902" i="1"/>
  <c r="AJ903" i="1"/>
  <c r="AJ904" i="1"/>
  <c r="AJ905" i="1"/>
  <c r="AJ906" i="1"/>
  <c r="AJ907" i="1"/>
  <c r="AJ908" i="1"/>
  <c r="AJ909" i="1"/>
  <c r="AJ910" i="1"/>
  <c r="AJ911" i="1"/>
  <c r="AJ912" i="1"/>
  <c r="AJ913" i="1"/>
  <c r="AJ914" i="1"/>
  <c r="AJ915" i="1"/>
  <c r="AJ916" i="1"/>
  <c r="AJ917" i="1"/>
  <c r="AJ918" i="1"/>
  <c r="AJ919" i="1"/>
  <c r="AJ920" i="1"/>
  <c r="AJ921" i="1"/>
  <c r="AJ922" i="1"/>
  <c r="AJ923" i="1"/>
  <c r="AJ924" i="1"/>
  <c r="AJ925" i="1"/>
  <c r="AJ926" i="1"/>
  <c r="AJ927" i="1"/>
  <c r="AJ928" i="1"/>
  <c r="AJ929" i="1"/>
  <c r="AJ930" i="1"/>
  <c r="AJ931" i="1"/>
  <c r="AJ932" i="1"/>
  <c r="AJ933" i="1"/>
  <c r="AJ934" i="1"/>
  <c r="AJ935" i="1"/>
  <c r="AJ936" i="1"/>
  <c r="AJ937" i="1"/>
  <c r="AJ938" i="1"/>
  <c r="AJ939" i="1"/>
  <c r="AJ940" i="1"/>
  <c r="AJ941" i="1"/>
  <c r="AJ942" i="1"/>
  <c r="AJ943" i="1"/>
  <c r="AJ944" i="1"/>
  <c r="AJ945" i="1"/>
  <c r="AJ946" i="1"/>
  <c r="AJ947" i="1"/>
  <c r="AJ948" i="1"/>
  <c r="AJ949" i="1"/>
  <c r="AJ950" i="1"/>
  <c r="AJ951" i="1"/>
  <c r="AJ952" i="1"/>
  <c r="AJ953" i="1"/>
  <c r="AJ954" i="1"/>
  <c r="AJ955" i="1"/>
  <c r="AJ956" i="1"/>
  <c r="AJ957" i="1"/>
  <c r="AJ958" i="1"/>
  <c r="AJ959" i="1"/>
  <c r="AJ960" i="1"/>
  <c r="AJ961" i="1"/>
  <c r="AJ962" i="1"/>
  <c r="AJ963" i="1"/>
  <c r="AJ964" i="1"/>
  <c r="AJ965" i="1"/>
  <c r="AJ966" i="1"/>
  <c r="AJ967" i="1"/>
  <c r="AJ968" i="1"/>
  <c r="AJ969" i="1"/>
  <c r="AJ970" i="1"/>
  <c r="AJ971" i="1"/>
  <c r="AJ972" i="1"/>
  <c r="AJ973" i="1"/>
  <c r="AJ974" i="1"/>
  <c r="AJ975" i="1"/>
  <c r="AJ976" i="1"/>
  <c r="AJ977" i="1"/>
  <c r="AJ978" i="1"/>
  <c r="AJ979" i="1"/>
  <c r="AJ980" i="1"/>
  <c r="AJ981" i="1"/>
  <c r="AJ982" i="1"/>
  <c r="AJ983" i="1"/>
  <c r="AJ984" i="1"/>
  <c r="AJ985" i="1"/>
  <c r="AJ986" i="1"/>
  <c r="AJ987" i="1"/>
  <c r="AJ988" i="1"/>
  <c r="AJ989" i="1"/>
  <c r="AJ990" i="1"/>
  <c r="AJ991" i="1"/>
  <c r="AJ992" i="1"/>
  <c r="AJ993" i="1"/>
  <c r="AJ994" i="1"/>
  <c r="AJ995" i="1"/>
  <c r="AJ996" i="1"/>
  <c r="AJ997" i="1"/>
  <c r="AJ998" i="1"/>
  <c r="AJ999" i="1"/>
  <c r="AJ1000" i="1"/>
  <c r="AJ1001" i="1"/>
  <c r="AJ1002" i="1"/>
  <c r="AJ1003" i="1"/>
  <c r="AJ1004" i="1"/>
  <c r="AJ1005" i="1"/>
  <c r="AJ1006" i="1"/>
  <c r="AJ1007" i="1"/>
  <c r="AJ1008" i="1"/>
  <c r="AJ1009" i="1"/>
  <c r="AJ1010" i="1"/>
  <c r="AJ1011" i="1"/>
  <c r="AJ1012" i="1"/>
  <c r="AJ1013" i="1"/>
  <c r="AJ1014" i="1"/>
  <c r="AJ1015" i="1"/>
  <c r="AJ1016" i="1"/>
  <c r="AJ1017" i="1"/>
  <c r="AJ1018" i="1"/>
  <c r="AJ1019" i="1"/>
  <c r="AJ1020" i="1"/>
  <c r="AJ1021" i="1"/>
  <c r="AJ1022" i="1"/>
  <c r="AJ1023" i="1"/>
  <c r="AJ1024" i="1"/>
  <c r="AJ1025" i="1"/>
  <c r="AJ1026" i="1"/>
  <c r="AJ1027" i="1"/>
  <c r="AJ1028" i="1"/>
  <c r="AJ1029" i="1"/>
  <c r="AJ1030" i="1"/>
  <c r="AJ1031" i="1"/>
  <c r="AJ1032" i="1"/>
  <c r="AJ1033" i="1"/>
  <c r="AJ1034" i="1"/>
  <c r="AJ1035" i="1"/>
  <c r="AJ1036" i="1"/>
  <c r="AJ1037" i="1"/>
  <c r="AJ1038" i="1"/>
  <c r="AJ1039" i="1"/>
  <c r="AJ1040" i="1"/>
  <c r="AJ1041" i="1"/>
  <c r="AJ1042" i="1"/>
  <c r="AJ1043" i="1"/>
  <c r="AJ1044" i="1"/>
  <c r="AJ1045" i="1"/>
  <c r="AJ1046" i="1"/>
  <c r="AJ1047" i="1"/>
  <c r="AJ1048" i="1"/>
  <c r="AJ1049" i="1"/>
  <c r="AJ1050" i="1"/>
  <c r="AJ1051" i="1"/>
  <c r="AJ1052" i="1"/>
  <c r="AJ1053" i="1"/>
  <c r="AJ1054" i="1"/>
  <c r="AJ1055" i="1"/>
  <c r="AJ1056" i="1"/>
  <c r="AJ1057" i="1"/>
  <c r="AJ1058" i="1"/>
  <c r="AJ1059" i="1"/>
  <c r="AJ1060" i="1"/>
  <c r="AJ1061" i="1"/>
  <c r="AJ1062" i="1"/>
  <c r="AJ1063" i="1"/>
  <c r="AJ1064" i="1"/>
  <c r="AJ1065" i="1"/>
  <c r="AJ1066" i="1"/>
  <c r="AJ1067" i="1"/>
  <c r="AJ1068" i="1"/>
  <c r="AJ1069" i="1"/>
  <c r="AJ1070" i="1"/>
  <c r="AJ1071" i="1"/>
  <c r="AJ1072" i="1"/>
  <c r="AJ1073" i="1"/>
  <c r="AJ1074" i="1"/>
  <c r="AJ1075" i="1"/>
  <c r="AJ1076" i="1"/>
  <c r="AJ1077" i="1"/>
  <c r="AJ1078" i="1"/>
  <c r="AJ1079" i="1"/>
  <c r="AJ1080" i="1"/>
  <c r="AJ1081" i="1"/>
  <c r="AJ1082" i="1"/>
  <c r="AJ1083" i="1"/>
  <c r="AJ1084" i="1"/>
  <c r="AJ1085" i="1"/>
  <c r="AJ1086" i="1"/>
  <c r="AJ1087" i="1"/>
  <c r="AJ1088" i="1"/>
  <c r="AJ1089" i="1"/>
  <c r="AJ1090" i="1"/>
  <c r="AJ1091" i="1"/>
  <c r="AJ1092" i="1"/>
  <c r="AJ1093" i="1"/>
  <c r="AJ1094" i="1"/>
  <c r="AJ1095" i="1"/>
  <c r="AJ1096" i="1"/>
  <c r="AJ1097" i="1"/>
  <c r="AJ1098" i="1"/>
  <c r="AJ1099" i="1"/>
  <c r="AJ1100" i="1"/>
  <c r="AJ1101" i="1"/>
  <c r="AJ1102" i="1"/>
  <c r="AJ1103" i="1"/>
  <c r="AJ1104" i="1"/>
  <c r="AJ1105" i="1"/>
  <c r="AJ1106" i="1"/>
  <c r="AJ1107" i="1"/>
  <c r="AJ1108" i="1"/>
  <c r="AJ1109" i="1"/>
  <c r="AJ1110" i="1"/>
  <c r="AJ1111" i="1"/>
  <c r="AJ1112" i="1"/>
  <c r="AJ1113" i="1"/>
  <c r="AJ1114" i="1"/>
  <c r="AJ1115" i="1"/>
  <c r="AJ1116" i="1"/>
  <c r="AJ1117" i="1"/>
  <c r="AJ1118" i="1"/>
  <c r="AJ1119" i="1"/>
  <c r="AJ1120" i="1"/>
  <c r="AJ1121" i="1"/>
  <c r="AJ1122" i="1"/>
  <c r="AJ1123" i="1"/>
  <c r="AJ1124" i="1"/>
  <c r="AJ1125" i="1"/>
  <c r="AJ1126" i="1"/>
  <c r="AJ1127" i="1"/>
  <c r="AJ1128" i="1"/>
  <c r="AJ1129" i="1"/>
  <c r="AJ1130" i="1"/>
  <c r="AJ1131" i="1"/>
  <c r="AJ1132" i="1"/>
  <c r="AJ1133" i="1"/>
  <c r="AJ1134" i="1"/>
  <c r="AJ1135" i="1"/>
  <c r="AJ1136" i="1"/>
  <c r="AJ1137" i="1"/>
  <c r="AJ1138" i="1"/>
  <c r="AJ1139" i="1"/>
  <c r="AJ1140" i="1"/>
  <c r="AJ1141" i="1"/>
  <c r="AJ1142" i="1"/>
  <c r="AJ1143" i="1"/>
  <c r="AJ1144" i="1"/>
  <c r="AJ1145" i="1"/>
  <c r="AJ1146" i="1"/>
  <c r="AJ1147" i="1"/>
  <c r="AJ1148" i="1"/>
  <c r="AJ1149" i="1"/>
  <c r="AJ1150" i="1"/>
  <c r="AJ1151" i="1"/>
  <c r="AJ1152" i="1"/>
  <c r="AJ1153" i="1"/>
  <c r="AJ1154" i="1"/>
  <c r="AJ1155" i="1"/>
  <c r="AJ1156" i="1"/>
  <c r="AJ1157" i="1"/>
  <c r="AJ1158" i="1"/>
  <c r="AJ1159" i="1"/>
  <c r="AJ1160" i="1"/>
  <c r="AJ1161" i="1"/>
  <c r="AJ1162" i="1"/>
  <c r="AJ1163" i="1"/>
  <c r="AJ1164" i="1"/>
  <c r="AJ1165" i="1"/>
  <c r="AJ1166" i="1"/>
  <c r="AJ1167" i="1"/>
  <c r="AJ1168" i="1"/>
  <c r="AJ1169" i="1"/>
  <c r="AJ1170" i="1"/>
  <c r="AJ1171" i="1"/>
  <c r="AJ1172" i="1"/>
  <c r="AJ1173" i="1"/>
  <c r="AJ1174" i="1"/>
  <c r="AJ1175" i="1"/>
  <c r="AJ1176" i="1"/>
  <c r="AJ1177" i="1"/>
  <c r="AJ1178" i="1"/>
  <c r="AJ1179" i="1"/>
  <c r="AJ1180" i="1"/>
  <c r="AJ1181" i="1"/>
  <c r="AJ1182" i="1"/>
  <c r="AJ1183" i="1"/>
  <c r="AJ1184" i="1"/>
  <c r="AJ1185" i="1"/>
  <c r="AJ1186" i="1"/>
  <c r="AJ1187" i="1"/>
  <c r="AJ1188" i="1"/>
  <c r="AJ1189" i="1"/>
  <c r="AJ1190" i="1"/>
  <c r="AJ1191" i="1"/>
  <c r="AJ1192" i="1"/>
  <c r="AJ1193" i="1"/>
  <c r="AJ1194" i="1"/>
  <c r="AJ1195" i="1"/>
  <c r="AJ1196" i="1"/>
  <c r="AJ1197" i="1"/>
  <c r="AJ1198" i="1"/>
  <c r="AJ1199" i="1"/>
  <c r="AJ1200" i="1"/>
  <c r="AJ1201" i="1"/>
  <c r="AJ1202" i="1"/>
  <c r="AJ1203" i="1"/>
  <c r="AJ1204" i="1"/>
  <c r="AJ1205" i="1"/>
  <c r="AJ1206" i="1"/>
  <c r="AJ1207" i="1"/>
  <c r="AJ1208" i="1"/>
  <c r="AJ1209" i="1"/>
  <c r="AJ1210" i="1"/>
  <c r="AJ1211" i="1"/>
  <c r="AJ1212" i="1"/>
  <c r="AJ1213" i="1"/>
  <c r="AJ1214" i="1"/>
  <c r="AJ1215" i="1"/>
  <c r="AJ1216" i="1"/>
  <c r="AJ1217" i="1"/>
  <c r="AJ1218" i="1"/>
  <c r="AJ1219" i="1"/>
  <c r="AJ1220" i="1"/>
  <c r="AJ1221" i="1"/>
  <c r="AJ1222" i="1"/>
  <c r="AJ1223" i="1"/>
  <c r="AJ1224" i="1"/>
  <c r="AJ1225" i="1"/>
  <c r="AJ1226" i="1"/>
  <c r="AJ1227" i="1"/>
  <c r="AJ1228" i="1"/>
  <c r="AJ1229" i="1"/>
  <c r="AJ1230" i="1"/>
  <c r="AJ1231" i="1"/>
  <c r="AJ1232" i="1"/>
  <c r="AJ1233" i="1"/>
  <c r="AJ1234" i="1"/>
  <c r="AJ1235" i="1"/>
  <c r="AJ1236" i="1"/>
  <c r="AJ1237" i="1"/>
  <c r="AJ1238" i="1"/>
  <c r="AJ1239" i="1"/>
  <c r="AJ1240" i="1"/>
  <c r="AJ1241" i="1"/>
  <c r="AJ1242" i="1"/>
  <c r="AJ1243" i="1"/>
  <c r="AJ1244" i="1"/>
  <c r="AJ1245" i="1"/>
  <c r="AJ1246" i="1"/>
  <c r="AJ1247" i="1"/>
  <c r="AJ1248" i="1"/>
  <c r="AJ1249" i="1"/>
  <c r="AJ1250" i="1"/>
  <c r="AJ1251" i="1"/>
  <c r="AJ1252" i="1"/>
  <c r="AJ1253" i="1"/>
  <c r="AJ1254" i="1"/>
  <c r="AJ1255" i="1"/>
  <c r="AJ1256" i="1"/>
  <c r="AJ1257" i="1"/>
  <c r="AJ1258" i="1"/>
  <c r="AJ1259" i="1"/>
  <c r="AJ1260" i="1"/>
  <c r="AJ1261" i="1"/>
  <c r="AJ1262" i="1"/>
  <c r="AJ1263" i="1"/>
  <c r="AJ1264" i="1"/>
  <c r="AJ1265" i="1"/>
  <c r="AJ1266" i="1"/>
  <c r="AJ1267" i="1"/>
  <c r="AJ1268" i="1"/>
  <c r="AJ1269" i="1"/>
  <c r="AJ1270" i="1"/>
  <c r="AJ1271" i="1"/>
  <c r="AJ1272" i="1"/>
  <c r="AJ1273" i="1"/>
  <c r="AJ1274" i="1"/>
  <c r="AJ1275" i="1"/>
  <c r="AJ1276" i="1"/>
  <c r="AJ1277" i="1"/>
  <c r="AJ1278" i="1"/>
  <c r="AJ1279" i="1"/>
  <c r="AJ1280" i="1"/>
  <c r="AJ1281" i="1"/>
  <c r="AJ1282" i="1"/>
  <c r="AJ1283" i="1"/>
  <c r="AJ1284" i="1"/>
  <c r="AJ1285" i="1"/>
  <c r="AJ1286" i="1"/>
  <c r="AJ1287" i="1"/>
  <c r="AJ1288" i="1"/>
  <c r="AJ1289" i="1"/>
  <c r="AJ1290" i="1"/>
  <c r="AJ1291" i="1"/>
  <c r="AJ1292" i="1"/>
  <c r="AJ1293" i="1"/>
  <c r="AJ1294" i="1"/>
  <c r="AJ1295" i="1"/>
  <c r="AJ1296" i="1"/>
  <c r="AJ1297" i="1"/>
  <c r="AJ1298" i="1"/>
  <c r="AJ1299" i="1"/>
  <c r="AJ1300" i="1"/>
  <c r="AJ1301" i="1"/>
  <c r="AJ1302" i="1"/>
  <c r="AJ1303" i="1"/>
  <c r="AJ1304" i="1"/>
  <c r="AJ1305" i="1"/>
  <c r="AJ1306" i="1"/>
  <c r="AJ1307" i="1"/>
  <c r="AJ1308" i="1"/>
  <c r="AJ1309" i="1"/>
  <c r="AJ1310" i="1"/>
  <c r="AJ1311" i="1"/>
  <c r="AJ1312" i="1"/>
  <c r="AJ1313" i="1"/>
  <c r="AJ1314" i="1"/>
  <c r="AJ1315" i="1"/>
  <c r="AJ1316" i="1"/>
  <c r="AJ1317" i="1"/>
  <c r="AJ1318" i="1"/>
  <c r="AJ1319" i="1"/>
  <c r="AJ1320" i="1"/>
  <c r="AJ1321" i="1"/>
  <c r="AJ1322" i="1"/>
  <c r="AJ1323" i="1"/>
  <c r="AJ1324" i="1"/>
  <c r="AJ1325" i="1"/>
  <c r="AJ1326" i="1"/>
  <c r="AJ1327" i="1"/>
  <c r="AJ1328" i="1"/>
  <c r="AJ1329" i="1"/>
  <c r="AJ1330" i="1"/>
  <c r="AJ1331" i="1"/>
  <c r="AJ1332" i="1"/>
  <c r="AJ1333" i="1"/>
  <c r="AJ1334" i="1"/>
  <c r="AJ1335" i="1"/>
  <c r="AJ1336" i="1"/>
  <c r="AJ1337" i="1"/>
  <c r="AJ1338" i="1"/>
  <c r="AJ1339" i="1"/>
  <c r="AJ1340" i="1"/>
  <c r="AJ1341" i="1"/>
  <c r="AJ1342" i="1"/>
  <c r="AJ1343" i="1"/>
  <c r="AJ1344" i="1"/>
  <c r="AJ1345" i="1"/>
  <c r="AJ1346" i="1"/>
  <c r="AJ1347" i="1"/>
  <c r="AJ1348" i="1"/>
  <c r="AJ1349" i="1"/>
  <c r="AJ1350" i="1"/>
  <c r="AJ1351" i="1"/>
  <c r="AJ1352" i="1"/>
  <c r="AJ1353" i="1"/>
  <c r="AJ1354" i="1"/>
  <c r="AJ1355" i="1"/>
  <c r="AJ1356" i="1"/>
  <c r="AJ1357" i="1"/>
  <c r="AJ1358" i="1"/>
  <c r="AJ1359" i="1"/>
  <c r="AJ1360" i="1"/>
  <c r="AJ1361" i="1"/>
  <c r="AJ1362" i="1"/>
  <c r="AJ1363" i="1"/>
  <c r="AJ1364" i="1"/>
  <c r="AJ1365" i="1"/>
  <c r="AJ1366" i="1"/>
  <c r="AJ1367" i="1"/>
  <c r="AJ1368" i="1"/>
  <c r="AJ1369" i="1"/>
  <c r="AJ1370" i="1"/>
  <c r="AJ1371" i="1"/>
  <c r="AJ1372" i="1"/>
  <c r="AJ1373" i="1"/>
  <c r="AJ1374" i="1"/>
  <c r="AJ1375" i="1"/>
  <c r="AJ1376" i="1"/>
  <c r="AJ1377" i="1"/>
  <c r="AJ1378" i="1"/>
  <c r="AJ1379" i="1"/>
  <c r="AJ1380" i="1"/>
  <c r="AJ1381" i="1"/>
  <c r="AJ1382" i="1"/>
  <c r="AJ1383" i="1"/>
  <c r="AJ1384" i="1"/>
  <c r="AJ1385" i="1"/>
  <c r="AJ1386" i="1"/>
  <c r="AJ1387" i="1"/>
  <c r="AJ1388" i="1"/>
  <c r="AJ1389" i="1"/>
  <c r="AJ1390" i="1"/>
  <c r="AJ139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B849" i="1"/>
  <c r="BB850" i="1"/>
  <c r="BB851" i="1"/>
  <c r="BB852" i="1"/>
  <c r="BB853" i="1"/>
  <c r="BB854" i="1"/>
  <c r="BB855" i="1"/>
  <c r="BB856" i="1"/>
  <c r="BB857" i="1"/>
  <c r="BB858" i="1"/>
  <c r="BB859" i="1"/>
  <c r="BB860" i="1"/>
  <c r="BB861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BB891" i="1"/>
  <c r="BB892" i="1"/>
  <c r="BB893" i="1"/>
  <c r="BB894" i="1"/>
  <c r="BB895" i="1"/>
  <c r="BB896" i="1"/>
  <c r="BB897" i="1"/>
  <c r="BB898" i="1"/>
  <c r="BB899" i="1"/>
  <c r="BB900" i="1"/>
  <c r="BB901" i="1"/>
  <c r="BB902" i="1"/>
  <c r="BB903" i="1"/>
  <c r="BB904" i="1"/>
  <c r="BB905" i="1"/>
  <c r="BB906" i="1"/>
  <c r="BB907" i="1"/>
  <c r="BB908" i="1"/>
  <c r="BB909" i="1"/>
  <c r="BB910" i="1"/>
  <c r="BB911" i="1"/>
  <c r="BB912" i="1"/>
  <c r="BB913" i="1"/>
  <c r="BB914" i="1"/>
  <c r="BB915" i="1"/>
  <c r="BB916" i="1"/>
  <c r="BB917" i="1"/>
  <c r="BB918" i="1"/>
  <c r="BB919" i="1"/>
  <c r="BB920" i="1"/>
  <c r="BB921" i="1"/>
  <c r="BB922" i="1"/>
  <c r="BB923" i="1"/>
  <c r="BB924" i="1"/>
  <c r="BB925" i="1"/>
  <c r="BB926" i="1"/>
  <c r="BB927" i="1"/>
  <c r="BB928" i="1"/>
  <c r="BB929" i="1"/>
  <c r="BB930" i="1"/>
  <c r="BB931" i="1"/>
  <c r="BB932" i="1"/>
  <c r="BB933" i="1"/>
  <c r="BB934" i="1"/>
  <c r="BB935" i="1"/>
  <c r="BB936" i="1"/>
  <c r="BB937" i="1"/>
  <c r="BB938" i="1"/>
  <c r="BB939" i="1"/>
  <c r="BB940" i="1"/>
  <c r="BB941" i="1"/>
  <c r="BB942" i="1"/>
  <c r="BB943" i="1"/>
  <c r="BB944" i="1"/>
  <c r="BB945" i="1"/>
  <c r="BB946" i="1"/>
  <c r="BB947" i="1"/>
  <c r="BB948" i="1"/>
  <c r="BB949" i="1"/>
  <c r="BB950" i="1"/>
  <c r="BB951" i="1"/>
  <c r="BB952" i="1"/>
  <c r="BB953" i="1"/>
  <c r="BB954" i="1"/>
  <c r="BB955" i="1"/>
  <c r="BB956" i="1"/>
  <c r="BB957" i="1"/>
  <c r="BB958" i="1"/>
  <c r="BB959" i="1"/>
  <c r="BB960" i="1"/>
  <c r="BB961" i="1"/>
  <c r="BB962" i="1"/>
  <c r="BB963" i="1"/>
  <c r="BB964" i="1"/>
  <c r="BB965" i="1"/>
  <c r="BB966" i="1"/>
  <c r="BB967" i="1"/>
  <c r="BB968" i="1"/>
  <c r="BB969" i="1"/>
  <c r="BB970" i="1"/>
  <c r="BB971" i="1"/>
  <c r="BB972" i="1"/>
  <c r="BB973" i="1"/>
  <c r="BB974" i="1"/>
  <c r="BB975" i="1"/>
  <c r="BB976" i="1"/>
  <c r="BB977" i="1"/>
  <c r="BB978" i="1"/>
  <c r="BB979" i="1"/>
  <c r="BB980" i="1"/>
  <c r="BB981" i="1"/>
  <c r="BB982" i="1"/>
  <c r="BB983" i="1"/>
  <c r="BB984" i="1"/>
  <c r="BB985" i="1"/>
  <c r="BB986" i="1"/>
  <c r="BB987" i="1"/>
  <c r="BB988" i="1"/>
  <c r="BB989" i="1"/>
  <c r="BB990" i="1"/>
  <c r="BB991" i="1"/>
  <c r="BB992" i="1"/>
  <c r="BB993" i="1"/>
  <c r="BB994" i="1"/>
  <c r="BB995" i="1"/>
  <c r="BB996" i="1"/>
  <c r="BB997" i="1"/>
  <c r="BB998" i="1"/>
  <c r="BB999" i="1"/>
  <c r="BB1000" i="1"/>
  <c r="BB1001" i="1"/>
  <c r="BB1002" i="1"/>
  <c r="BB1003" i="1"/>
  <c r="BB1004" i="1"/>
  <c r="BB1005" i="1"/>
  <c r="BB1006" i="1"/>
  <c r="BB1007" i="1"/>
  <c r="BB1008" i="1"/>
  <c r="BB1009" i="1"/>
  <c r="BB1010" i="1"/>
  <c r="BB1011" i="1"/>
  <c r="BB1012" i="1"/>
  <c r="BB1013" i="1"/>
  <c r="BB1014" i="1"/>
  <c r="BB1015" i="1"/>
  <c r="BB1016" i="1"/>
  <c r="BB1017" i="1"/>
  <c r="BB1018" i="1"/>
  <c r="BB1019" i="1"/>
  <c r="BB1020" i="1"/>
  <c r="BB1021" i="1"/>
  <c r="BB1022" i="1"/>
  <c r="BB1023" i="1"/>
  <c r="BB1024" i="1"/>
  <c r="BB1025" i="1"/>
  <c r="BB1026" i="1"/>
  <c r="BB1027" i="1"/>
  <c r="BB1028" i="1"/>
  <c r="BB1029" i="1"/>
  <c r="BB1030" i="1"/>
  <c r="BB1031" i="1"/>
  <c r="BB1032" i="1"/>
  <c r="BB1033" i="1"/>
  <c r="BB1034" i="1"/>
  <c r="BB1035" i="1"/>
  <c r="BB1036" i="1"/>
  <c r="BB1037" i="1"/>
  <c r="BB1038" i="1"/>
  <c r="BB1039" i="1"/>
  <c r="BB1040" i="1"/>
  <c r="BB1041" i="1"/>
  <c r="BB1042" i="1"/>
  <c r="BB1043" i="1"/>
  <c r="BB1044" i="1"/>
  <c r="BB1045" i="1"/>
  <c r="BB1046" i="1"/>
  <c r="BB1047" i="1"/>
  <c r="BB1048" i="1"/>
  <c r="BB1049" i="1"/>
  <c r="BB1050" i="1"/>
  <c r="BB1051" i="1"/>
  <c r="BB1052" i="1"/>
  <c r="BB1053" i="1"/>
  <c r="BB1054" i="1"/>
  <c r="BB1055" i="1"/>
  <c r="BB1056" i="1"/>
  <c r="BB1057" i="1"/>
  <c r="BB1058" i="1"/>
  <c r="BB1059" i="1"/>
  <c r="BB1060" i="1"/>
  <c r="BB1061" i="1"/>
  <c r="BB1062" i="1"/>
  <c r="BB1063" i="1"/>
  <c r="BB1064" i="1"/>
  <c r="BB1065" i="1"/>
  <c r="BB1066" i="1"/>
  <c r="BB1067" i="1"/>
  <c r="BB1068" i="1"/>
  <c r="BB1069" i="1"/>
  <c r="BB1070" i="1"/>
  <c r="BB1071" i="1"/>
  <c r="BB1072" i="1"/>
  <c r="BB1073" i="1"/>
  <c r="BB1074" i="1"/>
  <c r="BB1075" i="1"/>
  <c r="BB1076" i="1"/>
  <c r="BB1077" i="1"/>
  <c r="BB1078" i="1"/>
  <c r="BB1079" i="1"/>
  <c r="BB1080" i="1"/>
  <c r="BB1081" i="1"/>
  <c r="BB1082" i="1"/>
  <c r="BB1083" i="1"/>
  <c r="BB1084" i="1"/>
  <c r="BB1085" i="1"/>
  <c r="BB1086" i="1"/>
  <c r="BB1087" i="1"/>
  <c r="BB1088" i="1"/>
  <c r="BB1089" i="1"/>
  <c r="BB1090" i="1"/>
  <c r="BB1091" i="1"/>
  <c r="BB1092" i="1"/>
  <c r="BB1093" i="1"/>
  <c r="BB1094" i="1"/>
  <c r="BB1095" i="1"/>
  <c r="BB1096" i="1"/>
  <c r="BB1097" i="1"/>
  <c r="BB1098" i="1"/>
  <c r="BB1099" i="1"/>
  <c r="BB1100" i="1"/>
  <c r="BB1101" i="1"/>
  <c r="BB1102" i="1"/>
  <c r="BB1103" i="1"/>
  <c r="BB1104" i="1"/>
  <c r="BB1105" i="1"/>
  <c r="BB1106" i="1"/>
  <c r="BB1107" i="1"/>
  <c r="BB1108" i="1"/>
  <c r="BB1109" i="1"/>
  <c r="BB1110" i="1"/>
  <c r="BB1111" i="1"/>
  <c r="BB1112" i="1"/>
  <c r="BB1113" i="1"/>
  <c r="BB1114" i="1"/>
  <c r="BB1115" i="1"/>
  <c r="BB1116" i="1"/>
  <c r="BB1117" i="1"/>
  <c r="BB1118" i="1"/>
  <c r="BB1119" i="1"/>
  <c r="BB1120" i="1"/>
  <c r="BB1121" i="1"/>
  <c r="BB1122" i="1"/>
  <c r="BB1123" i="1"/>
  <c r="BB1124" i="1"/>
  <c r="BB1125" i="1"/>
  <c r="BB1126" i="1"/>
  <c r="BB1127" i="1"/>
  <c r="BB1128" i="1"/>
  <c r="BB1129" i="1"/>
  <c r="BB1130" i="1"/>
  <c r="BB1131" i="1"/>
  <c r="BB1132" i="1"/>
  <c r="BB1133" i="1"/>
  <c r="BB1134" i="1"/>
  <c r="BB1135" i="1"/>
  <c r="BB1136" i="1"/>
  <c r="BB1137" i="1"/>
  <c r="BB1138" i="1"/>
  <c r="BB1139" i="1"/>
  <c r="BB1140" i="1"/>
  <c r="BB1141" i="1"/>
  <c r="BB1142" i="1"/>
  <c r="BB1143" i="1"/>
  <c r="BB1144" i="1"/>
  <c r="BB1145" i="1"/>
  <c r="BB1146" i="1"/>
  <c r="BB1147" i="1"/>
  <c r="BB1148" i="1"/>
  <c r="BB1149" i="1"/>
  <c r="BB1150" i="1"/>
  <c r="BB1151" i="1"/>
  <c r="BB1152" i="1"/>
  <c r="BB1153" i="1"/>
  <c r="BB1154" i="1"/>
  <c r="BB1155" i="1"/>
  <c r="BB1156" i="1"/>
  <c r="BB1157" i="1"/>
  <c r="BB1158" i="1"/>
  <c r="BB1159" i="1"/>
  <c r="BB1160" i="1"/>
  <c r="BB1161" i="1"/>
  <c r="BB1162" i="1"/>
  <c r="BB1163" i="1"/>
  <c r="BB1164" i="1"/>
  <c r="BB1165" i="1"/>
  <c r="BB1166" i="1"/>
  <c r="BB1167" i="1"/>
  <c r="BB1168" i="1"/>
  <c r="BB1169" i="1"/>
  <c r="BB1170" i="1"/>
  <c r="BB1171" i="1"/>
  <c r="BB1172" i="1"/>
  <c r="BB1173" i="1"/>
  <c r="BB1174" i="1"/>
  <c r="BB1175" i="1"/>
  <c r="BB1176" i="1"/>
  <c r="BB1177" i="1"/>
  <c r="BB1178" i="1"/>
  <c r="BB1179" i="1"/>
  <c r="BB1180" i="1"/>
  <c r="BB1181" i="1"/>
  <c r="BB1182" i="1"/>
  <c r="BB1183" i="1"/>
  <c r="BB1184" i="1"/>
  <c r="BB1185" i="1"/>
  <c r="BB1186" i="1"/>
  <c r="BB1187" i="1"/>
  <c r="BB1188" i="1"/>
  <c r="BB1189" i="1"/>
  <c r="BB1190" i="1"/>
  <c r="BB1191" i="1"/>
  <c r="BB1192" i="1"/>
  <c r="BB1193" i="1"/>
  <c r="BB1194" i="1"/>
  <c r="BB1195" i="1"/>
  <c r="BB1196" i="1"/>
  <c r="BB1197" i="1"/>
  <c r="BB1198" i="1"/>
  <c r="BB1199" i="1"/>
  <c r="BB1200" i="1"/>
  <c r="BB1201" i="1"/>
  <c r="BB1202" i="1"/>
  <c r="BB1203" i="1"/>
  <c r="BB1204" i="1"/>
  <c r="BB1205" i="1"/>
  <c r="BB1206" i="1"/>
  <c r="BB1207" i="1"/>
  <c r="BB1208" i="1"/>
  <c r="BB1209" i="1"/>
  <c r="BB1210" i="1"/>
  <c r="BB1211" i="1"/>
  <c r="BB1212" i="1"/>
  <c r="BB1213" i="1"/>
  <c r="BB1214" i="1"/>
  <c r="BB1215" i="1"/>
  <c r="BB1216" i="1"/>
  <c r="BB1217" i="1"/>
  <c r="BB1218" i="1"/>
  <c r="BB1219" i="1"/>
  <c r="BB1220" i="1"/>
  <c r="BB1221" i="1"/>
  <c r="BB1222" i="1"/>
  <c r="BB1223" i="1"/>
  <c r="BB1224" i="1"/>
  <c r="BB1225" i="1"/>
  <c r="BB1226" i="1"/>
  <c r="BB1227" i="1"/>
  <c r="BB1228" i="1"/>
  <c r="BB1229" i="1"/>
  <c r="BB1230" i="1"/>
  <c r="BB1231" i="1"/>
  <c r="BB1232" i="1"/>
  <c r="BB1233" i="1"/>
  <c r="BB1234" i="1"/>
  <c r="BB1235" i="1"/>
  <c r="BB1236" i="1"/>
  <c r="BB1237" i="1"/>
  <c r="BB1238" i="1"/>
  <c r="BB1239" i="1"/>
  <c r="BB1240" i="1"/>
  <c r="BB1241" i="1"/>
  <c r="BB1242" i="1"/>
  <c r="BB1243" i="1"/>
  <c r="BB1244" i="1"/>
  <c r="BB1245" i="1"/>
  <c r="BB1246" i="1"/>
  <c r="BB1247" i="1"/>
  <c r="BB1248" i="1"/>
  <c r="BB1249" i="1"/>
  <c r="BB1250" i="1"/>
  <c r="BB1251" i="1"/>
  <c r="BB1252" i="1"/>
  <c r="BB1253" i="1"/>
  <c r="BB1254" i="1"/>
  <c r="BB1255" i="1"/>
  <c r="BB1256" i="1"/>
  <c r="BB1257" i="1"/>
  <c r="BB1258" i="1"/>
  <c r="BB1259" i="1"/>
  <c r="BB1260" i="1"/>
  <c r="BB1261" i="1"/>
  <c r="BB1262" i="1"/>
  <c r="BB1263" i="1"/>
  <c r="BB1264" i="1"/>
  <c r="BB1265" i="1"/>
  <c r="BB1266" i="1"/>
  <c r="BB1267" i="1"/>
  <c r="BB1268" i="1"/>
  <c r="BB1269" i="1"/>
  <c r="BB1270" i="1"/>
  <c r="BB1271" i="1"/>
  <c r="BB1272" i="1"/>
  <c r="BB1273" i="1"/>
  <c r="BB1274" i="1"/>
  <c r="BB1275" i="1"/>
  <c r="BB1276" i="1"/>
  <c r="BB1277" i="1"/>
  <c r="BB1278" i="1"/>
  <c r="BB1279" i="1"/>
  <c r="BB1280" i="1"/>
  <c r="BB1281" i="1"/>
  <c r="BB1282" i="1"/>
  <c r="BB1283" i="1"/>
  <c r="BB1284" i="1"/>
  <c r="BB1285" i="1"/>
  <c r="BB1286" i="1"/>
  <c r="BB1287" i="1"/>
  <c r="BB1288" i="1"/>
  <c r="BB1289" i="1"/>
  <c r="BB1290" i="1"/>
  <c r="BB1291" i="1"/>
  <c r="BB1292" i="1"/>
  <c r="BB1293" i="1"/>
  <c r="BB1294" i="1"/>
  <c r="BB1295" i="1"/>
  <c r="BB1296" i="1"/>
  <c r="BB1297" i="1"/>
  <c r="BB1298" i="1"/>
  <c r="BB1299" i="1"/>
  <c r="BB1300" i="1"/>
  <c r="BB1301" i="1"/>
  <c r="BB1302" i="1"/>
  <c r="BB1303" i="1"/>
  <c r="BB1304" i="1"/>
  <c r="BB1305" i="1"/>
  <c r="BB1306" i="1"/>
  <c r="BB1307" i="1"/>
  <c r="BB1308" i="1"/>
  <c r="BB1309" i="1"/>
  <c r="BB1310" i="1"/>
  <c r="BB1311" i="1"/>
  <c r="BB1312" i="1"/>
  <c r="BB1313" i="1"/>
  <c r="BB1314" i="1"/>
  <c r="BB1315" i="1"/>
  <c r="BB1316" i="1"/>
  <c r="BB1317" i="1"/>
  <c r="BB1318" i="1"/>
  <c r="BB1319" i="1"/>
  <c r="BB1320" i="1"/>
  <c r="BB1321" i="1"/>
  <c r="BB1322" i="1"/>
  <c r="BB1323" i="1"/>
  <c r="BB1324" i="1"/>
  <c r="BB1325" i="1"/>
  <c r="BB1326" i="1"/>
  <c r="BB1327" i="1"/>
  <c r="BB1328" i="1"/>
  <c r="BB1329" i="1"/>
  <c r="BB1330" i="1"/>
  <c r="BB1331" i="1"/>
  <c r="BB1332" i="1"/>
  <c r="BB1333" i="1"/>
  <c r="BB1334" i="1"/>
  <c r="BB1335" i="1"/>
  <c r="BB1336" i="1"/>
  <c r="BB1337" i="1"/>
  <c r="BB1338" i="1"/>
  <c r="BB1339" i="1"/>
  <c r="BB1340" i="1"/>
  <c r="BB1341" i="1"/>
  <c r="BB1342" i="1"/>
  <c r="BB1343" i="1"/>
  <c r="BB1344" i="1"/>
  <c r="BB1345" i="1"/>
  <c r="BB1346" i="1"/>
  <c r="BB1347" i="1"/>
  <c r="BB1348" i="1"/>
  <c r="BB1349" i="1"/>
  <c r="BB1350" i="1"/>
  <c r="BB1351" i="1"/>
  <c r="BB1352" i="1"/>
  <c r="BB1353" i="1"/>
  <c r="BB1354" i="1"/>
  <c r="BB1355" i="1"/>
  <c r="BB1356" i="1"/>
  <c r="BB1357" i="1"/>
  <c r="BB1358" i="1"/>
  <c r="BB1359" i="1"/>
  <c r="BB1360" i="1"/>
  <c r="BB1361" i="1"/>
  <c r="BB1362" i="1"/>
  <c r="BB1363" i="1"/>
  <c r="BB1364" i="1"/>
  <c r="BB1365" i="1"/>
  <c r="BB1366" i="1"/>
  <c r="BB1367" i="1"/>
  <c r="BB1368" i="1"/>
  <c r="BB1369" i="1"/>
  <c r="BB1370" i="1"/>
  <c r="BB1371" i="1"/>
  <c r="BB1372" i="1"/>
  <c r="BB1373" i="1"/>
  <c r="BB1374" i="1"/>
  <c r="BB1375" i="1"/>
  <c r="BB1376" i="1"/>
  <c r="BB1377" i="1"/>
  <c r="BB1378" i="1"/>
  <c r="BB1379" i="1"/>
  <c r="BB1380" i="1"/>
  <c r="BB1381" i="1"/>
  <c r="BB1382" i="1"/>
  <c r="BB1383" i="1"/>
  <c r="BB1384" i="1"/>
  <c r="BB1385" i="1"/>
  <c r="BB1386" i="1"/>
  <c r="BB1387" i="1"/>
  <c r="BB1388" i="1"/>
  <c r="BB1389" i="1"/>
  <c r="BB1390" i="1"/>
  <c r="BB1391" i="1"/>
  <c r="BB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X1063" i="1"/>
  <c r="AX1064" i="1"/>
  <c r="AX1065" i="1"/>
  <c r="AX1066" i="1"/>
  <c r="AX1067" i="1"/>
  <c r="AX1068" i="1"/>
  <c r="AX1069" i="1"/>
  <c r="AX1070" i="1"/>
  <c r="AX1071" i="1"/>
  <c r="AX1072" i="1"/>
  <c r="AX1073" i="1"/>
  <c r="AX1074" i="1"/>
  <c r="AX1075" i="1"/>
  <c r="AX1076" i="1"/>
  <c r="AX1077" i="1"/>
  <c r="AX1078" i="1"/>
  <c r="AX1079" i="1"/>
  <c r="AX1080" i="1"/>
  <c r="AX1081" i="1"/>
  <c r="AX1082" i="1"/>
  <c r="AX1083" i="1"/>
  <c r="AX1084" i="1"/>
  <c r="AX1085" i="1"/>
  <c r="AX1086" i="1"/>
  <c r="AX1087" i="1"/>
  <c r="AX1088" i="1"/>
  <c r="AX1089" i="1"/>
  <c r="AX1090" i="1"/>
  <c r="AX1091" i="1"/>
  <c r="AX1092" i="1"/>
  <c r="AX1093" i="1"/>
  <c r="AX1094" i="1"/>
  <c r="AX1095" i="1"/>
  <c r="AX1096" i="1"/>
  <c r="AX1097" i="1"/>
  <c r="AX1098" i="1"/>
  <c r="AX1099" i="1"/>
  <c r="AX1100" i="1"/>
  <c r="AX1101" i="1"/>
  <c r="AX1102" i="1"/>
  <c r="AX1103" i="1"/>
  <c r="AX1104" i="1"/>
  <c r="AX1105" i="1"/>
  <c r="AX1106" i="1"/>
  <c r="AX1107" i="1"/>
  <c r="AX1108" i="1"/>
  <c r="AX1109" i="1"/>
  <c r="AX1110" i="1"/>
  <c r="AX1111" i="1"/>
  <c r="AX1112" i="1"/>
  <c r="AX1113" i="1"/>
  <c r="AX1114" i="1"/>
  <c r="AX1115" i="1"/>
  <c r="AX1116" i="1"/>
  <c r="AX1117" i="1"/>
  <c r="AX1118" i="1"/>
  <c r="AX1119" i="1"/>
  <c r="AX1120" i="1"/>
  <c r="AX1121" i="1"/>
  <c r="AX1122" i="1"/>
  <c r="AX1123" i="1"/>
  <c r="AX1124" i="1"/>
  <c r="AX1125" i="1"/>
  <c r="AX1126" i="1"/>
  <c r="AX1127" i="1"/>
  <c r="AX1128" i="1"/>
  <c r="AX1129" i="1"/>
  <c r="AX1130" i="1"/>
  <c r="AX1131" i="1"/>
  <c r="AX1132" i="1"/>
  <c r="AX1133" i="1"/>
  <c r="AX1134" i="1"/>
  <c r="AX1135" i="1"/>
  <c r="AX1136" i="1"/>
  <c r="AX1137" i="1"/>
  <c r="AX1138" i="1"/>
  <c r="AX1139" i="1"/>
  <c r="AX1140" i="1"/>
  <c r="AX1141" i="1"/>
  <c r="AX1142" i="1"/>
  <c r="AX1143" i="1"/>
  <c r="AX1144" i="1"/>
  <c r="AX1145" i="1"/>
  <c r="AX1146" i="1"/>
  <c r="AX1147" i="1"/>
  <c r="AX1148" i="1"/>
  <c r="AX1149" i="1"/>
  <c r="AX1150" i="1"/>
  <c r="AX1151" i="1"/>
  <c r="AX1152" i="1"/>
  <c r="AX1153" i="1"/>
  <c r="AX1154" i="1"/>
  <c r="AX1155" i="1"/>
  <c r="AX1156" i="1"/>
  <c r="AX1157" i="1"/>
  <c r="AX1158" i="1"/>
  <c r="AX1159" i="1"/>
  <c r="AX1160" i="1"/>
  <c r="AX1161" i="1"/>
  <c r="AX1162" i="1"/>
  <c r="AX1163" i="1"/>
  <c r="AX1164" i="1"/>
  <c r="AX1165" i="1"/>
  <c r="AX1166" i="1"/>
  <c r="AX1167" i="1"/>
  <c r="AX1168" i="1"/>
  <c r="AX1169" i="1"/>
  <c r="AX1170" i="1"/>
  <c r="AX1171" i="1"/>
  <c r="AX1172" i="1"/>
  <c r="AX1173" i="1"/>
  <c r="AX1174" i="1"/>
  <c r="AX1175" i="1"/>
  <c r="AX1176" i="1"/>
  <c r="AX1177" i="1"/>
  <c r="AX1178" i="1"/>
  <c r="AX1179" i="1"/>
  <c r="AX1180" i="1"/>
  <c r="AX1181" i="1"/>
  <c r="AX1182" i="1"/>
  <c r="AX1183" i="1"/>
  <c r="AX1184" i="1"/>
  <c r="AX1185" i="1"/>
  <c r="AX1186" i="1"/>
  <c r="AX1187" i="1"/>
  <c r="AX1188" i="1"/>
  <c r="AX1189" i="1"/>
  <c r="AX1190" i="1"/>
  <c r="AX1191" i="1"/>
  <c r="AX1192" i="1"/>
  <c r="AX1193" i="1"/>
  <c r="AX1194" i="1"/>
  <c r="AX1195" i="1"/>
  <c r="AX1196" i="1"/>
  <c r="AX1197" i="1"/>
  <c r="AX1198" i="1"/>
  <c r="AX1199" i="1"/>
  <c r="AX1200" i="1"/>
  <c r="AX1201" i="1"/>
  <c r="AX1202" i="1"/>
  <c r="AX1203" i="1"/>
  <c r="AX1204" i="1"/>
  <c r="AX1205" i="1"/>
  <c r="AX1206" i="1"/>
  <c r="AX1207" i="1"/>
  <c r="AX1208" i="1"/>
  <c r="AX1209" i="1"/>
  <c r="AX1210" i="1"/>
  <c r="AX1211" i="1"/>
  <c r="AX1212" i="1"/>
  <c r="AX1213" i="1"/>
  <c r="AX1214" i="1"/>
  <c r="AX1215" i="1"/>
  <c r="AX1216" i="1"/>
  <c r="AX1217" i="1"/>
  <c r="AX1218" i="1"/>
  <c r="AX1219" i="1"/>
  <c r="AX1220" i="1"/>
  <c r="AX1221" i="1"/>
  <c r="AX1222" i="1"/>
  <c r="AX1223" i="1"/>
  <c r="AX1224" i="1"/>
  <c r="AX1225" i="1"/>
  <c r="AX1226" i="1"/>
  <c r="AX1227" i="1"/>
  <c r="AX1228" i="1"/>
  <c r="AX1229" i="1"/>
  <c r="AX1230" i="1"/>
  <c r="AX1231" i="1"/>
  <c r="AX1232" i="1"/>
  <c r="AX1233" i="1"/>
  <c r="AX1234" i="1"/>
  <c r="AX1235" i="1"/>
  <c r="AX1236" i="1"/>
  <c r="AX1237" i="1"/>
  <c r="AX1238" i="1"/>
  <c r="AX1239" i="1"/>
  <c r="AX1240" i="1"/>
  <c r="AX1241" i="1"/>
  <c r="AX1242" i="1"/>
  <c r="AX1243" i="1"/>
  <c r="AX1244" i="1"/>
  <c r="AX1245" i="1"/>
  <c r="AX1246" i="1"/>
  <c r="AX1247" i="1"/>
  <c r="AX1248" i="1"/>
  <c r="AX1249" i="1"/>
  <c r="AX1250" i="1"/>
  <c r="AX1251" i="1"/>
  <c r="AX1252" i="1"/>
  <c r="AX1253" i="1"/>
  <c r="AX1254" i="1"/>
  <c r="AX1255" i="1"/>
  <c r="AX1256" i="1"/>
  <c r="AX1257" i="1"/>
  <c r="AX1258" i="1"/>
  <c r="AX1259" i="1"/>
  <c r="AX1260" i="1"/>
  <c r="AX1261" i="1"/>
  <c r="AX1262" i="1"/>
  <c r="AX1263" i="1"/>
  <c r="AX1264" i="1"/>
  <c r="AX1265" i="1"/>
  <c r="AX1266" i="1"/>
  <c r="AX1267" i="1"/>
  <c r="AX1268" i="1"/>
  <c r="AX1269" i="1"/>
  <c r="AX1270" i="1"/>
  <c r="AX1271" i="1"/>
  <c r="AX1272" i="1"/>
  <c r="AX1273" i="1"/>
  <c r="AX1274" i="1"/>
  <c r="AX1275" i="1"/>
  <c r="AX1276" i="1"/>
  <c r="AX1277" i="1"/>
  <c r="AX1278" i="1"/>
  <c r="AX1279" i="1"/>
  <c r="AX1280" i="1"/>
  <c r="AX1281" i="1"/>
  <c r="AX1282" i="1"/>
  <c r="AX1283" i="1"/>
  <c r="AX1284" i="1"/>
  <c r="AX1285" i="1"/>
  <c r="AX1286" i="1"/>
  <c r="AX1287" i="1"/>
  <c r="AX1288" i="1"/>
  <c r="AX1289" i="1"/>
  <c r="AX1290" i="1"/>
  <c r="AX1291" i="1"/>
  <c r="AX1292" i="1"/>
  <c r="AX1293" i="1"/>
  <c r="AX1294" i="1"/>
  <c r="AX1295" i="1"/>
  <c r="AX1296" i="1"/>
  <c r="AX1297" i="1"/>
  <c r="AX1298" i="1"/>
  <c r="AX1299" i="1"/>
  <c r="AX1300" i="1"/>
  <c r="AX1301" i="1"/>
  <c r="AX1302" i="1"/>
  <c r="AX1303" i="1"/>
  <c r="AX1304" i="1"/>
  <c r="AX1305" i="1"/>
  <c r="AX1306" i="1"/>
  <c r="AX1307" i="1"/>
  <c r="AX1308" i="1"/>
  <c r="AX1309" i="1"/>
  <c r="AX1310" i="1"/>
  <c r="AX1311" i="1"/>
  <c r="AX1312" i="1"/>
  <c r="AX1313" i="1"/>
  <c r="AX1314" i="1"/>
  <c r="AX1315" i="1"/>
  <c r="AX1316" i="1"/>
  <c r="AX1317" i="1"/>
  <c r="AX1318" i="1"/>
  <c r="AX1319" i="1"/>
  <c r="AX1320" i="1"/>
  <c r="AX1321" i="1"/>
  <c r="AX1322" i="1"/>
  <c r="AX1323" i="1"/>
  <c r="AX1324" i="1"/>
  <c r="AX1325" i="1"/>
  <c r="AX1326" i="1"/>
  <c r="AX1327" i="1"/>
  <c r="AX1328" i="1"/>
  <c r="AX1329" i="1"/>
  <c r="AX1330" i="1"/>
  <c r="AX1331" i="1"/>
  <c r="AX1332" i="1"/>
  <c r="AX1333" i="1"/>
  <c r="AX1334" i="1"/>
  <c r="AX1335" i="1"/>
  <c r="AX1336" i="1"/>
  <c r="AX1337" i="1"/>
  <c r="AX1338" i="1"/>
  <c r="AX1339" i="1"/>
  <c r="AX1340" i="1"/>
  <c r="AX1341" i="1"/>
  <c r="AX1342" i="1"/>
  <c r="AX1343" i="1"/>
  <c r="AX1344" i="1"/>
  <c r="AX1345" i="1"/>
  <c r="AX1346" i="1"/>
  <c r="AX1347" i="1"/>
  <c r="AX1348" i="1"/>
  <c r="AX1349" i="1"/>
  <c r="AX1350" i="1"/>
  <c r="AX1351" i="1"/>
  <c r="AX1352" i="1"/>
  <c r="AX1353" i="1"/>
  <c r="AX1354" i="1"/>
  <c r="AX1355" i="1"/>
  <c r="AX1356" i="1"/>
  <c r="AX1357" i="1"/>
  <c r="AX1358" i="1"/>
  <c r="AX1359" i="1"/>
  <c r="AX1360" i="1"/>
  <c r="AX1361" i="1"/>
  <c r="AX1362" i="1"/>
  <c r="AX1363" i="1"/>
  <c r="AX1364" i="1"/>
  <c r="AX1365" i="1"/>
  <c r="AX1366" i="1"/>
  <c r="AX1367" i="1"/>
  <c r="AX1368" i="1"/>
  <c r="AX1369" i="1"/>
  <c r="AX1370" i="1"/>
  <c r="AX1371" i="1"/>
  <c r="AX1372" i="1"/>
  <c r="AX1373" i="1"/>
  <c r="AX1374" i="1"/>
  <c r="AX1375" i="1"/>
  <c r="AX1376" i="1"/>
  <c r="AX1377" i="1"/>
  <c r="AX1378" i="1"/>
  <c r="AX1379" i="1"/>
  <c r="AX1380" i="1"/>
  <c r="AX1381" i="1"/>
  <c r="AX1382" i="1"/>
  <c r="AX1383" i="1"/>
  <c r="AX1384" i="1"/>
  <c r="AX1385" i="1"/>
  <c r="AX1386" i="1"/>
  <c r="AX1387" i="1"/>
  <c r="AX1388" i="1"/>
  <c r="AX1389" i="1"/>
  <c r="AX1390" i="1"/>
  <c r="AX1391" i="1"/>
  <c r="AX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T1315" i="1"/>
  <c r="AT1316" i="1"/>
  <c r="AT1317" i="1"/>
  <c r="AT1318" i="1"/>
  <c r="AT1319" i="1"/>
  <c r="AT1320" i="1"/>
  <c r="AT1321" i="1"/>
  <c r="AT1322" i="1"/>
  <c r="AT1323" i="1"/>
  <c r="AT1324" i="1"/>
  <c r="AT1325" i="1"/>
  <c r="AT1326" i="1"/>
  <c r="AT1327" i="1"/>
  <c r="AT1328" i="1"/>
  <c r="AT1329" i="1"/>
  <c r="AT1330" i="1"/>
  <c r="AT1331" i="1"/>
  <c r="AT1332" i="1"/>
  <c r="AT1333" i="1"/>
  <c r="AT1334" i="1"/>
  <c r="AT1335" i="1"/>
  <c r="AT1336" i="1"/>
  <c r="AT1337" i="1"/>
  <c r="AT1338" i="1"/>
  <c r="AT1339" i="1"/>
  <c r="AT1340" i="1"/>
  <c r="AT1341" i="1"/>
  <c r="AT1342" i="1"/>
  <c r="AT1343" i="1"/>
  <c r="AT1344" i="1"/>
  <c r="AT1345" i="1"/>
  <c r="AT1346" i="1"/>
  <c r="AT1347" i="1"/>
  <c r="AT1348" i="1"/>
  <c r="AT1349" i="1"/>
  <c r="AT1350" i="1"/>
  <c r="AT1351" i="1"/>
  <c r="AT1352" i="1"/>
  <c r="AT1353" i="1"/>
  <c r="AT1354" i="1"/>
  <c r="AT1355" i="1"/>
  <c r="AT1356" i="1"/>
  <c r="AT1357" i="1"/>
  <c r="AT1358" i="1"/>
  <c r="AT1359" i="1"/>
  <c r="AT1360" i="1"/>
  <c r="AT1361" i="1"/>
  <c r="AT1362" i="1"/>
  <c r="AT1363" i="1"/>
  <c r="AT1364" i="1"/>
  <c r="AT1365" i="1"/>
  <c r="AT1366" i="1"/>
  <c r="AT1367" i="1"/>
  <c r="AT1368" i="1"/>
  <c r="AT1369" i="1"/>
  <c r="AT1370" i="1"/>
  <c r="AT1371" i="1"/>
  <c r="AT1372" i="1"/>
  <c r="AT1373" i="1"/>
  <c r="AT1374" i="1"/>
  <c r="AT1375" i="1"/>
  <c r="AT1376" i="1"/>
  <c r="AT1377" i="1"/>
  <c r="AT1378" i="1"/>
  <c r="AT1379" i="1"/>
  <c r="AT1380" i="1"/>
  <c r="AT1381" i="1"/>
  <c r="AT1382" i="1"/>
  <c r="AT1383" i="1"/>
  <c r="AT1384" i="1"/>
  <c r="AT1385" i="1"/>
  <c r="AT1386" i="1"/>
  <c r="AT1387" i="1"/>
  <c r="AT1388" i="1"/>
  <c r="AT1389" i="1"/>
  <c r="AT1390" i="1"/>
  <c r="AT1391" i="1"/>
  <c r="AT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237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253" i="1"/>
  <c r="AP254" i="1"/>
  <c r="AP255" i="1"/>
  <c r="AP256" i="1"/>
  <c r="AP257" i="1"/>
  <c r="AP258" i="1"/>
  <c r="AP259" i="1"/>
  <c r="AP260" i="1"/>
  <c r="AP261" i="1"/>
  <c r="AP262" i="1"/>
  <c r="AP263" i="1"/>
  <c r="AP264" i="1"/>
  <c r="AP265" i="1"/>
  <c r="AP266" i="1"/>
  <c r="AP267" i="1"/>
  <c r="AP268" i="1"/>
  <c r="AP269" i="1"/>
  <c r="AP270" i="1"/>
  <c r="AP271" i="1"/>
  <c r="AP272" i="1"/>
  <c r="AP273" i="1"/>
  <c r="AP274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591" i="1"/>
  <c r="AP592" i="1"/>
  <c r="AP593" i="1"/>
  <c r="AP594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615" i="1"/>
  <c r="AP616" i="1"/>
  <c r="AP617" i="1"/>
  <c r="AP618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639" i="1"/>
  <c r="AP640" i="1"/>
  <c r="AP641" i="1"/>
  <c r="AP642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662" i="1"/>
  <c r="AP663" i="1"/>
  <c r="AP664" i="1"/>
  <c r="AP66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692" i="1"/>
  <c r="AP693" i="1"/>
  <c r="AP694" i="1"/>
  <c r="AP695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708" i="1"/>
  <c r="AP709" i="1"/>
  <c r="AP710" i="1"/>
  <c r="AP711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727" i="1"/>
  <c r="AP728" i="1"/>
  <c r="AP729" i="1"/>
  <c r="AP730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758" i="1"/>
  <c r="AP759" i="1"/>
  <c r="AP760" i="1"/>
  <c r="AP761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810" i="1"/>
  <c r="AP811" i="1"/>
  <c r="AP812" i="1"/>
  <c r="AP813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834" i="1"/>
  <c r="AP835" i="1"/>
  <c r="AP836" i="1"/>
  <c r="AP837" i="1"/>
  <c r="AP838" i="1"/>
  <c r="AP839" i="1"/>
  <c r="AP840" i="1"/>
  <c r="AP841" i="1"/>
  <c r="AP842" i="1"/>
  <c r="AP843" i="1"/>
  <c r="AP844" i="1"/>
  <c r="AP845" i="1"/>
  <c r="AP846" i="1"/>
  <c r="AP847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879" i="1"/>
  <c r="AP880" i="1"/>
  <c r="AP881" i="1"/>
  <c r="AP882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984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P1003" i="1"/>
  <c r="AP1004" i="1"/>
  <c r="AP1005" i="1"/>
  <c r="AP1006" i="1"/>
  <c r="AP1007" i="1"/>
  <c r="AP1008" i="1"/>
  <c r="AP1009" i="1"/>
  <c r="AP1010" i="1"/>
  <c r="AP1011" i="1"/>
  <c r="AP1012" i="1"/>
  <c r="AP1013" i="1"/>
  <c r="AP1014" i="1"/>
  <c r="AP1015" i="1"/>
  <c r="AP1016" i="1"/>
  <c r="AP1017" i="1"/>
  <c r="AP1018" i="1"/>
  <c r="AP1019" i="1"/>
  <c r="AP1020" i="1"/>
  <c r="AP1021" i="1"/>
  <c r="AP1022" i="1"/>
  <c r="AP1023" i="1"/>
  <c r="AP1024" i="1"/>
  <c r="AP1025" i="1"/>
  <c r="AP1026" i="1"/>
  <c r="AP1027" i="1"/>
  <c r="AP1028" i="1"/>
  <c r="AP1029" i="1"/>
  <c r="AP1030" i="1"/>
  <c r="AP1031" i="1"/>
  <c r="AP1032" i="1"/>
  <c r="AP1033" i="1"/>
  <c r="AP1034" i="1"/>
  <c r="AP1035" i="1"/>
  <c r="AP1036" i="1"/>
  <c r="AP1037" i="1"/>
  <c r="AP1038" i="1"/>
  <c r="AP1039" i="1"/>
  <c r="AP1040" i="1"/>
  <c r="AP1041" i="1"/>
  <c r="AP1042" i="1"/>
  <c r="AP1043" i="1"/>
  <c r="AP1044" i="1"/>
  <c r="AP1045" i="1"/>
  <c r="AP1046" i="1"/>
  <c r="AP1047" i="1"/>
  <c r="AP1048" i="1"/>
  <c r="AP1049" i="1"/>
  <c r="AP1050" i="1"/>
  <c r="AP1051" i="1"/>
  <c r="AP1052" i="1"/>
  <c r="AP1053" i="1"/>
  <c r="AP1054" i="1"/>
  <c r="AP1055" i="1"/>
  <c r="AP1056" i="1"/>
  <c r="AP1057" i="1"/>
  <c r="AP1058" i="1"/>
  <c r="AP1059" i="1"/>
  <c r="AP1060" i="1"/>
  <c r="AP1061" i="1"/>
  <c r="AP1062" i="1"/>
  <c r="AP1063" i="1"/>
  <c r="AP1064" i="1"/>
  <c r="AP1065" i="1"/>
  <c r="AP1066" i="1"/>
  <c r="AP1067" i="1"/>
  <c r="AP1068" i="1"/>
  <c r="AP1069" i="1"/>
  <c r="AP1070" i="1"/>
  <c r="AP1071" i="1"/>
  <c r="AP1072" i="1"/>
  <c r="AP1073" i="1"/>
  <c r="AP1074" i="1"/>
  <c r="AP1075" i="1"/>
  <c r="AP1076" i="1"/>
  <c r="AP1077" i="1"/>
  <c r="AP1078" i="1"/>
  <c r="AP1079" i="1"/>
  <c r="AP1080" i="1"/>
  <c r="AP1081" i="1"/>
  <c r="AP1082" i="1"/>
  <c r="AP1083" i="1"/>
  <c r="AP1084" i="1"/>
  <c r="AP1085" i="1"/>
  <c r="AP1086" i="1"/>
  <c r="AP1087" i="1"/>
  <c r="AP1088" i="1"/>
  <c r="AP1089" i="1"/>
  <c r="AP1090" i="1"/>
  <c r="AP1091" i="1"/>
  <c r="AP1092" i="1"/>
  <c r="AP1093" i="1"/>
  <c r="AP1094" i="1"/>
  <c r="AP1095" i="1"/>
  <c r="AP1096" i="1"/>
  <c r="AP1097" i="1"/>
  <c r="AP1098" i="1"/>
  <c r="AP1099" i="1"/>
  <c r="AP1100" i="1"/>
  <c r="AP1101" i="1"/>
  <c r="AP1102" i="1"/>
  <c r="AP1103" i="1"/>
  <c r="AP1104" i="1"/>
  <c r="AP1105" i="1"/>
  <c r="AP1106" i="1"/>
  <c r="AP1107" i="1"/>
  <c r="AP1108" i="1"/>
  <c r="AP1109" i="1"/>
  <c r="AP1110" i="1"/>
  <c r="AP1111" i="1"/>
  <c r="AP1112" i="1"/>
  <c r="AP1113" i="1"/>
  <c r="AP1114" i="1"/>
  <c r="AP1115" i="1"/>
  <c r="AP1116" i="1"/>
  <c r="AP1117" i="1"/>
  <c r="AP1118" i="1"/>
  <c r="AP1119" i="1"/>
  <c r="AP1120" i="1"/>
  <c r="AP1121" i="1"/>
  <c r="AP1122" i="1"/>
  <c r="AP1123" i="1"/>
  <c r="AP1124" i="1"/>
  <c r="AP1125" i="1"/>
  <c r="AP1126" i="1"/>
  <c r="AP1127" i="1"/>
  <c r="AP1128" i="1"/>
  <c r="AP1129" i="1"/>
  <c r="AP1130" i="1"/>
  <c r="AP1131" i="1"/>
  <c r="AP1132" i="1"/>
  <c r="AP1133" i="1"/>
  <c r="AP1134" i="1"/>
  <c r="AP1135" i="1"/>
  <c r="AP1136" i="1"/>
  <c r="AP1137" i="1"/>
  <c r="AP1138" i="1"/>
  <c r="AP1139" i="1"/>
  <c r="AP1140" i="1"/>
  <c r="AP1141" i="1"/>
  <c r="AP1142" i="1"/>
  <c r="AP1143" i="1"/>
  <c r="AP1144" i="1"/>
  <c r="AP1145" i="1"/>
  <c r="AP1146" i="1"/>
  <c r="AP1147" i="1"/>
  <c r="AP1148" i="1"/>
  <c r="AP1149" i="1"/>
  <c r="AP1150" i="1"/>
  <c r="AP1151" i="1"/>
  <c r="AP1152" i="1"/>
  <c r="AP1153" i="1"/>
  <c r="AP1154" i="1"/>
  <c r="AP1155" i="1"/>
  <c r="AP1156" i="1"/>
  <c r="AP1157" i="1"/>
  <c r="AP1158" i="1"/>
  <c r="AP1159" i="1"/>
  <c r="AP1160" i="1"/>
  <c r="AP1161" i="1"/>
  <c r="AP1162" i="1"/>
  <c r="AP1163" i="1"/>
  <c r="AP1164" i="1"/>
  <c r="AP1165" i="1"/>
  <c r="AP1166" i="1"/>
  <c r="AP1167" i="1"/>
  <c r="AP1168" i="1"/>
  <c r="AP1169" i="1"/>
  <c r="AP1170" i="1"/>
  <c r="AP1171" i="1"/>
  <c r="AP1172" i="1"/>
  <c r="AP1173" i="1"/>
  <c r="AP1174" i="1"/>
  <c r="AP1175" i="1"/>
  <c r="AP1176" i="1"/>
  <c r="AP1177" i="1"/>
  <c r="AP1178" i="1"/>
  <c r="AP1179" i="1"/>
  <c r="AP1180" i="1"/>
  <c r="AP1181" i="1"/>
  <c r="AP1182" i="1"/>
  <c r="AP1183" i="1"/>
  <c r="AP1184" i="1"/>
  <c r="AP1185" i="1"/>
  <c r="AP1186" i="1"/>
  <c r="AP1187" i="1"/>
  <c r="AP1188" i="1"/>
  <c r="AP1189" i="1"/>
  <c r="AP1190" i="1"/>
  <c r="AP1191" i="1"/>
  <c r="AP1192" i="1"/>
  <c r="AP1193" i="1"/>
  <c r="AP1194" i="1"/>
  <c r="AP1195" i="1"/>
  <c r="AP1196" i="1"/>
  <c r="AP1197" i="1"/>
  <c r="AP1198" i="1"/>
  <c r="AP1199" i="1"/>
  <c r="AP1200" i="1"/>
  <c r="AP1201" i="1"/>
  <c r="AP1202" i="1"/>
  <c r="AP1203" i="1"/>
  <c r="AP1204" i="1"/>
  <c r="AP1205" i="1"/>
  <c r="AP1206" i="1"/>
  <c r="AP1207" i="1"/>
  <c r="AP1208" i="1"/>
  <c r="AP1209" i="1"/>
  <c r="AP1210" i="1"/>
  <c r="AP1211" i="1"/>
  <c r="AP1212" i="1"/>
  <c r="AP1213" i="1"/>
  <c r="AP1214" i="1"/>
  <c r="AP1215" i="1"/>
  <c r="AP1216" i="1"/>
  <c r="AP1217" i="1"/>
  <c r="AP1218" i="1"/>
  <c r="AP1219" i="1"/>
  <c r="AP1220" i="1"/>
  <c r="AP1221" i="1"/>
  <c r="AP1222" i="1"/>
  <c r="AP1223" i="1"/>
  <c r="AP1224" i="1"/>
  <c r="AP1225" i="1"/>
  <c r="AP1226" i="1"/>
  <c r="AP1227" i="1"/>
  <c r="AP1228" i="1"/>
  <c r="AP1229" i="1"/>
  <c r="AP1230" i="1"/>
  <c r="AP1231" i="1"/>
  <c r="AP1232" i="1"/>
  <c r="AP1233" i="1"/>
  <c r="AP1234" i="1"/>
  <c r="AP1235" i="1"/>
  <c r="AP1236" i="1"/>
  <c r="AP1237" i="1"/>
  <c r="AP1238" i="1"/>
  <c r="AP1239" i="1"/>
  <c r="AP1240" i="1"/>
  <c r="AP1241" i="1"/>
  <c r="AP1242" i="1"/>
  <c r="AP1243" i="1"/>
  <c r="AP1244" i="1"/>
  <c r="AP1245" i="1"/>
  <c r="AP1246" i="1"/>
  <c r="AP1247" i="1"/>
  <c r="AP1248" i="1"/>
  <c r="AP1249" i="1"/>
  <c r="AP1250" i="1"/>
  <c r="AP1251" i="1"/>
  <c r="AP1252" i="1"/>
  <c r="AP1253" i="1"/>
  <c r="AP1254" i="1"/>
  <c r="AP1255" i="1"/>
  <c r="AP1256" i="1"/>
  <c r="AP1257" i="1"/>
  <c r="AP1258" i="1"/>
  <c r="AP1259" i="1"/>
  <c r="AP1260" i="1"/>
  <c r="AP1261" i="1"/>
  <c r="AP1262" i="1"/>
  <c r="AP1263" i="1"/>
  <c r="AP1264" i="1"/>
  <c r="AP1265" i="1"/>
  <c r="AP1266" i="1"/>
  <c r="AP1267" i="1"/>
  <c r="AP1268" i="1"/>
  <c r="AP1269" i="1"/>
  <c r="AP1270" i="1"/>
  <c r="AP1271" i="1"/>
  <c r="AP1272" i="1"/>
  <c r="AP1273" i="1"/>
  <c r="AP1274" i="1"/>
  <c r="AP1275" i="1"/>
  <c r="AP1276" i="1"/>
  <c r="AP1277" i="1"/>
  <c r="AP1278" i="1"/>
  <c r="AP1279" i="1"/>
  <c r="AP1280" i="1"/>
  <c r="AP1281" i="1"/>
  <c r="AP1282" i="1"/>
  <c r="AP1283" i="1"/>
  <c r="AP1284" i="1"/>
  <c r="AP1285" i="1"/>
  <c r="AP1286" i="1"/>
  <c r="AP1287" i="1"/>
  <c r="AP1288" i="1"/>
  <c r="AP1289" i="1"/>
  <c r="AP1290" i="1"/>
  <c r="AP1291" i="1"/>
  <c r="AP1292" i="1"/>
  <c r="AP1293" i="1"/>
  <c r="AP1294" i="1"/>
  <c r="AP1295" i="1"/>
  <c r="AP1296" i="1"/>
  <c r="AP1297" i="1"/>
  <c r="AP1298" i="1"/>
  <c r="AP1299" i="1"/>
  <c r="AP1300" i="1"/>
  <c r="AP1301" i="1"/>
  <c r="AP1302" i="1"/>
  <c r="AP1303" i="1"/>
  <c r="AP1304" i="1"/>
  <c r="AP1305" i="1"/>
  <c r="AP1306" i="1"/>
  <c r="AP1307" i="1"/>
  <c r="AP1308" i="1"/>
  <c r="AP1309" i="1"/>
  <c r="AP1310" i="1"/>
  <c r="AP1311" i="1"/>
  <c r="AP1312" i="1"/>
  <c r="AP1313" i="1"/>
  <c r="AP1314" i="1"/>
  <c r="AP1315" i="1"/>
  <c r="AP1316" i="1"/>
  <c r="AP1317" i="1"/>
  <c r="AP1318" i="1"/>
  <c r="AP1319" i="1"/>
  <c r="AP1320" i="1"/>
  <c r="AP1321" i="1"/>
  <c r="AP1322" i="1"/>
  <c r="AP1323" i="1"/>
  <c r="AP1324" i="1"/>
  <c r="AP1325" i="1"/>
  <c r="AP1326" i="1"/>
  <c r="AP1327" i="1"/>
  <c r="AP1328" i="1"/>
  <c r="AP1329" i="1"/>
  <c r="AP1330" i="1"/>
  <c r="AP1331" i="1"/>
  <c r="AP1332" i="1"/>
  <c r="AP1333" i="1"/>
  <c r="AP1334" i="1"/>
  <c r="AP1335" i="1"/>
  <c r="AP1336" i="1"/>
  <c r="AP1337" i="1"/>
  <c r="AP1338" i="1"/>
  <c r="AP1339" i="1"/>
  <c r="AP1340" i="1"/>
  <c r="AP1341" i="1"/>
  <c r="AP1342" i="1"/>
  <c r="AP1343" i="1"/>
  <c r="AP1344" i="1"/>
  <c r="AP1345" i="1"/>
  <c r="AP1346" i="1"/>
  <c r="AP1347" i="1"/>
  <c r="AP1348" i="1"/>
  <c r="AP1349" i="1"/>
  <c r="AP1350" i="1"/>
  <c r="AP1351" i="1"/>
  <c r="AP1352" i="1"/>
  <c r="AP1353" i="1"/>
  <c r="AP1354" i="1"/>
  <c r="AP1355" i="1"/>
  <c r="AP1356" i="1"/>
  <c r="AP1357" i="1"/>
  <c r="AP1358" i="1"/>
  <c r="AP1359" i="1"/>
  <c r="AP1360" i="1"/>
  <c r="AP1361" i="1"/>
  <c r="AP1362" i="1"/>
  <c r="AP1363" i="1"/>
  <c r="AP1364" i="1"/>
  <c r="AP1365" i="1"/>
  <c r="AP1366" i="1"/>
  <c r="AP1367" i="1"/>
  <c r="AP1368" i="1"/>
  <c r="AP1369" i="1"/>
  <c r="AP1370" i="1"/>
  <c r="AP1371" i="1"/>
  <c r="AP1372" i="1"/>
  <c r="AP1373" i="1"/>
  <c r="AP1374" i="1"/>
  <c r="AP1375" i="1"/>
  <c r="AP1376" i="1"/>
  <c r="AP1377" i="1"/>
  <c r="AP1378" i="1"/>
  <c r="AP1379" i="1"/>
  <c r="AP1380" i="1"/>
  <c r="AP1381" i="1"/>
  <c r="AP1382" i="1"/>
  <c r="AP1383" i="1"/>
  <c r="AP1384" i="1"/>
  <c r="AP1385" i="1"/>
  <c r="AP1386" i="1"/>
  <c r="AP1387" i="1"/>
  <c r="AP1388" i="1"/>
  <c r="AP1389" i="1"/>
  <c r="AP1390" i="1"/>
  <c r="AP1391" i="1"/>
  <c r="AP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L849" i="1"/>
  <c r="AL850" i="1"/>
  <c r="AL851" i="1"/>
  <c r="AL852" i="1"/>
  <c r="AL853" i="1"/>
  <c r="AL854" i="1"/>
  <c r="AL855" i="1"/>
  <c r="AL856" i="1"/>
  <c r="AL857" i="1"/>
  <c r="AL858" i="1"/>
  <c r="AL859" i="1"/>
  <c r="AL860" i="1"/>
  <c r="AL861" i="1"/>
  <c r="AL862" i="1"/>
  <c r="AL863" i="1"/>
  <c r="AL864" i="1"/>
  <c r="AL865" i="1"/>
  <c r="AL866" i="1"/>
  <c r="AL867" i="1"/>
  <c r="AL868" i="1"/>
  <c r="AL869" i="1"/>
  <c r="AL870" i="1"/>
  <c r="AL871" i="1"/>
  <c r="AL872" i="1"/>
  <c r="AL873" i="1"/>
  <c r="AL874" i="1"/>
  <c r="AL875" i="1"/>
  <c r="AL876" i="1"/>
  <c r="AL877" i="1"/>
  <c r="AL878" i="1"/>
  <c r="AL879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895" i="1"/>
  <c r="AL896" i="1"/>
  <c r="AL897" i="1"/>
  <c r="AL898" i="1"/>
  <c r="AL899" i="1"/>
  <c r="AL900" i="1"/>
  <c r="AL901" i="1"/>
  <c r="AL902" i="1"/>
  <c r="AL903" i="1"/>
  <c r="AL904" i="1"/>
  <c r="AL905" i="1"/>
  <c r="AL906" i="1"/>
  <c r="AL907" i="1"/>
  <c r="AL908" i="1"/>
  <c r="AL909" i="1"/>
  <c r="AL910" i="1"/>
  <c r="AL911" i="1"/>
  <c r="AL912" i="1"/>
  <c r="AL913" i="1"/>
  <c r="AL914" i="1"/>
  <c r="AL915" i="1"/>
  <c r="AL916" i="1"/>
  <c r="AL917" i="1"/>
  <c r="AL918" i="1"/>
  <c r="AL919" i="1"/>
  <c r="AL920" i="1"/>
  <c r="AL921" i="1"/>
  <c r="AL922" i="1"/>
  <c r="AL923" i="1"/>
  <c r="AL924" i="1"/>
  <c r="AL925" i="1"/>
  <c r="AL926" i="1"/>
  <c r="AL927" i="1"/>
  <c r="AL928" i="1"/>
  <c r="AL929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944" i="1"/>
  <c r="AL945" i="1"/>
  <c r="AL946" i="1"/>
  <c r="AL947" i="1"/>
  <c r="AL948" i="1"/>
  <c r="AL949" i="1"/>
  <c r="AL950" i="1"/>
  <c r="AL951" i="1"/>
  <c r="AL952" i="1"/>
  <c r="AL953" i="1"/>
  <c r="AL954" i="1"/>
  <c r="AL955" i="1"/>
  <c r="AL956" i="1"/>
  <c r="AL957" i="1"/>
  <c r="AL958" i="1"/>
  <c r="AL959" i="1"/>
  <c r="AL960" i="1"/>
  <c r="AL961" i="1"/>
  <c r="AL962" i="1"/>
  <c r="AL963" i="1"/>
  <c r="AL964" i="1"/>
  <c r="AL965" i="1"/>
  <c r="AL966" i="1"/>
  <c r="AL967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981" i="1"/>
  <c r="AL982" i="1"/>
  <c r="AL983" i="1"/>
  <c r="AL984" i="1"/>
  <c r="AL985" i="1"/>
  <c r="AL986" i="1"/>
  <c r="AL987" i="1"/>
  <c r="AL988" i="1"/>
  <c r="AL989" i="1"/>
  <c r="AL990" i="1"/>
  <c r="AL991" i="1"/>
  <c r="AL992" i="1"/>
  <c r="AL993" i="1"/>
  <c r="AL994" i="1"/>
  <c r="AL995" i="1"/>
  <c r="AL996" i="1"/>
  <c r="AL997" i="1"/>
  <c r="AL998" i="1"/>
  <c r="AL999" i="1"/>
  <c r="AL1000" i="1"/>
  <c r="AL1001" i="1"/>
  <c r="AL1002" i="1"/>
  <c r="AL1003" i="1"/>
  <c r="AL1004" i="1"/>
  <c r="AL1005" i="1"/>
  <c r="AL1006" i="1"/>
  <c r="AL1007" i="1"/>
  <c r="AL1008" i="1"/>
  <c r="AL1009" i="1"/>
  <c r="AL1010" i="1"/>
  <c r="AL1011" i="1"/>
  <c r="AL1012" i="1"/>
  <c r="AL1013" i="1"/>
  <c r="AL1014" i="1"/>
  <c r="AL1015" i="1"/>
  <c r="AL1016" i="1"/>
  <c r="AL1017" i="1"/>
  <c r="AL1018" i="1"/>
  <c r="AL1019" i="1"/>
  <c r="AL1020" i="1"/>
  <c r="AL1021" i="1"/>
  <c r="AL1022" i="1"/>
  <c r="AL1023" i="1"/>
  <c r="AL1024" i="1"/>
  <c r="AL1025" i="1"/>
  <c r="AL1026" i="1"/>
  <c r="AL1027" i="1"/>
  <c r="AL1028" i="1"/>
  <c r="AL1029" i="1"/>
  <c r="AL1030" i="1"/>
  <c r="AL1031" i="1"/>
  <c r="AL1032" i="1"/>
  <c r="AL1033" i="1"/>
  <c r="AL1034" i="1"/>
  <c r="AL1035" i="1"/>
  <c r="AL1036" i="1"/>
  <c r="AL1037" i="1"/>
  <c r="AL1038" i="1"/>
  <c r="AL1039" i="1"/>
  <c r="AL1040" i="1"/>
  <c r="AL1041" i="1"/>
  <c r="AL1042" i="1"/>
  <c r="AL1043" i="1"/>
  <c r="AL1044" i="1"/>
  <c r="AL1045" i="1"/>
  <c r="AL1046" i="1"/>
  <c r="AL1047" i="1"/>
  <c r="AL1048" i="1"/>
  <c r="AL1049" i="1"/>
  <c r="AL1050" i="1"/>
  <c r="AL1051" i="1"/>
  <c r="AL1052" i="1"/>
  <c r="AL1053" i="1"/>
  <c r="AL1054" i="1"/>
  <c r="AL1055" i="1"/>
  <c r="AL1056" i="1"/>
  <c r="AL1057" i="1"/>
  <c r="AL1058" i="1"/>
  <c r="AL1059" i="1"/>
  <c r="AL1060" i="1"/>
  <c r="AL1061" i="1"/>
  <c r="AL1062" i="1"/>
  <c r="AL1063" i="1"/>
  <c r="AL1064" i="1"/>
  <c r="AL1065" i="1"/>
  <c r="AL1066" i="1"/>
  <c r="AL1067" i="1"/>
  <c r="AL1068" i="1"/>
  <c r="AL1069" i="1"/>
  <c r="AL1070" i="1"/>
  <c r="AL1071" i="1"/>
  <c r="AL1072" i="1"/>
  <c r="AL1073" i="1"/>
  <c r="AL1074" i="1"/>
  <c r="AL1075" i="1"/>
  <c r="AL1076" i="1"/>
  <c r="AL1077" i="1"/>
  <c r="AL1078" i="1"/>
  <c r="AL1079" i="1"/>
  <c r="AL1080" i="1"/>
  <c r="AL1081" i="1"/>
  <c r="AL1082" i="1"/>
  <c r="AL1083" i="1"/>
  <c r="AL1084" i="1"/>
  <c r="AL1085" i="1"/>
  <c r="AL1086" i="1"/>
  <c r="AL1087" i="1"/>
  <c r="AL1088" i="1"/>
  <c r="AL1089" i="1"/>
  <c r="AL1090" i="1"/>
  <c r="AL1091" i="1"/>
  <c r="AL1092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12" i="1"/>
  <c r="AL1113" i="1"/>
  <c r="AL1114" i="1"/>
  <c r="AL1115" i="1"/>
  <c r="AL1116" i="1"/>
  <c r="AL1117" i="1"/>
  <c r="AL1118" i="1"/>
  <c r="AL1119" i="1"/>
  <c r="AL1120" i="1"/>
  <c r="AL1121" i="1"/>
  <c r="AL1122" i="1"/>
  <c r="AL1123" i="1"/>
  <c r="AL1124" i="1"/>
  <c r="AL1125" i="1"/>
  <c r="AL1126" i="1"/>
  <c r="AL1127" i="1"/>
  <c r="AL1128" i="1"/>
  <c r="AL1129" i="1"/>
  <c r="AL1130" i="1"/>
  <c r="AL1131" i="1"/>
  <c r="AL1132" i="1"/>
  <c r="AL1133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149" i="1"/>
  <c r="AL1150" i="1"/>
  <c r="AL1151" i="1"/>
  <c r="AL1152" i="1"/>
  <c r="AL1153" i="1"/>
  <c r="AL1154" i="1"/>
  <c r="AL1155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L2" i="1"/>
  <c r="AH2" i="1"/>
  <c r="AD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Z2" i="1"/>
  <c r="V2" i="1"/>
  <c r="R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2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" i="6" l="1"/>
  <c r="BC2" i="6"/>
  <c r="BD2" i="6"/>
  <c r="BC3" i="6"/>
  <c r="BD3" i="6"/>
  <c r="BC4" i="6"/>
  <c r="BD4" i="6"/>
  <c r="BC5" i="6"/>
  <c r="BD5" i="6"/>
  <c r="BD15" i="6"/>
  <c r="BD25" i="6"/>
  <c r="BD35" i="6"/>
  <c r="BD45" i="6"/>
  <c r="BD55" i="6"/>
  <c r="BD65" i="6"/>
  <c r="BD75" i="6"/>
  <c r="AY78" i="6"/>
  <c r="AY68" i="6"/>
  <c r="AY58" i="6"/>
  <c r="AY48" i="6"/>
  <c r="AY38" i="6"/>
  <c r="AY28" i="6"/>
  <c r="AY18" i="6"/>
  <c r="AY8" i="6"/>
  <c r="AU78" i="6"/>
  <c r="AU68" i="6"/>
  <c r="AU58" i="6"/>
  <c r="AU48" i="6"/>
  <c r="AU38" i="6"/>
  <c r="AU28" i="6"/>
  <c r="AU18" i="6"/>
  <c r="AU8" i="6"/>
  <c r="AQ78" i="6"/>
  <c r="AQ68" i="6"/>
  <c r="AQ58" i="6"/>
  <c r="AQ48" i="6"/>
  <c r="AQ38" i="6"/>
  <c r="AQ28" i="6"/>
  <c r="AQ18" i="6"/>
  <c r="AQ8" i="6"/>
  <c r="AM78" i="6"/>
  <c r="AM68" i="6"/>
  <c r="AM58" i="6"/>
  <c r="BC6" i="6"/>
  <c r="BD6" i="6"/>
  <c r="BC7" i="6"/>
  <c r="BD7" i="6"/>
  <c r="BC8" i="6"/>
  <c r="BD8" i="6"/>
  <c r="BC9" i="6"/>
  <c r="BD9" i="6"/>
  <c r="BD19" i="6"/>
  <c r="BD29" i="6"/>
  <c r="BD39" i="6"/>
  <c r="BD49" i="6"/>
  <c r="BD59" i="6"/>
  <c r="BD69" i="6"/>
  <c r="BD79" i="6"/>
  <c r="AY74" i="6"/>
  <c r="AY64" i="6"/>
  <c r="AY54" i="6"/>
  <c r="AY44" i="6"/>
  <c r="AY34" i="6"/>
  <c r="AY24" i="6"/>
  <c r="AY14" i="6"/>
  <c r="AY4" i="6"/>
  <c r="AU74" i="6"/>
  <c r="AU64" i="6"/>
  <c r="AU54" i="6"/>
  <c r="AU44" i="6"/>
  <c r="AU34" i="6"/>
  <c r="AU24" i="6"/>
  <c r="AU14" i="6"/>
  <c r="AU4" i="6"/>
  <c r="AQ74" i="6"/>
  <c r="AQ64" i="6"/>
  <c r="AQ54" i="6"/>
  <c r="AQ44" i="6"/>
  <c r="AQ34" i="6"/>
  <c r="AQ24" i="6"/>
  <c r="AQ14" i="6"/>
  <c r="AQ4" i="6"/>
  <c r="AM74" i="6"/>
  <c r="AM64" i="6"/>
  <c r="AM54" i="6"/>
  <c r="AM44" i="6"/>
  <c r="AM34" i="6"/>
  <c r="AM24" i="6"/>
  <c r="AM14" i="6"/>
  <c r="AM4" i="6"/>
  <c r="AI74" i="6"/>
  <c r="AI64" i="6"/>
  <c r="AI54" i="6"/>
  <c r="AI44" i="6"/>
  <c r="AI34" i="6"/>
  <c r="AI24" i="6"/>
  <c r="AI14" i="6"/>
  <c r="AI4" i="6"/>
  <c r="AE74" i="6"/>
  <c r="AE64" i="6"/>
  <c r="AE54" i="6"/>
  <c r="AE44" i="6"/>
  <c r="AE34" i="6"/>
  <c r="AE24" i="6"/>
  <c r="AE14" i="6"/>
  <c r="AE4" i="6"/>
  <c r="AA74" i="6"/>
  <c r="AA64" i="6"/>
  <c r="AA54" i="6"/>
  <c r="AA44" i="6"/>
  <c r="AA34" i="6"/>
  <c r="AA24" i="6"/>
  <c r="AA14" i="6"/>
  <c r="AA4" i="6"/>
  <c r="W74" i="6"/>
  <c r="W64" i="6"/>
  <c r="W54" i="6"/>
  <c r="W44" i="6"/>
  <c r="W34" i="6"/>
  <c r="W24" i="6"/>
  <c r="W14" i="6"/>
  <c r="W4" i="6"/>
  <c r="S74" i="6"/>
  <c r="S64" i="6"/>
  <c r="S54" i="6"/>
  <c r="S44" i="6"/>
  <c r="S34" i="6"/>
  <c r="S24" i="6"/>
  <c r="S14" i="6"/>
  <c r="S4" i="6"/>
  <c r="BC10" i="6"/>
  <c r="BC20" i="6"/>
  <c r="BC30" i="6"/>
  <c r="BC40" i="6"/>
  <c r="BC50" i="6"/>
  <c r="BC60" i="6"/>
  <c r="BC70" i="6"/>
  <c r="BC80" i="6"/>
  <c r="BA73" i="6"/>
  <c r="BA63" i="6"/>
  <c r="BA53" i="6"/>
  <c r="BA43" i="6"/>
  <c r="BA33" i="6"/>
  <c r="BA23" i="6"/>
  <c r="BA13" i="6"/>
  <c r="BA3" i="6"/>
  <c r="AW73" i="6"/>
  <c r="AW63" i="6"/>
  <c r="AW53" i="6"/>
  <c r="AW43" i="6"/>
  <c r="AW33" i="6"/>
  <c r="AW23" i="6"/>
  <c r="AW13" i="6"/>
  <c r="AW3" i="6"/>
  <c r="AS73" i="6"/>
  <c r="AS63" i="6"/>
  <c r="AS53" i="6"/>
  <c r="AS43" i="6"/>
  <c r="AS33" i="6"/>
  <c r="AS23" i="6"/>
  <c r="AS13" i="6"/>
  <c r="AS3" i="6"/>
  <c r="AO73" i="6"/>
  <c r="AO63" i="6"/>
  <c r="AO53" i="6"/>
  <c r="AO43" i="6"/>
  <c r="AO33" i="6"/>
  <c r="AO23" i="6"/>
  <c r="AO13" i="6"/>
  <c r="AO3" i="6"/>
  <c r="AK73" i="6"/>
  <c r="AK63" i="6"/>
  <c r="AK53" i="6"/>
  <c r="AK43" i="6"/>
  <c r="AK33" i="6"/>
  <c r="AK23" i="6"/>
  <c r="AK13" i="6"/>
  <c r="AK3" i="6"/>
  <c r="AG73" i="6"/>
  <c r="AG63" i="6"/>
  <c r="AG53" i="6"/>
  <c r="AG43" i="6"/>
  <c r="AG33" i="6"/>
  <c r="AG23" i="6"/>
  <c r="AG13" i="6"/>
  <c r="AG3" i="6"/>
  <c r="AC73" i="6"/>
  <c r="AC63" i="6"/>
  <c r="AC53" i="6"/>
  <c r="AC43" i="6"/>
  <c r="AC33" i="6"/>
  <c r="AC23" i="6"/>
  <c r="AC13" i="6"/>
  <c r="AC3" i="6"/>
  <c r="Y73" i="6"/>
  <c r="Y63" i="6"/>
  <c r="Y53" i="6"/>
  <c r="Y43" i="6"/>
  <c r="Y33" i="6"/>
  <c r="Y23" i="6"/>
  <c r="Y13" i="6"/>
  <c r="Y3" i="6"/>
  <c r="U73" i="6"/>
  <c r="U63" i="6"/>
  <c r="U53" i="6"/>
  <c r="U43" i="6"/>
  <c r="U33" i="6"/>
  <c r="U23" i="6"/>
  <c r="U13" i="6"/>
  <c r="U3" i="6"/>
  <c r="Q73" i="6"/>
  <c r="Q63" i="6"/>
  <c r="Q53" i="6"/>
  <c r="Q43" i="6"/>
  <c r="Q33" i="6"/>
  <c r="BD10" i="6"/>
  <c r="BC11" i="6"/>
  <c r="BD11" i="6"/>
  <c r="BC12" i="6"/>
  <c r="BD23" i="6"/>
  <c r="BC35" i="6"/>
  <c r="BC47" i="6"/>
  <c r="BD58" i="6"/>
  <c r="BC71" i="6"/>
  <c r="AY81" i="6"/>
  <c r="BA69" i="6"/>
  <c r="BA57" i="6"/>
  <c r="AY46" i="6"/>
  <c r="BA34" i="6"/>
  <c r="AY22" i="6"/>
  <c r="BA10" i="6"/>
  <c r="AU79" i="6"/>
  <c r="AU67" i="6"/>
  <c r="AW55" i="6"/>
  <c r="AU43" i="6"/>
  <c r="AW31" i="6"/>
  <c r="AU20" i="6"/>
  <c r="AV20" i="6" s="1"/>
  <c r="AW8" i="6"/>
  <c r="AS76" i="6"/>
  <c r="AQ65" i="6"/>
  <c r="AS52" i="6"/>
  <c r="AQ41" i="6"/>
  <c r="AS29" i="6"/>
  <c r="AS17" i="6"/>
  <c r="AQ6" i="6"/>
  <c r="AO74" i="6"/>
  <c r="AM62" i="6"/>
  <c r="AO50" i="6"/>
  <c r="AO39" i="6"/>
  <c r="AO28" i="6"/>
  <c r="AO17" i="6"/>
  <c r="AO6" i="6"/>
  <c r="AK75" i="6"/>
  <c r="AK64" i="6"/>
  <c r="AK52" i="6"/>
  <c r="AK41" i="6"/>
  <c r="AK30" i="6"/>
  <c r="AK19" i="6"/>
  <c r="AK8" i="6"/>
  <c r="AG77" i="6"/>
  <c r="AG66" i="6"/>
  <c r="AG55" i="6"/>
  <c r="AG44" i="6"/>
  <c r="AG32" i="6"/>
  <c r="AG21" i="6"/>
  <c r="AG10" i="6"/>
  <c r="AC79" i="6"/>
  <c r="AC68" i="6"/>
  <c r="AC57" i="6"/>
  <c r="AC46" i="6"/>
  <c r="AC35" i="6"/>
  <c r="AC24" i="6"/>
  <c r="AC12" i="6"/>
  <c r="Y81" i="6"/>
  <c r="Y70" i="6"/>
  <c r="Y59" i="6"/>
  <c r="Y48" i="6"/>
  <c r="Y37" i="6"/>
  <c r="Y26" i="6"/>
  <c r="Y15" i="6"/>
  <c r="Y4" i="6"/>
  <c r="U72" i="6"/>
  <c r="U61" i="6"/>
  <c r="U50" i="6"/>
  <c r="U39" i="6"/>
  <c r="U28" i="6"/>
  <c r="U17" i="6"/>
  <c r="U6" i="6"/>
  <c r="Q75" i="6"/>
  <c r="O65" i="6"/>
  <c r="Q54" i="6"/>
  <c r="O44" i="6"/>
  <c r="O33" i="6"/>
  <c r="O23" i="6"/>
  <c r="O13" i="6"/>
  <c r="O3" i="6"/>
  <c r="P3" i="6" s="1"/>
  <c r="K73" i="6"/>
  <c r="K63" i="6"/>
  <c r="K53" i="6"/>
  <c r="K43" i="6"/>
  <c r="K33" i="6"/>
  <c r="K23" i="6"/>
  <c r="K13" i="6"/>
  <c r="BD12" i="6"/>
  <c r="BC24" i="6"/>
  <c r="BC36" i="6"/>
  <c r="BC14" i="6"/>
  <c r="BC26" i="6"/>
  <c r="BC17" i="6"/>
  <c r="BD28" i="6"/>
  <c r="BC41" i="6"/>
  <c r="BD52" i="6"/>
  <c r="BC64" i="6"/>
  <c r="BC76" i="6"/>
  <c r="AY76" i="6"/>
  <c r="BA64" i="6"/>
  <c r="AY52" i="6"/>
  <c r="BA40" i="6"/>
  <c r="AY29" i="6"/>
  <c r="AY17" i="6"/>
  <c r="BA5" i="6"/>
  <c r="AU73" i="6"/>
  <c r="AW61" i="6"/>
  <c r="AU50" i="6"/>
  <c r="AW38" i="6"/>
  <c r="AW26" i="6"/>
  <c r="AU15" i="6"/>
  <c r="AW2" i="6"/>
  <c r="AQ71" i="6"/>
  <c r="AS59" i="6"/>
  <c r="AS47" i="6"/>
  <c r="AQ36" i="6"/>
  <c r="AS24" i="6"/>
  <c r="AQ12" i="6"/>
  <c r="AO80" i="6"/>
  <c r="AM69" i="6"/>
  <c r="AM57" i="6"/>
  <c r="AM46" i="6"/>
  <c r="AM35" i="6"/>
  <c r="AM23" i="6"/>
  <c r="AM12" i="6"/>
  <c r="AI81" i="6"/>
  <c r="AI70" i="6"/>
  <c r="AI59" i="6"/>
  <c r="AI48" i="6"/>
  <c r="AI37" i="6"/>
  <c r="AI26" i="6"/>
  <c r="AI15" i="6"/>
  <c r="AI3" i="6"/>
  <c r="AE72" i="6"/>
  <c r="AE61" i="6"/>
  <c r="AE50" i="6"/>
  <c r="AE39" i="6"/>
  <c r="AE28" i="6"/>
  <c r="AE17" i="6"/>
  <c r="AE6" i="6"/>
  <c r="AA75" i="6"/>
  <c r="AA63" i="6"/>
  <c r="AA52" i="6"/>
  <c r="AA41" i="6"/>
  <c r="AA30" i="6"/>
  <c r="AA19" i="6"/>
  <c r="AA8" i="6"/>
  <c r="BC19" i="6"/>
  <c r="BC23" i="6"/>
  <c r="BD34" i="6"/>
  <c r="BC13" i="6"/>
  <c r="BC29" i="6"/>
  <c r="BD43" i="6"/>
  <c r="BD56" i="6"/>
  <c r="BC69" i="6"/>
  <c r="BA80" i="6"/>
  <c r="BA67" i="6"/>
  <c r="AY55" i="6"/>
  <c r="BA41" i="6"/>
  <c r="BA28" i="6"/>
  <c r="BA15" i="6"/>
  <c r="AY2" i="6"/>
  <c r="AW69" i="6"/>
  <c r="AW56" i="6"/>
  <c r="AW42" i="6"/>
  <c r="AU30" i="6"/>
  <c r="AU17" i="6"/>
  <c r="AW4" i="6"/>
  <c r="AS70" i="6"/>
  <c r="AS57" i="6"/>
  <c r="AQ45" i="6"/>
  <c r="AS31" i="6"/>
  <c r="AQ19" i="6"/>
  <c r="AS5" i="6"/>
  <c r="AM72" i="6"/>
  <c r="AO59" i="6"/>
  <c r="AM47" i="6"/>
  <c r="AO34" i="6"/>
  <c r="AO21" i="6"/>
  <c r="AO9" i="6"/>
  <c r="AK77" i="6"/>
  <c r="AK65" i="6"/>
  <c r="AI52" i="6"/>
  <c r="AI40" i="6"/>
  <c r="AI28" i="6"/>
  <c r="AI16" i="6"/>
  <c r="AK2" i="6"/>
  <c r="AL2" i="6" s="1"/>
  <c r="AG70" i="6"/>
  <c r="AG58" i="6"/>
  <c r="AG46" i="6"/>
  <c r="AG34" i="6"/>
  <c r="AE21" i="6"/>
  <c r="AE9" i="6"/>
  <c r="AA77" i="6"/>
  <c r="AA65" i="6"/>
  <c r="AC51" i="6"/>
  <c r="AC39" i="6"/>
  <c r="AC27" i="6"/>
  <c r="AC15" i="6"/>
  <c r="AC2" i="6"/>
  <c r="AD2" i="6" s="1"/>
  <c r="W71" i="6"/>
  <c r="X71" i="6" s="1"/>
  <c r="W59" i="6"/>
  <c r="Y47" i="6"/>
  <c r="W36" i="6"/>
  <c r="Y24" i="6"/>
  <c r="W12" i="6"/>
  <c r="U80" i="6"/>
  <c r="S69" i="6"/>
  <c r="U57" i="6"/>
  <c r="S46" i="6"/>
  <c r="U34" i="6"/>
  <c r="S22" i="6"/>
  <c r="U10" i="6"/>
  <c r="O79" i="6"/>
  <c r="O68" i="6"/>
  <c r="O57" i="6"/>
  <c r="O46" i="6"/>
  <c r="O35" i="6"/>
  <c r="O24" i="6"/>
  <c r="Q13" i="6"/>
  <c r="Q2" i="6"/>
  <c r="R2" i="6" s="1"/>
  <c r="K72" i="6"/>
  <c r="M61" i="6"/>
  <c r="K51" i="6"/>
  <c r="M40" i="6"/>
  <c r="K30" i="6"/>
  <c r="M19" i="6"/>
  <c r="K9" i="6"/>
  <c r="G79" i="6"/>
  <c r="G69" i="6"/>
  <c r="G59" i="6"/>
  <c r="G49" i="6"/>
  <c r="G39" i="6"/>
  <c r="G29" i="6"/>
  <c r="G19" i="6"/>
  <c r="G9" i="6"/>
  <c r="E8" i="6"/>
  <c r="C22" i="6"/>
  <c r="C42" i="6"/>
  <c r="C62" i="6"/>
  <c r="E28" i="6"/>
  <c r="E48" i="6"/>
  <c r="E68" i="6"/>
  <c r="W70" i="6"/>
  <c r="W23" i="6"/>
  <c r="S80" i="6"/>
  <c r="U68" i="6"/>
  <c r="U45" i="6"/>
  <c r="S33" i="6"/>
  <c r="U21" i="6"/>
  <c r="Q78" i="6"/>
  <c r="Q67" i="6"/>
  <c r="Q56" i="6"/>
  <c r="Q34" i="6"/>
  <c r="Q23" i="6"/>
  <c r="Q12" i="6"/>
  <c r="O2" i="6"/>
  <c r="K61" i="6"/>
  <c r="M50" i="6"/>
  <c r="K40" i="6"/>
  <c r="M29" i="6"/>
  <c r="M8" i="6"/>
  <c r="I78" i="6"/>
  <c r="I68" i="6"/>
  <c r="I48" i="6"/>
  <c r="I38" i="6"/>
  <c r="I28" i="6"/>
  <c r="I8" i="6"/>
  <c r="C3" i="6"/>
  <c r="D3" i="6" s="1"/>
  <c r="C23" i="6"/>
  <c r="C63" i="6"/>
  <c r="E9" i="6"/>
  <c r="E29" i="6"/>
  <c r="E69" i="6"/>
  <c r="M39" i="6"/>
  <c r="G78" i="6"/>
  <c r="G48" i="6"/>
  <c r="G18" i="6"/>
  <c r="G8" i="6"/>
  <c r="C44" i="6"/>
  <c r="BD13" i="6"/>
  <c r="BD30" i="6"/>
  <c r="BC44" i="6"/>
  <c r="BC57" i="6"/>
  <c r="BD70" i="6"/>
  <c r="AY80" i="6"/>
  <c r="AY67" i="6"/>
  <c r="BA54" i="6"/>
  <c r="AY41" i="6"/>
  <c r="BA27" i="6"/>
  <c r="AY15" i="6"/>
  <c r="AW81" i="6"/>
  <c r="AU69" i="6"/>
  <c r="AU56" i="6"/>
  <c r="AU42" i="6"/>
  <c r="AW29" i="6"/>
  <c r="AW16" i="6"/>
  <c r="AU3" i="6"/>
  <c r="AV3" i="6" s="1"/>
  <c r="AQ70" i="6"/>
  <c r="AQ57" i="6"/>
  <c r="AS44" i="6"/>
  <c r="AQ31" i="6"/>
  <c r="AS18" i="6"/>
  <c r="AQ5" i="6"/>
  <c r="AO71" i="6"/>
  <c r="AM59" i="6"/>
  <c r="AO46" i="6"/>
  <c r="AM33" i="6"/>
  <c r="AM21" i="6"/>
  <c r="AM9" i="6"/>
  <c r="AI77" i="6"/>
  <c r="AI65" i="6"/>
  <c r="AK51" i="6"/>
  <c r="AK39" i="6"/>
  <c r="AK27" i="6"/>
  <c r="AK15" i="6"/>
  <c r="AI2" i="6"/>
  <c r="AE70" i="6"/>
  <c r="AE58" i="6"/>
  <c r="AE46" i="6"/>
  <c r="AE33" i="6"/>
  <c r="AG20" i="6"/>
  <c r="AG8" i="6"/>
  <c r="AC76" i="6"/>
  <c r="AC64" i="6"/>
  <c r="AA51" i="6"/>
  <c r="AA39" i="6"/>
  <c r="AA27" i="6"/>
  <c r="AA15" i="6"/>
  <c r="AA2" i="6"/>
  <c r="Y58" i="6"/>
  <c r="Z58" i="6" s="1"/>
  <c r="W47" i="6"/>
  <c r="Y35" i="6"/>
  <c r="Y11" i="6"/>
  <c r="S57" i="6"/>
  <c r="S10" i="6"/>
  <c r="Q45" i="6"/>
  <c r="M71" i="6"/>
  <c r="K19" i="6"/>
  <c r="I58" i="6"/>
  <c r="J58" i="6" s="1"/>
  <c r="I18" i="6"/>
  <c r="C43" i="6"/>
  <c r="E49" i="6"/>
  <c r="M18" i="6"/>
  <c r="G58" i="6"/>
  <c r="G28" i="6"/>
  <c r="C24" i="6"/>
  <c r="BD14" i="6"/>
  <c r="BC31" i="6"/>
  <c r="BD44" i="6"/>
  <c r="BD57" i="6"/>
  <c r="BD71" i="6"/>
  <c r="BA79" i="6"/>
  <c r="BA66" i="6"/>
  <c r="AY53" i="6"/>
  <c r="AY40" i="6"/>
  <c r="AY27" i="6"/>
  <c r="BA14" i="6"/>
  <c r="AU81" i="6"/>
  <c r="AW68" i="6"/>
  <c r="AU55" i="6"/>
  <c r="AW41" i="6"/>
  <c r="AU29" i="6"/>
  <c r="AU16" i="6"/>
  <c r="AU2" i="6"/>
  <c r="AS69" i="6"/>
  <c r="AS56" i="6"/>
  <c r="AQ43" i="6"/>
  <c r="AS30" i="6"/>
  <c r="AQ17" i="6"/>
  <c r="AS4" i="6"/>
  <c r="AM71" i="6"/>
  <c r="AO58" i="6"/>
  <c r="AP58" i="6" s="1"/>
  <c r="AO45" i="6"/>
  <c r="AO32" i="6"/>
  <c r="AO20" i="6"/>
  <c r="AO8" i="6"/>
  <c r="AK76" i="6"/>
  <c r="AI63" i="6"/>
  <c r="AI51" i="6"/>
  <c r="AI39" i="6"/>
  <c r="AI27" i="6"/>
  <c r="AK14" i="6"/>
  <c r="AG81" i="6"/>
  <c r="AG69" i="6"/>
  <c r="AG57" i="6"/>
  <c r="AG45" i="6"/>
  <c r="AE32" i="6"/>
  <c r="AE20" i="6"/>
  <c r="AE8" i="6"/>
  <c r="AA76" i="6"/>
  <c r="AC62" i="6"/>
  <c r="AC50" i="6"/>
  <c r="AC38" i="6"/>
  <c r="AC26" i="6"/>
  <c r="AC14" i="6"/>
  <c r="W81" i="6"/>
  <c r="Y69" i="6"/>
  <c r="W58" i="6"/>
  <c r="Y46" i="6"/>
  <c r="W35" i="6"/>
  <c r="Y22" i="6"/>
  <c r="W11" i="6"/>
  <c r="U79" i="6"/>
  <c r="S68" i="6"/>
  <c r="U56" i="6"/>
  <c r="S45" i="6"/>
  <c r="U32" i="6"/>
  <c r="S21" i="6"/>
  <c r="U9" i="6"/>
  <c r="O78" i="6"/>
  <c r="O67" i="6"/>
  <c r="O56" i="6"/>
  <c r="O45" i="6"/>
  <c r="O34" i="6"/>
  <c r="Q22" i="6"/>
  <c r="O12" i="6"/>
  <c r="M81" i="6"/>
  <c r="K71" i="6"/>
  <c r="M60" i="6"/>
  <c r="K50" i="6"/>
  <c r="K29" i="6"/>
  <c r="K8" i="6"/>
  <c r="G68" i="6"/>
  <c r="G38" i="6"/>
  <c r="C4" i="6"/>
  <c r="BC15" i="6"/>
  <c r="BD31" i="6"/>
  <c r="BC45" i="6"/>
  <c r="BC58" i="6"/>
  <c r="BC72" i="6"/>
  <c r="AY79" i="6"/>
  <c r="AY66" i="6"/>
  <c r="BA52" i="6"/>
  <c r="BA39" i="6"/>
  <c r="BA26" i="6"/>
  <c r="AY13" i="6"/>
  <c r="AW80" i="6"/>
  <c r="AW67" i="6"/>
  <c r="AW54" i="6"/>
  <c r="AU41" i="6"/>
  <c r="AW28" i="6"/>
  <c r="AW15" i="6"/>
  <c r="AS81" i="6"/>
  <c r="AQ69" i="6"/>
  <c r="AQ56" i="6"/>
  <c r="AS42" i="6"/>
  <c r="AQ30" i="6"/>
  <c r="AS16" i="6"/>
  <c r="AQ3" i="6"/>
  <c r="AR3" i="6" s="1"/>
  <c r="AO70" i="6"/>
  <c r="AO57" i="6"/>
  <c r="AM45" i="6"/>
  <c r="AM32" i="6"/>
  <c r="AM20" i="6"/>
  <c r="AM8" i="6"/>
  <c r="AI76" i="6"/>
  <c r="AK62" i="6"/>
  <c r="AK50" i="6"/>
  <c r="AK38" i="6"/>
  <c r="AK26" i="6"/>
  <c r="AI13" i="6"/>
  <c r="AE81" i="6"/>
  <c r="AE69" i="6"/>
  <c r="AE57" i="6"/>
  <c r="AE45" i="6"/>
  <c r="AG31" i="6"/>
  <c r="AG19" i="6"/>
  <c r="AG7" i="6"/>
  <c r="AC75" i="6"/>
  <c r="AA62" i="6"/>
  <c r="AA50" i="6"/>
  <c r="AA38" i="6"/>
  <c r="AA26" i="6"/>
  <c r="AA13" i="6"/>
  <c r="Y80" i="6"/>
  <c r="W69" i="6"/>
  <c r="Y57" i="6"/>
  <c r="W46" i="6"/>
  <c r="Y34" i="6"/>
  <c r="Z34" i="6" s="1"/>
  <c r="W22" i="6"/>
  <c r="Y10" i="6"/>
  <c r="S79" i="6"/>
  <c r="U67" i="6"/>
  <c r="S56" i="6"/>
  <c r="U44" i="6"/>
  <c r="S32" i="6"/>
  <c r="U20" i="6"/>
  <c r="S9" i="6"/>
  <c r="Q77" i="6"/>
  <c r="Q66" i="6"/>
  <c r="BC16" i="6"/>
  <c r="BC32" i="6"/>
  <c r="BC46" i="6"/>
  <c r="BC59" i="6"/>
  <c r="BD72" i="6"/>
  <c r="BA78" i="6"/>
  <c r="BD17" i="6"/>
  <c r="BC33" i="6"/>
  <c r="BD47" i="6"/>
  <c r="BC61" i="6"/>
  <c r="BD73" i="6"/>
  <c r="AY77" i="6"/>
  <c r="AY63" i="6"/>
  <c r="BA50" i="6"/>
  <c r="BA37" i="6"/>
  <c r="AY25" i="6"/>
  <c r="BA11" i="6"/>
  <c r="AW78" i="6"/>
  <c r="BC18" i="6"/>
  <c r="BD33" i="6"/>
  <c r="BC48" i="6"/>
  <c r="BD61" i="6"/>
  <c r="BC74" i="6"/>
  <c r="BA76" i="6"/>
  <c r="BD20" i="6"/>
  <c r="BD36" i="6"/>
  <c r="BC49" i="6"/>
  <c r="BD62" i="6"/>
  <c r="BC75" i="6"/>
  <c r="AY75" i="6"/>
  <c r="BA61" i="6"/>
  <c r="AY49" i="6"/>
  <c r="AY36" i="6"/>
  <c r="BA22" i="6"/>
  <c r="BA9" i="6"/>
  <c r="AW76" i="6"/>
  <c r="AU63" i="6"/>
  <c r="AW50" i="6"/>
  <c r="AU37" i="6"/>
  <c r="AW24" i="6"/>
  <c r="AU11" i="6"/>
  <c r="AS78" i="6"/>
  <c r="AS65" i="6"/>
  <c r="AS51" i="6"/>
  <c r="AQ39" i="6"/>
  <c r="AQ26" i="6"/>
  <c r="AS12" i="6"/>
  <c r="AT12" i="6" s="1"/>
  <c r="AO79" i="6"/>
  <c r="AO66" i="6"/>
  <c r="AM53" i="6"/>
  <c r="AM41" i="6"/>
  <c r="AM29" i="6"/>
  <c r="AO16" i="6"/>
  <c r="AO4" i="6"/>
  <c r="AK71" i="6"/>
  <c r="AK59" i="6"/>
  <c r="AI47" i="6"/>
  <c r="AI35" i="6"/>
  <c r="AI22" i="6"/>
  <c r="AI10" i="6"/>
  <c r="AE78" i="6"/>
  <c r="AG65" i="6"/>
  <c r="AG52" i="6"/>
  <c r="AG40" i="6"/>
  <c r="AG28" i="6"/>
  <c r="AE16" i="6"/>
  <c r="AE3" i="6"/>
  <c r="AF3" i="6" s="1"/>
  <c r="AA71" i="6"/>
  <c r="AA59" i="6"/>
  <c r="AA47" i="6"/>
  <c r="AC34" i="6"/>
  <c r="AC21" i="6"/>
  <c r="AC9" i="6"/>
  <c r="Y77" i="6"/>
  <c r="W66" i="6"/>
  <c r="Y54" i="6"/>
  <c r="W42" i="6"/>
  <c r="Y30" i="6"/>
  <c r="W19" i="6"/>
  <c r="X19" i="6" s="1"/>
  <c r="Y7" i="6"/>
  <c r="S76" i="6"/>
  <c r="U64" i="6"/>
  <c r="S52" i="6"/>
  <c r="U40" i="6"/>
  <c r="S29" i="6"/>
  <c r="S17" i="6"/>
  <c r="U5" i="6"/>
  <c r="O74" i="6"/>
  <c r="Q62" i="6"/>
  <c r="Q51" i="6"/>
  <c r="Q40" i="6"/>
  <c r="Q29" i="6"/>
  <c r="O19" i="6"/>
  <c r="Q8" i="6"/>
  <c r="K78" i="6"/>
  <c r="M67" i="6"/>
  <c r="K57" i="6"/>
  <c r="M46" i="6"/>
  <c r="K36" i="6"/>
  <c r="M25" i="6"/>
  <c r="K15" i="6"/>
  <c r="M4" i="6"/>
  <c r="I74" i="6"/>
  <c r="I64" i="6"/>
  <c r="I54" i="6"/>
  <c r="I44" i="6"/>
  <c r="I34" i="6"/>
  <c r="I24" i="6"/>
  <c r="I14" i="6"/>
  <c r="J14" i="6" s="1"/>
  <c r="BD22" i="6"/>
  <c r="BD38" i="6"/>
  <c r="BC52" i="6"/>
  <c r="BC65" i="6"/>
  <c r="BC78" i="6"/>
  <c r="AY72" i="6"/>
  <c r="BA59" i="6"/>
  <c r="BA46" i="6"/>
  <c r="BA32" i="6"/>
  <c r="AY20" i="6"/>
  <c r="AY7" i="6"/>
  <c r="AW74" i="6"/>
  <c r="BD16" i="6"/>
  <c r="BD42" i="6"/>
  <c r="BC67" i="6"/>
  <c r="BA71" i="6"/>
  <c r="AY51" i="6"/>
  <c r="BA31" i="6"/>
  <c r="AY11" i="6"/>
  <c r="AW71" i="6"/>
  <c r="AX71" i="6" s="1"/>
  <c r="AW52" i="6"/>
  <c r="AU36" i="6"/>
  <c r="AW19" i="6"/>
  <c r="AS80" i="6"/>
  <c r="AQ63" i="6"/>
  <c r="AQ47" i="6"/>
  <c r="AR47" i="6" s="1"/>
  <c r="AS28" i="6"/>
  <c r="AQ11" i="6"/>
  <c r="AO75" i="6"/>
  <c r="AM56" i="6"/>
  <c r="AM40" i="6"/>
  <c r="AM25" i="6"/>
  <c r="AM7" i="6"/>
  <c r="AK70" i="6"/>
  <c r="AK55" i="6"/>
  <c r="AK37" i="6"/>
  <c r="AI21" i="6"/>
  <c r="AI6" i="6"/>
  <c r="AJ6" i="6" s="1"/>
  <c r="AE68" i="6"/>
  <c r="AG51" i="6"/>
  <c r="AG36" i="6"/>
  <c r="AG18" i="6"/>
  <c r="AE2" i="6"/>
  <c r="AF2" i="6" s="1"/>
  <c r="AA67" i="6"/>
  <c r="AA49" i="6"/>
  <c r="AC32" i="6"/>
  <c r="AC17" i="6"/>
  <c r="Y79" i="6"/>
  <c r="W65" i="6"/>
  <c r="W50" i="6"/>
  <c r="Y32" i="6"/>
  <c r="W18" i="6"/>
  <c r="Y2" i="6"/>
  <c r="Z2" i="6" s="1"/>
  <c r="U66" i="6"/>
  <c r="S51" i="6"/>
  <c r="U36" i="6"/>
  <c r="U19" i="6"/>
  <c r="U4" i="6"/>
  <c r="O70" i="6"/>
  <c r="O55" i="6"/>
  <c r="O41" i="6"/>
  <c r="Q27" i="6"/>
  <c r="O15" i="6"/>
  <c r="P15" i="6" s="1"/>
  <c r="M80" i="6"/>
  <c r="K68" i="6"/>
  <c r="K55" i="6"/>
  <c r="K42" i="6"/>
  <c r="K28" i="6"/>
  <c r="M15" i="6"/>
  <c r="M2" i="6"/>
  <c r="I70" i="6"/>
  <c r="G57" i="6"/>
  <c r="G45" i="6"/>
  <c r="I32" i="6"/>
  <c r="I20" i="6"/>
  <c r="G7" i="6"/>
  <c r="C9" i="6"/>
  <c r="C32" i="6"/>
  <c r="C55" i="6"/>
  <c r="C77" i="6"/>
  <c r="E25" i="6"/>
  <c r="E47" i="6"/>
  <c r="E71" i="6"/>
  <c r="AE51" i="6"/>
  <c r="AC66" i="6"/>
  <c r="AA32" i="6"/>
  <c r="AA17" i="6"/>
  <c r="Y64" i="6"/>
  <c r="Y49" i="6"/>
  <c r="W32" i="6"/>
  <c r="W2" i="6"/>
  <c r="X2" i="6" s="1"/>
  <c r="S66" i="6"/>
  <c r="S50" i="6"/>
  <c r="S36" i="6"/>
  <c r="S3" i="6"/>
  <c r="T3" i="6" s="1"/>
  <c r="Q69" i="6"/>
  <c r="O54" i="6"/>
  <c r="O27" i="6"/>
  <c r="Q14" i="6"/>
  <c r="R14" i="6" s="1"/>
  <c r="K80" i="6"/>
  <c r="M54" i="6"/>
  <c r="M41" i="6"/>
  <c r="M27" i="6"/>
  <c r="K2" i="6"/>
  <c r="L2" i="6" s="1"/>
  <c r="G70" i="6"/>
  <c r="I56" i="6"/>
  <c r="G32" i="6"/>
  <c r="G20" i="6"/>
  <c r="I6" i="6"/>
  <c r="C10" i="6"/>
  <c r="C56" i="6"/>
  <c r="C78" i="6"/>
  <c r="E26" i="6"/>
  <c r="E72" i="6"/>
  <c r="BC21" i="6"/>
  <c r="BC68" i="6"/>
  <c r="BA70" i="6"/>
  <c r="BA49" i="6"/>
  <c r="BA30" i="6"/>
  <c r="AY9" i="6"/>
  <c r="AW70" i="6"/>
  <c r="AW51" i="6"/>
  <c r="AU35" i="6"/>
  <c r="AW18" i="6"/>
  <c r="AS79" i="6"/>
  <c r="AQ62" i="6"/>
  <c r="AQ46" i="6"/>
  <c r="AQ27" i="6"/>
  <c r="AM73" i="6"/>
  <c r="AM55" i="6"/>
  <c r="AO38" i="6"/>
  <c r="AO22" i="6"/>
  <c r="AI69" i="6"/>
  <c r="AK54" i="6"/>
  <c r="AI36" i="6"/>
  <c r="AI5" i="6"/>
  <c r="AE67" i="6"/>
  <c r="BD18" i="6"/>
  <c r="BC43" i="6"/>
  <c r="BD67" i="6"/>
  <c r="AY71" i="6"/>
  <c r="AZ71" i="6" s="1"/>
  <c r="AY50" i="6"/>
  <c r="AY31" i="6"/>
  <c r="AY10" i="6"/>
  <c r="AU71" i="6"/>
  <c r="AU52" i="6"/>
  <c r="AW35" i="6"/>
  <c r="AU19" i="6"/>
  <c r="AQ80" i="6"/>
  <c r="AS62" i="6"/>
  <c r="AS46" i="6"/>
  <c r="AS27" i="6"/>
  <c r="AS10" i="6"/>
  <c r="AM75" i="6"/>
  <c r="AO55" i="6"/>
  <c r="AM39" i="6"/>
  <c r="AO24" i="6"/>
  <c r="AM6" i="6"/>
  <c r="AN6" i="6" s="1"/>
  <c r="AK69" i="6"/>
  <c r="AI55" i="6"/>
  <c r="AK36" i="6"/>
  <c r="AK20" i="6"/>
  <c r="AK5" i="6"/>
  <c r="AG67" i="6"/>
  <c r="AE36" i="6"/>
  <c r="AE18" i="6"/>
  <c r="AC81" i="6"/>
  <c r="AC48" i="6"/>
  <c r="W79" i="6"/>
  <c r="Y17" i="6"/>
  <c r="S19" i="6"/>
  <c r="O40" i="6"/>
  <c r="K67" i="6"/>
  <c r="M14" i="6"/>
  <c r="G44" i="6"/>
  <c r="C33" i="6"/>
  <c r="E50" i="6"/>
  <c r="BD46" i="6"/>
  <c r="AQ10" i="6"/>
  <c r="AO5" i="6"/>
  <c r="AP5" i="6" s="1"/>
  <c r="AI20" i="6"/>
  <c r="BD21" i="6"/>
  <c r="BD48" i="6"/>
  <c r="BD68" i="6"/>
  <c r="AY70" i="6"/>
  <c r="BA48" i="6"/>
  <c r="AY30" i="6"/>
  <c r="BA8" i="6"/>
  <c r="AU70" i="6"/>
  <c r="AU51" i="6"/>
  <c r="AW34" i="6"/>
  <c r="AW17" i="6"/>
  <c r="AQ79" i="6"/>
  <c r="AS61" i="6"/>
  <c r="AS45" i="6"/>
  <c r="AS26" i="6"/>
  <c r="AS9" i="6"/>
  <c r="AO72" i="6"/>
  <c r="AO54" i="6"/>
  <c r="AM38" i="6"/>
  <c r="AM22" i="6"/>
  <c r="AM5" i="6"/>
  <c r="AK68" i="6"/>
  <c r="AI53" i="6"/>
  <c r="AK35" i="6"/>
  <c r="AI19" i="6"/>
  <c r="AK4" i="6"/>
  <c r="AE66" i="6"/>
  <c r="AG49" i="6"/>
  <c r="AE35" i="6"/>
  <c r="AG16" i="6"/>
  <c r="AC80" i="6"/>
  <c r="AC65" i="6"/>
  <c r="AC47" i="6"/>
  <c r="AA31" i="6"/>
  <c r="AA16" i="6"/>
  <c r="W78" i="6"/>
  <c r="Y62" i="6"/>
  <c r="W48" i="6"/>
  <c r="W31" i="6"/>
  <c r="Y16" i="6"/>
  <c r="S81" i="6"/>
  <c r="S65" i="6"/>
  <c r="S49" i="6"/>
  <c r="S35" i="6"/>
  <c r="S18" i="6"/>
  <c r="S2" i="6"/>
  <c r="Q68" i="6"/>
  <c r="Q52" i="6"/>
  <c r="O39" i="6"/>
  <c r="O26" i="6"/>
  <c r="Q11" i="6"/>
  <c r="K79" i="6"/>
  <c r="K66" i="6"/>
  <c r="M53" i="6"/>
  <c r="K39" i="6"/>
  <c r="M26" i="6"/>
  <c r="M13" i="6"/>
  <c r="G81" i="6"/>
  <c r="I67" i="6"/>
  <c r="I55" i="6"/>
  <c r="G43" i="6"/>
  <c r="G31" i="6"/>
  <c r="I17" i="6"/>
  <c r="I5" i="6"/>
  <c r="C12" i="6"/>
  <c r="C35" i="6"/>
  <c r="C58" i="6"/>
  <c r="C80" i="6"/>
  <c r="E30" i="6"/>
  <c r="E52" i="6"/>
  <c r="E74" i="6"/>
  <c r="AQ42" i="6"/>
  <c r="AI68" i="6"/>
  <c r="AK34" i="6"/>
  <c r="AG80" i="6"/>
  <c r="AE49" i="6"/>
  <c r="AG15" i="6"/>
  <c r="BC22" i="6"/>
  <c r="BD50" i="6"/>
  <c r="BC73" i="6"/>
  <c r="AY69" i="6"/>
  <c r="BA47" i="6"/>
  <c r="BA29" i="6"/>
  <c r="BA7" i="6"/>
  <c r="AW66" i="6"/>
  <c r="AW49" i="6"/>
  <c r="AU33" i="6"/>
  <c r="AW14" i="6"/>
  <c r="AS77" i="6"/>
  <c r="AQ61" i="6"/>
  <c r="AS25" i="6"/>
  <c r="AQ9" i="6"/>
  <c r="AM70" i="6"/>
  <c r="AO52" i="6"/>
  <c r="AO37" i="6"/>
  <c r="AO19" i="6"/>
  <c r="AM3" i="6"/>
  <c r="AN3" i="6" s="1"/>
  <c r="AI50" i="6"/>
  <c r="AJ50" i="6" s="1"/>
  <c r="AK18" i="6"/>
  <c r="AE65" i="6"/>
  <c r="AE31" i="6"/>
  <c r="BD26" i="6"/>
  <c r="BC53" i="6"/>
  <c r="BC77" i="6"/>
  <c r="AY65" i="6"/>
  <c r="AY45" i="6"/>
  <c r="BA24" i="6"/>
  <c r="AY5" i="6"/>
  <c r="AU65" i="6"/>
  <c r="AW47" i="6"/>
  <c r="AU31" i="6"/>
  <c r="AV31" i="6" s="1"/>
  <c r="AU12" i="6"/>
  <c r="AS75" i="6"/>
  <c r="AQ59" i="6"/>
  <c r="AQ40" i="6"/>
  <c r="AS22" i="6"/>
  <c r="AQ7" i="6"/>
  <c r="AO67" i="6"/>
  <c r="AM51" i="6"/>
  <c r="AM36" i="6"/>
  <c r="AN36" i="6" s="1"/>
  <c r="AM18" i="6"/>
  <c r="AK81" i="6"/>
  <c r="AK66" i="6"/>
  <c r="AK48" i="6"/>
  <c r="AI32" i="6"/>
  <c r="AI17" i="6"/>
  <c r="AE79" i="6"/>
  <c r="AG62" i="6"/>
  <c r="AG47" i="6"/>
  <c r="AG29" i="6"/>
  <c r="AE13" i="6"/>
  <c r="AA78" i="6"/>
  <c r="BC27" i="6"/>
  <c r="BD53" i="6"/>
  <c r="BD77" i="6"/>
  <c r="BA62" i="6"/>
  <c r="BA44" i="6"/>
  <c r="AY23" i="6"/>
  <c r="AZ23" i="6" s="1"/>
  <c r="BA4" i="6"/>
  <c r="BB4" i="6" s="1"/>
  <c r="AW64" i="6"/>
  <c r="AU47" i="6"/>
  <c r="AW30" i="6"/>
  <c r="AW11" i="6"/>
  <c r="AQ75" i="6"/>
  <c r="AS58" i="6"/>
  <c r="AS39" i="6"/>
  <c r="AQ22" i="6"/>
  <c r="AS6" i="6"/>
  <c r="AM67" i="6"/>
  <c r="AM50" i="6"/>
  <c r="AO35" i="6"/>
  <c r="AM17" i="6"/>
  <c r="AK80" i="6"/>
  <c r="AI66" i="6"/>
  <c r="AK47" i="6"/>
  <c r="AK31" i="6"/>
  <c r="AK16" i="6"/>
  <c r="AG78" i="6"/>
  <c r="AE62" i="6"/>
  <c r="AE47" i="6"/>
  <c r="AF47" i="6" s="1"/>
  <c r="AE29" i="6"/>
  <c r="AG12" i="6"/>
  <c r="AH12" i="6" s="1"/>
  <c r="AC77" i="6"/>
  <c r="AC59" i="6"/>
  <c r="AA43" i="6"/>
  <c r="AA28" i="6"/>
  <c r="AA10" i="6"/>
  <c r="W75" i="6"/>
  <c r="W60" i="6"/>
  <c r="Y42" i="6"/>
  <c r="W28" i="6"/>
  <c r="Y12" i="6"/>
  <c r="Z12" i="6" s="1"/>
  <c r="U76" i="6"/>
  <c r="U60" i="6"/>
  <c r="U46" i="6"/>
  <c r="U29" i="6"/>
  <c r="U14" i="6"/>
  <c r="V14" i="6" s="1"/>
  <c r="Q79" i="6"/>
  <c r="O63" i="6"/>
  <c r="Q49" i="6"/>
  <c r="Q36" i="6"/>
  <c r="Q21" i="6"/>
  <c r="O9" i="6"/>
  <c r="K76" i="6"/>
  <c r="M63" i="6"/>
  <c r="K49" i="6"/>
  <c r="M36" i="6"/>
  <c r="M23" i="6"/>
  <c r="M10" i="6"/>
  <c r="G77" i="6"/>
  <c r="G65" i="6"/>
  <c r="I52" i="6"/>
  <c r="I40" i="6"/>
  <c r="G27" i="6"/>
  <c r="G15" i="6"/>
  <c r="H15" i="6" s="1"/>
  <c r="G3" i="6"/>
  <c r="H3" i="6" s="1"/>
  <c r="C17" i="6"/>
  <c r="C40" i="6"/>
  <c r="C65" i="6"/>
  <c r="E13" i="6"/>
  <c r="E35" i="6"/>
  <c r="E57" i="6"/>
  <c r="E79" i="6"/>
  <c r="C41" i="6"/>
  <c r="E14" i="6"/>
  <c r="E58" i="6"/>
  <c r="BC28" i="6"/>
  <c r="AY61" i="6"/>
  <c r="BA2" i="6"/>
  <c r="BB2" i="6" s="1"/>
  <c r="AU46" i="6"/>
  <c r="AU10" i="6"/>
  <c r="AQ55" i="6"/>
  <c r="AQ21" i="6"/>
  <c r="AO65" i="6"/>
  <c r="AM31" i="6"/>
  <c r="AK79" i="6"/>
  <c r="AI46" i="6"/>
  <c r="BD27" i="6"/>
  <c r="BC54" i="6"/>
  <c r="BD78" i="6"/>
  <c r="AX78" i="6" s="1"/>
  <c r="AY62" i="6"/>
  <c r="AY43" i="6"/>
  <c r="BA21" i="6"/>
  <c r="AY3" i="6"/>
  <c r="AZ3" i="6" s="1"/>
  <c r="AW62" i="6"/>
  <c r="AW46" i="6"/>
  <c r="AW27" i="6"/>
  <c r="AW10" i="6"/>
  <c r="AS74" i="6"/>
  <c r="AS55" i="6"/>
  <c r="AS38" i="6"/>
  <c r="AS21" i="6"/>
  <c r="AS2" i="6"/>
  <c r="AT2" i="6" s="1"/>
  <c r="AM66" i="6"/>
  <c r="AO49" i="6"/>
  <c r="AO31" i="6"/>
  <c r="AM16" i="6"/>
  <c r="AI80" i="6"/>
  <c r="AI62" i="6"/>
  <c r="AK46" i="6"/>
  <c r="AI31" i="6"/>
  <c r="AK12" i="6"/>
  <c r="AL12" i="6" s="1"/>
  <c r="AE77" i="6"/>
  <c r="AG61" i="6"/>
  <c r="AE43" i="6"/>
  <c r="AG27" i="6"/>
  <c r="AE12" i="6"/>
  <c r="AC74" i="6"/>
  <c r="AC58" i="6"/>
  <c r="AC42" i="6"/>
  <c r="AC25" i="6"/>
  <c r="AA9" i="6"/>
  <c r="Y74" i="6"/>
  <c r="W57" i="6"/>
  <c r="Y41" i="6"/>
  <c r="Y27" i="6"/>
  <c r="W10" i="6"/>
  <c r="U75" i="6"/>
  <c r="S60" i="6"/>
  <c r="S43" i="6"/>
  <c r="S28" i="6"/>
  <c r="S13" i="6"/>
  <c r="O77" i="6"/>
  <c r="O62" i="6"/>
  <c r="O49" i="6"/>
  <c r="O36" i="6"/>
  <c r="O21" i="6"/>
  <c r="O8" i="6"/>
  <c r="M75" i="6"/>
  <c r="M62" i="6"/>
  <c r="M48" i="6"/>
  <c r="M35" i="6"/>
  <c r="M22" i="6"/>
  <c r="K10" i="6"/>
  <c r="I76" i="6"/>
  <c r="G64" i="6"/>
  <c r="G52" i="6"/>
  <c r="G40" i="6"/>
  <c r="I26" i="6"/>
  <c r="G14" i="6"/>
  <c r="I2" i="6"/>
  <c r="J2" i="6" s="1"/>
  <c r="C18" i="6"/>
  <c r="C66" i="6"/>
  <c r="E36" i="6"/>
  <c r="E80" i="6"/>
  <c r="BD54" i="6"/>
  <c r="BC79" i="6"/>
  <c r="BA42" i="6"/>
  <c r="AY21" i="6"/>
  <c r="AU62" i="6"/>
  <c r="AU27" i="6"/>
  <c r="AQ73" i="6"/>
  <c r="AS37" i="6"/>
  <c r="AQ2" i="6"/>
  <c r="AR2" i="6" s="1"/>
  <c r="AM49" i="6"/>
  <c r="AO15" i="6"/>
  <c r="AK61" i="6"/>
  <c r="AI30" i="6"/>
  <c r="BD41" i="6"/>
  <c r="BC66" i="6"/>
  <c r="AY73" i="6"/>
  <c r="BA55" i="6"/>
  <c r="AY33" i="6"/>
  <c r="BA12" i="6"/>
  <c r="AW72" i="6"/>
  <c r="AU57" i="6"/>
  <c r="AW37" i="6"/>
  <c r="AU21" i="6"/>
  <c r="AU5" i="6"/>
  <c r="AQ66" i="6"/>
  <c r="AQ49" i="6"/>
  <c r="AQ32" i="6"/>
  <c r="AQ13" i="6"/>
  <c r="AR13" i="6" s="1"/>
  <c r="AO76" i="6"/>
  <c r="AM60" i="6"/>
  <c r="AO41" i="6"/>
  <c r="AM26" i="6"/>
  <c r="AM10" i="6"/>
  <c r="AI72" i="6"/>
  <c r="AK56" i="6"/>
  <c r="AK40" i="6"/>
  <c r="AK22" i="6"/>
  <c r="AI7" i="6"/>
  <c r="AE71" i="6"/>
  <c r="BC42" i="6"/>
  <c r="BD66" i="6"/>
  <c r="BA72" i="6"/>
  <c r="BA51" i="6"/>
  <c r="AY32" i="6"/>
  <c r="AY12" i="6"/>
  <c r="AU72" i="6"/>
  <c r="AU53" i="6"/>
  <c r="AW36" i="6"/>
  <c r="AW20" i="6"/>
  <c r="AQ81" i="6"/>
  <c r="AS64" i="6"/>
  <c r="AS48" i="6"/>
  <c r="AQ29" i="6"/>
  <c r="AS11" i="6"/>
  <c r="AM76" i="6"/>
  <c r="AO56" i="6"/>
  <c r="AO40" i="6"/>
  <c r="AO25" i="6"/>
  <c r="AO7" i="6"/>
  <c r="AI71" i="6"/>
  <c r="AI56" i="6"/>
  <c r="AI38" i="6"/>
  <c r="AK21" i="6"/>
  <c r="AK6" i="6"/>
  <c r="AG68" i="6"/>
  <c r="AE52" i="6"/>
  <c r="AE37" i="6"/>
  <c r="AE19" i="6"/>
  <c r="AF19" i="6" s="1"/>
  <c r="AG2" i="6"/>
  <c r="AH2" i="6" s="1"/>
  <c r="AC67" i="6"/>
  <c r="AC49" i="6"/>
  <c r="AA33" i="6"/>
  <c r="AA18" i="6"/>
  <c r="W80" i="6"/>
  <c r="Y65" i="6"/>
  <c r="Y50" i="6"/>
  <c r="W33" i="6"/>
  <c r="Y18" i="6"/>
  <c r="W3" i="6"/>
  <c r="X3" i="6" s="1"/>
  <c r="S67" i="6"/>
  <c r="U51" i="6"/>
  <c r="S37" i="6"/>
  <c r="S20" i="6"/>
  <c r="S5" i="6"/>
  <c r="Q70" i="6"/>
  <c r="Q55" i="6"/>
  <c r="Q41" i="6"/>
  <c r="O28" i="6"/>
  <c r="Q15" i="6"/>
  <c r="K81" i="6"/>
  <c r="M68" i="6"/>
  <c r="M55" i="6"/>
  <c r="M42" i="6"/>
  <c r="M28" i="6"/>
  <c r="K16" i="6"/>
  <c r="K3" i="6"/>
  <c r="L3" i="6" s="1"/>
  <c r="G71" i="6"/>
  <c r="H71" i="6" s="1"/>
  <c r="I57" i="6"/>
  <c r="BD24" i="6"/>
  <c r="BD80" i="6"/>
  <c r="BA38" i="6"/>
  <c r="AU76" i="6"/>
  <c r="AU39" i="6"/>
  <c r="AQ76" i="6"/>
  <c r="AS36" i="6"/>
  <c r="AM79" i="6"/>
  <c r="AO42" i="6"/>
  <c r="AO2" i="6"/>
  <c r="AP2" i="6" s="1"/>
  <c r="AK45" i="6"/>
  <c r="AI11" i="6"/>
  <c r="AG59" i="6"/>
  <c r="AG30" i="6"/>
  <c r="AG5" i="6"/>
  <c r="AA60" i="6"/>
  <c r="AA37" i="6"/>
  <c r="AC11" i="6"/>
  <c r="Y71" i="6"/>
  <c r="W49" i="6"/>
  <c r="W26" i="6"/>
  <c r="Y5" i="6"/>
  <c r="S61" i="6"/>
  <c r="S39" i="6"/>
  <c r="S16" i="6"/>
  <c r="Q74" i="6"/>
  <c r="O53" i="6"/>
  <c r="Q32" i="6"/>
  <c r="Q16" i="6"/>
  <c r="M76" i="6"/>
  <c r="K58" i="6"/>
  <c r="L58" i="6" s="1"/>
  <c r="K38" i="6"/>
  <c r="M20" i="6"/>
  <c r="I81" i="6"/>
  <c r="G63" i="6"/>
  <c r="I46" i="6"/>
  <c r="G30" i="6"/>
  <c r="I12" i="6"/>
  <c r="J12" i="6" s="1"/>
  <c r="C6" i="6"/>
  <c r="D6" i="6" s="1"/>
  <c r="C37" i="6"/>
  <c r="C69" i="6"/>
  <c r="E22" i="6"/>
  <c r="E54" i="6"/>
  <c r="AK10" i="6"/>
  <c r="AA58" i="6"/>
  <c r="AA11" i="6"/>
  <c r="Y68" i="6"/>
  <c r="Y25" i="6"/>
  <c r="W5" i="6"/>
  <c r="X5" i="6" s="1"/>
  <c r="U59" i="6"/>
  <c r="U15" i="6"/>
  <c r="O73" i="6"/>
  <c r="O52" i="6"/>
  <c r="O32" i="6"/>
  <c r="K75" i="6"/>
  <c r="M57" i="6"/>
  <c r="N57" i="6" s="1"/>
  <c r="M37" i="6"/>
  <c r="I80" i="6"/>
  <c r="I62" i="6"/>
  <c r="G46" i="6"/>
  <c r="G12" i="6"/>
  <c r="C7" i="6"/>
  <c r="C38" i="6"/>
  <c r="C70" i="6"/>
  <c r="E55" i="6"/>
  <c r="BD32" i="6"/>
  <c r="BA36" i="6"/>
  <c r="AU75" i="6"/>
  <c r="AU32" i="6"/>
  <c r="AQ72" i="6"/>
  <c r="AQ35" i="6"/>
  <c r="AO77" i="6"/>
  <c r="AM37" i="6"/>
  <c r="AK44" i="6"/>
  <c r="AK9" i="6"/>
  <c r="AG56" i="6"/>
  <c r="AH56" i="6" s="1"/>
  <c r="AG4" i="6"/>
  <c r="AH4" i="6" s="1"/>
  <c r="AA57" i="6"/>
  <c r="AA36" i="6"/>
  <c r="W68" i="6"/>
  <c r="W45" i="6"/>
  <c r="U81" i="6"/>
  <c r="S59" i="6"/>
  <c r="S38" i="6"/>
  <c r="Q72" i="6"/>
  <c r="O51" i="6"/>
  <c r="O14" i="6"/>
  <c r="M74" i="6"/>
  <c r="K37" i="6"/>
  <c r="K18" i="6"/>
  <c r="L18" i="6" s="1"/>
  <c r="G80" i="6"/>
  <c r="I45" i="6"/>
  <c r="I27" i="6"/>
  <c r="C8" i="6"/>
  <c r="C39" i="6"/>
  <c r="C71" i="6"/>
  <c r="D71" i="6" s="1"/>
  <c r="E56" i="6"/>
  <c r="G60" i="6"/>
  <c r="C48" i="6"/>
  <c r="E33" i="6"/>
  <c r="BC25" i="6"/>
  <c r="BC81" i="6"/>
  <c r="AY37" i="6"/>
  <c r="AW75" i="6"/>
  <c r="AW32" i="6"/>
  <c r="AS72" i="6"/>
  <c r="AS35" i="6"/>
  <c r="AO78" i="6"/>
  <c r="AM42" i="6"/>
  <c r="AM2" i="6"/>
  <c r="AN2" i="6" s="1"/>
  <c r="AI45" i="6"/>
  <c r="AJ45" i="6" s="1"/>
  <c r="AE59" i="6"/>
  <c r="AE30" i="6"/>
  <c r="AE5" i="6"/>
  <c r="AC36" i="6"/>
  <c r="Y45" i="6"/>
  <c r="U38" i="6"/>
  <c r="O16" i="6"/>
  <c r="K20" i="6"/>
  <c r="L20" i="6" s="1"/>
  <c r="I29" i="6"/>
  <c r="E23" i="6"/>
  <c r="BD81" i="6"/>
  <c r="AI79" i="6"/>
  <c r="AE27" i="6"/>
  <c r="AC10" i="6"/>
  <c r="W25" i="6"/>
  <c r="S15" i="6"/>
  <c r="T15" i="6" s="1"/>
  <c r="Q31" i="6"/>
  <c r="M56" i="6"/>
  <c r="G62" i="6"/>
  <c r="I11" i="6"/>
  <c r="E24" i="6"/>
  <c r="I9" i="6"/>
  <c r="BC34" i="6"/>
  <c r="BA81" i="6"/>
  <c r="BA35" i="6"/>
  <c r="BB35" i="6" s="1"/>
  <c r="AU66" i="6"/>
  <c r="AU26" i="6"/>
  <c r="AS71" i="6"/>
  <c r="AS34" i="6"/>
  <c r="AM77" i="6"/>
  <c r="AO36" i="6"/>
  <c r="AK78" i="6"/>
  <c r="AI43" i="6"/>
  <c r="AI9" i="6"/>
  <c r="AE56" i="6"/>
  <c r="AG26" i="6"/>
  <c r="AA81" i="6"/>
  <c r="AC56" i="6"/>
  <c r="AA35" i="6"/>
  <c r="AC8" i="6"/>
  <c r="Y67" i="6"/>
  <c r="Y44" i="6"/>
  <c r="Y21" i="6"/>
  <c r="U78" i="6"/>
  <c r="U58" i="6"/>
  <c r="V58" i="6" s="1"/>
  <c r="U37" i="6"/>
  <c r="U12" i="6"/>
  <c r="V12" i="6" s="1"/>
  <c r="O72" i="6"/>
  <c r="Q50" i="6"/>
  <c r="O31" i="6"/>
  <c r="O11" i="6"/>
  <c r="K74" i="6"/>
  <c r="K56" i="6"/>
  <c r="K35" i="6"/>
  <c r="M17" i="6"/>
  <c r="I79" i="6"/>
  <c r="I61" i="6"/>
  <c r="I43" i="6"/>
  <c r="G26" i="6"/>
  <c r="H26" i="6" s="1"/>
  <c r="G11" i="6"/>
  <c r="C11" i="6"/>
  <c r="C45" i="6"/>
  <c r="C72" i="6"/>
  <c r="E27" i="6"/>
  <c r="E59" i="6"/>
  <c r="BD37" i="6"/>
  <c r="AY26" i="6"/>
  <c r="AU61" i="6"/>
  <c r="AS67" i="6"/>
  <c r="AO68" i="6"/>
  <c r="AI75" i="6"/>
  <c r="AG54" i="6"/>
  <c r="AA79" i="6"/>
  <c r="AC30" i="6"/>
  <c r="Y66" i="6"/>
  <c r="Y20" i="6"/>
  <c r="U55" i="6"/>
  <c r="U11" i="6"/>
  <c r="Q48" i="6"/>
  <c r="O10" i="6"/>
  <c r="M52" i="6"/>
  <c r="M16" i="6"/>
  <c r="I60" i="6"/>
  <c r="G25" i="6"/>
  <c r="C14" i="6"/>
  <c r="C74" i="6"/>
  <c r="E61" i="6"/>
  <c r="BA74" i="6"/>
  <c r="AW60" i="6"/>
  <c r="AQ67" i="6"/>
  <c r="AM65" i="6"/>
  <c r="AK74" i="6"/>
  <c r="AE80" i="6"/>
  <c r="AE25" i="6"/>
  <c r="AA55" i="6"/>
  <c r="AC6" i="6"/>
  <c r="Y40" i="6"/>
  <c r="S77" i="6"/>
  <c r="S31" i="6"/>
  <c r="T31" i="6" s="1"/>
  <c r="O69" i="6"/>
  <c r="O48" i="6"/>
  <c r="Q9" i="6"/>
  <c r="K52" i="6"/>
  <c r="K14" i="6"/>
  <c r="I41" i="6"/>
  <c r="C15" i="6"/>
  <c r="D15" i="6" s="1"/>
  <c r="E62" i="6"/>
  <c r="F62" i="6" s="1"/>
  <c r="BC37" i="6"/>
  <c r="BA77" i="6"/>
  <c r="AY35" i="6"/>
  <c r="AW65" i="6"/>
  <c r="AW25" i="6"/>
  <c r="AS68" i="6"/>
  <c r="AQ33" i="6"/>
  <c r="AO69" i="6"/>
  <c r="AO30" i="6"/>
  <c r="AI78" i="6"/>
  <c r="AK42" i="6"/>
  <c r="AI8" i="6"/>
  <c r="AJ8" i="6" s="1"/>
  <c r="AE55" i="6"/>
  <c r="AE26" i="6"/>
  <c r="AA80" i="6"/>
  <c r="AA56" i="6"/>
  <c r="AC31" i="6"/>
  <c r="AD31" i="6" s="1"/>
  <c r="AC7" i="6"/>
  <c r="AD7" i="6" s="1"/>
  <c r="W67" i="6"/>
  <c r="W43" i="6"/>
  <c r="W21" i="6"/>
  <c r="S78" i="6"/>
  <c r="S58" i="6"/>
  <c r="U35" i="6"/>
  <c r="S12" i="6"/>
  <c r="Q71" i="6"/>
  <c r="O50" i="6"/>
  <c r="Q30" i="6"/>
  <c r="Q10" i="6"/>
  <c r="M73" i="6"/>
  <c r="K54" i="6"/>
  <c r="M34" i="6"/>
  <c r="N34" i="6" s="1"/>
  <c r="K17" i="6"/>
  <c r="I77" i="6"/>
  <c r="G61" i="6"/>
  <c r="I42" i="6"/>
  <c r="I25" i="6"/>
  <c r="I10" i="6"/>
  <c r="C13" i="6"/>
  <c r="D13" i="6" s="1"/>
  <c r="C46" i="6"/>
  <c r="C73" i="6"/>
  <c r="E31" i="6"/>
  <c r="E60" i="6"/>
  <c r="BA75" i="6"/>
  <c r="AU25" i="6"/>
  <c r="AS32" i="6"/>
  <c r="AM30" i="6"/>
  <c r="AI42" i="6"/>
  <c r="AK7" i="6"/>
  <c r="AG25" i="6"/>
  <c r="AC55" i="6"/>
  <c r="AA7" i="6"/>
  <c r="AB7" i="6" s="1"/>
  <c r="W41" i="6"/>
  <c r="U77" i="6"/>
  <c r="U31" i="6"/>
  <c r="O71" i="6"/>
  <c r="P71" i="6" s="1"/>
  <c r="O30" i="6"/>
  <c r="M72" i="6"/>
  <c r="K34" i="6"/>
  <c r="G76" i="6"/>
  <c r="G42" i="6"/>
  <c r="H42" i="6" s="1"/>
  <c r="G10" i="6"/>
  <c r="C47" i="6"/>
  <c r="D47" i="6" s="1"/>
  <c r="E32" i="6"/>
  <c r="BC38" i="6"/>
  <c r="BA25" i="6"/>
  <c r="AU23" i="6"/>
  <c r="AV23" i="6" s="1"/>
  <c r="AQ25" i="6"/>
  <c r="AO29" i="6"/>
  <c r="AI41" i="6"/>
  <c r="AE53" i="6"/>
  <c r="AC78" i="6"/>
  <c r="AC29" i="6"/>
  <c r="W63" i="6"/>
  <c r="W20" i="6"/>
  <c r="X20" i="6" s="1"/>
  <c r="S55" i="6"/>
  <c r="S11" i="6"/>
  <c r="O29" i="6"/>
  <c r="M70" i="6"/>
  <c r="M33" i="6"/>
  <c r="N33" i="6" s="1"/>
  <c r="I75" i="6"/>
  <c r="G24" i="6"/>
  <c r="H24" i="6" s="1"/>
  <c r="C75" i="6"/>
  <c r="BC39" i="6"/>
  <c r="BA68" i="6"/>
  <c r="BA20" i="6"/>
  <c r="AU60" i="6"/>
  <c r="AW22" i="6"/>
  <c r="AS66" i="6"/>
  <c r="AQ23" i="6"/>
  <c r="AR23" i="6" s="1"/>
  <c r="AO64" i="6"/>
  <c r="AM28" i="6"/>
  <c r="AI73" i="6"/>
  <c r="AI33" i="6"/>
  <c r="AG79" i="6"/>
  <c r="AC54" i="6"/>
  <c r="AD54" i="6" s="1"/>
  <c r="BD40" i="6"/>
  <c r="BA65" i="6"/>
  <c r="BA19" i="6"/>
  <c r="BB19" i="6" s="1"/>
  <c r="AW59" i="6"/>
  <c r="AU22" i="6"/>
  <c r="AS60" i="6"/>
  <c r="AS20" i="6"/>
  <c r="AM63" i="6"/>
  <c r="AO27" i="6"/>
  <c r="AK72" i="6"/>
  <c r="AK32" i="6"/>
  <c r="AG76" i="6"/>
  <c r="AG48" i="6"/>
  <c r="AE23" i="6"/>
  <c r="AF23" i="6" s="1"/>
  <c r="AC72" i="6"/>
  <c r="AA53" i="6"/>
  <c r="AC28" i="6"/>
  <c r="AC5" i="6"/>
  <c r="Y61" i="6"/>
  <c r="Y39" i="6"/>
  <c r="W17" i="6"/>
  <c r="U74" i="6"/>
  <c r="S53" i="6"/>
  <c r="S30" i="6"/>
  <c r="S8" i="6"/>
  <c r="Q65" i="6"/>
  <c r="O47" i="6"/>
  <c r="P47" i="6" s="1"/>
  <c r="Q26" i="6"/>
  <c r="O7" i="6"/>
  <c r="M69" i="6"/>
  <c r="M49" i="6"/>
  <c r="K32" i="6"/>
  <c r="K12" i="6"/>
  <c r="G74" i="6"/>
  <c r="G56" i="6"/>
  <c r="I39" i="6"/>
  <c r="G23" i="6"/>
  <c r="H23" i="6" s="1"/>
  <c r="G6" i="6"/>
  <c r="H6" i="6" s="1"/>
  <c r="C19" i="6"/>
  <c r="C50" i="6"/>
  <c r="C79" i="6"/>
  <c r="D79" i="6" s="1"/>
  <c r="E37" i="6"/>
  <c r="E64" i="6"/>
  <c r="Q46" i="6"/>
  <c r="R46" i="6" s="1"/>
  <c r="K48" i="6"/>
  <c r="M11" i="6"/>
  <c r="I73" i="6"/>
  <c r="I37" i="6"/>
  <c r="G5" i="6"/>
  <c r="C51" i="6"/>
  <c r="E38" i="6"/>
  <c r="E65" i="6"/>
  <c r="AY60" i="6"/>
  <c r="AW58" i="6"/>
  <c r="AS54" i="6"/>
  <c r="AO61" i="6"/>
  <c r="AI67" i="6"/>
  <c r="AG75" i="6"/>
  <c r="AE22" i="6"/>
  <c r="AA48" i="6"/>
  <c r="AC4" i="6"/>
  <c r="AD4" i="6" s="1"/>
  <c r="Y38" i="6"/>
  <c r="S72" i="6"/>
  <c r="T72" i="6" s="1"/>
  <c r="S27" i="6"/>
  <c r="O64" i="6"/>
  <c r="O25" i="6"/>
  <c r="M66" i="6"/>
  <c r="K31" i="6"/>
  <c r="G73" i="6"/>
  <c r="G37" i="6"/>
  <c r="I4" i="6"/>
  <c r="C52" i="6"/>
  <c r="E39" i="6"/>
  <c r="BC51" i="6"/>
  <c r="BA60" i="6"/>
  <c r="AY19" i="6"/>
  <c r="AZ19" i="6" s="1"/>
  <c r="AU59" i="6"/>
  <c r="AW21" i="6"/>
  <c r="AQ60" i="6"/>
  <c r="AQ20" i="6"/>
  <c r="AR20" i="6" s="1"/>
  <c r="AO62" i="6"/>
  <c r="AM27" i="6"/>
  <c r="AK67" i="6"/>
  <c r="AK29" i="6"/>
  <c r="AE76" i="6"/>
  <c r="AE48" i="6"/>
  <c r="AG22" i="6"/>
  <c r="AA72" i="6"/>
  <c r="AC52" i="6"/>
  <c r="AA25" i="6"/>
  <c r="AA5" i="6"/>
  <c r="W61" i="6"/>
  <c r="W39" i="6"/>
  <c r="W16" i="6"/>
  <c r="S73" i="6"/>
  <c r="U52" i="6"/>
  <c r="U27" i="6"/>
  <c r="U7" i="6"/>
  <c r="V7" i="6" s="1"/>
  <c r="Q64" i="6"/>
  <c r="Q25" i="6"/>
  <c r="Q6" i="6"/>
  <c r="R6" i="6" s="1"/>
  <c r="K69" i="6"/>
  <c r="M31" i="6"/>
  <c r="N31" i="6" s="1"/>
  <c r="G55" i="6"/>
  <c r="I22" i="6"/>
  <c r="C20" i="6"/>
  <c r="D20" i="6" s="1"/>
  <c r="C81" i="6"/>
  <c r="BD51" i="6"/>
  <c r="BA18" i="6"/>
  <c r="AU13" i="6"/>
  <c r="AS19" i="6"/>
  <c r="AO26" i="6"/>
  <c r="AI29" i="6"/>
  <c r="AG42" i="6"/>
  <c r="AC71" i="6"/>
  <c r="AD71" i="6" s="1"/>
  <c r="AA23" i="6"/>
  <c r="AB23" i="6" s="1"/>
  <c r="Y60" i="6"/>
  <c r="W15" i="6"/>
  <c r="X15" i="6" s="1"/>
  <c r="U49" i="6"/>
  <c r="S7" i="6"/>
  <c r="Q44" i="6"/>
  <c r="R44" i="6" s="1"/>
  <c r="O6" i="6"/>
  <c r="P6" i="6" s="1"/>
  <c r="M47" i="6"/>
  <c r="K11" i="6"/>
  <c r="G54" i="6"/>
  <c r="G22" i="6"/>
  <c r="C21" i="6"/>
  <c r="E10" i="6"/>
  <c r="E66" i="6"/>
  <c r="BC55" i="6"/>
  <c r="AY16" i="6"/>
  <c r="AU7" i="6"/>
  <c r="AO81" i="6"/>
  <c r="AO10" i="6"/>
  <c r="AG74" i="6"/>
  <c r="AE15" i="6"/>
  <c r="AF15" i="6" s="1"/>
  <c r="AA45" i="6"/>
  <c r="AB45" i="6" s="1"/>
  <c r="W77" i="6"/>
  <c r="Y36" i="6"/>
  <c r="U70" i="6"/>
  <c r="U25" i="6"/>
  <c r="Q60" i="6"/>
  <c r="Q20" i="6"/>
  <c r="M64" i="6"/>
  <c r="K26" i="6"/>
  <c r="I71" i="6"/>
  <c r="I35" i="6"/>
  <c r="G2" i="6"/>
  <c r="H2" i="6" s="1"/>
  <c r="C57" i="6"/>
  <c r="E42" i="6"/>
  <c r="BA6" i="6"/>
  <c r="AW6" i="6"/>
  <c r="AM81" i="6"/>
  <c r="AI61" i="6"/>
  <c r="AG14" i="6"/>
  <c r="AH14" i="6" s="1"/>
  <c r="AC44" i="6"/>
  <c r="AD44" i="6" s="1"/>
  <c r="Y76" i="6"/>
  <c r="Y31" i="6"/>
  <c r="Z31" i="6" s="1"/>
  <c r="S70" i="6"/>
  <c r="S25" i="6"/>
  <c r="O20" i="6"/>
  <c r="P20" i="6" s="1"/>
  <c r="K64" i="6"/>
  <c r="K25" i="6"/>
  <c r="I69" i="6"/>
  <c r="G35" i="6"/>
  <c r="E3" i="6"/>
  <c r="F3" i="6" s="1"/>
  <c r="E43" i="6"/>
  <c r="AY6" i="6"/>
  <c r="AM80" i="6"/>
  <c r="AK60" i="6"/>
  <c r="AG11" i="6"/>
  <c r="W76" i="6"/>
  <c r="W30" i="6"/>
  <c r="U69" i="6"/>
  <c r="Q59" i="6"/>
  <c r="K62" i="6"/>
  <c r="G67" i="6"/>
  <c r="G34" i="6"/>
  <c r="E4" i="6"/>
  <c r="E44" i="6"/>
  <c r="C68" i="6"/>
  <c r="BD74" i="6"/>
  <c r="R74" i="6" s="1"/>
  <c r="W62" i="6"/>
  <c r="U8" i="6"/>
  <c r="V8" i="6" s="1"/>
  <c r="I59" i="6"/>
  <c r="I19" i="6"/>
  <c r="AY57" i="6"/>
  <c r="AC20" i="6"/>
  <c r="K45" i="6"/>
  <c r="BA56" i="6"/>
  <c r="W53" i="6"/>
  <c r="I50" i="6"/>
  <c r="AQ37" i="6"/>
  <c r="Y52" i="6"/>
  <c r="K44" i="6"/>
  <c r="E77" i="6"/>
  <c r="AU40" i="6"/>
  <c r="Q37" i="6"/>
  <c r="E78" i="6"/>
  <c r="AO14" i="6"/>
  <c r="AP14" i="6" s="1"/>
  <c r="S41" i="6"/>
  <c r="I47" i="6"/>
  <c r="AW12" i="6"/>
  <c r="AX12" i="6" s="1"/>
  <c r="W51" i="6"/>
  <c r="M3" i="6"/>
  <c r="AO12" i="6"/>
  <c r="AP12" i="6" s="1"/>
  <c r="AC60" i="6"/>
  <c r="M32" i="6"/>
  <c r="E34" i="6"/>
  <c r="AK11" i="6"/>
  <c r="Q24" i="6"/>
  <c r="I36" i="6"/>
  <c r="AS7" i="6"/>
  <c r="S26" i="6"/>
  <c r="T26" i="6" s="1"/>
  <c r="E41" i="6"/>
  <c r="BC56" i="6"/>
  <c r="AE73" i="6"/>
  <c r="O60" i="6"/>
  <c r="C59" i="6"/>
  <c r="AG72" i="6"/>
  <c r="U24" i="6"/>
  <c r="M24" i="6"/>
  <c r="C60" i="6"/>
  <c r="AW57" i="6"/>
  <c r="AX57" i="6" s="1"/>
  <c r="M12" i="6"/>
  <c r="N12" i="6" s="1"/>
  <c r="S47" i="6"/>
  <c r="T47" i="6" s="1"/>
  <c r="AE40" i="6"/>
  <c r="C29" i="6"/>
  <c r="O80" i="6"/>
  <c r="AG38" i="6"/>
  <c r="I15" i="6"/>
  <c r="O76" i="6"/>
  <c r="AA61" i="6"/>
  <c r="C36" i="6"/>
  <c r="K70" i="6"/>
  <c r="AU9" i="6"/>
  <c r="C54" i="6"/>
  <c r="BD60" i="6"/>
  <c r="AU6" i="6"/>
  <c r="AA42" i="6"/>
  <c r="AB42" i="6" s="1"/>
  <c r="Q19" i="6"/>
  <c r="R19" i="6" s="1"/>
  <c r="AG6" i="6"/>
  <c r="AH6" i="6" s="1"/>
  <c r="E63" i="6"/>
  <c r="Q39" i="6"/>
  <c r="AA69" i="6"/>
  <c r="AC19" i="6"/>
  <c r="G16" i="6"/>
  <c r="Q76" i="6"/>
  <c r="AE38" i="6"/>
  <c r="E20" i="6"/>
  <c r="Q35" i="6"/>
  <c r="AG35" i="6"/>
  <c r="W38" i="6"/>
  <c r="E40" i="6"/>
  <c r="O22" i="6"/>
  <c r="BC62" i="6"/>
  <c r="AU80" i="6"/>
  <c r="AW5" i="6"/>
  <c r="AM61" i="6"/>
  <c r="AI60" i="6"/>
  <c r="AG71" i="6"/>
  <c r="AE11" i="6"/>
  <c r="AC41" i="6"/>
  <c r="Y75" i="6"/>
  <c r="Y29" i="6"/>
  <c r="U65" i="6"/>
  <c r="S23" i="6"/>
  <c r="T23" i="6" s="1"/>
  <c r="O59" i="6"/>
  <c r="Q18" i="6"/>
  <c r="K60" i="6"/>
  <c r="K24" i="6"/>
  <c r="L24" i="6" s="1"/>
  <c r="I66" i="6"/>
  <c r="I33" i="6"/>
  <c r="E5" i="6"/>
  <c r="C61" i="6"/>
  <c r="E45" i="6"/>
  <c r="AW77" i="6"/>
  <c r="AQ53" i="6"/>
  <c r="AI58" i="6"/>
  <c r="AG9" i="6"/>
  <c r="Y72" i="6"/>
  <c r="U18" i="6"/>
  <c r="Q17" i="6"/>
  <c r="R17" i="6" s="1"/>
  <c r="M21" i="6"/>
  <c r="I31" i="6"/>
  <c r="C67" i="6"/>
  <c r="BD64" i="6"/>
  <c r="AK57" i="6"/>
  <c r="AE7" i="6"/>
  <c r="W72" i="6"/>
  <c r="S62" i="6"/>
  <c r="Q57" i="6"/>
  <c r="M58" i="6"/>
  <c r="N58" i="6" s="1"/>
  <c r="I63" i="6"/>
  <c r="C5" i="6"/>
  <c r="D5" i="6" s="1"/>
  <c r="AQ51" i="6"/>
  <c r="AA29" i="6"/>
  <c r="AB29" i="6" s="1"/>
  <c r="U54" i="6"/>
  <c r="V54" i="6" s="1"/>
  <c r="Q7" i="6"/>
  <c r="C16" i="6"/>
  <c r="C27" i="6"/>
  <c r="AU45" i="6"/>
  <c r="AV45" i="6" s="1"/>
  <c r="W9" i="6"/>
  <c r="X9" i="6" s="1"/>
  <c r="G51" i="6"/>
  <c r="AM19" i="6"/>
  <c r="AN19" i="6" s="1"/>
  <c r="AA20" i="6"/>
  <c r="AB20" i="6" s="1"/>
  <c r="Q3" i="6"/>
  <c r="E76" i="6"/>
  <c r="AO18" i="6"/>
  <c r="S42" i="6"/>
  <c r="G50" i="6"/>
  <c r="AY47" i="6"/>
  <c r="AZ47" i="6" s="1"/>
  <c r="M78" i="6"/>
  <c r="AI18" i="6"/>
  <c r="AC16" i="6"/>
  <c r="K4" i="6"/>
  <c r="L4" i="6" s="1"/>
  <c r="AY42" i="6"/>
  <c r="O75" i="6"/>
  <c r="AY39" i="6"/>
  <c r="AA6" i="6"/>
  <c r="AB6" i="6" s="1"/>
  <c r="G41" i="6"/>
  <c r="AO11" i="6"/>
  <c r="U71" i="6"/>
  <c r="V71" i="6" s="1"/>
  <c r="I72" i="6"/>
  <c r="AE75" i="6"/>
  <c r="S71" i="6"/>
  <c r="T71" i="6" s="1"/>
  <c r="G36" i="6"/>
  <c r="BC63" i="6"/>
  <c r="AW79" i="6"/>
  <c r="AQ77" i="6"/>
  <c r="AO60" i="6"/>
  <c r="AK58" i="6"/>
  <c r="AL58" i="6" s="1"/>
  <c r="AG64" i="6"/>
  <c r="AE10" i="6"/>
  <c r="AC40" i="6"/>
  <c r="W73" i="6"/>
  <c r="W29" i="6"/>
  <c r="X29" i="6" s="1"/>
  <c r="S63" i="6"/>
  <c r="U22" i="6"/>
  <c r="Q58" i="6"/>
  <c r="R58" i="6" s="1"/>
  <c r="O18" i="6"/>
  <c r="M59" i="6"/>
  <c r="K22" i="6"/>
  <c r="G66" i="6"/>
  <c r="G33" i="6"/>
  <c r="E6" i="6"/>
  <c r="C64" i="6"/>
  <c r="E46" i="6"/>
  <c r="BD63" i="6"/>
  <c r="AM52" i="6"/>
  <c r="AE63" i="6"/>
  <c r="AA40" i="6"/>
  <c r="Y28" i="6"/>
  <c r="O58" i="6"/>
  <c r="K59" i="6"/>
  <c r="I65" i="6"/>
  <c r="E7" i="6"/>
  <c r="E51" i="6"/>
  <c r="AU77" i="6"/>
  <c r="AO51" i="6"/>
  <c r="AG60" i="6"/>
  <c r="AC37" i="6"/>
  <c r="W27" i="6"/>
  <c r="U16" i="6"/>
  <c r="V16" i="6" s="1"/>
  <c r="O17" i="6"/>
  <c r="K21" i="6"/>
  <c r="I30" i="6"/>
  <c r="E53" i="6"/>
  <c r="AO48" i="6"/>
  <c r="AE60" i="6"/>
  <c r="Y19" i="6"/>
  <c r="Q47" i="6"/>
  <c r="M51" i="6"/>
  <c r="C76" i="6"/>
  <c r="E73" i="6"/>
  <c r="AS41" i="6"/>
  <c r="O81" i="6"/>
  <c r="G17" i="6"/>
  <c r="AS40" i="6"/>
  <c r="U42" i="6"/>
  <c r="K6" i="6"/>
  <c r="L6" i="6" s="1"/>
  <c r="AY56" i="6"/>
  <c r="O38" i="6"/>
  <c r="E18" i="6"/>
  <c r="F18" i="6" s="1"/>
  <c r="AI23" i="6"/>
  <c r="AJ23" i="6" s="1"/>
  <c r="U41" i="6"/>
  <c r="M43" i="6"/>
  <c r="BA45" i="6"/>
  <c r="Y51" i="6"/>
  <c r="I13" i="6"/>
  <c r="AK17" i="6"/>
  <c r="W6" i="6"/>
  <c r="X6" i="6" s="1"/>
  <c r="M38" i="6"/>
  <c r="AW9" i="6"/>
  <c r="S75" i="6"/>
  <c r="I7" i="6"/>
  <c r="J7" i="6" s="1"/>
  <c r="AS8" i="6"/>
  <c r="Q61" i="6"/>
  <c r="C53" i="6"/>
  <c r="AG17" i="6"/>
  <c r="W37" i="6"/>
  <c r="K27" i="6"/>
  <c r="U62" i="6"/>
  <c r="V62" i="6" s="1"/>
  <c r="AI57" i="6"/>
  <c r="AC69" i="6"/>
  <c r="E16" i="6"/>
  <c r="M44" i="6"/>
  <c r="AG39" i="6"/>
  <c r="AA66" i="6"/>
  <c r="C31" i="6"/>
  <c r="M77" i="6"/>
  <c r="AM13" i="6"/>
  <c r="O66" i="6"/>
  <c r="AA3" i="6"/>
  <c r="AB3" i="6" s="1"/>
  <c r="G4" i="6"/>
  <c r="K65" i="6"/>
  <c r="AQ52" i="6"/>
  <c r="I23" i="6"/>
  <c r="AE41" i="6"/>
  <c r="Y8" i="6"/>
  <c r="AA68" i="6"/>
  <c r="AC18" i="6"/>
  <c r="E19" i="6"/>
  <c r="F19" i="6" s="1"/>
  <c r="O37" i="6"/>
  <c r="AA12" i="6"/>
  <c r="G47" i="6"/>
  <c r="H47" i="6" s="1"/>
  <c r="Q28" i="6"/>
  <c r="AA46" i="6"/>
  <c r="AC45" i="6"/>
  <c r="I3" i="6"/>
  <c r="E2" i="6"/>
  <c r="F2" i="6" s="1"/>
  <c r="BA16" i="6"/>
  <c r="BD76" i="6"/>
  <c r="AU49" i="6"/>
  <c r="AS50" i="6"/>
  <c r="AM48" i="6"/>
  <c r="AK49" i="6"/>
  <c r="AG50" i="6"/>
  <c r="AA73" i="6"/>
  <c r="AC22" i="6"/>
  <c r="Y56" i="6"/>
  <c r="Y14" i="6"/>
  <c r="Z14" i="6" s="1"/>
  <c r="U48" i="6"/>
  <c r="S6" i="6"/>
  <c r="T6" i="6" s="1"/>
  <c r="O43" i="6"/>
  <c r="Q5" i="6"/>
  <c r="K47" i="6"/>
  <c r="L47" i="6" s="1"/>
  <c r="M9" i="6"/>
  <c r="I53" i="6"/>
  <c r="I21" i="6"/>
  <c r="C25" i="6"/>
  <c r="E11" i="6"/>
  <c r="E67" i="6"/>
  <c r="AW48" i="6"/>
  <c r="AI49" i="6"/>
  <c r="AE42" i="6"/>
  <c r="AF42" i="6" s="1"/>
  <c r="AA22" i="6"/>
  <c r="W56" i="6"/>
  <c r="S48" i="6"/>
  <c r="U2" i="6"/>
  <c r="V2" i="6" s="1"/>
  <c r="O5" i="6"/>
  <c r="K46" i="6"/>
  <c r="G53" i="6"/>
  <c r="G21" i="6"/>
  <c r="E12" i="6"/>
  <c r="F12" i="6" s="1"/>
  <c r="E70" i="6"/>
  <c r="BA58" i="6"/>
  <c r="BB58" i="6" s="1"/>
  <c r="AO44" i="6"/>
  <c r="AG41" i="6"/>
  <c r="AA21" i="6"/>
  <c r="Y9" i="6"/>
  <c r="Q81" i="6"/>
  <c r="R81" i="6" s="1"/>
  <c r="Q4" i="6"/>
  <c r="K7" i="6"/>
  <c r="L7" i="6" s="1"/>
  <c r="E15" i="6"/>
  <c r="AK25" i="6"/>
  <c r="O4" i="6"/>
  <c r="P4" i="6" s="1"/>
  <c r="C28" i="6"/>
  <c r="AW44" i="6"/>
  <c r="Q38" i="6"/>
  <c r="E17" i="6"/>
  <c r="AK24" i="6"/>
  <c r="M79" i="6"/>
  <c r="C30" i="6"/>
  <c r="D30" i="6" s="1"/>
  <c r="AM15" i="6"/>
  <c r="AN15" i="6" s="1"/>
  <c r="W7" i="6"/>
  <c r="I49" i="6"/>
  <c r="AW39" i="6"/>
  <c r="Y6" i="6"/>
  <c r="C34" i="6"/>
  <c r="AQ15" i="6"/>
  <c r="AR15" i="6" s="1"/>
  <c r="S40" i="6"/>
  <c r="E21" i="6"/>
  <c r="AI12" i="6"/>
  <c r="W40" i="6"/>
  <c r="G75" i="6"/>
  <c r="BA17" i="6"/>
  <c r="M65" i="6"/>
  <c r="AM11" i="6"/>
  <c r="Y78" i="6"/>
  <c r="G72" i="6"/>
  <c r="AY59" i="6"/>
  <c r="AQ50" i="6"/>
  <c r="AR50" i="6" s="1"/>
  <c r="AO47" i="6"/>
  <c r="AC70" i="6"/>
  <c r="W13" i="6"/>
  <c r="Q42" i="6"/>
  <c r="M7" i="6"/>
  <c r="C26" i="6"/>
  <c r="AW45" i="6"/>
  <c r="AS49" i="6"/>
  <c r="AK28" i="6"/>
  <c r="AA70" i="6"/>
  <c r="Y55" i="6"/>
  <c r="U47" i="6"/>
  <c r="O42" i="6"/>
  <c r="P42" i="6" s="1"/>
  <c r="M45" i="6"/>
  <c r="I51" i="6"/>
  <c r="AM43" i="6"/>
  <c r="W55" i="6"/>
  <c r="M6" i="6"/>
  <c r="N6" i="6" s="1"/>
  <c r="E75" i="6"/>
  <c r="AI25" i="6"/>
  <c r="Q80" i="6"/>
  <c r="R80" i="6" s="1"/>
  <c r="I16" i="6"/>
  <c r="AW40" i="6"/>
  <c r="W8" i="6"/>
  <c r="M5" i="6"/>
  <c r="AQ16" i="6"/>
  <c r="W52" i="6"/>
  <c r="K5" i="6"/>
  <c r="AS15" i="6"/>
  <c r="AC61" i="6"/>
  <c r="K41" i="6"/>
  <c r="E81" i="6"/>
  <c r="AG37" i="6"/>
  <c r="K77" i="6"/>
  <c r="G13" i="6"/>
  <c r="AS14" i="6"/>
  <c r="AT14" i="6" s="1"/>
  <c r="U30" i="6"/>
  <c r="C49" i="6"/>
  <c r="AG24" i="6"/>
  <c r="U26" i="6"/>
  <c r="M30" i="6"/>
  <c r="AW7" i="6"/>
  <c r="O61" i="6"/>
  <c r="F58" i="6"/>
  <c r="J64" i="6" l="1"/>
  <c r="AD19" i="6"/>
  <c r="J19" i="6"/>
  <c r="R4" i="6"/>
  <c r="X31" i="6"/>
  <c r="D36" i="6"/>
  <c r="P58" i="6"/>
  <c r="AJ18" i="6"/>
  <c r="V57" i="6"/>
  <c r="BB31" i="6"/>
  <c r="N28" i="6"/>
  <c r="F7" i="6"/>
  <c r="P17" i="6"/>
  <c r="AB69" i="6"/>
  <c r="L26" i="6"/>
  <c r="T8" i="6"/>
  <c r="AR5" i="6"/>
  <c r="AN5" i="6"/>
  <c r="D8" i="6"/>
  <c r="P5" i="6"/>
  <c r="X17" i="6"/>
  <c r="T17" i="6"/>
  <c r="AF5" i="6"/>
  <c r="AJ5" i="6"/>
  <c r="AB26" i="6"/>
  <c r="L5" i="6"/>
  <c r="AB5" i="6"/>
  <c r="T42" i="6"/>
  <c r="T5" i="6"/>
  <c r="AV5" i="6"/>
  <c r="L17" i="6"/>
  <c r="X8" i="6"/>
  <c r="AX6" i="6"/>
  <c r="F6" i="6"/>
  <c r="J71" i="6"/>
  <c r="N3" i="6"/>
  <c r="AT71" i="6"/>
  <c r="Z71" i="6"/>
  <c r="AL3" i="6"/>
  <c r="AH71" i="6"/>
  <c r="AH5" i="6"/>
  <c r="Z8" i="6"/>
  <c r="F44" i="6"/>
  <c r="AD3" i="6"/>
  <c r="AX3" i="6"/>
  <c r="Z61" i="6"/>
  <c r="V31" i="6"/>
  <c r="AP31" i="6"/>
  <c r="AL31" i="6"/>
  <c r="AX5" i="6"/>
  <c r="AD5" i="6"/>
  <c r="AT8" i="6"/>
  <c r="AD8" i="6"/>
  <c r="AT5" i="6"/>
  <c r="V3" i="6"/>
  <c r="AP3" i="6"/>
  <c r="AD6" i="6"/>
  <c r="J3" i="6"/>
  <c r="BB6" i="6"/>
  <c r="AT6" i="6"/>
  <c r="J6" i="6"/>
  <c r="Z6" i="6"/>
  <c r="R3" i="6"/>
  <c r="AF38" i="6"/>
  <c r="H10" i="6"/>
  <c r="AZ10" i="6"/>
  <c r="AZ26" i="6"/>
  <c r="AV26" i="6"/>
  <c r="AF29" i="6"/>
  <c r="AV47" i="6"/>
  <c r="AZ50" i="6"/>
  <c r="AJ4" i="6"/>
  <c r="P41" i="6"/>
  <c r="D50" i="6"/>
  <c r="T50" i="6"/>
  <c r="P10" i="6"/>
  <c r="L10" i="6"/>
  <c r="P38" i="6"/>
  <c r="H50" i="6"/>
  <c r="P50" i="6"/>
  <c r="T2" i="6"/>
  <c r="AV2" i="6"/>
  <c r="AX7" i="6"/>
  <c r="J31" i="6"/>
  <c r="AD58" i="6"/>
  <c r="N2" i="6"/>
  <c r="F31" i="6"/>
  <c r="AT34" i="6"/>
  <c r="F56" i="6"/>
  <c r="Z65" i="6"/>
  <c r="AL56" i="6"/>
  <c r="Z16" i="6"/>
  <c r="AX44" i="6"/>
  <c r="R7" i="6"/>
  <c r="F4" i="6"/>
  <c r="Z44" i="6"/>
  <c r="AP15" i="6"/>
  <c r="AP6" i="6"/>
  <c r="Z56" i="6"/>
  <c r="V25" i="6"/>
  <c r="J25" i="6"/>
  <c r="N4" i="6"/>
  <c r="AT4" i="6"/>
  <c r="Z75" i="6"/>
  <c r="BB65" i="6"/>
  <c r="V65" i="6"/>
  <c r="R65" i="6"/>
  <c r="AP25" i="6"/>
  <c r="AL65" i="6"/>
  <c r="AX8" i="6"/>
  <c r="R49" i="6"/>
  <c r="F25" i="6"/>
  <c r="BB15" i="6"/>
  <c r="AP8" i="6"/>
  <c r="F8" i="6"/>
  <c r="AP49" i="6"/>
  <c r="AP65" i="6"/>
  <c r="AP62" i="6"/>
  <c r="V49" i="6"/>
  <c r="R9" i="6"/>
  <c r="J9" i="6"/>
  <c r="AD49" i="6"/>
  <c r="N65" i="6"/>
  <c r="AL6" i="6"/>
  <c r="BB49" i="6"/>
  <c r="J65" i="6"/>
  <c r="AL49" i="6"/>
  <c r="AH9" i="6"/>
  <c r="R25" i="6"/>
  <c r="AD65" i="6"/>
  <c r="AH65" i="6"/>
  <c r="AT65" i="6"/>
  <c r="X13" i="6"/>
  <c r="X7" i="6"/>
  <c r="AJ7" i="6"/>
  <c r="L48" i="6"/>
  <c r="P72" i="6"/>
  <c r="D48" i="6"/>
  <c r="AB36" i="6"/>
  <c r="T13" i="6"/>
  <c r="X27" i="6"/>
  <c r="AB71" i="6"/>
  <c r="P24" i="6"/>
  <c r="H14" i="6"/>
  <c r="P29" i="6"/>
  <c r="D14" i="6"/>
  <c r="AJ72" i="6"/>
  <c r="H72" i="6"/>
  <c r="P18" i="6"/>
  <c r="L14" i="6"/>
  <c r="AB18" i="6"/>
  <c r="AR29" i="6"/>
  <c r="X55" i="6"/>
  <c r="D16" i="6"/>
  <c r="T7" i="6"/>
  <c r="AB48" i="6"/>
  <c r="AB4" i="6"/>
  <c r="AV4" i="6"/>
  <c r="T48" i="6"/>
  <c r="AZ39" i="6"/>
  <c r="AJ58" i="6"/>
  <c r="AV6" i="6"/>
  <c r="D19" i="6"/>
  <c r="D45" i="6"/>
  <c r="AF16" i="6"/>
  <c r="X67" i="6"/>
  <c r="D74" i="6"/>
  <c r="L16" i="6"/>
  <c r="H13" i="6"/>
  <c r="D28" i="6"/>
  <c r="AF26" i="6"/>
  <c r="AN31" i="6"/>
  <c r="H7" i="6"/>
  <c r="T4" i="6"/>
  <c r="AN4" i="6"/>
  <c r="H4" i="6"/>
  <c r="AN7" i="6"/>
  <c r="AJ3" i="6"/>
  <c r="AN48" i="6"/>
  <c r="AF4" i="6"/>
  <c r="AZ4" i="6"/>
  <c r="AF71" i="6"/>
  <c r="AV71" i="6"/>
  <c r="F28" i="6"/>
  <c r="F75" i="6"/>
  <c r="N59" i="6"/>
  <c r="J47" i="6"/>
  <c r="AX58" i="6"/>
  <c r="N52" i="6"/>
  <c r="AH58" i="6"/>
  <c r="J10" i="6"/>
  <c r="F59" i="6"/>
  <c r="AP44" i="6"/>
  <c r="AH54" i="6"/>
  <c r="F54" i="6"/>
  <c r="N44" i="6"/>
  <c r="AH17" i="6"/>
  <c r="R5" i="6"/>
  <c r="F16" i="6"/>
  <c r="N11" i="6"/>
  <c r="F33" i="6"/>
  <c r="J57" i="6"/>
  <c r="F79" i="6"/>
  <c r="AD9" i="6"/>
  <c r="J67" i="6"/>
  <c r="F17" i="6"/>
  <c r="J16" i="6"/>
  <c r="Z29" i="6"/>
  <c r="F49" i="6"/>
  <c r="AD18" i="6"/>
  <c r="V18" i="6"/>
  <c r="N79" i="6"/>
  <c r="R61" i="6"/>
  <c r="Z36" i="6"/>
  <c r="F5" i="6"/>
  <c r="R31" i="6"/>
  <c r="AX2" i="6"/>
  <c r="V6" i="6"/>
  <c r="F27" i="6"/>
  <c r="V77" i="6"/>
  <c r="J77" i="6"/>
  <c r="AP77" i="6"/>
  <c r="AH3" i="6"/>
  <c r="BB3" i="6"/>
  <c r="F15" i="6"/>
  <c r="AD16" i="6"/>
  <c r="AL42" i="6"/>
  <c r="J43" i="6"/>
  <c r="AD56" i="6"/>
  <c r="N56" i="6"/>
  <c r="R16" i="6"/>
  <c r="R57" i="6"/>
  <c r="F65" i="6"/>
  <c r="AT49" i="6"/>
  <c r="AL17" i="6"/>
  <c r="J4" i="6"/>
  <c r="N49" i="6"/>
  <c r="AX14" i="6"/>
  <c r="AH49" i="6"/>
  <c r="Z49" i="6"/>
  <c r="F13" i="6"/>
  <c r="J55" i="6"/>
  <c r="AL7" i="6"/>
  <c r="Z7" i="6"/>
  <c r="AP18" i="6"/>
  <c r="R18" i="6"/>
  <c r="F66" i="6"/>
  <c r="AX49" i="6"/>
  <c r="N30" i="6"/>
  <c r="N21" i="6"/>
  <c r="AX55" i="6"/>
  <c r="BB17" i="6"/>
  <c r="AP61" i="6"/>
  <c r="J33" i="6"/>
  <c r="AT7" i="6"/>
  <c r="N7" i="6"/>
  <c r="F46" i="6"/>
  <c r="AX65" i="6"/>
  <c r="F14" i="6"/>
  <c r="AT58" i="6"/>
  <c r="Z3" i="6"/>
  <c r="AT3" i="6"/>
  <c r="J41" i="6"/>
  <c r="J49" i="6"/>
  <c r="J35" i="6"/>
  <c r="AP7" i="6"/>
  <c r="BB12" i="6"/>
  <c r="BB5" i="6"/>
  <c r="Z4" i="6"/>
  <c r="Z18" i="6"/>
  <c r="J17" i="6"/>
  <c r="L34" i="6"/>
  <c r="AL46" i="6"/>
  <c r="AV41" i="6"/>
  <c r="L50" i="6"/>
  <c r="J46" i="6"/>
  <c r="AX29" i="6"/>
  <c r="AX17" i="6"/>
  <c r="AB50" i="6"/>
  <c r="N17" i="6"/>
  <c r="X50" i="6"/>
  <c r="D23" i="6"/>
  <c r="AX59" i="6"/>
  <c r="F35" i="6"/>
  <c r="Z10" i="6"/>
  <c r="AL9" i="6"/>
  <c r="V75" i="6"/>
  <c r="AH24" i="6"/>
  <c r="F70" i="6"/>
  <c r="N35" i="6"/>
  <c r="AP52" i="6"/>
  <c r="Z52" i="6"/>
  <c r="Z25" i="6"/>
  <c r="AD25" i="6"/>
  <c r="N25" i="6"/>
  <c r="AT35" i="6"/>
  <c r="R70" i="6"/>
  <c r="AH35" i="6"/>
  <c r="V9" i="6"/>
  <c r="AD70" i="6"/>
  <c r="V70" i="6"/>
  <c r="AN20" i="6"/>
  <c r="AX9" i="6"/>
  <c r="Z9" i="6"/>
  <c r="N70" i="6"/>
  <c r="J23" i="6"/>
  <c r="AL25" i="6"/>
  <c r="Z59" i="6"/>
  <c r="AH25" i="6"/>
  <c r="BB18" i="6"/>
  <c r="AD52" i="6"/>
  <c r="AX25" i="6"/>
  <c r="N9" i="6"/>
  <c r="D21" i="6"/>
  <c r="H21" i="6"/>
  <c r="H51" i="6"/>
  <c r="X51" i="6"/>
  <c r="X43" i="6"/>
  <c r="P16" i="6"/>
  <c r="H60" i="6"/>
  <c r="H41" i="6"/>
  <c r="T41" i="6"/>
  <c r="AN10" i="6"/>
  <c r="AF41" i="6"/>
  <c r="D9" i="6"/>
  <c r="AJ41" i="6"/>
  <c r="AF13" i="6"/>
  <c r="AN71" i="6"/>
  <c r="D10" i="6"/>
  <c r="AR72" i="6"/>
  <c r="AN13" i="6"/>
  <c r="L69" i="6"/>
  <c r="AB60" i="6"/>
  <c r="T60" i="6"/>
  <c r="X41" i="6"/>
  <c r="P69" i="6"/>
  <c r="X72" i="6"/>
  <c r="AV13" i="6"/>
  <c r="L41" i="6"/>
  <c r="AF10" i="6"/>
  <c r="P14" i="6"/>
  <c r="AF48" i="6"/>
  <c r="P19" i="6"/>
  <c r="L46" i="6"/>
  <c r="AF6" i="6"/>
  <c r="L71" i="6"/>
  <c r="AV9" i="6"/>
  <c r="AN50" i="6"/>
  <c r="AB79" i="6"/>
  <c r="AZ6" i="6"/>
  <c r="P61" i="6"/>
  <c r="L21" i="6"/>
  <c r="D67" i="6"/>
  <c r="T78" i="6"/>
  <c r="H46" i="6"/>
  <c r="X49" i="6"/>
  <c r="P9" i="6"/>
  <c r="T49" i="6"/>
  <c r="AZ36" i="6"/>
  <c r="AZ59" i="6"/>
  <c r="L27" i="6"/>
  <c r="AZ56" i="6"/>
  <c r="AF11" i="6"/>
  <c r="AN27" i="6"/>
  <c r="AZ9" i="6"/>
  <c r="AB59" i="6"/>
  <c r="D49" i="6"/>
  <c r="L19" i="6"/>
  <c r="H17" i="6"/>
  <c r="P48" i="6"/>
  <c r="AF59" i="6"/>
  <c r="AN49" i="6"/>
  <c r="AV66" i="6"/>
  <c r="H67" i="6"/>
  <c r="AV59" i="6"/>
  <c r="AJ67" i="6"/>
  <c r="AR59" i="6"/>
  <c r="AR49" i="6"/>
  <c r="AJ29" i="6"/>
  <c r="P26" i="6"/>
  <c r="T19" i="6"/>
  <c r="AJ10" i="6"/>
  <c r="X16" i="6"/>
  <c r="AN76" i="6"/>
  <c r="AV77" i="6"/>
  <c r="AF49" i="6"/>
  <c r="AJ76" i="6"/>
  <c r="L59" i="6"/>
  <c r="AB9" i="6"/>
  <c r="AJ69" i="6"/>
  <c r="AF8" i="6"/>
  <c r="AZ16" i="6"/>
  <c r="T16" i="6"/>
  <c r="P8" i="6"/>
  <c r="AR6" i="6"/>
  <c r="AN77" i="6"/>
  <c r="D59" i="6"/>
  <c r="L77" i="6"/>
  <c r="AV19" i="6"/>
  <c r="AV49" i="6"/>
  <c r="D26" i="6"/>
  <c r="H5" i="6"/>
  <c r="D24" i="6"/>
  <c r="AJ49" i="6"/>
  <c r="AV32" i="6"/>
  <c r="AR32" i="6"/>
  <c r="AN17" i="6"/>
  <c r="AR9" i="6"/>
  <c r="AR77" i="6"/>
  <c r="AJ71" i="6"/>
  <c r="AJ19" i="6"/>
  <c r="AL36" i="6"/>
  <c r="AH36" i="6"/>
  <c r="L40" i="6"/>
  <c r="Z57" i="6"/>
  <c r="J66" i="6"/>
  <c r="Z66" i="6"/>
  <c r="AF69" i="6"/>
  <c r="D18" i="6"/>
  <c r="F57" i="6"/>
  <c r="AN29" i="6"/>
  <c r="L8" i="6"/>
  <c r="AV29" i="6"/>
  <c r="T27" i="6"/>
  <c r="D46" i="6"/>
  <c r="AN18" i="6"/>
  <c r="AZ69" i="6"/>
  <c r="AN41" i="6"/>
  <c r="AJ13" i="6"/>
  <c r="L29" i="6"/>
  <c r="D27" i="6"/>
  <c r="N42" i="6"/>
  <c r="AR10" i="6"/>
  <c r="P74" i="6"/>
  <c r="H8" i="6"/>
  <c r="AP9" i="6"/>
  <c r="V42" i="6"/>
  <c r="J42" i="6"/>
  <c r="D72" i="6"/>
  <c r="AL44" i="6"/>
  <c r="AN26" i="6"/>
  <c r="X10" i="6"/>
  <c r="AJ46" i="6"/>
  <c r="BB44" i="6"/>
  <c r="V4" i="6"/>
  <c r="N16" i="6"/>
  <c r="AT9" i="6"/>
  <c r="J44" i="6"/>
  <c r="AR26" i="6"/>
  <c r="X69" i="6"/>
  <c r="AZ13" i="6"/>
  <c r="T29" i="6"/>
  <c r="AH28" i="6"/>
  <c r="AN8" i="6"/>
  <c r="T10" i="6"/>
  <c r="AL15" i="6"/>
  <c r="AB13" i="6"/>
  <c r="AH42" i="6"/>
  <c r="H74" i="6"/>
  <c r="AV72" i="6"/>
  <c r="AV10" i="6"/>
  <c r="AT25" i="6"/>
  <c r="AP57" i="6"/>
  <c r="F9" i="6"/>
  <c r="AB58" i="6"/>
  <c r="BB42" i="6"/>
  <c r="AZ5" i="6"/>
  <c r="AH7" i="6"/>
  <c r="F42" i="6"/>
  <c r="BB25" i="6"/>
  <c r="AB10" i="6"/>
  <c r="D58" i="6"/>
  <c r="L74" i="6"/>
  <c r="AL4" i="6"/>
  <c r="AX4" i="6"/>
  <c r="AB46" i="6"/>
  <c r="AL57" i="6"/>
  <c r="D29" i="6"/>
  <c r="AB72" i="6"/>
  <c r="BB9" i="6"/>
  <c r="AB8" i="6"/>
  <c r="AH57" i="6"/>
  <c r="R42" i="6"/>
  <c r="T58" i="6"/>
  <c r="D69" i="6"/>
  <c r="X26" i="6"/>
  <c r="D41" i="6"/>
  <c r="BB7" i="6"/>
  <c r="AP4" i="6"/>
  <c r="P25" i="6"/>
  <c r="P77" i="6"/>
  <c r="AJ25" i="6"/>
  <c r="L25" i="6"/>
  <c r="AX70" i="6"/>
  <c r="AB47" i="6"/>
  <c r="AZ2" i="6"/>
  <c r="AD64" i="6"/>
  <c r="N24" i="6"/>
  <c r="D2" i="6"/>
  <c r="V24" i="6"/>
  <c r="AL24" i="6"/>
  <c r="AP51" i="6"/>
  <c r="T25" i="6"/>
  <c r="X78" i="6"/>
  <c r="BB70" i="6"/>
  <c r="AJ2" i="6"/>
  <c r="P2" i="6"/>
  <c r="X77" i="6"/>
  <c r="R72" i="6"/>
  <c r="R22" i="6"/>
  <c r="AJ78" i="6"/>
  <c r="X47" i="6"/>
  <c r="AB2" i="6"/>
  <c r="AB25" i="6"/>
  <c r="AJ47" i="6"/>
  <c r="BB77" i="6"/>
  <c r="J29" i="6"/>
  <c r="X68" i="6"/>
  <c r="AF77" i="6"/>
  <c r="BB29" i="6"/>
  <c r="AB30" i="6"/>
  <c r="AL14" i="6"/>
  <c r="J72" i="6"/>
  <c r="AL29" i="6"/>
  <c r="T30" i="6"/>
  <c r="R20" i="6"/>
  <c r="H30" i="6"/>
  <c r="N29" i="6"/>
  <c r="L64" i="6"/>
  <c r="N72" i="6"/>
  <c r="Z45" i="6"/>
  <c r="AB68" i="6"/>
  <c r="AH60" i="6"/>
  <c r="Z72" i="6"/>
  <c r="D68" i="6"/>
  <c r="P30" i="6"/>
  <c r="H25" i="6"/>
  <c r="AF30" i="6"/>
  <c r="N20" i="6"/>
  <c r="H64" i="6"/>
  <c r="V29" i="6"/>
  <c r="R45" i="6"/>
  <c r="BB72" i="6"/>
  <c r="N45" i="6"/>
  <c r="AD29" i="6"/>
  <c r="F72" i="6"/>
  <c r="F45" i="6"/>
  <c r="F29" i="6"/>
  <c r="J45" i="6"/>
  <c r="F22" i="6"/>
  <c r="AX11" i="6"/>
  <c r="V79" i="6"/>
  <c r="AD14" i="6"/>
  <c r="V41" i="6"/>
  <c r="AT67" i="6"/>
  <c r="AZ33" i="6"/>
  <c r="AD77" i="6"/>
  <c r="AL66" i="6"/>
  <c r="P43" i="6"/>
  <c r="X21" i="6"/>
  <c r="AX19" i="6"/>
  <c r="D60" i="6"/>
  <c r="AJ20" i="6"/>
  <c r="AX52" i="6"/>
  <c r="AL19" i="6"/>
  <c r="AP19" i="6"/>
  <c r="V19" i="6"/>
  <c r="BB78" i="6"/>
  <c r="AL72" i="6"/>
  <c r="V52" i="6"/>
  <c r="AN28" i="6"/>
  <c r="N14" i="6"/>
  <c r="AL70" i="6"/>
  <c r="J52" i="6"/>
  <c r="Z35" i="6"/>
  <c r="AP35" i="6"/>
  <c r="AD57" i="6"/>
  <c r="F52" i="6"/>
  <c r="AR25" i="6"/>
  <c r="AZ20" i="6"/>
  <c r="D25" i="6"/>
  <c r="Z19" i="6"/>
  <c r="R35" i="6"/>
  <c r="R24" i="6"/>
  <c r="AT19" i="6"/>
  <c r="AL32" i="6"/>
  <c r="AF25" i="6"/>
  <c r="T20" i="6"/>
  <c r="R52" i="6"/>
  <c r="AF20" i="6"/>
  <c r="AT57" i="6"/>
  <c r="AF60" i="6"/>
  <c r="H20" i="6"/>
  <c r="AH19" i="6"/>
  <c r="L60" i="6"/>
  <c r="J53" i="6"/>
  <c r="AX35" i="6"/>
  <c r="AB21" i="6"/>
  <c r="T59" i="6"/>
  <c r="P59" i="6"/>
  <c r="V35" i="6"/>
  <c r="N19" i="6"/>
  <c r="AR67" i="6"/>
  <c r="AL35" i="6"/>
  <c r="AD69" i="6"/>
  <c r="J22" i="6"/>
  <c r="AF76" i="6"/>
  <c r="P64" i="6"/>
  <c r="D73" i="6"/>
  <c r="AV61" i="6"/>
  <c r="AL22" i="6"/>
  <c r="BB55" i="6"/>
  <c r="H31" i="6"/>
  <c r="AL5" i="6"/>
  <c r="AZ31" i="6"/>
  <c r="F71" i="6"/>
  <c r="R29" i="6"/>
  <c r="AX15" i="6"/>
  <c r="AH8" i="6"/>
  <c r="X36" i="6"/>
  <c r="AJ40" i="6"/>
  <c r="Z15" i="6"/>
  <c r="AP47" i="6"/>
  <c r="H66" i="6"/>
  <c r="R39" i="6"/>
  <c r="J69" i="6"/>
  <c r="L11" i="6"/>
  <c r="H76" i="6"/>
  <c r="F61" i="6"/>
  <c r="AD11" i="6"/>
  <c r="AP56" i="6"/>
  <c r="AJ31" i="6"/>
  <c r="R36" i="6"/>
  <c r="AF31" i="6"/>
  <c r="AL20" i="6"/>
  <c r="AV36" i="6"/>
  <c r="AD34" i="6"/>
  <c r="AX28" i="6"/>
  <c r="N8" i="6"/>
  <c r="AX69" i="6"/>
  <c r="AL8" i="6"/>
  <c r="V78" i="6"/>
  <c r="AD36" i="6"/>
  <c r="AJ30" i="6"/>
  <c r="H40" i="6"/>
  <c r="AJ80" i="6"/>
  <c r="D40" i="6"/>
  <c r="R79" i="6"/>
  <c r="X48" i="6"/>
  <c r="AP79" i="6"/>
  <c r="BB22" i="6"/>
  <c r="Z78" i="6"/>
  <c r="AD22" i="6"/>
  <c r="AH72" i="6"/>
  <c r="Z39" i="6"/>
  <c r="P32" i="6"/>
  <c r="N55" i="6"/>
  <c r="AL61" i="6"/>
  <c r="AN16" i="6"/>
  <c r="D17" i="6"/>
  <c r="AL16" i="6"/>
  <c r="AR7" i="6"/>
  <c r="AH15" i="6"/>
  <c r="N13" i="6"/>
  <c r="AP72" i="6"/>
  <c r="D32" i="6"/>
  <c r="J34" i="6"/>
  <c r="V5" i="6"/>
  <c r="AD15" i="6"/>
  <c r="F78" i="6"/>
  <c r="AH79" i="6"/>
  <c r="AV40" i="6"/>
  <c r="AD28" i="6"/>
  <c r="J11" i="6"/>
  <c r="H80" i="6"/>
  <c r="V15" i="6"/>
  <c r="AL45" i="6"/>
  <c r="R15" i="6"/>
  <c r="AL34" i="6"/>
  <c r="AB31" i="6"/>
  <c r="AT45" i="6"/>
  <c r="AP55" i="6"/>
  <c r="AJ36" i="6"/>
  <c r="AL55" i="6"/>
  <c r="BB39" i="6"/>
  <c r="N39" i="6"/>
  <c r="H9" i="6"/>
  <c r="X73" i="6"/>
  <c r="J39" i="6"/>
  <c r="AD78" i="6"/>
  <c r="AX36" i="6"/>
  <c r="AT61" i="6"/>
  <c r="T36" i="6"/>
  <c r="AP45" i="6"/>
  <c r="AL39" i="6"/>
  <c r="V22" i="6"/>
  <c r="X40" i="6"/>
  <c r="L80" i="6"/>
  <c r="AP22" i="6"/>
  <c r="AD55" i="6"/>
  <c r="AT11" i="6"/>
  <c r="R11" i="6"/>
  <c r="AF9" i="6"/>
  <c r="AD61" i="6"/>
  <c r="Z28" i="6"/>
  <c r="AB61" i="6"/>
  <c r="X30" i="6"/>
  <c r="F39" i="6"/>
  <c r="AP29" i="6"/>
  <c r="Z20" i="6"/>
  <c r="J79" i="6"/>
  <c r="BB36" i="6"/>
  <c r="AT55" i="6"/>
  <c r="AH29" i="6"/>
  <c r="AX34" i="6"/>
  <c r="AN40" i="6"/>
  <c r="AZ7" i="6"/>
  <c r="AB76" i="6"/>
  <c r="AP11" i="6"/>
  <c r="AV80" i="6"/>
  <c r="AD72" i="6"/>
  <c r="V11" i="6"/>
  <c r="R78" i="6"/>
  <c r="AP78" i="6"/>
  <c r="R55" i="6"/>
  <c r="P40" i="6"/>
  <c r="T76" i="6"/>
  <c r="AP39" i="6"/>
  <c r="AT15" i="6"/>
  <c r="AL28" i="6"/>
  <c r="T40" i="6"/>
  <c r="F11" i="6"/>
  <c r="BB16" i="6"/>
  <c r="AB40" i="6"/>
  <c r="P76" i="6"/>
  <c r="J36" i="6"/>
  <c r="X76" i="6"/>
  <c r="AV7" i="6"/>
  <c r="X61" i="6"/>
  <c r="L32" i="6"/>
  <c r="AT72" i="6"/>
  <c r="AR76" i="6"/>
  <c r="AZ32" i="6"/>
  <c r="Z17" i="6"/>
  <c r="X32" i="6"/>
  <c r="L36" i="6"/>
  <c r="AR17" i="6"/>
  <c r="AN9" i="6"/>
  <c r="V34" i="6"/>
  <c r="AJ26" i="6"/>
  <c r="AD39" i="6"/>
  <c r="AT78" i="6"/>
  <c r="AL79" i="6"/>
  <c r="D61" i="6"/>
  <c r="D76" i="6"/>
  <c r="AJ9" i="6"/>
  <c r="F55" i="6"/>
  <c r="D31" i="6"/>
  <c r="J13" i="6"/>
  <c r="F20" i="6"/>
  <c r="AL11" i="6"/>
  <c r="BB56" i="6"/>
  <c r="BB20" i="6"/>
  <c r="R71" i="6"/>
  <c r="AF80" i="6"/>
  <c r="AF27" i="6"/>
  <c r="AV76" i="6"/>
  <c r="N36" i="6"/>
  <c r="BB8" i="6"/>
  <c r="Z79" i="6"/>
  <c r="AR30" i="6"/>
  <c r="J8" i="6"/>
  <c r="V45" i="6"/>
  <c r="AB73" i="6"/>
  <c r="AB80" i="6"/>
  <c r="F77" i="6"/>
  <c r="Z55" i="6"/>
  <c r="V55" i="6"/>
  <c r="N77" i="6"/>
  <c r="T9" i="6"/>
  <c r="AX45" i="6"/>
  <c r="AR16" i="6"/>
  <c r="AD45" i="6"/>
  <c r="AB66" i="6"/>
  <c r="AX79" i="6"/>
  <c r="AF7" i="6"/>
  <c r="P80" i="6"/>
  <c r="F34" i="6"/>
  <c r="L45" i="6"/>
  <c r="AN80" i="6"/>
  <c r="P7" i="6"/>
  <c r="T61" i="6"/>
  <c r="P36" i="6"/>
  <c r="AT39" i="6"/>
  <c r="AJ17" i="6"/>
  <c r="AZ30" i="6"/>
  <c r="AB17" i="6"/>
  <c r="AT28" i="6"/>
  <c r="AH45" i="6"/>
  <c r="AN61" i="6"/>
  <c r="AR40" i="6"/>
  <c r="AZ40" i="6"/>
  <c r="R56" i="6"/>
  <c r="J61" i="6"/>
  <c r="J15" i="6"/>
  <c r="AH11" i="6"/>
  <c r="D80" i="6"/>
  <c r="AR80" i="6"/>
  <c r="D34" i="6"/>
  <c r="AX22" i="6"/>
  <c r="N5" i="6"/>
  <c r="AX39" i="6"/>
  <c r="AH39" i="6"/>
  <c r="BB45" i="6"/>
  <c r="F53" i="6"/>
  <c r="AD20" i="6"/>
  <c r="L31" i="6"/>
  <c r="AP36" i="6"/>
  <c r="D7" i="6"/>
  <c r="Z5" i="6"/>
  <c r="P49" i="6"/>
  <c r="J56" i="6"/>
  <c r="D4" i="6"/>
  <c r="AT29" i="6"/>
  <c r="AD37" i="6"/>
  <c r="X80" i="6"/>
  <c r="H61" i="6"/>
  <c r="AJ61" i="6"/>
  <c r="AN30" i="6"/>
  <c r="AZ61" i="6"/>
  <c r="N15" i="6"/>
  <c r="R28" i="6"/>
  <c r="N43" i="6"/>
  <c r="D64" i="6"/>
  <c r="H36" i="6"/>
  <c r="H16" i="6"/>
  <c r="AF40" i="6"/>
  <c r="F43" i="6"/>
  <c r="AH22" i="6"/>
  <c r="AT20" i="6"/>
  <c r="P31" i="6"/>
  <c r="X45" i="6"/>
  <c r="L76" i="6"/>
  <c r="J5" i="6"/>
  <c r="AF36" i="6"/>
  <c r="AT79" i="6"/>
  <c r="R8" i="6"/>
  <c r="L30" i="6"/>
  <c r="AV30" i="6"/>
  <c r="X4" i="6"/>
  <c r="AR4" i="6"/>
  <c r="J78" i="6"/>
  <c r="H55" i="6"/>
  <c r="J80" i="6"/>
  <c r="P37" i="6"/>
  <c r="N64" i="6"/>
  <c r="AZ73" i="6"/>
  <c r="T28" i="6"/>
  <c r="H43" i="6"/>
  <c r="AH18" i="6"/>
  <c r="BB61" i="6"/>
  <c r="AJ27" i="6"/>
  <c r="AH20" i="6"/>
  <c r="AR31" i="6"/>
  <c r="N61" i="6"/>
  <c r="AZ29" i="6"/>
  <c r="AF74" i="6"/>
  <c r="AZ74" i="6"/>
  <c r="F37" i="6"/>
  <c r="V26" i="6"/>
  <c r="L52" i="6"/>
  <c r="AT48" i="6"/>
  <c r="H52" i="6"/>
  <c r="P52" i="6"/>
  <c r="AP34" i="6"/>
  <c r="AR52" i="6"/>
  <c r="H44" i="6"/>
  <c r="R23" i="6"/>
  <c r="R48" i="6"/>
  <c r="L44" i="6"/>
  <c r="X37" i="6"/>
  <c r="AX48" i="6"/>
  <c r="AN79" i="6"/>
  <c r="AF52" i="6"/>
  <c r="N48" i="6"/>
  <c r="D78" i="6"/>
  <c r="AH48" i="6"/>
  <c r="AP26" i="6"/>
  <c r="D52" i="6"/>
  <c r="V48" i="6"/>
  <c r="N23" i="6"/>
  <c r="X52" i="6"/>
  <c r="AN52" i="6"/>
  <c r="AP48" i="6"/>
  <c r="N32" i="6"/>
  <c r="R26" i="6"/>
  <c r="T67" i="6"/>
  <c r="AX72" i="6"/>
  <c r="T18" i="6"/>
  <c r="F23" i="6"/>
  <c r="J59" i="6"/>
  <c r="J75" i="6"/>
  <c r="F63" i="6"/>
  <c r="AR70" i="6"/>
  <c r="AZ11" i="6"/>
  <c r="AR60" i="6"/>
  <c r="AH59" i="6"/>
  <c r="AN11" i="6"/>
  <c r="T70" i="6"/>
  <c r="T11" i="6"/>
  <c r="AL69" i="6"/>
  <c r="F81" i="6"/>
  <c r="L70" i="6"/>
  <c r="R59" i="6"/>
  <c r="T73" i="6"/>
  <c r="AT54" i="6"/>
  <c r="T77" i="6"/>
  <c r="AP42" i="6"/>
  <c r="AB78" i="6"/>
  <c r="H45" i="6"/>
  <c r="AV69" i="6"/>
  <c r="P70" i="6"/>
  <c r="AJ60" i="6"/>
  <c r="X38" i="6"/>
  <c r="AT66" i="6"/>
  <c r="AP69" i="6"/>
  <c r="AV60" i="6"/>
  <c r="N69" i="6"/>
  <c r="F10" i="6"/>
  <c r="BB75" i="6"/>
  <c r="J26" i="6"/>
  <c r="AL18" i="6"/>
  <c r="D77" i="6"/>
  <c r="D44" i="6"/>
  <c r="V46" i="6"/>
  <c r="AB16" i="6"/>
  <c r="V36" i="6"/>
  <c r="BB71" i="6"/>
  <c r="R12" i="6"/>
  <c r="AN47" i="6"/>
  <c r="AF50" i="6"/>
  <c r="AR51" i="6"/>
  <c r="AT32" i="6"/>
  <c r="AT64" i="6"/>
  <c r="X70" i="6"/>
  <c r="H33" i="6"/>
  <c r="AF75" i="6"/>
  <c r="J62" i="6"/>
  <c r="X33" i="6"/>
  <c r="L22" i="6"/>
  <c r="AD41" i="6"/>
  <c r="N47" i="6"/>
  <c r="AL67" i="6"/>
  <c r="F64" i="6"/>
  <c r="T43" i="6"/>
  <c r="AB33" i="6"/>
  <c r="Z69" i="6"/>
  <c r="AF17" i="6"/>
  <c r="BB62" i="6"/>
  <c r="AN43" i="6"/>
  <c r="AF22" i="6"/>
  <c r="J51" i="6"/>
  <c r="AH50" i="6"/>
  <c r="P60" i="6"/>
  <c r="AJ33" i="6"/>
  <c r="F24" i="6"/>
  <c r="AJ11" i="6"/>
  <c r="D33" i="6"/>
  <c r="R69" i="6"/>
  <c r="R64" i="6"/>
  <c r="X56" i="6"/>
  <c r="F51" i="6"/>
  <c r="P75" i="6"/>
  <c r="H34" i="6"/>
  <c r="AH75" i="6"/>
  <c r="D11" i="6"/>
  <c r="AN60" i="6"/>
  <c r="AB22" i="6"/>
  <c r="P81" i="6"/>
  <c r="AZ42" i="6"/>
  <c r="AX77" i="6"/>
  <c r="D54" i="6"/>
  <c r="AF73" i="6"/>
  <c r="AJ73" i="6"/>
  <c r="H11" i="6"/>
  <c r="AX20" i="6"/>
  <c r="J20" i="6"/>
  <c r="AP59" i="6"/>
  <c r="AR36" i="6"/>
  <c r="V59" i="6"/>
  <c r="AT75" i="6"/>
  <c r="AN70" i="6"/>
  <c r="H75" i="6"/>
  <c r="F74" i="6"/>
  <c r="AT10" i="6"/>
  <c r="V47" i="6"/>
  <c r="AT50" i="6"/>
  <c r="AT74" i="6"/>
  <c r="AF78" i="6"/>
  <c r="AX64" i="6"/>
  <c r="T75" i="6"/>
  <c r="P22" i="6"/>
  <c r="V69" i="6"/>
  <c r="AP10" i="6"/>
  <c r="AB70" i="6"/>
  <c r="F67" i="6"/>
  <c r="P66" i="6"/>
  <c r="N51" i="6"/>
  <c r="AH64" i="6"/>
  <c r="N78" i="6"/>
  <c r="AR37" i="6"/>
  <c r="AN81" i="6"/>
  <c r="AZ60" i="6"/>
  <c r="R10" i="6"/>
  <c r="AH26" i="6"/>
  <c r="AT36" i="6"/>
  <c r="N62" i="6"/>
  <c r="AD42" i="6"/>
  <c r="AV46" i="6"/>
  <c r="H77" i="6"/>
  <c r="Z42" i="6"/>
  <c r="AH16" i="6"/>
  <c r="J70" i="6"/>
  <c r="AP70" i="6"/>
  <c r="R47" i="6"/>
  <c r="J50" i="6"/>
  <c r="X25" i="6"/>
  <c r="AB11" i="6"/>
  <c r="N75" i="6"/>
  <c r="N10" i="6"/>
  <c r="X60" i="6"/>
  <c r="AD75" i="6"/>
  <c r="AH34" i="6"/>
  <c r="L75" i="6"/>
  <c r="AR33" i="6"/>
  <c r="AD10" i="6"/>
  <c r="AX10" i="6"/>
  <c r="AH62" i="6"/>
  <c r="AV70" i="6"/>
  <c r="AP75" i="6"/>
  <c r="AJ43" i="6"/>
  <c r="AX75" i="6"/>
  <c r="D70" i="6"/>
  <c r="AL10" i="6"/>
  <c r="Z64" i="6"/>
  <c r="AH41" i="6"/>
  <c r="Z51" i="6"/>
  <c r="H73" i="6"/>
  <c r="AV25" i="6"/>
  <c r="AJ79" i="6"/>
  <c r="L49" i="6"/>
  <c r="AZ45" i="6"/>
  <c r="BB59" i="6"/>
  <c r="AL59" i="6"/>
  <c r="AJ75" i="6"/>
  <c r="P11" i="6"/>
  <c r="AX62" i="6"/>
  <c r="AF45" i="6"/>
  <c r="AT69" i="6"/>
  <c r="AD59" i="6"/>
  <c r="AZ70" i="6"/>
  <c r="AX40" i="6"/>
  <c r="H22" i="6"/>
  <c r="D37" i="6"/>
  <c r="BB21" i="6"/>
  <c r="AX18" i="6"/>
  <c r="AP16" i="6"/>
  <c r="AV16" i="6"/>
  <c r="AX42" i="6"/>
  <c r="AN12" i="6"/>
  <c r="X14" i="6"/>
  <c r="AR14" i="6"/>
  <c r="AV22" i="6"/>
  <c r="AZ49" i="6"/>
  <c r="AB41" i="6"/>
  <c r="AZ62" i="6"/>
  <c r="R62" i="6"/>
  <c r="J24" i="6"/>
  <c r="X46" i="6"/>
  <c r="X58" i="6"/>
  <c r="BB28" i="6"/>
  <c r="AN69" i="6"/>
  <c r="H78" i="6"/>
  <c r="V27" i="6"/>
  <c r="H27" i="6"/>
  <c r="AT40" i="6"/>
  <c r="AV27" i="6"/>
  <c r="AT46" i="6"/>
  <c r="P78" i="6"/>
  <c r="AX32" i="6"/>
  <c r="AZ41" i="6"/>
  <c r="H69" i="6"/>
  <c r="D51" i="6"/>
  <c r="V39" i="6"/>
  <c r="AP27" i="6"/>
  <c r="AX46" i="6"/>
  <c r="AR46" i="6"/>
  <c r="H32" i="6"/>
  <c r="AD17" i="6"/>
  <c r="T32" i="6"/>
  <c r="AH31" i="6"/>
  <c r="T45" i="6"/>
  <c r="AT56" i="6"/>
  <c r="J28" i="6"/>
  <c r="L9" i="6"/>
  <c r="T69" i="6"/>
  <c r="AH70" i="6"/>
  <c r="AV50" i="6"/>
  <c r="AF43" i="6"/>
  <c r="AB43" i="6"/>
  <c r="AJ32" i="6"/>
  <c r="BB48" i="6"/>
  <c r="AF18" i="6"/>
  <c r="AV52" i="6"/>
  <c r="AB32" i="6"/>
  <c r="AZ72" i="6"/>
  <c r="L78" i="6"/>
  <c r="AL71" i="6"/>
  <c r="V44" i="6"/>
  <c r="V56" i="6"/>
  <c r="AV17" i="6"/>
  <c r="AR69" i="6"/>
  <c r="AH55" i="6"/>
  <c r="AB12" i="6"/>
  <c r="H35" i="6"/>
  <c r="AX30" i="6"/>
  <c r="AV35" i="6"/>
  <c r="AX56" i="6"/>
  <c r="AN23" i="6"/>
  <c r="AZ17" i="6"/>
  <c r="AN35" i="6"/>
  <c r="H53" i="6"/>
  <c r="X62" i="6"/>
  <c r="T53" i="6"/>
  <c r="V38" i="6"/>
  <c r="AB37" i="6"/>
  <c r="AF65" i="6"/>
  <c r="AN22" i="6"/>
  <c r="N54" i="6"/>
  <c r="X35" i="6"/>
  <c r="J18" i="6"/>
  <c r="AT44" i="6"/>
  <c r="L72" i="6"/>
  <c r="AN46" i="6"/>
  <c r="Z43" i="6"/>
  <c r="AT43" i="6"/>
  <c r="R60" i="6"/>
  <c r="Z38" i="6"/>
  <c r="AJ62" i="6"/>
  <c r="D65" i="6"/>
  <c r="AF62" i="6"/>
  <c r="AN51" i="6"/>
  <c r="AN38" i="6"/>
  <c r="AP66" i="6"/>
  <c r="AL38" i="6"/>
  <c r="Z46" i="6"/>
  <c r="AF46" i="6"/>
  <c r="AR57" i="6"/>
  <c r="AN57" i="6"/>
  <c r="AJ14" i="6"/>
  <c r="AP54" i="6"/>
  <c r="BB30" i="6"/>
  <c r="AF68" i="6"/>
  <c r="AF58" i="6"/>
  <c r="AX31" i="6"/>
  <c r="AL23" i="6"/>
  <c r="X64" i="6"/>
  <c r="AJ24" i="6"/>
  <c r="AR64" i="6"/>
  <c r="AB56" i="6"/>
  <c r="Z21" i="6"/>
  <c r="AH30" i="6"/>
  <c r="P27" i="6"/>
  <c r="BB14" i="6"/>
  <c r="N71" i="6"/>
  <c r="R38" i="6"/>
  <c r="N68" i="6"/>
  <c r="P12" i="6"/>
  <c r="P23" i="6"/>
  <c r="AJ57" i="6"/>
  <c r="AR53" i="6"/>
  <c r="AX21" i="6"/>
  <c r="P46" i="6"/>
  <c r="Z60" i="6"/>
  <c r="AF55" i="6"/>
  <c r="AR35" i="6"/>
  <c r="X57" i="6"/>
  <c r="T57" i="6"/>
  <c r="P57" i="6"/>
  <c r="P44" i="6"/>
  <c r="AD23" i="6"/>
  <c r="AX23" i="6"/>
  <c r="AB24" i="6"/>
  <c r="AJ64" i="6"/>
  <c r="AV24" i="6"/>
  <c r="AV8" i="6"/>
  <c r="D53" i="6"/>
  <c r="AB35" i="6"/>
  <c r="F73" i="6"/>
  <c r="AF53" i="6"/>
  <c r="AV12" i="6"/>
  <c r="N73" i="6"/>
  <c r="N38" i="6"/>
  <c r="L12" i="6"/>
  <c r="AP30" i="6"/>
  <c r="Z68" i="6"/>
  <c r="P53" i="6"/>
  <c r="AH68" i="6"/>
  <c r="AZ12" i="6"/>
  <c r="AB57" i="6"/>
  <c r="L65" i="6"/>
  <c r="AJ12" i="6"/>
  <c r="R30" i="6"/>
  <c r="F30" i="6"/>
  <c r="AF35" i="6"/>
  <c r="V30" i="6"/>
  <c r="X53" i="6"/>
  <c r="F38" i="6"/>
  <c r="AD30" i="6"/>
  <c r="L35" i="6"/>
  <c r="AJ35" i="6"/>
  <c r="AT16" i="6"/>
  <c r="T46" i="6"/>
  <c r="V28" i="6"/>
  <c r="AH38" i="6"/>
  <c r="AT68" i="6"/>
  <c r="AF12" i="6"/>
  <c r="AR27" i="6"/>
  <c r="F21" i="6"/>
  <c r="BB38" i="6"/>
  <c r="AV57" i="6"/>
  <c r="AB28" i="6"/>
  <c r="D35" i="6"/>
  <c r="AT42" i="6"/>
  <c r="F32" i="6"/>
  <c r="AZ65" i="6"/>
  <c r="D12" i="6"/>
  <c r="T62" i="6"/>
  <c r="J21" i="6"/>
  <c r="D57" i="6"/>
  <c r="BB68" i="6"/>
  <c r="T12" i="6"/>
  <c r="AN65" i="6"/>
  <c r="J30" i="6"/>
  <c r="AZ57" i="6"/>
  <c r="N66" i="6"/>
  <c r="J73" i="6"/>
  <c r="AZ35" i="6"/>
  <c r="H12" i="6"/>
  <c r="F36" i="6"/>
  <c r="AH61" i="6"/>
  <c r="T35" i="6"/>
  <c r="X23" i="6"/>
  <c r="AT60" i="6"/>
  <c r="AX60" i="6"/>
  <c r="R50" i="6"/>
  <c r="D66" i="6"/>
  <c r="AJ53" i="6"/>
  <c r="AH67" i="6"/>
  <c r="AF51" i="6"/>
  <c r="N80" i="6"/>
  <c r="AB67" i="6"/>
  <c r="AT80" i="6"/>
  <c r="AZ63" i="6"/>
  <c r="V67" i="6"/>
  <c r="AT81" i="6"/>
  <c r="H68" i="6"/>
  <c r="AH81" i="6"/>
  <c r="N18" i="6"/>
  <c r="AD76" i="6"/>
  <c r="J68" i="6"/>
  <c r="N40" i="6"/>
  <c r="Z24" i="6"/>
  <c r="AJ28" i="6"/>
  <c r="L33" i="6"/>
  <c r="AH66" i="6"/>
  <c r="AT52" i="6"/>
  <c r="Z13" i="6"/>
  <c r="AH53" i="6"/>
  <c r="AT13" i="6"/>
  <c r="BB53" i="6"/>
  <c r="AF54" i="6"/>
  <c r="AZ54" i="6"/>
  <c r="AN78" i="6"/>
  <c r="AZ38" i="6"/>
  <c r="H54" i="6"/>
  <c r="BB74" i="6"/>
  <c r="AP40" i="6"/>
  <c r="AZ43" i="6"/>
  <c r="R21" i="6"/>
  <c r="AL81" i="6"/>
  <c r="BB47" i="6"/>
  <c r="T65" i="6"/>
  <c r="AL68" i="6"/>
  <c r="N27" i="6"/>
  <c r="AD21" i="6"/>
  <c r="AZ77" i="6"/>
  <c r="T79" i="6"/>
  <c r="AF81" i="6"/>
  <c r="X11" i="6"/>
  <c r="AT18" i="6"/>
  <c r="F68" i="6"/>
  <c r="L51" i="6"/>
  <c r="L43" i="6"/>
  <c r="AH77" i="6"/>
  <c r="AR65" i="6"/>
  <c r="Z23" i="6"/>
  <c r="AH63" i="6"/>
  <c r="AT23" i="6"/>
  <c r="BB63" i="6"/>
  <c r="X24" i="6"/>
  <c r="AF64" i="6"/>
  <c r="AR24" i="6"/>
  <c r="AZ64" i="6"/>
  <c r="AR8" i="6"/>
  <c r="AZ48" i="6"/>
  <c r="Z50" i="6"/>
  <c r="AL40" i="6"/>
  <c r="T81" i="6"/>
  <c r="AX51" i="6"/>
  <c r="N41" i="6"/>
  <c r="F47" i="6"/>
  <c r="R27" i="6"/>
  <c r="R40" i="6"/>
  <c r="Z22" i="6"/>
  <c r="AX41" i="6"/>
  <c r="D43" i="6"/>
  <c r="F48" i="6"/>
  <c r="Z47" i="6"/>
  <c r="AJ52" i="6"/>
  <c r="AB52" i="6"/>
  <c r="L53" i="6"/>
  <c r="Z26" i="6"/>
  <c r="AT76" i="6"/>
  <c r="Z33" i="6"/>
  <c r="AH73" i="6"/>
  <c r="AT33" i="6"/>
  <c r="BB73" i="6"/>
  <c r="X34" i="6"/>
  <c r="AR34" i="6"/>
  <c r="AR18" i="6"/>
  <c r="AZ58" i="6"/>
  <c r="V37" i="6"/>
  <c r="N37" i="6"/>
  <c r="R51" i="6"/>
  <c r="AN53" i="6"/>
  <c r="AZ75" i="6"/>
  <c r="X22" i="6"/>
  <c r="AL26" i="6"/>
  <c r="AJ39" i="6"/>
  <c r="AV55" i="6"/>
  <c r="AF33" i="6"/>
  <c r="X59" i="6"/>
  <c r="AB63" i="6"/>
  <c r="BB40" i="6"/>
  <c r="L63" i="6"/>
  <c r="Z37" i="6"/>
  <c r="X44" i="6"/>
  <c r="AR44" i="6"/>
  <c r="AR28" i="6"/>
  <c r="AZ68" i="6"/>
  <c r="P63" i="6"/>
  <c r="AJ55" i="6"/>
  <c r="P55" i="6"/>
  <c r="AH51" i="6"/>
  <c r="AX54" i="6"/>
  <c r="N60" i="6"/>
  <c r="AJ51" i="6"/>
  <c r="AX68" i="6"/>
  <c r="AL77" i="6"/>
  <c r="AB75" i="6"/>
  <c r="AZ52" i="6"/>
  <c r="L73" i="6"/>
  <c r="Z48" i="6"/>
  <c r="AL30" i="6"/>
  <c r="Z53" i="6"/>
  <c r="AL13" i="6"/>
  <c r="AT53" i="6"/>
  <c r="X54" i="6"/>
  <c r="AR54" i="6"/>
  <c r="AR38" i="6"/>
  <c r="AZ78" i="6"/>
  <c r="BB81" i="6"/>
  <c r="D39" i="6"/>
  <c r="H63" i="6"/>
  <c r="AH78" i="6"/>
  <c r="AP67" i="6"/>
  <c r="H81" i="6"/>
  <c r="D55" i="6"/>
  <c r="AL50" i="6"/>
  <c r="AX67" i="6"/>
  <c r="AJ63" i="6"/>
  <c r="AV81" i="6"/>
  <c r="N50" i="6"/>
  <c r="D62" i="6"/>
  <c r="R13" i="6"/>
  <c r="BB64" i="6"/>
  <c r="AL41" i="6"/>
  <c r="Z63" i="6"/>
  <c r="AT63" i="6"/>
  <c r="AR48" i="6"/>
  <c r="T55" i="6"/>
  <c r="J60" i="6"/>
  <c r="J81" i="6"/>
  <c r="Z62" i="6"/>
  <c r="AL62" i="6"/>
  <c r="AX80" i="6"/>
  <c r="N81" i="6"/>
  <c r="AL76" i="6"/>
  <c r="AF70" i="6"/>
  <c r="H18" i="6"/>
  <c r="L61" i="6"/>
  <c r="D42" i="6"/>
  <c r="AP21" i="6"/>
  <c r="BB41" i="6"/>
  <c r="AP80" i="6"/>
  <c r="AZ76" i="6"/>
  <c r="P13" i="6"/>
  <c r="Z70" i="6"/>
  <c r="AL52" i="6"/>
  <c r="AV43" i="6"/>
  <c r="R33" i="6"/>
  <c r="Z73" i="6"/>
  <c r="AL33" i="6"/>
  <c r="AT73" i="6"/>
  <c r="X74" i="6"/>
  <c r="AJ34" i="6"/>
  <c r="AR74" i="6"/>
  <c r="AR58" i="6"/>
  <c r="J27" i="6"/>
  <c r="AN37" i="6"/>
  <c r="AP41" i="6"/>
  <c r="Z27" i="6"/>
  <c r="AT22" i="6"/>
  <c r="N26" i="6"/>
  <c r="F50" i="6"/>
  <c r="AP24" i="6"/>
  <c r="AF67" i="6"/>
  <c r="P54" i="6"/>
  <c r="AJ21" i="6"/>
  <c r="AZ51" i="6"/>
  <c r="X81" i="6"/>
  <c r="AZ27" i="6"/>
  <c r="AX16" i="6"/>
  <c r="H48" i="6"/>
  <c r="D22" i="6"/>
  <c r="P35" i="6"/>
  <c r="AD27" i="6"/>
  <c r="AZ55" i="6"/>
  <c r="AF28" i="6"/>
  <c r="AR12" i="6"/>
  <c r="Z81" i="6"/>
  <c r="AL64" i="6"/>
  <c r="R43" i="6"/>
  <c r="AL43" i="6"/>
  <c r="AJ44" i="6"/>
  <c r="AR68" i="6"/>
  <c r="T63" i="6"/>
  <c r="R37" i="6"/>
  <c r="X63" i="6"/>
  <c r="Z67" i="6"/>
  <c r="P73" i="6"/>
  <c r="L38" i="6"/>
  <c r="L81" i="6"/>
  <c r="AD67" i="6"/>
  <c r="AR81" i="6"/>
  <c r="J76" i="6"/>
  <c r="Z41" i="6"/>
  <c r="AL47" i="6"/>
  <c r="AP37" i="6"/>
  <c r="AH80" i="6"/>
  <c r="L39" i="6"/>
  <c r="AT26" i="6"/>
  <c r="AN39" i="6"/>
  <c r="AL37" i="6"/>
  <c r="J54" i="6"/>
  <c r="AR39" i="6"/>
  <c r="Z80" i="6"/>
  <c r="BB26" i="6"/>
  <c r="AP20" i="6"/>
  <c r="BB67" i="6"/>
  <c r="AF39" i="6"/>
  <c r="AT24" i="6"/>
  <c r="P33" i="6"/>
  <c r="AD12" i="6"/>
  <c r="AL75" i="6"/>
  <c r="AV67" i="6"/>
  <c r="R53" i="6"/>
  <c r="AD13" i="6"/>
  <c r="AL53" i="6"/>
  <c r="AX13" i="6"/>
  <c r="AB14" i="6"/>
  <c r="AJ54" i="6"/>
  <c r="AV14" i="6"/>
  <c r="AR78" i="6"/>
  <c r="AP76" i="6"/>
  <c r="AN66" i="6"/>
  <c r="V60" i="6"/>
  <c r="AJ66" i="6"/>
  <c r="N53" i="6"/>
  <c r="T51" i="6"/>
  <c r="V40" i="6"/>
  <c r="AH40" i="6"/>
  <c r="AT51" i="6"/>
  <c r="BB76" i="6"/>
  <c r="P34" i="6"/>
  <c r="AD26" i="6"/>
  <c r="AP32" i="6"/>
  <c r="AZ53" i="6"/>
  <c r="AL27" i="6"/>
  <c r="AV42" i="6"/>
  <c r="AD51" i="6"/>
  <c r="BB80" i="6"/>
  <c r="AD24" i="6"/>
  <c r="AV79" i="6"/>
  <c r="R63" i="6"/>
  <c r="AL63" i="6"/>
  <c r="N74" i="6"/>
  <c r="Z74" i="6"/>
  <c r="AH37" i="6"/>
  <c r="AT41" i="6"/>
  <c r="L62" i="6"/>
  <c r="AB53" i="6"/>
  <c r="H62" i="6"/>
  <c r="N76" i="6"/>
  <c r="P28" i="6"/>
  <c r="AT37" i="6"/>
  <c r="N22" i="6"/>
  <c r="AR21" i="6"/>
  <c r="J40" i="6"/>
  <c r="V76" i="6"/>
  <c r="AL80" i="6"/>
  <c r="AJ68" i="6"/>
  <c r="L66" i="6"/>
  <c r="AD47" i="6"/>
  <c r="AN75" i="6"/>
  <c r="AL54" i="6"/>
  <c r="J32" i="6"/>
  <c r="V66" i="6"/>
  <c r="T52" i="6"/>
  <c r="AH52" i="6"/>
  <c r="AN32" i="6"/>
  <c r="BB52" i="6"/>
  <c r="P45" i="6"/>
  <c r="AD38" i="6"/>
  <c r="BB66" i="6"/>
  <c r="Z11" i="6"/>
  <c r="AV56" i="6"/>
  <c r="F69" i="6"/>
  <c r="R34" i="6"/>
  <c r="H19" i="6"/>
  <c r="P68" i="6"/>
  <c r="AB65" i="6"/>
  <c r="AN72" i="6"/>
  <c r="AF61" i="6"/>
  <c r="AT47" i="6"/>
  <c r="R54" i="6"/>
  <c r="AD35" i="6"/>
  <c r="AP17" i="6"/>
  <c r="BB10" i="6"/>
  <c r="R73" i="6"/>
  <c r="AD33" i="6"/>
  <c r="AL73" i="6"/>
  <c r="AX33" i="6"/>
  <c r="AB34" i="6"/>
  <c r="AJ74" i="6"/>
  <c r="AV34" i="6"/>
  <c r="AV18" i="6"/>
  <c r="V74" i="6"/>
  <c r="AH74" i="6"/>
  <c r="AD74" i="6"/>
  <c r="Z76" i="6"/>
  <c r="AD40" i="6"/>
  <c r="F41" i="6"/>
  <c r="BB60" i="6"/>
  <c r="H56" i="6"/>
  <c r="AP64" i="6"/>
  <c r="L54" i="6"/>
  <c r="AN42" i="6"/>
  <c r="L37" i="6"/>
  <c r="R41" i="6"/>
  <c r="AF37" i="6"/>
  <c r="AV53" i="6"/>
  <c r="AR73" i="6"/>
  <c r="AT21" i="6"/>
  <c r="AR55" i="6"/>
  <c r="AR42" i="6"/>
  <c r="L79" i="6"/>
  <c r="AR79" i="6"/>
  <c r="L67" i="6"/>
  <c r="F26" i="6"/>
  <c r="V64" i="6"/>
  <c r="AB38" i="6"/>
  <c r="AN45" i="6"/>
  <c r="AZ66" i="6"/>
  <c r="P56" i="6"/>
  <c r="AD50" i="6"/>
  <c r="BB79" i="6"/>
  <c r="AL51" i="6"/>
  <c r="H29" i="6"/>
  <c r="P79" i="6"/>
  <c r="AB77" i="6"/>
  <c r="AF72" i="6"/>
  <c r="AT59" i="6"/>
  <c r="P65" i="6"/>
  <c r="AD46" i="6"/>
  <c r="AP28" i="6"/>
  <c r="AZ22" i="6"/>
  <c r="AD43" i="6"/>
  <c r="AX43" i="6"/>
  <c r="AB44" i="6"/>
  <c r="AV44" i="6"/>
  <c r="AV28" i="6"/>
  <c r="J74" i="6"/>
  <c r="J63" i="6"/>
  <c r="F40" i="6"/>
  <c r="Z40" i="6"/>
  <c r="AB81" i="6"/>
  <c r="AV75" i="6"/>
  <c r="R32" i="6"/>
  <c r="AT38" i="6"/>
  <c r="H65" i="6"/>
  <c r="X28" i="6"/>
  <c r="AD80" i="6"/>
  <c r="AT27" i="6"/>
  <c r="T66" i="6"/>
  <c r="H57" i="6"/>
  <c r="X18" i="6"/>
  <c r="AN25" i="6"/>
  <c r="AX74" i="6"/>
  <c r="L15" i="6"/>
  <c r="AV11" i="6"/>
  <c r="AZ79" i="6"/>
  <c r="P67" i="6"/>
  <c r="AD62" i="6"/>
  <c r="AJ65" i="6"/>
  <c r="AX81" i="6"/>
  <c r="R67" i="6"/>
  <c r="H39" i="6"/>
  <c r="V10" i="6"/>
  <c r="AR19" i="6"/>
  <c r="AR71" i="6"/>
  <c r="R75" i="6"/>
  <c r="BB34" i="6"/>
  <c r="V13" i="6"/>
  <c r="AD53" i="6"/>
  <c r="AP13" i="6"/>
  <c r="AX53" i="6"/>
  <c r="T14" i="6"/>
  <c r="AB54" i="6"/>
  <c r="AN14" i="6"/>
  <c r="AV54" i="6"/>
  <c r="AV38" i="6"/>
  <c r="AP81" i="6"/>
  <c r="X39" i="6"/>
  <c r="AR66" i="6"/>
  <c r="AV62" i="6"/>
  <c r="AX47" i="6"/>
  <c r="AR61" i="6"/>
  <c r="AP38" i="6"/>
  <c r="D56" i="6"/>
  <c r="Z32" i="6"/>
  <c r="AX24" i="6"/>
  <c r="R66" i="6"/>
  <c r="AB62" i="6"/>
  <c r="AJ77" i="6"/>
  <c r="AZ15" i="6"/>
  <c r="D63" i="6"/>
  <c r="H49" i="6"/>
  <c r="T22" i="6"/>
  <c r="AF21" i="6"/>
  <c r="AT31" i="6"/>
  <c r="AJ15" i="6"/>
  <c r="AD68" i="6"/>
  <c r="AP50" i="6"/>
  <c r="AZ46" i="6"/>
  <c r="V23" i="6"/>
  <c r="AD63" i="6"/>
  <c r="AP23" i="6"/>
  <c r="AX63" i="6"/>
  <c r="T24" i="6"/>
  <c r="AB64" i="6"/>
  <c r="AN24" i="6"/>
  <c r="AV64" i="6"/>
  <c r="AV48" i="6"/>
  <c r="AP74" i="6"/>
  <c r="AH76" i="6"/>
  <c r="AJ42" i="6"/>
  <c r="AB55" i="6"/>
  <c r="AF56" i="6"/>
  <c r="P51" i="6"/>
  <c r="AZ21" i="6"/>
  <c r="AN67" i="6"/>
  <c r="AH47" i="6"/>
  <c r="AV65" i="6"/>
  <c r="AT77" i="6"/>
  <c r="P39" i="6"/>
  <c r="AV51" i="6"/>
  <c r="AT62" i="6"/>
  <c r="AN55" i="6"/>
  <c r="AN56" i="6"/>
  <c r="AJ22" i="6"/>
  <c r="AV37" i="6"/>
  <c r="R77" i="6"/>
  <c r="BB27" i="6"/>
  <c r="V21" i="6"/>
  <c r="H59" i="6"/>
  <c r="AR45" i="6"/>
  <c r="AV15" i="6"/>
  <c r="V17" i="6"/>
  <c r="AD79" i="6"/>
  <c r="AN62" i="6"/>
  <c r="BB57" i="6"/>
  <c r="V33" i="6"/>
  <c r="AD73" i="6"/>
  <c r="AP33" i="6"/>
  <c r="AX73" i="6"/>
  <c r="T34" i="6"/>
  <c r="AB74" i="6"/>
  <c r="AN34" i="6"/>
  <c r="AV74" i="6"/>
  <c r="AV58" i="6"/>
  <c r="AF63" i="6"/>
  <c r="AP60" i="6"/>
  <c r="AV39" i="6"/>
  <c r="AL21" i="6"/>
  <c r="BB51" i="6"/>
  <c r="AV21" i="6"/>
  <c r="X75" i="6"/>
  <c r="X79" i="6"/>
  <c r="AN73" i="6"/>
  <c r="X65" i="6"/>
  <c r="BB32" i="6"/>
  <c r="N46" i="6"/>
  <c r="Z30" i="6"/>
  <c r="AX50" i="6"/>
  <c r="T21" i="6"/>
  <c r="AT30" i="6"/>
  <c r="AB15" i="6"/>
  <c r="AN21" i="6"/>
  <c r="T33" i="6"/>
  <c r="AH46" i="6"/>
  <c r="AJ37" i="6"/>
  <c r="AX26" i="6"/>
  <c r="AH10" i="6"/>
  <c r="BB69" i="6"/>
  <c r="V43" i="6"/>
  <c r="AP43" i="6"/>
  <c r="T44" i="6"/>
  <c r="AN44" i="6"/>
  <c r="AV68" i="6"/>
  <c r="AL60" i="6"/>
  <c r="H37" i="6"/>
  <c r="L56" i="6"/>
  <c r="T38" i="6"/>
  <c r="T39" i="6"/>
  <c r="T37" i="6"/>
  <c r="AJ38" i="6"/>
  <c r="AX37" i="6"/>
  <c r="P21" i="6"/>
  <c r="AX27" i="6"/>
  <c r="AR22" i="6"/>
  <c r="AF79" i="6"/>
  <c r="BB24" i="6"/>
  <c r="AV33" i="6"/>
  <c r="R68" i="6"/>
  <c r="AF66" i="6"/>
  <c r="AD48" i="6"/>
  <c r="L28" i="6"/>
  <c r="AR11" i="6"/>
  <c r="BB46" i="6"/>
  <c r="L57" i="6"/>
  <c r="X42" i="6"/>
  <c r="AV63" i="6"/>
  <c r="BB11" i="6"/>
  <c r="V20" i="6"/>
  <c r="V32" i="6"/>
  <c r="AF32" i="6"/>
  <c r="AR43" i="6"/>
  <c r="AB27" i="6"/>
  <c r="AN33" i="6"/>
  <c r="BB54" i="6"/>
  <c r="H79" i="6"/>
  <c r="AT70" i="6"/>
  <c r="AJ48" i="6"/>
  <c r="AX38" i="6"/>
  <c r="AH21" i="6"/>
  <c r="AZ81" i="6"/>
  <c r="V53" i="6"/>
  <c r="AH13" i="6"/>
  <c r="AP53" i="6"/>
  <c r="BB13" i="6"/>
  <c r="T54" i="6"/>
  <c r="AF14" i="6"/>
  <c r="AN54" i="6"/>
  <c r="AZ14" i="6"/>
  <c r="AV78" i="6"/>
  <c r="AL74" i="6"/>
  <c r="AL78" i="6"/>
  <c r="AZ37" i="6"/>
  <c r="D38" i="6"/>
  <c r="V51" i="6"/>
  <c r="AJ56" i="6"/>
  <c r="AH27" i="6"/>
  <c r="AD81" i="6"/>
  <c r="L42" i="6"/>
  <c r="N67" i="6"/>
  <c r="Z54" i="6"/>
  <c r="AX76" i="6"/>
  <c r="AZ25" i="6"/>
  <c r="AB39" i="6"/>
  <c r="AP46" i="6"/>
  <c r="AZ67" i="6"/>
  <c r="V68" i="6"/>
  <c r="AJ59" i="6"/>
  <c r="V50" i="6"/>
  <c r="AH32" i="6"/>
  <c r="AT17" i="6"/>
  <c r="V63" i="6"/>
  <c r="AH23" i="6"/>
  <c r="AP63" i="6"/>
  <c r="BB23" i="6"/>
  <c r="T64" i="6"/>
  <c r="AF24" i="6"/>
  <c r="AN64" i="6"/>
  <c r="AZ24" i="6"/>
  <c r="AZ8" i="6"/>
  <c r="R76" i="6"/>
  <c r="AN63" i="6"/>
  <c r="V81" i="6"/>
  <c r="F80" i="6"/>
  <c r="N63" i="6"/>
  <c r="AX66" i="6"/>
  <c r="AR62" i="6"/>
  <c r="L55" i="6"/>
  <c r="AD32" i="6"/>
  <c r="X66" i="6"/>
  <c r="BB37" i="6"/>
  <c r="AR56" i="6"/>
  <c r="H28" i="6"/>
  <c r="AB51" i="6"/>
  <c r="AN59" i="6"/>
  <c r="AZ80" i="6"/>
  <c r="J38" i="6"/>
  <c r="T80" i="6"/>
  <c r="V80" i="6"/>
  <c r="AJ70" i="6"/>
  <c r="AX61" i="6"/>
  <c r="L13" i="6"/>
  <c r="V61" i="6"/>
  <c r="AH44" i="6"/>
  <c r="V73" i="6"/>
  <c r="AH33" i="6"/>
  <c r="AP73" i="6"/>
  <c r="BB33" i="6"/>
  <c r="T74" i="6"/>
  <c r="AF34" i="6"/>
  <c r="AN74" i="6"/>
  <c r="AZ34" i="6"/>
  <c r="AN58" i="6"/>
  <c r="AZ18" i="6"/>
  <c r="BD82" i="6"/>
  <c r="F76" i="6"/>
  <c r="J37" i="6"/>
  <c r="AD60" i="6"/>
  <c r="D81" i="6"/>
  <c r="D75" i="6"/>
  <c r="F60" i="6"/>
  <c r="AP68" i="6"/>
  <c r="P62" i="6"/>
  <c r="AR75" i="6"/>
  <c r="AL48" i="6"/>
  <c r="H70" i="6"/>
  <c r="AD66" i="6"/>
  <c r="L68" i="6"/>
  <c r="AB49" i="6"/>
  <c r="AR63" i="6"/>
  <c r="Z77" i="6"/>
  <c r="BB50" i="6"/>
  <c r="T56" i="6"/>
  <c r="AF57" i="6"/>
  <c r="H38" i="6"/>
  <c r="T68" i="6"/>
  <c r="AH69" i="6"/>
  <c r="H58" i="6"/>
  <c r="AP71" i="6"/>
  <c r="J48" i="6"/>
  <c r="X12" i="6"/>
  <c r="AJ16" i="6"/>
  <c r="AB19" i="6"/>
  <c r="AJ81" i="6"/>
  <c r="AV73" i="6"/>
  <c r="L23" i="6"/>
  <c r="V72" i="6"/>
  <c r="AR41" i="6"/>
  <c r="AH43" i="6"/>
  <c r="BB43" i="6"/>
  <c r="AF44" i="6"/>
  <c r="AZ44" i="6"/>
  <c r="AN68" i="6"/>
  <c r="AZ28" i="6"/>
</calcChain>
</file>

<file path=xl/sharedStrings.xml><?xml version="1.0" encoding="utf-8"?>
<sst xmlns="http://schemas.openxmlformats.org/spreadsheetml/2006/main" count="3171" uniqueCount="374">
  <si>
    <t>Ano</t>
  </si>
  <si>
    <t>Código IBGE</t>
  </si>
  <si>
    <t>REGIÃO DE SAÚDE</t>
  </si>
  <si>
    <t>MUNICIPIO</t>
  </si>
  <si>
    <t>TOTAL</t>
  </si>
  <si>
    <t>ABREULANDIA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</si>
  <si>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</si>
  <si>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</si>
  <si>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</si>
  <si>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</si>
  <si>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</si>
  <si>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</si>
  <si>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</si>
  <si>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</si>
  <si>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</si>
  <si>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</si>
  <si>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</si>
  <si>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</si>
  <si>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</si>
  <si>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</si>
  <si>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</si>
  <si>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</si>
  <si>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</si>
  <si>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</si>
  <si>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</si>
  <si>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</si>
  <si>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</si>
  <si>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</si>
  <si>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</si>
  <si>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BOM JESUS DO TOCANTINS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</si>
  <si>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</si>
  <si>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</si>
  <si>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</si>
  <si>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</si>
  <si>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</si>
  <si>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</si>
  <si>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</si>
  <si>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</si>
  <si>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</si>
  <si>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</si>
  <si>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DA NATIVIDADE</t>
  </si>
  <si>
    <t>CHAPADA DE AREIA</t>
  </si>
  <si>
    <t>COLINAS DO TOCANTINS</t>
  </si>
  <si>
    <t>COLMEIA</t>
  </si>
  <si>
    <t>COMBINADO</t>
  </si>
  <si>
    <t>CONCEICAO DO TOCANTINS</t>
  </si>
  <si>
    <t>COUTO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</si>
  <si>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</si>
  <si>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</si>
  <si>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</si>
  <si>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</si>
  <si>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</si>
  <si>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</si>
  <si>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</si>
  <si>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</si>
  <si>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</si>
  <si>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</si>
  <si>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</si>
  <si>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</si>
  <si>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</si>
  <si>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</si>
  <si>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</si>
  <si>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</si>
  <si>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</si>
  <si>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</si>
  <si>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</si>
  <si>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</si>
  <si>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</si>
  <si>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</si>
  <si>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</si>
  <si>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</si>
  <si>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</si>
  <si>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</si>
  <si>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</si>
  <si>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</si>
  <si>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</si>
  <si>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</si>
  <si>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</si>
  <si>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</si>
  <si>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</si>
  <si>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</si>
  <si>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</si>
  <si>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</si>
  <si>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</si>
  <si>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</si>
  <si>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</si>
  <si>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</si>
  <si>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</si>
  <si>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</si>
  <si>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</si>
  <si>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</si>
  <si>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</si>
  <si>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PALMAS</t>
  </si>
  <si>
    <t>PALMEIRANTE</t>
  </si>
  <si>
    <t>PALMEIRAS DO TOCANTINS</t>
  </si>
  <si>
    <t>PALMEIROPOLIS</t>
  </si>
  <si>
    <t>PARAISO DO TOCANTINS</t>
  </si>
  <si>
    <t>PARANA</t>
  </si>
  <si>
    <t>PAU D'ARCO</t>
  </si>
  <si>
    <t>PEDRO AFONSO</t>
  </si>
  <si>
    <t>PEIXE</t>
  </si>
  <si>
    <t>PEQUIZEIRO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</si>
  <si>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</si>
  <si>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</si>
  <si>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</si>
  <si>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</si>
  <si>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</si>
  <si>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</si>
  <si>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</si>
  <si>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</si>
  <si>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</si>
  <si>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</si>
  <si>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</si>
  <si>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</si>
  <si>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</si>
  <si>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DOS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</si>
  <si>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</si>
  <si>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</si>
  <si>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</si>
  <si>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</si>
  <si>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</si>
  <si>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</si>
  <si>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</si>
  <si>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</si>
  <si>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</si>
  <si>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</si>
  <si>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</si>
  <si>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</si>
  <si>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</si>
  <si>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</si>
  <si>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</t>
  </si>
  <si>
    <t>SILVANOPOLIS</t>
  </si>
  <si>
    <t>SITIO NOVO DO TOCANTINS</t>
  </si>
  <si>
    <t>SUCUPIRA</t>
  </si>
  <si>
    <t>TABOCAO</t>
  </si>
  <si>
    <t>TAGUATINGA</t>
  </si>
  <si>
    <t>TAIPAS DO TOCANTINS</t>
  </si>
  <si>
    <t>TALISMA</t>
  </si>
  <si>
    <t>TOCANTINIA</t>
  </si>
  <si>
    <t>TOCANTINOPOLIS</t>
  </si>
  <si>
    <t>TUPIRAMA</t>
  </si>
  <si>
    <t>TUPIRATINS</t>
  </si>
  <si>
    <t>WANDERLANDIA</t>
  </si>
  <si>
    <t>XAMBIOA</t>
  </si>
  <si>
    <t>Cantão</t>
  </si>
  <si>
    <t>Bico do Papagaio</t>
  </si>
  <si>
    <t>Ilha do Bananal</t>
  </si>
  <si>
    <t>Sudeste</t>
  </si>
  <si>
    <t>Capim Dourado</t>
  </si>
  <si>
    <t>Médio Norte Araguaia</t>
  </si>
  <si>
    <t>Cerrado Tocantins Araguaia</t>
  </si>
  <si>
    <t>Amor Perfeito</t>
  </si>
  <si>
    <t>IBGE</t>
  </si>
  <si>
    <t>MACRORREGIÃO</t>
  </si>
  <si>
    <t>Municipios</t>
  </si>
  <si>
    <t>Novas Regionais de Saúde</t>
  </si>
  <si>
    <t>Brejinho de Nazaré</t>
  </si>
  <si>
    <t>Chapada da Natividade</t>
  </si>
  <si>
    <t>Fátima</t>
  </si>
  <si>
    <t>Ipueiras</t>
  </si>
  <si>
    <t>Mateiros</t>
  </si>
  <si>
    <t>Monte do Carmo</t>
  </si>
  <si>
    <t>Natividade</t>
  </si>
  <si>
    <t>Pindorama do Tocantins</t>
  </si>
  <si>
    <t>Ponte Alta do Tocantins</t>
  </si>
  <si>
    <t>Porto Nacional</t>
  </si>
  <si>
    <t>Santa Rosa do Tocantins</t>
  </si>
  <si>
    <t>Silvanópolis</t>
  </si>
  <si>
    <t>Oliveira de Fátima</t>
  </si>
  <si>
    <t>ARAGUAÍNA</t>
  </si>
  <si>
    <t>Araguatins</t>
  </si>
  <si>
    <t>Augustinópolis</t>
  </si>
  <si>
    <t>Axixá do Tocantins</t>
  </si>
  <si>
    <t>Buriti do Tocantins</t>
  </si>
  <si>
    <t>Carrasco Bonito</t>
  </si>
  <si>
    <t>Esperantina</t>
  </si>
  <si>
    <t>Itaguatins</t>
  </si>
  <si>
    <t>Maurilândia do Tocantins</t>
  </si>
  <si>
    <t>Praia Norte</t>
  </si>
  <si>
    <t>Sampaio</t>
  </si>
  <si>
    <t>São Bento do Tocantins</t>
  </si>
  <si>
    <t>São Miguel do Tocantins</t>
  </si>
  <si>
    <t>São Sebastião do Tocantins</t>
  </si>
  <si>
    <t>Sítio Novo do Tocantins</t>
  </si>
  <si>
    <t>Aguiarnópolis</t>
  </si>
  <si>
    <t>Luzinópolis</t>
  </si>
  <si>
    <t>Nazaré</t>
  </si>
  <si>
    <t>Palmeiras do Tocantins</t>
  </si>
  <si>
    <t>Santa Terezinha do Tocantins</t>
  </si>
  <si>
    <t>Tocantinópolis</t>
  </si>
  <si>
    <t>Ananás</t>
  </si>
  <si>
    <t>Angico</t>
  </si>
  <si>
    <t>Cachoeirinha</t>
  </si>
  <si>
    <t>Riachinho</t>
  </si>
  <si>
    <t>Abreulândia</t>
  </si>
  <si>
    <t>Araguacema</t>
  </si>
  <si>
    <t>Barrolândia</t>
  </si>
  <si>
    <t>Caseara</t>
  </si>
  <si>
    <t>Chapada de Areia</t>
  </si>
  <si>
    <t>Cristalândia</t>
  </si>
  <si>
    <t>Divinópolis do Tocantins</t>
  </si>
  <si>
    <t>Dois Irmãos do Tocantins</t>
  </si>
  <si>
    <t>Lagoa da Confusão</t>
  </si>
  <si>
    <t>Marianópolis do Tocantins</t>
  </si>
  <si>
    <t>Monte Santo do Tocantins</t>
  </si>
  <si>
    <t>Nova Rosalândia</t>
  </si>
  <si>
    <t>Paraíso do Tocantins</t>
  </si>
  <si>
    <t>Pium</t>
  </si>
  <si>
    <t>Pugmil</t>
  </si>
  <si>
    <t>Aparecida do Rio Negro</t>
  </si>
  <si>
    <t>Lagoa do Tocantins</t>
  </si>
  <si>
    <t>Lajeado</t>
  </si>
  <si>
    <t>Lizarda</t>
  </si>
  <si>
    <t>Novo Acordo</t>
  </si>
  <si>
    <t>Palmas</t>
  </si>
  <si>
    <t>Santa Tereza do Tocantins</t>
  </si>
  <si>
    <t>São Félix do Tocantins</t>
  </si>
  <si>
    <t>Miracema do Tocantins</t>
  </si>
  <si>
    <t>Miranorte</t>
  </si>
  <si>
    <t>Rio dos Bois</t>
  </si>
  <si>
    <t>Rio Sono</t>
  </si>
  <si>
    <t>Tocantínia</t>
  </si>
  <si>
    <t>Arapoema</t>
  </si>
  <si>
    <t>Bandeirantes do Tocantins</t>
  </si>
  <si>
    <t>Bernardo Sayão</t>
  </si>
  <si>
    <t>Brasilândia do Tocantins</t>
  </si>
  <si>
    <t>Colinas do Tocantins</t>
  </si>
  <si>
    <t>Colméia</t>
  </si>
  <si>
    <t>Couto Magalhães</t>
  </si>
  <si>
    <t>Itapiratins</t>
  </si>
  <si>
    <t>Juarina</t>
  </si>
  <si>
    <t>Palmeirante</t>
  </si>
  <si>
    <t>Tupiratins</t>
  </si>
  <si>
    <t>Goianorte</t>
  </si>
  <si>
    <t>Guaraí</t>
  </si>
  <si>
    <t>Itacajá</t>
  </si>
  <si>
    <t>Itaporã do Tocantins</t>
  </si>
  <si>
    <t>Pequizeiro</t>
  </si>
  <si>
    <t>Presidente Kennedy</t>
  </si>
  <si>
    <t>Bom Jesus do Tocantins</t>
  </si>
  <si>
    <t>Centenário</t>
  </si>
  <si>
    <t>Pedro Afonso</t>
  </si>
  <si>
    <t>Recursolândia</t>
  </si>
  <si>
    <t>Santa Maria do Tocantins</t>
  </si>
  <si>
    <t>Tupirama</t>
  </si>
  <si>
    <t>Em Branco</t>
  </si>
  <si>
    <t>Aliança do Tocantins</t>
  </si>
  <si>
    <t>Alvorada</t>
  </si>
  <si>
    <t>Araguaçu</t>
  </si>
  <si>
    <t>Cariri do Tocantins</t>
  </si>
  <si>
    <t>Crixás do Tocantins</t>
  </si>
  <si>
    <t>Dueré</t>
  </si>
  <si>
    <t>Figueirópolis</t>
  </si>
  <si>
    <t>Formoso do Araguaia</t>
  </si>
  <si>
    <t>Gurupi</t>
  </si>
  <si>
    <t>Jaú do Tocantins</t>
  </si>
  <si>
    <t>Palmeirópolis</t>
  </si>
  <si>
    <t>Peixe</t>
  </si>
  <si>
    <t>Sandolândia</t>
  </si>
  <si>
    <t>Santa Rita do Tocantins</t>
  </si>
  <si>
    <t>São Salvador do Tocantins</t>
  </si>
  <si>
    <t>São Valério da Natividade</t>
  </si>
  <si>
    <t>Sucupira</t>
  </si>
  <si>
    <t>Talismã</t>
  </si>
  <si>
    <t>Aragominas</t>
  </si>
  <si>
    <t>Araguaína</t>
  </si>
  <si>
    <t>Babaçulândia</t>
  </si>
  <si>
    <t>Barra do Ouro</t>
  </si>
  <si>
    <t>Campos Lindos</t>
  </si>
  <si>
    <t>Carmolândia</t>
  </si>
  <si>
    <t>Filadélfia</t>
  </si>
  <si>
    <t>Goiatins</t>
  </si>
  <si>
    <t>Muricilândia</t>
  </si>
  <si>
    <t>Nova Olinda</t>
  </si>
  <si>
    <t>Pau D'Arco</t>
  </si>
  <si>
    <t>Santa Fé do Araguaia</t>
  </si>
  <si>
    <t>Wanderlândia</t>
  </si>
  <si>
    <t>Xambioá</t>
  </si>
  <si>
    <t>Araguanã</t>
  </si>
  <si>
    <t>Piraquê</t>
  </si>
  <si>
    <t>Darcinópolis</t>
  </si>
  <si>
    <t>Almas</t>
  </si>
  <si>
    <t>Arraias</t>
  </si>
  <si>
    <t>Aurora do Tocantins</t>
  </si>
  <si>
    <t>Combinado</t>
  </si>
  <si>
    <t>Conceição do Tocantins</t>
  </si>
  <si>
    <t>Dianópolis</t>
  </si>
  <si>
    <t>Lavandeira</t>
  </si>
  <si>
    <t>Novo Alegre</t>
  </si>
  <si>
    <t>Novo Jardim</t>
  </si>
  <si>
    <t>Paranã</t>
  </si>
  <si>
    <t>Ponte Alta do Bom Jesus</t>
  </si>
  <si>
    <t>Porto Alegre do Tocantins</t>
  </si>
  <si>
    <t>Rio da Conceição</t>
  </si>
  <si>
    <t>Taguatinga</t>
  </si>
  <si>
    <t>Taipas do Tocantins</t>
  </si>
  <si>
    <t>PMBI</t>
  </si>
  <si>
    <t>PMBI2</t>
  </si>
  <si>
    <t>PBI</t>
  </si>
  <si>
    <t>PBI2</t>
  </si>
  <si>
    <t>PAI</t>
  </si>
  <si>
    <t>PAI2</t>
  </si>
  <si>
    <t>PEI</t>
  </si>
  <si>
    <t>PEI2</t>
  </si>
  <si>
    <t>AMBI</t>
  </si>
  <si>
    <t>AMBI2</t>
  </si>
  <si>
    <t>ABI</t>
  </si>
  <si>
    <t>ABI2</t>
  </si>
  <si>
    <t>AAI</t>
  </si>
  <si>
    <t>AAI2</t>
  </si>
  <si>
    <t>MA</t>
  </si>
  <si>
    <t>MA2</t>
  </si>
  <si>
    <t>M</t>
  </si>
  <si>
    <t>M2</t>
  </si>
  <si>
    <t>E</t>
  </si>
  <si>
    <t>E2</t>
  </si>
  <si>
    <t>S</t>
  </si>
  <si>
    <t>S2</t>
  </si>
  <si>
    <t>O</t>
  </si>
  <si>
    <t>O2</t>
  </si>
  <si>
    <t>OG</t>
  </si>
  <si>
    <t>OG2</t>
  </si>
  <si>
    <t>PMBI_PBF</t>
  </si>
  <si>
    <t>PMBI_PBF2</t>
  </si>
  <si>
    <t>PBI_PBF</t>
  </si>
  <si>
    <t>PBI_PBF2</t>
  </si>
  <si>
    <t>PAI_PBF</t>
  </si>
  <si>
    <t>PAI_PBF2</t>
  </si>
  <si>
    <t>PEI_PBF</t>
  </si>
  <si>
    <t>PEI_PBF2</t>
  </si>
  <si>
    <t>AMBI_PBF</t>
  </si>
  <si>
    <t>AMBI_PBF2</t>
  </si>
  <si>
    <t>ABI_PBF2</t>
  </si>
  <si>
    <t>ABI_PBF</t>
  </si>
  <si>
    <t>AAI_PBF</t>
  </si>
  <si>
    <t>AAI_PBF2</t>
  </si>
  <si>
    <t>MA_PBF</t>
  </si>
  <si>
    <t>MA_PBF2</t>
  </si>
  <si>
    <t>M_PBF</t>
  </si>
  <si>
    <t>M_PBF2</t>
  </si>
  <si>
    <t>E_PBF</t>
  </si>
  <si>
    <t>E_PBF2</t>
  </si>
  <si>
    <t>S_PBF</t>
  </si>
  <si>
    <t>S_PBF2</t>
  </si>
  <si>
    <t>O_PBF</t>
  </si>
  <si>
    <t>O_PBF2</t>
  </si>
  <si>
    <t>OG_PBF</t>
  </si>
  <si>
    <t>OG_PBF2</t>
  </si>
  <si>
    <t>TOTAL_PBF</t>
  </si>
  <si>
    <t>Total Geral</t>
  </si>
  <si>
    <t>2015</t>
  </si>
  <si>
    <t>2016</t>
  </si>
  <si>
    <t>2017</t>
  </si>
  <si>
    <t>2018</t>
  </si>
  <si>
    <t>2019</t>
  </si>
  <si>
    <t>2020</t>
  </si>
  <si>
    <t>2021</t>
  </si>
  <si>
    <t>2024</t>
  </si>
  <si>
    <t>Tabocão</t>
  </si>
  <si>
    <t>população</t>
  </si>
  <si>
    <t>Município</t>
  </si>
  <si>
    <t>2022</t>
  </si>
  <si>
    <t>2023</t>
  </si>
  <si>
    <t>FORTALEZA DO TABOCAO</t>
  </si>
  <si>
    <t>Região de Saúde</t>
  </si>
  <si>
    <t>Tocantins</t>
  </si>
  <si>
    <t>TO</t>
  </si>
  <si>
    <t>População atendida SISVAN</t>
  </si>
  <si>
    <t>Cobertura SISVAN</t>
  </si>
  <si>
    <t>média</t>
  </si>
  <si>
    <t>RS</t>
  </si>
  <si>
    <t>RS2</t>
  </si>
  <si>
    <t>RS_PBF</t>
  </si>
  <si>
    <t>RS_PBF2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</si>
</sst>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</font>
    <font>
      <sz val="11"/>
      <color theme="1"/>
      <name val="Calibri"/>
      <scheme val="minor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5">
    <xf numFmtId="0" fontId="0" fillId="0" borderId="0"/>
    <xf numFmtId="9" fontId="4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7" applyNumberFormat="0" applyFill="0" applyAlignment="0" applyProtection="0"/>
    <xf numFmtId="0" fontId="10" fillId="0" borderId="8" applyNumberFormat="0" applyFill="0" applyAlignment="0" applyProtection="0"/>
    <xf numFmtId="0" fontId="11" fillId="0" borderId="9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10" applyNumberFormat="0" applyAlignment="0" applyProtection="0"/>
    <xf numFmtId="0" fontId="16" fillId="6" borderId="11" applyNumberFormat="0" applyAlignment="0" applyProtection="0"/>
    <xf numFmtId="0" fontId="17" fillId="6" borderId="10" applyNumberFormat="0" applyAlignment="0" applyProtection="0"/>
    <xf numFmtId="0" fontId="18" fillId="0" borderId="12" applyNumberFormat="0" applyFill="0" applyAlignment="0" applyProtection="0"/>
    <xf numFmtId="0" fontId="19" fillId="7" borderId="13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5" applyNumberFormat="0" applyFill="0" applyAlignment="0" applyProtection="0"/>
    <xf numFmtId="0" fontId="23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3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3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3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3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3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8" borderId="14" applyNumberFormat="0" applyFont="0" applyAlignment="0" applyProtection="0"/>
    <xf numFmtId="0" fontId="28" fillId="0" borderId="0" applyNumberFormat="0" applyFill="0" applyBorder="0" applyAlignment="0" applyProtection="0"/>
  </cellStyleXfs>
  <cellXfs count="54">
    <xf numFmtId="0" fontId="0" fillId="0" borderId="0" xfId="0"/>
    <xf numFmtId="0" fontId="7" fillId="0" borderId="2" xfId="0" applyFont="1" applyBorder="1"/>
    <xf numFmtId="0" fontId="7" fillId="0" borderId="4" xfId="0" applyFont="1" applyBorder="1"/>
    <xf numFmtId="0" fontId="7" fillId="0" borderId="5" xfId="0" applyFont="1" applyBorder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6" xfId="0" applyFont="1" applyBorder="1" applyAlignment="1">
      <alignment horizontal="right"/>
    </xf>
    <xf numFmtId="0" fontId="7" fillId="0" borderId="1" xfId="0" applyFont="1" applyBorder="1"/>
    <xf numFmtId="0" fontId="0" fillId="0" borderId="0" xfId="0" applyNumberFormat="1"/>
    <xf numFmtId="0" fontId="4" fillId="0" borderId="0" xfId="0" applyNumberFormat="1" applyFont="1"/>
    <xf numFmtId="0" fontId="3" fillId="0" borderId="16" xfId="0" applyNumberFormat="1" applyFont="1" applyBorder="1" applyAlignment="1">
      <alignment vertical="center" wrapText="1"/>
    </xf>
    <xf numFmtId="0" fontId="5" fillId="0" borderId="5" xfId="0" applyNumberFormat="1" applyFont="1" applyBorder="1" applyAlignment="1">
      <alignment horizontal="center" wrapText="1"/>
    </xf>
    <xf numFmtId="10" fontId="0" fillId="0" borderId="0" xfId="1" applyNumberFormat="1" applyFont="1"/>
    <xf numFmtId="10" fontId="0" fillId="0" borderId="0" xfId="0" applyNumberFormat="1"/>
    <xf numFmtId="0" fontId="24" fillId="0" borderId="5" xfId="0" applyNumberFormat="1" applyFont="1" applyBorder="1" applyAlignment="1">
      <alignment vertical="center" wrapText="1"/>
    </xf>
    <xf numFmtId="10" fontId="24" fillId="0" borderId="5" xfId="1" applyNumberFormat="1" applyFont="1" applyBorder="1" applyAlignment="1">
      <alignment vertical="center" wrapText="1"/>
    </xf>
    <xf numFmtId="10" fontId="24" fillId="0" borderId="5" xfId="0" applyNumberFormat="1" applyFont="1" applyBorder="1" applyAlignment="1">
      <alignment vertical="center" wrapText="1"/>
    </xf>
    <xf numFmtId="0" fontId="25" fillId="0" borderId="5" xfId="0" applyNumberFormat="1" applyFont="1" applyBorder="1" applyAlignment="1">
      <alignment wrapText="1"/>
    </xf>
    <xf numFmtId="10" fontId="25" fillId="0" borderId="5" xfId="0" applyNumberFormat="1" applyFont="1" applyBorder="1" applyAlignment="1">
      <alignment wrapText="1"/>
    </xf>
    <xf numFmtId="0" fontId="25" fillId="0" borderId="16" xfId="0" applyNumberFormat="1" applyFont="1" applyBorder="1" applyAlignment="1">
      <alignment wrapText="1"/>
    </xf>
    <xf numFmtId="3" fontId="27" fillId="0" borderId="3" xfId="0" applyNumberFormat="1" applyFont="1" applyBorder="1" applyAlignment="1">
      <alignment wrapText="1"/>
    </xf>
    <xf numFmtId="0" fontId="27" fillId="0" borderId="3" xfId="0" applyFont="1" applyBorder="1" applyAlignment="1">
      <alignment wrapText="1"/>
    </xf>
    <xf numFmtId="0" fontId="0" fillId="0" borderId="0" xfId="0" applyAlignment="1">
      <alignment horizontal="left"/>
    </xf>
    <xf numFmtId="0" fontId="22" fillId="33" borderId="18" xfId="0" applyFont="1" applyFill="1" applyBorder="1"/>
    <xf numFmtId="0" fontId="22" fillId="33" borderId="0" xfId="0" applyFont="1" applyFill="1" applyBorder="1"/>
    <xf numFmtId="0" fontId="6" fillId="33" borderId="0" xfId="0" applyFont="1" applyFill="1"/>
    <xf numFmtId="0" fontId="6" fillId="33" borderId="19" xfId="0" applyFont="1" applyFill="1" applyBorder="1" applyAlignment="1">
      <alignment horizontal="left"/>
    </xf>
    <xf numFmtId="0" fontId="6" fillId="33" borderId="19" xfId="0" applyNumberFormat="1" applyFont="1" applyFill="1" applyBorder="1"/>
    <xf numFmtId="0" fontId="5" fillId="0" borderId="0" xfId="0" applyNumberFormat="1" applyFont="1" applyAlignment="1">
      <alignment wrapText="1"/>
    </xf>
    <xf numFmtId="0" fontId="6" fillId="33" borderId="18" xfId="0" applyFont="1" applyFill="1" applyBorder="1"/>
    <xf numFmtId="0" fontId="0" fillId="0" borderId="17" xfId="0" applyBorder="1"/>
    <xf numFmtId="0" fontId="22" fillId="0" borderId="17" xfId="0" applyFont="1" applyBorder="1"/>
    <xf numFmtId="0" fontId="0" fillId="0" borderId="17" xfId="0" applyBorder="1" applyAlignment="1">
      <alignment horizontal="left"/>
    </xf>
    <xf numFmtId="0" fontId="0" fillId="0" borderId="17" xfId="0" applyFont="1" applyBorder="1" applyAlignment="1">
      <alignment horizontal="left"/>
    </xf>
    <xf numFmtId="9" fontId="0" fillId="0" borderId="17" xfId="1" applyFont="1" applyBorder="1" applyAlignment="1">
      <alignment horizontal="center" vertical="center"/>
    </xf>
    <xf numFmtId="0" fontId="1" fillId="0" borderId="17" xfId="0" applyFont="1" applyBorder="1"/>
    <xf numFmtId="9" fontId="0" fillId="0" borderId="0" xfId="0" applyNumberFormat="1"/>
    <xf numFmtId="0" fontId="29" fillId="0" borderId="17" xfId="0" applyNumberFormat="1" applyFont="1" applyBorder="1" applyAlignment="1">
      <alignment horizontal="left" vertical="center"/>
    </xf>
    <xf numFmtId="0" fontId="27" fillId="0" borderId="17" xfId="0" applyNumberFormat="1" applyFont="1" applyBorder="1" applyAlignment="1">
      <alignment horizontal="left" vertical="center"/>
    </xf>
    <xf numFmtId="0" fontId="29" fillId="0" borderId="17" xfId="0" applyNumberFormat="1" applyFont="1" applyBorder="1" applyAlignment="1">
      <alignment horizontal="right" vertical="center"/>
    </xf>
    <xf numFmtId="0" fontId="27" fillId="0" borderId="3" xfId="0" applyFont="1" applyBorder="1" applyAlignment="1">
      <alignment horizontal="right" vertical="center"/>
    </xf>
    <xf numFmtId="10" fontId="29" fillId="0" borderId="17" xfId="0" applyNumberFormat="1" applyFont="1" applyBorder="1" applyAlignment="1">
      <alignment horizontal="right" vertical="center"/>
    </xf>
    <xf numFmtId="10" fontId="29" fillId="0" borderId="17" xfId="1" applyNumberFormat="1" applyFont="1" applyBorder="1" applyAlignment="1">
      <alignment horizontal="right" vertical="center"/>
    </xf>
    <xf numFmtId="3" fontId="27" fillId="0" borderId="3" xfId="0" applyNumberFormat="1" applyFont="1" applyBorder="1" applyAlignment="1">
      <alignment horizontal="right" vertical="center"/>
    </xf>
    <xf numFmtId="0" fontId="27" fillId="0" borderId="17" xfId="0" applyNumberFormat="1" applyFont="1" applyBorder="1" applyAlignment="1">
      <alignment horizontal="right" vertical="center"/>
    </xf>
    <xf numFmtId="0" fontId="27" fillId="0" borderId="3" xfId="0" applyFont="1" applyBorder="1" applyAlignment="1">
      <alignment horizontal="right" wrapText="1"/>
    </xf>
    <xf numFmtId="3" fontId="27" fillId="0" borderId="3" xfId="0" applyNumberFormat="1" applyFont="1" applyBorder="1" applyAlignment="1">
      <alignment horizontal="right" wrapText="1"/>
    </xf>
    <xf numFmtId="0" fontId="27" fillId="0" borderId="3" xfId="42" applyFont="1" applyBorder="1" applyAlignment="1">
      <alignment horizontal="right" vertical="center"/>
    </xf>
    <xf numFmtId="3" fontId="27" fillId="0" borderId="3" xfId="42" applyNumberFormat="1" applyFont="1" applyBorder="1" applyAlignment="1">
      <alignment horizontal="right" vertical="center"/>
    </xf>
    <xf numFmtId="0" fontId="27" fillId="0" borderId="17" xfId="42" applyFont="1" applyBorder="1" applyAlignment="1">
      <alignment horizontal="right" vertical="center"/>
    </xf>
    <xf numFmtId="3" fontId="27" fillId="0" borderId="17" xfId="42" applyNumberFormat="1" applyFont="1" applyBorder="1" applyAlignment="1">
      <alignment horizontal="right" vertical="center"/>
    </xf>
    <xf numFmtId="0" fontId="3" fillId="0" borderId="16" xfId="0" applyNumberFormat="1" applyFont="1" applyBorder="1" applyAlignment="1">
      <alignment horizontal="left" vertical="center" wrapText="1"/>
    </xf>
    <xf numFmtId="0" fontId="6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</cellXfs>
  <cellStyles count="45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Hiperlink 2" xfId="44"/>
    <cellStyle name="Incorreto" xfId="8" builtinId="27" customBuiltin="1"/>
    <cellStyle name="Neutra" xfId="9" builtinId="28" customBuiltin="1"/>
    <cellStyle name="Normal" xfId="0" builtinId="0"/>
    <cellStyle name="Normal 2" xfId="42"/>
    <cellStyle name="Nota 2" xfId="43"/>
    <cellStyle name="Porcentagem" xfId="1" builtinId="5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12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população!$P$30</c:f>
              <c:strCache>
                <c:ptCount val="1"/>
                <c:pt idx="0">
                  <c:v>Amor Perfeito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população!$Q$30:$Z$30</c:f>
              <c:numCache>
                <c:formatCode>0%</c:formatCode>
                <c:ptCount val="10"/>
                <c:pt idx="0">
                  <c:v>0.41345182791355284</c:v>
                </c:pt>
                <c:pt idx="1">
                  <c:v>0.42552540297898389</c:v>
                </c:pt>
                <c:pt idx="2">
                  <c:v>0.42312813684318346</c:v>
                </c:pt>
                <c:pt idx="3">
                  <c:v>0.57119358486686544</c:v>
                </c:pt>
                <c:pt idx="4">
                  <c:v>0.6237389334980441</c:v>
                </c:pt>
                <c:pt idx="5">
                  <c:v>0.1211595386342758</c:v>
                </c:pt>
                <c:pt idx="6">
                  <c:v>0.30385556915544676</c:v>
                </c:pt>
                <c:pt idx="7">
                  <c:v>0.65360277607675032</c:v>
                </c:pt>
                <c:pt idx="8">
                  <c:v>0.75058346017250122</c:v>
                </c:pt>
                <c:pt idx="9">
                  <c:v>0.69272727272727275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população!$P$31</c:f>
              <c:strCache>
                <c:ptCount val="1"/>
                <c:pt idx="0">
                  <c:v>Bico do Papagaio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população!$Q$31:$Z$31</c:f>
              <c:numCache>
                <c:formatCode>0%</c:formatCode>
                <c:ptCount val="10"/>
                <c:pt idx="0">
                  <c:v>0.54395547232625885</c:v>
                </c:pt>
                <c:pt idx="1">
                  <c:v>0.5143725667964375</c:v>
                </c:pt>
                <c:pt idx="2">
                  <c:v>0.59056573012336289</c:v>
                </c:pt>
                <c:pt idx="3">
                  <c:v>0.68676364843188231</c:v>
                </c:pt>
                <c:pt idx="4">
                  <c:v>0.65721186250280839</c:v>
                </c:pt>
                <c:pt idx="5">
                  <c:v>0.27390370705244121</c:v>
                </c:pt>
                <c:pt idx="6">
                  <c:v>0.51433476394849786</c:v>
                </c:pt>
                <c:pt idx="7">
                  <c:v>0.75409265064437481</c:v>
                </c:pt>
                <c:pt idx="8">
                  <c:v>0.75996488147497809</c:v>
                </c:pt>
                <c:pt idx="9">
                  <c:v>0.77764650283553871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população!$P$32</c:f>
              <c:strCache>
                <c:ptCount val="1"/>
                <c:pt idx="0">
                  <c:v>Cantão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população!$Q$32:$Z$32</c:f>
              <c:numCache>
                <c:formatCode>0%</c:formatCode>
                <c:ptCount val="10"/>
                <c:pt idx="0">
                  <c:v>0.39601277460563244</c:v>
                </c:pt>
                <c:pt idx="1">
                  <c:v>0.32809876543209876</c:v>
                </c:pt>
                <c:pt idx="2">
                  <c:v>0.4015755883526127</c:v>
                </c:pt>
                <c:pt idx="3">
                  <c:v>0.45438139161820734</c:v>
                </c:pt>
                <c:pt idx="4">
                  <c:v>0.42982982982982981</c:v>
                </c:pt>
                <c:pt idx="5">
                  <c:v>0.19667590027700832</c:v>
                </c:pt>
                <c:pt idx="6">
                  <c:v>0.28634708140565018</c:v>
                </c:pt>
                <c:pt idx="7">
                  <c:v>0.56645694062131335</c:v>
                </c:pt>
                <c:pt idx="8">
                  <c:v>0.6336286632265602</c:v>
                </c:pt>
                <c:pt idx="9">
                  <c:v>0.59200231816864679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população!$P$33</c:f>
              <c:strCache>
                <c:ptCount val="1"/>
                <c:pt idx="0">
                  <c:v>Capim Dourado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população!$Q$33:$Z$33</c:f>
              <c:numCache>
                <c:formatCode>0%</c:formatCode>
                <c:ptCount val="10"/>
                <c:pt idx="0">
                  <c:v>0.28959042608067675</c:v>
                </c:pt>
                <c:pt idx="1">
                  <c:v>0.42652773479143025</c:v>
                </c:pt>
                <c:pt idx="2">
                  <c:v>0.43925137715126422</c:v>
                </c:pt>
                <c:pt idx="3">
                  <c:v>0.42007574465181341</c:v>
                </c:pt>
                <c:pt idx="4">
                  <c:v>0.42118880642745282</c:v>
                </c:pt>
                <c:pt idx="5">
                  <c:v>0.17009962304792675</c:v>
                </c:pt>
                <c:pt idx="6">
                  <c:v>0.20877392584660687</c:v>
                </c:pt>
                <c:pt idx="7">
                  <c:v>0.4398774232229698</c:v>
                </c:pt>
                <c:pt idx="8">
                  <c:v>0.48170711842319597</c:v>
                </c:pt>
                <c:pt idx="9">
                  <c:v>0.48466475312026319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população!$P$34</c:f>
              <c:strCache>
                <c:ptCount val="1"/>
                <c:pt idx="0">
                  <c:v>Cerrado Tocantins Araguaia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população!$Q$34:$Z$34</c:f>
              <c:numCache>
                <c:formatCode>0%</c:formatCode>
                <c:ptCount val="10"/>
                <c:pt idx="0">
                  <c:v>0.55642113382182801</c:v>
                </c:pt>
                <c:pt idx="1">
                  <c:v>0.44724135201456505</c:v>
                </c:pt>
                <c:pt idx="2">
                  <c:v>0.47101449275362317</c:v>
                </c:pt>
                <c:pt idx="3">
                  <c:v>0.54572921770373994</c:v>
                </c:pt>
                <c:pt idx="4">
                  <c:v>0.57069958847736624</c:v>
                </c:pt>
                <c:pt idx="5">
                  <c:v>0.19085977313825414</c:v>
                </c:pt>
                <c:pt idx="6">
                  <c:v>0.26302319821679188</c:v>
                </c:pt>
                <c:pt idx="7">
                  <c:v>0.56154357950765132</c:v>
                </c:pt>
                <c:pt idx="8">
                  <c:v>0.5972522897585345</c:v>
                </c:pt>
                <c:pt idx="9">
                  <c:v>0.63080256688057335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população!$P$35</c:f>
              <c:strCache>
                <c:ptCount val="1"/>
                <c:pt idx="0">
                  <c:v>Ilha do Bananal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população!$Q$35:$Z$35</c:f>
              <c:numCache>
                <c:formatCode>0%</c:formatCode>
                <c:ptCount val="10"/>
                <c:pt idx="0">
                  <c:v>0.4592742226390592</c:v>
                </c:pt>
                <c:pt idx="1">
                  <c:v>0.38460968196308104</c:v>
                </c:pt>
                <c:pt idx="2">
                  <c:v>0.38597680373550236</c:v>
                </c:pt>
                <c:pt idx="3">
                  <c:v>0.5047248894985521</c:v>
                </c:pt>
                <c:pt idx="4">
                  <c:v>0.43427301976405697</c:v>
                </c:pt>
                <c:pt idx="5">
                  <c:v>0.17911811743203107</c:v>
                </c:pt>
                <c:pt idx="6">
                  <c:v>0.32634228187919462</c:v>
                </c:pt>
                <c:pt idx="7">
                  <c:v>0.50520116261281933</c:v>
                </c:pt>
                <c:pt idx="8">
                  <c:v>0.56718464351005482</c:v>
                </c:pt>
                <c:pt idx="9">
                  <c:v>0.61681106551147591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população!$P$36</c:f>
              <c:strCache>
                <c:ptCount val="1"/>
                <c:pt idx="0">
                  <c:v>Médio Norte Araguaia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população!$Q$36:$Z$36</c:f>
              <c:numCache>
                <c:formatCode>0%</c:formatCode>
                <c:ptCount val="10"/>
                <c:pt idx="0">
                  <c:v>0.40013312809418811</c:v>
                </c:pt>
                <c:pt idx="1">
                  <c:v>0.39271957671957675</c:v>
                </c:pt>
                <c:pt idx="2">
                  <c:v>0.46356993290885007</c:v>
                </c:pt>
                <c:pt idx="3">
                  <c:v>0.4979760571871501</c:v>
                </c:pt>
                <c:pt idx="4">
                  <c:v>0.44770380610878302</c:v>
                </c:pt>
                <c:pt idx="5">
                  <c:v>0.15781330582774625</c:v>
                </c:pt>
                <c:pt idx="6">
                  <c:v>0.32659469224482773</c:v>
                </c:pt>
                <c:pt idx="7">
                  <c:v>0.5427166033828098</c:v>
                </c:pt>
                <c:pt idx="8">
                  <c:v>0.59204706488598791</c:v>
                </c:pt>
                <c:pt idx="9">
                  <c:v>0.63317596566523604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população!$P$37</c:f>
              <c:strCache>
                <c:ptCount val="1"/>
                <c:pt idx="0">
                  <c:v>Sudeste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população!$Q$37:$Z$37</c:f>
              <c:numCache>
                <c:formatCode>0%</c:formatCode>
                <c:ptCount val="10"/>
                <c:pt idx="0">
                  <c:v>0.55638000243279406</c:v>
                </c:pt>
                <c:pt idx="1">
                  <c:v>0.53403800176167104</c:v>
                </c:pt>
                <c:pt idx="2">
                  <c:v>0.57859358841778696</c:v>
                </c:pt>
                <c:pt idx="3">
                  <c:v>0.62591362126245842</c:v>
                </c:pt>
                <c:pt idx="4">
                  <c:v>0.59586338277316642</c:v>
                </c:pt>
                <c:pt idx="5">
                  <c:v>0.2275176129299627</c:v>
                </c:pt>
                <c:pt idx="6">
                  <c:v>0.34937208974178074</c:v>
                </c:pt>
                <c:pt idx="7">
                  <c:v>0.67889113485417263</c:v>
                </c:pt>
                <c:pt idx="8">
                  <c:v>0.66266119577960136</c:v>
                </c:pt>
                <c:pt idx="9">
                  <c:v>0.71434944237918219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população!$P$38</c:f>
              <c:strCache>
                <c:ptCount val="1"/>
                <c:pt idx="0">
                  <c:v>Tocantins</c:v>
                </c:pt>
              </c:strCache>
            </c:strRef>
          </c:tx>
          <c:marker>
            <c:symbol val="none"/>
          </c:marker>
          <c:cat>
            <c:numRef>
              <c:f>população!$Q$29:$Z$29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população!$Q$38:$Z$38</c:f>
              <c:numCache>
                <c:formatCode>0%</c:formatCode>
                <c:ptCount val="10"/>
                <c:pt idx="0">
                  <c:v>0.42967513438121951</c:v>
                </c:pt>
                <c:pt idx="1">
                  <c:v>0.42965779467680609</c:v>
                </c:pt>
                <c:pt idx="2">
                  <c:v>0.46808955848503869</c:v>
                </c:pt>
                <c:pt idx="3">
                  <c:v>0.52267783513522292</c:v>
                </c:pt>
                <c:pt idx="4">
                  <c:v>0.50391574619438417</c:v>
                </c:pt>
                <c:pt idx="5">
                  <c:v>0.18737461114224679</c:v>
                </c:pt>
                <c:pt idx="6">
                  <c:v>0.31451868850858133</c:v>
                </c:pt>
                <c:pt idx="7">
                  <c:v>0.56363443284484305</c:v>
                </c:pt>
                <c:pt idx="8">
                  <c:v>0.60576509276927448</c:v>
                </c:pt>
                <c:pt idx="9">
                  <c:v>0.61944557023587588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8300160"/>
        <c:axId val="193575680"/>
      </c:lineChart>
      <c:catAx>
        <c:axId val="2383001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3575680"/>
        <c:crosses val="autoZero"/>
        <c:auto val="1"/>
        <c:lblAlgn val="ctr"/>
        <c:lblOffset val="100"/>
        <c:noMultiLvlLbl val="0"/>
      </c:catAx>
      <c:valAx>
        <c:axId val="193575680"/>
        <c:scaling>
          <c:orientation val="minMax"/>
          <c:max val="0.85000000000000009"/>
          <c:min val="0.1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383001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141</xdr:row>
      <xdr:rowOff>0</xdr:rowOff>
    </xdr:from>
    <xdr:ext cx="180975" cy="14287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141</xdr:row>
      <xdr:rowOff>0</xdr:rowOff>
    </xdr:from>
    <xdr:ext cx="180975" cy="142875"/>
    <xdr:pic>
      <xdr:nvPicPr>
        <xdr:cNvPr id="3" name="image1.png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141</xdr:row>
      <xdr:rowOff>0</xdr:rowOff>
    </xdr:from>
    <xdr:ext cx="180975" cy="142875"/>
    <xdr:pic>
      <xdr:nvPicPr>
        <xdr:cNvPr id="4" name="image1.png">
          <a:extLst>
            <a:ext uri="{FF2B5EF4-FFF2-40B4-BE49-F238E27FC236}">
              <a16:creationId xmlns:a16="http://schemas.microsoft.com/office/drawing/2014/main" xmlns="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41</xdr:row>
      <xdr:rowOff>0</xdr:rowOff>
    </xdr:from>
    <xdr:to>
      <xdr:col>19</xdr:col>
      <xdr:colOff>371475</xdr:colOff>
      <xdr:row>61</xdr:row>
      <xdr:rowOff>95250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abela2" displayName="Tabela2" ref="A1:BF1391" totalsRowShown="0" headerRowDxfId="119" dataDxfId="2" tableBorderDxfId="118">
  <autoFilter ref="A1:BF1391"/>
  <tableColumns count="58">
    <tableColumn id="1" name="Ano" dataDxfId="58"/>
    <tableColumn id="2" name="Código IBGE" dataDxfId="57"/>
    <tableColumn id="3" name="REGIÃO DE SAÚDE" dataDxfId="1"/>
    <tableColumn id="4" name="MUNICIPIO" dataDxfId="0"/>
    <tableColumn id="5" name="PMBI" dataDxfId="56"/>
    <tableColumn id="6" name="PMBI2" dataDxfId="55" dataCellStyle="Porcentagem">
      <calculatedColumnFormula>IFERROR(E2/$BE2,0)</calculatedColumnFormula>
    </tableColumn>
    <tableColumn id="33" name="PMBI_PBF" dataDxfId="54" dataCellStyle="Porcentagem"/>
    <tableColumn id="32" name="PMBI_PBF2" dataDxfId="53" dataCellStyle="Porcentagem">
      <calculatedColumnFormula>IFERROR(G2/$BF2,0)</calculatedColumnFormula>
    </tableColumn>
    <tableColumn id="7" name="PBI" dataDxfId="52"/>
    <tableColumn id="8" name="PBI2" dataDxfId="51">
      <calculatedColumnFormula>IFERROR(I2/$BE2,0)</calculatedColumnFormula>
    </tableColumn>
    <tableColumn id="34" name="PBI_PBF" dataDxfId="50"/>
    <tableColumn id="35" name="PBI_PBF2" dataDxfId="49">
      <calculatedColumnFormula>IFERROR(K2/$BF2,0)</calculatedColumnFormula>
    </tableColumn>
    <tableColumn id="9" name="PAI" dataDxfId="48"/>
    <tableColumn id="10" name="PAI2" dataDxfId="47">
      <calculatedColumnFormula>IFERROR(M2/$BE2,0)</calculatedColumnFormula>
    </tableColumn>
    <tableColumn id="36" name="PAI_PBF" dataDxfId="46"/>
    <tableColumn id="37" name="PAI_PBF2" dataDxfId="45">
      <calculatedColumnFormula>IFERROR(O2/$BF2,0)</calculatedColumnFormula>
    </tableColumn>
    <tableColumn id="11" name="PEI" dataDxfId="44"/>
    <tableColumn id="12" name="PEI2" dataDxfId="43">
      <calculatedColumnFormula>IFERROR(Q2/$BE2,0)</calculatedColumnFormula>
    </tableColumn>
    <tableColumn id="39" name="PEI_PBF" dataDxfId="42"/>
    <tableColumn id="38" name="PEI_PBF2" dataDxfId="41">
      <calculatedColumnFormula>IFERROR(S2/$BF2,0)</calculatedColumnFormula>
    </tableColumn>
    <tableColumn id="13" name="AMBI" dataDxfId="40"/>
    <tableColumn id="14" name="AMBI2" dataDxfId="39">
      <calculatedColumnFormula>IFERROR(U2/$BE2,0)</calculatedColumnFormula>
    </tableColumn>
    <tableColumn id="40" name="AMBI_PBF" dataDxfId="38"/>
    <tableColumn id="41" name="AMBI_PBF2" dataDxfId="37">
      <calculatedColumnFormula>IFERROR(W2/$BF2,0)</calculatedColumnFormula>
    </tableColumn>
    <tableColumn id="15" name="ABI" dataDxfId="36"/>
    <tableColumn id="16" name="ABI2" dataDxfId="35">
      <calculatedColumnFormula>IFERROR(Y2/$BE2,0)</calculatedColumnFormula>
    </tableColumn>
    <tableColumn id="42" name="ABI_PBF" dataDxfId="34"/>
    <tableColumn id="43" name="ABI_PBF2" dataDxfId="33">
      <calculatedColumnFormula>IFERROR(AA2/$BF2,0)</calculatedColumnFormula>
    </tableColumn>
    <tableColumn id="17" name="AAI" dataDxfId="32"/>
    <tableColumn id="18" name="AAI2" dataDxfId="31">
      <calculatedColumnFormula>IFERROR(AC2/$BE2,0)</calculatedColumnFormula>
    </tableColumn>
    <tableColumn id="46" name="AAI_PBF" dataDxfId="30"/>
    <tableColumn id="47" name="AAI_PBF2" dataDxfId="29">
      <calculatedColumnFormula>IFERROR(AE2/$BF2,0)</calculatedColumnFormula>
    </tableColumn>
    <tableColumn id="19" name="MA" dataDxfId="28"/>
    <tableColumn id="20" name="MA2" dataDxfId="27">
      <calculatedColumnFormula>IFERROR(AG2/$BE2,0)</calculatedColumnFormula>
    </tableColumn>
    <tableColumn id="48" name="MA_PBF" dataDxfId="26"/>
    <tableColumn id="49" name="MA_PBF2" dataDxfId="25">
      <calculatedColumnFormula>IFERROR(AI2/$BF2,0)</calculatedColumnFormula>
    </tableColumn>
    <tableColumn id="21" name="M" dataDxfId="24"/>
    <tableColumn id="22" name="M2" dataDxfId="23">
      <calculatedColumnFormula>IFERROR(AK2/$BE2,0)</calculatedColumnFormula>
    </tableColumn>
    <tableColumn id="50" name="M_PBF" dataDxfId="22"/>
    <tableColumn id="51" name="M_PBF2" dataDxfId="21">
      <calculatedColumnFormula>IFERROR(AM2/$BF2,0)</calculatedColumnFormula>
    </tableColumn>
    <tableColumn id="23" name="E" dataDxfId="20"/>
    <tableColumn id="24" name="E2" dataDxfId="19">
      <calculatedColumnFormula>IFERROR(AO2/$BE2,0)</calculatedColumnFormula>
    </tableColumn>
    <tableColumn id="52" name="E_PBF" dataDxfId="18"/>
    <tableColumn id="53" name="E_PBF2" dataDxfId="17">
      <calculatedColumnFormula>IFERROR(AQ2/$BF2,0)</calculatedColumnFormula>
    </tableColumn>
    <tableColumn id="25" name="RS" dataDxfId="16"/>
    <tableColumn id="26" name="RS2" dataDxfId="15">
      <calculatedColumnFormula>IFERROR(AS2/$BE2,0)</calculatedColumnFormula>
    </tableColumn>
    <tableColumn id="54" name="RS_PBF" dataDxfId="14"/>
    <tableColumn id="55" name="RS_PBF2" dataDxfId="13">
      <calculatedColumnFormula>IFERROR(AU2/$BF2,0)</calculatedColumnFormula>
    </tableColumn>
    <tableColumn id="27" name="S" dataDxfId="12"/>
    <tableColumn id="28" name="S2" dataDxfId="11">
      <calculatedColumnFormula>IFERROR(AW2/$BE2,0)</calculatedColumnFormula>
    </tableColumn>
    <tableColumn id="56" name="S_PBF" dataDxfId="10"/>
    <tableColumn id="57" name="S_PBF2" dataDxfId="9">
      <calculatedColumnFormula>IFERROR(AY2/$BF2,0)</calculatedColumnFormula>
    </tableColumn>
    <tableColumn id="29" name="O" dataDxfId="8"/>
    <tableColumn id="30" name="O2" dataDxfId="7">
      <calculatedColumnFormula>IFERROR(BA2/$BE2,0)</calculatedColumnFormula>
    </tableColumn>
    <tableColumn id="59" name="O_PBF" dataDxfId="6"/>
    <tableColumn id="58" name="O_PBF2" dataDxfId="5">
      <calculatedColumnFormula>IFERROR(BC2/$BF2,0)</calculatedColumnFormula>
    </tableColumn>
    <tableColumn id="31" name="TOTAL" dataDxfId="4"/>
    <tableColumn id="60" name="TOTAL_PBF" dataDxfId="3" dataCellStyle="Normal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E82" totalsRowCount="1" headerRowDxfId="117">
  <autoFilter ref="A1:BE81"/>
  <tableColumns count="57">
    <tableColumn id="1" name="Ano" dataDxfId="116" totalsRowDxfId="86"/>
    <tableColumn id="2" name="REGIÃO DE SAÚDE" dataDxfId="115" totalsRowDxfId="85"/>
    <tableColumn id="3" name="PMBI">
      <calculatedColumnFormula>SUMIFS(banco!E:E,banco!$C:$C,$B2,banco!$A:$A,$A2)</calculatedColumnFormula>
    </tableColumn>
    <tableColumn id="4" name="PMBI2" dataDxfId="114" totalsRowDxfId="84">
      <calculatedColumnFormula>IFERROR(C2/$BC2,0)</calculatedColumnFormula>
    </tableColumn>
    <tableColumn id="5" name="PMBI_PBF">
      <calculatedColumnFormula>SUMIFS(banco!G:G,banco!$C:$C,$B2,banco!$A:$A,$A2)</calculatedColumnFormula>
    </tableColumn>
    <tableColumn id="6" name="PMBI_PBF2" dataDxfId="113" totalsRowDxfId="83">
      <calculatedColumnFormula>IFERROR(E2/$BD2,0)</calculatedColumnFormula>
    </tableColumn>
    <tableColumn id="7" name="PBI">
      <calculatedColumnFormula>SUMIFS(banco!I:I,banco!$C:$C,$B2,banco!$A:$A,$A2)</calculatedColumnFormula>
    </tableColumn>
    <tableColumn id="8" name="PBI2" dataDxfId="112" totalsRowDxfId="82">
      <calculatedColumnFormula>IFERROR(G2/$BC2,0)</calculatedColumnFormula>
    </tableColumn>
    <tableColumn id="9" name="PBI_PBF">
      <calculatedColumnFormula>SUMIFS(banco!K:K,banco!$C:$C,$B2,banco!$A:$A,$A2)</calculatedColumnFormula>
    </tableColumn>
    <tableColumn id="10" name="PBI_PBF2" dataDxfId="111" totalsRowDxfId="81">
      <calculatedColumnFormula>IFERROR(I2/$BD2,0)</calculatedColumnFormula>
    </tableColumn>
    <tableColumn id="11" name="PAI">
      <calculatedColumnFormula>SUMIFS(banco!M:M,banco!$C:$C,$B2,banco!$A:$A,$A2)</calculatedColumnFormula>
    </tableColumn>
    <tableColumn id="12" name="PAI2" dataDxfId="110" totalsRowDxfId="80">
      <calculatedColumnFormula>IFERROR(K2/$BC2,0)</calculatedColumnFormula>
    </tableColumn>
    <tableColumn id="13" name="PAI_PBF">
      <calculatedColumnFormula>SUMIFS(banco!O:O,banco!$C:$C,$B2,banco!$A:$A,$A2)</calculatedColumnFormula>
    </tableColumn>
    <tableColumn id="14" name="PAI_PBF2" dataDxfId="109" totalsRowDxfId="79">
      <calculatedColumnFormula>IFERROR(M2/$BD2,0)</calculatedColumnFormula>
    </tableColumn>
    <tableColumn id="15" name="PEI">
      <calculatedColumnFormula>SUMIFS(banco!Q:Q,banco!$C:$C,$B2,banco!$A:$A,$A2)</calculatedColumnFormula>
    </tableColumn>
    <tableColumn id="16" name="PEI2" dataDxfId="108" totalsRowDxfId="78">
      <calculatedColumnFormula>IFERROR(O2/$BC2,0)</calculatedColumnFormula>
    </tableColumn>
    <tableColumn id="17" name="PEI_PBF">
      <calculatedColumnFormula>SUMIFS(banco!S:S,banco!$C:$C,$B2,banco!$A:$A,$A2)</calculatedColumnFormula>
    </tableColumn>
    <tableColumn id="18" name="PEI_PBF2" dataDxfId="107" totalsRowDxfId="77">
      <calculatedColumnFormula>IFERROR(Q2/$BD2,0)</calculatedColumnFormula>
    </tableColumn>
    <tableColumn id="19" name="AMBI">
      <calculatedColumnFormula>SUMIFS(banco!U:U,banco!$C:$C,$B2,banco!$A:$A,$A2)</calculatedColumnFormula>
    </tableColumn>
    <tableColumn id="20" name="AMBI2" dataDxfId="106" totalsRowDxfId="76">
      <calculatedColumnFormula>IFERROR(S2/$BC2,0)</calculatedColumnFormula>
    </tableColumn>
    <tableColumn id="21" name="AMBI_PBF">
      <calculatedColumnFormula>SUMIFS(banco!W:W,banco!$C:$C,$B2,banco!$A:$A,$A2)</calculatedColumnFormula>
    </tableColumn>
    <tableColumn id="22" name="AMBI_PBF2" dataDxfId="105" totalsRowDxfId="75">
      <calculatedColumnFormula>IFERROR(U2/$BD2,0)</calculatedColumnFormula>
    </tableColumn>
    <tableColumn id="23" name="ABI">
      <calculatedColumnFormula>SUMIFS(banco!Y:Y,banco!$C:$C,$B2,banco!$A:$A,$A2)</calculatedColumnFormula>
    </tableColumn>
    <tableColumn id="24" name="ABI2" dataDxfId="104" totalsRowDxfId="74">
      <calculatedColumnFormula>IFERROR(W2/$BC2,0)</calculatedColumnFormula>
    </tableColumn>
    <tableColumn id="25" name="ABI_PBF">
      <calculatedColumnFormula>SUMIFS(banco!AA:AA,banco!$C:$C,$B2,banco!$A:$A,$A2)</calculatedColumnFormula>
    </tableColumn>
    <tableColumn id="26" name="ABI_PBF2" dataDxfId="103" totalsRowDxfId="73">
      <calculatedColumnFormula>IFERROR(Y2/$BD2,0)</calculatedColumnFormula>
    </tableColumn>
    <tableColumn id="27" name="AAI">
      <calculatedColumnFormula>SUMIFS(banco!AC:AC,banco!$C:$C,$B2,banco!$A:$A,$A2)</calculatedColumnFormula>
    </tableColumn>
    <tableColumn id="28" name="AAI2" dataDxfId="102" totalsRowDxfId="72">
      <calculatedColumnFormula>IFERROR(AA2/$BC2,0)</calculatedColumnFormula>
    </tableColumn>
    <tableColumn id="29" name="AAI_PBF">
      <calculatedColumnFormula>SUMIFS(banco!AE:AE,banco!$C:$C,$B2,banco!$A:$A,$A2)</calculatedColumnFormula>
    </tableColumn>
    <tableColumn id="30" name="AAI_PBF2" dataDxfId="101" totalsRowDxfId="71">
      <calculatedColumnFormula>IFERROR(AC2/$BD2,0)</calculatedColumnFormula>
    </tableColumn>
    <tableColumn id="31" name="MA">
      <calculatedColumnFormula>SUMIFS(banco!AG:AG,banco!$C:$C,$B2,banco!$A:$A,$A2)</calculatedColumnFormula>
    </tableColumn>
    <tableColumn id="32" name="MA2" dataDxfId="100" totalsRowDxfId="70">
      <calculatedColumnFormula>IFERROR(AE2/$BC2,0)</calculatedColumnFormula>
    </tableColumn>
    <tableColumn id="33" name="MA_PBF">
      <calculatedColumnFormula>SUMIFS(banco!AI:AI,banco!$C:$C,$B2,banco!$A:$A,$A2)</calculatedColumnFormula>
    </tableColumn>
    <tableColumn id="34" name="MA_PBF2" dataDxfId="99" totalsRowDxfId="69">
      <calculatedColumnFormula>IFERROR(AG2/$BD2,0)</calculatedColumnFormula>
    </tableColumn>
    <tableColumn id="35" name="M">
      <calculatedColumnFormula>SUMIFS(banco!AK:AK,banco!$C:$C,$B2,banco!$A:$A,$A2)</calculatedColumnFormula>
    </tableColumn>
    <tableColumn id="36" name="M2" dataDxfId="98" totalsRowDxfId="68">
      <calculatedColumnFormula>IFERROR(AI2/$BC2,0)</calculatedColumnFormula>
    </tableColumn>
    <tableColumn id="37" name="M_PBF">
      <calculatedColumnFormula>SUMIFS(banco!AM:AM,banco!$C:$C,$B2,banco!$A:$A,$A2)</calculatedColumnFormula>
    </tableColumn>
    <tableColumn id="38" name="M_PBF2" dataDxfId="97" totalsRowDxfId="67">
      <calculatedColumnFormula>IFERROR(AK2/$BD2,0)</calculatedColumnFormula>
    </tableColumn>
    <tableColumn id="39" name="E">
      <calculatedColumnFormula>SUMIFS(banco!AO:AO,banco!$C:$C,$B2,banco!$A:$A,$A2)</calculatedColumnFormula>
    </tableColumn>
    <tableColumn id="40" name="E2" dataDxfId="96" totalsRowDxfId="66">
      <calculatedColumnFormula>IFERROR(AM2/$BC2,0)</calculatedColumnFormula>
    </tableColumn>
    <tableColumn id="41" name="E_PBF">
      <calculatedColumnFormula>SUMIFS(banco!AQ:AQ,banco!$C:$C,$B2,banco!$A:$A,$A2)</calculatedColumnFormula>
    </tableColumn>
    <tableColumn id="42" name="E_PBF2" dataDxfId="95" totalsRowDxfId="65">
      <calculatedColumnFormula>IFERROR(AO2/$BD2,0)</calculatedColumnFormula>
    </tableColumn>
    <tableColumn id="43" name="S">
      <calculatedColumnFormula>SUMIFS(banco!AS:AS,banco!$C:$C,$B2,banco!$A:$A,$A2)</calculatedColumnFormula>
    </tableColumn>
    <tableColumn id="44" name="S2" dataDxfId="94" totalsRowDxfId="64">
      <calculatedColumnFormula>IFERROR(AQ2/$BC2,0)</calculatedColumnFormula>
    </tableColumn>
    <tableColumn id="45" name="S_PBF">
      <calculatedColumnFormula>SUMIFS(banco!AU:AU,banco!$C:$C,$B2,banco!$A:$A,$A2)</calculatedColumnFormula>
    </tableColumn>
    <tableColumn id="46" name="S_PBF2" dataDxfId="93" totalsRowDxfId="63">
      <calculatedColumnFormula>IFERROR(AS2/$BD2,0)</calculatedColumnFormula>
    </tableColumn>
    <tableColumn id="47" name="O">
      <calculatedColumnFormula>SUMIFS(banco!AW:AW,banco!$C:$C,$B2,banco!$A:$A,$A2)</calculatedColumnFormula>
    </tableColumn>
    <tableColumn id="48" name="O2" dataDxfId="92" totalsRowDxfId="62">
      <calculatedColumnFormula>IFERROR(AU2/$BC2,0)</calculatedColumnFormula>
    </tableColumn>
    <tableColumn id="49" name="O_PBF">
      <calculatedColumnFormula>SUMIFS(banco!AY:AY,banco!$C:$C,$B2,banco!$A:$A,$A2)</calculatedColumnFormula>
    </tableColumn>
    <tableColumn id="50" name="O_PBF2" dataDxfId="91" totalsRowDxfId="61">
      <calculatedColumnFormula>IFERROR(AW2/$BD2,0)</calculatedColumnFormula>
    </tableColumn>
    <tableColumn id="51" name="OG">
      <calculatedColumnFormula>SUMIFS(banco!BA:BA,banco!$C:$C,$B2,banco!$A:$A,$A2)</calculatedColumnFormula>
    </tableColumn>
    <tableColumn id="52" name="OG2" dataDxfId="90" totalsRowDxfId="60">
      <calculatedColumnFormula>IFERROR(AY2/$BC2,0)</calculatedColumnFormula>
    </tableColumn>
    <tableColumn id="53" name="OG_PBF">
      <calculatedColumnFormula>SUMIFS(banco!BC:BC,banco!$C:$C,$B2,banco!$A:$A,$A2)</calculatedColumnFormula>
    </tableColumn>
    <tableColumn id="54" name="OG_PBF2" dataDxfId="89" totalsRowDxfId="59">
      <calculatedColumnFormula>IFERROR(BA2/$BD2,0)</calculatedColumnFormula>
    </tableColumn>
    <tableColumn id="55" name="TOTAL">
      <calculatedColumnFormula>SUMIFS(banco!BE:BE,banco!$C:$C,$B2,banco!$A:$A,$A2)</calculatedColumnFormula>
    </tableColumn>
    <tableColumn id="56" name="TOTAL_PBF" totalsRowFunction="sum">
      <calculatedColumnFormula>SUMIFS(banco!BF:BF,banco!$C:$C,$B2,banco!$A:$A,$A2)</calculatedColumnFormula>
    </tableColumn>
    <tableColumn id="57" name="populaçã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ela3" displayName="Tabela3" ref="A1:M1392" totalsRowShown="0">
  <autoFilter ref="A1:M1392"/>
  <sortState ref="A3:M142">
    <sortCondition ref="D2:D142"/>
  </sortState>
  <tableColumns count="13">
    <tableColumn id="1" name="IBGE"/>
    <tableColumn id="13" name="Região de Saúde" dataDxfId="88">
      <calculatedColumnFormula>VLOOKUP(Tabela3[[#This Row],[IBGE]],procv!$A$2:$D$142,4,FALSE)</calculatedColumnFormula>
    </tableColumn>
    <tableColumn id="12" name="Município"/>
    <tableColumn id="11" name="2015" dataDxfId="87"/>
    <tableColumn id="2" name="2016"/>
    <tableColumn id="3" name="2017"/>
    <tableColumn id="4" name="2018"/>
    <tableColumn id="5" name="2019"/>
    <tableColumn id="6" name="2020"/>
    <tableColumn id="7" name="2021"/>
    <tableColumn id="8" name="2022"/>
    <tableColumn id="9" name="2023"/>
    <tableColumn id="10" name="20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965"/>
  <sheetViews>
    <sheetView tabSelected="1" zoomScale="70" zoomScaleNormal="70" workbookViewId="0">
      <pane ySplit="1" topLeftCell="A833" activePane="bottomLeft" state="frozen"/>
      <selection pane="bottomLeft" activeCell="E836" sqref="E836"/>
    </sheetView>
  </sheetViews>
  <sheetFormatPr defaultColWidth="15.7109375" defaultRowHeight="15" customHeight="1" x14ac:dyDescent="0.25"/>
  <cols>
    <col min="1" max="2" width="15.7109375" style="8"/>
    <col min="3" max="4" width="15.7109375" style="53"/>
    <col min="5" max="5" width="15.7109375" style="8"/>
    <col min="6" max="8" width="15.7109375" style="12"/>
    <col min="9" max="9" width="15.7109375" style="8"/>
    <col min="10" max="12" width="15.7109375" style="13"/>
    <col min="13" max="13" width="15.7109375" style="8"/>
    <col min="14" max="16" width="15.7109375" style="13"/>
    <col min="17" max="17" width="15.7109375" style="8"/>
    <col min="18" max="20" width="15.7109375" style="13"/>
    <col min="21" max="21" width="15.7109375" style="8"/>
    <col min="22" max="24" width="15.7109375" style="13"/>
    <col min="25" max="25" width="15.7109375" style="8"/>
    <col min="26" max="28" width="15.7109375" style="13"/>
    <col min="29" max="16384" width="15.7109375" style="8"/>
  </cols>
  <sheetData>
    <row r="1" spans="1:58" ht="15" customHeight="1" x14ac:dyDescent="0.25">
      <c r="A1" s="10" t="s">
        <v>0</v>
      </c>
      <c r="B1" s="10" t="s">
        <v>1</v>
      </c>
      <c r="C1" s="51" t="s">
        <v>2</v>
      </c>
      <c r="D1" s="51" t="s">
        <v>3</v>
      </c>
      <c r="E1" s="14" t="s">
        <v>296</v>
      </c>
      <c r="F1" s="15" t="s">
        <v>297</v>
      </c>
      <c r="G1" s="15" t="s">
        <v>322</v>
      </c>
      <c r="H1" s="15" t="s">
        <v>323</v>
      </c>
      <c r="I1" s="14" t="s">
        <v>298</v>
      </c>
      <c r="J1" s="16" t="s">
        <v>299</v>
      </c>
      <c r="K1" s="16" t="s">
        <v>324</v>
      </c>
      <c r="L1" s="16" t="s">
        <v>325</v>
      </c>
      <c r="M1" s="14" t="s">
        <v>300</v>
      </c>
      <c r="N1" s="16" t="s">
        <v>301</v>
      </c>
      <c r="O1" s="16" t="s">
        <v>326</v>
      </c>
      <c r="P1" s="16" t="s">
        <v>327</v>
      </c>
      <c r="Q1" s="14" t="s">
        <v>302</v>
      </c>
      <c r="R1" s="16" t="s">
        <v>303</v>
      </c>
      <c r="S1" s="16" t="s">
        <v>328</v>
      </c>
      <c r="T1" s="16" t="s">
        <v>329</v>
      </c>
      <c r="U1" s="17" t="s">
        <v>304</v>
      </c>
      <c r="V1" s="18" t="s">
        <v>305</v>
      </c>
      <c r="W1" s="18" t="s">
        <v>330</v>
      </c>
      <c r="X1" s="18" t="s">
        <v>331</v>
      </c>
      <c r="Y1" s="17" t="s">
        <v>306</v>
      </c>
      <c r="Z1" s="18" t="s">
        <v>307</v>
      </c>
      <c r="AA1" s="18" t="s">
        <v>333</v>
      </c>
      <c r="AB1" s="18" t="s">
        <v>332</v>
      </c>
      <c r="AC1" s="17" t="s">
        <v>308</v>
      </c>
      <c r="AD1" s="17" t="s">
        <v>309</v>
      </c>
      <c r="AE1" s="17" t="s">
        <v>334</v>
      </c>
      <c r="AF1" s="17" t="s">
        <v>335</v>
      </c>
      <c r="AG1" s="17" t="s">
        <v>310</v>
      </c>
      <c r="AH1" s="17" t="s">
        <v>311</v>
      </c>
      <c r="AI1" s="17" t="s">
        <v>336</v>
      </c>
      <c r="AJ1" s="17" t="s">
        <v>337</v>
      </c>
      <c r="AK1" s="17" t="s">
        <v>312</v>
      </c>
      <c r="AL1" s="17" t="s">
        <v>313</v>
      </c>
      <c r="AM1" s="17" t="s">
        <v>338</v>
      </c>
      <c r="AN1" s="17" t="s">
        <v>339</v>
      </c>
      <c r="AO1" s="17" t="s">
        <v>314</v>
      </c>
      <c r="AP1" s="17" t="s">
        <v>315</v>
      </c>
      <c r="AQ1" s="17" t="s">
        <v>340</v>
      </c>
      <c r="AR1" s="17" t="s">
        <v>341</v>
      </c>
      <c r="AS1" s="17" t="s">
        <v>370</v>
      </c>
      <c r="AT1" s="17" t="s">
        <v>371</v>
      </c>
      <c r="AU1" s="17" t="s">
        <v>372</v>
      </c>
      <c r="AV1" s="17" t="s">
        <v>373</v>
      </c>
      <c r="AW1" s="17" t="s">
        <v>316</v>
      </c>
      <c r="AX1" s="17" t="s">
        <v>317</v>
      </c>
      <c r="AY1" s="17" t="s">
        <v>342</v>
      </c>
      <c r="AZ1" s="17" t="s">
        <v>343</v>
      </c>
      <c r="BA1" s="17" t="s">
        <v>318</v>
      </c>
      <c r="BB1" s="17" t="s">
        <v>319</v>
      </c>
      <c r="BC1" s="17" t="s">
        <v>344</v>
      </c>
      <c r="BD1" s="17" t="s">
        <v>345</v>
      </c>
      <c r="BE1" s="11" t="s">
        <v>4</v>
      </c>
      <c r="BF1" s="19" t="s">
        <v>348</v>
      </c>
    </row>
    <row r="2" spans="1:58" x14ac:dyDescent="0.25">
      <c r="A2" s="39">
        <v>2024</v>
      </c>
      <c r="B2" s="39">
        <v>170025</v>
      </c>
      <c r="C2" s="37" t="str">
        <f>VLOOKUP(B2,procv!$A$2:$D$142,4,FALSE)</f>
        <v>Cantão</v>
      </c>
      <c r="D2" s="37" t="s">
        <v>5</v>
      </c>
      <c r="E2" s="40">
        <v>1</v>
      </c>
      <c r="F2" s="41">
        <f t="shared" ref="F2:F65" si="0">IFERROR(E2/$BE2,0)</f>
        <v>6.4935064935064939E-3</v>
      </c>
      <c r="G2" s="40">
        <v>1</v>
      </c>
      <c r="H2" s="42">
        <f t="shared" ref="H2:H65" si="1">IFERROR(G2/$BF2,0)</f>
        <v>1.1904761904761904E-2</v>
      </c>
      <c r="I2" s="40">
        <v>4</v>
      </c>
      <c r="J2" s="41">
        <f t="shared" ref="J2:J65" si="2">IFERROR(I2/$BE2,0)</f>
        <v>2.5974025974025976E-2</v>
      </c>
      <c r="K2" s="40">
        <v>4</v>
      </c>
      <c r="L2" s="41">
        <f t="shared" ref="L2:L65" si="3">IFERROR(K2/$BF2,0)</f>
        <v>4.7619047619047616E-2</v>
      </c>
      <c r="M2" s="40">
        <v>144</v>
      </c>
      <c r="N2" s="41">
        <f>IFERROR(M2/$BE2,0)</f>
        <v>0.93506493506493504</v>
      </c>
      <c r="O2" s="40">
        <v>79</v>
      </c>
      <c r="P2" s="41">
        <f t="shared" ref="P2:P65" si="4">IFERROR(O2/$BF2,0)</f>
        <v>0.94047619047619047</v>
      </c>
      <c r="Q2" s="40">
        <v>5</v>
      </c>
      <c r="R2" s="41">
        <f>IFERROR(Q2/$BE2,0)</f>
        <v>3.2467532467532464E-2</v>
      </c>
      <c r="S2" s="40">
        <v>0</v>
      </c>
      <c r="T2" s="41">
        <f t="shared" ref="T2:T65" si="5">IFERROR(S2/$BF2,0)</f>
        <v>0</v>
      </c>
      <c r="U2" s="40">
        <v>8</v>
      </c>
      <c r="V2" s="41">
        <f t="shared" ref="V2:V65" si="6">IFERROR(U2/$BE2,0)</f>
        <v>5.1948051948051951E-2</v>
      </c>
      <c r="W2" s="40">
        <v>6</v>
      </c>
      <c r="X2" s="41">
        <f t="shared" ref="X2:X65" si="7">IFERROR(W2/$BF2,0)</f>
        <v>7.1428571428571425E-2</v>
      </c>
      <c r="Y2" s="40">
        <v>12</v>
      </c>
      <c r="Z2" s="41">
        <f t="shared" ref="Z2:Z65" si="8">IFERROR(Y2/$BE2,0)</f>
        <v>7.792207792207792E-2</v>
      </c>
      <c r="AA2" s="40">
        <v>11</v>
      </c>
      <c r="AB2" s="41">
        <f t="shared" ref="AB2:AB65" si="9">IFERROR(AA2/$BF2,0)</f>
        <v>0.13095238095238096</v>
      </c>
      <c r="AC2" s="40">
        <v>134</v>
      </c>
      <c r="AD2" s="41">
        <f>IFERROR(AC2/$BE2,0)</f>
        <v>0.87012987012987009</v>
      </c>
      <c r="AE2" s="40">
        <v>67</v>
      </c>
      <c r="AF2" s="41">
        <f t="shared" ref="AF2:AF65" si="10">IFERROR(AE2/$BF2,0)</f>
        <v>0.79761904761904767</v>
      </c>
      <c r="AG2" s="40">
        <v>2</v>
      </c>
      <c r="AH2" s="41">
        <f>IFERROR(AG2/$BE2,0)</f>
        <v>1.2987012987012988E-2</v>
      </c>
      <c r="AI2" s="40">
        <v>2</v>
      </c>
      <c r="AJ2" s="41">
        <f t="shared" ref="AJ2:AJ65" si="11">IFERROR(AI2/$BF2,0)</f>
        <v>2.3809523809523808E-2</v>
      </c>
      <c r="AK2" s="40">
        <v>15</v>
      </c>
      <c r="AL2" s="41">
        <f>IFERROR(AK2/$BE2,0)</f>
        <v>9.7402597402597407E-2</v>
      </c>
      <c r="AM2" s="40">
        <v>12</v>
      </c>
      <c r="AN2" s="41">
        <f t="shared" ref="AN2:AN65" si="12">IFERROR(AM2/$BF2,0)</f>
        <v>0.14285714285714285</v>
      </c>
      <c r="AO2" s="40">
        <v>100</v>
      </c>
      <c r="AP2" s="41">
        <f>IFERROR(AO2/$BE2,0)</f>
        <v>0.64935064935064934</v>
      </c>
      <c r="AQ2" s="40">
        <v>57</v>
      </c>
      <c r="AR2" s="41">
        <f t="shared" ref="AR2:AR65" si="13">IFERROR(AQ2/$BF2,0)</f>
        <v>0.6785714285714286</v>
      </c>
      <c r="AS2" s="40">
        <v>17</v>
      </c>
      <c r="AT2" s="41">
        <f>IFERROR(AS2/$BE2,0)</f>
        <v>0.11038961038961038</v>
      </c>
      <c r="AU2" s="40">
        <v>8</v>
      </c>
      <c r="AV2" s="41">
        <f t="shared" ref="AV2:AV65" si="14">IFERROR(AU2/$BF2,0)</f>
        <v>9.5238095238095233E-2</v>
      </c>
      <c r="AW2" s="40">
        <v>13</v>
      </c>
      <c r="AX2" s="41">
        <f>IFERROR(AW2/$BE2,0)</f>
        <v>8.4415584415584416E-2</v>
      </c>
      <c r="AY2" s="40">
        <v>3</v>
      </c>
      <c r="AZ2" s="41">
        <f t="shared" ref="AZ2:AZ65" si="15">IFERROR(AY2/$BF2,0)</f>
        <v>3.5714285714285712E-2</v>
      </c>
      <c r="BA2" s="40">
        <v>7</v>
      </c>
      <c r="BB2" s="41">
        <f>IFERROR(BA2/$BE2,0)</f>
        <v>4.5454545454545456E-2</v>
      </c>
      <c r="BC2" s="40">
        <v>2</v>
      </c>
      <c r="BD2" s="41">
        <f t="shared" ref="BD2:BD65" si="16">IFERROR(BC2/$BF2,0)</f>
        <v>2.3809523809523808E-2</v>
      </c>
      <c r="BE2" s="40">
        <v>154</v>
      </c>
      <c r="BF2" s="40">
        <v>84</v>
      </c>
    </row>
    <row r="3" spans="1:58" ht="26.25" customHeight="1" x14ac:dyDescent="0.25">
      <c r="A3" s="39">
        <v>2024</v>
      </c>
      <c r="B3" s="39">
        <v>170030</v>
      </c>
      <c r="C3" s="37" t="str">
        <f>VLOOKUP(B3,procv!$A$2:$D$142,4,FALSE)</f>
        <v>Bico do Papagaio</v>
      </c>
      <c r="D3" s="37" t="s">
        <v>6</v>
      </c>
      <c r="E3" s="40">
        <v>0</v>
      </c>
      <c r="F3" s="42">
        <f t="shared" si="0"/>
        <v>0</v>
      </c>
      <c r="G3" s="40">
        <v>0</v>
      </c>
      <c r="H3" s="42">
        <f t="shared" si="1"/>
        <v>0</v>
      </c>
      <c r="I3" s="40">
        <v>7</v>
      </c>
      <c r="J3" s="41">
        <f t="shared" si="2"/>
        <v>5.9322033898305086E-2</v>
      </c>
      <c r="K3" s="40">
        <v>7</v>
      </c>
      <c r="L3" s="41">
        <f t="shared" si="3"/>
        <v>5.9829059829059832E-2</v>
      </c>
      <c r="M3" s="40">
        <v>107</v>
      </c>
      <c r="N3" s="41">
        <f>IFERROR(M3/$BE3,0)</f>
        <v>0.90677966101694918</v>
      </c>
      <c r="O3" s="40">
        <v>107</v>
      </c>
      <c r="P3" s="41">
        <f t="shared" si="4"/>
        <v>0.9145299145299145</v>
      </c>
      <c r="Q3" s="40">
        <v>4</v>
      </c>
      <c r="R3" s="41">
        <f>IFERROR(Q3/$BE3,0)</f>
        <v>3.3898305084745763E-2</v>
      </c>
      <c r="S3" s="40">
        <v>3</v>
      </c>
      <c r="T3" s="41">
        <f t="shared" si="5"/>
        <v>2.564102564102564E-2</v>
      </c>
      <c r="U3" s="40">
        <v>5</v>
      </c>
      <c r="V3" s="41">
        <f t="shared" si="6"/>
        <v>4.2372881355932202E-2</v>
      </c>
      <c r="W3" s="40">
        <v>4</v>
      </c>
      <c r="X3" s="41">
        <f t="shared" si="7"/>
        <v>3.4188034188034191E-2</v>
      </c>
      <c r="Y3" s="40">
        <v>11</v>
      </c>
      <c r="Z3" s="41">
        <f t="shared" si="8"/>
        <v>9.3220338983050849E-2</v>
      </c>
      <c r="AA3" s="40">
        <v>11</v>
      </c>
      <c r="AB3" s="41">
        <f t="shared" si="9"/>
        <v>9.4017094017094016E-2</v>
      </c>
      <c r="AC3" s="40">
        <v>102</v>
      </c>
      <c r="AD3" s="41">
        <f t="shared" ref="AD3:AD66" si="17">IFERROR(AC3/$BE3,0)</f>
        <v>0.86440677966101698</v>
      </c>
      <c r="AE3" s="40">
        <v>102</v>
      </c>
      <c r="AF3" s="41">
        <f t="shared" si="10"/>
        <v>0.87179487179487181</v>
      </c>
      <c r="AG3" s="40">
        <v>4</v>
      </c>
      <c r="AH3" s="41">
        <f t="shared" ref="AH3:AH66" si="18">IFERROR(AG3/$BE3,0)</f>
        <v>3.3898305084745763E-2</v>
      </c>
      <c r="AI3" s="40">
        <v>4</v>
      </c>
      <c r="AJ3" s="41">
        <f t="shared" si="11"/>
        <v>3.4188034188034191E-2</v>
      </c>
      <c r="AK3" s="40">
        <v>8</v>
      </c>
      <c r="AL3" s="41">
        <f t="shared" ref="AL3:AL66" si="19">IFERROR(AK3/$BE3,0)</f>
        <v>6.7796610169491525E-2</v>
      </c>
      <c r="AM3" s="40">
        <v>8</v>
      </c>
      <c r="AN3" s="41">
        <f t="shared" si="12"/>
        <v>6.8376068376068383E-2</v>
      </c>
      <c r="AO3" s="40">
        <v>81</v>
      </c>
      <c r="AP3" s="41">
        <f t="shared" ref="AP3:AP66" si="20">IFERROR(AO3/$BE3,0)</f>
        <v>0.68644067796610164</v>
      </c>
      <c r="AQ3" s="40">
        <v>83</v>
      </c>
      <c r="AR3" s="41">
        <f t="shared" si="13"/>
        <v>0.70940170940170943</v>
      </c>
      <c r="AS3" s="40">
        <v>14</v>
      </c>
      <c r="AT3" s="41">
        <f t="shared" ref="AT3:AT66" si="21">IFERROR(AS3/$BE3,0)</f>
        <v>0.11864406779661017</v>
      </c>
      <c r="AU3" s="40">
        <v>13</v>
      </c>
      <c r="AV3" s="41">
        <f t="shared" si="14"/>
        <v>0.1111111111111111</v>
      </c>
      <c r="AW3" s="40">
        <v>6</v>
      </c>
      <c r="AX3" s="41">
        <f t="shared" ref="AX3:AX66" si="22">IFERROR(AW3/$BE3,0)</f>
        <v>5.0847457627118647E-2</v>
      </c>
      <c r="AY3" s="40">
        <v>5</v>
      </c>
      <c r="AZ3" s="41">
        <f t="shared" si="15"/>
        <v>4.2735042735042736E-2</v>
      </c>
      <c r="BA3" s="40">
        <v>5</v>
      </c>
      <c r="BB3" s="41">
        <f t="shared" ref="BB3:BB66" si="23">IFERROR(BA3/$BE3,0)</f>
        <v>4.2372881355932202E-2</v>
      </c>
      <c r="BC3" s="40">
        <v>4</v>
      </c>
      <c r="BD3" s="41">
        <f t="shared" si="16"/>
        <v>3.4188034188034191E-2</v>
      </c>
      <c r="BE3" s="40">
        <v>118</v>
      </c>
      <c r="BF3" s="40">
        <v>117</v>
      </c>
    </row>
    <row r="4" spans="1:58" ht="26.25" customHeight="1" x14ac:dyDescent="0.25">
      <c r="A4" s="39">
        <v>2024</v>
      </c>
      <c r="B4" s="39">
        <v>170035</v>
      </c>
      <c r="C4" s="37" t="str">
        <f>VLOOKUP(B4,procv!$A$2:$D$142,4,FALSE)</f>
        <v>Ilha do Bananal</v>
      </c>
      <c r="D4" s="37" t="s">
        <v>7</v>
      </c>
      <c r="E4" s="40">
        <v>1</v>
      </c>
      <c r="F4" s="42">
        <f t="shared" si="0"/>
        <v>3.1746031746031746E-3</v>
      </c>
      <c r="G4" s="40">
        <v>2</v>
      </c>
      <c r="H4" s="42">
        <f t="shared" si="1"/>
        <v>1.1494252873563218E-2</v>
      </c>
      <c r="I4" s="40">
        <v>7</v>
      </c>
      <c r="J4" s="41">
        <f t="shared" si="2"/>
        <v>2.2222222222222223E-2</v>
      </c>
      <c r="K4" s="40">
        <v>3</v>
      </c>
      <c r="L4" s="41">
        <f t="shared" si="3"/>
        <v>1.7241379310344827E-2</v>
      </c>
      <c r="M4" s="40">
        <v>282</v>
      </c>
      <c r="N4" s="41">
        <f>IFERROR(M4/$BE4,0)</f>
        <v>0.89523809523809528</v>
      </c>
      <c r="O4" s="40">
        <v>157</v>
      </c>
      <c r="P4" s="41">
        <f t="shared" si="4"/>
        <v>0.9022988505747126</v>
      </c>
      <c r="Q4" s="40">
        <v>25</v>
      </c>
      <c r="R4" s="41">
        <f>IFERROR(Q4/$BE4,0)</f>
        <v>7.9365079365079361E-2</v>
      </c>
      <c r="S4" s="40">
        <v>12</v>
      </c>
      <c r="T4" s="41">
        <f t="shared" si="5"/>
        <v>6.8965517241379309E-2</v>
      </c>
      <c r="U4" s="40">
        <v>8</v>
      </c>
      <c r="V4" s="41">
        <f t="shared" si="6"/>
        <v>2.5396825396825397E-2</v>
      </c>
      <c r="W4" s="40">
        <v>5</v>
      </c>
      <c r="X4" s="41">
        <f t="shared" si="7"/>
        <v>2.8735632183908046E-2</v>
      </c>
      <c r="Y4" s="40">
        <v>30</v>
      </c>
      <c r="Z4" s="41">
        <f t="shared" si="8"/>
        <v>9.5238095238095233E-2</v>
      </c>
      <c r="AA4" s="40">
        <v>15</v>
      </c>
      <c r="AB4" s="41">
        <f t="shared" si="9"/>
        <v>8.6206896551724144E-2</v>
      </c>
      <c r="AC4" s="40">
        <v>277</v>
      </c>
      <c r="AD4" s="41">
        <f t="shared" si="17"/>
        <v>0.87936507936507935</v>
      </c>
      <c r="AE4" s="40">
        <v>154</v>
      </c>
      <c r="AF4" s="41">
        <f t="shared" si="10"/>
        <v>0.88505747126436785</v>
      </c>
      <c r="AG4" s="40">
        <v>3</v>
      </c>
      <c r="AH4" s="41">
        <f t="shared" si="18"/>
        <v>9.5238095238095247E-3</v>
      </c>
      <c r="AI4" s="40">
        <v>3</v>
      </c>
      <c r="AJ4" s="41">
        <f t="shared" si="11"/>
        <v>1.7241379310344827E-2</v>
      </c>
      <c r="AK4" s="40">
        <v>6</v>
      </c>
      <c r="AL4" s="41">
        <f t="shared" si="19"/>
        <v>1.9047619047619049E-2</v>
      </c>
      <c r="AM4" s="40">
        <v>4</v>
      </c>
      <c r="AN4" s="41">
        <f t="shared" si="12"/>
        <v>2.2988505747126436E-2</v>
      </c>
      <c r="AO4" s="40">
        <v>194</v>
      </c>
      <c r="AP4" s="41">
        <f t="shared" si="20"/>
        <v>0.61587301587301591</v>
      </c>
      <c r="AQ4" s="40">
        <v>117</v>
      </c>
      <c r="AR4" s="41">
        <f t="shared" si="13"/>
        <v>0.67241379310344829</v>
      </c>
      <c r="AS4" s="40">
        <v>61</v>
      </c>
      <c r="AT4" s="41">
        <f t="shared" si="21"/>
        <v>0.19365079365079366</v>
      </c>
      <c r="AU4" s="40">
        <v>28</v>
      </c>
      <c r="AV4" s="41">
        <f t="shared" si="14"/>
        <v>0.16091954022988506</v>
      </c>
      <c r="AW4" s="40">
        <v>34</v>
      </c>
      <c r="AX4" s="41">
        <f t="shared" si="22"/>
        <v>0.10793650793650794</v>
      </c>
      <c r="AY4" s="40">
        <v>14</v>
      </c>
      <c r="AZ4" s="41">
        <f t="shared" si="15"/>
        <v>8.0459770114942528E-2</v>
      </c>
      <c r="BA4" s="40">
        <v>17</v>
      </c>
      <c r="BB4" s="41">
        <f t="shared" si="23"/>
        <v>5.3968253968253971E-2</v>
      </c>
      <c r="BC4" s="40">
        <v>8</v>
      </c>
      <c r="BD4" s="41">
        <f t="shared" si="16"/>
        <v>4.5977011494252873E-2</v>
      </c>
      <c r="BE4" s="40">
        <v>315</v>
      </c>
      <c r="BF4" s="40">
        <v>174</v>
      </c>
    </row>
    <row r="5" spans="1:58" x14ac:dyDescent="0.25">
      <c r="A5" s="39">
        <v>2024</v>
      </c>
      <c r="B5" s="39">
        <v>170040</v>
      </c>
      <c r="C5" s="37" t="str">
        <f>VLOOKUP(B5,procv!$A$2:$D$142,4,FALSE)</f>
        <v>Sudeste</v>
      </c>
      <c r="D5" s="37" t="s">
        <v>8</v>
      </c>
      <c r="E5" s="40">
        <v>4</v>
      </c>
      <c r="F5" s="42">
        <f t="shared" si="0"/>
        <v>8.7336244541484712E-3</v>
      </c>
      <c r="G5" s="40">
        <v>3</v>
      </c>
      <c r="H5" s="42">
        <f t="shared" si="1"/>
        <v>9.433962264150943E-3</v>
      </c>
      <c r="I5" s="40">
        <v>9</v>
      </c>
      <c r="J5" s="41">
        <f t="shared" si="2"/>
        <v>1.9650655021834062E-2</v>
      </c>
      <c r="K5" s="40">
        <v>9</v>
      </c>
      <c r="L5" s="41">
        <f t="shared" si="3"/>
        <v>2.8301886792452831E-2</v>
      </c>
      <c r="M5" s="40">
        <v>425</v>
      </c>
      <c r="N5" s="41">
        <f>IFERROR(M5/$BE5,0)</f>
        <v>0.92794759825327511</v>
      </c>
      <c r="O5" s="40">
        <v>290</v>
      </c>
      <c r="P5" s="41">
        <f t="shared" si="4"/>
        <v>0.91194968553459121</v>
      </c>
      <c r="Q5" s="40">
        <v>20</v>
      </c>
      <c r="R5" s="41">
        <f>IFERROR(Q5/$BE5,0)</f>
        <v>4.3668122270742356E-2</v>
      </c>
      <c r="S5" s="40">
        <v>16</v>
      </c>
      <c r="T5" s="41">
        <f t="shared" si="5"/>
        <v>5.0314465408805034E-2</v>
      </c>
      <c r="U5" s="40">
        <v>26</v>
      </c>
      <c r="V5" s="41">
        <f t="shared" si="6"/>
        <v>5.6768558951965066E-2</v>
      </c>
      <c r="W5" s="40">
        <v>20</v>
      </c>
      <c r="X5" s="41">
        <f t="shared" si="7"/>
        <v>6.2893081761006289E-2</v>
      </c>
      <c r="Y5" s="40">
        <v>48</v>
      </c>
      <c r="Z5" s="41">
        <f t="shared" si="8"/>
        <v>0.10480349344978165</v>
      </c>
      <c r="AA5" s="40">
        <v>31</v>
      </c>
      <c r="AB5" s="41">
        <f t="shared" si="9"/>
        <v>9.7484276729559755E-2</v>
      </c>
      <c r="AC5" s="40">
        <v>384</v>
      </c>
      <c r="AD5" s="41">
        <f t="shared" si="17"/>
        <v>0.83842794759825323</v>
      </c>
      <c r="AE5" s="40">
        <v>267</v>
      </c>
      <c r="AF5" s="41">
        <f t="shared" si="10"/>
        <v>0.839622641509434</v>
      </c>
      <c r="AG5" s="40">
        <v>25</v>
      </c>
      <c r="AH5" s="41">
        <f t="shared" si="18"/>
        <v>5.458515283842795E-2</v>
      </c>
      <c r="AI5" s="40">
        <v>27</v>
      </c>
      <c r="AJ5" s="41">
        <f t="shared" si="11"/>
        <v>8.4905660377358486E-2</v>
      </c>
      <c r="AK5" s="40">
        <v>21</v>
      </c>
      <c r="AL5" s="41">
        <f t="shared" si="19"/>
        <v>4.5851528384279479E-2</v>
      </c>
      <c r="AM5" s="40">
        <v>17</v>
      </c>
      <c r="AN5" s="41">
        <f t="shared" si="12"/>
        <v>5.3459119496855348E-2</v>
      </c>
      <c r="AO5" s="40">
        <v>260</v>
      </c>
      <c r="AP5" s="41">
        <f t="shared" si="20"/>
        <v>0.56768558951965065</v>
      </c>
      <c r="AQ5" s="40">
        <v>173</v>
      </c>
      <c r="AR5" s="41">
        <f t="shared" si="13"/>
        <v>0.54402515723270439</v>
      </c>
      <c r="AS5" s="40">
        <v>93</v>
      </c>
      <c r="AT5" s="41">
        <f t="shared" si="21"/>
        <v>0.20305676855895197</v>
      </c>
      <c r="AU5" s="40">
        <v>66</v>
      </c>
      <c r="AV5" s="41">
        <f t="shared" si="14"/>
        <v>0.20754716981132076</v>
      </c>
      <c r="AW5" s="40">
        <v>29</v>
      </c>
      <c r="AX5" s="41">
        <f t="shared" si="22"/>
        <v>6.3318777292576414E-2</v>
      </c>
      <c r="AY5" s="40">
        <v>19</v>
      </c>
      <c r="AZ5" s="41">
        <f t="shared" si="15"/>
        <v>5.9748427672955975E-2</v>
      </c>
      <c r="BA5" s="40">
        <v>30</v>
      </c>
      <c r="BB5" s="41">
        <f t="shared" si="23"/>
        <v>6.5502183406113537E-2</v>
      </c>
      <c r="BC5" s="40">
        <v>16</v>
      </c>
      <c r="BD5" s="41">
        <f t="shared" si="16"/>
        <v>5.0314465408805034E-2</v>
      </c>
      <c r="BE5" s="40">
        <v>458</v>
      </c>
      <c r="BF5" s="40">
        <v>318</v>
      </c>
    </row>
    <row r="6" spans="1:58" x14ac:dyDescent="0.25">
      <c r="A6" s="39">
        <v>2024</v>
      </c>
      <c r="B6" s="39">
        <v>170070</v>
      </c>
      <c r="C6" s="37" t="str">
        <f>VLOOKUP(B6,procv!$A$2:$D$142,4,FALSE)</f>
        <v>Ilha do Bananal</v>
      </c>
      <c r="D6" s="37" t="s">
        <v>9</v>
      </c>
      <c r="E6" s="40">
        <v>0</v>
      </c>
      <c r="F6" s="42">
        <f t="shared" si="0"/>
        <v>0</v>
      </c>
      <c r="G6" s="40">
        <v>0</v>
      </c>
      <c r="H6" s="42">
        <f t="shared" si="1"/>
        <v>0</v>
      </c>
      <c r="I6" s="40">
        <v>12</v>
      </c>
      <c r="J6" s="41">
        <f t="shared" si="2"/>
        <v>2.3715415019762844E-2</v>
      </c>
      <c r="K6" s="40">
        <v>9</v>
      </c>
      <c r="L6" s="41">
        <f t="shared" si="3"/>
        <v>2.4258760107816711E-2</v>
      </c>
      <c r="M6" s="40">
        <v>443</v>
      </c>
      <c r="N6" s="41">
        <f>IFERROR(M6/$BE6,0)</f>
        <v>0.87549407114624511</v>
      </c>
      <c r="O6" s="40">
        <v>319</v>
      </c>
      <c r="P6" s="41">
        <f t="shared" si="4"/>
        <v>0.85983827493261455</v>
      </c>
      <c r="Q6" s="40">
        <v>51</v>
      </c>
      <c r="R6" s="41">
        <f>IFERROR(Q6/$BE6,0)</f>
        <v>0.1007905138339921</v>
      </c>
      <c r="S6" s="40">
        <v>43</v>
      </c>
      <c r="T6" s="41">
        <f t="shared" si="5"/>
        <v>0.11590296495956873</v>
      </c>
      <c r="U6" s="40">
        <v>35</v>
      </c>
      <c r="V6" s="41">
        <f t="shared" si="6"/>
        <v>6.9169960474308304E-2</v>
      </c>
      <c r="W6" s="40">
        <v>34</v>
      </c>
      <c r="X6" s="41">
        <f t="shared" si="7"/>
        <v>9.1644204851752023E-2</v>
      </c>
      <c r="Y6" s="40">
        <v>42</v>
      </c>
      <c r="Z6" s="41">
        <f t="shared" si="8"/>
        <v>8.3003952569169967E-2</v>
      </c>
      <c r="AA6" s="40">
        <v>34</v>
      </c>
      <c r="AB6" s="41">
        <f t="shared" si="9"/>
        <v>9.1644204851752023E-2</v>
      </c>
      <c r="AC6" s="40">
        <v>429</v>
      </c>
      <c r="AD6" s="41">
        <f t="shared" si="17"/>
        <v>0.84782608695652173</v>
      </c>
      <c r="AE6" s="40">
        <v>303</v>
      </c>
      <c r="AF6" s="41">
        <f t="shared" si="10"/>
        <v>0.81671159029649598</v>
      </c>
      <c r="AG6" s="40">
        <v>20</v>
      </c>
      <c r="AH6" s="41">
        <f t="shared" si="18"/>
        <v>3.9525691699604744E-2</v>
      </c>
      <c r="AI6" s="40">
        <v>20</v>
      </c>
      <c r="AJ6" s="41">
        <f t="shared" si="11"/>
        <v>5.3908355795148251E-2</v>
      </c>
      <c r="AK6" s="40">
        <v>23</v>
      </c>
      <c r="AL6" s="41">
        <f t="shared" si="19"/>
        <v>4.5454545454545456E-2</v>
      </c>
      <c r="AM6" s="40">
        <v>18</v>
      </c>
      <c r="AN6" s="41">
        <f t="shared" si="12"/>
        <v>4.8517520215633422E-2</v>
      </c>
      <c r="AO6" s="40">
        <v>299</v>
      </c>
      <c r="AP6" s="41">
        <f t="shared" si="20"/>
        <v>0.59090909090909094</v>
      </c>
      <c r="AQ6" s="40">
        <v>201</v>
      </c>
      <c r="AR6" s="41">
        <f t="shared" si="13"/>
        <v>0.5417789757412399</v>
      </c>
      <c r="AS6" s="40">
        <v>75</v>
      </c>
      <c r="AT6" s="41">
        <f t="shared" si="21"/>
        <v>0.14822134387351779</v>
      </c>
      <c r="AU6" s="40">
        <v>63</v>
      </c>
      <c r="AV6" s="41">
        <f t="shared" si="14"/>
        <v>0.16981132075471697</v>
      </c>
      <c r="AW6" s="40">
        <v>55</v>
      </c>
      <c r="AX6" s="41">
        <f t="shared" si="22"/>
        <v>0.10869565217391304</v>
      </c>
      <c r="AY6" s="40">
        <v>41</v>
      </c>
      <c r="AZ6" s="41">
        <f t="shared" si="15"/>
        <v>0.11051212938005391</v>
      </c>
      <c r="BA6" s="40">
        <v>34</v>
      </c>
      <c r="BB6" s="41">
        <f t="shared" si="23"/>
        <v>6.7193675889328064E-2</v>
      </c>
      <c r="BC6" s="40">
        <v>28</v>
      </c>
      <c r="BD6" s="41">
        <f t="shared" si="16"/>
        <v>7.5471698113207544E-2</v>
      </c>
      <c r="BE6" s="40">
        <v>506</v>
      </c>
      <c r="BF6" s="40">
        <v>371</v>
      </c>
    </row>
    <row r="7" spans="1:58" x14ac:dyDescent="0.25">
      <c r="A7" s="39">
        <v>2024</v>
      </c>
      <c r="B7" s="39">
        <v>170100</v>
      </c>
      <c r="C7" s="37" t="str">
        <f>VLOOKUP(B7,procv!$A$2:$D$142,4,FALSE)</f>
        <v>Bico do Papagaio</v>
      </c>
      <c r="D7" s="37" t="s">
        <v>10</v>
      </c>
      <c r="E7" s="40">
        <v>6</v>
      </c>
      <c r="F7" s="42">
        <f t="shared" si="0"/>
        <v>8.9153046062407128E-3</v>
      </c>
      <c r="G7" s="40">
        <v>5</v>
      </c>
      <c r="H7" s="42">
        <f t="shared" si="1"/>
        <v>1.0351966873706004E-2</v>
      </c>
      <c r="I7" s="40">
        <v>21</v>
      </c>
      <c r="J7" s="41">
        <f t="shared" si="2"/>
        <v>3.1203566121842496E-2</v>
      </c>
      <c r="K7" s="40">
        <v>18</v>
      </c>
      <c r="L7" s="41">
        <f t="shared" si="3"/>
        <v>3.7267080745341616E-2</v>
      </c>
      <c r="M7" s="40">
        <v>605</v>
      </c>
      <c r="N7" s="41">
        <f>IFERROR(M7/$BE7,0)</f>
        <v>0.89895988112927194</v>
      </c>
      <c r="O7" s="40">
        <v>430</v>
      </c>
      <c r="P7" s="41">
        <f t="shared" si="4"/>
        <v>0.89026915113871641</v>
      </c>
      <c r="Q7" s="40">
        <v>41</v>
      </c>
      <c r="R7" s="41">
        <f>IFERROR(Q7/$BE7,0)</f>
        <v>6.0921248142644872E-2</v>
      </c>
      <c r="S7" s="40">
        <v>30</v>
      </c>
      <c r="T7" s="41">
        <f t="shared" si="5"/>
        <v>6.2111801242236024E-2</v>
      </c>
      <c r="U7" s="40">
        <v>38</v>
      </c>
      <c r="V7" s="41">
        <f t="shared" si="6"/>
        <v>5.6463595839524518E-2</v>
      </c>
      <c r="W7" s="40">
        <v>36</v>
      </c>
      <c r="X7" s="41">
        <f t="shared" si="7"/>
        <v>7.4534161490683232E-2</v>
      </c>
      <c r="Y7" s="40">
        <v>53</v>
      </c>
      <c r="Z7" s="41">
        <f t="shared" si="8"/>
        <v>7.8751857355126298E-2</v>
      </c>
      <c r="AA7" s="40">
        <v>37</v>
      </c>
      <c r="AB7" s="41">
        <f t="shared" si="9"/>
        <v>7.6604554865424432E-2</v>
      </c>
      <c r="AC7" s="40">
        <v>582</v>
      </c>
      <c r="AD7" s="41">
        <f t="shared" si="17"/>
        <v>0.86478454680534922</v>
      </c>
      <c r="AE7" s="40">
        <v>410</v>
      </c>
      <c r="AF7" s="41">
        <f t="shared" si="10"/>
        <v>0.84886128364389235</v>
      </c>
      <c r="AG7" s="40">
        <v>21</v>
      </c>
      <c r="AH7" s="41">
        <f t="shared" si="18"/>
        <v>3.1203566121842496E-2</v>
      </c>
      <c r="AI7" s="40">
        <v>23</v>
      </c>
      <c r="AJ7" s="41">
        <f t="shared" si="11"/>
        <v>4.7619047619047616E-2</v>
      </c>
      <c r="AK7" s="40">
        <v>36</v>
      </c>
      <c r="AL7" s="41">
        <f t="shared" si="19"/>
        <v>5.3491827637444277E-2</v>
      </c>
      <c r="AM7" s="40">
        <v>35</v>
      </c>
      <c r="AN7" s="41">
        <f t="shared" si="12"/>
        <v>7.2463768115942032E-2</v>
      </c>
      <c r="AO7" s="40">
        <v>413</v>
      </c>
      <c r="AP7" s="41">
        <f t="shared" si="20"/>
        <v>0.61367013372956913</v>
      </c>
      <c r="AQ7" s="40">
        <v>297</v>
      </c>
      <c r="AR7" s="41">
        <f t="shared" si="13"/>
        <v>0.6149068322981367</v>
      </c>
      <c r="AS7" s="40">
        <v>108</v>
      </c>
      <c r="AT7" s="41">
        <f t="shared" si="21"/>
        <v>0.16047548291233285</v>
      </c>
      <c r="AU7" s="40">
        <v>55</v>
      </c>
      <c r="AV7" s="41">
        <f t="shared" si="14"/>
        <v>0.11387163561076605</v>
      </c>
      <c r="AW7" s="40">
        <v>60</v>
      </c>
      <c r="AX7" s="41">
        <f t="shared" si="22"/>
        <v>8.9153046062407135E-2</v>
      </c>
      <c r="AY7" s="40">
        <v>39</v>
      </c>
      <c r="AZ7" s="41">
        <f t="shared" si="15"/>
        <v>8.0745341614906832E-2</v>
      </c>
      <c r="BA7" s="40">
        <v>35</v>
      </c>
      <c r="BB7" s="41">
        <f t="shared" si="23"/>
        <v>5.2005943536404163E-2</v>
      </c>
      <c r="BC7" s="40">
        <v>34</v>
      </c>
      <c r="BD7" s="41">
        <f t="shared" si="16"/>
        <v>7.0393374741200831E-2</v>
      </c>
      <c r="BE7" s="40">
        <v>673</v>
      </c>
      <c r="BF7" s="40">
        <v>483</v>
      </c>
    </row>
    <row r="8" spans="1:58" x14ac:dyDescent="0.25">
      <c r="A8" s="39">
        <v>2024</v>
      </c>
      <c r="B8" s="39">
        <v>170105</v>
      </c>
      <c r="C8" s="37" t="str">
        <f>VLOOKUP(B8,procv!$A$2:$D$142,4,FALSE)</f>
        <v>Bico do Papagaio</v>
      </c>
      <c r="D8" s="37" t="s">
        <v>11</v>
      </c>
      <c r="E8" s="40">
        <v>0</v>
      </c>
      <c r="F8" s="42">
        <f t="shared" si="0"/>
        <v>0</v>
      </c>
      <c r="G8" s="40">
        <v>1</v>
      </c>
      <c r="H8" s="42">
        <f t="shared" si="1"/>
        <v>1.5384615384615385E-2</v>
      </c>
      <c r="I8" s="40">
        <v>3</v>
      </c>
      <c r="J8" s="41">
        <f t="shared" si="2"/>
        <v>1.935483870967742E-2</v>
      </c>
      <c r="K8" s="40">
        <v>3</v>
      </c>
      <c r="L8" s="41">
        <f t="shared" si="3"/>
        <v>4.6153846153846156E-2</v>
      </c>
      <c r="M8" s="40">
        <v>145</v>
      </c>
      <c r="N8" s="41">
        <f>IFERROR(M8/$BE8,0)</f>
        <v>0.93548387096774188</v>
      </c>
      <c r="O8" s="40">
        <v>59</v>
      </c>
      <c r="P8" s="41">
        <f t="shared" si="4"/>
        <v>0.90769230769230769</v>
      </c>
      <c r="Q8" s="40">
        <v>7</v>
      </c>
      <c r="R8" s="41">
        <f>IFERROR(Q8/$BE8,0)</f>
        <v>4.5161290322580643E-2</v>
      </c>
      <c r="S8" s="40">
        <v>2</v>
      </c>
      <c r="T8" s="41">
        <f t="shared" si="5"/>
        <v>3.0769230769230771E-2</v>
      </c>
      <c r="U8" s="40">
        <v>1</v>
      </c>
      <c r="V8" s="41">
        <f t="shared" si="6"/>
        <v>6.4516129032258064E-3</v>
      </c>
      <c r="W8" s="40">
        <v>1</v>
      </c>
      <c r="X8" s="41">
        <f t="shared" si="7"/>
        <v>1.5384615384615385E-2</v>
      </c>
      <c r="Y8" s="40">
        <v>12</v>
      </c>
      <c r="Z8" s="41">
        <f t="shared" si="8"/>
        <v>7.7419354838709681E-2</v>
      </c>
      <c r="AA8" s="40">
        <v>5</v>
      </c>
      <c r="AB8" s="41">
        <f t="shared" si="9"/>
        <v>7.6923076923076927E-2</v>
      </c>
      <c r="AC8" s="40">
        <v>142</v>
      </c>
      <c r="AD8" s="41">
        <f t="shared" si="17"/>
        <v>0.91612903225806452</v>
      </c>
      <c r="AE8" s="40">
        <v>59</v>
      </c>
      <c r="AF8" s="41">
        <f t="shared" si="10"/>
        <v>0.90769230769230769</v>
      </c>
      <c r="AG8" s="40">
        <v>4</v>
      </c>
      <c r="AH8" s="41">
        <f t="shared" si="18"/>
        <v>2.5806451612903226E-2</v>
      </c>
      <c r="AI8" s="40">
        <v>6</v>
      </c>
      <c r="AJ8" s="41">
        <f t="shared" si="11"/>
        <v>9.2307692307692313E-2</v>
      </c>
      <c r="AK8" s="40">
        <v>3</v>
      </c>
      <c r="AL8" s="41">
        <f t="shared" si="19"/>
        <v>1.935483870967742E-2</v>
      </c>
      <c r="AM8" s="40">
        <v>2</v>
      </c>
      <c r="AN8" s="41">
        <f t="shared" si="12"/>
        <v>3.0769230769230771E-2</v>
      </c>
      <c r="AO8" s="40">
        <v>112</v>
      </c>
      <c r="AP8" s="41">
        <f t="shared" si="20"/>
        <v>0.72258064516129028</v>
      </c>
      <c r="AQ8" s="40">
        <v>44</v>
      </c>
      <c r="AR8" s="41">
        <f t="shared" si="13"/>
        <v>0.67692307692307696</v>
      </c>
      <c r="AS8" s="40">
        <v>23</v>
      </c>
      <c r="AT8" s="41">
        <f t="shared" si="21"/>
        <v>0.14838709677419354</v>
      </c>
      <c r="AU8" s="40">
        <v>10</v>
      </c>
      <c r="AV8" s="41">
        <f t="shared" si="14"/>
        <v>0.15384615384615385</v>
      </c>
      <c r="AW8" s="40">
        <v>9</v>
      </c>
      <c r="AX8" s="41">
        <f t="shared" si="22"/>
        <v>5.8064516129032261E-2</v>
      </c>
      <c r="AY8" s="40">
        <v>0</v>
      </c>
      <c r="AZ8" s="41">
        <f t="shared" si="15"/>
        <v>0</v>
      </c>
      <c r="BA8" s="40">
        <v>4</v>
      </c>
      <c r="BB8" s="41">
        <f t="shared" si="23"/>
        <v>2.5806451612903226E-2</v>
      </c>
      <c r="BC8" s="40">
        <v>3</v>
      </c>
      <c r="BD8" s="41">
        <f t="shared" si="16"/>
        <v>4.6153846153846156E-2</v>
      </c>
      <c r="BE8" s="40">
        <v>155</v>
      </c>
      <c r="BF8" s="40">
        <v>65</v>
      </c>
    </row>
    <row r="9" spans="1:58" ht="39" customHeight="1" x14ac:dyDescent="0.25">
      <c r="A9" s="39">
        <v>2024</v>
      </c>
      <c r="B9" s="39">
        <v>170110</v>
      </c>
      <c r="C9" s="37" t="str">
        <f>VLOOKUP(B9,procv!$A$2:$D$142,4,FALSE)</f>
        <v>Capim Dourado</v>
      </c>
      <c r="D9" s="37" t="s">
        <v>12</v>
      </c>
      <c r="E9" s="40">
        <v>3</v>
      </c>
      <c r="F9" s="42">
        <f t="shared" si="0"/>
        <v>8.670520231213872E-3</v>
      </c>
      <c r="G9" s="40">
        <v>2</v>
      </c>
      <c r="H9" s="42">
        <f t="shared" si="1"/>
        <v>9.5238095238095247E-3</v>
      </c>
      <c r="I9" s="40">
        <v>10</v>
      </c>
      <c r="J9" s="41">
        <f t="shared" si="2"/>
        <v>2.8901734104046242E-2</v>
      </c>
      <c r="K9" s="40">
        <v>5</v>
      </c>
      <c r="L9" s="41">
        <f t="shared" si="3"/>
        <v>2.3809523809523808E-2</v>
      </c>
      <c r="M9" s="40">
        <v>313</v>
      </c>
      <c r="N9" s="41">
        <f>IFERROR(M9/$BE9,0)</f>
        <v>0.90462427745664742</v>
      </c>
      <c r="O9" s="40">
        <v>187</v>
      </c>
      <c r="P9" s="41">
        <f t="shared" si="4"/>
        <v>0.89047619047619042</v>
      </c>
      <c r="Q9" s="40">
        <v>20</v>
      </c>
      <c r="R9" s="41">
        <f>IFERROR(Q9/$BE9,0)</f>
        <v>5.7803468208092484E-2</v>
      </c>
      <c r="S9" s="40">
        <v>16</v>
      </c>
      <c r="T9" s="41">
        <f t="shared" si="5"/>
        <v>7.6190476190476197E-2</v>
      </c>
      <c r="U9" s="40">
        <v>20</v>
      </c>
      <c r="V9" s="41">
        <f t="shared" si="6"/>
        <v>5.7803468208092484E-2</v>
      </c>
      <c r="W9" s="40">
        <v>12</v>
      </c>
      <c r="X9" s="41">
        <f t="shared" si="7"/>
        <v>5.7142857142857141E-2</v>
      </c>
      <c r="Y9" s="40">
        <v>26</v>
      </c>
      <c r="Z9" s="41">
        <f t="shared" si="8"/>
        <v>7.5144508670520235E-2</v>
      </c>
      <c r="AA9" s="40">
        <v>15</v>
      </c>
      <c r="AB9" s="41">
        <f t="shared" si="9"/>
        <v>7.1428571428571425E-2</v>
      </c>
      <c r="AC9" s="40">
        <v>300</v>
      </c>
      <c r="AD9" s="41">
        <f t="shared" si="17"/>
        <v>0.86705202312138729</v>
      </c>
      <c r="AE9" s="40">
        <v>183</v>
      </c>
      <c r="AF9" s="41">
        <f t="shared" si="10"/>
        <v>0.87142857142857144</v>
      </c>
      <c r="AG9" s="40">
        <v>12</v>
      </c>
      <c r="AH9" s="41">
        <f t="shared" si="18"/>
        <v>3.4682080924855488E-2</v>
      </c>
      <c r="AI9" s="40">
        <v>10</v>
      </c>
      <c r="AJ9" s="41">
        <f t="shared" si="11"/>
        <v>4.7619047619047616E-2</v>
      </c>
      <c r="AK9" s="40">
        <v>16</v>
      </c>
      <c r="AL9" s="41">
        <f t="shared" si="19"/>
        <v>4.6242774566473986E-2</v>
      </c>
      <c r="AM9" s="40">
        <v>13</v>
      </c>
      <c r="AN9" s="41">
        <f t="shared" si="12"/>
        <v>6.1904761904761907E-2</v>
      </c>
      <c r="AO9" s="40">
        <v>230</v>
      </c>
      <c r="AP9" s="41">
        <f t="shared" si="20"/>
        <v>0.66473988439306353</v>
      </c>
      <c r="AQ9" s="40">
        <v>122</v>
      </c>
      <c r="AR9" s="41">
        <f t="shared" si="13"/>
        <v>0.580952380952381</v>
      </c>
      <c r="AS9" s="40">
        <v>50</v>
      </c>
      <c r="AT9" s="41">
        <f t="shared" si="21"/>
        <v>0.14450867052023122</v>
      </c>
      <c r="AU9" s="40">
        <v>37</v>
      </c>
      <c r="AV9" s="41">
        <f t="shared" si="14"/>
        <v>0.1761904761904762</v>
      </c>
      <c r="AW9" s="40">
        <v>17</v>
      </c>
      <c r="AX9" s="41">
        <f t="shared" si="22"/>
        <v>4.9132947976878616E-2</v>
      </c>
      <c r="AY9" s="40">
        <v>17</v>
      </c>
      <c r="AZ9" s="41">
        <f t="shared" si="15"/>
        <v>8.0952380952380956E-2</v>
      </c>
      <c r="BA9" s="40">
        <v>21</v>
      </c>
      <c r="BB9" s="41">
        <f t="shared" si="23"/>
        <v>6.0693641618497107E-2</v>
      </c>
      <c r="BC9" s="40">
        <v>11</v>
      </c>
      <c r="BD9" s="41">
        <f t="shared" si="16"/>
        <v>5.2380952380952382E-2</v>
      </c>
      <c r="BE9" s="40">
        <v>346</v>
      </c>
      <c r="BF9" s="40">
        <v>210</v>
      </c>
    </row>
    <row r="10" spans="1:58" x14ac:dyDescent="0.25">
      <c r="A10" s="39">
        <v>2024</v>
      </c>
      <c r="B10" s="39">
        <v>170130</v>
      </c>
      <c r="C10" s="37" t="str">
        <f>VLOOKUP(B10,procv!$A$2:$D$142,4,FALSE)</f>
        <v>Médio Norte Araguaia</v>
      </c>
      <c r="D10" s="37" t="s">
        <v>13</v>
      </c>
      <c r="E10" s="40">
        <v>3</v>
      </c>
      <c r="F10" s="42">
        <f t="shared" si="0"/>
        <v>8.4745762711864406E-3</v>
      </c>
      <c r="G10" s="40">
        <v>3</v>
      </c>
      <c r="H10" s="42">
        <f t="shared" si="1"/>
        <v>1.3761467889908258E-2</v>
      </c>
      <c r="I10" s="40">
        <v>9</v>
      </c>
      <c r="J10" s="41">
        <f t="shared" si="2"/>
        <v>2.5423728813559324E-2</v>
      </c>
      <c r="K10" s="40">
        <v>6</v>
      </c>
      <c r="L10" s="41">
        <f t="shared" si="3"/>
        <v>2.7522935779816515E-2</v>
      </c>
      <c r="M10" s="40">
        <v>317</v>
      </c>
      <c r="N10" s="41">
        <f>IFERROR(M10/$BE10,0)</f>
        <v>0.89548022598870058</v>
      </c>
      <c r="O10" s="40">
        <v>193</v>
      </c>
      <c r="P10" s="41">
        <f t="shared" si="4"/>
        <v>0.88532110091743121</v>
      </c>
      <c r="Q10" s="40">
        <v>25</v>
      </c>
      <c r="R10" s="41">
        <f>IFERROR(Q10/$BE10,0)</f>
        <v>7.0621468926553674E-2</v>
      </c>
      <c r="S10" s="40">
        <v>16</v>
      </c>
      <c r="T10" s="41">
        <f t="shared" si="5"/>
        <v>7.3394495412844041E-2</v>
      </c>
      <c r="U10" s="40">
        <v>35</v>
      </c>
      <c r="V10" s="41">
        <f t="shared" si="6"/>
        <v>9.8870056497175146E-2</v>
      </c>
      <c r="W10" s="40">
        <v>25</v>
      </c>
      <c r="X10" s="41">
        <f t="shared" si="7"/>
        <v>0.11467889908256881</v>
      </c>
      <c r="Y10" s="40">
        <v>21</v>
      </c>
      <c r="Z10" s="41">
        <f t="shared" si="8"/>
        <v>5.9322033898305086E-2</v>
      </c>
      <c r="AA10" s="40">
        <v>18</v>
      </c>
      <c r="AB10" s="41">
        <f t="shared" si="9"/>
        <v>8.2568807339449546E-2</v>
      </c>
      <c r="AC10" s="40">
        <v>298</v>
      </c>
      <c r="AD10" s="41">
        <f t="shared" si="17"/>
        <v>0.84180790960451979</v>
      </c>
      <c r="AE10" s="40">
        <v>175</v>
      </c>
      <c r="AF10" s="41">
        <f t="shared" si="10"/>
        <v>0.80275229357798161</v>
      </c>
      <c r="AG10" s="40">
        <v>15</v>
      </c>
      <c r="AH10" s="41">
        <f t="shared" si="18"/>
        <v>4.2372881355932202E-2</v>
      </c>
      <c r="AI10" s="40">
        <v>7</v>
      </c>
      <c r="AJ10" s="41">
        <f t="shared" si="11"/>
        <v>3.2110091743119268E-2</v>
      </c>
      <c r="AK10" s="40">
        <v>10</v>
      </c>
      <c r="AL10" s="41">
        <f t="shared" si="19"/>
        <v>2.8248587570621469E-2</v>
      </c>
      <c r="AM10" s="40">
        <v>8</v>
      </c>
      <c r="AN10" s="41">
        <f t="shared" si="12"/>
        <v>3.669724770642202E-2</v>
      </c>
      <c r="AO10" s="40">
        <v>204</v>
      </c>
      <c r="AP10" s="41">
        <f t="shared" si="20"/>
        <v>0.57627118644067798</v>
      </c>
      <c r="AQ10" s="40">
        <v>124</v>
      </c>
      <c r="AR10" s="41">
        <f t="shared" si="13"/>
        <v>0.56880733944954132</v>
      </c>
      <c r="AS10" s="40">
        <v>65</v>
      </c>
      <c r="AT10" s="41">
        <f t="shared" si="21"/>
        <v>0.18361581920903955</v>
      </c>
      <c r="AU10" s="40">
        <v>33</v>
      </c>
      <c r="AV10" s="41">
        <f t="shared" si="14"/>
        <v>0.15137614678899083</v>
      </c>
      <c r="AW10" s="40">
        <v>24</v>
      </c>
      <c r="AX10" s="41">
        <f t="shared" si="22"/>
        <v>6.7796610169491525E-2</v>
      </c>
      <c r="AY10" s="40">
        <v>21</v>
      </c>
      <c r="AZ10" s="41">
        <f t="shared" si="15"/>
        <v>9.6330275229357804E-2</v>
      </c>
      <c r="BA10" s="40">
        <v>36</v>
      </c>
      <c r="BB10" s="41">
        <f t="shared" si="23"/>
        <v>0.10169491525423729</v>
      </c>
      <c r="BC10" s="40">
        <v>25</v>
      </c>
      <c r="BD10" s="41">
        <f t="shared" si="16"/>
        <v>0.11467889908256881</v>
      </c>
      <c r="BE10" s="40">
        <v>354</v>
      </c>
      <c r="BF10" s="40">
        <v>218</v>
      </c>
    </row>
    <row r="11" spans="1:58" ht="15.75" customHeight="1" x14ac:dyDescent="0.25">
      <c r="A11" s="39">
        <v>2024</v>
      </c>
      <c r="B11" s="39">
        <v>170190</v>
      </c>
      <c r="C11" s="37" t="str">
        <f>VLOOKUP(B11,procv!$A$2:$D$142,4,FALSE)</f>
        <v>Cantão</v>
      </c>
      <c r="D11" s="37" t="s">
        <v>14</v>
      </c>
      <c r="E11" s="40">
        <v>4</v>
      </c>
      <c r="F11" s="42">
        <f t="shared" si="0"/>
        <v>1.0471204188481676E-2</v>
      </c>
      <c r="G11" s="40">
        <v>4</v>
      </c>
      <c r="H11" s="42">
        <f t="shared" si="1"/>
        <v>1.4981273408239701E-2</v>
      </c>
      <c r="I11" s="40">
        <v>13</v>
      </c>
      <c r="J11" s="41">
        <f t="shared" si="2"/>
        <v>3.4031413612565446E-2</v>
      </c>
      <c r="K11" s="40">
        <v>11</v>
      </c>
      <c r="L11" s="41">
        <f t="shared" si="3"/>
        <v>4.1198501872659173E-2</v>
      </c>
      <c r="M11" s="40">
        <v>349</v>
      </c>
      <c r="N11" s="41">
        <f>IFERROR(M11/$BE11,0)</f>
        <v>0.91361256544502623</v>
      </c>
      <c r="O11" s="40">
        <v>241</v>
      </c>
      <c r="P11" s="41">
        <f t="shared" si="4"/>
        <v>0.90262172284644193</v>
      </c>
      <c r="Q11" s="40">
        <v>16</v>
      </c>
      <c r="R11" s="41">
        <f>IFERROR(Q11/$BE11,0)</f>
        <v>4.1884816753926704E-2</v>
      </c>
      <c r="S11" s="40">
        <v>11</v>
      </c>
      <c r="T11" s="41">
        <f t="shared" si="5"/>
        <v>4.1198501872659173E-2</v>
      </c>
      <c r="U11" s="40">
        <v>36</v>
      </c>
      <c r="V11" s="41">
        <f t="shared" si="6"/>
        <v>9.4240837696335081E-2</v>
      </c>
      <c r="W11" s="40">
        <v>35</v>
      </c>
      <c r="X11" s="41">
        <f t="shared" si="7"/>
        <v>0.13108614232209737</v>
      </c>
      <c r="Y11" s="40">
        <v>35</v>
      </c>
      <c r="Z11" s="41">
        <f t="shared" si="8"/>
        <v>9.1623036649214659E-2</v>
      </c>
      <c r="AA11" s="40">
        <v>34</v>
      </c>
      <c r="AB11" s="41">
        <f t="shared" si="9"/>
        <v>0.12734082397003746</v>
      </c>
      <c r="AC11" s="40">
        <v>311</v>
      </c>
      <c r="AD11" s="41">
        <f t="shared" si="17"/>
        <v>0.81413612565445026</v>
      </c>
      <c r="AE11" s="40">
        <v>198</v>
      </c>
      <c r="AF11" s="41">
        <f t="shared" si="10"/>
        <v>0.7415730337078652</v>
      </c>
      <c r="AG11" s="40">
        <v>10</v>
      </c>
      <c r="AH11" s="41">
        <f t="shared" si="18"/>
        <v>2.6178010471204188E-2</v>
      </c>
      <c r="AI11" s="40">
        <v>9</v>
      </c>
      <c r="AJ11" s="41">
        <f t="shared" si="11"/>
        <v>3.3707865168539325E-2</v>
      </c>
      <c r="AK11" s="40">
        <v>13</v>
      </c>
      <c r="AL11" s="41">
        <f t="shared" si="19"/>
        <v>3.4031413612565446E-2</v>
      </c>
      <c r="AM11" s="40">
        <v>11</v>
      </c>
      <c r="AN11" s="41">
        <f t="shared" si="12"/>
        <v>4.1198501872659173E-2</v>
      </c>
      <c r="AO11" s="40">
        <v>230</v>
      </c>
      <c r="AP11" s="41">
        <f t="shared" si="20"/>
        <v>0.60209424083769636</v>
      </c>
      <c r="AQ11" s="40">
        <v>155</v>
      </c>
      <c r="AR11" s="41">
        <f t="shared" si="13"/>
        <v>0.58052434456928836</v>
      </c>
      <c r="AS11" s="40">
        <v>75</v>
      </c>
      <c r="AT11" s="41">
        <f t="shared" si="21"/>
        <v>0.19633507853403143</v>
      </c>
      <c r="AU11" s="40">
        <v>50</v>
      </c>
      <c r="AV11" s="41">
        <f t="shared" si="14"/>
        <v>0.18726591760299627</v>
      </c>
      <c r="AW11" s="40">
        <v>25</v>
      </c>
      <c r="AX11" s="41">
        <f t="shared" si="22"/>
        <v>6.5445026178010471E-2</v>
      </c>
      <c r="AY11" s="40">
        <v>18</v>
      </c>
      <c r="AZ11" s="41">
        <f t="shared" si="15"/>
        <v>6.741573033707865E-2</v>
      </c>
      <c r="BA11" s="40">
        <v>29</v>
      </c>
      <c r="BB11" s="41">
        <f t="shared" si="23"/>
        <v>7.5916230366492143E-2</v>
      </c>
      <c r="BC11" s="40">
        <v>24</v>
      </c>
      <c r="BD11" s="41">
        <f t="shared" si="16"/>
        <v>8.98876404494382E-2</v>
      </c>
      <c r="BE11" s="40">
        <v>382</v>
      </c>
      <c r="BF11" s="40">
        <v>267</v>
      </c>
    </row>
    <row r="12" spans="1:58" ht="15.75" customHeight="1" x14ac:dyDescent="0.25">
      <c r="A12" s="39">
        <v>2024</v>
      </c>
      <c r="B12" s="39">
        <v>170200</v>
      </c>
      <c r="C12" s="37" t="str">
        <f>VLOOKUP(B12,procv!$A$2:$D$142,4,FALSE)</f>
        <v>Ilha do Bananal</v>
      </c>
      <c r="D12" s="37" t="s">
        <v>15</v>
      </c>
      <c r="E12" s="40">
        <v>1</v>
      </c>
      <c r="F12" s="42">
        <f t="shared" si="0"/>
        <v>2.070393374741201E-3</v>
      </c>
      <c r="G12" s="40">
        <v>1</v>
      </c>
      <c r="H12" s="42">
        <f t="shared" si="1"/>
        <v>3.7593984962406013E-3</v>
      </c>
      <c r="I12" s="40">
        <v>11</v>
      </c>
      <c r="J12" s="41">
        <f t="shared" si="2"/>
        <v>2.2774327122153208E-2</v>
      </c>
      <c r="K12" s="40">
        <v>8</v>
      </c>
      <c r="L12" s="41">
        <f t="shared" si="3"/>
        <v>3.007518796992481E-2</v>
      </c>
      <c r="M12" s="40">
        <v>454</v>
      </c>
      <c r="N12" s="41">
        <f>IFERROR(M12/$BE12,0)</f>
        <v>0.93995859213250521</v>
      </c>
      <c r="O12" s="40">
        <v>248</v>
      </c>
      <c r="P12" s="41">
        <f t="shared" si="4"/>
        <v>0.93233082706766912</v>
      </c>
      <c r="Q12" s="40">
        <v>17</v>
      </c>
      <c r="R12" s="41">
        <f>IFERROR(Q12/$BE12,0)</f>
        <v>3.5196687370600416E-2</v>
      </c>
      <c r="S12" s="40">
        <v>9</v>
      </c>
      <c r="T12" s="41">
        <f t="shared" si="5"/>
        <v>3.3834586466165412E-2</v>
      </c>
      <c r="U12" s="40">
        <v>14</v>
      </c>
      <c r="V12" s="41">
        <f t="shared" si="6"/>
        <v>2.8985507246376812E-2</v>
      </c>
      <c r="W12" s="40">
        <v>11</v>
      </c>
      <c r="X12" s="41">
        <f t="shared" si="7"/>
        <v>4.1353383458646614E-2</v>
      </c>
      <c r="Y12" s="40">
        <v>38</v>
      </c>
      <c r="Z12" s="41">
        <f t="shared" si="8"/>
        <v>7.8674948240165632E-2</v>
      </c>
      <c r="AA12" s="40">
        <v>13</v>
      </c>
      <c r="AB12" s="41">
        <f t="shared" si="9"/>
        <v>4.8872180451127817E-2</v>
      </c>
      <c r="AC12" s="40">
        <v>431</v>
      </c>
      <c r="AD12" s="41">
        <f t="shared" si="17"/>
        <v>0.89233954451345754</v>
      </c>
      <c r="AE12" s="40">
        <v>242</v>
      </c>
      <c r="AF12" s="41">
        <f t="shared" si="10"/>
        <v>0.90977443609022557</v>
      </c>
      <c r="AG12" s="40">
        <v>6</v>
      </c>
      <c r="AH12" s="41">
        <f t="shared" si="18"/>
        <v>1.2422360248447204E-2</v>
      </c>
      <c r="AI12" s="40">
        <v>4</v>
      </c>
      <c r="AJ12" s="41">
        <f t="shared" si="11"/>
        <v>1.5037593984962405E-2</v>
      </c>
      <c r="AK12" s="40">
        <v>10</v>
      </c>
      <c r="AL12" s="41">
        <f t="shared" si="19"/>
        <v>2.0703933747412008E-2</v>
      </c>
      <c r="AM12" s="40">
        <v>7</v>
      </c>
      <c r="AN12" s="41">
        <f t="shared" si="12"/>
        <v>2.6315789473684209E-2</v>
      </c>
      <c r="AO12" s="40">
        <v>306</v>
      </c>
      <c r="AP12" s="41">
        <f t="shared" si="20"/>
        <v>0.63354037267080743</v>
      </c>
      <c r="AQ12" s="40">
        <v>177</v>
      </c>
      <c r="AR12" s="41">
        <f t="shared" si="13"/>
        <v>0.66541353383458646</v>
      </c>
      <c r="AS12" s="40">
        <v>100</v>
      </c>
      <c r="AT12" s="41">
        <f t="shared" si="21"/>
        <v>0.20703933747412009</v>
      </c>
      <c r="AU12" s="40">
        <v>45</v>
      </c>
      <c r="AV12" s="41">
        <f t="shared" si="14"/>
        <v>0.16917293233082706</v>
      </c>
      <c r="AW12" s="40">
        <v>44</v>
      </c>
      <c r="AX12" s="41">
        <f t="shared" si="22"/>
        <v>9.1097308488612833E-2</v>
      </c>
      <c r="AY12" s="40">
        <v>25</v>
      </c>
      <c r="AZ12" s="41">
        <f t="shared" si="15"/>
        <v>9.3984962406015032E-2</v>
      </c>
      <c r="BA12" s="40">
        <v>17</v>
      </c>
      <c r="BB12" s="41">
        <f t="shared" si="23"/>
        <v>3.5196687370600416E-2</v>
      </c>
      <c r="BC12" s="40">
        <v>8</v>
      </c>
      <c r="BD12" s="41">
        <f t="shared" si="16"/>
        <v>3.007518796992481E-2</v>
      </c>
      <c r="BE12" s="40">
        <v>483</v>
      </c>
      <c r="BF12" s="40">
        <v>266</v>
      </c>
    </row>
    <row r="13" spans="1:58" ht="15.75" customHeight="1" x14ac:dyDescent="0.25">
      <c r="A13" s="39">
        <v>2024</v>
      </c>
      <c r="B13" s="39">
        <v>170210</v>
      </c>
      <c r="C13" s="37" t="str">
        <f>VLOOKUP(B13,procv!$A$2:$D$142,4,FALSE)</f>
        <v>Médio Norte Araguaia</v>
      </c>
      <c r="D13" s="37" t="s">
        <v>16</v>
      </c>
      <c r="E13" s="40">
        <v>76</v>
      </c>
      <c r="F13" s="42">
        <f t="shared" si="0"/>
        <v>8.917047987797723E-3</v>
      </c>
      <c r="G13" s="40">
        <v>28</v>
      </c>
      <c r="H13" s="42">
        <f t="shared" si="1"/>
        <v>7.1942446043165471E-3</v>
      </c>
      <c r="I13" s="40">
        <v>247</v>
      </c>
      <c r="J13" s="41">
        <f t="shared" si="2"/>
        <v>2.8980405960342601E-2</v>
      </c>
      <c r="K13" s="40">
        <v>137</v>
      </c>
      <c r="L13" s="41">
        <f t="shared" si="3"/>
        <v>3.5200411099691672E-2</v>
      </c>
      <c r="M13" s="43">
        <v>7757</v>
      </c>
      <c r="N13" s="41">
        <f>IFERROR(M13/$BE13,0)</f>
        <v>0.9101255426493019</v>
      </c>
      <c r="O13" s="43">
        <v>3564</v>
      </c>
      <c r="P13" s="41">
        <f t="shared" si="4"/>
        <v>0.91572456320657758</v>
      </c>
      <c r="Q13" s="40">
        <v>443</v>
      </c>
      <c r="R13" s="41">
        <f>IFERROR(Q13/$BE13,0)</f>
        <v>5.1977003402557787E-2</v>
      </c>
      <c r="S13" s="40">
        <v>163</v>
      </c>
      <c r="T13" s="41">
        <f t="shared" si="5"/>
        <v>4.1880781089414183E-2</v>
      </c>
      <c r="U13" s="40">
        <v>297</v>
      </c>
      <c r="V13" s="41">
        <f t="shared" si="6"/>
        <v>3.4846884899683211E-2</v>
      </c>
      <c r="W13" s="40">
        <v>115</v>
      </c>
      <c r="X13" s="41">
        <f t="shared" si="7"/>
        <v>2.9547790339157245E-2</v>
      </c>
      <c r="Y13" s="40">
        <v>453</v>
      </c>
      <c r="Z13" s="41">
        <f t="shared" si="8"/>
        <v>5.3150299190425909E-2</v>
      </c>
      <c r="AA13" s="40">
        <v>193</v>
      </c>
      <c r="AB13" s="41">
        <f t="shared" si="9"/>
        <v>4.9588900308324767E-2</v>
      </c>
      <c r="AC13" s="43">
        <v>7773</v>
      </c>
      <c r="AD13" s="41">
        <f t="shared" si="17"/>
        <v>0.91200281590989085</v>
      </c>
      <c r="AE13" s="43">
        <v>3584</v>
      </c>
      <c r="AF13" s="41">
        <f t="shared" si="10"/>
        <v>0.92086330935251803</v>
      </c>
      <c r="AG13" s="40">
        <v>184</v>
      </c>
      <c r="AH13" s="41">
        <f t="shared" si="18"/>
        <v>2.1588642496773437E-2</v>
      </c>
      <c r="AI13" s="40">
        <v>101</v>
      </c>
      <c r="AJ13" s="41">
        <f t="shared" si="11"/>
        <v>2.5950668036998973E-2</v>
      </c>
      <c r="AK13" s="40">
        <v>343</v>
      </c>
      <c r="AL13" s="41">
        <f t="shared" si="19"/>
        <v>4.0244045523876566E-2</v>
      </c>
      <c r="AM13" s="40">
        <v>230</v>
      </c>
      <c r="AN13" s="41">
        <f t="shared" si="12"/>
        <v>5.909558067831449E-2</v>
      </c>
      <c r="AO13" s="43">
        <v>5827</v>
      </c>
      <c r="AP13" s="41">
        <f t="shared" si="20"/>
        <v>0.68367945559075438</v>
      </c>
      <c r="AQ13" s="43">
        <v>2737</v>
      </c>
      <c r="AR13" s="41">
        <f t="shared" si="13"/>
        <v>0.7032374100719424</v>
      </c>
      <c r="AS13" s="43">
        <v>1337</v>
      </c>
      <c r="AT13" s="41">
        <f t="shared" si="21"/>
        <v>0.15686964683796786</v>
      </c>
      <c r="AU13" s="40">
        <v>575</v>
      </c>
      <c r="AV13" s="41">
        <f t="shared" si="14"/>
        <v>0.14773895169578624</v>
      </c>
      <c r="AW13" s="40">
        <v>507</v>
      </c>
      <c r="AX13" s="41">
        <f t="shared" si="22"/>
        <v>5.9486096444913761E-2</v>
      </c>
      <c r="AY13" s="40">
        <v>151</v>
      </c>
      <c r="AZ13" s="41">
        <f t="shared" si="15"/>
        <v>3.8797533401849951E-2</v>
      </c>
      <c r="BA13" s="40">
        <v>325</v>
      </c>
      <c r="BB13" s="41">
        <f t="shared" si="23"/>
        <v>3.8132113105713954E-2</v>
      </c>
      <c r="BC13" s="40">
        <v>98</v>
      </c>
      <c r="BD13" s="41">
        <f t="shared" si="16"/>
        <v>2.5179856115107913E-2</v>
      </c>
      <c r="BE13" s="43">
        <v>8523</v>
      </c>
      <c r="BF13" s="43">
        <v>3892</v>
      </c>
    </row>
    <row r="14" spans="1:58" ht="15.75" customHeight="1" x14ac:dyDescent="0.25">
      <c r="A14" s="39">
        <v>2024</v>
      </c>
      <c r="B14" s="39">
        <v>170215</v>
      </c>
      <c r="C14" s="37" t="str">
        <f>VLOOKUP(B14,procv!$A$2:$D$142,4,FALSE)</f>
        <v>Médio Norte Araguaia</v>
      </c>
      <c r="D14" s="37" t="s">
        <v>17</v>
      </c>
      <c r="E14" s="40">
        <v>4</v>
      </c>
      <c r="F14" s="42">
        <f t="shared" si="0"/>
        <v>1.8181818181818181E-2</v>
      </c>
      <c r="G14" s="40">
        <v>1</v>
      </c>
      <c r="H14" s="42">
        <f t="shared" si="1"/>
        <v>8.130081300813009E-3</v>
      </c>
      <c r="I14" s="40">
        <v>8</v>
      </c>
      <c r="J14" s="41">
        <f t="shared" si="2"/>
        <v>3.6363636363636362E-2</v>
      </c>
      <c r="K14" s="40">
        <v>6</v>
      </c>
      <c r="L14" s="41">
        <f t="shared" si="3"/>
        <v>4.878048780487805E-2</v>
      </c>
      <c r="M14" s="40">
        <v>200</v>
      </c>
      <c r="N14" s="41">
        <f>IFERROR(M14/$BE14,0)</f>
        <v>0.90909090909090906</v>
      </c>
      <c r="O14" s="40">
        <v>109</v>
      </c>
      <c r="P14" s="41">
        <f t="shared" si="4"/>
        <v>0.88617886178861793</v>
      </c>
      <c r="Q14" s="40">
        <v>8</v>
      </c>
      <c r="R14" s="41">
        <f>IFERROR(Q14/$BE14,0)</f>
        <v>3.6363636363636362E-2</v>
      </c>
      <c r="S14" s="40">
        <v>7</v>
      </c>
      <c r="T14" s="41">
        <f t="shared" si="5"/>
        <v>5.6910569105691054E-2</v>
      </c>
      <c r="U14" s="40">
        <v>21</v>
      </c>
      <c r="V14" s="41">
        <f t="shared" si="6"/>
        <v>9.5454545454545459E-2</v>
      </c>
      <c r="W14" s="40">
        <v>9</v>
      </c>
      <c r="X14" s="41">
        <f t="shared" si="7"/>
        <v>7.3170731707317069E-2</v>
      </c>
      <c r="Y14" s="40">
        <v>36</v>
      </c>
      <c r="Z14" s="41">
        <f t="shared" si="8"/>
        <v>0.16363636363636364</v>
      </c>
      <c r="AA14" s="40">
        <v>20</v>
      </c>
      <c r="AB14" s="41">
        <f t="shared" si="9"/>
        <v>0.16260162601626016</v>
      </c>
      <c r="AC14" s="40">
        <v>163</v>
      </c>
      <c r="AD14" s="41">
        <f t="shared" si="17"/>
        <v>0.74090909090909096</v>
      </c>
      <c r="AE14" s="40">
        <v>94</v>
      </c>
      <c r="AF14" s="41">
        <f t="shared" si="10"/>
        <v>0.76422764227642281</v>
      </c>
      <c r="AG14" s="40">
        <v>5</v>
      </c>
      <c r="AH14" s="41">
        <f t="shared" si="18"/>
        <v>2.2727272727272728E-2</v>
      </c>
      <c r="AI14" s="40">
        <v>5</v>
      </c>
      <c r="AJ14" s="41">
        <f t="shared" si="11"/>
        <v>4.065040650406504E-2</v>
      </c>
      <c r="AK14" s="40">
        <v>7</v>
      </c>
      <c r="AL14" s="41">
        <f t="shared" si="19"/>
        <v>3.1818181818181815E-2</v>
      </c>
      <c r="AM14" s="40">
        <v>7</v>
      </c>
      <c r="AN14" s="41">
        <f t="shared" si="12"/>
        <v>5.6910569105691054E-2</v>
      </c>
      <c r="AO14" s="40">
        <v>127</v>
      </c>
      <c r="AP14" s="41">
        <f t="shared" si="20"/>
        <v>0.57727272727272727</v>
      </c>
      <c r="AQ14" s="40">
        <v>75</v>
      </c>
      <c r="AR14" s="41">
        <f t="shared" si="13"/>
        <v>0.6097560975609756</v>
      </c>
      <c r="AS14" s="40">
        <v>42</v>
      </c>
      <c r="AT14" s="41">
        <f t="shared" si="21"/>
        <v>0.19090909090909092</v>
      </c>
      <c r="AU14" s="40">
        <v>16</v>
      </c>
      <c r="AV14" s="41">
        <f t="shared" si="14"/>
        <v>0.13008130081300814</v>
      </c>
      <c r="AW14" s="40">
        <v>16</v>
      </c>
      <c r="AX14" s="41">
        <f t="shared" si="22"/>
        <v>7.2727272727272724E-2</v>
      </c>
      <c r="AY14" s="40">
        <v>8</v>
      </c>
      <c r="AZ14" s="41">
        <f t="shared" si="15"/>
        <v>6.5040650406504072E-2</v>
      </c>
      <c r="BA14" s="40">
        <v>23</v>
      </c>
      <c r="BB14" s="41">
        <f t="shared" si="23"/>
        <v>0.10454545454545454</v>
      </c>
      <c r="BC14" s="40">
        <v>12</v>
      </c>
      <c r="BD14" s="41">
        <f t="shared" si="16"/>
        <v>9.7560975609756101E-2</v>
      </c>
      <c r="BE14" s="40">
        <v>220</v>
      </c>
      <c r="BF14" s="40">
        <v>123</v>
      </c>
    </row>
    <row r="15" spans="1:58" ht="15.75" customHeight="1" x14ac:dyDescent="0.25">
      <c r="A15" s="39">
        <v>2024</v>
      </c>
      <c r="B15" s="39">
        <v>170220</v>
      </c>
      <c r="C15" s="37" t="str">
        <f>VLOOKUP(B15,procv!$A$2:$D$142,4,FALSE)</f>
        <v>Bico do Papagaio</v>
      </c>
      <c r="D15" s="37" t="s">
        <v>18</v>
      </c>
      <c r="E15" s="40">
        <v>19</v>
      </c>
      <c r="F15" s="42">
        <f t="shared" si="0"/>
        <v>9.433962264150943E-3</v>
      </c>
      <c r="G15" s="40">
        <v>21</v>
      </c>
      <c r="H15" s="42">
        <f t="shared" si="1"/>
        <v>1.8867924528301886E-2</v>
      </c>
      <c r="I15" s="40">
        <v>92</v>
      </c>
      <c r="J15" s="41">
        <f t="shared" si="2"/>
        <v>4.5680238331678252E-2</v>
      </c>
      <c r="K15" s="40">
        <v>60</v>
      </c>
      <c r="L15" s="41">
        <f t="shared" si="3"/>
        <v>5.3908355795148251E-2</v>
      </c>
      <c r="M15" s="43">
        <v>1825</v>
      </c>
      <c r="N15" s="41">
        <f>IFERROR(M15/$BE15,0)</f>
        <v>0.90615690168818275</v>
      </c>
      <c r="O15" s="40">
        <v>994</v>
      </c>
      <c r="P15" s="41">
        <f t="shared" si="4"/>
        <v>0.89308176100628933</v>
      </c>
      <c r="Q15" s="40">
        <v>78</v>
      </c>
      <c r="R15" s="41">
        <f>IFERROR(Q15/$BE15,0)</f>
        <v>3.8728897715988087E-2</v>
      </c>
      <c r="S15" s="40">
        <v>38</v>
      </c>
      <c r="T15" s="41">
        <f t="shared" si="5"/>
        <v>3.4141958670260555E-2</v>
      </c>
      <c r="U15" s="40">
        <v>110</v>
      </c>
      <c r="V15" s="41">
        <f t="shared" si="6"/>
        <v>5.461767626613704E-2</v>
      </c>
      <c r="W15" s="40">
        <v>89</v>
      </c>
      <c r="X15" s="41">
        <f t="shared" si="7"/>
        <v>7.9964061096136574E-2</v>
      </c>
      <c r="Y15" s="40">
        <v>174</v>
      </c>
      <c r="Z15" s="41">
        <f t="shared" si="8"/>
        <v>8.6395233366434954E-2</v>
      </c>
      <c r="AA15" s="40">
        <v>106</v>
      </c>
      <c r="AB15" s="41">
        <f t="shared" si="9"/>
        <v>9.5238095238095233E-2</v>
      </c>
      <c r="AC15" s="43">
        <v>1730</v>
      </c>
      <c r="AD15" s="41">
        <f t="shared" si="17"/>
        <v>0.85898709036742804</v>
      </c>
      <c r="AE15" s="40">
        <v>918</v>
      </c>
      <c r="AF15" s="41">
        <f t="shared" si="10"/>
        <v>0.82479784366576825</v>
      </c>
      <c r="AG15" s="40">
        <v>54</v>
      </c>
      <c r="AH15" s="41">
        <f t="shared" si="18"/>
        <v>2.6812313803376366E-2</v>
      </c>
      <c r="AI15" s="40">
        <v>53</v>
      </c>
      <c r="AJ15" s="41">
        <f t="shared" si="11"/>
        <v>4.7619047619047616E-2</v>
      </c>
      <c r="AK15" s="40">
        <v>92</v>
      </c>
      <c r="AL15" s="41">
        <f t="shared" si="19"/>
        <v>4.5680238331678252E-2</v>
      </c>
      <c r="AM15" s="40">
        <v>61</v>
      </c>
      <c r="AN15" s="41">
        <f t="shared" si="12"/>
        <v>5.480682839173405E-2</v>
      </c>
      <c r="AO15" s="43">
        <v>1372</v>
      </c>
      <c r="AP15" s="41">
        <f t="shared" si="20"/>
        <v>0.68123138033763653</v>
      </c>
      <c r="AQ15" s="40">
        <v>724</v>
      </c>
      <c r="AR15" s="41">
        <f t="shared" si="13"/>
        <v>0.65049415992812221</v>
      </c>
      <c r="AS15" s="40">
        <v>292</v>
      </c>
      <c r="AT15" s="41">
        <f t="shared" si="21"/>
        <v>0.14498510427010924</v>
      </c>
      <c r="AU15" s="40">
        <v>149</v>
      </c>
      <c r="AV15" s="41">
        <f t="shared" si="14"/>
        <v>0.13387241689128482</v>
      </c>
      <c r="AW15" s="40">
        <v>124</v>
      </c>
      <c r="AX15" s="41">
        <f t="shared" si="22"/>
        <v>6.1569016881827213E-2</v>
      </c>
      <c r="AY15" s="40">
        <v>69</v>
      </c>
      <c r="AZ15" s="41">
        <f t="shared" si="15"/>
        <v>6.1994609164420483E-2</v>
      </c>
      <c r="BA15" s="40">
        <v>80</v>
      </c>
      <c r="BB15" s="41">
        <f t="shared" si="23"/>
        <v>3.9721946375372394E-2</v>
      </c>
      <c r="BC15" s="40">
        <v>57</v>
      </c>
      <c r="BD15" s="41">
        <f t="shared" si="16"/>
        <v>5.1212938005390833E-2</v>
      </c>
      <c r="BE15" s="43">
        <v>2014</v>
      </c>
      <c r="BF15" s="43">
        <v>1113</v>
      </c>
    </row>
    <row r="16" spans="1:58" ht="15.75" customHeight="1" x14ac:dyDescent="0.25">
      <c r="A16" s="39">
        <v>2024</v>
      </c>
      <c r="B16" s="39">
        <v>170230</v>
      </c>
      <c r="C16" s="37" t="str">
        <f>VLOOKUP(B16,procv!$A$2:$D$142,4,FALSE)</f>
        <v>Cerrado Tocantins Araguaia</v>
      </c>
      <c r="D16" s="37" t="s">
        <v>19</v>
      </c>
      <c r="E16" s="40">
        <v>1</v>
      </c>
      <c r="F16" s="42">
        <f t="shared" si="0"/>
        <v>3.7313432835820895E-3</v>
      </c>
      <c r="G16" s="40">
        <v>1</v>
      </c>
      <c r="H16" s="42">
        <f t="shared" si="1"/>
        <v>4.3859649122807015E-3</v>
      </c>
      <c r="I16" s="40">
        <v>9</v>
      </c>
      <c r="J16" s="41">
        <f t="shared" si="2"/>
        <v>3.3582089552238806E-2</v>
      </c>
      <c r="K16" s="40">
        <v>8</v>
      </c>
      <c r="L16" s="41">
        <f t="shared" si="3"/>
        <v>3.5087719298245612E-2</v>
      </c>
      <c r="M16" s="40">
        <v>244</v>
      </c>
      <c r="N16" s="41">
        <f>IFERROR(M16/$BE16,0)</f>
        <v>0.91044776119402981</v>
      </c>
      <c r="O16" s="40">
        <v>204</v>
      </c>
      <c r="P16" s="41">
        <f t="shared" si="4"/>
        <v>0.89473684210526316</v>
      </c>
      <c r="Q16" s="40">
        <v>14</v>
      </c>
      <c r="R16" s="41">
        <f>IFERROR(Q16/$BE16,0)</f>
        <v>5.2238805970149252E-2</v>
      </c>
      <c r="S16" s="40">
        <v>15</v>
      </c>
      <c r="T16" s="41">
        <f t="shared" si="5"/>
        <v>6.5789473684210523E-2</v>
      </c>
      <c r="U16" s="40">
        <v>22</v>
      </c>
      <c r="V16" s="41">
        <f t="shared" si="6"/>
        <v>8.2089552238805971E-2</v>
      </c>
      <c r="W16" s="40">
        <v>21</v>
      </c>
      <c r="X16" s="41">
        <f t="shared" si="7"/>
        <v>9.2105263157894732E-2</v>
      </c>
      <c r="Y16" s="40">
        <v>22</v>
      </c>
      <c r="Z16" s="41">
        <f t="shared" si="8"/>
        <v>8.2089552238805971E-2</v>
      </c>
      <c r="AA16" s="40">
        <v>23</v>
      </c>
      <c r="AB16" s="41">
        <f t="shared" si="9"/>
        <v>0.10087719298245613</v>
      </c>
      <c r="AC16" s="40">
        <v>224</v>
      </c>
      <c r="AD16" s="41">
        <f t="shared" si="17"/>
        <v>0.83582089552238803</v>
      </c>
      <c r="AE16" s="40">
        <v>184</v>
      </c>
      <c r="AF16" s="41">
        <f t="shared" si="10"/>
        <v>0.80701754385964908</v>
      </c>
      <c r="AG16" s="40">
        <v>12</v>
      </c>
      <c r="AH16" s="41">
        <f t="shared" si="18"/>
        <v>4.4776119402985072E-2</v>
      </c>
      <c r="AI16" s="40">
        <v>12</v>
      </c>
      <c r="AJ16" s="41">
        <f t="shared" si="11"/>
        <v>5.2631578947368418E-2</v>
      </c>
      <c r="AK16" s="40">
        <v>9</v>
      </c>
      <c r="AL16" s="41">
        <f t="shared" si="19"/>
        <v>3.3582089552238806E-2</v>
      </c>
      <c r="AM16" s="40">
        <v>8</v>
      </c>
      <c r="AN16" s="41">
        <f t="shared" si="12"/>
        <v>3.5087719298245612E-2</v>
      </c>
      <c r="AO16" s="40">
        <v>152</v>
      </c>
      <c r="AP16" s="41">
        <f t="shared" si="20"/>
        <v>0.56716417910447758</v>
      </c>
      <c r="AQ16" s="40">
        <v>120</v>
      </c>
      <c r="AR16" s="41">
        <f t="shared" si="13"/>
        <v>0.52631578947368418</v>
      </c>
      <c r="AS16" s="40">
        <v>48</v>
      </c>
      <c r="AT16" s="41">
        <f t="shared" si="21"/>
        <v>0.17910447761194029</v>
      </c>
      <c r="AU16" s="40">
        <v>43</v>
      </c>
      <c r="AV16" s="41">
        <f t="shared" si="14"/>
        <v>0.18859649122807018</v>
      </c>
      <c r="AW16" s="40">
        <v>27</v>
      </c>
      <c r="AX16" s="41">
        <f t="shared" si="22"/>
        <v>0.10074626865671642</v>
      </c>
      <c r="AY16" s="40">
        <v>24</v>
      </c>
      <c r="AZ16" s="41">
        <f t="shared" si="15"/>
        <v>0.10526315789473684</v>
      </c>
      <c r="BA16" s="40">
        <v>20</v>
      </c>
      <c r="BB16" s="41">
        <f t="shared" si="23"/>
        <v>7.4626865671641784E-2</v>
      </c>
      <c r="BC16" s="40">
        <v>21</v>
      </c>
      <c r="BD16" s="41">
        <f t="shared" si="16"/>
        <v>9.2105263157894732E-2</v>
      </c>
      <c r="BE16" s="40">
        <v>268</v>
      </c>
      <c r="BF16" s="40">
        <v>228</v>
      </c>
    </row>
    <row r="17" spans="1:58" ht="15.75" customHeight="1" x14ac:dyDescent="0.25">
      <c r="A17" s="39">
        <v>2024</v>
      </c>
      <c r="B17" s="39">
        <v>170240</v>
      </c>
      <c r="C17" s="37" t="str">
        <f>VLOOKUP(B17,procv!$A$2:$D$142,4,FALSE)</f>
        <v>Sudeste</v>
      </c>
      <c r="D17" s="37" t="s">
        <v>20</v>
      </c>
      <c r="E17" s="40">
        <v>7</v>
      </c>
      <c r="F17" s="42">
        <f t="shared" si="0"/>
        <v>1.1627906976744186E-2</v>
      </c>
      <c r="G17" s="40">
        <v>3</v>
      </c>
      <c r="H17" s="42">
        <f t="shared" si="1"/>
        <v>7.6335877862595417E-3</v>
      </c>
      <c r="I17" s="40">
        <v>9</v>
      </c>
      <c r="J17" s="41">
        <f t="shared" si="2"/>
        <v>1.4950166112956811E-2</v>
      </c>
      <c r="K17" s="40">
        <v>5</v>
      </c>
      <c r="L17" s="41">
        <f t="shared" si="3"/>
        <v>1.2722646310432569E-2</v>
      </c>
      <c r="M17" s="40">
        <v>562</v>
      </c>
      <c r="N17" s="41">
        <f>IFERROR(M17/$BE17,0)</f>
        <v>0.93355481727574752</v>
      </c>
      <c r="O17" s="40">
        <v>368</v>
      </c>
      <c r="P17" s="41">
        <f t="shared" si="4"/>
        <v>0.93638676844783719</v>
      </c>
      <c r="Q17" s="40">
        <v>24</v>
      </c>
      <c r="R17" s="41">
        <f>IFERROR(Q17/$BE17,0)</f>
        <v>3.9867109634551492E-2</v>
      </c>
      <c r="S17" s="40">
        <v>17</v>
      </c>
      <c r="T17" s="41">
        <f t="shared" si="5"/>
        <v>4.3256997455470736E-2</v>
      </c>
      <c r="U17" s="40">
        <v>35</v>
      </c>
      <c r="V17" s="41">
        <f t="shared" si="6"/>
        <v>5.8139534883720929E-2</v>
      </c>
      <c r="W17" s="40">
        <v>24</v>
      </c>
      <c r="X17" s="41">
        <f t="shared" si="7"/>
        <v>6.1068702290076333E-2</v>
      </c>
      <c r="Y17" s="40">
        <v>50</v>
      </c>
      <c r="Z17" s="41">
        <f t="shared" si="8"/>
        <v>8.3056478405315617E-2</v>
      </c>
      <c r="AA17" s="40">
        <v>39</v>
      </c>
      <c r="AB17" s="41">
        <f t="shared" si="9"/>
        <v>9.9236641221374045E-2</v>
      </c>
      <c r="AC17" s="40">
        <v>517</v>
      </c>
      <c r="AD17" s="41">
        <f t="shared" si="17"/>
        <v>0.85880398671096347</v>
      </c>
      <c r="AE17" s="40">
        <v>330</v>
      </c>
      <c r="AF17" s="41">
        <f t="shared" si="10"/>
        <v>0.83969465648854957</v>
      </c>
      <c r="AG17" s="40">
        <v>10</v>
      </c>
      <c r="AH17" s="41">
        <f t="shared" si="18"/>
        <v>1.6611295681063124E-2</v>
      </c>
      <c r="AI17" s="40">
        <v>7</v>
      </c>
      <c r="AJ17" s="41">
        <f t="shared" si="11"/>
        <v>1.7811704834605598E-2</v>
      </c>
      <c r="AK17" s="40">
        <v>10</v>
      </c>
      <c r="AL17" s="41">
        <f t="shared" si="19"/>
        <v>1.6611295681063124E-2</v>
      </c>
      <c r="AM17" s="40">
        <v>6</v>
      </c>
      <c r="AN17" s="41">
        <f t="shared" si="12"/>
        <v>1.5267175572519083E-2</v>
      </c>
      <c r="AO17" s="40">
        <v>399</v>
      </c>
      <c r="AP17" s="41">
        <f t="shared" si="20"/>
        <v>0.66279069767441856</v>
      </c>
      <c r="AQ17" s="40">
        <v>260</v>
      </c>
      <c r="AR17" s="41">
        <f t="shared" si="13"/>
        <v>0.66157760814249367</v>
      </c>
      <c r="AS17" s="40">
        <v>117</v>
      </c>
      <c r="AT17" s="41">
        <f t="shared" si="21"/>
        <v>0.19435215946843853</v>
      </c>
      <c r="AU17" s="40">
        <v>84</v>
      </c>
      <c r="AV17" s="41">
        <f t="shared" si="14"/>
        <v>0.21374045801526717</v>
      </c>
      <c r="AW17" s="40">
        <v>40</v>
      </c>
      <c r="AX17" s="41">
        <f t="shared" si="22"/>
        <v>6.6445182724252497E-2</v>
      </c>
      <c r="AY17" s="40">
        <v>21</v>
      </c>
      <c r="AZ17" s="41">
        <f t="shared" si="15"/>
        <v>5.3435114503816793E-2</v>
      </c>
      <c r="BA17" s="40">
        <v>26</v>
      </c>
      <c r="BB17" s="41">
        <f t="shared" si="23"/>
        <v>4.3189368770764118E-2</v>
      </c>
      <c r="BC17" s="40">
        <v>15</v>
      </c>
      <c r="BD17" s="41">
        <f t="shared" si="16"/>
        <v>3.8167938931297711E-2</v>
      </c>
      <c r="BE17" s="40">
        <v>602</v>
      </c>
      <c r="BF17" s="40">
        <v>393</v>
      </c>
    </row>
    <row r="18" spans="1:58" ht="15.75" customHeight="1" x14ac:dyDescent="0.25">
      <c r="A18" s="39">
        <v>2024</v>
      </c>
      <c r="B18" s="39">
        <v>170255</v>
      </c>
      <c r="C18" s="37" t="str">
        <f>VLOOKUP(B18,procv!$A$2:$D$142,4,FALSE)</f>
        <v>Bico do Papagaio</v>
      </c>
      <c r="D18" s="37" t="s">
        <v>21</v>
      </c>
      <c r="E18" s="40">
        <v>3</v>
      </c>
      <c r="F18" s="42">
        <f t="shared" si="0"/>
        <v>2.8248587570621469E-3</v>
      </c>
      <c r="G18" s="40">
        <v>3</v>
      </c>
      <c r="H18" s="42">
        <f t="shared" si="1"/>
        <v>4.7468354430379748E-3</v>
      </c>
      <c r="I18" s="40">
        <v>25</v>
      </c>
      <c r="J18" s="41">
        <f t="shared" si="2"/>
        <v>2.3540489642184557E-2</v>
      </c>
      <c r="K18" s="40">
        <v>19</v>
      </c>
      <c r="L18" s="41">
        <f t="shared" si="3"/>
        <v>3.0063291139240507E-2</v>
      </c>
      <c r="M18" s="40">
        <v>982</v>
      </c>
      <c r="N18" s="41">
        <f>IFERROR(M18/$BE18,0)</f>
        <v>0.92467043314500941</v>
      </c>
      <c r="O18" s="40">
        <v>575</v>
      </c>
      <c r="P18" s="41">
        <f t="shared" si="4"/>
        <v>0.90981012658227844</v>
      </c>
      <c r="Q18" s="40">
        <v>52</v>
      </c>
      <c r="R18" s="41">
        <f>IFERROR(Q18/$BE18,0)</f>
        <v>4.8964218455743877E-2</v>
      </c>
      <c r="S18" s="40">
        <v>35</v>
      </c>
      <c r="T18" s="41">
        <f t="shared" si="5"/>
        <v>5.5379746835443035E-2</v>
      </c>
      <c r="U18" s="40">
        <v>41</v>
      </c>
      <c r="V18" s="41">
        <f t="shared" si="6"/>
        <v>3.8606403013182675E-2</v>
      </c>
      <c r="W18" s="40">
        <v>32</v>
      </c>
      <c r="X18" s="41">
        <f t="shared" si="7"/>
        <v>5.0632911392405063E-2</v>
      </c>
      <c r="Y18" s="40">
        <v>66</v>
      </c>
      <c r="Z18" s="41">
        <f t="shared" si="8"/>
        <v>6.2146892655367235E-2</v>
      </c>
      <c r="AA18" s="40">
        <v>50</v>
      </c>
      <c r="AB18" s="41">
        <f t="shared" si="9"/>
        <v>7.9113924050632917E-2</v>
      </c>
      <c r="AC18" s="40">
        <v>955</v>
      </c>
      <c r="AD18" s="41">
        <f t="shared" si="17"/>
        <v>0.89924670433145004</v>
      </c>
      <c r="AE18" s="40">
        <v>550</v>
      </c>
      <c r="AF18" s="41">
        <f t="shared" si="10"/>
        <v>0.870253164556962</v>
      </c>
      <c r="AG18" s="40">
        <v>19</v>
      </c>
      <c r="AH18" s="41">
        <f t="shared" si="18"/>
        <v>1.7890772128060263E-2</v>
      </c>
      <c r="AI18" s="40">
        <v>19</v>
      </c>
      <c r="AJ18" s="41">
        <f t="shared" si="11"/>
        <v>3.0063291139240507E-2</v>
      </c>
      <c r="AK18" s="40">
        <v>53</v>
      </c>
      <c r="AL18" s="41">
        <f t="shared" si="19"/>
        <v>4.9905838041431262E-2</v>
      </c>
      <c r="AM18" s="40">
        <v>41</v>
      </c>
      <c r="AN18" s="41">
        <f t="shared" si="12"/>
        <v>6.4873417721518986E-2</v>
      </c>
      <c r="AO18" s="40">
        <v>740</v>
      </c>
      <c r="AP18" s="41">
        <f t="shared" si="20"/>
        <v>0.69679849340866296</v>
      </c>
      <c r="AQ18" s="40">
        <v>440</v>
      </c>
      <c r="AR18" s="41">
        <f t="shared" si="13"/>
        <v>0.69620253164556967</v>
      </c>
      <c r="AS18" s="40">
        <v>149</v>
      </c>
      <c r="AT18" s="41">
        <f t="shared" si="21"/>
        <v>0.14030131826741996</v>
      </c>
      <c r="AU18" s="40">
        <v>65</v>
      </c>
      <c r="AV18" s="41">
        <f t="shared" si="14"/>
        <v>0.10284810126582279</v>
      </c>
      <c r="AW18" s="40">
        <v>47</v>
      </c>
      <c r="AX18" s="41">
        <f t="shared" si="22"/>
        <v>4.4256120527306965E-2</v>
      </c>
      <c r="AY18" s="40">
        <v>22</v>
      </c>
      <c r="AZ18" s="41">
        <f t="shared" si="15"/>
        <v>3.4810126582278479E-2</v>
      </c>
      <c r="BA18" s="40">
        <v>54</v>
      </c>
      <c r="BB18" s="41">
        <f t="shared" si="23"/>
        <v>5.0847457627118647E-2</v>
      </c>
      <c r="BC18" s="40">
        <v>45</v>
      </c>
      <c r="BD18" s="41">
        <f t="shared" si="16"/>
        <v>7.1202531645569625E-2</v>
      </c>
      <c r="BE18" s="43">
        <v>1062</v>
      </c>
      <c r="BF18" s="40">
        <v>632</v>
      </c>
    </row>
    <row r="19" spans="1:58" ht="15.75" customHeight="1" x14ac:dyDescent="0.25">
      <c r="A19" s="39">
        <v>2024</v>
      </c>
      <c r="B19" s="39">
        <v>170270</v>
      </c>
      <c r="C19" s="37" t="str">
        <f>VLOOKUP(B19,procv!$A$2:$D$142,4,FALSE)</f>
        <v>Sudeste</v>
      </c>
      <c r="D19" s="37" t="s">
        <v>22</v>
      </c>
      <c r="E19" s="40">
        <v>2</v>
      </c>
      <c r="F19" s="42">
        <f t="shared" si="0"/>
        <v>1.3333333333333334E-2</v>
      </c>
      <c r="G19" s="40">
        <v>2</v>
      </c>
      <c r="H19" s="42">
        <f t="shared" si="1"/>
        <v>0.02</v>
      </c>
      <c r="I19" s="40">
        <v>7</v>
      </c>
      <c r="J19" s="41">
        <f t="shared" si="2"/>
        <v>4.6666666666666669E-2</v>
      </c>
      <c r="K19" s="40">
        <v>5</v>
      </c>
      <c r="L19" s="41">
        <f t="shared" si="3"/>
        <v>0.05</v>
      </c>
      <c r="M19" s="40">
        <v>131</v>
      </c>
      <c r="N19" s="41">
        <f>IFERROR(M19/$BE19,0)</f>
        <v>0.87333333333333329</v>
      </c>
      <c r="O19" s="40">
        <v>90</v>
      </c>
      <c r="P19" s="41">
        <f t="shared" si="4"/>
        <v>0.9</v>
      </c>
      <c r="Q19" s="40">
        <v>10</v>
      </c>
      <c r="R19" s="41">
        <f>IFERROR(Q19/$BE19,0)</f>
        <v>6.6666666666666666E-2</v>
      </c>
      <c r="S19" s="40">
        <v>3</v>
      </c>
      <c r="T19" s="41">
        <f t="shared" si="5"/>
        <v>0.03</v>
      </c>
      <c r="U19" s="40">
        <v>14</v>
      </c>
      <c r="V19" s="41">
        <f t="shared" si="6"/>
        <v>9.3333333333333338E-2</v>
      </c>
      <c r="W19" s="40">
        <v>9</v>
      </c>
      <c r="X19" s="41">
        <f t="shared" si="7"/>
        <v>0.09</v>
      </c>
      <c r="Y19" s="40">
        <v>5</v>
      </c>
      <c r="Z19" s="41">
        <f t="shared" si="8"/>
        <v>3.3333333333333333E-2</v>
      </c>
      <c r="AA19" s="40">
        <v>3</v>
      </c>
      <c r="AB19" s="41">
        <f t="shared" si="9"/>
        <v>0.03</v>
      </c>
      <c r="AC19" s="40">
        <v>131</v>
      </c>
      <c r="AD19" s="41">
        <f t="shared" si="17"/>
        <v>0.87333333333333329</v>
      </c>
      <c r="AE19" s="40">
        <v>88</v>
      </c>
      <c r="AF19" s="41">
        <f t="shared" si="10"/>
        <v>0.88</v>
      </c>
      <c r="AG19" s="40">
        <v>5</v>
      </c>
      <c r="AH19" s="41">
        <f t="shared" si="18"/>
        <v>3.3333333333333333E-2</v>
      </c>
      <c r="AI19" s="40">
        <v>4</v>
      </c>
      <c r="AJ19" s="41">
        <f t="shared" si="11"/>
        <v>0.04</v>
      </c>
      <c r="AK19" s="40">
        <v>7</v>
      </c>
      <c r="AL19" s="41">
        <f t="shared" si="19"/>
        <v>4.6666666666666669E-2</v>
      </c>
      <c r="AM19" s="40">
        <v>4</v>
      </c>
      <c r="AN19" s="41">
        <f t="shared" si="12"/>
        <v>0.04</v>
      </c>
      <c r="AO19" s="40">
        <v>103</v>
      </c>
      <c r="AP19" s="41">
        <f t="shared" si="20"/>
        <v>0.68666666666666665</v>
      </c>
      <c r="AQ19" s="40">
        <v>74</v>
      </c>
      <c r="AR19" s="41">
        <f t="shared" si="13"/>
        <v>0.74</v>
      </c>
      <c r="AS19" s="40">
        <v>18</v>
      </c>
      <c r="AT19" s="41">
        <f t="shared" si="21"/>
        <v>0.12</v>
      </c>
      <c r="AU19" s="40">
        <v>9</v>
      </c>
      <c r="AV19" s="41">
        <f t="shared" si="14"/>
        <v>0.09</v>
      </c>
      <c r="AW19" s="40">
        <v>4</v>
      </c>
      <c r="AX19" s="41">
        <f t="shared" si="22"/>
        <v>2.6666666666666668E-2</v>
      </c>
      <c r="AY19" s="40">
        <v>1</v>
      </c>
      <c r="AZ19" s="41">
        <f t="shared" si="15"/>
        <v>0.01</v>
      </c>
      <c r="BA19" s="40">
        <v>13</v>
      </c>
      <c r="BB19" s="41">
        <f t="shared" si="23"/>
        <v>8.666666666666667E-2</v>
      </c>
      <c r="BC19" s="40">
        <v>8</v>
      </c>
      <c r="BD19" s="41">
        <f t="shared" si="16"/>
        <v>0.08</v>
      </c>
      <c r="BE19" s="40">
        <v>150</v>
      </c>
      <c r="BF19" s="40">
        <v>100</v>
      </c>
    </row>
    <row r="20" spans="1:58" ht="15.75" customHeight="1" x14ac:dyDescent="0.25">
      <c r="A20" s="39">
        <v>2024</v>
      </c>
      <c r="B20" s="39">
        <v>170290</v>
      </c>
      <c r="C20" s="37" t="str">
        <f>VLOOKUP(B20,procv!$A$2:$D$142,4,FALSE)</f>
        <v>Bico do Papagaio</v>
      </c>
      <c r="D20" s="37" t="s">
        <v>23</v>
      </c>
      <c r="E20" s="40">
        <v>13</v>
      </c>
      <c r="F20" s="42">
        <f t="shared" si="0"/>
        <v>1.7496635262449527E-2</v>
      </c>
      <c r="G20" s="40">
        <v>11</v>
      </c>
      <c r="H20" s="42">
        <f t="shared" si="1"/>
        <v>1.6641452344931921E-2</v>
      </c>
      <c r="I20" s="40">
        <v>25</v>
      </c>
      <c r="J20" s="41">
        <f t="shared" si="2"/>
        <v>3.3647375504710635E-2</v>
      </c>
      <c r="K20" s="40">
        <v>24</v>
      </c>
      <c r="L20" s="41">
        <f t="shared" si="3"/>
        <v>3.6308623298033284E-2</v>
      </c>
      <c r="M20" s="40">
        <v>663</v>
      </c>
      <c r="N20" s="41">
        <f>IFERROR(M20/$BE20,0)</f>
        <v>0.89232839838492595</v>
      </c>
      <c r="O20" s="40">
        <v>587</v>
      </c>
      <c r="P20" s="41">
        <f t="shared" si="4"/>
        <v>0.88804841149773073</v>
      </c>
      <c r="Q20" s="40">
        <v>42</v>
      </c>
      <c r="R20" s="41">
        <f>IFERROR(Q20/$BE20,0)</f>
        <v>5.652759084791386E-2</v>
      </c>
      <c r="S20" s="40">
        <v>39</v>
      </c>
      <c r="T20" s="41">
        <f t="shared" si="5"/>
        <v>5.9001512859304085E-2</v>
      </c>
      <c r="U20" s="40">
        <v>64</v>
      </c>
      <c r="V20" s="41">
        <f t="shared" si="6"/>
        <v>8.613728129205922E-2</v>
      </c>
      <c r="W20" s="40">
        <v>60</v>
      </c>
      <c r="X20" s="41">
        <f t="shared" si="7"/>
        <v>9.0771558245083206E-2</v>
      </c>
      <c r="Y20" s="40">
        <v>77</v>
      </c>
      <c r="Z20" s="41">
        <f t="shared" si="8"/>
        <v>0.10363391655450875</v>
      </c>
      <c r="AA20" s="40">
        <v>72</v>
      </c>
      <c r="AB20" s="41">
        <f t="shared" si="9"/>
        <v>0.10892586989409984</v>
      </c>
      <c r="AC20" s="40">
        <v>602</v>
      </c>
      <c r="AD20" s="41">
        <f t="shared" si="17"/>
        <v>0.81022880215343207</v>
      </c>
      <c r="AE20" s="40">
        <v>529</v>
      </c>
      <c r="AF20" s="41">
        <f t="shared" si="10"/>
        <v>0.80030257186081699</v>
      </c>
      <c r="AG20" s="40">
        <v>33</v>
      </c>
      <c r="AH20" s="41">
        <f t="shared" si="18"/>
        <v>4.4414535666218037E-2</v>
      </c>
      <c r="AI20" s="40">
        <v>36</v>
      </c>
      <c r="AJ20" s="41">
        <f t="shared" si="11"/>
        <v>5.4462934947049922E-2</v>
      </c>
      <c r="AK20" s="40">
        <v>49</v>
      </c>
      <c r="AL20" s="41">
        <f t="shared" si="19"/>
        <v>6.5948855989232835E-2</v>
      </c>
      <c r="AM20" s="40">
        <v>49</v>
      </c>
      <c r="AN20" s="41">
        <f t="shared" si="12"/>
        <v>7.4130105900151289E-2</v>
      </c>
      <c r="AO20" s="40">
        <v>446</v>
      </c>
      <c r="AP20" s="41">
        <f t="shared" si="20"/>
        <v>0.60026917900403765</v>
      </c>
      <c r="AQ20" s="40">
        <v>384</v>
      </c>
      <c r="AR20" s="41">
        <f t="shared" si="13"/>
        <v>0.58093797276853254</v>
      </c>
      <c r="AS20" s="40">
        <v>115</v>
      </c>
      <c r="AT20" s="41">
        <f t="shared" si="21"/>
        <v>0.15477792732166892</v>
      </c>
      <c r="AU20" s="40">
        <v>103</v>
      </c>
      <c r="AV20" s="41">
        <f t="shared" si="14"/>
        <v>0.15582450832072617</v>
      </c>
      <c r="AW20" s="40">
        <v>51</v>
      </c>
      <c r="AX20" s="41">
        <f t="shared" si="22"/>
        <v>6.8640646029609689E-2</v>
      </c>
      <c r="AY20" s="40">
        <v>43</v>
      </c>
      <c r="AZ20" s="41">
        <f t="shared" si="15"/>
        <v>6.5052950075642962E-2</v>
      </c>
      <c r="BA20" s="40">
        <v>49</v>
      </c>
      <c r="BB20" s="41">
        <f t="shared" si="23"/>
        <v>6.5948855989232835E-2</v>
      </c>
      <c r="BC20" s="40">
        <v>46</v>
      </c>
      <c r="BD20" s="41">
        <f t="shared" si="16"/>
        <v>6.9591527987897125E-2</v>
      </c>
      <c r="BE20" s="40">
        <v>743</v>
      </c>
      <c r="BF20" s="40">
        <v>661</v>
      </c>
    </row>
    <row r="21" spans="1:58" ht="15.75" customHeight="1" x14ac:dyDescent="0.25">
      <c r="A21" s="39">
        <v>2024</v>
      </c>
      <c r="B21" s="39">
        <v>170300</v>
      </c>
      <c r="C21" s="37" t="str">
        <f>VLOOKUP(B21,procv!$A$2:$D$142,4,FALSE)</f>
        <v>Médio Norte Araguaia</v>
      </c>
      <c r="D21" s="37" t="s">
        <v>24</v>
      </c>
      <c r="E21" s="40">
        <v>11</v>
      </c>
      <c r="F21" s="42">
        <f t="shared" si="0"/>
        <v>2.4774774774774775E-2</v>
      </c>
      <c r="G21" s="40">
        <v>8</v>
      </c>
      <c r="H21" s="42">
        <f t="shared" si="1"/>
        <v>2.3738872403560832E-2</v>
      </c>
      <c r="I21" s="40">
        <v>17</v>
      </c>
      <c r="J21" s="41">
        <f t="shared" si="2"/>
        <v>3.8288288288288286E-2</v>
      </c>
      <c r="K21" s="40">
        <v>15</v>
      </c>
      <c r="L21" s="41">
        <f t="shared" si="3"/>
        <v>4.4510385756676561E-2</v>
      </c>
      <c r="M21" s="40">
        <v>396</v>
      </c>
      <c r="N21" s="41">
        <f>IFERROR(M21/$BE21,0)</f>
        <v>0.89189189189189189</v>
      </c>
      <c r="O21" s="40">
        <v>304</v>
      </c>
      <c r="P21" s="41">
        <f t="shared" si="4"/>
        <v>0.90207715133531152</v>
      </c>
      <c r="Q21" s="40">
        <v>20</v>
      </c>
      <c r="R21" s="41">
        <f>IFERROR(Q21/$BE21,0)</f>
        <v>4.5045045045045043E-2</v>
      </c>
      <c r="S21" s="40">
        <v>10</v>
      </c>
      <c r="T21" s="41">
        <f t="shared" si="5"/>
        <v>2.967359050445104E-2</v>
      </c>
      <c r="U21" s="40">
        <v>51</v>
      </c>
      <c r="V21" s="41">
        <f t="shared" si="6"/>
        <v>0.11486486486486487</v>
      </c>
      <c r="W21" s="40">
        <v>27</v>
      </c>
      <c r="X21" s="41">
        <f t="shared" si="7"/>
        <v>8.0118694362017809E-2</v>
      </c>
      <c r="Y21" s="40">
        <v>43</v>
      </c>
      <c r="Z21" s="41">
        <f t="shared" si="8"/>
        <v>9.6846846846846843E-2</v>
      </c>
      <c r="AA21" s="40">
        <v>41</v>
      </c>
      <c r="AB21" s="41">
        <f t="shared" si="9"/>
        <v>0.12166172106824925</v>
      </c>
      <c r="AC21" s="40">
        <v>350</v>
      </c>
      <c r="AD21" s="41">
        <f t="shared" si="17"/>
        <v>0.78828828828828834</v>
      </c>
      <c r="AE21" s="40">
        <v>269</v>
      </c>
      <c r="AF21" s="41">
        <f t="shared" si="10"/>
        <v>0.79821958456973297</v>
      </c>
      <c r="AG21" s="40">
        <v>14</v>
      </c>
      <c r="AH21" s="41">
        <f t="shared" si="18"/>
        <v>3.1531531531531529E-2</v>
      </c>
      <c r="AI21" s="40">
        <v>13</v>
      </c>
      <c r="AJ21" s="41">
        <f t="shared" si="11"/>
        <v>3.857566765578635E-2</v>
      </c>
      <c r="AK21" s="40">
        <v>20</v>
      </c>
      <c r="AL21" s="41">
        <f t="shared" si="19"/>
        <v>4.5045045045045043E-2</v>
      </c>
      <c r="AM21" s="40">
        <v>16</v>
      </c>
      <c r="AN21" s="41">
        <f t="shared" si="12"/>
        <v>4.7477744807121663E-2</v>
      </c>
      <c r="AO21" s="40">
        <v>257</v>
      </c>
      <c r="AP21" s="41">
        <f t="shared" si="20"/>
        <v>0.5788288288288288</v>
      </c>
      <c r="AQ21" s="40">
        <v>214</v>
      </c>
      <c r="AR21" s="41">
        <f t="shared" si="13"/>
        <v>0.63501483679525228</v>
      </c>
      <c r="AS21" s="40">
        <v>79</v>
      </c>
      <c r="AT21" s="41">
        <f t="shared" si="21"/>
        <v>0.17792792792792791</v>
      </c>
      <c r="AU21" s="40">
        <v>61</v>
      </c>
      <c r="AV21" s="41">
        <f t="shared" si="14"/>
        <v>0.18100890207715134</v>
      </c>
      <c r="AW21" s="40">
        <v>37</v>
      </c>
      <c r="AX21" s="41">
        <f t="shared" si="22"/>
        <v>8.3333333333333329E-2</v>
      </c>
      <c r="AY21" s="40">
        <v>17</v>
      </c>
      <c r="AZ21" s="41">
        <f t="shared" si="15"/>
        <v>5.0445103857566766E-2</v>
      </c>
      <c r="BA21" s="40">
        <v>37</v>
      </c>
      <c r="BB21" s="41">
        <f t="shared" si="23"/>
        <v>8.3333333333333329E-2</v>
      </c>
      <c r="BC21" s="40">
        <v>16</v>
      </c>
      <c r="BD21" s="41">
        <f t="shared" si="16"/>
        <v>4.7477744807121663E-2</v>
      </c>
      <c r="BE21" s="40">
        <v>444</v>
      </c>
      <c r="BF21" s="40">
        <v>337</v>
      </c>
    </row>
    <row r="22" spans="1:58" ht="15.75" customHeight="1" x14ac:dyDescent="0.25">
      <c r="A22" s="39">
        <v>2024</v>
      </c>
      <c r="B22" s="39">
        <v>170305</v>
      </c>
      <c r="C22" s="37" t="str">
        <f>VLOOKUP(B22,procv!$A$2:$D$142,4,FALSE)</f>
        <v>Cerrado Tocantins Araguaia</v>
      </c>
      <c r="D22" s="37" t="s">
        <v>25</v>
      </c>
      <c r="E22" s="40">
        <v>3</v>
      </c>
      <c r="F22" s="42">
        <f t="shared" si="0"/>
        <v>1.2931034482758621E-2</v>
      </c>
      <c r="G22" s="40">
        <v>3</v>
      </c>
      <c r="H22" s="42">
        <f t="shared" si="1"/>
        <v>1.935483870967742E-2</v>
      </c>
      <c r="I22" s="40">
        <v>1</v>
      </c>
      <c r="J22" s="41">
        <f t="shared" si="2"/>
        <v>4.3103448275862068E-3</v>
      </c>
      <c r="K22" s="40">
        <v>1</v>
      </c>
      <c r="L22" s="41">
        <f t="shared" si="3"/>
        <v>6.4516129032258064E-3</v>
      </c>
      <c r="M22" s="40">
        <v>208</v>
      </c>
      <c r="N22" s="41">
        <f>IFERROR(M22/$BE22,0)</f>
        <v>0.89655172413793105</v>
      </c>
      <c r="O22" s="40">
        <v>141</v>
      </c>
      <c r="P22" s="41">
        <f t="shared" si="4"/>
        <v>0.9096774193548387</v>
      </c>
      <c r="Q22" s="40">
        <v>20</v>
      </c>
      <c r="R22" s="41">
        <f>IFERROR(Q22/$BE22,0)</f>
        <v>8.6206896551724144E-2</v>
      </c>
      <c r="S22" s="40">
        <v>10</v>
      </c>
      <c r="T22" s="41">
        <f t="shared" si="5"/>
        <v>6.4516129032258063E-2</v>
      </c>
      <c r="U22" s="40">
        <v>9</v>
      </c>
      <c r="V22" s="41">
        <f t="shared" si="6"/>
        <v>3.8793103448275863E-2</v>
      </c>
      <c r="W22" s="40">
        <v>5</v>
      </c>
      <c r="X22" s="41">
        <f t="shared" si="7"/>
        <v>3.2258064516129031E-2</v>
      </c>
      <c r="Y22" s="40">
        <v>10</v>
      </c>
      <c r="Z22" s="41">
        <f t="shared" si="8"/>
        <v>4.3103448275862072E-2</v>
      </c>
      <c r="AA22" s="40">
        <v>9</v>
      </c>
      <c r="AB22" s="41">
        <f t="shared" si="9"/>
        <v>5.8064516129032261E-2</v>
      </c>
      <c r="AC22" s="40">
        <v>213</v>
      </c>
      <c r="AD22" s="41">
        <f t="shared" si="17"/>
        <v>0.9181034482758621</v>
      </c>
      <c r="AE22" s="40">
        <v>141</v>
      </c>
      <c r="AF22" s="41">
        <f t="shared" si="10"/>
        <v>0.9096774193548387</v>
      </c>
      <c r="AG22" s="40">
        <v>5</v>
      </c>
      <c r="AH22" s="41">
        <f t="shared" si="18"/>
        <v>2.1551724137931036E-2</v>
      </c>
      <c r="AI22" s="40">
        <v>5</v>
      </c>
      <c r="AJ22" s="41">
        <f t="shared" si="11"/>
        <v>3.2258064516129031E-2</v>
      </c>
      <c r="AK22" s="40">
        <v>7</v>
      </c>
      <c r="AL22" s="41">
        <f t="shared" si="19"/>
        <v>3.017241379310345E-2</v>
      </c>
      <c r="AM22" s="40">
        <v>6</v>
      </c>
      <c r="AN22" s="41">
        <f t="shared" si="12"/>
        <v>3.870967741935484E-2</v>
      </c>
      <c r="AO22" s="40">
        <v>152</v>
      </c>
      <c r="AP22" s="41">
        <f t="shared" si="20"/>
        <v>0.65517241379310343</v>
      </c>
      <c r="AQ22" s="40">
        <v>101</v>
      </c>
      <c r="AR22" s="41">
        <f t="shared" si="13"/>
        <v>0.65161290322580645</v>
      </c>
      <c r="AS22" s="40">
        <v>36</v>
      </c>
      <c r="AT22" s="41">
        <f t="shared" si="21"/>
        <v>0.15517241379310345</v>
      </c>
      <c r="AU22" s="40">
        <v>24</v>
      </c>
      <c r="AV22" s="41">
        <f t="shared" si="14"/>
        <v>0.15483870967741936</v>
      </c>
      <c r="AW22" s="40">
        <v>21</v>
      </c>
      <c r="AX22" s="41">
        <f t="shared" si="22"/>
        <v>9.0517241379310345E-2</v>
      </c>
      <c r="AY22" s="40">
        <v>13</v>
      </c>
      <c r="AZ22" s="41">
        <f t="shared" si="15"/>
        <v>8.387096774193549E-2</v>
      </c>
      <c r="BA22" s="40">
        <v>11</v>
      </c>
      <c r="BB22" s="41">
        <f t="shared" si="23"/>
        <v>4.7413793103448273E-2</v>
      </c>
      <c r="BC22" s="40">
        <v>6</v>
      </c>
      <c r="BD22" s="41">
        <f t="shared" si="16"/>
        <v>3.870967741935484E-2</v>
      </c>
      <c r="BE22" s="40">
        <v>232</v>
      </c>
      <c r="BF22" s="40">
        <v>155</v>
      </c>
    </row>
    <row r="23" spans="1:58" ht="15.75" customHeight="1" x14ac:dyDescent="0.25">
      <c r="A23" s="39">
        <v>2024</v>
      </c>
      <c r="B23" s="39">
        <v>170307</v>
      </c>
      <c r="C23" s="37" t="str">
        <f>VLOOKUP(B23,procv!$A$2:$D$142,4,FALSE)</f>
        <v>Médio Norte Araguaia</v>
      </c>
      <c r="D23" s="37" t="s">
        <v>26</v>
      </c>
      <c r="E23" s="40">
        <v>5</v>
      </c>
      <c r="F23" s="42">
        <f t="shared" si="0"/>
        <v>1.1961722488038277E-2</v>
      </c>
      <c r="G23" s="40">
        <v>4</v>
      </c>
      <c r="H23" s="42">
        <f t="shared" si="1"/>
        <v>1.4134275618374558E-2</v>
      </c>
      <c r="I23" s="40">
        <v>17</v>
      </c>
      <c r="J23" s="41">
        <f t="shared" si="2"/>
        <v>4.0669856459330141E-2</v>
      </c>
      <c r="K23" s="40">
        <v>12</v>
      </c>
      <c r="L23" s="41">
        <f t="shared" si="3"/>
        <v>4.2402826855123678E-2</v>
      </c>
      <c r="M23" s="40">
        <v>379</v>
      </c>
      <c r="N23" s="41">
        <f>IFERROR(M23/$BE23,0)</f>
        <v>0.90669856459330145</v>
      </c>
      <c r="O23" s="40">
        <v>249</v>
      </c>
      <c r="P23" s="41">
        <f t="shared" si="4"/>
        <v>0.87985865724381629</v>
      </c>
      <c r="Q23" s="40">
        <v>17</v>
      </c>
      <c r="R23" s="41">
        <f>IFERROR(Q23/$BE23,0)</f>
        <v>4.0669856459330141E-2</v>
      </c>
      <c r="S23" s="40">
        <v>18</v>
      </c>
      <c r="T23" s="41">
        <f t="shared" si="5"/>
        <v>6.3604240282685506E-2</v>
      </c>
      <c r="U23" s="40">
        <v>20</v>
      </c>
      <c r="V23" s="41">
        <f t="shared" si="6"/>
        <v>4.784688995215311E-2</v>
      </c>
      <c r="W23" s="40">
        <v>17</v>
      </c>
      <c r="X23" s="41">
        <f t="shared" si="7"/>
        <v>6.0070671378091869E-2</v>
      </c>
      <c r="Y23" s="40">
        <v>49</v>
      </c>
      <c r="Z23" s="41">
        <f t="shared" si="8"/>
        <v>0.11722488038277512</v>
      </c>
      <c r="AA23" s="40">
        <v>31</v>
      </c>
      <c r="AB23" s="41">
        <f t="shared" si="9"/>
        <v>0.10954063604240283</v>
      </c>
      <c r="AC23" s="40">
        <v>349</v>
      </c>
      <c r="AD23" s="41">
        <f t="shared" si="17"/>
        <v>0.83492822966507174</v>
      </c>
      <c r="AE23" s="40">
        <v>235</v>
      </c>
      <c r="AF23" s="41">
        <f t="shared" si="10"/>
        <v>0.83038869257950532</v>
      </c>
      <c r="AG23" s="40">
        <v>9</v>
      </c>
      <c r="AH23" s="41">
        <f t="shared" si="18"/>
        <v>2.1531100478468901E-2</v>
      </c>
      <c r="AI23" s="40">
        <v>16</v>
      </c>
      <c r="AJ23" s="41">
        <f t="shared" si="11"/>
        <v>5.6537102473498232E-2</v>
      </c>
      <c r="AK23" s="40">
        <v>17</v>
      </c>
      <c r="AL23" s="41">
        <f t="shared" si="19"/>
        <v>4.0669856459330141E-2</v>
      </c>
      <c r="AM23" s="40">
        <v>13</v>
      </c>
      <c r="AN23" s="41">
        <f t="shared" si="12"/>
        <v>4.5936395759717315E-2</v>
      </c>
      <c r="AO23" s="40">
        <v>293</v>
      </c>
      <c r="AP23" s="41">
        <f t="shared" si="20"/>
        <v>0.70095693779904311</v>
      </c>
      <c r="AQ23" s="40">
        <v>193</v>
      </c>
      <c r="AR23" s="41">
        <f t="shared" si="13"/>
        <v>0.6819787985865724</v>
      </c>
      <c r="AS23" s="40">
        <v>54</v>
      </c>
      <c r="AT23" s="41">
        <f t="shared" si="21"/>
        <v>0.12918660287081341</v>
      </c>
      <c r="AU23" s="40">
        <v>28</v>
      </c>
      <c r="AV23" s="41">
        <f t="shared" si="14"/>
        <v>9.8939929328621903E-2</v>
      </c>
      <c r="AW23" s="40">
        <v>27</v>
      </c>
      <c r="AX23" s="41">
        <f t="shared" si="22"/>
        <v>6.4593301435406703E-2</v>
      </c>
      <c r="AY23" s="40">
        <v>16</v>
      </c>
      <c r="AZ23" s="41">
        <f t="shared" si="15"/>
        <v>5.6537102473498232E-2</v>
      </c>
      <c r="BA23" s="40">
        <v>18</v>
      </c>
      <c r="BB23" s="41">
        <f t="shared" si="23"/>
        <v>4.3062200956937802E-2</v>
      </c>
      <c r="BC23" s="40">
        <v>17</v>
      </c>
      <c r="BD23" s="41">
        <f t="shared" si="16"/>
        <v>6.0070671378091869E-2</v>
      </c>
      <c r="BE23" s="40">
        <v>418</v>
      </c>
      <c r="BF23" s="40">
        <v>283</v>
      </c>
    </row>
    <row r="24" spans="1:58" ht="15.75" customHeight="1" x14ac:dyDescent="0.25">
      <c r="A24" s="39">
        <v>2024</v>
      </c>
      <c r="B24" s="39">
        <v>170310</v>
      </c>
      <c r="C24" s="37" t="str">
        <f>VLOOKUP(B24,procv!$A$2:$D$142,4,FALSE)</f>
        <v>Cantão</v>
      </c>
      <c r="D24" s="37" t="s">
        <v>27</v>
      </c>
      <c r="E24" s="40">
        <v>3</v>
      </c>
      <c r="F24" s="42">
        <f t="shared" si="0"/>
        <v>1.2096774193548387E-2</v>
      </c>
      <c r="G24" s="40">
        <v>1</v>
      </c>
      <c r="H24" s="42">
        <f t="shared" si="1"/>
        <v>6.3291139240506328E-3</v>
      </c>
      <c r="I24" s="40">
        <v>7</v>
      </c>
      <c r="J24" s="41">
        <f t="shared" si="2"/>
        <v>2.8225806451612902E-2</v>
      </c>
      <c r="K24" s="40">
        <v>5</v>
      </c>
      <c r="L24" s="41">
        <f t="shared" si="3"/>
        <v>3.1645569620253167E-2</v>
      </c>
      <c r="M24" s="40">
        <v>219</v>
      </c>
      <c r="N24" s="41">
        <f>IFERROR(M24/$BE24,0)</f>
        <v>0.88306451612903225</v>
      </c>
      <c r="O24" s="40">
        <v>142</v>
      </c>
      <c r="P24" s="41">
        <f t="shared" si="4"/>
        <v>0.89873417721518989</v>
      </c>
      <c r="Q24" s="40">
        <v>19</v>
      </c>
      <c r="R24" s="41">
        <f>IFERROR(Q24/$BE24,0)</f>
        <v>7.6612903225806453E-2</v>
      </c>
      <c r="S24" s="40">
        <v>10</v>
      </c>
      <c r="T24" s="41">
        <f t="shared" si="5"/>
        <v>6.3291139240506333E-2</v>
      </c>
      <c r="U24" s="40">
        <v>20</v>
      </c>
      <c r="V24" s="41">
        <f t="shared" si="6"/>
        <v>8.0645161290322578E-2</v>
      </c>
      <c r="W24" s="40">
        <v>16</v>
      </c>
      <c r="X24" s="41">
        <f t="shared" si="7"/>
        <v>0.10126582278481013</v>
      </c>
      <c r="Y24" s="40">
        <v>29</v>
      </c>
      <c r="Z24" s="41">
        <f t="shared" si="8"/>
        <v>0.11693548387096774</v>
      </c>
      <c r="AA24" s="40">
        <v>26</v>
      </c>
      <c r="AB24" s="41">
        <f t="shared" si="9"/>
        <v>0.16455696202531644</v>
      </c>
      <c r="AC24" s="40">
        <v>199</v>
      </c>
      <c r="AD24" s="41">
        <f t="shared" si="17"/>
        <v>0.80241935483870963</v>
      </c>
      <c r="AE24" s="40">
        <v>116</v>
      </c>
      <c r="AF24" s="41">
        <f t="shared" si="10"/>
        <v>0.73417721518987344</v>
      </c>
      <c r="AG24" s="40">
        <v>14</v>
      </c>
      <c r="AH24" s="41">
        <f t="shared" si="18"/>
        <v>5.6451612903225805E-2</v>
      </c>
      <c r="AI24" s="40">
        <v>16</v>
      </c>
      <c r="AJ24" s="41">
        <f t="shared" si="11"/>
        <v>0.10126582278481013</v>
      </c>
      <c r="AK24" s="40">
        <v>13</v>
      </c>
      <c r="AL24" s="41">
        <f t="shared" si="19"/>
        <v>5.2419354838709679E-2</v>
      </c>
      <c r="AM24" s="40">
        <v>12</v>
      </c>
      <c r="AN24" s="41">
        <f t="shared" si="12"/>
        <v>7.5949367088607597E-2</v>
      </c>
      <c r="AO24" s="40">
        <v>135</v>
      </c>
      <c r="AP24" s="41">
        <f t="shared" si="20"/>
        <v>0.54435483870967738</v>
      </c>
      <c r="AQ24" s="40">
        <v>70</v>
      </c>
      <c r="AR24" s="41">
        <f t="shared" si="13"/>
        <v>0.44303797468354428</v>
      </c>
      <c r="AS24" s="40">
        <v>37</v>
      </c>
      <c r="AT24" s="41">
        <f t="shared" si="21"/>
        <v>0.14919354838709678</v>
      </c>
      <c r="AU24" s="40">
        <v>20</v>
      </c>
      <c r="AV24" s="41">
        <f t="shared" si="14"/>
        <v>0.12658227848101267</v>
      </c>
      <c r="AW24" s="40">
        <v>19</v>
      </c>
      <c r="AX24" s="41">
        <f t="shared" si="22"/>
        <v>7.6612903225806453E-2</v>
      </c>
      <c r="AY24" s="40">
        <v>16</v>
      </c>
      <c r="AZ24" s="41">
        <f t="shared" si="15"/>
        <v>0.10126582278481013</v>
      </c>
      <c r="BA24" s="40">
        <v>30</v>
      </c>
      <c r="BB24" s="41">
        <f t="shared" si="23"/>
        <v>0.12096774193548387</v>
      </c>
      <c r="BC24" s="40">
        <v>24</v>
      </c>
      <c r="BD24" s="41">
        <f t="shared" si="16"/>
        <v>0.15189873417721519</v>
      </c>
      <c r="BE24" s="40">
        <v>248</v>
      </c>
      <c r="BF24" s="40">
        <v>158</v>
      </c>
    </row>
    <row r="25" spans="1:58" ht="15.75" customHeight="1" x14ac:dyDescent="0.25">
      <c r="A25" s="39">
        <v>2024</v>
      </c>
      <c r="B25" s="39">
        <v>170320</v>
      </c>
      <c r="C25" s="37" t="str">
        <f>VLOOKUP(B25,procv!$A$2:$D$142,4,FALSE)</f>
        <v>Cerrado Tocantins Araguaia</v>
      </c>
      <c r="D25" s="37" t="s">
        <v>28</v>
      </c>
      <c r="E25" s="40">
        <v>2</v>
      </c>
      <c r="F25" s="42">
        <f t="shared" si="0"/>
        <v>1.3422818791946308E-2</v>
      </c>
      <c r="G25" s="40">
        <v>2</v>
      </c>
      <c r="H25" s="42">
        <f t="shared" si="1"/>
        <v>1.7094017094017096E-2</v>
      </c>
      <c r="I25" s="40">
        <v>2</v>
      </c>
      <c r="J25" s="41">
        <f t="shared" si="2"/>
        <v>1.3422818791946308E-2</v>
      </c>
      <c r="K25" s="40">
        <v>2</v>
      </c>
      <c r="L25" s="41">
        <f t="shared" si="3"/>
        <v>1.7094017094017096E-2</v>
      </c>
      <c r="M25" s="40">
        <v>129</v>
      </c>
      <c r="N25" s="41">
        <f>IFERROR(M25/$BE25,0)</f>
        <v>0.86577181208053688</v>
      </c>
      <c r="O25" s="40">
        <v>103</v>
      </c>
      <c r="P25" s="41">
        <f t="shared" si="4"/>
        <v>0.88034188034188032</v>
      </c>
      <c r="Q25" s="40">
        <v>16</v>
      </c>
      <c r="R25" s="41">
        <f>IFERROR(Q25/$BE25,0)</f>
        <v>0.10738255033557047</v>
      </c>
      <c r="S25" s="40">
        <v>10</v>
      </c>
      <c r="T25" s="41">
        <f t="shared" si="5"/>
        <v>8.5470085470085472E-2</v>
      </c>
      <c r="U25" s="40">
        <v>10</v>
      </c>
      <c r="V25" s="41">
        <f t="shared" si="6"/>
        <v>6.7114093959731544E-2</v>
      </c>
      <c r="W25" s="40">
        <v>10</v>
      </c>
      <c r="X25" s="41">
        <f t="shared" si="7"/>
        <v>8.5470085470085472E-2</v>
      </c>
      <c r="Y25" s="40">
        <v>12</v>
      </c>
      <c r="Z25" s="41">
        <f t="shared" si="8"/>
        <v>8.0536912751677847E-2</v>
      </c>
      <c r="AA25" s="40">
        <v>12</v>
      </c>
      <c r="AB25" s="41">
        <f t="shared" si="9"/>
        <v>0.10256410256410256</v>
      </c>
      <c r="AC25" s="40">
        <v>127</v>
      </c>
      <c r="AD25" s="41">
        <f t="shared" si="17"/>
        <v>0.8523489932885906</v>
      </c>
      <c r="AE25" s="40">
        <v>95</v>
      </c>
      <c r="AF25" s="41">
        <f t="shared" si="10"/>
        <v>0.81196581196581197</v>
      </c>
      <c r="AG25" s="40">
        <v>6</v>
      </c>
      <c r="AH25" s="41">
        <f t="shared" si="18"/>
        <v>4.0268456375838924E-2</v>
      </c>
      <c r="AI25" s="40">
        <v>6</v>
      </c>
      <c r="AJ25" s="41">
        <f t="shared" si="11"/>
        <v>5.128205128205128E-2</v>
      </c>
      <c r="AK25" s="40">
        <v>2</v>
      </c>
      <c r="AL25" s="41">
        <f t="shared" si="19"/>
        <v>1.3422818791946308E-2</v>
      </c>
      <c r="AM25" s="40">
        <v>2</v>
      </c>
      <c r="AN25" s="41">
        <f t="shared" si="12"/>
        <v>1.7094017094017096E-2</v>
      </c>
      <c r="AO25" s="40">
        <v>86</v>
      </c>
      <c r="AP25" s="41">
        <f t="shared" si="20"/>
        <v>0.57718120805369133</v>
      </c>
      <c r="AQ25" s="40">
        <v>67</v>
      </c>
      <c r="AR25" s="41">
        <f t="shared" si="13"/>
        <v>0.57264957264957261</v>
      </c>
      <c r="AS25" s="40">
        <v>32</v>
      </c>
      <c r="AT25" s="41">
        <f t="shared" si="21"/>
        <v>0.21476510067114093</v>
      </c>
      <c r="AU25" s="40">
        <v>24</v>
      </c>
      <c r="AV25" s="41">
        <f t="shared" si="14"/>
        <v>0.20512820512820512</v>
      </c>
      <c r="AW25" s="40">
        <v>13</v>
      </c>
      <c r="AX25" s="41">
        <f t="shared" si="22"/>
        <v>8.7248322147651006E-2</v>
      </c>
      <c r="AY25" s="40">
        <v>11</v>
      </c>
      <c r="AZ25" s="41">
        <f t="shared" si="15"/>
        <v>9.4017094017094016E-2</v>
      </c>
      <c r="BA25" s="40">
        <v>10</v>
      </c>
      <c r="BB25" s="41">
        <f t="shared" si="23"/>
        <v>6.7114093959731544E-2</v>
      </c>
      <c r="BC25" s="40">
        <v>7</v>
      </c>
      <c r="BD25" s="41">
        <f t="shared" si="16"/>
        <v>5.9829059829059832E-2</v>
      </c>
      <c r="BE25" s="40">
        <v>149</v>
      </c>
      <c r="BF25" s="40">
        <v>117</v>
      </c>
    </row>
    <row r="26" spans="1:58" ht="15.75" customHeight="1" x14ac:dyDescent="0.25">
      <c r="A26" s="39">
        <v>2024</v>
      </c>
      <c r="B26" s="39">
        <v>170330</v>
      </c>
      <c r="C26" s="37" t="str">
        <f>VLOOKUP(B26,procv!$A$2:$D$142,4,FALSE)</f>
        <v>Cerrado Tocantins Araguaia</v>
      </c>
      <c r="D26" s="37" t="s">
        <v>29</v>
      </c>
      <c r="E26" s="40">
        <v>0</v>
      </c>
      <c r="F26" s="42">
        <f t="shared" si="0"/>
        <v>0</v>
      </c>
      <c r="G26" s="40">
        <v>0</v>
      </c>
      <c r="H26" s="42">
        <f t="shared" si="1"/>
        <v>0</v>
      </c>
      <c r="I26" s="40">
        <v>7</v>
      </c>
      <c r="J26" s="41">
        <f t="shared" si="2"/>
        <v>3.017241379310345E-2</v>
      </c>
      <c r="K26" s="40">
        <v>3</v>
      </c>
      <c r="L26" s="41">
        <f t="shared" si="3"/>
        <v>2.097902097902098E-2</v>
      </c>
      <c r="M26" s="40">
        <v>218</v>
      </c>
      <c r="N26" s="41">
        <f>IFERROR(M26/$BE26,0)</f>
        <v>0.93965517241379315</v>
      </c>
      <c r="O26" s="40">
        <v>136</v>
      </c>
      <c r="P26" s="41">
        <f t="shared" si="4"/>
        <v>0.95104895104895104</v>
      </c>
      <c r="Q26" s="40">
        <v>7</v>
      </c>
      <c r="R26" s="41">
        <f>IFERROR(Q26/$BE26,0)</f>
        <v>3.017241379310345E-2</v>
      </c>
      <c r="S26" s="40">
        <v>4</v>
      </c>
      <c r="T26" s="41">
        <f t="shared" si="5"/>
        <v>2.7972027972027972E-2</v>
      </c>
      <c r="U26" s="40">
        <v>24</v>
      </c>
      <c r="V26" s="41">
        <f t="shared" si="6"/>
        <v>0.10344827586206896</v>
      </c>
      <c r="W26" s="40">
        <v>11</v>
      </c>
      <c r="X26" s="41">
        <f t="shared" si="7"/>
        <v>7.6923076923076927E-2</v>
      </c>
      <c r="Y26" s="40">
        <v>20</v>
      </c>
      <c r="Z26" s="41">
        <f t="shared" si="8"/>
        <v>8.6206896551724144E-2</v>
      </c>
      <c r="AA26" s="40">
        <v>19</v>
      </c>
      <c r="AB26" s="41">
        <f t="shared" si="9"/>
        <v>0.13286713286713286</v>
      </c>
      <c r="AC26" s="40">
        <v>188</v>
      </c>
      <c r="AD26" s="41">
        <f t="shared" si="17"/>
        <v>0.81034482758620685</v>
      </c>
      <c r="AE26" s="40">
        <v>113</v>
      </c>
      <c r="AF26" s="41">
        <f t="shared" si="10"/>
        <v>0.79020979020979021</v>
      </c>
      <c r="AG26" s="40">
        <v>2</v>
      </c>
      <c r="AH26" s="41">
        <f t="shared" si="18"/>
        <v>8.6206896551724137E-3</v>
      </c>
      <c r="AI26" s="40">
        <v>3</v>
      </c>
      <c r="AJ26" s="41">
        <f t="shared" si="11"/>
        <v>2.097902097902098E-2</v>
      </c>
      <c r="AK26" s="40">
        <v>7</v>
      </c>
      <c r="AL26" s="41">
        <f t="shared" si="19"/>
        <v>3.017241379310345E-2</v>
      </c>
      <c r="AM26" s="40">
        <v>5</v>
      </c>
      <c r="AN26" s="41">
        <f t="shared" si="12"/>
        <v>3.4965034965034968E-2</v>
      </c>
      <c r="AO26" s="40">
        <v>156</v>
      </c>
      <c r="AP26" s="41">
        <f t="shared" si="20"/>
        <v>0.67241379310344829</v>
      </c>
      <c r="AQ26" s="40">
        <v>92</v>
      </c>
      <c r="AR26" s="41">
        <f t="shared" si="13"/>
        <v>0.64335664335664333</v>
      </c>
      <c r="AS26" s="40">
        <v>36</v>
      </c>
      <c r="AT26" s="41">
        <f t="shared" si="21"/>
        <v>0.15517241379310345</v>
      </c>
      <c r="AU26" s="40">
        <v>28</v>
      </c>
      <c r="AV26" s="41">
        <f t="shared" si="14"/>
        <v>0.19580419580419581</v>
      </c>
      <c r="AW26" s="40">
        <v>8</v>
      </c>
      <c r="AX26" s="41">
        <f t="shared" si="22"/>
        <v>3.4482758620689655E-2</v>
      </c>
      <c r="AY26" s="40">
        <v>6</v>
      </c>
      <c r="AZ26" s="41">
        <f t="shared" si="15"/>
        <v>4.195804195804196E-2</v>
      </c>
      <c r="BA26" s="40">
        <v>23</v>
      </c>
      <c r="BB26" s="41">
        <f t="shared" si="23"/>
        <v>9.9137931034482762E-2</v>
      </c>
      <c r="BC26" s="40">
        <v>9</v>
      </c>
      <c r="BD26" s="41">
        <f t="shared" si="16"/>
        <v>6.2937062937062943E-2</v>
      </c>
      <c r="BE26" s="40">
        <v>232</v>
      </c>
      <c r="BF26" s="40">
        <v>143</v>
      </c>
    </row>
    <row r="27" spans="1:58" ht="15.75" customHeight="1" x14ac:dyDescent="0.25">
      <c r="A27" s="39">
        <v>2024</v>
      </c>
      <c r="B27" s="39">
        <v>170360</v>
      </c>
      <c r="C27" s="37" t="str">
        <f>VLOOKUP(B27,procv!$A$2:$D$142,4,FALSE)</f>
        <v>Cerrado Tocantins Araguaia</v>
      </c>
      <c r="D27" s="37" t="s">
        <v>30</v>
      </c>
      <c r="E27" s="40">
        <v>2</v>
      </c>
      <c r="F27" s="42">
        <f t="shared" si="0"/>
        <v>1.2738853503184714E-2</v>
      </c>
      <c r="G27" s="40">
        <v>1</v>
      </c>
      <c r="H27" s="42">
        <f t="shared" si="1"/>
        <v>9.3457943925233638E-3</v>
      </c>
      <c r="I27" s="40">
        <v>4</v>
      </c>
      <c r="J27" s="41">
        <f t="shared" si="2"/>
        <v>2.5477707006369428E-2</v>
      </c>
      <c r="K27" s="40">
        <v>2</v>
      </c>
      <c r="L27" s="41">
        <f t="shared" si="3"/>
        <v>1.8691588785046728E-2</v>
      </c>
      <c r="M27" s="40">
        <v>141</v>
      </c>
      <c r="N27" s="41">
        <f>IFERROR(M27/$BE27,0)</f>
        <v>0.89808917197452232</v>
      </c>
      <c r="O27" s="40">
        <v>97</v>
      </c>
      <c r="P27" s="41">
        <f t="shared" si="4"/>
        <v>0.90654205607476634</v>
      </c>
      <c r="Q27" s="40">
        <v>10</v>
      </c>
      <c r="R27" s="41">
        <f>IFERROR(Q27/$BE27,0)</f>
        <v>6.3694267515923567E-2</v>
      </c>
      <c r="S27" s="40">
        <v>7</v>
      </c>
      <c r="T27" s="41">
        <f t="shared" si="5"/>
        <v>6.5420560747663545E-2</v>
      </c>
      <c r="U27" s="40">
        <v>8</v>
      </c>
      <c r="V27" s="41">
        <f t="shared" si="6"/>
        <v>5.0955414012738856E-2</v>
      </c>
      <c r="W27" s="40">
        <v>2</v>
      </c>
      <c r="X27" s="41">
        <f t="shared" si="7"/>
        <v>1.8691588785046728E-2</v>
      </c>
      <c r="Y27" s="40">
        <v>17</v>
      </c>
      <c r="Z27" s="41">
        <f t="shared" si="8"/>
        <v>0.10828025477707007</v>
      </c>
      <c r="AA27" s="40">
        <v>15</v>
      </c>
      <c r="AB27" s="41">
        <f t="shared" si="9"/>
        <v>0.14018691588785046</v>
      </c>
      <c r="AC27" s="40">
        <v>132</v>
      </c>
      <c r="AD27" s="41">
        <f t="shared" si="17"/>
        <v>0.84076433121019112</v>
      </c>
      <c r="AE27" s="40">
        <v>90</v>
      </c>
      <c r="AF27" s="41">
        <f t="shared" si="10"/>
        <v>0.84112149532710279</v>
      </c>
      <c r="AG27" s="40">
        <v>6</v>
      </c>
      <c r="AH27" s="41">
        <f t="shared" si="18"/>
        <v>3.8216560509554139E-2</v>
      </c>
      <c r="AI27" s="40">
        <v>5</v>
      </c>
      <c r="AJ27" s="41">
        <f t="shared" si="11"/>
        <v>4.6728971962616821E-2</v>
      </c>
      <c r="AK27" s="40">
        <v>3</v>
      </c>
      <c r="AL27" s="41">
        <f t="shared" si="19"/>
        <v>1.9108280254777069E-2</v>
      </c>
      <c r="AM27" s="40">
        <v>2</v>
      </c>
      <c r="AN27" s="41">
        <f t="shared" si="12"/>
        <v>1.8691588785046728E-2</v>
      </c>
      <c r="AO27" s="40">
        <v>95</v>
      </c>
      <c r="AP27" s="41">
        <f t="shared" si="20"/>
        <v>0.60509554140127386</v>
      </c>
      <c r="AQ27" s="40">
        <v>67</v>
      </c>
      <c r="AR27" s="41">
        <f t="shared" si="13"/>
        <v>0.62616822429906538</v>
      </c>
      <c r="AS27" s="40">
        <v>26</v>
      </c>
      <c r="AT27" s="41">
        <f t="shared" si="21"/>
        <v>0.16560509554140126</v>
      </c>
      <c r="AU27" s="40">
        <v>18</v>
      </c>
      <c r="AV27" s="41">
        <f t="shared" si="14"/>
        <v>0.16822429906542055</v>
      </c>
      <c r="AW27" s="40">
        <v>18</v>
      </c>
      <c r="AX27" s="41">
        <f t="shared" si="22"/>
        <v>0.11464968152866242</v>
      </c>
      <c r="AY27" s="40">
        <v>9</v>
      </c>
      <c r="AZ27" s="41">
        <f t="shared" si="15"/>
        <v>8.4112149532710276E-2</v>
      </c>
      <c r="BA27" s="40">
        <v>9</v>
      </c>
      <c r="BB27" s="41">
        <f t="shared" si="23"/>
        <v>5.7324840764331211E-2</v>
      </c>
      <c r="BC27" s="40">
        <v>6</v>
      </c>
      <c r="BD27" s="41">
        <f t="shared" si="16"/>
        <v>5.6074766355140186E-2</v>
      </c>
      <c r="BE27" s="40">
        <v>157</v>
      </c>
      <c r="BF27" s="40">
        <v>107</v>
      </c>
    </row>
    <row r="28" spans="1:58" ht="15.75" customHeight="1" x14ac:dyDescent="0.25">
      <c r="A28" s="39">
        <v>2024</v>
      </c>
      <c r="B28" s="39">
        <v>170370</v>
      </c>
      <c r="C28" s="37" t="str">
        <f>VLOOKUP(B28,procv!$A$2:$D$142,4,FALSE)</f>
        <v>Amor Perfeito</v>
      </c>
      <c r="D28" s="37" t="s">
        <v>31</v>
      </c>
      <c r="E28" s="40">
        <v>2</v>
      </c>
      <c r="F28" s="42">
        <f t="shared" si="0"/>
        <v>6.6445182724252493E-3</v>
      </c>
      <c r="G28" s="40">
        <v>2</v>
      </c>
      <c r="H28" s="42">
        <f t="shared" si="1"/>
        <v>1.1299435028248588E-2</v>
      </c>
      <c r="I28" s="40">
        <v>13</v>
      </c>
      <c r="J28" s="41">
        <f t="shared" si="2"/>
        <v>4.3189368770764118E-2</v>
      </c>
      <c r="K28" s="40">
        <v>11</v>
      </c>
      <c r="L28" s="41">
        <f t="shared" si="3"/>
        <v>6.2146892655367235E-2</v>
      </c>
      <c r="M28" s="40">
        <v>266</v>
      </c>
      <c r="N28" s="41">
        <f>IFERROR(M28/$BE28,0)</f>
        <v>0.88372093023255816</v>
      </c>
      <c r="O28" s="40">
        <v>150</v>
      </c>
      <c r="P28" s="41">
        <f t="shared" si="4"/>
        <v>0.84745762711864403</v>
      </c>
      <c r="Q28" s="40">
        <v>20</v>
      </c>
      <c r="R28" s="41">
        <f>IFERROR(Q28/$BE28,0)</f>
        <v>6.6445182724252497E-2</v>
      </c>
      <c r="S28" s="40">
        <v>14</v>
      </c>
      <c r="T28" s="41">
        <f t="shared" si="5"/>
        <v>7.909604519774012E-2</v>
      </c>
      <c r="U28" s="40">
        <v>40</v>
      </c>
      <c r="V28" s="41">
        <f t="shared" si="6"/>
        <v>0.13289036544850499</v>
      </c>
      <c r="W28" s="40">
        <v>16</v>
      </c>
      <c r="X28" s="41">
        <f t="shared" si="7"/>
        <v>9.03954802259887E-2</v>
      </c>
      <c r="Y28" s="40">
        <v>37</v>
      </c>
      <c r="Z28" s="41">
        <f t="shared" si="8"/>
        <v>0.12292358803986711</v>
      </c>
      <c r="AA28" s="40">
        <v>15</v>
      </c>
      <c r="AB28" s="41">
        <f t="shared" si="9"/>
        <v>8.4745762711864403E-2</v>
      </c>
      <c r="AC28" s="40">
        <v>224</v>
      </c>
      <c r="AD28" s="41">
        <f t="shared" si="17"/>
        <v>0.7441860465116279</v>
      </c>
      <c r="AE28" s="40">
        <v>146</v>
      </c>
      <c r="AF28" s="41">
        <f t="shared" si="10"/>
        <v>0.82485875706214684</v>
      </c>
      <c r="AG28" s="40">
        <v>5</v>
      </c>
      <c r="AH28" s="41">
        <f t="shared" si="18"/>
        <v>1.6611295681063124E-2</v>
      </c>
      <c r="AI28" s="40">
        <v>5</v>
      </c>
      <c r="AJ28" s="41">
        <f t="shared" si="11"/>
        <v>2.8248587570621469E-2</v>
      </c>
      <c r="AK28" s="40">
        <v>9</v>
      </c>
      <c r="AL28" s="41">
        <f t="shared" si="19"/>
        <v>2.9900332225913623E-2</v>
      </c>
      <c r="AM28" s="40">
        <v>7</v>
      </c>
      <c r="AN28" s="41">
        <f t="shared" si="12"/>
        <v>3.954802259887006E-2</v>
      </c>
      <c r="AO28" s="40">
        <v>133</v>
      </c>
      <c r="AP28" s="41">
        <f t="shared" si="20"/>
        <v>0.44186046511627908</v>
      </c>
      <c r="AQ28" s="40">
        <v>96</v>
      </c>
      <c r="AR28" s="41">
        <f t="shared" si="13"/>
        <v>0.5423728813559322</v>
      </c>
      <c r="AS28" s="40">
        <v>72</v>
      </c>
      <c r="AT28" s="41">
        <f t="shared" si="21"/>
        <v>0.23920265780730898</v>
      </c>
      <c r="AU28" s="40">
        <v>38</v>
      </c>
      <c r="AV28" s="41">
        <f t="shared" si="14"/>
        <v>0.21468926553672316</v>
      </c>
      <c r="AW28" s="40">
        <v>44</v>
      </c>
      <c r="AX28" s="41">
        <f t="shared" si="22"/>
        <v>0.1461794019933555</v>
      </c>
      <c r="AY28" s="40">
        <v>14</v>
      </c>
      <c r="AZ28" s="41">
        <f t="shared" si="15"/>
        <v>7.909604519774012E-2</v>
      </c>
      <c r="BA28" s="40">
        <v>38</v>
      </c>
      <c r="BB28" s="41">
        <f t="shared" si="23"/>
        <v>0.12624584717607973</v>
      </c>
      <c r="BC28" s="40">
        <v>17</v>
      </c>
      <c r="BD28" s="41">
        <f t="shared" si="16"/>
        <v>9.6045197740112997E-2</v>
      </c>
      <c r="BE28" s="40">
        <v>301</v>
      </c>
      <c r="BF28" s="40">
        <v>177</v>
      </c>
    </row>
    <row r="29" spans="1:58" ht="15.75" customHeight="1" x14ac:dyDescent="0.25">
      <c r="A29" s="39">
        <v>2024</v>
      </c>
      <c r="B29" s="39">
        <v>170380</v>
      </c>
      <c r="C29" s="37" t="str">
        <f>VLOOKUP(B29,procv!$A$2:$D$142,4,FALSE)</f>
        <v>Bico do Papagaio</v>
      </c>
      <c r="D29" s="37" t="s">
        <v>32</v>
      </c>
      <c r="E29" s="40">
        <v>4</v>
      </c>
      <c r="F29" s="42">
        <f t="shared" si="0"/>
        <v>6.1443932411674347E-3</v>
      </c>
      <c r="G29" s="40">
        <v>4</v>
      </c>
      <c r="H29" s="42">
        <f t="shared" si="1"/>
        <v>1.0554089709762533E-2</v>
      </c>
      <c r="I29" s="40">
        <v>20</v>
      </c>
      <c r="J29" s="41">
        <f t="shared" si="2"/>
        <v>3.0721966205837174E-2</v>
      </c>
      <c r="K29" s="40">
        <v>15</v>
      </c>
      <c r="L29" s="41">
        <f t="shared" si="3"/>
        <v>3.9577836411609502E-2</v>
      </c>
      <c r="M29" s="40">
        <v>587</v>
      </c>
      <c r="N29" s="41">
        <f>IFERROR(M29/$BE29,0)</f>
        <v>0.90168970814132099</v>
      </c>
      <c r="O29" s="40">
        <v>336</v>
      </c>
      <c r="P29" s="41">
        <f t="shared" si="4"/>
        <v>0.88654353562005273</v>
      </c>
      <c r="Q29" s="40">
        <v>40</v>
      </c>
      <c r="R29" s="41">
        <f>IFERROR(Q29/$BE29,0)</f>
        <v>6.1443932411674347E-2</v>
      </c>
      <c r="S29" s="40">
        <v>24</v>
      </c>
      <c r="T29" s="41">
        <f t="shared" si="5"/>
        <v>6.3324538258575203E-2</v>
      </c>
      <c r="U29" s="40">
        <v>32</v>
      </c>
      <c r="V29" s="41">
        <f t="shared" si="6"/>
        <v>4.9155145929339478E-2</v>
      </c>
      <c r="W29" s="40">
        <v>29</v>
      </c>
      <c r="X29" s="41">
        <f t="shared" si="7"/>
        <v>7.6517150395778361E-2</v>
      </c>
      <c r="Y29" s="40">
        <v>69</v>
      </c>
      <c r="Z29" s="41">
        <f t="shared" si="8"/>
        <v>0.10599078341013825</v>
      </c>
      <c r="AA29" s="40">
        <v>36</v>
      </c>
      <c r="AB29" s="41">
        <f t="shared" si="9"/>
        <v>9.498680738786279E-2</v>
      </c>
      <c r="AC29" s="40">
        <v>550</v>
      </c>
      <c r="AD29" s="41">
        <f t="shared" si="17"/>
        <v>0.84485407066052232</v>
      </c>
      <c r="AE29" s="40">
        <v>314</v>
      </c>
      <c r="AF29" s="41">
        <f t="shared" si="10"/>
        <v>0.82849604221635886</v>
      </c>
      <c r="AG29" s="40">
        <v>12</v>
      </c>
      <c r="AH29" s="41">
        <f t="shared" si="18"/>
        <v>1.8433179723502304E-2</v>
      </c>
      <c r="AI29" s="40">
        <v>15</v>
      </c>
      <c r="AJ29" s="41">
        <f t="shared" si="11"/>
        <v>3.9577836411609502E-2</v>
      </c>
      <c r="AK29" s="40">
        <v>23</v>
      </c>
      <c r="AL29" s="41">
        <f t="shared" si="19"/>
        <v>3.5330261136712747E-2</v>
      </c>
      <c r="AM29" s="40">
        <v>19</v>
      </c>
      <c r="AN29" s="41">
        <f t="shared" si="12"/>
        <v>5.0131926121372031E-2</v>
      </c>
      <c r="AO29" s="40">
        <v>380</v>
      </c>
      <c r="AP29" s="41">
        <f t="shared" si="20"/>
        <v>0.58371735791090629</v>
      </c>
      <c r="AQ29" s="40">
        <v>229</v>
      </c>
      <c r="AR29" s="41">
        <f t="shared" si="13"/>
        <v>0.60422163588390498</v>
      </c>
      <c r="AS29" s="40">
        <v>141</v>
      </c>
      <c r="AT29" s="41">
        <f t="shared" si="21"/>
        <v>0.21658986175115208</v>
      </c>
      <c r="AU29" s="40">
        <v>58</v>
      </c>
      <c r="AV29" s="41">
        <f t="shared" si="14"/>
        <v>0.15303430079155672</v>
      </c>
      <c r="AW29" s="40">
        <v>62</v>
      </c>
      <c r="AX29" s="41">
        <f t="shared" si="22"/>
        <v>9.5238095238095233E-2</v>
      </c>
      <c r="AY29" s="40">
        <v>35</v>
      </c>
      <c r="AZ29" s="41">
        <f t="shared" si="15"/>
        <v>9.2348284960422161E-2</v>
      </c>
      <c r="BA29" s="40">
        <v>33</v>
      </c>
      <c r="BB29" s="41">
        <f t="shared" si="23"/>
        <v>5.0691244239631339E-2</v>
      </c>
      <c r="BC29" s="40">
        <v>23</v>
      </c>
      <c r="BD29" s="41">
        <f t="shared" si="16"/>
        <v>6.0686015831134567E-2</v>
      </c>
      <c r="BE29" s="40">
        <v>651</v>
      </c>
      <c r="BF29" s="40">
        <v>379</v>
      </c>
    </row>
    <row r="30" spans="1:58" ht="15.75" customHeight="1" x14ac:dyDescent="0.25">
      <c r="A30" s="39">
        <v>2024</v>
      </c>
      <c r="B30" s="39">
        <v>170382</v>
      </c>
      <c r="C30" s="37" t="str">
        <f>VLOOKUP(B30,procv!$A$2:$D$142,4,FALSE)</f>
        <v>Bico do Papagaio</v>
      </c>
      <c r="D30" s="37" t="s">
        <v>33</v>
      </c>
      <c r="E30" s="40">
        <v>0</v>
      </c>
      <c r="F30" s="42">
        <f t="shared" si="0"/>
        <v>0</v>
      </c>
      <c r="G30" s="40">
        <v>1</v>
      </c>
      <c r="H30" s="42">
        <f t="shared" si="1"/>
        <v>8.3333333333333332E-3</v>
      </c>
      <c r="I30" s="40">
        <v>2</v>
      </c>
      <c r="J30" s="41">
        <f t="shared" si="2"/>
        <v>1.2987012987012988E-2</v>
      </c>
      <c r="K30" s="40">
        <v>1</v>
      </c>
      <c r="L30" s="41">
        <f t="shared" si="3"/>
        <v>8.3333333333333332E-3</v>
      </c>
      <c r="M30" s="40">
        <v>148</v>
      </c>
      <c r="N30" s="41">
        <f>IFERROR(M30/$BE30,0)</f>
        <v>0.96103896103896103</v>
      </c>
      <c r="O30" s="40">
        <v>113</v>
      </c>
      <c r="P30" s="41">
        <f t="shared" si="4"/>
        <v>0.94166666666666665</v>
      </c>
      <c r="Q30" s="40">
        <v>4</v>
      </c>
      <c r="R30" s="41">
        <f>IFERROR(Q30/$BE30,0)</f>
        <v>2.5974025974025976E-2</v>
      </c>
      <c r="S30" s="40">
        <v>5</v>
      </c>
      <c r="T30" s="41">
        <f t="shared" si="5"/>
        <v>4.1666666666666664E-2</v>
      </c>
      <c r="U30" s="40">
        <v>3</v>
      </c>
      <c r="V30" s="41">
        <f t="shared" si="6"/>
        <v>1.948051948051948E-2</v>
      </c>
      <c r="W30" s="40">
        <v>3</v>
      </c>
      <c r="X30" s="41">
        <f t="shared" si="7"/>
        <v>2.5000000000000001E-2</v>
      </c>
      <c r="Y30" s="40">
        <v>14</v>
      </c>
      <c r="Z30" s="41">
        <f t="shared" si="8"/>
        <v>9.0909090909090912E-2</v>
      </c>
      <c r="AA30" s="40">
        <v>11</v>
      </c>
      <c r="AB30" s="41">
        <f t="shared" si="9"/>
        <v>9.166666666666666E-2</v>
      </c>
      <c r="AC30" s="40">
        <v>137</v>
      </c>
      <c r="AD30" s="41">
        <f t="shared" si="17"/>
        <v>0.88961038961038963</v>
      </c>
      <c r="AE30" s="40">
        <v>106</v>
      </c>
      <c r="AF30" s="41">
        <f t="shared" si="10"/>
        <v>0.8833333333333333</v>
      </c>
      <c r="AG30" s="40">
        <v>4</v>
      </c>
      <c r="AH30" s="41">
        <f t="shared" si="18"/>
        <v>2.5974025974025976E-2</v>
      </c>
      <c r="AI30" s="40">
        <v>4</v>
      </c>
      <c r="AJ30" s="41">
        <f t="shared" si="11"/>
        <v>3.3333333333333333E-2</v>
      </c>
      <c r="AK30" s="40">
        <v>4</v>
      </c>
      <c r="AL30" s="41">
        <f t="shared" si="19"/>
        <v>2.5974025974025976E-2</v>
      </c>
      <c r="AM30" s="40">
        <v>3</v>
      </c>
      <c r="AN30" s="41">
        <f t="shared" si="12"/>
        <v>2.5000000000000001E-2</v>
      </c>
      <c r="AO30" s="40">
        <v>110</v>
      </c>
      <c r="AP30" s="41">
        <f t="shared" si="20"/>
        <v>0.7142857142857143</v>
      </c>
      <c r="AQ30" s="40">
        <v>85</v>
      </c>
      <c r="AR30" s="41">
        <f t="shared" si="13"/>
        <v>0.70833333333333337</v>
      </c>
      <c r="AS30" s="40">
        <v>24</v>
      </c>
      <c r="AT30" s="41">
        <f t="shared" si="21"/>
        <v>0.15584415584415584</v>
      </c>
      <c r="AU30" s="40">
        <v>18</v>
      </c>
      <c r="AV30" s="41">
        <f t="shared" si="14"/>
        <v>0.15</v>
      </c>
      <c r="AW30" s="40">
        <v>8</v>
      </c>
      <c r="AX30" s="41">
        <f t="shared" si="22"/>
        <v>5.1948051948051951E-2</v>
      </c>
      <c r="AY30" s="40">
        <v>3</v>
      </c>
      <c r="AZ30" s="41">
        <f t="shared" si="15"/>
        <v>2.5000000000000001E-2</v>
      </c>
      <c r="BA30" s="40">
        <v>4</v>
      </c>
      <c r="BB30" s="41">
        <f t="shared" si="23"/>
        <v>2.5974025974025976E-2</v>
      </c>
      <c r="BC30" s="40">
        <v>7</v>
      </c>
      <c r="BD30" s="41">
        <f t="shared" si="16"/>
        <v>5.8333333333333334E-2</v>
      </c>
      <c r="BE30" s="40">
        <v>154</v>
      </c>
      <c r="BF30" s="40">
        <v>120</v>
      </c>
    </row>
    <row r="31" spans="1:58" ht="15.75" customHeight="1" x14ac:dyDescent="0.25">
      <c r="A31" s="39">
        <v>2024</v>
      </c>
      <c r="B31" s="39">
        <v>170384</v>
      </c>
      <c r="C31" s="37" t="str">
        <f>VLOOKUP(B31,procv!$A$2:$D$142,4,FALSE)</f>
        <v>Médio Norte Araguaia</v>
      </c>
      <c r="D31" s="37" t="s">
        <v>34</v>
      </c>
      <c r="E31" s="40">
        <v>6</v>
      </c>
      <c r="F31" s="42">
        <f t="shared" si="0"/>
        <v>7.4074074074074077E-3</v>
      </c>
      <c r="G31" s="40">
        <v>2</v>
      </c>
      <c r="H31" s="42">
        <f t="shared" si="1"/>
        <v>4.4943820224719105E-3</v>
      </c>
      <c r="I31" s="40">
        <v>25</v>
      </c>
      <c r="J31" s="41">
        <f t="shared" si="2"/>
        <v>3.0864197530864196E-2</v>
      </c>
      <c r="K31" s="40">
        <v>19</v>
      </c>
      <c r="L31" s="41">
        <f t="shared" si="3"/>
        <v>4.2696629213483148E-2</v>
      </c>
      <c r="M31" s="40">
        <v>746</v>
      </c>
      <c r="N31" s="41">
        <f>IFERROR(M31/$BE31,0)</f>
        <v>0.92098765432098761</v>
      </c>
      <c r="O31" s="40">
        <v>409</v>
      </c>
      <c r="P31" s="41">
        <f t="shared" si="4"/>
        <v>0.91910112359550566</v>
      </c>
      <c r="Q31" s="40">
        <v>33</v>
      </c>
      <c r="R31" s="41">
        <f>IFERROR(Q31/$BE31,0)</f>
        <v>4.0740740740740744E-2</v>
      </c>
      <c r="S31" s="40">
        <v>15</v>
      </c>
      <c r="T31" s="41">
        <f t="shared" si="5"/>
        <v>3.3707865168539325E-2</v>
      </c>
      <c r="U31" s="40">
        <v>26</v>
      </c>
      <c r="V31" s="41">
        <f t="shared" si="6"/>
        <v>3.2098765432098768E-2</v>
      </c>
      <c r="W31" s="40">
        <v>21</v>
      </c>
      <c r="X31" s="41">
        <f t="shared" si="7"/>
        <v>4.7191011235955059E-2</v>
      </c>
      <c r="Y31" s="40">
        <v>50</v>
      </c>
      <c r="Z31" s="41">
        <f t="shared" si="8"/>
        <v>6.1728395061728392E-2</v>
      </c>
      <c r="AA31" s="40">
        <v>44</v>
      </c>
      <c r="AB31" s="41">
        <f t="shared" si="9"/>
        <v>9.8876404494382023E-2</v>
      </c>
      <c r="AC31" s="40">
        <v>734</v>
      </c>
      <c r="AD31" s="41">
        <f t="shared" si="17"/>
        <v>0.90617283950617289</v>
      </c>
      <c r="AE31" s="40">
        <v>380</v>
      </c>
      <c r="AF31" s="41">
        <f t="shared" si="10"/>
        <v>0.8539325842696629</v>
      </c>
      <c r="AG31" s="40">
        <v>12</v>
      </c>
      <c r="AH31" s="41">
        <f t="shared" si="18"/>
        <v>1.4814814814814815E-2</v>
      </c>
      <c r="AI31" s="40">
        <v>5</v>
      </c>
      <c r="AJ31" s="41">
        <f t="shared" si="11"/>
        <v>1.1235955056179775E-2</v>
      </c>
      <c r="AK31" s="40">
        <v>22</v>
      </c>
      <c r="AL31" s="41">
        <f t="shared" si="19"/>
        <v>2.7160493827160494E-2</v>
      </c>
      <c r="AM31" s="40">
        <v>12</v>
      </c>
      <c r="AN31" s="41">
        <f t="shared" si="12"/>
        <v>2.6966292134831461E-2</v>
      </c>
      <c r="AO31" s="40">
        <v>606</v>
      </c>
      <c r="AP31" s="41">
        <f t="shared" si="20"/>
        <v>0.74814814814814812</v>
      </c>
      <c r="AQ31" s="40">
        <v>341</v>
      </c>
      <c r="AR31" s="41">
        <f t="shared" si="13"/>
        <v>0.76629213483146064</v>
      </c>
      <c r="AS31" s="40">
        <v>108</v>
      </c>
      <c r="AT31" s="41">
        <f t="shared" si="21"/>
        <v>0.13333333333333333</v>
      </c>
      <c r="AU31" s="40">
        <v>56</v>
      </c>
      <c r="AV31" s="41">
        <f t="shared" si="14"/>
        <v>0.12584269662921349</v>
      </c>
      <c r="AW31" s="40">
        <v>45</v>
      </c>
      <c r="AX31" s="41">
        <f t="shared" si="22"/>
        <v>5.5555555555555552E-2</v>
      </c>
      <c r="AY31" s="40">
        <v>22</v>
      </c>
      <c r="AZ31" s="41">
        <f t="shared" si="15"/>
        <v>4.9438202247191011E-2</v>
      </c>
      <c r="BA31" s="40">
        <v>17</v>
      </c>
      <c r="BB31" s="41">
        <f t="shared" si="23"/>
        <v>2.0987654320987655E-2</v>
      </c>
      <c r="BC31" s="40">
        <v>9</v>
      </c>
      <c r="BD31" s="41">
        <f t="shared" si="16"/>
        <v>2.0224719101123594E-2</v>
      </c>
      <c r="BE31" s="40">
        <v>810</v>
      </c>
      <c r="BF31" s="40">
        <v>445</v>
      </c>
    </row>
    <row r="32" spans="1:58" ht="15.75" customHeight="1" x14ac:dyDescent="0.25">
      <c r="A32" s="39">
        <v>2024</v>
      </c>
      <c r="B32" s="39">
        <v>170386</v>
      </c>
      <c r="C32" s="37" t="str">
        <f>VLOOKUP(B32,procv!$A$2:$D$142,4,FALSE)</f>
        <v>Ilha do Bananal</v>
      </c>
      <c r="D32" s="37" t="s">
        <v>35</v>
      </c>
      <c r="E32" s="40">
        <v>2</v>
      </c>
      <c r="F32" s="42">
        <f t="shared" si="0"/>
        <v>9.0090090090090089E-3</v>
      </c>
      <c r="G32" s="40">
        <v>3</v>
      </c>
      <c r="H32" s="42">
        <f t="shared" si="1"/>
        <v>2.3076923076923078E-2</v>
      </c>
      <c r="I32" s="40">
        <v>4</v>
      </c>
      <c r="J32" s="41">
        <f t="shared" si="2"/>
        <v>1.8018018018018018E-2</v>
      </c>
      <c r="K32" s="40">
        <v>2</v>
      </c>
      <c r="L32" s="41">
        <f t="shared" si="3"/>
        <v>1.5384615384615385E-2</v>
      </c>
      <c r="M32" s="40">
        <v>203</v>
      </c>
      <c r="N32" s="41">
        <f>IFERROR(M32/$BE32,0)</f>
        <v>0.9144144144144144</v>
      </c>
      <c r="O32" s="40">
        <v>116</v>
      </c>
      <c r="P32" s="41">
        <f t="shared" si="4"/>
        <v>0.89230769230769236</v>
      </c>
      <c r="Q32" s="40">
        <v>13</v>
      </c>
      <c r="R32" s="41">
        <f>IFERROR(Q32/$BE32,0)</f>
        <v>5.8558558558558557E-2</v>
      </c>
      <c r="S32" s="40">
        <v>9</v>
      </c>
      <c r="T32" s="41">
        <f t="shared" si="5"/>
        <v>6.9230769230769235E-2</v>
      </c>
      <c r="U32" s="40">
        <v>6</v>
      </c>
      <c r="V32" s="41">
        <f t="shared" si="6"/>
        <v>2.7027027027027029E-2</v>
      </c>
      <c r="W32" s="40">
        <v>6</v>
      </c>
      <c r="X32" s="41">
        <f t="shared" si="7"/>
        <v>4.6153846153846156E-2</v>
      </c>
      <c r="Y32" s="40">
        <v>10</v>
      </c>
      <c r="Z32" s="41">
        <f t="shared" si="8"/>
        <v>4.5045045045045043E-2</v>
      </c>
      <c r="AA32" s="40">
        <v>2</v>
      </c>
      <c r="AB32" s="41">
        <f t="shared" si="9"/>
        <v>1.5384615384615385E-2</v>
      </c>
      <c r="AC32" s="40">
        <v>206</v>
      </c>
      <c r="AD32" s="41">
        <f t="shared" si="17"/>
        <v>0.92792792792792789</v>
      </c>
      <c r="AE32" s="40">
        <v>122</v>
      </c>
      <c r="AF32" s="41">
        <f t="shared" si="10"/>
        <v>0.93846153846153846</v>
      </c>
      <c r="AG32" s="40">
        <v>6</v>
      </c>
      <c r="AH32" s="41">
        <f t="shared" si="18"/>
        <v>2.7027027027027029E-2</v>
      </c>
      <c r="AI32" s="40">
        <v>8</v>
      </c>
      <c r="AJ32" s="41">
        <f t="shared" si="11"/>
        <v>6.1538461538461542E-2</v>
      </c>
      <c r="AK32" s="40">
        <v>5</v>
      </c>
      <c r="AL32" s="41">
        <f t="shared" si="19"/>
        <v>2.2522522522522521E-2</v>
      </c>
      <c r="AM32" s="40">
        <v>6</v>
      </c>
      <c r="AN32" s="41">
        <f t="shared" si="12"/>
        <v>4.6153846153846156E-2</v>
      </c>
      <c r="AO32" s="40">
        <v>157</v>
      </c>
      <c r="AP32" s="41">
        <f t="shared" si="20"/>
        <v>0.7072072072072072</v>
      </c>
      <c r="AQ32" s="40">
        <v>82</v>
      </c>
      <c r="AR32" s="41">
        <f t="shared" si="13"/>
        <v>0.63076923076923075</v>
      </c>
      <c r="AS32" s="40">
        <v>34</v>
      </c>
      <c r="AT32" s="41">
        <f t="shared" si="21"/>
        <v>0.15315315315315314</v>
      </c>
      <c r="AU32" s="40">
        <v>19</v>
      </c>
      <c r="AV32" s="41">
        <f t="shared" si="14"/>
        <v>0.14615384615384616</v>
      </c>
      <c r="AW32" s="40">
        <v>14</v>
      </c>
      <c r="AX32" s="41">
        <f t="shared" si="22"/>
        <v>6.3063063063063057E-2</v>
      </c>
      <c r="AY32" s="40">
        <v>11</v>
      </c>
      <c r="AZ32" s="41">
        <f t="shared" si="15"/>
        <v>8.461538461538462E-2</v>
      </c>
      <c r="BA32" s="40">
        <v>6</v>
      </c>
      <c r="BB32" s="41">
        <f t="shared" si="23"/>
        <v>2.7027027027027029E-2</v>
      </c>
      <c r="BC32" s="40">
        <v>4</v>
      </c>
      <c r="BD32" s="41">
        <f t="shared" si="16"/>
        <v>3.0769230769230771E-2</v>
      </c>
      <c r="BE32" s="40">
        <v>222</v>
      </c>
      <c r="BF32" s="40">
        <v>130</v>
      </c>
    </row>
    <row r="33" spans="1:58" ht="15.75" customHeight="1" x14ac:dyDescent="0.25">
      <c r="A33" s="39">
        <v>2024</v>
      </c>
      <c r="B33" s="39">
        <v>170388</v>
      </c>
      <c r="C33" s="37" t="str">
        <f>VLOOKUP(B33,procv!$A$2:$D$142,4,FALSE)</f>
        <v>Médio Norte Araguaia</v>
      </c>
      <c r="D33" s="37" t="s">
        <v>36</v>
      </c>
      <c r="E33" s="40">
        <v>3</v>
      </c>
      <c r="F33" s="42">
        <f t="shared" si="0"/>
        <v>1.3824884792626729E-2</v>
      </c>
      <c r="G33" s="40">
        <v>3</v>
      </c>
      <c r="H33" s="42">
        <f t="shared" si="1"/>
        <v>2.0270270270270271E-2</v>
      </c>
      <c r="I33" s="40">
        <v>3</v>
      </c>
      <c r="J33" s="41">
        <f t="shared" si="2"/>
        <v>1.3824884792626729E-2</v>
      </c>
      <c r="K33" s="40">
        <v>2</v>
      </c>
      <c r="L33" s="41">
        <f t="shared" si="3"/>
        <v>1.3513513513513514E-2</v>
      </c>
      <c r="M33" s="40">
        <v>197</v>
      </c>
      <c r="N33" s="41">
        <f>IFERROR(M33/$BE33,0)</f>
        <v>0.90783410138248843</v>
      </c>
      <c r="O33" s="40">
        <v>135</v>
      </c>
      <c r="P33" s="41">
        <f t="shared" si="4"/>
        <v>0.91216216216216217</v>
      </c>
      <c r="Q33" s="40">
        <v>14</v>
      </c>
      <c r="R33" s="41">
        <f>IFERROR(Q33/$BE33,0)</f>
        <v>6.4516129032258063E-2</v>
      </c>
      <c r="S33" s="40">
        <v>8</v>
      </c>
      <c r="T33" s="41">
        <f t="shared" si="5"/>
        <v>5.4054054054054057E-2</v>
      </c>
      <c r="U33" s="40">
        <v>9</v>
      </c>
      <c r="V33" s="41">
        <f t="shared" si="6"/>
        <v>4.1474654377880185E-2</v>
      </c>
      <c r="W33" s="40">
        <v>5</v>
      </c>
      <c r="X33" s="41">
        <f t="shared" si="7"/>
        <v>3.3783783783783786E-2</v>
      </c>
      <c r="Y33" s="40">
        <v>20</v>
      </c>
      <c r="Z33" s="41">
        <f t="shared" si="8"/>
        <v>9.2165898617511524E-2</v>
      </c>
      <c r="AA33" s="40">
        <v>12</v>
      </c>
      <c r="AB33" s="41">
        <f t="shared" si="9"/>
        <v>8.1081081081081086E-2</v>
      </c>
      <c r="AC33" s="40">
        <v>188</v>
      </c>
      <c r="AD33" s="41">
        <f t="shared" si="17"/>
        <v>0.86635944700460832</v>
      </c>
      <c r="AE33" s="40">
        <v>131</v>
      </c>
      <c r="AF33" s="41">
        <f t="shared" si="10"/>
        <v>0.88513513513513509</v>
      </c>
      <c r="AG33" s="40">
        <v>4</v>
      </c>
      <c r="AH33" s="41">
        <f t="shared" si="18"/>
        <v>1.8433179723502304E-2</v>
      </c>
      <c r="AI33" s="40">
        <v>6</v>
      </c>
      <c r="AJ33" s="41">
        <f t="shared" si="11"/>
        <v>4.0540540540540543E-2</v>
      </c>
      <c r="AK33" s="40">
        <v>7</v>
      </c>
      <c r="AL33" s="41">
        <f t="shared" si="19"/>
        <v>3.2258064516129031E-2</v>
      </c>
      <c r="AM33" s="40">
        <v>9</v>
      </c>
      <c r="AN33" s="41">
        <f t="shared" si="12"/>
        <v>6.0810810810810814E-2</v>
      </c>
      <c r="AO33" s="40">
        <v>143</v>
      </c>
      <c r="AP33" s="41">
        <f t="shared" si="20"/>
        <v>0.65898617511520741</v>
      </c>
      <c r="AQ33" s="40">
        <v>99</v>
      </c>
      <c r="AR33" s="41">
        <f t="shared" si="13"/>
        <v>0.66891891891891897</v>
      </c>
      <c r="AS33" s="40">
        <v>33</v>
      </c>
      <c r="AT33" s="41">
        <f t="shared" si="21"/>
        <v>0.15207373271889402</v>
      </c>
      <c r="AU33" s="40">
        <v>22</v>
      </c>
      <c r="AV33" s="41">
        <f t="shared" si="14"/>
        <v>0.14864864864864866</v>
      </c>
      <c r="AW33" s="40">
        <v>19</v>
      </c>
      <c r="AX33" s="41">
        <f t="shared" si="22"/>
        <v>8.755760368663594E-2</v>
      </c>
      <c r="AY33" s="40">
        <v>7</v>
      </c>
      <c r="AZ33" s="41">
        <f t="shared" si="15"/>
        <v>4.72972972972973E-2</v>
      </c>
      <c r="BA33" s="40">
        <v>11</v>
      </c>
      <c r="BB33" s="41">
        <f t="shared" si="23"/>
        <v>5.0691244239631339E-2</v>
      </c>
      <c r="BC33" s="40">
        <v>5</v>
      </c>
      <c r="BD33" s="41">
        <f t="shared" si="16"/>
        <v>3.3783783783783786E-2</v>
      </c>
      <c r="BE33" s="40">
        <v>217</v>
      </c>
      <c r="BF33" s="40">
        <v>148</v>
      </c>
    </row>
    <row r="34" spans="1:58" ht="15.75" customHeight="1" x14ac:dyDescent="0.25">
      <c r="A34" s="39">
        <v>2024</v>
      </c>
      <c r="B34" s="39">
        <v>170389</v>
      </c>
      <c r="C34" s="37" t="str">
        <f>VLOOKUP(B34,procv!$A$2:$D$142,4,FALSE)</f>
        <v>Bico do Papagaio</v>
      </c>
      <c r="D34" s="37" t="s">
        <v>37</v>
      </c>
      <c r="E34" s="40">
        <v>1</v>
      </c>
      <c r="F34" s="42">
        <f t="shared" si="0"/>
        <v>3.4602076124567475E-3</v>
      </c>
      <c r="G34" s="40">
        <v>1</v>
      </c>
      <c r="H34" s="42">
        <f t="shared" si="1"/>
        <v>5.4054054054054057E-3</v>
      </c>
      <c r="I34" s="40">
        <v>11</v>
      </c>
      <c r="J34" s="41">
        <f t="shared" si="2"/>
        <v>3.8062283737024222E-2</v>
      </c>
      <c r="K34" s="40">
        <v>11</v>
      </c>
      <c r="L34" s="41">
        <f t="shared" si="3"/>
        <v>5.9459459459459463E-2</v>
      </c>
      <c r="M34" s="40">
        <v>264</v>
      </c>
      <c r="N34" s="41">
        <f>IFERROR(M34/$BE34,0)</f>
        <v>0.91349480968858132</v>
      </c>
      <c r="O34" s="40">
        <v>163</v>
      </c>
      <c r="P34" s="41">
        <f t="shared" si="4"/>
        <v>0.88108108108108107</v>
      </c>
      <c r="Q34" s="40">
        <v>13</v>
      </c>
      <c r="R34" s="41">
        <f>IFERROR(Q34/$BE34,0)</f>
        <v>4.4982698961937718E-2</v>
      </c>
      <c r="S34" s="40">
        <v>10</v>
      </c>
      <c r="T34" s="41">
        <f t="shared" si="5"/>
        <v>5.4054054054054057E-2</v>
      </c>
      <c r="U34" s="40">
        <v>12</v>
      </c>
      <c r="V34" s="41">
        <f t="shared" si="6"/>
        <v>4.1522491349480967E-2</v>
      </c>
      <c r="W34" s="40">
        <v>5</v>
      </c>
      <c r="X34" s="41">
        <f t="shared" si="7"/>
        <v>2.7027027027027029E-2</v>
      </c>
      <c r="Y34" s="40">
        <v>25</v>
      </c>
      <c r="Z34" s="41">
        <f t="shared" si="8"/>
        <v>8.6505190311418678E-2</v>
      </c>
      <c r="AA34" s="40">
        <v>27</v>
      </c>
      <c r="AB34" s="41">
        <f t="shared" si="9"/>
        <v>0.14594594594594595</v>
      </c>
      <c r="AC34" s="40">
        <v>252</v>
      </c>
      <c r="AD34" s="41">
        <f t="shared" si="17"/>
        <v>0.87197231833910038</v>
      </c>
      <c r="AE34" s="40">
        <v>153</v>
      </c>
      <c r="AF34" s="41">
        <f t="shared" si="10"/>
        <v>0.82702702702702702</v>
      </c>
      <c r="AG34" s="40">
        <v>9</v>
      </c>
      <c r="AH34" s="41">
        <f t="shared" si="18"/>
        <v>3.1141868512110725E-2</v>
      </c>
      <c r="AI34" s="40">
        <v>7</v>
      </c>
      <c r="AJ34" s="41">
        <f t="shared" si="11"/>
        <v>3.783783783783784E-2</v>
      </c>
      <c r="AK34" s="40">
        <v>12</v>
      </c>
      <c r="AL34" s="41">
        <f t="shared" si="19"/>
        <v>4.1522491349480967E-2</v>
      </c>
      <c r="AM34" s="40">
        <v>6</v>
      </c>
      <c r="AN34" s="41">
        <f t="shared" si="12"/>
        <v>3.2432432432432434E-2</v>
      </c>
      <c r="AO34" s="40">
        <v>188</v>
      </c>
      <c r="AP34" s="41">
        <f t="shared" si="20"/>
        <v>0.65051903114186849</v>
      </c>
      <c r="AQ34" s="40">
        <v>128</v>
      </c>
      <c r="AR34" s="41">
        <f t="shared" si="13"/>
        <v>0.69189189189189193</v>
      </c>
      <c r="AS34" s="40">
        <v>51</v>
      </c>
      <c r="AT34" s="41">
        <f t="shared" si="21"/>
        <v>0.17647058823529413</v>
      </c>
      <c r="AU34" s="40">
        <v>28</v>
      </c>
      <c r="AV34" s="41">
        <f t="shared" si="14"/>
        <v>0.15135135135135136</v>
      </c>
      <c r="AW34" s="40">
        <v>17</v>
      </c>
      <c r="AX34" s="41">
        <f t="shared" si="22"/>
        <v>5.8823529411764705E-2</v>
      </c>
      <c r="AY34" s="40">
        <v>9</v>
      </c>
      <c r="AZ34" s="41">
        <f t="shared" si="15"/>
        <v>4.8648648648648651E-2</v>
      </c>
      <c r="BA34" s="40">
        <v>12</v>
      </c>
      <c r="BB34" s="41">
        <f t="shared" si="23"/>
        <v>4.1522491349480967E-2</v>
      </c>
      <c r="BC34" s="40">
        <v>7</v>
      </c>
      <c r="BD34" s="41">
        <f t="shared" si="16"/>
        <v>3.783783783783784E-2</v>
      </c>
      <c r="BE34" s="40">
        <v>289</v>
      </c>
      <c r="BF34" s="40">
        <v>185</v>
      </c>
    </row>
    <row r="35" spans="1:58" ht="15.75" customHeight="1" x14ac:dyDescent="0.25">
      <c r="A35" s="39">
        <v>2024</v>
      </c>
      <c r="B35" s="39">
        <v>170390</v>
      </c>
      <c r="C35" s="37" t="str">
        <f>VLOOKUP(B35,procv!$A$2:$D$142,4,FALSE)</f>
        <v>Cantão</v>
      </c>
      <c r="D35" s="37" t="s">
        <v>38</v>
      </c>
      <c r="E35" s="40">
        <v>7</v>
      </c>
      <c r="F35" s="42">
        <f t="shared" si="0"/>
        <v>2.0648967551622419E-2</v>
      </c>
      <c r="G35" s="40">
        <v>5</v>
      </c>
      <c r="H35" s="42">
        <f t="shared" si="1"/>
        <v>2.3255813953488372E-2</v>
      </c>
      <c r="I35" s="40">
        <v>7</v>
      </c>
      <c r="J35" s="41">
        <f t="shared" si="2"/>
        <v>2.0648967551622419E-2</v>
      </c>
      <c r="K35" s="40">
        <v>5</v>
      </c>
      <c r="L35" s="41">
        <f t="shared" si="3"/>
        <v>2.3255813953488372E-2</v>
      </c>
      <c r="M35" s="40">
        <v>305</v>
      </c>
      <c r="N35" s="41">
        <f>IFERROR(M35/$BE35,0)</f>
        <v>0.89970501474926257</v>
      </c>
      <c r="O35" s="40">
        <v>194</v>
      </c>
      <c r="P35" s="41">
        <f t="shared" si="4"/>
        <v>0.9023255813953488</v>
      </c>
      <c r="Q35" s="40">
        <v>20</v>
      </c>
      <c r="R35" s="41">
        <f>IFERROR(Q35/$BE35,0)</f>
        <v>5.8997050147492625E-2</v>
      </c>
      <c r="S35" s="40">
        <v>11</v>
      </c>
      <c r="T35" s="41">
        <f t="shared" si="5"/>
        <v>5.1162790697674418E-2</v>
      </c>
      <c r="U35" s="40">
        <v>35</v>
      </c>
      <c r="V35" s="41">
        <f t="shared" si="6"/>
        <v>0.10324483775811209</v>
      </c>
      <c r="W35" s="40">
        <v>19</v>
      </c>
      <c r="X35" s="41">
        <f t="shared" si="7"/>
        <v>8.8372093023255813E-2</v>
      </c>
      <c r="Y35" s="40">
        <v>26</v>
      </c>
      <c r="Z35" s="41">
        <f t="shared" si="8"/>
        <v>7.6696165191740412E-2</v>
      </c>
      <c r="AA35" s="40">
        <v>14</v>
      </c>
      <c r="AB35" s="41">
        <f t="shared" si="9"/>
        <v>6.5116279069767441E-2</v>
      </c>
      <c r="AC35" s="40">
        <v>278</v>
      </c>
      <c r="AD35" s="41">
        <f t="shared" si="17"/>
        <v>0.82005899705014751</v>
      </c>
      <c r="AE35" s="40">
        <v>182</v>
      </c>
      <c r="AF35" s="41">
        <f t="shared" si="10"/>
        <v>0.84651162790697676</v>
      </c>
      <c r="AG35" s="40">
        <v>6</v>
      </c>
      <c r="AH35" s="41">
        <f t="shared" si="18"/>
        <v>1.7699115044247787E-2</v>
      </c>
      <c r="AI35" s="40">
        <v>6</v>
      </c>
      <c r="AJ35" s="41">
        <f t="shared" si="11"/>
        <v>2.7906976744186046E-2</v>
      </c>
      <c r="AK35" s="40">
        <v>11</v>
      </c>
      <c r="AL35" s="41">
        <f t="shared" si="19"/>
        <v>3.2448377581120944E-2</v>
      </c>
      <c r="AM35" s="40">
        <v>8</v>
      </c>
      <c r="AN35" s="41">
        <f t="shared" si="12"/>
        <v>3.7209302325581395E-2</v>
      </c>
      <c r="AO35" s="40">
        <v>210</v>
      </c>
      <c r="AP35" s="41">
        <f t="shared" si="20"/>
        <v>0.61946902654867253</v>
      </c>
      <c r="AQ35" s="40">
        <v>134</v>
      </c>
      <c r="AR35" s="41">
        <f t="shared" si="13"/>
        <v>0.62325581395348839</v>
      </c>
      <c r="AS35" s="40">
        <v>52</v>
      </c>
      <c r="AT35" s="41">
        <f t="shared" si="21"/>
        <v>0.15339233038348082</v>
      </c>
      <c r="AU35" s="40">
        <v>33</v>
      </c>
      <c r="AV35" s="41">
        <f t="shared" si="14"/>
        <v>0.15348837209302327</v>
      </c>
      <c r="AW35" s="40">
        <v>31</v>
      </c>
      <c r="AX35" s="41">
        <f t="shared" si="22"/>
        <v>9.1445427728613568E-2</v>
      </c>
      <c r="AY35" s="40">
        <v>16</v>
      </c>
      <c r="AZ35" s="41">
        <f t="shared" si="15"/>
        <v>7.441860465116279E-2</v>
      </c>
      <c r="BA35" s="40">
        <v>29</v>
      </c>
      <c r="BB35" s="41">
        <f t="shared" si="23"/>
        <v>8.5545722713864306E-2</v>
      </c>
      <c r="BC35" s="40">
        <v>18</v>
      </c>
      <c r="BD35" s="41">
        <f t="shared" si="16"/>
        <v>8.3720930232558138E-2</v>
      </c>
      <c r="BE35" s="40">
        <v>339</v>
      </c>
      <c r="BF35" s="40">
        <v>215</v>
      </c>
    </row>
    <row r="36" spans="1:58" ht="15.75" customHeight="1" x14ac:dyDescent="0.25">
      <c r="A36" s="39">
        <v>2024</v>
      </c>
      <c r="B36" s="39">
        <v>170410</v>
      </c>
      <c r="C36" s="37" t="str">
        <f>VLOOKUP(B36,procv!$A$2:$D$142,4,FALSE)</f>
        <v>Cerrado Tocantins Araguaia</v>
      </c>
      <c r="D36" s="37" t="s">
        <v>39</v>
      </c>
      <c r="E36" s="40">
        <v>2</v>
      </c>
      <c r="F36" s="42">
        <f t="shared" si="0"/>
        <v>2.7027027027027029E-2</v>
      </c>
      <c r="G36" s="40">
        <v>2</v>
      </c>
      <c r="H36" s="42">
        <f t="shared" si="1"/>
        <v>2.9850746268656716E-2</v>
      </c>
      <c r="I36" s="40">
        <v>3</v>
      </c>
      <c r="J36" s="41">
        <f t="shared" si="2"/>
        <v>4.0540540540540543E-2</v>
      </c>
      <c r="K36" s="40">
        <v>4</v>
      </c>
      <c r="L36" s="41">
        <f t="shared" si="3"/>
        <v>5.9701492537313432E-2</v>
      </c>
      <c r="M36" s="40">
        <v>64</v>
      </c>
      <c r="N36" s="41">
        <f>IFERROR(M36/$BE36,0)</f>
        <v>0.86486486486486491</v>
      </c>
      <c r="O36" s="40">
        <v>56</v>
      </c>
      <c r="P36" s="41">
        <f t="shared" si="4"/>
        <v>0.83582089552238803</v>
      </c>
      <c r="Q36" s="40">
        <v>5</v>
      </c>
      <c r="R36" s="41">
        <f>IFERROR(Q36/$BE36,0)</f>
        <v>6.7567567567567571E-2</v>
      </c>
      <c r="S36" s="40">
        <v>5</v>
      </c>
      <c r="T36" s="41">
        <f t="shared" si="5"/>
        <v>7.4626865671641784E-2</v>
      </c>
      <c r="U36" s="40">
        <v>2</v>
      </c>
      <c r="V36" s="41">
        <f t="shared" si="6"/>
        <v>2.7027027027027029E-2</v>
      </c>
      <c r="W36" s="40">
        <v>3</v>
      </c>
      <c r="X36" s="41">
        <f t="shared" si="7"/>
        <v>4.4776119402985072E-2</v>
      </c>
      <c r="Y36" s="40">
        <v>8</v>
      </c>
      <c r="Z36" s="41">
        <f t="shared" si="8"/>
        <v>0.10810810810810811</v>
      </c>
      <c r="AA36" s="40">
        <v>9</v>
      </c>
      <c r="AB36" s="41">
        <f t="shared" si="9"/>
        <v>0.13432835820895522</v>
      </c>
      <c r="AC36" s="40">
        <v>64</v>
      </c>
      <c r="AD36" s="41">
        <f t="shared" si="17"/>
        <v>0.86486486486486491</v>
      </c>
      <c r="AE36" s="40">
        <v>55</v>
      </c>
      <c r="AF36" s="41">
        <f t="shared" si="10"/>
        <v>0.82089552238805974</v>
      </c>
      <c r="AG36" s="40">
        <v>7</v>
      </c>
      <c r="AH36" s="41">
        <f t="shared" si="18"/>
        <v>9.45945945945946E-2</v>
      </c>
      <c r="AI36" s="40">
        <v>5</v>
      </c>
      <c r="AJ36" s="41">
        <f t="shared" si="11"/>
        <v>7.4626865671641784E-2</v>
      </c>
      <c r="AK36" s="40">
        <v>2</v>
      </c>
      <c r="AL36" s="41">
        <f t="shared" si="19"/>
        <v>2.7027027027027029E-2</v>
      </c>
      <c r="AM36" s="40">
        <v>3</v>
      </c>
      <c r="AN36" s="41">
        <f t="shared" si="12"/>
        <v>4.4776119402985072E-2</v>
      </c>
      <c r="AO36" s="40">
        <v>49</v>
      </c>
      <c r="AP36" s="41">
        <f t="shared" si="20"/>
        <v>0.66216216216216217</v>
      </c>
      <c r="AQ36" s="40">
        <v>45</v>
      </c>
      <c r="AR36" s="41">
        <f t="shared" si="13"/>
        <v>0.67164179104477617</v>
      </c>
      <c r="AS36" s="40">
        <v>7</v>
      </c>
      <c r="AT36" s="41">
        <f t="shared" si="21"/>
        <v>9.45945945945946E-2</v>
      </c>
      <c r="AU36" s="40">
        <v>7</v>
      </c>
      <c r="AV36" s="41">
        <f t="shared" si="14"/>
        <v>0.1044776119402985</v>
      </c>
      <c r="AW36" s="40">
        <v>4</v>
      </c>
      <c r="AX36" s="41">
        <f t="shared" si="22"/>
        <v>5.4054054054054057E-2</v>
      </c>
      <c r="AY36" s="40">
        <v>2</v>
      </c>
      <c r="AZ36" s="41">
        <f t="shared" si="15"/>
        <v>2.9850746268656716E-2</v>
      </c>
      <c r="BA36" s="40">
        <v>5</v>
      </c>
      <c r="BB36" s="41">
        <f t="shared" si="23"/>
        <v>6.7567567567567571E-2</v>
      </c>
      <c r="BC36" s="40">
        <v>5</v>
      </c>
      <c r="BD36" s="41">
        <f t="shared" si="16"/>
        <v>7.4626865671641784E-2</v>
      </c>
      <c r="BE36" s="40">
        <v>74</v>
      </c>
      <c r="BF36" s="40">
        <v>67</v>
      </c>
    </row>
    <row r="37" spans="1:58" ht="15.75" customHeight="1" x14ac:dyDescent="0.25">
      <c r="A37" s="39">
        <v>2024</v>
      </c>
      <c r="B37" s="39">
        <v>170510</v>
      </c>
      <c r="C37" s="37" t="str">
        <f>VLOOKUP(B37,procv!$A$2:$D$142,4,FALSE)</f>
        <v>Amor Perfeito</v>
      </c>
      <c r="D37" s="37" t="s">
        <v>40</v>
      </c>
      <c r="E37" s="40">
        <v>1</v>
      </c>
      <c r="F37" s="42">
        <f t="shared" si="0"/>
        <v>4.1841004184100415E-3</v>
      </c>
      <c r="G37" s="40">
        <v>2</v>
      </c>
      <c r="H37" s="42">
        <f t="shared" si="1"/>
        <v>1.3605442176870748E-2</v>
      </c>
      <c r="I37" s="40">
        <v>1</v>
      </c>
      <c r="J37" s="41">
        <f t="shared" si="2"/>
        <v>4.1841004184100415E-3</v>
      </c>
      <c r="K37" s="40">
        <v>2</v>
      </c>
      <c r="L37" s="41">
        <f t="shared" si="3"/>
        <v>1.3605442176870748E-2</v>
      </c>
      <c r="M37" s="40">
        <v>226</v>
      </c>
      <c r="N37" s="41">
        <f>IFERROR(M37/$BE37,0)</f>
        <v>0.94560669456066948</v>
      </c>
      <c r="O37" s="40">
        <v>130</v>
      </c>
      <c r="P37" s="41">
        <f t="shared" si="4"/>
        <v>0.88435374149659862</v>
      </c>
      <c r="Q37" s="40">
        <v>11</v>
      </c>
      <c r="R37" s="41">
        <f>IFERROR(Q37/$BE37,0)</f>
        <v>4.6025104602510462E-2</v>
      </c>
      <c r="S37" s="40">
        <v>13</v>
      </c>
      <c r="T37" s="41">
        <f t="shared" si="5"/>
        <v>8.8435374149659865E-2</v>
      </c>
      <c r="U37" s="40">
        <v>9</v>
      </c>
      <c r="V37" s="41">
        <f t="shared" si="6"/>
        <v>3.7656903765690378E-2</v>
      </c>
      <c r="W37" s="40">
        <v>13</v>
      </c>
      <c r="X37" s="41">
        <f t="shared" si="7"/>
        <v>8.8435374149659865E-2</v>
      </c>
      <c r="Y37" s="40">
        <v>25</v>
      </c>
      <c r="Z37" s="41">
        <f t="shared" si="8"/>
        <v>0.10460251046025104</v>
      </c>
      <c r="AA37" s="40">
        <v>13</v>
      </c>
      <c r="AB37" s="41">
        <f t="shared" si="9"/>
        <v>8.8435374149659865E-2</v>
      </c>
      <c r="AC37" s="40">
        <v>205</v>
      </c>
      <c r="AD37" s="41">
        <f t="shared" si="17"/>
        <v>0.85774058577405854</v>
      </c>
      <c r="AE37" s="40">
        <v>121</v>
      </c>
      <c r="AF37" s="41">
        <f t="shared" si="10"/>
        <v>0.8231292517006803</v>
      </c>
      <c r="AG37" s="40">
        <v>6</v>
      </c>
      <c r="AH37" s="41">
        <f t="shared" si="18"/>
        <v>2.5104602510460251E-2</v>
      </c>
      <c r="AI37" s="40">
        <v>8</v>
      </c>
      <c r="AJ37" s="41">
        <f t="shared" si="11"/>
        <v>5.4421768707482991E-2</v>
      </c>
      <c r="AK37" s="40">
        <v>7</v>
      </c>
      <c r="AL37" s="41">
        <f t="shared" si="19"/>
        <v>2.9288702928870293E-2</v>
      </c>
      <c r="AM37" s="40">
        <v>8</v>
      </c>
      <c r="AN37" s="41">
        <f t="shared" si="12"/>
        <v>5.4421768707482991E-2</v>
      </c>
      <c r="AO37" s="40">
        <v>166</v>
      </c>
      <c r="AP37" s="41">
        <f t="shared" si="20"/>
        <v>0.69456066945606698</v>
      </c>
      <c r="AQ37" s="40">
        <v>93</v>
      </c>
      <c r="AR37" s="41">
        <f t="shared" si="13"/>
        <v>0.63265306122448983</v>
      </c>
      <c r="AS37" s="40">
        <v>32</v>
      </c>
      <c r="AT37" s="41">
        <f t="shared" si="21"/>
        <v>0.13389121338912133</v>
      </c>
      <c r="AU37" s="40">
        <v>11</v>
      </c>
      <c r="AV37" s="41">
        <f t="shared" si="14"/>
        <v>7.4829931972789115E-2</v>
      </c>
      <c r="AW37" s="40">
        <v>14</v>
      </c>
      <c r="AX37" s="41">
        <f t="shared" si="22"/>
        <v>5.8577405857740586E-2</v>
      </c>
      <c r="AY37" s="40">
        <v>8</v>
      </c>
      <c r="AZ37" s="41">
        <f t="shared" si="15"/>
        <v>5.4421768707482991E-2</v>
      </c>
      <c r="BA37" s="40">
        <v>14</v>
      </c>
      <c r="BB37" s="41">
        <f t="shared" si="23"/>
        <v>5.8577405857740586E-2</v>
      </c>
      <c r="BC37" s="40">
        <v>19</v>
      </c>
      <c r="BD37" s="41">
        <f t="shared" si="16"/>
        <v>0.12925170068027211</v>
      </c>
      <c r="BE37" s="40">
        <v>239</v>
      </c>
      <c r="BF37" s="40">
        <v>147</v>
      </c>
    </row>
    <row r="38" spans="1:58" ht="15.75" customHeight="1" x14ac:dyDescent="0.25">
      <c r="A38" s="39">
        <v>2024</v>
      </c>
      <c r="B38" s="39">
        <v>170460</v>
      </c>
      <c r="C38" s="37" t="str">
        <f>VLOOKUP(B38,procv!$A$2:$D$142,4,FALSE)</f>
        <v>Cantão</v>
      </c>
      <c r="D38" s="37" t="s">
        <v>41</v>
      </c>
      <c r="E38" s="40">
        <v>1</v>
      </c>
      <c r="F38" s="42">
        <f t="shared" si="0"/>
        <v>6.7114093959731542E-3</v>
      </c>
      <c r="G38" s="40">
        <v>0</v>
      </c>
      <c r="H38" s="42">
        <f t="shared" si="1"/>
        <v>0</v>
      </c>
      <c r="I38" s="40">
        <v>1</v>
      </c>
      <c r="J38" s="41">
        <f t="shared" si="2"/>
        <v>6.7114093959731542E-3</v>
      </c>
      <c r="K38" s="40">
        <v>0</v>
      </c>
      <c r="L38" s="41">
        <f t="shared" si="3"/>
        <v>0</v>
      </c>
      <c r="M38" s="40">
        <v>143</v>
      </c>
      <c r="N38" s="41">
        <f>IFERROR(M38/$BE38,0)</f>
        <v>0.95973154362416102</v>
      </c>
      <c r="O38" s="40">
        <v>74</v>
      </c>
      <c r="P38" s="41">
        <f t="shared" si="4"/>
        <v>0.96103896103896103</v>
      </c>
      <c r="Q38" s="40">
        <v>4</v>
      </c>
      <c r="R38" s="41">
        <f>IFERROR(Q38/$BE38,0)</f>
        <v>2.6845637583892617E-2</v>
      </c>
      <c r="S38" s="40">
        <v>3</v>
      </c>
      <c r="T38" s="41">
        <f t="shared" si="5"/>
        <v>3.896103896103896E-2</v>
      </c>
      <c r="U38" s="40">
        <v>5</v>
      </c>
      <c r="V38" s="41">
        <f t="shared" si="6"/>
        <v>3.3557046979865772E-2</v>
      </c>
      <c r="W38" s="40">
        <v>2</v>
      </c>
      <c r="X38" s="41">
        <f t="shared" si="7"/>
        <v>2.5974025974025976E-2</v>
      </c>
      <c r="Y38" s="40">
        <v>11</v>
      </c>
      <c r="Z38" s="41">
        <f t="shared" si="8"/>
        <v>7.3825503355704702E-2</v>
      </c>
      <c r="AA38" s="40">
        <v>6</v>
      </c>
      <c r="AB38" s="41">
        <f t="shared" si="9"/>
        <v>7.792207792207792E-2</v>
      </c>
      <c r="AC38" s="40">
        <v>133</v>
      </c>
      <c r="AD38" s="41">
        <f t="shared" si="17"/>
        <v>0.89261744966442957</v>
      </c>
      <c r="AE38" s="40">
        <v>69</v>
      </c>
      <c r="AF38" s="41">
        <f t="shared" si="10"/>
        <v>0.89610389610389607</v>
      </c>
      <c r="AG38" s="40">
        <v>1</v>
      </c>
      <c r="AH38" s="41">
        <f t="shared" si="18"/>
        <v>6.7114093959731542E-3</v>
      </c>
      <c r="AI38" s="40">
        <v>0</v>
      </c>
      <c r="AJ38" s="41">
        <f t="shared" si="11"/>
        <v>0</v>
      </c>
      <c r="AK38" s="40">
        <v>8</v>
      </c>
      <c r="AL38" s="41">
        <f t="shared" si="19"/>
        <v>5.3691275167785234E-2</v>
      </c>
      <c r="AM38" s="40">
        <v>6</v>
      </c>
      <c r="AN38" s="41">
        <f t="shared" si="12"/>
        <v>7.792207792207792E-2</v>
      </c>
      <c r="AO38" s="40">
        <v>102</v>
      </c>
      <c r="AP38" s="41">
        <f t="shared" si="20"/>
        <v>0.68456375838926176</v>
      </c>
      <c r="AQ38" s="40">
        <v>55</v>
      </c>
      <c r="AR38" s="41">
        <f t="shared" si="13"/>
        <v>0.7142857142857143</v>
      </c>
      <c r="AS38" s="40">
        <v>22</v>
      </c>
      <c r="AT38" s="41">
        <f t="shared" si="21"/>
        <v>0.1476510067114094</v>
      </c>
      <c r="AU38" s="40">
        <v>7</v>
      </c>
      <c r="AV38" s="41">
        <f t="shared" si="14"/>
        <v>9.0909090909090912E-2</v>
      </c>
      <c r="AW38" s="40">
        <v>11</v>
      </c>
      <c r="AX38" s="41">
        <f t="shared" si="22"/>
        <v>7.3825503355704702E-2</v>
      </c>
      <c r="AY38" s="40">
        <v>6</v>
      </c>
      <c r="AZ38" s="41">
        <f t="shared" si="15"/>
        <v>7.792207792207792E-2</v>
      </c>
      <c r="BA38" s="40">
        <v>5</v>
      </c>
      <c r="BB38" s="41">
        <f t="shared" si="23"/>
        <v>3.3557046979865772E-2</v>
      </c>
      <c r="BC38" s="40">
        <v>3</v>
      </c>
      <c r="BD38" s="41">
        <f t="shared" si="16"/>
        <v>3.896103896103896E-2</v>
      </c>
      <c r="BE38" s="40">
        <v>149</v>
      </c>
      <c r="BF38" s="40">
        <v>77</v>
      </c>
    </row>
    <row r="39" spans="1:58" ht="15.75" customHeight="1" x14ac:dyDescent="0.25">
      <c r="A39" s="39">
        <v>2024</v>
      </c>
      <c r="B39" s="39">
        <v>170550</v>
      </c>
      <c r="C39" s="37" t="str">
        <f>VLOOKUP(B39,procv!$A$2:$D$142,4,FALSE)</f>
        <v>Cerrado Tocantins Araguaia</v>
      </c>
      <c r="D39" s="37" t="s">
        <v>42</v>
      </c>
      <c r="E39" s="40">
        <v>18</v>
      </c>
      <c r="F39" s="42">
        <f t="shared" si="0"/>
        <v>1.0440835266821345E-2</v>
      </c>
      <c r="G39" s="40">
        <v>11</v>
      </c>
      <c r="H39" s="42">
        <f t="shared" si="1"/>
        <v>9.482758620689655E-3</v>
      </c>
      <c r="I39" s="40">
        <v>48</v>
      </c>
      <c r="J39" s="41">
        <f t="shared" si="2"/>
        <v>2.7842227378190254E-2</v>
      </c>
      <c r="K39" s="40">
        <v>36</v>
      </c>
      <c r="L39" s="41">
        <f t="shared" si="3"/>
        <v>3.1034482758620689E-2</v>
      </c>
      <c r="M39" s="43">
        <v>1541</v>
      </c>
      <c r="N39" s="41">
        <f>IFERROR(M39/$BE39,0)</f>
        <v>0.89385150812064962</v>
      </c>
      <c r="O39" s="43">
        <v>1031</v>
      </c>
      <c r="P39" s="41">
        <f t="shared" si="4"/>
        <v>0.88879310344827589</v>
      </c>
      <c r="Q39" s="40">
        <v>117</v>
      </c>
      <c r="R39" s="41">
        <f>IFERROR(Q39/$BE39,0)</f>
        <v>6.7865429234338748E-2</v>
      </c>
      <c r="S39" s="40">
        <v>82</v>
      </c>
      <c r="T39" s="41">
        <f t="shared" si="5"/>
        <v>7.0689655172413796E-2</v>
      </c>
      <c r="U39" s="40">
        <v>97</v>
      </c>
      <c r="V39" s="41">
        <f t="shared" si="6"/>
        <v>5.6264501160092809E-2</v>
      </c>
      <c r="W39" s="40">
        <v>81</v>
      </c>
      <c r="X39" s="41">
        <f t="shared" si="7"/>
        <v>6.9827586206896552E-2</v>
      </c>
      <c r="Y39" s="40">
        <v>117</v>
      </c>
      <c r="Z39" s="41">
        <f t="shared" si="8"/>
        <v>6.7865429234338748E-2</v>
      </c>
      <c r="AA39" s="40">
        <v>96</v>
      </c>
      <c r="AB39" s="41">
        <f t="shared" si="9"/>
        <v>8.2758620689655171E-2</v>
      </c>
      <c r="AC39" s="43">
        <v>1510</v>
      </c>
      <c r="AD39" s="41">
        <f t="shared" si="17"/>
        <v>0.87587006960556846</v>
      </c>
      <c r="AE39" s="40">
        <v>983</v>
      </c>
      <c r="AF39" s="41">
        <f t="shared" si="10"/>
        <v>0.84741379310344822</v>
      </c>
      <c r="AG39" s="40">
        <v>45</v>
      </c>
      <c r="AH39" s="41">
        <f t="shared" si="18"/>
        <v>2.6102088167053363E-2</v>
      </c>
      <c r="AI39" s="40">
        <v>41</v>
      </c>
      <c r="AJ39" s="41">
        <f t="shared" si="11"/>
        <v>3.5344827586206898E-2</v>
      </c>
      <c r="AK39" s="40">
        <v>67</v>
      </c>
      <c r="AL39" s="41">
        <f t="shared" si="19"/>
        <v>3.88631090487239E-2</v>
      </c>
      <c r="AM39" s="40">
        <v>59</v>
      </c>
      <c r="AN39" s="41">
        <f t="shared" si="12"/>
        <v>5.0862068965517239E-2</v>
      </c>
      <c r="AO39" s="43">
        <v>1104</v>
      </c>
      <c r="AP39" s="41">
        <f t="shared" si="20"/>
        <v>0.6403712296983759</v>
      </c>
      <c r="AQ39" s="40">
        <v>695</v>
      </c>
      <c r="AR39" s="41">
        <f t="shared" si="13"/>
        <v>0.59913793103448276</v>
      </c>
      <c r="AS39" s="40">
        <v>284</v>
      </c>
      <c r="AT39" s="41">
        <f t="shared" si="21"/>
        <v>0.16473317865429235</v>
      </c>
      <c r="AU39" s="40">
        <v>189</v>
      </c>
      <c r="AV39" s="41">
        <f t="shared" si="14"/>
        <v>0.16293103448275861</v>
      </c>
      <c r="AW39" s="40">
        <v>120</v>
      </c>
      <c r="AX39" s="41">
        <f t="shared" si="22"/>
        <v>6.9605568445475635E-2</v>
      </c>
      <c r="AY39" s="40">
        <v>88</v>
      </c>
      <c r="AZ39" s="41">
        <f t="shared" si="15"/>
        <v>7.586206896551724E-2</v>
      </c>
      <c r="BA39" s="40">
        <v>104</v>
      </c>
      <c r="BB39" s="41">
        <f t="shared" si="23"/>
        <v>6.0324825986078884E-2</v>
      </c>
      <c r="BC39" s="40">
        <v>88</v>
      </c>
      <c r="BD39" s="41">
        <f t="shared" si="16"/>
        <v>7.586206896551724E-2</v>
      </c>
      <c r="BE39" s="43">
        <v>1724</v>
      </c>
      <c r="BF39" s="43">
        <v>1160</v>
      </c>
    </row>
    <row r="40" spans="1:58" ht="15.75" customHeight="1" x14ac:dyDescent="0.25">
      <c r="A40" s="39">
        <v>2024</v>
      </c>
      <c r="B40" s="39">
        <v>171670</v>
      </c>
      <c r="C40" s="37" t="str">
        <f>VLOOKUP(B40,procv!$A$2:$D$142,4,FALSE)</f>
        <v>Cerrado Tocantins Araguaia</v>
      </c>
      <c r="D40" s="37" t="s">
        <v>43</v>
      </c>
      <c r="E40" s="40">
        <v>3</v>
      </c>
      <c r="F40" s="42">
        <f t="shared" si="0"/>
        <v>9.6463022508038593E-3</v>
      </c>
      <c r="G40" s="40">
        <v>0</v>
      </c>
      <c r="H40" s="42">
        <f t="shared" si="1"/>
        <v>0</v>
      </c>
      <c r="I40" s="40">
        <v>8</v>
      </c>
      <c r="J40" s="41">
        <f t="shared" si="2"/>
        <v>2.5723472668810289E-2</v>
      </c>
      <c r="K40" s="40">
        <v>4</v>
      </c>
      <c r="L40" s="41">
        <f t="shared" si="3"/>
        <v>2.185792349726776E-2</v>
      </c>
      <c r="M40" s="40">
        <v>294</v>
      </c>
      <c r="N40" s="41">
        <f>IFERROR(M40/$BE40,0)</f>
        <v>0.94533762057877813</v>
      </c>
      <c r="O40" s="40">
        <v>174</v>
      </c>
      <c r="P40" s="41">
        <f t="shared" si="4"/>
        <v>0.95081967213114749</v>
      </c>
      <c r="Q40" s="40">
        <v>6</v>
      </c>
      <c r="R40" s="41">
        <f>IFERROR(Q40/$BE40,0)</f>
        <v>1.9292604501607719E-2</v>
      </c>
      <c r="S40" s="40">
        <v>5</v>
      </c>
      <c r="T40" s="41">
        <f t="shared" si="5"/>
        <v>2.7322404371584699E-2</v>
      </c>
      <c r="U40" s="40">
        <v>15</v>
      </c>
      <c r="V40" s="41">
        <f t="shared" si="6"/>
        <v>4.8231511254019289E-2</v>
      </c>
      <c r="W40" s="40">
        <v>8</v>
      </c>
      <c r="X40" s="41">
        <f t="shared" si="7"/>
        <v>4.3715846994535519E-2</v>
      </c>
      <c r="Y40" s="40">
        <v>13</v>
      </c>
      <c r="Z40" s="41">
        <f t="shared" si="8"/>
        <v>4.1800643086816719E-2</v>
      </c>
      <c r="AA40" s="40">
        <v>7</v>
      </c>
      <c r="AB40" s="41">
        <f t="shared" si="9"/>
        <v>3.825136612021858E-2</v>
      </c>
      <c r="AC40" s="40">
        <v>283</v>
      </c>
      <c r="AD40" s="41">
        <f t="shared" si="17"/>
        <v>0.909967845659164</v>
      </c>
      <c r="AE40" s="40">
        <v>168</v>
      </c>
      <c r="AF40" s="41">
        <f t="shared" si="10"/>
        <v>0.91803278688524592</v>
      </c>
      <c r="AG40" s="40">
        <v>5</v>
      </c>
      <c r="AH40" s="41">
        <f t="shared" si="18"/>
        <v>1.607717041800643E-2</v>
      </c>
      <c r="AI40" s="40">
        <v>4</v>
      </c>
      <c r="AJ40" s="41">
        <f t="shared" si="11"/>
        <v>2.185792349726776E-2</v>
      </c>
      <c r="AK40" s="40">
        <v>7</v>
      </c>
      <c r="AL40" s="41">
        <f t="shared" si="19"/>
        <v>2.2508038585209004E-2</v>
      </c>
      <c r="AM40" s="40">
        <v>7</v>
      </c>
      <c r="AN40" s="41">
        <f t="shared" si="12"/>
        <v>3.825136612021858E-2</v>
      </c>
      <c r="AO40" s="40">
        <v>219</v>
      </c>
      <c r="AP40" s="41">
        <f t="shared" si="20"/>
        <v>0.70418006430868163</v>
      </c>
      <c r="AQ40" s="40">
        <v>122</v>
      </c>
      <c r="AR40" s="41">
        <f t="shared" si="13"/>
        <v>0.66666666666666663</v>
      </c>
      <c r="AS40" s="40">
        <v>51</v>
      </c>
      <c r="AT40" s="41">
        <f t="shared" si="21"/>
        <v>0.16398713826366559</v>
      </c>
      <c r="AU40" s="40">
        <v>31</v>
      </c>
      <c r="AV40" s="41">
        <f t="shared" si="14"/>
        <v>0.16939890710382513</v>
      </c>
      <c r="AW40" s="40">
        <v>20</v>
      </c>
      <c r="AX40" s="41">
        <f t="shared" si="22"/>
        <v>6.4308681672025719E-2</v>
      </c>
      <c r="AY40" s="40">
        <v>13</v>
      </c>
      <c r="AZ40" s="41">
        <f t="shared" si="15"/>
        <v>7.1038251366120214E-2</v>
      </c>
      <c r="BA40" s="40">
        <v>9</v>
      </c>
      <c r="BB40" s="41">
        <f t="shared" si="23"/>
        <v>2.8938906752411574E-2</v>
      </c>
      <c r="BC40" s="40">
        <v>6</v>
      </c>
      <c r="BD40" s="41">
        <f t="shared" si="16"/>
        <v>3.2786885245901641E-2</v>
      </c>
      <c r="BE40" s="40">
        <v>311</v>
      </c>
      <c r="BF40" s="40">
        <v>183</v>
      </c>
    </row>
    <row r="41" spans="1:58" ht="15.75" customHeight="1" x14ac:dyDescent="0.25">
      <c r="A41" s="39">
        <v>2024</v>
      </c>
      <c r="B41" s="39">
        <v>170555</v>
      </c>
      <c r="C41" s="37" t="str">
        <f>VLOOKUP(B41,procv!$A$2:$D$142,4,FALSE)</f>
        <v>Sudeste</v>
      </c>
      <c r="D41" s="37" t="s">
        <v>44</v>
      </c>
      <c r="E41" s="40">
        <v>5</v>
      </c>
      <c r="F41" s="42">
        <f t="shared" si="0"/>
        <v>1.6949152542372881E-2</v>
      </c>
      <c r="G41" s="40">
        <v>3</v>
      </c>
      <c r="H41" s="42">
        <f t="shared" si="1"/>
        <v>1.6853932584269662E-2</v>
      </c>
      <c r="I41" s="40">
        <v>8</v>
      </c>
      <c r="J41" s="41">
        <f t="shared" si="2"/>
        <v>2.7118644067796609E-2</v>
      </c>
      <c r="K41" s="40">
        <v>10</v>
      </c>
      <c r="L41" s="41">
        <f t="shared" si="3"/>
        <v>5.6179775280898875E-2</v>
      </c>
      <c r="M41" s="40">
        <v>267</v>
      </c>
      <c r="N41" s="41">
        <f>IFERROR(M41/$BE41,0)</f>
        <v>0.90508474576271192</v>
      </c>
      <c r="O41" s="40">
        <v>155</v>
      </c>
      <c r="P41" s="41">
        <f t="shared" si="4"/>
        <v>0.8707865168539326</v>
      </c>
      <c r="Q41" s="40">
        <v>15</v>
      </c>
      <c r="R41" s="41">
        <f>IFERROR(Q41/$BE41,0)</f>
        <v>5.0847457627118647E-2</v>
      </c>
      <c r="S41" s="40">
        <v>10</v>
      </c>
      <c r="T41" s="41">
        <f t="shared" si="5"/>
        <v>5.6179775280898875E-2</v>
      </c>
      <c r="U41" s="40">
        <v>16</v>
      </c>
      <c r="V41" s="41">
        <f t="shared" si="6"/>
        <v>5.4237288135593219E-2</v>
      </c>
      <c r="W41" s="40">
        <v>13</v>
      </c>
      <c r="X41" s="41">
        <f t="shared" si="7"/>
        <v>7.3033707865168537E-2</v>
      </c>
      <c r="Y41" s="40">
        <v>19</v>
      </c>
      <c r="Z41" s="41">
        <f t="shared" si="8"/>
        <v>6.4406779661016947E-2</v>
      </c>
      <c r="AA41" s="40">
        <v>16</v>
      </c>
      <c r="AB41" s="41">
        <f t="shared" si="9"/>
        <v>8.98876404494382E-2</v>
      </c>
      <c r="AC41" s="40">
        <v>260</v>
      </c>
      <c r="AD41" s="41">
        <f t="shared" si="17"/>
        <v>0.88135593220338981</v>
      </c>
      <c r="AE41" s="40">
        <v>149</v>
      </c>
      <c r="AF41" s="41">
        <f t="shared" si="10"/>
        <v>0.8370786516853933</v>
      </c>
      <c r="AG41" s="40">
        <v>19</v>
      </c>
      <c r="AH41" s="41">
        <f t="shared" si="18"/>
        <v>6.4406779661016947E-2</v>
      </c>
      <c r="AI41" s="40">
        <v>21</v>
      </c>
      <c r="AJ41" s="41">
        <f t="shared" si="11"/>
        <v>0.11797752808988764</v>
      </c>
      <c r="AK41" s="40">
        <v>6</v>
      </c>
      <c r="AL41" s="41">
        <f t="shared" si="19"/>
        <v>2.0338983050847456E-2</v>
      </c>
      <c r="AM41" s="40">
        <v>7</v>
      </c>
      <c r="AN41" s="41">
        <f t="shared" si="12"/>
        <v>3.9325842696629212E-2</v>
      </c>
      <c r="AO41" s="40">
        <v>194</v>
      </c>
      <c r="AP41" s="41">
        <f t="shared" si="20"/>
        <v>0.65762711864406775</v>
      </c>
      <c r="AQ41" s="40">
        <v>101</v>
      </c>
      <c r="AR41" s="41">
        <f t="shared" si="13"/>
        <v>0.56741573033707871</v>
      </c>
      <c r="AS41" s="40">
        <v>34</v>
      </c>
      <c r="AT41" s="41">
        <f t="shared" si="21"/>
        <v>0.11525423728813559</v>
      </c>
      <c r="AU41" s="40">
        <v>24</v>
      </c>
      <c r="AV41" s="41">
        <f t="shared" si="14"/>
        <v>0.1348314606741573</v>
      </c>
      <c r="AW41" s="40">
        <v>26</v>
      </c>
      <c r="AX41" s="41">
        <f t="shared" si="22"/>
        <v>8.8135593220338981E-2</v>
      </c>
      <c r="AY41" s="40">
        <v>9</v>
      </c>
      <c r="AZ41" s="41">
        <f t="shared" si="15"/>
        <v>5.0561797752808987E-2</v>
      </c>
      <c r="BA41" s="40">
        <v>16</v>
      </c>
      <c r="BB41" s="41">
        <f t="shared" si="23"/>
        <v>5.4237288135593219E-2</v>
      </c>
      <c r="BC41" s="40">
        <v>16</v>
      </c>
      <c r="BD41" s="41">
        <f t="shared" si="16"/>
        <v>8.98876404494382E-2</v>
      </c>
      <c r="BE41" s="40">
        <v>295</v>
      </c>
      <c r="BF41" s="40">
        <v>178</v>
      </c>
    </row>
    <row r="42" spans="1:58" ht="15.75" customHeight="1" x14ac:dyDescent="0.25">
      <c r="A42" s="39">
        <v>2024</v>
      </c>
      <c r="B42" s="39">
        <v>170560</v>
      </c>
      <c r="C42" s="37" t="str">
        <f>VLOOKUP(B42,procv!$A$2:$D$142,4,FALSE)</f>
        <v>Sudeste</v>
      </c>
      <c r="D42" s="37" t="s">
        <v>45</v>
      </c>
      <c r="E42" s="40">
        <v>3</v>
      </c>
      <c r="F42" s="42">
        <f t="shared" si="0"/>
        <v>1.0830324909747292E-2</v>
      </c>
      <c r="G42" s="40">
        <v>2</v>
      </c>
      <c r="H42" s="42">
        <f t="shared" si="1"/>
        <v>1.1834319526627219E-2</v>
      </c>
      <c r="I42" s="40">
        <v>9</v>
      </c>
      <c r="J42" s="41">
        <f t="shared" si="2"/>
        <v>3.2490974729241874E-2</v>
      </c>
      <c r="K42" s="40">
        <v>6</v>
      </c>
      <c r="L42" s="41">
        <f t="shared" si="3"/>
        <v>3.5502958579881658E-2</v>
      </c>
      <c r="M42" s="40">
        <v>248</v>
      </c>
      <c r="N42" s="41">
        <f>IFERROR(M42/$BE42,0)</f>
        <v>0.89530685920577613</v>
      </c>
      <c r="O42" s="40">
        <v>153</v>
      </c>
      <c r="P42" s="41">
        <f t="shared" si="4"/>
        <v>0.90532544378698221</v>
      </c>
      <c r="Q42" s="40">
        <v>17</v>
      </c>
      <c r="R42" s="41">
        <f>IFERROR(Q42/$BE42,0)</f>
        <v>6.1371841155234655E-2</v>
      </c>
      <c r="S42" s="40">
        <v>8</v>
      </c>
      <c r="T42" s="41">
        <f t="shared" si="5"/>
        <v>4.7337278106508875E-2</v>
      </c>
      <c r="U42" s="40">
        <v>10</v>
      </c>
      <c r="V42" s="41">
        <f t="shared" si="6"/>
        <v>3.6101083032490974E-2</v>
      </c>
      <c r="W42" s="40">
        <v>8</v>
      </c>
      <c r="X42" s="41">
        <f t="shared" si="7"/>
        <v>4.7337278106508875E-2</v>
      </c>
      <c r="Y42" s="40">
        <v>15</v>
      </c>
      <c r="Z42" s="41">
        <f t="shared" si="8"/>
        <v>5.4151624548736461E-2</v>
      </c>
      <c r="AA42" s="40">
        <v>12</v>
      </c>
      <c r="AB42" s="41">
        <f t="shared" si="9"/>
        <v>7.1005917159763315E-2</v>
      </c>
      <c r="AC42" s="40">
        <v>252</v>
      </c>
      <c r="AD42" s="41">
        <f t="shared" si="17"/>
        <v>0.90974729241877261</v>
      </c>
      <c r="AE42" s="40">
        <v>149</v>
      </c>
      <c r="AF42" s="41">
        <f t="shared" si="10"/>
        <v>0.88165680473372776</v>
      </c>
      <c r="AG42" s="40">
        <v>7</v>
      </c>
      <c r="AH42" s="41">
        <f t="shared" si="18"/>
        <v>2.5270758122743681E-2</v>
      </c>
      <c r="AI42" s="40">
        <v>7</v>
      </c>
      <c r="AJ42" s="41">
        <f t="shared" si="11"/>
        <v>4.142011834319527E-2</v>
      </c>
      <c r="AK42" s="40">
        <v>14</v>
      </c>
      <c r="AL42" s="41">
        <f t="shared" si="19"/>
        <v>5.0541516245487361E-2</v>
      </c>
      <c r="AM42" s="40">
        <v>13</v>
      </c>
      <c r="AN42" s="41">
        <f t="shared" si="12"/>
        <v>7.6923076923076927E-2</v>
      </c>
      <c r="AO42" s="40">
        <v>188</v>
      </c>
      <c r="AP42" s="41">
        <f t="shared" si="20"/>
        <v>0.67870036101083031</v>
      </c>
      <c r="AQ42" s="40">
        <v>126</v>
      </c>
      <c r="AR42" s="41">
        <f t="shared" si="13"/>
        <v>0.74556213017751483</v>
      </c>
      <c r="AS42" s="40">
        <v>40</v>
      </c>
      <c r="AT42" s="41">
        <f t="shared" si="21"/>
        <v>0.1444043321299639</v>
      </c>
      <c r="AU42" s="40">
        <v>11</v>
      </c>
      <c r="AV42" s="41">
        <f t="shared" si="14"/>
        <v>6.5088757396449703E-2</v>
      </c>
      <c r="AW42" s="40">
        <v>14</v>
      </c>
      <c r="AX42" s="41">
        <f t="shared" si="22"/>
        <v>5.0541516245487361E-2</v>
      </c>
      <c r="AY42" s="40">
        <v>6</v>
      </c>
      <c r="AZ42" s="41">
        <f t="shared" si="15"/>
        <v>3.5502958579881658E-2</v>
      </c>
      <c r="BA42" s="40">
        <v>14</v>
      </c>
      <c r="BB42" s="41">
        <f t="shared" si="23"/>
        <v>5.0541516245487361E-2</v>
      </c>
      <c r="BC42" s="40">
        <v>6</v>
      </c>
      <c r="BD42" s="41">
        <f t="shared" si="16"/>
        <v>3.5502958579881658E-2</v>
      </c>
      <c r="BE42" s="40">
        <v>277</v>
      </c>
      <c r="BF42" s="40">
        <v>169</v>
      </c>
    </row>
    <row r="43" spans="1:58" ht="15.75" customHeight="1" x14ac:dyDescent="0.25">
      <c r="A43" s="39">
        <v>2024</v>
      </c>
      <c r="B43" s="39">
        <v>170600</v>
      </c>
      <c r="C43" s="37" t="str">
        <f>VLOOKUP(B43,procv!$A$2:$D$142,4,FALSE)</f>
        <v>Cerrado Tocantins Araguaia</v>
      </c>
      <c r="D43" s="37" t="s">
        <v>46</v>
      </c>
      <c r="E43" s="40">
        <v>4</v>
      </c>
      <c r="F43" s="42">
        <f t="shared" si="0"/>
        <v>1.1396011396011397E-2</v>
      </c>
      <c r="G43" s="40">
        <v>4</v>
      </c>
      <c r="H43" s="42">
        <f t="shared" si="1"/>
        <v>1.5384615384615385E-2</v>
      </c>
      <c r="I43" s="40">
        <v>15</v>
      </c>
      <c r="J43" s="41">
        <f t="shared" si="2"/>
        <v>4.2735042735042736E-2</v>
      </c>
      <c r="K43" s="40">
        <v>12</v>
      </c>
      <c r="L43" s="41">
        <f t="shared" si="3"/>
        <v>4.6153846153846156E-2</v>
      </c>
      <c r="M43" s="40">
        <v>298</v>
      </c>
      <c r="N43" s="41">
        <f>IFERROR(M43/$BE43,0)</f>
        <v>0.84900284900284906</v>
      </c>
      <c r="O43" s="40">
        <v>212</v>
      </c>
      <c r="P43" s="41">
        <f t="shared" si="4"/>
        <v>0.81538461538461537</v>
      </c>
      <c r="Q43" s="40">
        <v>34</v>
      </c>
      <c r="R43" s="41">
        <f>IFERROR(Q43/$BE43,0)</f>
        <v>9.686609686609686E-2</v>
      </c>
      <c r="S43" s="40">
        <v>32</v>
      </c>
      <c r="T43" s="41">
        <f t="shared" si="5"/>
        <v>0.12307692307692308</v>
      </c>
      <c r="U43" s="40">
        <v>24</v>
      </c>
      <c r="V43" s="41">
        <f t="shared" si="6"/>
        <v>6.8376068376068383E-2</v>
      </c>
      <c r="W43" s="40">
        <v>21</v>
      </c>
      <c r="X43" s="41">
        <f t="shared" si="7"/>
        <v>8.0769230769230774E-2</v>
      </c>
      <c r="Y43" s="40">
        <v>32</v>
      </c>
      <c r="Z43" s="41">
        <f t="shared" si="8"/>
        <v>9.1168091168091173E-2</v>
      </c>
      <c r="AA43" s="40">
        <v>26</v>
      </c>
      <c r="AB43" s="41">
        <f t="shared" si="9"/>
        <v>0.1</v>
      </c>
      <c r="AC43" s="40">
        <v>295</v>
      </c>
      <c r="AD43" s="41">
        <f t="shared" si="17"/>
        <v>0.84045584045584043</v>
      </c>
      <c r="AE43" s="40">
        <v>213</v>
      </c>
      <c r="AF43" s="41">
        <f t="shared" si="10"/>
        <v>0.81923076923076921</v>
      </c>
      <c r="AG43" s="40">
        <v>22</v>
      </c>
      <c r="AH43" s="41">
        <f t="shared" si="18"/>
        <v>6.2678062678062682E-2</v>
      </c>
      <c r="AI43" s="40">
        <v>23</v>
      </c>
      <c r="AJ43" s="41">
        <f t="shared" si="11"/>
        <v>8.8461538461538466E-2</v>
      </c>
      <c r="AK43" s="40">
        <v>18</v>
      </c>
      <c r="AL43" s="41">
        <f t="shared" si="19"/>
        <v>5.128205128205128E-2</v>
      </c>
      <c r="AM43" s="40">
        <v>15</v>
      </c>
      <c r="AN43" s="41">
        <f t="shared" si="12"/>
        <v>5.7692307692307696E-2</v>
      </c>
      <c r="AO43" s="40">
        <v>175</v>
      </c>
      <c r="AP43" s="41">
        <f t="shared" si="20"/>
        <v>0.4985754985754986</v>
      </c>
      <c r="AQ43" s="40">
        <v>107</v>
      </c>
      <c r="AR43" s="41">
        <f t="shared" si="13"/>
        <v>0.41153846153846152</v>
      </c>
      <c r="AS43" s="40">
        <v>71</v>
      </c>
      <c r="AT43" s="41">
        <f t="shared" si="21"/>
        <v>0.20227920227920229</v>
      </c>
      <c r="AU43" s="40">
        <v>56</v>
      </c>
      <c r="AV43" s="41">
        <f t="shared" si="14"/>
        <v>0.2153846153846154</v>
      </c>
      <c r="AW43" s="40">
        <v>32</v>
      </c>
      <c r="AX43" s="41">
        <f t="shared" si="22"/>
        <v>9.1168091168091173E-2</v>
      </c>
      <c r="AY43" s="40">
        <v>28</v>
      </c>
      <c r="AZ43" s="41">
        <f t="shared" si="15"/>
        <v>0.1076923076923077</v>
      </c>
      <c r="BA43" s="40">
        <v>33</v>
      </c>
      <c r="BB43" s="41">
        <f t="shared" si="23"/>
        <v>9.4017094017094016E-2</v>
      </c>
      <c r="BC43" s="40">
        <v>31</v>
      </c>
      <c r="BD43" s="41">
        <f t="shared" si="16"/>
        <v>0.11923076923076924</v>
      </c>
      <c r="BE43" s="40">
        <v>351</v>
      </c>
      <c r="BF43" s="40">
        <v>260</v>
      </c>
    </row>
    <row r="44" spans="1:58" ht="15.75" customHeight="1" x14ac:dyDescent="0.25">
      <c r="A44" s="39">
        <v>2024</v>
      </c>
      <c r="B44" s="39">
        <v>170610</v>
      </c>
      <c r="C44" s="37" t="str">
        <f>VLOOKUP(B44,procv!$A$2:$D$142,4,FALSE)</f>
        <v>Cantão</v>
      </c>
      <c r="D44" s="37" t="s">
        <v>47</v>
      </c>
      <c r="E44" s="40">
        <v>4</v>
      </c>
      <c r="F44" s="42">
        <f t="shared" si="0"/>
        <v>1.1730205278592375E-2</v>
      </c>
      <c r="G44" s="40">
        <v>2</v>
      </c>
      <c r="H44" s="42">
        <f t="shared" si="1"/>
        <v>1.1627906976744186E-2</v>
      </c>
      <c r="I44" s="40">
        <v>9</v>
      </c>
      <c r="J44" s="41">
        <f t="shared" si="2"/>
        <v>2.6392961876832845E-2</v>
      </c>
      <c r="K44" s="40">
        <v>3</v>
      </c>
      <c r="L44" s="41">
        <f t="shared" si="3"/>
        <v>1.7441860465116279E-2</v>
      </c>
      <c r="M44" s="40">
        <v>313</v>
      </c>
      <c r="N44" s="41">
        <f>IFERROR(M44/$BE44,0)</f>
        <v>0.91788856304985333</v>
      </c>
      <c r="O44" s="40">
        <v>157</v>
      </c>
      <c r="P44" s="41">
        <f t="shared" si="4"/>
        <v>0.91279069767441856</v>
      </c>
      <c r="Q44" s="40">
        <v>15</v>
      </c>
      <c r="R44" s="41">
        <f>IFERROR(Q44/$BE44,0)</f>
        <v>4.398826979472141E-2</v>
      </c>
      <c r="S44" s="40">
        <v>10</v>
      </c>
      <c r="T44" s="41">
        <f t="shared" si="5"/>
        <v>5.8139534883720929E-2</v>
      </c>
      <c r="U44" s="40">
        <v>14</v>
      </c>
      <c r="V44" s="41">
        <f t="shared" si="6"/>
        <v>4.1055718475073312E-2</v>
      </c>
      <c r="W44" s="40">
        <v>12</v>
      </c>
      <c r="X44" s="41">
        <f t="shared" si="7"/>
        <v>6.9767441860465115E-2</v>
      </c>
      <c r="Y44" s="40">
        <v>21</v>
      </c>
      <c r="Z44" s="41">
        <f t="shared" si="8"/>
        <v>6.1583577712609971E-2</v>
      </c>
      <c r="AA44" s="40">
        <v>15</v>
      </c>
      <c r="AB44" s="41">
        <f t="shared" si="9"/>
        <v>8.7209302325581398E-2</v>
      </c>
      <c r="AC44" s="40">
        <v>306</v>
      </c>
      <c r="AD44" s="41">
        <f t="shared" si="17"/>
        <v>0.8973607038123167</v>
      </c>
      <c r="AE44" s="40">
        <v>145</v>
      </c>
      <c r="AF44" s="41">
        <f t="shared" si="10"/>
        <v>0.84302325581395354</v>
      </c>
      <c r="AG44" s="40">
        <v>4</v>
      </c>
      <c r="AH44" s="41">
        <f t="shared" si="18"/>
        <v>1.1730205278592375E-2</v>
      </c>
      <c r="AI44" s="40">
        <v>5</v>
      </c>
      <c r="AJ44" s="41">
        <f t="shared" si="11"/>
        <v>2.9069767441860465E-2</v>
      </c>
      <c r="AK44" s="40">
        <v>9</v>
      </c>
      <c r="AL44" s="41">
        <f t="shared" si="19"/>
        <v>2.6392961876832845E-2</v>
      </c>
      <c r="AM44" s="40">
        <v>4</v>
      </c>
      <c r="AN44" s="41">
        <f t="shared" si="12"/>
        <v>2.3255813953488372E-2</v>
      </c>
      <c r="AO44" s="40">
        <v>234</v>
      </c>
      <c r="AP44" s="41">
        <f t="shared" si="20"/>
        <v>0.6862170087976539</v>
      </c>
      <c r="AQ44" s="40">
        <v>117</v>
      </c>
      <c r="AR44" s="41">
        <f t="shared" si="13"/>
        <v>0.68023255813953487</v>
      </c>
      <c r="AS44" s="40">
        <v>54</v>
      </c>
      <c r="AT44" s="41">
        <f t="shared" si="21"/>
        <v>0.15835777126099707</v>
      </c>
      <c r="AU44" s="40">
        <v>17</v>
      </c>
      <c r="AV44" s="41">
        <f t="shared" si="14"/>
        <v>9.8837209302325577E-2</v>
      </c>
      <c r="AW44" s="40">
        <v>25</v>
      </c>
      <c r="AX44" s="41">
        <f t="shared" si="22"/>
        <v>7.331378299120235E-2</v>
      </c>
      <c r="AY44" s="40">
        <v>16</v>
      </c>
      <c r="AZ44" s="41">
        <f t="shared" si="15"/>
        <v>9.3023255813953487E-2</v>
      </c>
      <c r="BA44" s="40">
        <v>15</v>
      </c>
      <c r="BB44" s="41">
        <f t="shared" si="23"/>
        <v>4.398826979472141E-2</v>
      </c>
      <c r="BC44" s="40">
        <v>13</v>
      </c>
      <c r="BD44" s="41">
        <f t="shared" si="16"/>
        <v>7.5581395348837205E-2</v>
      </c>
      <c r="BE44" s="40">
        <v>341</v>
      </c>
      <c r="BF44" s="40">
        <v>172</v>
      </c>
    </row>
    <row r="45" spans="1:58" ht="15.75" customHeight="1" x14ac:dyDescent="0.25">
      <c r="A45" s="39">
        <v>2024</v>
      </c>
      <c r="B45" s="39">
        <v>170625</v>
      </c>
      <c r="C45" s="37" t="str">
        <f>VLOOKUP(B45,procv!$A$2:$D$142,4,FALSE)</f>
        <v>Ilha do Bananal</v>
      </c>
      <c r="D45" s="37" t="s">
        <v>48</v>
      </c>
      <c r="E45" s="40">
        <v>1</v>
      </c>
      <c r="F45" s="42">
        <f t="shared" si="0"/>
        <v>1.0101010101010102E-2</v>
      </c>
      <c r="G45" s="40">
        <v>0</v>
      </c>
      <c r="H45" s="42">
        <f t="shared" si="1"/>
        <v>0</v>
      </c>
      <c r="I45" s="40">
        <v>4</v>
      </c>
      <c r="J45" s="41">
        <f t="shared" si="2"/>
        <v>4.0404040404040407E-2</v>
      </c>
      <c r="K45" s="40">
        <v>4</v>
      </c>
      <c r="L45" s="41">
        <f t="shared" si="3"/>
        <v>7.8431372549019607E-2</v>
      </c>
      <c r="M45" s="40">
        <v>86</v>
      </c>
      <c r="N45" s="41">
        <f>IFERROR(M45/$BE45,0)</f>
        <v>0.86868686868686873</v>
      </c>
      <c r="O45" s="40">
        <v>44</v>
      </c>
      <c r="P45" s="41">
        <f t="shared" si="4"/>
        <v>0.86274509803921573</v>
      </c>
      <c r="Q45" s="40">
        <v>8</v>
      </c>
      <c r="R45" s="41">
        <f>IFERROR(Q45/$BE45,0)</f>
        <v>8.0808080808080815E-2</v>
      </c>
      <c r="S45" s="40">
        <v>3</v>
      </c>
      <c r="T45" s="41">
        <f t="shared" si="5"/>
        <v>5.8823529411764705E-2</v>
      </c>
      <c r="U45" s="40">
        <v>10</v>
      </c>
      <c r="V45" s="41">
        <f t="shared" si="6"/>
        <v>0.10101010101010101</v>
      </c>
      <c r="W45" s="40">
        <v>7</v>
      </c>
      <c r="X45" s="41">
        <f t="shared" si="7"/>
        <v>0.13725490196078433</v>
      </c>
      <c r="Y45" s="40">
        <v>14</v>
      </c>
      <c r="Z45" s="41">
        <f t="shared" si="8"/>
        <v>0.14141414141414141</v>
      </c>
      <c r="AA45" s="40">
        <v>7</v>
      </c>
      <c r="AB45" s="41">
        <f t="shared" si="9"/>
        <v>0.13725490196078433</v>
      </c>
      <c r="AC45" s="40">
        <v>75</v>
      </c>
      <c r="AD45" s="41">
        <f t="shared" si="17"/>
        <v>0.75757575757575757</v>
      </c>
      <c r="AE45" s="40">
        <v>37</v>
      </c>
      <c r="AF45" s="41">
        <f t="shared" si="10"/>
        <v>0.72549019607843135</v>
      </c>
      <c r="AG45" s="40">
        <v>2</v>
      </c>
      <c r="AH45" s="41">
        <f t="shared" si="18"/>
        <v>2.0202020202020204E-2</v>
      </c>
      <c r="AI45" s="40">
        <v>1</v>
      </c>
      <c r="AJ45" s="41">
        <f t="shared" si="11"/>
        <v>1.9607843137254902E-2</v>
      </c>
      <c r="AK45" s="40">
        <v>2</v>
      </c>
      <c r="AL45" s="41">
        <f t="shared" si="19"/>
        <v>2.0202020202020204E-2</v>
      </c>
      <c r="AM45" s="40">
        <v>1</v>
      </c>
      <c r="AN45" s="41">
        <f t="shared" si="12"/>
        <v>1.9607843137254902E-2</v>
      </c>
      <c r="AO45" s="40">
        <v>48</v>
      </c>
      <c r="AP45" s="41">
        <f t="shared" si="20"/>
        <v>0.48484848484848486</v>
      </c>
      <c r="AQ45" s="40">
        <v>30</v>
      </c>
      <c r="AR45" s="41">
        <f t="shared" si="13"/>
        <v>0.58823529411764708</v>
      </c>
      <c r="AS45" s="40">
        <v>21</v>
      </c>
      <c r="AT45" s="41">
        <f t="shared" si="21"/>
        <v>0.21212121212121213</v>
      </c>
      <c r="AU45" s="40">
        <v>12</v>
      </c>
      <c r="AV45" s="41">
        <f t="shared" si="14"/>
        <v>0.23529411764705882</v>
      </c>
      <c r="AW45" s="40">
        <v>13</v>
      </c>
      <c r="AX45" s="41">
        <f t="shared" si="22"/>
        <v>0.13131313131313133</v>
      </c>
      <c r="AY45" s="40">
        <v>1</v>
      </c>
      <c r="AZ45" s="41">
        <f t="shared" si="15"/>
        <v>1.9607843137254902E-2</v>
      </c>
      <c r="BA45" s="40">
        <v>13</v>
      </c>
      <c r="BB45" s="41">
        <f t="shared" si="23"/>
        <v>0.13131313131313133</v>
      </c>
      <c r="BC45" s="40">
        <v>6</v>
      </c>
      <c r="BD45" s="41">
        <f t="shared" si="16"/>
        <v>0.11764705882352941</v>
      </c>
      <c r="BE45" s="40">
        <v>99</v>
      </c>
      <c r="BF45" s="40">
        <v>51</v>
      </c>
    </row>
    <row r="46" spans="1:58" ht="15.75" customHeight="1" x14ac:dyDescent="0.25">
      <c r="A46" s="39">
        <v>2024</v>
      </c>
      <c r="B46" s="39">
        <v>170650</v>
      </c>
      <c r="C46" s="37" t="str">
        <f>VLOOKUP(B46,procv!$A$2:$D$142,4,FALSE)</f>
        <v>Médio Norte Araguaia</v>
      </c>
      <c r="D46" s="37" t="s">
        <v>49</v>
      </c>
      <c r="E46" s="40">
        <v>2</v>
      </c>
      <c r="F46" s="42">
        <f t="shared" si="0"/>
        <v>6.4935064935064939E-3</v>
      </c>
      <c r="G46" s="40">
        <v>1</v>
      </c>
      <c r="H46" s="42">
        <f t="shared" si="1"/>
        <v>3.7593984962406013E-3</v>
      </c>
      <c r="I46" s="40">
        <v>11</v>
      </c>
      <c r="J46" s="41">
        <f t="shared" si="2"/>
        <v>3.5714285714285712E-2</v>
      </c>
      <c r="K46" s="40">
        <v>10</v>
      </c>
      <c r="L46" s="41">
        <f t="shared" si="3"/>
        <v>3.7593984962406013E-2</v>
      </c>
      <c r="M46" s="40">
        <v>283</v>
      </c>
      <c r="N46" s="41">
        <f>IFERROR(M46/$BE46,0)</f>
        <v>0.91883116883116878</v>
      </c>
      <c r="O46" s="40">
        <v>245</v>
      </c>
      <c r="P46" s="41">
        <f t="shared" si="4"/>
        <v>0.92105263157894735</v>
      </c>
      <c r="Q46" s="40">
        <v>12</v>
      </c>
      <c r="R46" s="41">
        <f>IFERROR(Q46/$BE46,0)</f>
        <v>3.896103896103896E-2</v>
      </c>
      <c r="S46" s="40">
        <v>10</v>
      </c>
      <c r="T46" s="41">
        <f t="shared" si="5"/>
        <v>3.7593984962406013E-2</v>
      </c>
      <c r="U46" s="40">
        <v>22</v>
      </c>
      <c r="V46" s="41">
        <f t="shared" si="6"/>
        <v>7.1428571428571425E-2</v>
      </c>
      <c r="W46" s="40">
        <v>19</v>
      </c>
      <c r="X46" s="41">
        <f t="shared" si="7"/>
        <v>7.1428571428571425E-2</v>
      </c>
      <c r="Y46" s="40">
        <v>21</v>
      </c>
      <c r="Z46" s="41">
        <f t="shared" si="8"/>
        <v>6.8181818181818177E-2</v>
      </c>
      <c r="AA46" s="40">
        <v>19</v>
      </c>
      <c r="AB46" s="41">
        <f t="shared" si="9"/>
        <v>7.1428571428571425E-2</v>
      </c>
      <c r="AC46" s="40">
        <v>265</v>
      </c>
      <c r="AD46" s="41">
        <f t="shared" si="17"/>
        <v>0.86038961038961037</v>
      </c>
      <c r="AE46" s="40">
        <v>228</v>
      </c>
      <c r="AF46" s="41">
        <f t="shared" si="10"/>
        <v>0.8571428571428571</v>
      </c>
      <c r="AG46" s="40">
        <v>10</v>
      </c>
      <c r="AH46" s="41">
        <f t="shared" si="18"/>
        <v>3.2467532467532464E-2</v>
      </c>
      <c r="AI46" s="40">
        <v>11</v>
      </c>
      <c r="AJ46" s="41">
        <f t="shared" si="11"/>
        <v>4.1353383458646614E-2</v>
      </c>
      <c r="AK46" s="40">
        <v>19</v>
      </c>
      <c r="AL46" s="41">
        <f t="shared" si="19"/>
        <v>6.1688311688311688E-2</v>
      </c>
      <c r="AM46" s="40">
        <v>18</v>
      </c>
      <c r="AN46" s="41">
        <f t="shared" si="12"/>
        <v>6.7669172932330823E-2</v>
      </c>
      <c r="AO46" s="40">
        <v>212</v>
      </c>
      <c r="AP46" s="41">
        <f t="shared" si="20"/>
        <v>0.68831168831168832</v>
      </c>
      <c r="AQ46" s="40">
        <v>181</v>
      </c>
      <c r="AR46" s="41">
        <f t="shared" si="13"/>
        <v>0.68045112781954886</v>
      </c>
      <c r="AS46" s="40">
        <v>36</v>
      </c>
      <c r="AT46" s="41">
        <f t="shared" si="21"/>
        <v>0.11688311688311688</v>
      </c>
      <c r="AU46" s="40">
        <v>33</v>
      </c>
      <c r="AV46" s="41">
        <f t="shared" si="14"/>
        <v>0.12406015037593984</v>
      </c>
      <c r="AW46" s="40">
        <v>17</v>
      </c>
      <c r="AX46" s="41">
        <f t="shared" si="22"/>
        <v>5.5194805194805192E-2</v>
      </c>
      <c r="AY46" s="40">
        <v>12</v>
      </c>
      <c r="AZ46" s="41">
        <f t="shared" si="15"/>
        <v>4.5112781954887216E-2</v>
      </c>
      <c r="BA46" s="40">
        <v>14</v>
      </c>
      <c r="BB46" s="41">
        <f t="shared" si="23"/>
        <v>4.5454545454545456E-2</v>
      </c>
      <c r="BC46" s="40">
        <v>11</v>
      </c>
      <c r="BD46" s="41">
        <f t="shared" si="16"/>
        <v>4.1353383458646614E-2</v>
      </c>
      <c r="BE46" s="40">
        <v>308</v>
      </c>
      <c r="BF46" s="40">
        <v>266</v>
      </c>
    </row>
    <row r="47" spans="1:58" ht="15.75" customHeight="1" x14ac:dyDescent="0.25">
      <c r="A47" s="39">
        <v>2024</v>
      </c>
      <c r="B47" s="39">
        <v>170700</v>
      </c>
      <c r="C47" s="37" t="str">
        <f>VLOOKUP(B47,procv!$A$2:$D$142,4,FALSE)</f>
        <v>Sudeste</v>
      </c>
      <c r="D47" s="37" t="s">
        <v>50</v>
      </c>
      <c r="E47" s="40">
        <v>11</v>
      </c>
      <c r="F47" s="42">
        <f t="shared" si="0"/>
        <v>1.0357815442561206E-2</v>
      </c>
      <c r="G47" s="40">
        <v>5</v>
      </c>
      <c r="H47" s="42">
        <f t="shared" si="1"/>
        <v>9.5969289827255271E-3</v>
      </c>
      <c r="I47" s="40">
        <v>38</v>
      </c>
      <c r="J47" s="41">
        <f t="shared" si="2"/>
        <v>3.5781544256120526E-2</v>
      </c>
      <c r="K47" s="40">
        <v>22</v>
      </c>
      <c r="L47" s="41">
        <f t="shared" si="3"/>
        <v>4.2226487523992322E-2</v>
      </c>
      <c r="M47" s="40">
        <v>964</v>
      </c>
      <c r="N47" s="41">
        <f>IFERROR(M47/$BE47,0)</f>
        <v>0.90772128060263657</v>
      </c>
      <c r="O47" s="40">
        <v>467</v>
      </c>
      <c r="P47" s="41">
        <f t="shared" si="4"/>
        <v>0.89635316698656431</v>
      </c>
      <c r="Q47" s="40">
        <v>49</v>
      </c>
      <c r="R47" s="41">
        <f>IFERROR(Q47/$BE47,0)</f>
        <v>4.6139359698681735E-2</v>
      </c>
      <c r="S47" s="40">
        <v>27</v>
      </c>
      <c r="T47" s="41">
        <f t="shared" si="5"/>
        <v>5.1823416506717852E-2</v>
      </c>
      <c r="U47" s="40">
        <v>47</v>
      </c>
      <c r="V47" s="41">
        <f t="shared" si="6"/>
        <v>4.4256120527306965E-2</v>
      </c>
      <c r="W47" s="40">
        <v>31</v>
      </c>
      <c r="X47" s="41">
        <f t="shared" si="7"/>
        <v>5.9500959692898273E-2</v>
      </c>
      <c r="Y47" s="40">
        <v>87</v>
      </c>
      <c r="Z47" s="41">
        <f t="shared" si="8"/>
        <v>8.1920903954802254E-2</v>
      </c>
      <c r="AA47" s="40">
        <v>56</v>
      </c>
      <c r="AB47" s="41">
        <f t="shared" si="9"/>
        <v>0.10748560460652591</v>
      </c>
      <c r="AC47" s="40">
        <v>928</v>
      </c>
      <c r="AD47" s="41">
        <f t="shared" si="17"/>
        <v>0.87382297551789079</v>
      </c>
      <c r="AE47" s="40">
        <v>434</v>
      </c>
      <c r="AF47" s="41">
        <f t="shared" si="10"/>
        <v>0.83301343570057584</v>
      </c>
      <c r="AG47" s="40">
        <v>27</v>
      </c>
      <c r="AH47" s="41">
        <f t="shared" si="18"/>
        <v>2.5423728813559324E-2</v>
      </c>
      <c r="AI47" s="40">
        <v>27</v>
      </c>
      <c r="AJ47" s="41">
        <f t="shared" si="11"/>
        <v>5.1823416506717852E-2</v>
      </c>
      <c r="AK47" s="40">
        <v>40</v>
      </c>
      <c r="AL47" s="41">
        <f t="shared" si="19"/>
        <v>3.7664783427495289E-2</v>
      </c>
      <c r="AM47" s="40">
        <v>29</v>
      </c>
      <c r="AN47" s="41">
        <f t="shared" si="12"/>
        <v>5.5662188099808059E-2</v>
      </c>
      <c r="AO47" s="40">
        <v>695</v>
      </c>
      <c r="AP47" s="41">
        <f t="shared" si="20"/>
        <v>0.65442561205273064</v>
      </c>
      <c r="AQ47" s="40">
        <v>344</v>
      </c>
      <c r="AR47" s="41">
        <f t="shared" si="13"/>
        <v>0.66026871401151632</v>
      </c>
      <c r="AS47" s="40">
        <v>185</v>
      </c>
      <c r="AT47" s="41">
        <f t="shared" si="21"/>
        <v>0.17419962335216574</v>
      </c>
      <c r="AU47" s="40">
        <v>65</v>
      </c>
      <c r="AV47" s="41">
        <f t="shared" si="14"/>
        <v>0.12476007677543186</v>
      </c>
      <c r="AW47" s="40">
        <v>74</v>
      </c>
      <c r="AX47" s="41">
        <f t="shared" si="22"/>
        <v>6.9679849340866296E-2</v>
      </c>
      <c r="AY47" s="40">
        <v>29</v>
      </c>
      <c r="AZ47" s="41">
        <f t="shared" si="15"/>
        <v>5.5662188099808059E-2</v>
      </c>
      <c r="BA47" s="40">
        <v>41</v>
      </c>
      <c r="BB47" s="41">
        <f t="shared" si="23"/>
        <v>3.8606403013182675E-2</v>
      </c>
      <c r="BC47" s="40">
        <v>27</v>
      </c>
      <c r="BD47" s="41">
        <f t="shared" si="16"/>
        <v>5.1823416506717852E-2</v>
      </c>
      <c r="BE47" s="43">
        <v>1062</v>
      </c>
      <c r="BF47" s="40">
        <v>521</v>
      </c>
    </row>
    <row r="48" spans="1:58" ht="15.75" customHeight="1" x14ac:dyDescent="0.25">
      <c r="A48" s="39">
        <v>2024</v>
      </c>
      <c r="B48" s="39">
        <v>170710</v>
      </c>
      <c r="C48" s="37" t="str">
        <f>VLOOKUP(B48,procv!$A$2:$D$142,4,FALSE)</f>
        <v>Cantão</v>
      </c>
      <c r="D48" s="37" t="s">
        <v>51</v>
      </c>
      <c r="E48" s="40">
        <v>2</v>
      </c>
      <c r="F48" s="42">
        <f t="shared" si="0"/>
        <v>4.608294930875576E-3</v>
      </c>
      <c r="G48" s="40">
        <v>2</v>
      </c>
      <c r="H48" s="42">
        <f t="shared" si="1"/>
        <v>7.7220077220077222E-3</v>
      </c>
      <c r="I48" s="40">
        <v>13</v>
      </c>
      <c r="J48" s="41">
        <f t="shared" si="2"/>
        <v>2.9953917050691243E-2</v>
      </c>
      <c r="K48" s="40">
        <v>11</v>
      </c>
      <c r="L48" s="41">
        <f t="shared" si="3"/>
        <v>4.2471042471042469E-2</v>
      </c>
      <c r="M48" s="40">
        <v>397</v>
      </c>
      <c r="N48" s="41">
        <f>IFERROR(M48/$BE48,0)</f>
        <v>0.91474654377880182</v>
      </c>
      <c r="O48" s="40">
        <v>232</v>
      </c>
      <c r="P48" s="41">
        <f t="shared" si="4"/>
        <v>0.89575289575289574</v>
      </c>
      <c r="Q48" s="40">
        <v>22</v>
      </c>
      <c r="R48" s="41">
        <f>IFERROR(Q48/$BE48,0)</f>
        <v>5.0691244239631339E-2</v>
      </c>
      <c r="S48" s="40">
        <v>14</v>
      </c>
      <c r="T48" s="41">
        <f t="shared" si="5"/>
        <v>5.4054054054054057E-2</v>
      </c>
      <c r="U48" s="40">
        <v>25</v>
      </c>
      <c r="V48" s="41">
        <f t="shared" si="6"/>
        <v>5.7603686635944701E-2</v>
      </c>
      <c r="W48" s="40">
        <v>27</v>
      </c>
      <c r="X48" s="41">
        <f t="shared" si="7"/>
        <v>0.10424710424710425</v>
      </c>
      <c r="Y48" s="40">
        <v>38</v>
      </c>
      <c r="Z48" s="41">
        <f t="shared" si="8"/>
        <v>8.755760368663594E-2</v>
      </c>
      <c r="AA48" s="40">
        <v>37</v>
      </c>
      <c r="AB48" s="41">
        <f t="shared" si="9"/>
        <v>0.14285714285714285</v>
      </c>
      <c r="AC48" s="40">
        <v>371</v>
      </c>
      <c r="AD48" s="41">
        <f t="shared" si="17"/>
        <v>0.85483870967741937</v>
      </c>
      <c r="AE48" s="40">
        <v>195</v>
      </c>
      <c r="AF48" s="41">
        <f t="shared" si="10"/>
        <v>0.75289575289575295</v>
      </c>
      <c r="AG48" s="40">
        <v>10</v>
      </c>
      <c r="AH48" s="41">
        <f t="shared" si="18"/>
        <v>2.3041474654377881E-2</v>
      </c>
      <c r="AI48" s="40">
        <v>13</v>
      </c>
      <c r="AJ48" s="41">
        <f t="shared" si="11"/>
        <v>5.019305019305019E-2</v>
      </c>
      <c r="AK48" s="40">
        <v>17</v>
      </c>
      <c r="AL48" s="41">
        <f t="shared" si="19"/>
        <v>3.9170506912442393E-2</v>
      </c>
      <c r="AM48" s="40">
        <v>14</v>
      </c>
      <c r="AN48" s="41">
        <f t="shared" si="12"/>
        <v>5.4054054054054057E-2</v>
      </c>
      <c r="AO48" s="40">
        <v>290</v>
      </c>
      <c r="AP48" s="41">
        <f t="shared" si="20"/>
        <v>0.66820276497695852</v>
      </c>
      <c r="AQ48" s="40">
        <v>153</v>
      </c>
      <c r="AR48" s="41">
        <f t="shared" si="13"/>
        <v>0.59073359073359077</v>
      </c>
      <c r="AS48" s="40">
        <v>53</v>
      </c>
      <c r="AT48" s="41">
        <f t="shared" si="21"/>
        <v>0.12211981566820276</v>
      </c>
      <c r="AU48" s="40">
        <v>27</v>
      </c>
      <c r="AV48" s="41">
        <f t="shared" si="14"/>
        <v>0.10424710424710425</v>
      </c>
      <c r="AW48" s="40">
        <v>36</v>
      </c>
      <c r="AX48" s="41">
        <f t="shared" si="22"/>
        <v>8.294930875576037E-2</v>
      </c>
      <c r="AY48" s="40">
        <v>29</v>
      </c>
      <c r="AZ48" s="41">
        <f t="shared" si="15"/>
        <v>0.11196911196911197</v>
      </c>
      <c r="BA48" s="40">
        <v>28</v>
      </c>
      <c r="BB48" s="41">
        <f t="shared" si="23"/>
        <v>6.4516129032258063E-2</v>
      </c>
      <c r="BC48" s="40">
        <v>23</v>
      </c>
      <c r="BD48" s="41">
        <f t="shared" si="16"/>
        <v>8.8803088803088806E-2</v>
      </c>
      <c r="BE48" s="40">
        <v>434</v>
      </c>
      <c r="BF48" s="40">
        <v>259</v>
      </c>
    </row>
    <row r="49" spans="1:58" ht="15.75" customHeight="1" x14ac:dyDescent="0.25">
      <c r="A49" s="39">
        <v>2024</v>
      </c>
      <c r="B49" s="39">
        <v>170720</v>
      </c>
      <c r="C49" s="37" t="str">
        <f>VLOOKUP(B49,procv!$A$2:$D$142,4,FALSE)</f>
        <v>Cantão</v>
      </c>
      <c r="D49" s="37" t="s">
        <v>52</v>
      </c>
      <c r="E49" s="40">
        <v>1</v>
      </c>
      <c r="F49" s="42">
        <f t="shared" si="0"/>
        <v>2.5252525252525255E-3</v>
      </c>
      <c r="G49" s="40">
        <v>1</v>
      </c>
      <c r="H49" s="42">
        <f t="shared" si="1"/>
        <v>3.952569169960474E-3</v>
      </c>
      <c r="I49" s="40">
        <v>7</v>
      </c>
      <c r="J49" s="41">
        <f t="shared" si="2"/>
        <v>1.7676767676767676E-2</v>
      </c>
      <c r="K49" s="40">
        <v>4</v>
      </c>
      <c r="L49" s="41">
        <f t="shared" si="3"/>
        <v>1.5810276679841896E-2</v>
      </c>
      <c r="M49" s="40">
        <v>370</v>
      </c>
      <c r="N49" s="41">
        <f>IFERROR(M49/$BE49,0)</f>
        <v>0.93434343434343436</v>
      </c>
      <c r="O49" s="40">
        <v>236</v>
      </c>
      <c r="P49" s="41">
        <f t="shared" si="4"/>
        <v>0.93280632411067199</v>
      </c>
      <c r="Q49" s="40">
        <v>18</v>
      </c>
      <c r="R49" s="41">
        <f>IFERROR(Q49/$BE49,0)</f>
        <v>4.5454545454545456E-2</v>
      </c>
      <c r="S49" s="40">
        <v>12</v>
      </c>
      <c r="T49" s="41">
        <f t="shared" si="5"/>
        <v>4.7430830039525688E-2</v>
      </c>
      <c r="U49" s="40">
        <v>6</v>
      </c>
      <c r="V49" s="41">
        <f t="shared" si="6"/>
        <v>1.5151515151515152E-2</v>
      </c>
      <c r="W49" s="40">
        <v>1</v>
      </c>
      <c r="X49" s="41">
        <f t="shared" si="7"/>
        <v>3.952569169960474E-3</v>
      </c>
      <c r="Y49" s="40">
        <v>23</v>
      </c>
      <c r="Z49" s="41">
        <f t="shared" si="8"/>
        <v>5.808080808080808E-2</v>
      </c>
      <c r="AA49" s="40">
        <v>14</v>
      </c>
      <c r="AB49" s="41">
        <f t="shared" si="9"/>
        <v>5.533596837944664E-2</v>
      </c>
      <c r="AC49" s="40">
        <v>367</v>
      </c>
      <c r="AD49" s="41">
        <f t="shared" si="17"/>
        <v>0.9267676767676768</v>
      </c>
      <c r="AE49" s="40">
        <v>238</v>
      </c>
      <c r="AF49" s="41">
        <f t="shared" si="10"/>
        <v>0.94071146245059289</v>
      </c>
      <c r="AG49" s="40">
        <v>11</v>
      </c>
      <c r="AH49" s="41">
        <f t="shared" si="18"/>
        <v>2.7777777777777776E-2</v>
      </c>
      <c r="AI49" s="40">
        <v>6</v>
      </c>
      <c r="AJ49" s="41">
        <f t="shared" si="11"/>
        <v>2.3715415019762844E-2</v>
      </c>
      <c r="AK49" s="40">
        <v>13</v>
      </c>
      <c r="AL49" s="41">
        <f t="shared" si="19"/>
        <v>3.2828282828282832E-2</v>
      </c>
      <c r="AM49" s="40">
        <v>11</v>
      </c>
      <c r="AN49" s="41">
        <f t="shared" si="12"/>
        <v>4.3478260869565216E-2</v>
      </c>
      <c r="AO49" s="40">
        <v>262</v>
      </c>
      <c r="AP49" s="41">
        <f t="shared" si="20"/>
        <v>0.66161616161616166</v>
      </c>
      <c r="AQ49" s="40">
        <v>171</v>
      </c>
      <c r="AR49" s="41">
        <f t="shared" si="13"/>
        <v>0.67588932806324109</v>
      </c>
      <c r="AS49" s="40">
        <v>74</v>
      </c>
      <c r="AT49" s="41">
        <f t="shared" si="21"/>
        <v>0.18686868686868688</v>
      </c>
      <c r="AU49" s="40">
        <v>48</v>
      </c>
      <c r="AV49" s="41">
        <f t="shared" si="14"/>
        <v>0.18972332015810275</v>
      </c>
      <c r="AW49" s="40">
        <v>28</v>
      </c>
      <c r="AX49" s="41">
        <f t="shared" si="22"/>
        <v>7.0707070707070704E-2</v>
      </c>
      <c r="AY49" s="40">
        <v>11</v>
      </c>
      <c r="AZ49" s="41">
        <f t="shared" si="15"/>
        <v>4.3478260869565216E-2</v>
      </c>
      <c r="BA49" s="40">
        <v>8</v>
      </c>
      <c r="BB49" s="41">
        <f t="shared" si="23"/>
        <v>2.0202020202020204E-2</v>
      </c>
      <c r="BC49" s="40">
        <v>6</v>
      </c>
      <c r="BD49" s="41">
        <f t="shared" si="16"/>
        <v>2.3715415019762844E-2</v>
      </c>
      <c r="BE49" s="40">
        <v>396</v>
      </c>
      <c r="BF49" s="40">
        <v>253</v>
      </c>
    </row>
    <row r="50" spans="1:58" ht="15.75" customHeight="1" x14ac:dyDescent="0.25">
      <c r="A50" s="39">
        <v>2024</v>
      </c>
      <c r="B50" s="39">
        <v>170730</v>
      </c>
      <c r="C50" s="37" t="str">
        <f>VLOOKUP(B50,procv!$A$2:$D$142,4,FALSE)</f>
        <v>Ilha do Bananal</v>
      </c>
      <c r="D50" s="37" t="s">
        <v>53</v>
      </c>
      <c r="E50" s="40">
        <v>2</v>
      </c>
      <c r="F50" s="42">
        <f t="shared" si="0"/>
        <v>7.7220077220077222E-3</v>
      </c>
      <c r="G50" s="40">
        <v>3</v>
      </c>
      <c r="H50" s="42">
        <f t="shared" si="1"/>
        <v>1.6216216216216217E-2</v>
      </c>
      <c r="I50" s="40">
        <v>4</v>
      </c>
      <c r="J50" s="41">
        <f t="shared" si="2"/>
        <v>1.5444015444015444E-2</v>
      </c>
      <c r="K50" s="40">
        <v>3</v>
      </c>
      <c r="L50" s="41">
        <f t="shared" si="3"/>
        <v>1.6216216216216217E-2</v>
      </c>
      <c r="M50" s="40">
        <v>245</v>
      </c>
      <c r="N50" s="41">
        <f>IFERROR(M50/$BE50,0)</f>
        <v>0.94594594594594594</v>
      </c>
      <c r="O50" s="40">
        <v>174</v>
      </c>
      <c r="P50" s="41">
        <f t="shared" si="4"/>
        <v>0.94054054054054059</v>
      </c>
      <c r="Q50" s="40">
        <v>8</v>
      </c>
      <c r="R50" s="41">
        <f>IFERROR(Q50/$BE50,0)</f>
        <v>3.0888030888030889E-2</v>
      </c>
      <c r="S50" s="40">
        <v>5</v>
      </c>
      <c r="T50" s="41">
        <f t="shared" si="5"/>
        <v>2.7027027027027029E-2</v>
      </c>
      <c r="U50" s="40">
        <v>11</v>
      </c>
      <c r="V50" s="41">
        <f t="shared" si="6"/>
        <v>4.2471042471042469E-2</v>
      </c>
      <c r="W50" s="40">
        <v>7</v>
      </c>
      <c r="X50" s="41">
        <f t="shared" si="7"/>
        <v>3.783783783783784E-2</v>
      </c>
      <c r="Y50" s="40">
        <v>20</v>
      </c>
      <c r="Z50" s="41">
        <f t="shared" si="8"/>
        <v>7.7220077220077218E-2</v>
      </c>
      <c r="AA50" s="40">
        <v>19</v>
      </c>
      <c r="AB50" s="41">
        <f t="shared" si="9"/>
        <v>0.10270270270270271</v>
      </c>
      <c r="AC50" s="40">
        <v>229</v>
      </c>
      <c r="AD50" s="41">
        <f t="shared" si="17"/>
        <v>0.88416988416988418</v>
      </c>
      <c r="AE50" s="40">
        <v>160</v>
      </c>
      <c r="AF50" s="41">
        <f t="shared" si="10"/>
        <v>0.86486486486486491</v>
      </c>
      <c r="AG50" s="40">
        <v>4</v>
      </c>
      <c r="AH50" s="41">
        <f t="shared" si="18"/>
        <v>1.5444015444015444E-2</v>
      </c>
      <c r="AI50" s="40">
        <v>3</v>
      </c>
      <c r="AJ50" s="41">
        <f t="shared" si="11"/>
        <v>1.6216216216216217E-2</v>
      </c>
      <c r="AK50" s="40">
        <v>14</v>
      </c>
      <c r="AL50" s="41">
        <f t="shared" si="19"/>
        <v>5.4054054054054057E-2</v>
      </c>
      <c r="AM50" s="40">
        <v>12</v>
      </c>
      <c r="AN50" s="41">
        <f t="shared" si="12"/>
        <v>6.4864864864864868E-2</v>
      </c>
      <c r="AO50" s="40">
        <v>187</v>
      </c>
      <c r="AP50" s="41">
        <f t="shared" si="20"/>
        <v>0.72200772200772201</v>
      </c>
      <c r="AQ50" s="40">
        <v>137</v>
      </c>
      <c r="AR50" s="41">
        <f t="shared" si="13"/>
        <v>0.74054054054054053</v>
      </c>
      <c r="AS50" s="40">
        <v>32</v>
      </c>
      <c r="AT50" s="41">
        <f t="shared" si="21"/>
        <v>0.12355212355212356</v>
      </c>
      <c r="AU50" s="40">
        <v>18</v>
      </c>
      <c r="AV50" s="41">
        <f t="shared" si="14"/>
        <v>9.7297297297297303E-2</v>
      </c>
      <c r="AW50" s="40">
        <v>8</v>
      </c>
      <c r="AX50" s="41">
        <f t="shared" si="22"/>
        <v>3.0888030888030889E-2</v>
      </c>
      <c r="AY50" s="40">
        <v>5</v>
      </c>
      <c r="AZ50" s="41">
        <f t="shared" si="15"/>
        <v>2.7027027027027029E-2</v>
      </c>
      <c r="BA50" s="40">
        <v>15</v>
      </c>
      <c r="BB50" s="41">
        <f t="shared" si="23"/>
        <v>5.7915057915057917E-2</v>
      </c>
      <c r="BC50" s="40">
        <v>11</v>
      </c>
      <c r="BD50" s="41">
        <f t="shared" si="16"/>
        <v>5.9459459459459463E-2</v>
      </c>
      <c r="BE50" s="40">
        <v>259</v>
      </c>
      <c r="BF50" s="40">
        <v>185</v>
      </c>
    </row>
    <row r="51" spans="1:58" ht="15.75" customHeight="1" x14ac:dyDescent="0.25">
      <c r="A51" s="39">
        <v>2024</v>
      </c>
      <c r="B51" s="39">
        <v>170740</v>
      </c>
      <c r="C51" s="37" t="str">
        <f>VLOOKUP(B51,procv!$A$2:$D$142,4,FALSE)</f>
        <v>Bico do Papagaio</v>
      </c>
      <c r="D51" s="37" t="s">
        <v>54</v>
      </c>
      <c r="E51" s="40">
        <v>6</v>
      </c>
      <c r="F51" s="42">
        <f t="shared" si="0"/>
        <v>9.2165898617511521E-3</v>
      </c>
      <c r="G51" s="40">
        <v>9</v>
      </c>
      <c r="H51" s="42">
        <f t="shared" si="1"/>
        <v>2.2443890274314215E-2</v>
      </c>
      <c r="I51" s="40">
        <v>25</v>
      </c>
      <c r="J51" s="41">
        <f t="shared" si="2"/>
        <v>3.840245775729647E-2</v>
      </c>
      <c r="K51" s="40">
        <v>17</v>
      </c>
      <c r="L51" s="41">
        <f t="shared" si="3"/>
        <v>4.2394014962593519E-2</v>
      </c>
      <c r="M51" s="40">
        <v>591</v>
      </c>
      <c r="N51" s="41">
        <f>IFERROR(M51/$BE51,0)</f>
        <v>0.90783410138248843</v>
      </c>
      <c r="O51" s="40">
        <v>354</v>
      </c>
      <c r="P51" s="41">
        <f t="shared" si="4"/>
        <v>0.88279301745635907</v>
      </c>
      <c r="Q51" s="40">
        <v>29</v>
      </c>
      <c r="R51" s="41">
        <f>IFERROR(Q51/$BE51,0)</f>
        <v>4.4546850998463901E-2</v>
      </c>
      <c r="S51" s="40">
        <v>21</v>
      </c>
      <c r="T51" s="41">
        <f t="shared" si="5"/>
        <v>5.2369077306733167E-2</v>
      </c>
      <c r="U51" s="40">
        <v>28</v>
      </c>
      <c r="V51" s="41">
        <f t="shared" si="6"/>
        <v>4.3010752688172046E-2</v>
      </c>
      <c r="W51" s="40">
        <v>23</v>
      </c>
      <c r="X51" s="41">
        <f t="shared" si="7"/>
        <v>5.7356608478802994E-2</v>
      </c>
      <c r="Y51" s="40">
        <v>73</v>
      </c>
      <c r="Z51" s="41">
        <f t="shared" si="8"/>
        <v>0.11213517665130568</v>
      </c>
      <c r="AA51" s="40">
        <v>49</v>
      </c>
      <c r="AB51" s="41">
        <f t="shared" si="9"/>
        <v>0.12219451371571072</v>
      </c>
      <c r="AC51" s="40">
        <v>550</v>
      </c>
      <c r="AD51" s="41">
        <f t="shared" si="17"/>
        <v>0.84485407066052232</v>
      </c>
      <c r="AE51" s="40">
        <v>329</v>
      </c>
      <c r="AF51" s="41">
        <f t="shared" si="10"/>
        <v>0.82044887780548625</v>
      </c>
      <c r="AG51" s="40">
        <v>13</v>
      </c>
      <c r="AH51" s="41">
        <f t="shared" si="18"/>
        <v>1.9969278033794162E-2</v>
      </c>
      <c r="AI51" s="40">
        <v>15</v>
      </c>
      <c r="AJ51" s="41">
        <f t="shared" si="11"/>
        <v>3.7406483790523692E-2</v>
      </c>
      <c r="AK51" s="40">
        <v>22</v>
      </c>
      <c r="AL51" s="41">
        <f t="shared" si="19"/>
        <v>3.3794162826420893E-2</v>
      </c>
      <c r="AM51" s="40">
        <v>23</v>
      </c>
      <c r="AN51" s="41">
        <f t="shared" si="12"/>
        <v>5.7356608478802994E-2</v>
      </c>
      <c r="AO51" s="40">
        <v>423</v>
      </c>
      <c r="AP51" s="41">
        <f t="shared" si="20"/>
        <v>0.64976958525345618</v>
      </c>
      <c r="AQ51" s="40">
        <v>253</v>
      </c>
      <c r="AR51" s="41">
        <f t="shared" si="13"/>
        <v>0.63092269326683292</v>
      </c>
      <c r="AS51" s="40">
        <v>108</v>
      </c>
      <c r="AT51" s="41">
        <f t="shared" si="21"/>
        <v>0.16589861751152074</v>
      </c>
      <c r="AU51" s="40">
        <v>66</v>
      </c>
      <c r="AV51" s="41">
        <f t="shared" si="14"/>
        <v>0.16458852867830423</v>
      </c>
      <c r="AW51" s="40">
        <v>53</v>
      </c>
      <c r="AX51" s="41">
        <f t="shared" si="22"/>
        <v>8.1413210445468509E-2</v>
      </c>
      <c r="AY51" s="40">
        <v>19</v>
      </c>
      <c r="AZ51" s="41">
        <f t="shared" si="15"/>
        <v>4.738154613466334E-2</v>
      </c>
      <c r="BA51" s="40">
        <v>32</v>
      </c>
      <c r="BB51" s="41">
        <f t="shared" si="23"/>
        <v>4.9155145929339478E-2</v>
      </c>
      <c r="BC51" s="40">
        <v>25</v>
      </c>
      <c r="BD51" s="41">
        <f t="shared" si="16"/>
        <v>6.2344139650872821E-2</v>
      </c>
      <c r="BE51" s="40">
        <v>651</v>
      </c>
      <c r="BF51" s="40">
        <v>401</v>
      </c>
    </row>
    <row r="52" spans="1:58" ht="15.75" customHeight="1" x14ac:dyDescent="0.25">
      <c r="A52" s="39">
        <v>2024</v>
      </c>
      <c r="B52" s="39">
        <v>170755</v>
      </c>
      <c r="C52" s="37" t="str">
        <f>VLOOKUP(B52,procv!$A$2:$D$142,4,FALSE)</f>
        <v>Amor Perfeito</v>
      </c>
      <c r="D52" s="37" t="s">
        <v>55</v>
      </c>
      <c r="E52" s="40">
        <v>0</v>
      </c>
      <c r="F52" s="42">
        <f t="shared" si="0"/>
        <v>0</v>
      </c>
      <c r="G52" s="40">
        <v>1</v>
      </c>
      <c r="H52" s="42">
        <f t="shared" si="1"/>
        <v>7.462686567164179E-3</v>
      </c>
      <c r="I52" s="40">
        <v>3</v>
      </c>
      <c r="J52" s="41">
        <f t="shared" si="2"/>
        <v>1.2875536480686695E-2</v>
      </c>
      <c r="K52" s="40">
        <v>2</v>
      </c>
      <c r="L52" s="41">
        <f t="shared" si="3"/>
        <v>1.4925373134328358E-2</v>
      </c>
      <c r="M52" s="40">
        <v>218</v>
      </c>
      <c r="N52" s="41">
        <f>IFERROR(M52/$BE52,0)</f>
        <v>0.93562231759656656</v>
      </c>
      <c r="O52" s="40">
        <v>126</v>
      </c>
      <c r="P52" s="41">
        <f t="shared" si="4"/>
        <v>0.94029850746268662</v>
      </c>
      <c r="Q52" s="40">
        <v>12</v>
      </c>
      <c r="R52" s="41">
        <f>IFERROR(Q52/$BE52,0)</f>
        <v>5.1502145922746781E-2</v>
      </c>
      <c r="S52" s="40">
        <v>5</v>
      </c>
      <c r="T52" s="41">
        <f t="shared" si="5"/>
        <v>3.7313432835820892E-2</v>
      </c>
      <c r="U52" s="40">
        <v>14</v>
      </c>
      <c r="V52" s="41">
        <f t="shared" si="6"/>
        <v>6.0085836909871244E-2</v>
      </c>
      <c r="W52" s="40">
        <v>14</v>
      </c>
      <c r="X52" s="41">
        <f t="shared" si="7"/>
        <v>0.1044776119402985</v>
      </c>
      <c r="Y52" s="40">
        <v>15</v>
      </c>
      <c r="Z52" s="41">
        <f t="shared" si="8"/>
        <v>6.4377682403433473E-2</v>
      </c>
      <c r="AA52" s="40">
        <v>12</v>
      </c>
      <c r="AB52" s="41">
        <f t="shared" si="9"/>
        <v>8.9552238805970144E-2</v>
      </c>
      <c r="AC52" s="40">
        <v>204</v>
      </c>
      <c r="AD52" s="41">
        <f t="shared" si="17"/>
        <v>0.87553648068669532</v>
      </c>
      <c r="AE52" s="40">
        <v>108</v>
      </c>
      <c r="AF52" s="41">
        <f t="shared" si="10"/>
        <v>0.80597014925373134</v>
      </c>
      <c r="AG52" s="40">
        <v>0</v>
      </c>
      <c r="AH52" s="41">
        <f t="shared" si="18"/>
        <v>0</v>
      </c>
      <c r="AI52" s="40">
        <v>1</v>
      </c>
      <c r="AJ52" s="41">
        <f t="shared" si="11"/>
        <v>7.462686567164179E-3</v>
      </c>
      <c r="AK52" s="40">
        <v>3</v>
      </c>
      <c r="AL52" s="41">
        <f t="shared" si="19"/>
        <v>1.2875536480686695E-2</v>
      </c>
      <c r="AM52" s="40">
        <v>2</v>
      </c>
      <c r="AN52" s="41">
        <f t="shared" si="12"/>
        <v>1.4925373134328358E-2</v>
      </c>
      <c r="AO52" s="40">
        <v>149</v>
      </c>
      <c r="AP52" s="41">
        <f t="shared" si="20"/>
        <v>0.63948497854077258</v>
      </c>
      <c r="AQ52" s="40">
        <v>86</v>
      </c>
      <c r="AR52" s="41">
        <f t="shared" si="13"/>
        <v>0.64179104477611937</v>
      </c>
      <c r="AS52" s="40">
        <v>47</v>
      </c>
      <c r="AT52" s="41">
        <f t="shared" si="21"/>
        <v>0.20171673819742489</v>
      </c>
      <c r="AU52" s="40">
        <v>29</v>
      </c>
      <c r="AV52" s="41">
        <f t="shared" si="14"/>
        <v>0.21641791044776118</v>
      </c>
      <c r="AW52" s="40">
        <v>26</v>
      </c>
      <c r="AX52" s="41">
        <f t="shared" si="22"/>
        <v>0.11158798283261803</v>
      </c>
      <c r="AY52" s="40">
        <v>14</v>
      </c>
      <c r="AZ52" s="41">
        <f t="shared" si="15"/>
        <v>0.1044776119402985</v>
      </c>
      <c r="BA52" s="40">
        <v>8</v>
      </c>
      <c r="BB52" s="41">
        <f t="shared" si="23"/>
        <v>3.4334763948497854E-2</v>
      </c>
      <c r="BC52" s="40">
        <v>2</v>
      </c>
      <c r="BD52" s="41">
        <f t="shared" si="16"/>
        <v>1.4925373134328358E-2</v>
      </c>
      <c r="BE52" s="40">
        <v>233</v>
      </c>
      <c r="BF52" s="40">
        <v>134</v>
      </c>
    </row>
    <row r="53" spans="1:58" ht="15.75" customHeight="1" x14ac:dyDescent="0.25">
      <c r="A53" s="39">
        <v>2024</v>
      </c>
      <c r="B53" s="39">
        <v>170765</v>
      </c>
      <c r="C53" s="37" t="str">
        <f>VLOOKUP(B53,procv!$A$2:$D$142,4,FALSE)</f>
        <v>Ilha do Bananal</v>
      </c>
      <c r="D53" s="37" t="s">
        <v>56</v>
      </c>
      <c r="E53" s="40">
        <v>1</v>
      </c>
      <c r="F53" s="42">
        <f t="shared" si="0"/>
        <v>3.1948881789137379E-3</v>
      </c>
      <c r="G53" s="40">
        <v>1</v>
      </c>
      <c r="H53" s="42">
        <f t="shared" si="1"/>
        <v>5.8479532163742687E-3</v>
      </c>
      <c r="I53" s="40">
        <v>6</v>
      </c>
      <c r="J53" s="41">
        <f t="shared" si="2"/>
        <v>1.9169329073482427E-2</v>
      </c>
      <c r="K53" s="40">
        <v>6</v>
      </c>
      <c r="L53" s="41">
        <f t="shared" si="3"/>
        <v>3.5087719298245612E-2</v>
      </c>
      <c r="M53" s="40">
        <v>292</v>
      </c>
      <c r="N53" s="41">
        <f>IFERROR(M53/$BE53,0)</f>
        <v>0.93290734824281152</v>
      </c>
      <c r="O53" s="40">
        <v>155</v>
      </c>
      <c r="P53" s="41">
        <f t="shared" si="4"/>
        <v>0.9064327485380117</v>
      </c>
      <c r="Q53" s="40">
        <v>14</v>
      </c>
      <c r="R53" s="41">
        <f>IFERROR(Q53/$BE53,0)</f>
        <v>4.472843450479233E-2</v>
      </c>
      <c r="S53" s="40">
        <v>9</v>
      </c>
      <c r="T53" s="41">
        <f t="shared" si="5"/>
        <v>5.2631578947368418E-2</v>
      </c>
      <c r="U53" s="40">
        <v>3</v>
      </c>
      <c r="V53" s="41">
        <f t="shared" si="6"/>
        <v>9.5846645367412137E-3</v>
      </c>
      <c r="W53" s="40">
        <v>6</v>
      </c>
      <c r="X53" s="41">
        <f t="shared" si="7"/>
        <v>3.5087719298245612E-2</v>
      </c>
      <c r="Y53" s="40">
        <v>16</v>
      </c>
      <c r="Z53" s="41">
        <f t="shared" si="8"/>
        <v>5.1118210862619806E-2</v>
      </c>
      <c r="AA53" s="40">
        <v>9</v>
      </c>
      <c r="AB53" s="41">
        <f t="shared" si="9"/>
        <v>5.2631578947368418E-2</v>
      </c>
      <c r="AC53" s="40">
        <v>294</v>
      </c>
      <c r="AD53" s="41">
        <f t="shared" si="17"/>
        <v>0.93929712460063897</v>
      </c>
      <c r="AE53" s="40">
        <v>156</v>
      </c>
      <c r="AF53" s="41">
        <f t="shared" si="10"/>
        <v>0.91228070175438591</v>
      </c>
      <c r="AG53" s="40">
        <v>2</v>
      </c>
      <c r="AH53" s="41">
        <f t="shared" si="18"/>
        <v>6.3897763578274758E-3</v>
      </c>
      <c r="AI53" s="40">
        <v>3</v>
      </c>
      <c r="AJ53" s="41">
        <f t="shared" si="11"/>
        <v>1.7543859649122806E-2</v>
      </c>
      <c r="AK53" s="40">
        <v>9</v>
      </c>
      <c r="AL53" s="41">
        <f t="shared" si="19"/>
        <v>2.8753993610223641E-2</v>
      </c>
      <c r="AM53" s="40">
        <v>12</v>
      </c>
      <c r="AN53" s="41">
        <f t="shared" si="12"/>
        <v>7.0175438596491224E-2</v>
      </c>
      <c r="AO53" s="40">
        <v>212</v>
      </c>
      <c r="AP53" s="41">
        <f t="shared" si="20"/>
        <v>0.67731629392971249</v>
      </c>
      <c r="AQ53" s="40">
        <v>120</v>
      </c>
      <c r="AR53" s="41">
        <f t="shared" si="13"/>
        <v>0.70175438596491224</v>
      </c>
      <c r="AS53" s="40">
        <v>60</v>
      </c>
      <c r="AT53" s="41">
        <f t="shared" si="21"/>
        <v>0.19169329073482427</v>
      </c>
      <c r="AU53" s="40">
        <v>21</v>
      </c>
      <c r="AV53" s="41">
        <f t="shared" si="14"/>
        <v>0.12280701754385964</v>
      </c>
      <c r="AW53" s="40">
        <v>20</v>
      </c>
      <c r="AX53" s="41">
        <f t="shared" si="22"/>
        <v>6.3897763578274758E-2</v>
      </c>
      <c r="AY53" s="40">
        <v>8</v>
      </c>
      <c r="AZ53" s="41">
        <f t="shared" si="15"/>
        <v>4.6783625730994149E-2</v>
      </c>
      <c r="BA53" s="40">
        <v>10</v>
      </c>
      <c r="BB53" s="41">
        <f t="shared" si="23"/>
        <v>3.1948881789137379E-2</v>
      </c>
      <c r="BC53" s="40">
        <v>7</v>
      </c>
      <c r="BD53" s="41">
        <f t="shared" si="16"/>
        <v>4.0935672514619881E-2</v>
      </c>
      <c r="BE53" s="40">
        <v>313</v>
      </c>
      <c r="BF53" s="40">
        <v>171</v>
      </c>
    </row>
    <row r="54" spans="1:58" ht="15.75" customHeight="1" x14ac:dyDescent="0.25">
      <c r="A54" s="39">
        <v>2024</v>
      </c>
      <c r="B54" s="39">
        <v>170770</v>
      </c>
      <c r="C54" s="37" t="str">
        <f>VLOOKUP(B54,procv!$A$2:$D$142,4,FALSE)</f>
        <v>Médio Norte Araguaia</v>
      </c>
      <c r="D54" s="37" t="s">
        <v>57</v>
      </c>
      <c r="E54" s="40">
        <v>1</v>
      </c>
      <c r="F54" s="42">
        <f t="shared" si="0"/>
        <v>1.8248175182481751E-3</v>
      </c>
      <c r="G54" s="40">
        <v>1</v>
      </c>
      <c r="H54" s="42">
        <f t="shared" si="1"/>
        <v>2.6737967914438501E-3</v>
      </c>
      <c r="I54" s="40">
        <v>13</v>
      </c>
      <c r="J54" s="41">
        <f t="shared" si="2"/>
        <v>2.3722627737226276E-2</v>
      </c>
      <c r="K54" s="40">
        <v>8</v>
      </c>
      <c r="L54" s="41">
        <f t="shared" si="3"/>
        <v>2.1390374331550801E-2</v>
      </c>
      <c r="M54" s="40">
        <v>519</v>
      </c>
      <c r="N54" s="41">
        <f>IFERROR(M54/$BE54,0)</f>
        <v>0.9470802919708029</v>
      </c>
      <c r="O54" s="40">
        <v>356</v>
      </c>
      <c r="P54" s="41">
        <f t="shared" si="4"/>
        <v>0.95187165775401072</v>
      </c>
      <c r="Q54" s="40">
        <v>15</v>
      </c>
      <c r="R54" s="41">
        <f>IFERROR(Q54/$BE54,0)</f>
        <v>2.7372262773722629E-2</v>
      </c>
      <c r="S54" s="40">
        <v>9</v>
      </c>
      <c r="T54" s="41">
        <f t="shared" si="5"/>
        <v>2.4064171122994651E-2</v>
      </c>
      <c r="U54" s="40">
        <v>22</v>
      </c>
      <c r="V54" s="41">
        <f t="shared" si="6"/>
        <v>4.0145985401459854E-2</v>
      </c>
      <c r="W54" s="40">
        <v>19</v>
      </c>
      <c r="X54" s="41">
        <f t="shared" si="7"/>
        <v>5.0802139037433157E-2</v>
      </c>
      <c r="Y54" s="40">
        <v>59</v>
      </c>
      <c r="Z54" s="41">
        <f t="shared" si="8"/>
        <v>0.10766423357664233</v>
      </c>
      <c r="AA54" s="40">
        <v>46</v>
      </c>
      <c r="AB54" s="41">
        <f t="shared" si="9"/>
        <v>0.12299465240641712</v>
      </c>
      <c r="AC54" s="40">
        <v>467</v>
      </c>
      <c r="AD54" s="41">
        <f t="shared" si="17"/>
        <v>0.8521897810218978</v>
      </c>
      <c r="AE54" s="40">
        <v>309</v>
      </c>
      <c r="AF54" s="41">
        <f t="shared" si="10"/>
        <v>0.8262032085561497</v>
      </c>
      <c r="AG54" s="40">
        <v>6</v>
      </c>
      <c r="AH54" s="41">
        <f t="shared" si="18"/>
        <v>1.0948905109489052E-2</v>
      </c>
      <c r="AI54" s="40">
        <v>7</v>
      </c>
      <c r="AJ54" s="41">
        <f t="shared" si="11"/>
        <v>1.871657754010695E-2</v>
      </c>
      <c r="AK54" s="40">
        <v>13</v>
      </c>
      <c r="AL54" s="41">
        <f t="shared" si="19"/>
        <v>2.3722627737226276E-2</v>
      </c>
      <c r="AM54" s="40">
        <v>10</v>
      </c>
      <c r="AN54" s="41">
        <f t="shared" si="12"/>
        <v>2.6737967914438502E-2</v>
      </c>
      <c r="AO54" s="40">
        <v>350</v>
      </c>
      <c r="AP54" s="41">
        <f t="shared" si="20"/>
        <v>0.63868613138686137</v>
      </c>
      <c r="AQ54" s="40">
        <v>259</v>
      </c>
      <c r="AR54" s="41">
        <f t="shared" si="13"/>
        <v>0.69251336898395721</v>
      </c>
      <c r="AS54" s="40">
        <v>118</v>
      </c>
      <c r="AT54" s="41">
        <f t="shared" si="21"/>
        <v>0.21532846715328466</v>
      </c>
      <c r="AU54" s="40">
        <v>62</v>
      </c>
      <c r="AV54" s="41">
        <f t="shared" si="14"/>
        <v>0.16577540106951871</v>
      </c>
      <c r="AW54" s="40">
        <v>41</v>
      </c>
      <c r="AX54" s="41">
        <f t="shared" si="22"/>
        <v>7.4817518248175188E-2</v>
      </c>
      <c r="AY54" s="40">
        <v>19</v>
      </c>
      <c r="AZ54" s="41">
        <f t="shared" si="15"/>
        <v>5.0802139037433157E-2</v>
      </c>
      <c r="BA54" s="40">
        <v>20</v>
      </c>
      <c r="BB54" s="41">
        <f t="shared" si="23"/>
        <v>3.6496350364963501E-2</v>
      </c>
      <c r="BC54" s="40">
        <v>17</v>
      </c>
      <c r="BD54" s="41">
        <f t="shared" si="16"/>
        <v>4.5454545454545456E-2</v>
      </c>
      <c r="BE54" s="40">
        <v>548</v>
      </c>
      <c r="BF54" s="40">
        <v>374</v>
      </c>
    </row>
    <row r="55" spans="1:58" ht="15.75" customHeight="1" x14ac:dyDescent="0.25">
      <c r="A55" s="39">
        <v>2024</v>
      </c>
      <c r="B55" s="39">
        <v>170820</v>
      </c>
      <c r="C55" s="37" t="str">
        <f>VLOOKUP(B55,procv!$A$2:$D$142,4,FALSE)</f>
        <v>Ilha do Bananal</v>
      </c>
      <c r="D55" s="37" t="s">
        <v>58</v>
      </c>
      <c r="E55" s="40">
        <v>4</v>
      </c>
      <c r="F55" s="42">
        <f t="shared" si="0"/>
        <v>4.8484848484848485E-3</v>
      </c>
      <c r="G55" s="40">
        <v>5</v>
      </c>
      <c r="H55" s="42">
        <f t="shared" si="1"/>
        <v>7.3099415204678359E-3</v>
      </c>
      <c r="I55" s="40">
        <v>21</v>
      </c>
      <c r="J55" s="41">
        <f t="shared" si="2"/>
        <v>2.5454545454545455E-2</v>
      </c>
      <c r="K55" s="40">
        <v>17</v>
      </c>
      <c r="L55" s="41">
        <f t="shared" si="3"/>
        <v>2.4853801169590642E-2</v>
      </c>
      <c r="M55" s="40">
        <v>733</v>
      </c>
      <c r="N55" s="41">
        <f>IFERROR(M55/$BE55,0)</f>
        <v>0.88848484848484843</v>
      </c>
      <c r="O55" s="40">
        <v>609</v>
      </c>
      <c r="P55" s="41">
        <f t="shared" si="4"/>
        <v>0.89035087719298245</v>
      </c>
      <c r="Q55" s="40">
        <v>67</v>
      </c>
      <c r="R55" s="41">
        <f>IFERROR(Q55/$BE55,0)</f>
        <v>8.1212121212121208E-2</v>
      </c>
      <c r="S55" s="40">
        <v>53</v>
      </c>
      <c r="T55" s="41">
        <f t="shared" si="5"/>
        <v>7.748538011695906E-2</v>
      </c>
      <c r="U55" s="40">
        <v>38</v>
      </c>
      <c r="V55" s="41">
        <f t="shared" si="6"/>
        <v>4.6060606060606059E-2</v>
      </c>
      <c r="W55" s="40">
        <v>35</v>
      </c>
      <c r="X55" s="41">
        <f t="shared" si="7"/>
        <v>5.1169590643274851E-2</v>
      </c>
      <c r="Y55" s="40">
        <v>53</v>
      </c>
      <c r="Z55" s="41">
        <f t="shared" si="8"/>
        <v>6.424242424242424E-2</v>
      </c>
      <c r="AA55" s="40">
        <v>42</v>
      </c>
      <c r="AB55" s="41">
        <f t="shared" si="9"/>
        <v>6.1403508771929821E-2</v>
      </c>
      <c r="AC55" s="40">
        <v>734</v>
      </c>
      <c r="AD55" s="41">
        <f t="shared" si="17"/>
        <v>0.88969696969696965</v>
      </c>
      <c r="AE55" s="40">
        <v>607</v>
      </c>
      <c r="AF55" s="41">
        <f t="shared" si="10"/>
        <v>0.88742690058479534</v>
      </c>
      <c r="AG55" s="40">
        <v>33</v>
      </c>
      <c r="AH55" s="41">
        <f t="shared" si="18"/>
        <v>0.04</v>
      </c>
      <c r="AI55" s="40">
        <v>36</v>
      </c>
      <c r="AJ55" s="41">
        <f t="shared" si="11"/>
        <v>5.2631578947368418E-2</v>
      </c>
      <c r="AK55" s="40">
        <v>34</v>
      </c>
      <c r="AL55" s="41">
        <f t="shared" si="19"/>
        <v>4.1212121212121214E-2</v>
      </c>
      <c r="AM55" s="40">
        <v>34</v>
      </c>
      <c r="AN55" s="41">
        <f t="shared" si="12"/>
        <v>4.9707602339181284E-2</v>
      </c>
      <c r="AO55" s="40">
        <v>522</v>
      </c>
      <c r="AP55" s="41">
        <f t="shared" si="20"/>
        <v>0.63272727272727269</v>
      </c>
      <c r="AQ55" s="40">
        <v>435</v>
      </c>
      <c r="AR55" s="41">
        <f t="shared" si="13"/>
        <v>0.63596491228070173</v>
      </c>
      <c r="AS55" s="40">
        <v>130</v>
      </c>
      <c r="AT55" s="41">
        <f t="shared" si="21"/>
        <v>0.15757575757575756</v>
      </c>
      <c r="AU55" s="40">
        <v>95</v>
      </c>
      <c r="AV55" s="41">
        <f t="shared" si="14"/>
        <v>0.1388888888888889</v>
      </c>
      <c r="AW55" s="40">
        <v>52</v>
      </c>
      <c r="AX55" s="41">
        <f t="shared" si="22"/>
        <v>6.3030303030303034E-2</v>
      </c>
      <c r="AY55" s="40">
        <v>41</v>
      </c>
      <c r="AZ55" s="41">
        <f t="shared" si="15"/>
        <v>5.9941520467836254E-2</v>
      </c>
      <c r="BA55" s="40">
        <v>54</v>
      </c>
      <c r="BB55" s="41">
        <f t="shared" si="23"/>
        <v>6.545454545454546E-2</v>
      </c>
      <c r="BC55" s="40">
        <v>43</v>
      </c>
      <c r="BD55" s="41">
        <f t="shared" si="16"/>
        <v>6.2865497076023388E-2</v>
      </c>
      <c r="BE55" s="40">
        <v>825</v>
      </c>
      <c r="BF55" s="40">
        <v>684</v>
      </c>
    </row>
    <row r="56" spans="1:58" ht="15.75" customHeight="1" x14ac:dyDescent="0.25">
      <c r="A56" s="39">
        <v>2024</v>
      </c>
      <c r="B56" s="39">
        <v>170830</v>
      </c>
      <c r="C56" s="37" t="str">
        <f>VLOOKUP(B56,procv!$A$2:$D$142,4,FALSE)</f>
        <v>Cerrado Tocantins Araguaia</v>
      </c>
      <c r="D56" s="37" t="s">
        <v>59</v>
      </c>
      <c r="E56" s="40">
        <v>1</v>
      </c>
      <c r="F56" s="42">
        <f t="shared" si="0"/>
        <v>3.4013605442176869E-3</v>
      </c>
      <c r="G56" s="40">
        <v>0</v>
      </c>
      <c r="H56" s="42">
        <f t="shared" si="1"/>
        <v>0</v>
      </c>
      <c r="I56" s="40">
        <v>8</v>
      </c>
      <c r="J56" s="41">
        <f t="shared" si="2"/>
        <v>2.7210884353741496E-2</v>
      </c>
      <c r="K56" s="40">
        <v>7</v>
      </c>
      <c r="L56" s="41">
        <f t="shared" si="3"/>
        <v>4.6979865771812082E-2</v>
      </c>
      <c r="M56" s="40">
        <v>267</v>
      </c>
      <c r="N56" s="41">
        <f>IFERROR(M56/$BE56,0)</f>
        <v>0.90816326530612246</v>
      </c>
      <c r="O56" s="40">
        <v>133</v>
      </c>
      <c r="P56" s="41">
        <f t="shared" si="4"/>
        <v>0.89261744966442957</v>
      </c>
      <c r="Q56" s="40">
        <v>18</v>
      </c>
      <c r="R56" s="41">
        <f>IFERROR(Q56/$BE56,0)</f>
        <v>6.1224489795918366E-2</v>
      </c>
      <c r="S56" s="40">
        <v>9</v>
      </c>
      <c r="T56" s="41">
        <f t="shared" si="5"/>
        <v>6.0402684563758392E-2</v>
      </c>
      <c r="U56" s="40">
        <v>14</v>
      </c>
      <c r="V56" s="41">
        <f t="shared" si="6"/>
        <v>4.7619047619047616E-2</v>
      </c>
      <c r="W56" s="40">
        <v>5</v>
      </c>
      <c r="X56" s="41">
        <f t="shared" si="7"/>
        <v>3.3557046979865772E-2</v>
      </c>
      <c r="Y56" s="40">
        <v>40</v>
      </c>
      <c r="Z56" s="41">
        <f t="shared" si="8"/>
        <v>0.1360544217687075</v>
      </c>
      <c r="AA56" s="40">
        <v>22</v>
      </c>
      <c r="AB56" s="41">
        <f t="shared" si="9"/>
        <v>0.1476510067114094</v>
      </c>
      <c r="AC56" s="40">
        <v>240</v>
      </c>
      <c r="AD56" s="41">
        <f t="shared" si="17"/>
        <v>0.81632653061224492</v>
      </c>
      <c r="AE56" s="40">
        <v>122</v>
      </c>
      <c r="AF56" s="41">
        <f t="shared" si="10"/>
        <v>0.81879194630872487</v>
      </c>
      <c r="AG56" s="40">
        <v>3</v>
      </c>
      <c r="AH56" s="41">
        <f t="shared" si="18"/>
        <v>1.020408163265306E-2</v>
      </c>
      <c r="AI56" s="40">
        <v>2</v>
      </c>
      <c r="AJ56" s="41">
        <f t="shared" si="11"/>
        <v>1.3422818791946308E-2</v>
      </c>
      <c r="AK56" s="40">
        <v>14</v>
      </c>
      <c r="AL56" s="41">
        <f t="shared" si="19"/>
        <v>4.7619047619047616E-2</v>
      </c>
      <c r="AM56" s="40">
        <v>8</v>
      </c>
      <c r="AN56" s="41">
        <f t="shared" si="12"/>
        <v>5.3691275167785234E-2</v>
      </c>
      <c r="AO56" s="40">
        <v>165</v>
      </c>
      <c r="AP56" s="41">
        <f t="shared" si="20"/>
        <v>0.56122448979591832</v>
      </c>
      <c r="AQ56" s="40">
        <v>91</v>
      </c>
      <c r="AR56" s="41">
        <f t="shared" si="13"/>
        <v>0.61073825503355705</v>
      </c>
      <c r="AS56" s="40">
        <v>63</v>
      </c>
      <c r="AT56" s="41">
        <f t="shared" si="21"/>
        <v>0.21428571428571427</v>
      </c>
      <c r="AU56" s="40">
        <v>23</v>
      </c>
      <c r="AV56" s="41">
        <f t="shared" si="14"/>
        <v>0.15436241610738255</v>
      </c>
      <c r="AW56" s="40">
        <v>35</v>
      </c>
      <c r="AX56" s="41">
        <f t="shared" si="22"/>
        <v>0.11904761904761904</v>
      </c>
      <c r="AY56" s="40">
        <v>16</v>
      </c>
      <c r="AZ56" s="41">
        <f t="shared" si="15"/>
        <v>0.10738255033557047</v>
      </c>
      <c r="BA56" s="40">
        <v>14</v>
      </c>
      <c r="BB56" s="41">
        <f t="shared" si="23"/>
        <v>4.7619047619047616E-2</v>
      </c>
      <c r="BC56" s="40">
        <v>9</v>
      </c>
      <c r="BD56" s="41">
        <f t="shared" si="16"/>
        <v>6.0402684563758392E-2</v>
      </c>
      <c r="BE56" s="40">
        <v>294</v>
      </c>
      <c r="BF56" s="40">
        <v>149</v>
      </c>
    </row>
    <row r="57" spans="1:58" ht="15.75" customHeight="1" x14ac:dyDescent="0.25">
      <c r="A57" s="39">
        <v>2024</v>
      </c>
      <c r="B57" s="39">
        <v>170900</v>
      </c>
      <c r="C57" s="37" t="str">
        <f>VLOOKUP(B57,procv!$A$2:$D$142,4,FALSE)</f>
        <v>Médio Norte Araguaia</v>
      </c>
      <c r="D57" s="37" t="s">
        <v>60</v>
      </c>
      <c r="E57" s="40">
        <v>17</v>
      </c>
      <c r="F57" s="42">
        <f t="shared" si="0"/>
        <v>1.8743109151047408E-2</v>
      </c>
      <c r="G57" s="40">
        <v>17</v>
      </c>
      <c r="H57" s="42">
        <f t="shared" si="1"/>
        <v>2.4495677233429394E-2</v>
      </c>
      <c r="I57" s="40">
        <v>41</v>
      </c>
      <c r="J57" s="41">
        <f t="shared" si="2"/>
        <v>4.5203969128996692E-2</v>
      </c>
      <c r="K57" s="40">
        <v>36</v>
      </c>
      <c r="L57" s="41">
        <f t="shared" si="3"/>
        <v>5.1873198847262249E-2</v>
      </c>
      <c r="M57" s="40">
        <v>797</v>
      </c>
      <c r="N57" s="41">
        <f>IFERROR(M57/$BE57,0)</f>
        <v>0.87872105843439907</v>
      </c>
      <c r="O57" s="40">
        <v>600</v>
      </c>
      <c r="P57" s="41">
        <f t="shared" si="4"/>
        <v>0.86455331412103742</v>
      </c>
      <c r="Q57" s="40">
        <v>52</v>
      </c>
      <c r="R57" s="41">
        <f>IFERROR(Q57/$BE57,0)</f>
        <v>5.7331863285556783E-2</v>
      </c>
      <c r="S57" s="40">
        <v>41</v>
      </c>
      <c r="T57" s="41">
        <f t="shared" si="5"/>
        <v>5.9077809798270896E-2</v>
      </c>
      <c r="U57" s="40">
        <v>46</v>
      </c>
      <c r="V57" s="41">
        <f t="shared" si="6"/>
        <v>5.0716648291069456E-2</v>
      </c>
      <c r="W57" s="40">
        <v>44</v>
      </c>
      <c r="X57" s="41">
        <f t="shared" si="7"/>
        <v>6.3400576368876083E-2</v>
      </c>
      <c r="Y57" s="40">
        <v>56</v>
      </c>
      <c r="Z57" s="41">
        <f t="shared" si="8"/>
        <v>6.1742006615214992E-2</v>
      </c>
      <c r="AA57" s="40">
        <v>47</v>
      </c>
      <c r="AB57" s="41">
        <f t="shared" si="9"/>
        <v>6.7723342939481262E-2</v>
      </c>
      <c r="AC57" s="40">
        <v>805</v>
      </c>
      <c r="AD57" s="41">
        <f t="shared" si="17"/>
        <v>0.88754134509371552</v>
      </c>
      <c r="AE57" s="40">
        <v>603</v>
      </c>
      <c r="AF57" s="41">
        <f t="shared" si="10"/>
        <v>0.86887608069164268</v>
      </c>
      <c r="AG57" s="40">
        <v>68</v>
      </c>
      <c r="AH57" s="41">
        <f t="shared" si="18"/>
        <v>7.4972436604189632E-2</v>
      </c>
      <c r="AI57" s="40">
        <v>68</v>
      </c>
      <c r="AJ57" s="41">
        <f t="shared" si="11"/>
        <v>9.7982708933717577E-2</v>
      </c>
      <c r="AK57" s="40">
        <v>55</v>
      </c>
      <c r="AL57" s="41">
        <f t="shared" si="19"/>
        <v>6.0639470782800443E-2</v>
      </c>
      <c r="AM57" s="40">
        <v>49</v>
      </c>
      <c r="AN57" s="41">
        <f t="shared" si="12"/>
        <v>7.060518731988473E-2</v>
      </c>
      <c r="AO57" s="40">
        <v>596</v>
      </c>
      <c r="AP57" s="41">
        <f t="shared" si="20"/>
        <v>0.6571113561190739</v>
      </c>
      <c r="AQ57" s="40">
        <v>443</v>
      </c>
      <c r="AR57" s="41">
        <f t="shared" si="13"/>
        <v>0.63832853025936598</v>
      </c>
      <c r="AS57" s="40">
        <v>112</v>
      </c>
      <c r="AT57" s="41">
        <f t="shared" si="21"/>
        <v>0.12348401323042998</v>
      </c>
      <c r="AU57" s="40">
        <v>68</v>
      </c>
      <c r="AV57" s="41">
        <f t="shared" si="14"/>
        <v>9.7982708933717577E-2</v>
      </c>
      <c r="AW57" s="40">
        <v>44</v>
      </c>
      <c r="AX57" s="41">
        <f t="shared" si="22"/>
        <v>4.8511576626240352E-2</v>
      </c>
      <c r="AY57" s="40">
        <v>33</v>
      </c>
      <c r="AZ57" s="41">
        <f t="shared" si="15"/>
        <v>4.7550432276657062E-2</v>
      </c>
      <c r="BA57" s="40">
        <v>32</v>
      </c>
      <c r="BB57" s="41">
        <f t="shared" si="23"/>
        <v>3.5281146637265712E-2</v>
      </c>
      <c r="BC57" s="40">
        <v>33</v>
      </c>
      <c r="BD57" s="41">
        <f t="shared" si="16"/>
        <v>4.7550432276657062E-2</v>
      </c>
      <c r="BE57" s="40">
        <v>907</v>
      </c>
      <c r="BF57" s="40">
        <v>694</v>
      </c>
    </row>
    <row r="58" spans="1:58" ht="15.75" customHeight="1" x14ac:dyDescent="0.25">
      <c r="A58" s="39">
        <v>2024</v>
      </c>
      <c r="B58" s="39">
        <v>170930</v>
      </c>
      <c r="C58" s="37" t="str">
        <f>VLOOKUP(B58,procv!$A$2:$D$142,4,FALSE)</f>
        <v>Cerrado Tocantins Araguaia</v>
      </c>
      <c r="D58" s="37" t="s">
        <v>61</v>
      </c>
      <c r="E58" s="40">
        <v>14</v>
      </c>
      <c r="F58" s="42">
        <f t="shared" si="0"/>
        <v>1.6073478760045924E-2</v>
      </c>
      <c r="G58" s="40">
        <v>5</v>
      </c>
      <c r="H58" s="42">
        <f t="shared" si="1"/>
        <v>1.3262599469496022E-2</v>
      </c>
      <c r="I58" s="40">
        <v>24</v>
      </c>
      <c r="J58" s="41">
        <f t="shared" si="2"/>
        <v>2.7554535017221583E-2</v>
      </c>
      <c r="K58" s="40">
        <v>12</v>
      </c>
      <c r="L58" s="41">
        <f t="shared" si="3"/>
        <v>3.1830238726790451E-2</v>
      </c>
      <c r="M58" s="40">
        <v>788</v>
      </c>
      <c r="N58" s="41">
        <f>IFERROR(M58/$BE58,0)</f>
        <v>0.90470723306544198</v>
      </c>
      <c r="O58" s="40">
        <v>339</v>
      </c>
      <c r="P58" s="41">
        <f t="shared" si="4"/>
        <v>0.89920424403183019</v>
      </c>
      <c r="Q58" s="40">
        <v>45</v>
      </c>
      <c r="R58" s="41">
        <f>IFERROR(Q58/$BE58,0)</f>
        <v>5.1664753157290473E-2</v>
      </c>
      <c r="S58" s="40">
        <v>21</v>
      </c>
      <c r="T58" s="41">
        <f t="shared" si="5"/>
        <v>5.5702917771883291E-2</v>
      </c>
      <c r="U58" s="40">
        <v>40</v>
      </c>
      <c r="V58" s="41">
        <f t="shared" si="6"/>
        <v>4.5924225028702644E-2</v>
      </c>
      <c r="W58" s="40">
        <v>28</v>
      </c>
      <c r="X58" s="41">
        <f t="shared" si="7"/>
        <v>7.4270557029177717E-2</v>
      </c>
      <c r="Y58" s="40">
        <v>69</v>
      </c>
      <c r="Z58" s="41">
        <f t="shared" si="8"/>
        <v>7.9219288174512056E-2</v>
      </c>
      <c r="AA58" s="40">
        <v>37</v>
      </c>
      <c r="AB58" s="41">
        <f t="shared" si="9"/>
        <v>9.8143236074270557E-2</v>
      </c>
      <c r="AC58" s="40">
        <v>762</v>
      </c>
      <c r="AD58" s="41">
        <f t="shared" si="17"/>
        <v>0.87485648679678529</v>
      </c>
      <c r="AE58" s="40">
        <v>312</v>
      </c>
      <c r="AF58" s="41">
        <f t="shared" si="10"/>
        <v>0.82758620689655171</v>
      </c>
      <c r="AG58" s="40">
        <v>19</v>
      </c>
      <c r="AH58" s="41">
        <f t="shared" si="18"/>
        <v>2.1814006888633754E-2</v>
      </c>
      <c r="AI58" s="40">
        <v>16</v>
      </c>
      <c r="AJ58" s="41">
        <f t="shared" si="11"/>
        <v>4.2440318302387266E-2</v>
      </c>
      <c r="AK58" s="40">
        <v>23</v>
      </c>
      <c r="AL58" s="41">
        <f t="shared" si="19"/>
        <v>2.6406429391504019E-2</v>
      </c>
      <c r="AM58" s="40">
        <v>12</v>
      </c>
      <c r="AN58" s="41">
        <f t="shared" si="12"/>
        <v>3.1830238726790451E-2</v>
      </c>
      <c r="AO58" s="40">
        <v>559</v>
      </c>
      <c r="AP58" s="41">
        <f t="shared" si="20"/>
        <v>0.64179104477611937</v>
      </c>
      <c r="AQ58" s="40">
        <v>231</v>
      </c>
      <c r="AR58" s="41">
        <f t="shared" si="13"/>
        <v>0.61273209549071617</v>
      </c>
      <c r="AS58" s="40">
        <v>163</v>
      </c>
      <c r="AT58" s="41">
        <f t="shared" si="21"/>
        <v>0.18714121699196326</v>
      </c>
      <c r="AU58" s="40">
        <v>61</v>
      </c>
      <c r="AV58" s="41">
        <f t="shared" si="14"/>
        <v>0.16180371352785147</v>
      </c>
      <c r="AW58" s="40">
        <v>64</v>
      </c>
      <c r="AX58" s="41">
        <f t="shared" si="22"/>
        <v>7.3478760045924227E-2</v>
      </c>
      <c r="AY58" s="40">
        <v>25</v>
      </c>
      <c r="AZ58" s="41">
        <f t="shared" si="15"/>
        <v>6.6312997347480113E-2</v>
      </c>
      <c r="BA58" s="40">
        <v>43</v>
      </c>
      <c r="BB58" s="41">
        <f t="shared" si="23"/>
        <v>4.9368541905855337E-2</v>
      </c>
      <c r="BC58" s="40">
        <v>32</v>
      </c>
      <c r="BD58" s="41">
        <f t="shared" si="16"/>
        <v>8.4880636604774531E-2</v>
      </c>
      <c r="BE58" s="40">
        <v>871</v>
      </c>
      <c r="BF58" s="40">
        <v>377</v>
      </c>
    </row>
    <row r="59" spans="1:58" ht="15.75" customHeight="1" x14ac:dyDescent="0.25">
      <c r="A59" s="39">
        <v>2024</v>
      </c>
      <c r="B59" s="39">
        <v>170950</v>
      </c>
      <c r="C59" s="37" t="str">
        <f>VLOOKUP(B59,procv!$A$2:$D$142,4,FALSE)</f>
        <v>Ilha do Bananal</v>
      </c>
      <c r="D59" s="37" t="s">
        <v>62</v>
      </c>
      <c r="E59" s="40">
        <v>59</v>
      </c>
      <c r="F59" s="42">
        <f t="shared" si="0"/>
        <v>1.6204339467179345E-2</v>
      </c>
      <c r="G59" s="40">
        <v>68</v>
      </c>
      <c r="H59" s="42">
        <f t="shared" si="1"/>
        <v>3.8288288288288286E-2</v>
      </c>
      <c r="I59" s="40">
        <v>194</v>
      </c>
      <c r="J59" s="41">
        <f t="shared" si="2"/>
        <v>5.3282065366657513E-2</v>
      </c>
      <c r="K59" s="40">
        <v>184</v>
      </c>
      <c r="L59" s="41">
        <f t="shared" si="3"/>
        <v>0.1036036036036036</v>
      </c>
      <c r="M59" s="43">
        <v>3203</v>
      </c>
      <c r="N59" s="41">
        <f>IFERROR(M59/$BE59,0)</f>
        <v>0.8797033781928042</v>
      </c>
      <c r="O59" s="43">
        <v>1444</v>
      </c>
      <c r="P59" s="41">
        <f t="shared" si="4"/>
        <v>0.81306306306306309</v>
      </c>
      <c r="Q59" s="40">
        <v>185</v>
      </c>
      <c r="R59" s="41">
        <f>IFERROR(Q59/$BE59,0)</f>
        <v>5.0810216973358968E-2</v>
      </c>
      <c r="S59" s="40">
        <v>80</v>
      </c>
      <c r="T59" s="41">
        <f t="shared" si="5"/>
        <v>4.5045045045045043E-2</v>
      </c>
      <c r="U59" s="40">
        <v>139</v>
      </c>
      <c r="V59" s="41">
        <f t="shared" si="6"/>
        <v>3.8176325185388632E-2</v>
      </c>
      <c r="W59" s="40">
        <v>114</v>
      </c>
      <c r="X59" s="41">
        <f t="shared" si="7"/>
        <v>6.4189189189189186E-2</v>
      </c>
      <c r="Y59" s="40">
        <v>362</v>
      </c>
      <c r="Z59" s="41">
        <f t="shared" si="8"/>
        <v>9.9423235374897001E-2</v>
      </c>
      <c r="AA59" s="40">
        <v>297</v>
      </c>
      <c r="AB59" s="41">
        <f t="shared" si="9"/>
        <v>0.16722972972972974</v>
      </c>
      <c r="AC59" s="43">
        <v>3140</v>
      </c>
      <c r="AD59" s="41">
        <f t="shared" si="17"/>
        <v>0.86240043943971434</v>
      </c>
      <c r="AE59" s="43">
        <v>1365</v>
      </c>
      <c r="AF59" s="41">
        <f t="shared" si="10"/>
        <v>0.76858108108108103</v>
      </c>
      <c r="AG59" s="40">
        <v>234</v>
      </c>
      <c r="AH59" s="41">
        <f t="shared" si="18"/>
        <v>6.4268058225762148E-2</v>
      </c>
      <c r="AI59" s="40">
        <v>290</v>
      </c>
      <c r="AJ59" s="41">
        <f t="shared" si="11"/>
        <v>0.16328828828828829</v>
      </c>
      <c r="AK59" s="40">
        <v>131</v>
      </c>
      <c r="AL59" s="41">
        <f t="shared" si="19"/>
        <v>3.5979126613567704E-2</v>
      </c>
      <c r="AM59" s="40">
        <v>101</v>
      </c>
      <c r="AN59" s="41">
        <f t="shared" si="12"/>
        <v>5.6869369369369371E-2</v>
      </c>
      <c r="AO59" s="43">
        <v>2397</v>
      </c>
      <c r="AP59" s="41">
        <f t="shared" si="20"/>
        <v>0.6583356220818456</v>
      </c>
      <c r="AQ59" s="43">
        <v>1111</v>
      </c>
      <c r="AR59" s="41">
        <f t="shared" si="13"/>
        <v>0.62556306306306309</v>
      </c>
      <c r="AS59" s="40">
        <v>565</v>
      </c>
      <c r="AT59" s="41">
        <f t="shared" si="21"/>
        <v>0.15517714913485306</v>
      </c>
      <c r="AU59" s="40">
        <v>155</v>
      </c>
      <c r="AV59" s="41">
        <f t="shared" si="14"/>
        <v>8.7274774774774772E-2</v>
      </c>
      <c r="AW59" s="40">
        <v>188</v>
      </c>
      <c r="AX59" s="41">
        <f t="shared" si="22"/>
        <v>5.1634166437791819E-2</v>
      </c>
      <c r="AY59" s="40">
        <v>63</v>
      </c>
      <c r="AZ59" s="41">
        <f t="shared" si="15"/>
        <v>3.5472972972972971E-2</v>
      </c>
      <c r="BA59" s="40">
        <v>126</v>
      </c>
      <c r="BB59" s="41">
        <f t="shared" si="23"/>
        <v>3.4605877506179619E-2</v>
      </c>
      <c r="BC59" s="40">
        <v>56</v>
      </c>
      <c r="BD59" s="41">
        <f t="shared" si="16"/>
        <v>3.1531531531531529E-2</v>
      </c>
      <c r="BE59" s="43">
        <v>3641</v>
      </c>
      <c r="BF59" s="43">
        <v>1776</v>
      </c>
    </row>
    <row r="60" spans="1:58" ht="15.75" customHeight="1" x14ac:dyDescent="0.25">
      <c r="A60" s="39">
        <v>2024</v>
      </c>
      <c r="B60" s="39">
        <v>170980</v>
      </c>
      <c r="C60" s="37" t="str">
        <f>VLOOKUP(B60,procv!$A$2:$D$142,4,FALSE)</f>
        <v>Amor Perfeito</v>
      </c>
      <c r="D60" s="37" t="s">
        <v>63</v>
      </c>
      <c r="E60" s="40">
        <v>1</v>
      </c>
      <c r="F60" s="42">
        <f t="shared" si="0"/>
        <v>1.0526315789473684E-2</v>
      </c>
      <c r="G60" s="40">
        <v>1</v>
      </c>
      <c r="H60" s="42">
        <f t="shared" si="1"/>
        <v>1.8867924528301886E-2</v>
      </c>
      <c r="I60" s="40">
        <v>5</v>
      </c>
      <c r="J60" s="41">
        <f t="shared" si="2"/>
        <v>5.2631578947368418E-2</v>
      </c>
      <c r="K60" s="40">
        <v>4</v>
      </c>
      <c r="L60" s="41">
        <f t="shared" si="3"/>
        <v>7.5471698113207544E-2</v>
      </c>
      <c r="M60" s="40">
        <v>85</v>
      </c>
      <c r="N60" s="41">
        <f>IFERROR(M60/$BE60,0)</f>
        <v>0.89473684210526316</v>
      </c>
      <c r="O60" s="40">
        <v>44</v>
      </c>
      <c r="P60" s="41">
        <f t="shared" si="4"/>
        <v>0.83018867924528306</v>
      </c>
      <c r="Q60" s="40">
        <v>4</v>
      </c>
      <c r="R60" s="41">
        <f>IFERROR(Q60/$BE60,0)</f>
        <v>4.2105263157894736E-2</v>
      </c>
      <c r="S60" s="40">
        <v>4</v>
      </c>
      <c r="T60" s="41">
        <f t="shared" si="5"/>
        <v>7.5471698113207544E-2</v>
      </c>
      <c r="U60" s="40">
        <v>3</v>
      </c>
      <c r="V60" s="41">
        <f t="shared" si="6"/>
        <v>3.1578947368421054E-2</v>
      </c>
      <c r="W60" s="40">
        <v>4</v>
      </c>
      <c r="X60" s="41">
        <f t="shared" si="7"/>
        <v>7.5471698113207544E-2</v>
      </c>
      <c r="Y60" s="40">
        <v>12</v>
      </c>
      <c r="Z60" s="41">
        <f t="shared" si="8"/>
        <v>0.12631578947368421</v>
      </c>
      <c r="AA60" s="40">
        <v>7</v>
      </c>
      <c r="AB60" s="41">
        <f t="shared" si="9"/>
        <v>0.13207547169811321</v>
      </c>
      <c r="AC60" s="40">
        <v>80</v>
      </c>
      <c r="AD60" s="41">
        <f t="shared" si="17"/>
        <v>0.84210526315789469</v>
      </c>
      <c r="AE60" s="40">
        <v>42</v>
      </c>
      <c r="AF60" s="41">
        <f t="shared" si="10"/>
        <v>0.79245283018867929</v>
      </c>
      <c r="AG60" s="40">
        <v>8</v>
      </c>
      <c r="AH60" s="41">
        <f t="shared" si="18"/>
        <v>8.4210526315789472E-2</v>
      </c>
      <c r="AI60" s="40">
        <v>9</v>
      </c>
      <c r="AJ60" s="41">
        <f t="shared" si="11"/>
        <v>0.16981132075471697</v>
      </c>
      <c r="AK60" s="40">
        <v>3</v>
      </c>
      <c r="AL60" s="41">
        <f t="shared" si="19"/>
        <v>3.1578947368421054E-2</v>
      </c>
      <c r="AM60" s="40">
        <v>3</v>
      </c>
      <c r="AN60" s="41">
        <f t="shared" si="12"/>
        <v>5.6603773584905662E-2</v>
      </c>
      <c r="AO60" s="40">
        <v>53</v>
      </c>
      <c r="AP60" s="41">
        <f t="shared" si="20"/>
        <v>0.55789473684210522</v>
      </c>
      <c r="AQ60" s="40">
        <v>25</v>
      </c>
      <c r="AR60" s="41">
        <f t="shared" si="13"/>
        <v>0.47169811320754718</v>
      </c>
      <c r="AS60" s="40">
        <v>20</v>
      </c>
      <c r="AT60" s="41">
        <f t="shared" si="21"/>
        <v>0.21052631578947367</v>
      </c>
      <c r="AU60" s="40">
        <v>8</v>
      </c>
      <c r="AV60" s="41">
        <f t="shared" si="14"/>
        <v>0.15094339622641509</v>
      </c>
      <c r="AW60" s="40">
        <v>6</v>
      </c>
      <c r="AX60" s="41">
        <f t="shared" si="22"/>
        <v>6.3157894736842107E-2</v>
      </c>
      <c r="AY60" s="40">
        <v>3</v>
      </c>
      <c r="AZ60" s="41">
        <f t="shared" si="15"/>
        <v>5.6603773584905662E-2</v>
      </c>
      <c r="BA60" s="40">
        <v>5</v>
      </c>
      <c r="BB60" s="41">
        <f t="shared" si="23"/>
        <v>5.2631578947368418E-2</v>
      </c>
      <c r="BC60" s="40">
        <v>5</v>
      </c>
      <c r="BD60" s="41">
        <f t="shared" si="16"/>
        <v>9.4339622641509441E-2</v>
      </c>
      <c r="BE60" s="40">
        <v>95</v>
      </c>
      <c r="BF60" s="40">
        <v>53</v>
      </c>
    </row>
    <row r="61" spans="1:58" ht="15.75" customHeight="1" x14ac:dyDescent="0.25">
      <c r="A61" s="39">
        <v>2024</v>
      </c>
      <c r="B61" s="39">
        <v>171050</v>
      </c>
      <c r="C61" s="37" t="str">
        <f>VLOOKUP(B61,procv!$A$2:$D$142,4,FALSE)</f>
        <v>Cerrado Tocantins Araguaia</v>
      </c>
      <c r="D61" s="37" t="s">
        <v>64</v>
      </c>
      <c r="E61" s="40">
        <v>9</v>
      </c>
      <c r="F61" s="42">
        <f t="shared" si="0"/>
        <v>1.9230769230769232E-2</v>
      </c>
      <c r="G61" s="40">
        <v>5</v>
      </c>
      <c r="H61" s="42">
        <f t="shared" si="1"/>
        <v>1.8115942028985508E-2</v>
      </c>
      <c r="I61" s="40">
        <v>10</v>
      </c>
      <c r="J61" s="41">
        <f t="shared" si="2"/>
        <v>2.1367521367521368E-2</v>
      </c>
      <c r="K61" s="40">
        <v>8</v>
      </c>
      <c r="L61" s="41">
        <f t="shared" si="3"/>
        <v>2.8985507246376812E-2</v>
      </c>
      <c r="M61" s="40">
        <v>431</v>
      </c>
      <c r="N61" s="41">
        <f>IFERROR(M61/$BE61,0)</f>
        <v>0.92094017094017089</v>
      </c>
      <c r="O61" s="40">
        <v>250</v>
      </c>
      <c r="P61" s="41">
        <f t="shared" si="4"/>
        <v>0.90579710144927539</v>
      </c>
      <c r="Q61" s="40">
        <v>18</v>
      </c>
      <c r="R61" s="41">
        <f>IFERROR(Q61/$BE61,0)</f>
        <v>3.8461538461538464E-2</v>
      </c>
      <c r="S61" s="40">
        <v>13</v>
      </c>
      <c r="T61" s="41">
        <f t="shared" si="5"/>
        <v>4.710144927536232E-2</v>
      </c>
      <c r="U61" s="40">
        <v>29</v>
      </c>
      <c r="V61" s="41">
        <f t="shared" si="6"/>
        <v>6.1965811965811968E-2</v>
      </c>
      <c r="W61" s="40">
        <v>21</v>
      </c>
      <c r="X61" s="41">
        <f t="shared" si="7"/>
        <v>7.6086956521739135E-2</v>
      </c>
      <c r="Y61" s="40">
        <v>37</v>
      </c>
      <c r="Z61" s="41">
        <f t="shared" si="8"/>
        <v>7.9059829059829057E-2</v>
      </c>
      <c r="AA61" s="40">
        <v>20</v>
      </c>
      <c r="AB61" s="41">
        <f t="shared" si="9"/>
        <v>7.2463768115942032E-2</v>
      </c>
      <c r="AC61" s="40">
        <v>402</v>
      </c>
      <c r="AD61" s="41">
        <f t="shared" si="17"/>
        <v>0.85897435897435892</v>
      </c>
      <c r="AE61" s="40">
        <v>235</v>
      </c>
      <c r="AF61" s="41">
        <f t="shared" si="10"/>
        <v>0.85144927536231885</v>
      </c>
      <c r="AG61" s="40">
        <v>20</v>
      </c>
      <c r="AH61" s="41">
        <f t="shared" si="18"/>
        <v>4.2735042735042736E-2</v>
      </c>
      <c r="AI61" s="40">
        <v>12</v>
      </c>
      <c r="AJ61" s="41">
        <f t="shared" si="11"/>
        <v>4.3478260869565216E-2</v>
      </c>
      <c r="AK61" s="40">
        <v>19</v>
      </c>
      <c r="AL61" s="41">
        <f t="shared" si="19"/>
        <v>4.05982905982906E-2</v>
      </c>
      <c r="AM61" s="40">
        <v>11</v>
      </c>
      <c r="AN61" s="41">
        <f t="shared" si="12"/>
        <v>3.9855072463768113E-2</v>
      </c>
      <c r="AO61" s="40">
        <v>296</v>
      </c>
      <c r="AP61" s="41">
        <f t="shared" si="20"/>
        <v>0.63247863247863245</v>
      </c>
      <c r="AQ61" s="40">
        <v>171</v>
      </c>
      <c r="AR61" s="41">
        <f t="shared" si="13"/>
        <v>0.61956521739130432</v>
      </c>
      <c r="AS61" s="40">
        <v>79</v>
      </c>
      <c r="AT61" s="41">
        <f t="shared" si="21"/>
        <v>0.16880341880341881</v>
      </c>
      <c r="AU61" s="40">
        <v>48</v>
      </c>
      <c r="AV61" s="41">
        <f t="shared" si="14"/>
        <v>0.17391304347826086</v>
      </c>
      <c r="AW61" s="40">
        <v>27</v>
      </c>
      <c r="AX61" s="41">
        <f t="shared" si="22"/>
        <v>5.7692307692307696E-2</v>
      </c>
      <c r="AY61" s="40">
        <v>15</v>
      </c>
      <c r="AZ61" s="41">
        <f t="shared" si="15"/>
        <v>5.434782608695652E-2</v>
      </c>
      <c r="BA61" s="40">
        <v>27</v>
      </c>
      <c r="BB61" s="41">
        <f t="shared" si="23"/>
        <v>5.7692307692307696E-2</v>
      </c>
      <c r="BC61" s="40">
        <v>19</v>
      </c>
      <c r="BD61" s="41">
        <f t="shared" si="16"/>
        <v>6.8840579710144928E-2</v>
      </c>
      <c r="BE61" s="40">
        <v>468</v>
      </c>
      <c r="BF61" s="40">
        <v>276</v>
      </c>
    </row>
    <row r="62" spans="1:58" ht="15.75" customHeight="1" x14ac:dyDescent="0.25">
      <c r="A62" s="39">
        <v>2024</v>
      </c>
      <c r="B62" s="39">
        <v>171070</v>
      </c>
      <c r="C62" s="37" t="str">
        <f>VLOOKUP(B62,procv!$A$2:$D$142,4,FALSE)</f>
        <v>Bico do Papagaio</v>
      </c>
      <c r="D62" s="37" t="s">
        <v>65</v>
      </c>
      <c r="E62" s="40">
        <v>3</v>
      </c>
      <c r="F62" s="42">
        <f t="shared" si="0"/>
        <v>9.433962264150943E-3</v>
      </c>
      <c r="G62" s="40">
        <v>2</v>
      </c>
      <c r="H62" s="42">
        <f t="shared" si="1"/>
        <v>7.6923076923076927E-3</v>
      </c>
      <c r="I62" s="40">
        <v>14</v>
      </c>
      <c r="J62" s="41">
        <f t="shared" si="2"/>
        <v>4.40251572327044E-2</v>
      </c>
      <c r="K62" s="40">
        <v>10</v>
      </c>
      <c r="L62" s="41">
        <f t="shared" si="3"/>
        <v>3.8461538461538464E-2</v>
      </c>
      <c r="M62" s="40">
        <v>284</v>
      </c>
      <c r="N62" s="41">
        <f>IFERROR(M62/$BE62,0)</f>
        <v>0.89308176100628933</v>
      </c>
      <c r="O62" s="40">
        <v>228</v>
      </c>
      <c r="P62" s="41">
        <f t="shared" si="4"/>
        <v>0.87692307692307692</v>
      </c>
      <c r="Q62" s="40">
        <v>17</v>
      </c>
      <c r="R62" s="41">
        <f>IFERROR(Q62/$BE62,0)</f>
        <v>5.3459119496855348E-2</v>
      </c>
      <c r="S62" s="40">
        <v>20</v>
      </c>
      <c r="T62" s="41">
        <f t="shared" si="5"/>
        <v>7.6923076923076927E-2</v>
      </c>
      <c r="U62" s="40">
        <v>33</v>
      </c>
      <c r="V62" s="41">
        <f t="shared" si="6"/>
        <v>0.10377358490566038</v>
      </c>
      <c r="W62" s="40">
        <v>28</v>
      </c>
      <c r="X62" s="41">
        <f t="shared" si="7"/>
        <v>0.1076923076923077</v>
      </c>
      <c r="Y62" s="40">
        <v>29</v>
      </c>
      <c r="Z62" s="41">
        <f t="shared" si="8"/>
        <v>9.1194968553459113E-2</v>
      </c>
      <c r="AA62" s="40">
        <v>24</v>
      </c>
      <c r="AB62" s="41">
        <f t="shared" si="9"/>
        <v>9.2307692307692313E-2</v>
      </c>
      <c r="AC62" s="40">
        <v>256</v>
      </c>
      <c r="AD62" s="41">
        <f t="shared" si="17"/>
        <v>0.80503144654088055</v>
      </c>
      <c r="AE62" s="40">
        <v>208</v>
      </c>
      <c r="AF62" s="41">
        <f t="shared" si="10"/>
        <v>0.8</v>
      </c>
      <c r="AG62" s="40">
        <v>12</v>
      </c>
      <c r="AH62" s="41">
        <f t="shared" si="18"/>
        <v>3.7735849056603772E-2</v>
      </c>
      <c r="AI62" s="40">
        <v>16</v>
      </c>
      <c r="AJ62" s="41">
        <f t="shared" si="11"/>
        <v>6.1538461538461542E-2</v>
      </c>
      <c r="AK62" s="40">
        <v>17</v>
      </c>
      <c r="AL62" s="41">
        <f t="shared" si="19"/>
        <v>5.3459119496855348E-2</v>
      </c>
      <c r="AM62" s="40">
        <v>14</v>
      </c>
      <c r="AN62" s="41">
        <f t="shared" si="12"/>
        <v>5.3846153846153849E-2</v>
      </c>
      <c r="AO62" s="40">
        <v>184</v>
      </c>
      <c r="AP62" s="41">
        <f t="shared" si="20"/>
        <v>0.57861635220125784</v>
      </c>
      <c r="AQ62" s="40">
        <v>129</v>
      </c>
      <c r="AR62" s="41">
        <f t="shared" si="13"/>
        <v>0.49615384615384617</v>
      </c>
      <c r="AS62" s="40">
        <v>51</v>
      </c>
      <c r="AT62" s="41">
        <f t="shared" si="21"/>
        <v>0.16037735849056603</v>
      </c>
      <c r="AU62" s="40">
        <v>45</v>
      </c>
      <c r="AV62" s="41">
        <f t="shared" si="14"/>
        <v>0.17307692307692307</v>
      </c>
      <c r="AW62" s="40">
        <v>22</v>
      </c>
      <c r="AX62" s="41">
        <f t="shared" si="22"/>
        <v>6.9182389937106917E-2</v>
      </c>
      <c r="AY62" s="40">
        <v>23</v>
      </c>
      <c r="AZ62" s="41">
        <f t="shared" si="15"/>
        <v>8.8461538461538466E-2</v>
      </c>
      <c r="BA62" s="40">
        <v>32</v>
      </c>
      <c r="BB62" s="41">
        <f t="shared" si="23"/>
        <v>0.10062893081761007</v>
      </c>
      <c r="BC62" s="40">
        <v>33</v>
      </c>
      <c r="BD62" s="41">
        <f t="shared" si="16"/>
        <v>0.12692307692307692</v>
      </c>
      <c r="BE62" s="40">
        <v>318</v>
      </c>
      <c r="BF62" s="40">
        <v>260</v>
      </c>
    </row>
    <row r="63" spans="1:58" ht="15.75" customHeight="1" x14ac:dyDescent="0.25">
      <c r="A63" s="39">
        <v>2024</v>
      </c>
      <c r="B63" s="39">
        <v>171090</v>
      </c>
      <c r="C63" s="37" t="str">
        <f>VLOOKUP(B63,procv!$A$2:$D$142,4,FALSE)</f>
        <v>Cerrado Tocantins Araguaia</v>
      </c>
      <c r="D63" s="37" t="s">
        <v>66</v>
      </c>
      <c r="E63" s="40">
        <v>4</v>
      </c>
      <c r="F63" s="42">
        <f t="shared" si="0"/>
        <v>1.834862385321101E-2</v>
      </c>
      <c r="G63" s="40">
        <v>4</v>
      </c>
      <c r="H63" s="42">
        <f t="shared" si="1"/>
        <v>2.2857142857142857E-2</v>
      </c>
      <c r="I63" s="40">
        <v>10</v>
      </c>
      <c r="J63" s="41">
        <f t="shared" si="2"/>
        <v>4.5871559633027525E-2</v>
      </c>
      <c r="K63" s="40">
        <v>8</v>
      </c>
      <c r="L63" s="41">
        <f t="shared" si="3"/>
        <v>4.5714285714285714E-2</v>
      </c>
      <c r="M63" s="40">
        <v>197</v>
      </c>
      <c r="N63" s="41">
        <f>IFERROR(M63/$BE63,0)</f>
        <v>0.90366972477064222</v>
      </c>
      <c r="O63" s="40">
        <v>158</v>
      </c>
      <c r="P63" s="41">
        <f t="shared" si="4"/>
        <v>0.9028571428571428</v>
      </c>
      <c r="Q63" s="40">
        <v>7</v>
      </c>
      <c r="R63" s="41">
        <f>IFERROR(Q63/$BE63,0)</f>
        <v>3.2110091743119268E-2</v>
      </c>
      <c r="S63" s="40">
        <v>5</v>
      </c>
      <c r="T63" s="41">
        <f t="shared" si="5"/>
        <v>2.8571428571428571E-2</v>
      </c>
      <c r="U63" s="40">
        <v>13</v>
      </c>
      <c r="V63" s="41">
        <f t="shared" si="6"/>
        <v>5.9633027522935783E-2</v>
      </c>
      <c r="W63" s="40">
        <v>13</v>
      </c>
      <c r="X63" s="41">
        <f t="shared" si="7"/>
        <v>7.4285714285714288E-2</v>
      </c>
      <c r="Y63" s="40">
        <v>35</v>
      </c>
      <c r="Z63" s="41">
        <f t="shared" si="8"/>
        <v>0.16055045871559634</v>
      </c>
      <c r="AA63" s="40">
        <v>33</v>
      </c>
      <c r="AB63" s="41">
        <f t="shared" si="9"/>
        <v>0.18857142857142858</v>
      </c>
      <c r="AC63" s="40">
        <v>170</v>
      </c>
      <c r="AD63" s="41">
        <f t="shared" si="17"/>
        <v>0.77981651376146788</v>
      </c>
      <c r="AE63" s="40">
        <v>129</v>
      </c>
      <c r="AF63" s="41">
        <f t="shared" si="10"/>
        <v>0.7371428571428571</v>
      </c>
      <c r="AG63" s="40">
        <v>5</v>
      </c>
      <c r="AH63" s="41">
        <f t="shared" si="18"/>
        <v>2.2935779816513763E-2</v>
      </c>
      <c r="AI63" s="40">
        <v>4</v>
      </c>
      <c r="AJ63" s="41">
        <f t="shared" si="11"/>
        <v>2.2857142857142857E-2</v>
      </c>
      <c r="AK63" s="40">
        <v>5</v>
      </c>
      <c r="AL63" s="41">
        <f t="shared" si="19"/>
        <v>2.2935779816513763E-2</v>
      </c>
      <c r="AM63" s="40">
        <v>6</v>
      </c>
      <c r="AN63" s="41">
        <f t="shared" si="12"/>
        <v>3.4285714285714287E-2</v>
      </c>
      <c r="AO63" s="40">
        <v>146</v>
      </c>
      <c r="AP63" s="41">
        <f t="shared" si="20"/>
        <v>0.66972477064220182</v>
      </c>
      <c r="AQ63" s="40">
        <v>114</v>
      </c>
      <c r="AR63" s="41">
        <f t="shared" si="13"/>
        <v>0.65142857142857147</v>
      </c>
      <c r="AS63" s="40">
        <v>36</v>
      </c>
      <c r="AT63" s="41">
        <f t="shared" si="21"/>
        <v>0.16513761467889909</v>
      </c>
      <c r="AU63" s="40">
        <v>31</v>
      </c>
      <c r="AV63" s="41">
        <f t="shared" si="14"/>
        <v>0.17714285714285713</v>
      </c>
      <c r="AW63" s="40">
        <v>20</v>
      </c>
      <c r="AX63" s="41">
        <f t="shared" si="22"/>
        <v>9.1743119266055051E-2</v>
      </c>
      <c r="AY63" s="40">
        <v>17</v>
      </c>
      <c r="AZ63" s="41">
        <f t="shared" si="15"/>
        <v>9.7142857142857142E-2</v>
      </c>
      <c r="BA63" s="40">
        <v>6</v>
      </c>
      <c r="BB63" s="41">
        <f t="shared" si="23"/>
        <v>2.7522935779816515E-2</v>
      </c>
      <c r="BC63" s="40">
        <v>3</v>
      </c>
      <c r="BD63" s="41">
        <f t="shared" si="16"/>
        <v>1.7142857142857144E-2</v>
      </c>
      <c r="BE63" s="40">
        <v>218</v>
      </c>
      <c r="BF63" s="40">
        <v>175</v>
      </c>
    </row>
    <row r="64" spans="1:58" ht="15.75" customHeight="1" x14ac:dyDescent="0.25">
      <c r="A64" s="39">
        <v>2024</v>
      </c>
      <c r="B64" s="39">
        <v>171110</v>
      </c>
      <c r="C64" s="37" t="str">
        <f>VLOOKUP(B64,procv!$A$2:$D$142,4,FALSE)</f>
        <v>Cerrado Tocantins Araguaia</v>
      </c>
      <c r="D64" s="37" t="s">
        <v>67</v>
      </c>
      <c r="E64" s="40">
        <v>1</v>
      </c>
      <c r="F64" s="42">
        <f t="shared" si="0"/>
        <v>5.8479532163742687E-3</v>
      </c>
      <c r="G64" s="40">
        <v>0</v>
      </c>
      <c r="H64" s="42">
        <f t="shared" si="1"/>
        <v>0</v>
      </c>
      <c r="I64" s="40">
        <v>3</v>
      </c>
      <c r="J64" s="41">
        <f t="shared" si="2"/>
        <v>1.7543859649122806E-2</v>
      </c>
      <c r="K64" s="40">
        <v>2</v>
      </c>
      <c r="L64" s="41">
        <f t="shared" si="3"/>
        <v>2.564102564102564E-2</v>
      </c>
      <c r="M64" s="40">
        <v>154</v>
      </c>
      <c r="N64" s="41">
        <f>IFERROR(M64/$BE64,0)</f>
        <v>0.90058479532163738</v>
      </c>
      <c r="O64" s="40">
        <v>73</v>
      </c>
      <c r="P64" s="41">
        <f t="shared" si="4"/>
        <v>0.9358974358974359</v>
      </c>
      <c r="Q64" s="40">
        <v>13</v>
      </c>
      <c r="R64" s="41">
        <f>IFERROR(Q64/$BE64,0)</f>
        <v>7.6023391812865493E-2</v>
      </c>
      <c r="S64" s="40">
        <v>3</v>
      </c>
      <c r="T64" s="41">
        <f t="shared" si="5"/>
        <v>3.8461538461538464E-2</v>
      </c>
      <c r="U64" s="40">
        <v>6</v>
      </c>
      <c r="V64" s="41">
        <f t="shared" si="6"/>
        <v>3.5087719298245612E-2</v>
      </c>
      <c r="W64" s="40">
        <v>3</v>
      </c>
      <c r="X64" s="41">
        <f t="shared" si="7"/>
        <v>3.8461538461538464E-2</v>
      </c>
      <c r="Y64" s="40">
        <v>10</v>
      </c>
      <c r="Z64" s="41">
        <f t="shared" si="8"/>
        <v>5.8479532163742687E-2</v>
      </c>
      <c r="AA64" s="40">
        <v>4</v>
      </c>
      <c r="AB64" s="41">
        <f t="shared" si="9"/>
        <v>5.128205128205128E-2</v>
      </c>
      <c r="AC64" s="40">
        <v>155</v>
      </c>
      <c r="AD64" s="41">
        <f t="shared" si="17"/>
        <v>0.9064327485380117</v>
      </c>
      <c r="AE64" s="40">
        <v>71</v>
      </c>
      <c r="AF64" s="41">
        <f t="shared" si="10"/>
        <v>0.91025641025641024</v>
      </c>
      <c r="AG64" s="40">
        <v>2</v>
      </c>
      <c r="AH64" s="41">
        <f t="shared" si="18"/>
        <v>1.1695906432748537E-2</v>
      </c>
      <c r="AI64" s="40">
        <v>2</v>
      </c>
      <c r="AJ64" s="41">
        <f t="shared" si="11"/>
        <v>2.564102564102564E-2</v>
      </c>
      <c r="AK64" s="40">
        <v>3</v>
      </c>
      <c r="AL64" s="41">
        <f t="shared" si="19"/>
        <v>1.7543859649122806E-2</v>
      </c>
      <c r="AM64" s="40">
        <v>2</v>
      </c>
      <c r="AN64" s="41">
        <f t="shared" si="12"/>
        <v>2.564102564102564E-2</v>
      </c>
      <c r="AO64" s="40">
        <v>118</v>
      </c>
      <c r="AP64" s="41">
        <f t="shared" si="20"/>
        <v>0.6900584795321637</v>
      </c>
      <c r="AQ64" s="40">
        <v>56</v>
      </c>
      <c r="AR64" s="41">
        <f t="shared" si="13"/>
        <v>0.71794871794871795</v>
      </c>
      <c r="AS64" s="40">
        <v>32</v>
      </c>
      <c r="AT64" s="41">
        <f t="shared" si="21"/>
        <v>0.1871345029239766</v>
      </c>
      <c r="AU64" s="40">
        <v>12</v>
      </c>
      <c r="AV64" s="41">
        <f t="shared" si="14"/>
        <v>0.15384615384615385</v>
      </c>
      <c r="AW64" s="40">
        <v>10</v>
      </c>
      <c r="AX64" s="41">
        <f t="shared" si="22"/>
        <v>5.8479532163742687E-2</v>
      </c>
      <c r="AY64" s="40">
        <v>4</v>
      </c>
      <c r="AZ64" s="41">
        <f t="shared" si="15"/>
        <v>5.128205128205128E-2</v>
      </c>
      <c r="BA64" s="40">
        <v>6</v>
      </c>
      <c r="BB64" s="41">
        <f t="shared" si="23"/>
        <v>3.5087719298245612E-2</v>
      </c>
      <c r="BC64" s="40">
        <v>2</v>
      </c>
      <c r="BD64" s="41">
        <f t="shared" si="16"/>
        <v>2.564102564102564E-2</v>
      </c>
      <c r="BE64" s="40">
        <v>171</v>
      </c>
      <c r="BF64" s="40">
        <v>78</v>
      </c>
    </row>
    <row r="65" spans="1:58" ht="15.75" customHeight="1" x14ac:dyDescent="0.25">
      <c r="A65" s="39">
        <v>2024</v>
      </c>
      <c r="B65" s="39">
        <v>171150</v>
      </c>
      <c r="C65" s="37" t="str">
        <f>VLOOKUP(B65,procv!$A$2:$D$142,4,FALSE)</f>
        <v>Ilha do Bananal</v>
      </c>
      <c r="D65" s="37" t="s">
        <v>68</v>
      </c>
      <c r="E65" s="40">
        <v>1</v>
      </c>
      <c r="F65" s="42">
        <f t="shared" si="0"/>
        <v>5.6179775280898875E-3</v>
      </c>
      <c r="G65" s="40">
        <v>1</v>
      </c>
      <c r="H65" s="42">
        <f t="shared" si="1"/>
        <v>1.2987012987012988E-2</v>
      </c>
      <c r="I65" s="40">
        <v>7</v>
      </c>
      <c r="J65" s="41">
        <f t="shared" si="2"/>
        <v>3.9325842696629212E-2</v>
      </c>
      <c r="K65" s="40">
        <v>5</v>
      </c>
      <c r="L65" s="41">
        <f t="shared" si="3"/>
        <v>6.4935064935064929E-2</v>
      </c>
      <c r="M65" s="40">
        <v>161</v>
      </c>
      <c r="N65" s="41">
        <f>IFERROR(M65/$BE65,0)</f>
        <v>0.9044943820224719</v>
      </c>
      <c r="O65" s="40">
        <v>59</v>
      </c>
      <c r="P65" s="41">
        <f t="shared" si="4"/>
        <v>0.76623376623376627</v>
      </c>
      <c r="Q65" s="40">
        <v>9</v>
      </c>
      <c r="R65" s="41">
        <f>IFERROR(Q65/$BE65,0)</f>
        <v>5.0561797752808987E-2</v>
      </c>
      <c r="S65" s="40">
        <v>12</v>
      </c>
      <c r="T65" s="41">
        <f t="shared" si="5"/>
        <v>0.15584415584415584</v>
      </c>
      <c r="U65" s="40">
        <v>10</v>
      </c>
      <c r="V65" s="41">
        <f t="shared" si="6"/>
        <v>5.6179775280898875E-2</v>
      </c>
      <c r="W65" s="40">
        <v>5</v>
      </c>
      <c r="X65" s="41">
        <f t="shared" si="7"/>
        <v>6.4935064935064929E-2</v>
      </c>
      <c r="Y65" s="40">
        <v>12</v>
      </c>
      <c r="Z65" s="41">
        <f t="shared" si="8"/>
        <v>6.741573033707865E-2</v>
      </c>
      <c r="AA65" s="40">
        <v>8</v>
      </c>
      <c r="AB65" s="41">
        <f t="shared" si="9"/>
        <v>0.1038961038961039</v>
      </c>
      <c r="AC65" s="40">
        <v>156</v>
      </c>
      <c r="AD65" s="41">
        <f t="shared" si="17"/>
        <v>0.8764044943820225</v>
      </c>
      <c r="AE65" s="40">
        <v>64</v>
      </c>
      <c r="AF65" s="41">
        <f t="shared" si="10"/>
        <v>0.83116883116883122</v>
      </c>
      <c r="AG65" s="40">
        <v>9</v>
      </c>
      <c r="AH65" s="41">
        <f t="shared" si="18"/>
        <v>5.0561797752808987E-2</v>
      </c>
      <c r="AI65" s="40">
        <v>6</v>
      </c>
      <c r="AJ65" s="41">
        <f t="shared" si="11"/>
        <v>7.792207792207792E-2</v>
      </c>
      <c r="AK65" s="40">
        <v>15</v>
      </c>
      <c r="AL65" s="41">
        <f t="shared" si="19"/>
        <v>8.4269662921348312E-2</v>
      </c>
      <c r="AM65" s="40">
        <v>8</v>
      </c>
      <c r="AN65" s="41">
        <f t="shared" si="12"/>
        <v>0.1038961038961039</v>
      </c>
      <c r="AO65" s="40">
        <v>109</v>
      </c>
      <c r="AP65" s="41">
        <f t="shared" si="20"/>
        <v>0.61235955056179781</v>
      </c>
      <c r="AQ65" s="40">
        <v>41</v>
      </c>
      <c r="AR65" s="41">
        <f t="shared" si="13"/>
        <v>0.53246753246753242</v>
      </c>
      <c r="AS65" s="40">
        <v>30</v>
      </c>
      <c r="AT65" s="41">
        <f t="shared" si="21"/>
        <v>0.16853932584269662</v>
      </c>
      <c r="AU65" s="40">
        <v>9</v>
      </c>
      <c r="AV65" s="41">
        <f t="shared" si="14"/>
        <v>0.11688311688311688</v>
      </c>
      <c r="AW65" s="40">
        <v>7</v>
      </c>
      <c r="AX65" s="41">
        <f t="shared" si="22"/>
        <v>3.9325842696629212E-2</v>
      </c>
      <c r="AY65" s="40">
        <v>4</v>
      </c>
      <c r="AZ65" s="41">
        <f t="shared" si="15"/>
        <v>5.1948051948051951E-2</v>
      </c>
      <c r="BA65" s="40">
        <v>8</v>
      </c>
      <c r="BB65" s="41">
        <f t="shared" si="23"/>
        <v>4.49438202247191E-2</v>
      </c>
      <c r="BC65" s="40">
        <v>9</v>
      </c>
      <c r="BD65" s="41">
        <f t="shared" si="16"/>
        <v>0.11688311688311688</v>
      </c>
      <c r="BE65" s="40">
        <v>178</v>
      </c>
      <c r="BF65" s="40">
        <v>77</v>
      </c>
    </row>
    <row r="66" spans="1:58" ht="15.75" customHeight="1" x14ac:dyDescent="0.25">
      <c r="A66" s="39">
        <v>2024</v>
      </c>
      <c r="B66" s="39">
        <v>171180</v>
      </c>
      <c r="C66" s="37" t="str">
        <f>VLOOKUP(B66,procv!$A$2:$D$142,4,FALSE)</f>
        <v>Cerrado Tocantins Araguaia</v>
      </c>
      <c r="D66" s="37" t="s">
        <v>69</v>
      </c>
      <c r="E66" s="40">
        <v>1</v>
      </c>
      <c r="F66" s="42">
        <f t="shared" ref="F66:F129" si="24">IFERROR(E66/$BE66,0)</f>
        <v>8.130081300813009E-3</v>
      </c>
      <c r="G66" s="40">
        <v>0</v>
      </c>
      <c r="H66" s="42">
        <f t="shared" ref="H66:H129" si="25">IFERROR(G66/$BF66,0)</f>
        <v>0</v>
      </c>
      <c r="I66" s="40">
        <v>8</v>
      </c>
      <c r="J66" s="41">
        <f t="shared" ref="J66:J129" si="26">IFERROR(I66/$BE66,0)</f>
        <v>6.5040650406504072E-2</v>
      </c>
      <c r="K66" s="40">
        <v>6</v>
      </c>
      <c r="L66" s="41">
        <f t="shared" ref="L66:L129" si="27">IFERROR(K66/$BF66,0)</f>
        <v>0.13333333333333333</v>
      </c>
      <c r="M66" s="40">
        <v>109</v>
      </c>
      <c r="N66" s="41">
        <f>IFERROR(M66/$BE66,0)</f>
        <v>0.88617886178861793</v>
      </c>
      <c r="O66" s="40">
        <v>37</v>
      </c>
      <c r="P66" s="41">
        <f t="shared" ref="P66:P129" si="28">IFERROR(O66/$BF66,0)</f>
        <v>0.82222222222222219</v>
      </c>
      <c r="Q66" s="40">
        <v>5</v>
      </c>
      <c r="R66" s="41">
        <f>IFERROR(Q66/$BE66,0)</f>
        <v>4.065040650406504E-2</v>
      </c>
      <c r="S66" s="40">
        <v>2</v>
      </c>
      <c r="T66" s="41">
        <f t="shared" ref="T66:T129" si="29">IFERROR(S66/$BF66,0)</f>
        <v>4.4444444444444446E-2</v>
      </c>
      <c r="U66" s="40">
        <v>5</v>
      </c>
      <c r="V66" s="41">
        <f t="shared" ref="V66:V129" si="30">IFERROR(U66/$BE66,0)</f>
        <v>4.065040650406504E-2</v>
      </c>
      <c r="W66" s="40">
        <v>2</v>
      </c>
      <c r="X66" s="41">
        <f t="shared" ref="X66:X129" si="31">IFERROR(W66/$BF66,0)</f>
        <v>4.4444444444444446E-2</v>
      </c>
      <c r="Y66" s="40">
        <v>10</v>
      </c>
      <c r="Z66" s="41">
        <f t="shared" ref="Z66:Z129" si="32">IFERROR(Y66/$BE66,0)</f>
        <v>8.1300813008130079E-2</v>
      </c>
      <c r="AA66" s="40">
        <v>8</v>
      </c>
      <c r="AB66" s="41">
        <f t="shared" ref="AB66:AB129" si="33">IFERROR(AA66/$BF66,0)</f>
        <v>0.17777777777777778</v>
      </c>
      <c r="AC66" s="40">
        <v>108</v>
      </c>
      <c r="AD66" s="41">
        <f t="shared" si="17"/>
        <v>0.87804878048780488</v>
      </c>
      <c r="AE66" s="40">
        <v>35</v>
      </c>
      <c r="AF66" s="41">
        <f t="shared" ref="AF66:AF129" si="34">IFERROR(AE66/$BF66,0)</f>
        <v>0.77777777777777779</v>
      </c>
      <c r="AG66" s="40">
        <v>4</v>
      </c>
      <c r="AH66" s="41">
        <f t="shared" si="18"/>
        <v>3.2520325203252036E-2</v>
      </c>
      <c r="AI66" s="40">
        <v>3</v>
      </c>
      <c r="AJ66" s="41">
        <f t="shared" ref="AJ66:AJ129" si="35">IFERROR(AI66/$BF66,0)</f>
        <v>6.6666666666666666E-2</v>
      </c>
      <c r="AK66" s="40">
        <v>3</v>
      </c>
      <c r="AL66" s="41">
        <f t="shared" si="19"/>
        <v>2.4390243902439025E-2</v>
      </c>
      <c r="AM66" s="40">
        <v>2</v>
      </c>
      <c r="AN66" s="41">
        <f t="shared" ref="AN66:AN129" si="36">IFERROR(AM66/$BF66,0)</f>
        <v>4.4444444444444446E-2</v>
      </c>
      <c r="AO66" s="40">
        <v>90</v>
      </c>
      <c r="AP66" s="41">
        <f t="shared" si="20"/>
        <v>0.73170731707317072</v>
      </c>
      <c r="AQ66" s="40">
        <v>30</v>
      </c>
      <c r="AR66" s="41">
        <f t="shared" ref="AR66:AR129" si="37">IFERROR(AQ66/$BF66,0)</f>
        <v>0.66666666666666663</v>
      </c>
      <c r="AS66" s="40">
        <v>13</v>
      </c>
      <c r="AT66" s="41">
        <f t="shared" si="21"/>
        <v>0.10569105691056911</v>
      </c>
      <c r="AU66" s="40">
        <v>7</v>
      </c>
      <c r="AV66" s="41">
        <f t="shared" ref="AV66:AV129" si="38">IFERROR(AU66/$BF66,0)</f>
        <v>0.15555555555555556</v>
      </c>
      <c r="AW66" s="40">
        <v>8</v>
      </c>
      <c r="AX66" s="41">
        <f t="shared" si="22"/>
        <v>6.5040650406504072E-2</v>
      </c>
      <c r="AY66" s="40">
        <v>2</v>
      </c>
      <c r="AZ66" s="41">
        <f t="shared" ref="AZ66:AZ129" si="39">IFERROR(AY66/$BF66,0)</f>
        <v>4.4444444444444446E-2</v>
      </c>
      <c r="BA66" s="40">
        <v>5</v>
      </c>
      <c r="BB66" s="41">
        <f t="shared" si="23"/>
        <v>4.065040650406504E-2</v>
      </c>
      <c r="BC66" s="40">
        <v>1</v>
      </c>
      <c r="BD66" s="41">
        <f t="shared" ref="BD66:BD129" si="40">IFERROR(BC66/$BF66,0)</f>
        <v>2.2222222222222223E-2</v>
      </c>
      <c r="BE66" s="40">
        <v>123</v>
      </c>
      <c r="BF66" s="40">
        <v>45</v>
      </c>
    </row>
    <row r="67" spans="1:58" ht="15.75" customHeight="1" x14ac:dyDescent="0.25">
      <c r="A67" s="39">
        <v>2024</v>
      </c>
      <c r="B67" s="39">
        <v>171190</v>
      </c>
      <c r="C67" s="37" t="str">
        <f>VLOOKUP(B67,procv!$A$2:$D$142,4,FALSE)</f>
        <v>Cantão</v>
      </c>
      <c r="D67" s="37" t="s">
        <v>70</v>
      </c>
      <c r="E67" s="40">
        <v>10</v>
      </c>
      <c r="F67" s="42">
        <f t="shared" si="24"/>
        <v>1.1655011655011656E-2</v>
      </c>
      <c r="G67" s="40">
        <v>5</v>
      </c>
      <c r="H67" s="42">
        <f t="shared" si="25"/>
        <v>9.8619329388560158E-3</v>
      </c>
      <c r="I67" s="40">
        <v>19</v>
      </c>
      <c r="J67" s="41">
        <f t="shared" si="26"/>
        <v>2.2144522144522144E-2</v>
      </c>
      <c r="K67" s="40">
        <v>13</v>
      </c>
      <c r="L67" s="41">
        <f t="shared" si="27"/>
        <v>2.564102564102564E-2</v>
      </c>
      <c r="M67" s="40">
        <v>784</v>
      </c>
      <c r="N67" s="41">
        <f>IFERROR(M67/$BE67,0)</f>
        <v>0.91375291375291379</v>
      </c>
      <c r="O67" s="40">
        <v>462</v>
      </c>
      <c r="P67" s="41">
        <f t="shared" si="28"/>
        <v>0.91124260355029585</v>
      </c>
      <c r="Q67" s="40">
        <v>45</v>
      </c>
      <c r="R67" s="41">
        <f>IFERROR(Q67/$BE67,0)</f>
        <v>5.2447552447552448E-2</v>
      </c>
      <c r="S67" s="40">
        <v>27</v>
      </c>
      <c r="T67" s="41">
        <f t="shared" si="29"/>
        <v>5.3254437869822487E-2</v>
      </c>
      <c r="U67" s="40">
        <v>43</v>
      </c>
      <c r="V67" s="41">
        <f t="shared" si="30"/>
        <v>5.011655011655012E-2</v>
      </c>
      <c r="W67" s="40">
        <v>39</v>
      </c>
      <c r="X67" s="41">
        <f t="shared" si="31"/>
        <v>7.6923076923076927E-2</v>
      </c>
      <c r="Y67" s="40">
        <v>101</v>
      </c>
      <c r="Z67" s="41">
        <f t="shared" si="32"/>
        <v>0.11771561771561771</v>
      </c>
      <c r="AA67" s="40">
        <v>81</v>
      </c>
      <c r="AB67" s="41">
        <f t="shared" si="33"/>
        <v>0.15976331360946747</v>
      </c>
      <c r="AC67" s="40">
        <v>714</v>
      </c>
      <c r="AD67" s="41">
        <f t="shared" ref="AD67:AD130" si="41">IFERROR(AC67/$BE67,0)</f>
        <v>0.83216783216783219</v>
      </c>
      <c r="AE67" s="40">
        <v>387</v>
      </c>
      <c r="AF67" s="41">
        <f t="shared" si="34"/>
        <v>0.76331360946745563</v>
      </c>
      <c r="AG67" s="40">
        <v>19</v>
      </c>
      <c r="AH67" s="41">
        <f t="shared" ref="AH67:AH130" si="42">IFERROR(AG67/$BE67,0)</f>
        <v>2.2144522144522144E-2</v>
      </c>
      <c r="AI67" s="40">
        <v>18</v>
      </c>
      <c r="AJ67" s="41">
        <f t="shared" si="35"/>
        <v>3.5502958579881658E-2</v>
      </c>
      <c r="AK67" s="40">
        <v>24</v>
      </c>
      <c r="AL67" s="41">
        <f t="shared" ref="AL67:AL130" si="43">IFERROR(AK67/$BE67,0)</f>
        <v>2.7972027972027972E-2</v>
      </c>
      <c r="AM67" s="40">
        <v>16</v>
      </c>
      <c r="AN67" s="41">
        <f t="shared" si="36"/>
        <v>3.1558185404339252E-2</v>
      </c>
      <c r="AO67" s="40">
        <v>568</v>
      </c>
      <c r="AP67" s="41">
        <f t="shared" ref="AP67:AP130" si="44">IFERROR(AO67/$BE67,0)</f>
        <v>0.66200466200466201</v>
      </c>
      <c r="AQ67" s="40">
        <v>332</v>
      </c>
      <c r="AR67" s="41">
        <f t="shared" si="37"/>
        <v>0.65483234714003946</v>
      </c>
      <c r="AS67" s="40">
        <v>160</v>
      </c>
      <c r="AT67" s="41">
        <f t="shared" ref="AT67:AT130" si="45">IFERROR(AS67/$BE67,0)</f>
        <v>0.18648018648018649</v>
      </c>
      <c r="AU67" s="40">
        <v>86</v>
      </c>
      <c r="AV67" s="41">
        <f t="shared" si="38"/>
        <v>0.16962524654832348</v>
      </c>
      <c r="AW67" s="40">
        <v>53</v>
      </c>
      <c r="AX67" s="41">
        <f t="shared" ref="AX67:AX130" si="46">IFERROR(AW67/$BE67,0)</f>
        <v>6.1771561771561768E-2</v>
      </c>
      <c r="AY67" s="40">
        <v>28</v>
      </c>
      <c r="AZ67" s="41">
        <f t="shared" si="39"/>
        <v>5.5226824457593686E-2</v>
      </c>
      <c r="BA67" s="40">
        <v>34</v>
      </c>
      <c r="BB67" s="41">
        <f t="shared" ref="BB67:BB130" si="47">IFERROR(BA67/$BE67,0)</f>
        <v>3.9627039627039624E-2</v>
      </c>
      <c r="BC67" s="40">
        <v>27</v>
      </c>
      <c r="BD67" s="41">
        <f t="shared" si="40"/>
        <v>5.3254437869822487E-2</v>
      </c>
      <c r="BE67" s="40">
        <v>858</v>
      </c>
      <c r="BF67" s="40">
        <v>507</v>
      </c>
    </row>
    <row r="68" spans="1:58" ht="15.75" customHeight="1" x14ac:dyDescent="0.25">
      <c r="A68" s="39">
        <v>2024</v>
      </c>
      <c r="B68" s="39">
        <v>171195</v>
      </c>
      <c r="C68" s="37" t="str">
        <f>VLOOKUP(B68,procv!$A$2:$D$142,4,FALSE)</f>
        <v>Capim Dourado</v>
      </c>
      <c r="D68" s="37" t="s">
        <v>71</v>
      </c>
      <c r="E68" s="40">
        <v>4</v>
      </c>
      <c r="F68" s="42">
        <f t="shared" si="24"/>
        <v>1.2048192771084338E-2</v>
      </c>
      <c r="G68" s="40">
        <v>5</v>
      </c>
      <c r="H68" s="42">
        <f t="shared" si="25"/>
        <v>2.5380710659898477E-2</v>
      </c>
      <c r="I68" s="40">
        <v>13</v>
      </c>
      <c r="J68" s="41">
        <f t="shared" si="26"/>
        <v>3.9156626506024098E-2</v>
      </c>
      <c r="K68" s="40">
        <v>11</v>
      </c>
      <c r="L68" s="41">
        <f t="shared" si="27"/>
        <v>5.5837563451776651E-2</v>
      </c>
      <c r="M68" s="40">
        <v>301</v>
      </c>
      <c r="N68" s="41">
        <f>IFERROR(M68/$BE68,0)</f>
        <v>0.90662650602409633</v>
      </c>
      <c r="O68" s="40">
        <v>173</v>
      </c>
      <c r="P68" s="41">
        <f t="shared" si="28"/>
        <v>0.87817258883248728</v>
      </c>
      <c r="Q68" s="40">
        <v>14</v>
      </c>
      <c r="R68" s="41">
        <f>IFERROR(Q68/$BE68,0)</f>
        <v>4.2168674698795178E-2</v>
      </c>
      <c r="S68" s="40">
        <v>8</v>
      </c>
      <c r="T68" s="41">
        <f t="shared" si="29"/>
        <v>4.060913705583756E-2</v>
      </c>
      <c r="U68" s="40">
        <v>13</v>
      </c>
      <c r="V68" s="41">
        <f t="shared" si="30"/>
        <v>3.9156626506024098E-2</v>
      </c>
      <c r="W68" s="40">
        <v>14</v>
      </c>
      <c r="X68" s="41">
        <f t="shared" si="31"/>
        <v>7.1065989847715741E-2</v>
      </c>
      <c r="Y68" s="40">
        <v>44</v>
      </c>
      <c r="Z68" s="41">
        <f t="shared" si="32"/>
        <v>0.13253012048192772</v>
      </c>
      <c r="AA68" s="40">
        <v>32</v>
      </c>
      <c r="AB68" s="41">
        <f t="shared" si="33"/>
        <v>0.16243654822335024</v>
      </c>
      <c r="AC68" s="40">
        <v>275</v>
      </c>
      <c r="AD68" s="41">
        <f t="shared" si="41"/>
        <v>0.82831325301204817</v>
      </c>
      <c r="AE68" s="40">
        <v>151</v>
      </c>
      <c r="AF68" s="41">
        <f t="shared" si="34"/>
        <v>0.76649746192893398</v>
      </c>
      <c r="AG68" s="40">
        <v>3</v>
      </c>
      <c r="AH68" s="41">
        <f t="shared" si="42"/>
        <v>9.0361445783132526E-3</v>
      </c>
      <c r="AI68" s="40">
        <v>5</v>
      </c>
      <c r="AJ68" s="41">
        <f t="shared" si="35"/>
        <v>2.5380710659898477E-2</v>
      </c>
      <c r="AK68" s="40">
        <v>13</v>
      </c>
      <c r="AL68" s="41">
        <f t="shared" si="43"/>
        <v>3.9156626506024098E-2</v>
      </c>
      <c r="AM68" s="40">
        <v>5</v>
      </c>
      <c r="AN68" s="41">
        <f t="shared" si="36"/>
        <v>2.5380710659898477E-2</v>
      </c>
      <c r="AO68" s="40">
        <v>225</v>
      </c>
      <c r="AP68" s="41">
        <f t="shared" si="44"/>
        <v>0.67771084337349397</v>
      </c>
      <c r="AQ68" s="40">
        <v>137</v>
      </c>
      <c r="AR68" s="41">
        <f t="shared" si="37"/>
        <v>0.69543147208121825</v>
      </c>
      <c r="AS68" s="40">
        <v>59</v>
      </c>
      <c r="AT68" s="41">
        <f t="shared" si="45"/>
        <v>0.17771084337349397</v>
      </c>
      <c r="AU68" s="40">
        <v>35</v>
      </c>
      <c r="AV68" s="41">
        <f t="shared" si="38"/>
        <v>0.17766497461928935</v>
      </c>
      <c r="AW68" s="40">
        <v>16</v>
      </c>
      <c r="AX68" s="41">
        <f t="shared" si="46"/>
        <v>4.8192771084337352E-2</v>
      </c>
      <c r="AY68" s="40">
        <v>10</v>
      </c>
      <c r="AZ68" s="41">
        <f t="shared" si="39"/>
        <v>5.0761421319796954E-2</v>
      </c>
      <c r="BA68" s="40">
        <v>16</v>
      </c>
      <c r="BB68" s="41">
        <f t="shared" si="47"/>
        <v>4.8192771084337352E-2</v>
      </c>
      <c r="BC68" s="40">
        <v>5</v>
      </c>
      <c r="BD68" s="41">
        <f t="shared" si="40"/>
        <v>2.5380710659898477E-2</v>
      </c>
      <c r="BE68" s="40">
        <v>332</v>
      </c>
      <c r="BF68" s="40">
        <v>197</v>
      </c>
    </row>
    <row r="69" spans="1:58" ht="15.75" customHeight="1" x14ac:dyDescent="0.25">
      <c r="A69" s="39">
        <v>2024</v>
      </c>
      <c r="B69" s="39">
        <v>171200</v>
      </c>
      <c r="C69" s="37" t="str">
        <f>VLOOKUP(B69,procv!$A$2:$D$142,4,FALSE)</f>
        <v>Capim Dourado</v>
      </c>
      <c r="D69" s="37" t="s">
        <v>72</v>
      </c>
      <c r="E69" s="40">
        <v>1</v>
      </c>
      <c r="F69" s="42">
        <f t="shared" si="24"/>
        <v>8.5470085470085479E-3</v>
      </c>
      <c r="G69" s="40">
        <v>1</v>
      </c>
      <c r="H69" s="42">
        <f t="shared" si="25"/>
        <v>1.1904761904761904E-2</v>
      </c>
      <c r="I69" s="40">
        <v>7</v>
      </c>
      <c r="J69" s="41">
        <f t="shared" si="26"/>
        <v>5.9829059829059832E-2</v>
      </c>
      <c r="K69" s="40">
        <v>6</v>
      </c>
      <c r="L69" s="41">
        <f t="shared" si="27"/>
        <v>7.1428571428571425E-2</v>
      </c>
      <c r="M69" s="40">
        <v>104</v>
      </c>
      <c r="N69" s="41">
        <f>IFERROR(M69/$BE69,0)</f>
        <v>0.88888888888888884</v>
      </c>
      <c r="O69" s="40">
        <v>75</v>
      </c>
      <c r="P69" s="41">
        <f t="shared" si="28"/>
        <v>0.8928571428571429</v>
      </c>
      <c r="Q69" s="40">
        <v>5</v>
      </c>
      <c r="R69" s="41">
        <f>IFERROR(Q69/$BE69,0)</f>
        <v>4.2735042735042736E-2</v>
      </c>
      <c r="S69" s="40">
        <v>2</v>
      </c>
      <c r="T69" s="41">
        <f t="shared" si="29"/>
        <v>2.3809523809523808E-2</v>
      </c>
      <c r="U69" s="40">
        <v>3</v>
      </c>
      <c r="V69" s="41">
        <f t="shared" si="30"/>
        <v>2.564102564102564E-2</v>
      </c>
      <c r="W69" s="40">
        <v>2</v>
      </c>
      <c r="X69" s="41">
        <f t="shared" si="31"/>
        <v>2.3809523809523808E-2</v>
      </c>
      <c r="Y69" s="40">
        <v>11</v>
      </c>
      <c r="Z69" s="41">
        <f t="shared" si="32"/>
        <v>9.4017094017094016E-2</v>
      </c>
      <c r="AA69" s="40">
        <v>9</v>
      </c>
      <c r="AB69" s="41">
        <f t="shared" si="33"/>
        <v>0.10714285714285714</v>
      </c>
      <c r="AC69" s="40">
        <v>103</v>
      </c>
      <c r="AD69" s="41">
        <f t="shared" si="41"/>
        <v>0.88034188034188032</v>
      </c>
      <c r="AE69" s="40">
        <v>73</v>
      </c>
      <c r="AF69" s="41">
        <f t="shared" si="34"/>
        <v>0.86904761904761907</v>
      </c>
      <c r="AG69" s="40">
        <v>6</v>
      </c>
      <c r="AH69" s="41">
        <f t="shared" si="42"/>
        <v>5.128205128205128E-2</v>
      </c>
      <c r="AI69" s="40">
        <v>7</v>
      </c>
      <c r="AJ69" s="41">
        <f t="shared" si="35"/>
        <v>8.3333333333333329E-2</v>
      </c>
      <c r="AK69" s="40">
        <v>8</v>
      </c>
      <c r="AL69" s="41">
        <f t="shared" si="43"/>
        <v>6.8376068376068383E-2</v>
      </c>
      <c r="AM69" s="40">
        <v>8</v>
      </c>
      <c r="AN69" s="41">
        <f t="shared" si="36"/>
        <v>9.5238095238095233E-2</v>
      </c>
      <c r="AO69" s="40">
        <v>70</v>
      </c>
      <c r="AP69" s="41">
        <f t="shared" si="44"/>
        <v>0.59829059829059827</v>
      </c>
      <c r="AQ69" s="40">
        <v>48</v>
      </c>
      <c r="AR69" s="41">
        <f t="shared" si="37"/>
        <v>0.5714285714285714</v>
      </c>
      <c r="AS69" s="40">
        <v>22</v>
      </c>
      <c r="AT69" s="41">
        <f t="shared" si="45"/>
        <v>0.18803418803418803</v>
      </c>
      <c r="AU69" s="40">
        <v>16</v>
      </c>
      <c r="AV69" s="41">
        <f t="shared" si="38"/>
        <v>0.19047619047619047</v>
      </c>
      <c r="AW69" s="40">
        <v>9</v>
      </c>
      <c r="AX69" s="41">
        <f t="shared" si="46"/>
        <v>7.6923076923076927E-2</v>
      </c>
      <c r="AY69" s="40">
        <v>4</v>
      </c>
      <c r="AZ69" s="41">
        <f t="shared" si="39"/>
        <v>4.7619047619047616E-2</v>
      </c>
      <c r="BA69" s="40">
        <v>2</v>
      </c>
      <c r="BB69" s="41">
        <f t="shared" si="47"/>
        <v>1.7094017094017096E-2</v>
      </c>
      <c r="BC69" s="40">
        <v>1</v>
      </c>
      <c r="BD69" s="41">
        <f t="shared" si="40"/>
        <v>1.1904761904761904E-2</v>
      </c>
      <c r="BE69" s="40">
        <v>117</v>
      </c>
      <c r="BF69" s="40">
        <v>84</v>
      </c>
    </row>
    <row r="70" spans="1:58" ht="15.75" customHeight="1" x14ac:dyDescent="0.25">
      <c r="A70" s="39">
        <v>2024</v>
      </c>
      <c r="B70" s="39">
        <v>171215</v>
      </c>
      <c r="C70" s="37" t="str">
        <f>VLOOKUP(B70,procv!$A$2:$D$142,4,FALSE)</f>
        <v>Sudeste</v>
      </c>
      <c r="D70" s="37" t="s">
        <v>73</v>
      </c>
      <c r="E70" s="40">
        <v>1</v>
      </c>
      <c r="F70" s="42">
        <f t="shared" si="24"/>
        <v>7.575757575757576E-3</v>
      </c>
      <c r="G70" s="40">
        <v>2</v>
      </c>
      <c r="H70" s="42">
        <f t="shared" si="25"/>
        <v>2.4096385542168676E-2</v>
      </c>
      <c r="I70" s="40">
        <v>1</v>
      </c>
      <c r="J70" s="41">
        <f t="shared" si="26"/>
        <v>7.575757575757576E-3</v>
      </c>
      <c r="K70" s="40">
        <v>0</v>
      </c>
      <c r="L70" s="41">
        <f t="shared" si="27"/>
        <v>0</v>
      </c>
      <c r="M70" s="40">
        <v>120</v>
      </c>
      <c r="N70" s="41">
        <f>IFERROR(M70/$BE70,0)</f>
        <v>0.90909090909090906</v>
      </c>
      <c r="O70" s="40">
        <v>71</v>
      </c>
      <c r="P70" s="41">
        <f t="shared" si="28"/>
        <v>0.85542168674698793</v>
      </c>
      <c r="Q70" s="40">
        <v>10</v>
      </c>
      <c r="R70" s="41">
        <f>IFERROR(Q70/$BE70,0)</f>
        <v>7.575757575757576E-2</v>
      </c>
      <c r="S70" s="40">
        <v>10</v>
      </c>
      <c r="T70" s="41">
        <f t="shared" si="29"/>
        <v>0.12048192771084337</v>
      </c>
      <c r="U70" s="40">
        <v>9</v>
      </c>
      <c r="V70" s="41">
        <f t="shared" si="30"/>
        <v>6.8181818181818177E-2</v>
      </c>
      <c r="W70" s="40">
        <v>5</v>
      </c>
      <c r="X70" s="41">
        <f t="shared" si="31"/>
        <v>6.0240963855421686E-2</v>
      </c>
      <c r="Y70" s="40">
        <v>6</v>
      </c>
      <c r="Z70" s="41">
        <f t="shared" si="32"/>
        <v>4.5454545454545456E-2</v>
      </c>
      <c r="AA70" s="40">
        <v>2</v>
      </c>
      <c r="AB70" s="41">
        <f t="shared" si="33"/>
        <v>2.4096385542168676E-2</v>
      </c>
      <c r="AC70" s="40">
        <v>117</v>
      </c>
      <c r="AD70" s="41">
        <f t="shared" si="41"/>
        <v>0.88636363636363635</v>
      </c>
      <c r="AE70" s="40">
        <v>76</v>
      </c>
      <c r="AF70" s="41">
        <f t="shared" si="34"/>
        <v>0.91566265060240959</v>
      </c>
      <c r="AG70" s="40">
        <v>2</v>
      </c>
      <c r="AH70" s="41">
        <f t="shared" si="42"/>
        <v>1.5151515151515152E-2</v>
      </c>
      <c r="AI70" s="40">
        <v>4</v>
      </c>
      <c r="AJ70" s="41">
        <f t="shared" si="35"/>
        <v>4.8192771084337352E-2</v>
      </c>
      <c r="AK70" s="40">
        <v>4</v>
      </c>
      <c r="AL70" s="41">
        <f t="shared" si="43"/>
        <v>3.0303030303030304E-2</v>
      </c>
      <c r="AM70" s="40">
        <v>5</v>
      </c>
      <c r="AN70" s="41">
        <f t="shared" si="36"/>
        <v>6.0240963855421686E-2</v>
      </c>
      <c r="AO70" s="40">
        <v>89</v>
      </c>
      <c r="AP70" s="41">
        <f t="shared" si="44"/>
        <v>0.6742424242424242</v>
      </c>
      <c r="AQ70" s="40">
        <v>59</v>
      </c>
      <c r="AR70" s="41">
        <f t="shared" si="37"/>
        <v>0.71084337349397586</v>
      </c>
      <c r="AS70" s="40">
        <v>16</v>
      </c>
      <c r="AT70" s="41">
        <f t="shared" si="45"/>
        <v>0.12121212121212122</v>
      </c>
      <c r="AU70" s="40">
        <v>4</v>
      </c>
      <c r="AV70" s="41">
        <f t="shared" si="38"/>
        <v>4.8192771084337352E-2</v>
      </c>
      <c r="AW70" s="40">
        <v>12</v>
      </c>
      <c r="AX70" s="41">
        <f t="shared" si="46"/>
        <v>9.0909090909090912E-2</v>
      </c>
      <c r="AY70" s="40">
        <v>5</v>
      </c>
      <c r="AZ70" s="41">
        <f t="shared" si="39"/>
        <v>6.0240963855421686E-2</v>
      </c>
      <c r="BA70" s="40">
        <v>9</v>
      </c>
      <c r="BB70" s="41">
        <f t="shared" si="47"/>
        <v>6.8181818181818177E-2</v>
      </c>
      <c r="BC70" s="40">
        <v>6</v>
      </c>
      <c r="BD70" s="41">
        <f t="shared" si="40"/>
        <v>7.2289156626506021E-2</v>
      </c>
      <c r="BE70" s="40">
        <v>132</v>
      </c>
      <c r="BF70" s="40">
        <v>83</v>
      </c>
    </row>
    <row r="71" spans="1:58" ht="15.75" customHeight="1" x14ac:dyDescent="0.25">
      <c r="A71" s="39">
        <v>2024</v>
      </c>
      <c r="B71" s="39">
        <v>171240</v>
      </c>
      <c r="C71" s="37" t="str">
        <f>VLOOKUP(B71,procv!$A$2:$D$142,4,FALSE)</f>
        <v>Capim Dourado</v>
      </c>
      <c r="D71" s="37" t="s">
        <v>74</v>
      </c>
      <c r="E71" s="40">
        <v>1</v>
      </c>
      <c r="F71" s="42">
        <f t="shared" si="24"/>
        <v>4.1666666666666666E-3</v>
      </c>
      <c r="G71" s="40">
        <v>1</v>
      </c>
      <c r="H71" s="42">
        <f t="shared" si="25"/>
        <v>6.41025641025641E-3</v>
      </c>
      <c r="I71" s="40">
        <v>18</v>
      </c>
      <c r="J71" s="41">
        <f t="shared" si="26"/>
        <v>7.4999999999999997E-2</v>
      </c>
      <c r="K71" s="40">
        <v>14</v>
      </c>
      <c r="L71" s="41">
        <f t="shared" si="27"/>
        <v>8.9743589743589744E-2</v>
      </c>
      <c r="M71" s="40">
        <v>213</v>
      </c>
      <c r="N71" s="41">
        <f>IFERROR(M71/$BE71,0)</f>
        <v>0.88749999999999996</v>
      </c>
      <c r="O71" s="40">
        <v>134</v>
      </c>
      <c r="P71" s="41">
        <f t="shared" si="28"/>
        <v>0.85897435897435892</v>
      </c>
      <c r="Q71" s="40">
        <v>8</v>
      </c>
      <c r="R71" s="41">
        <f>IFERROR(Q71/$BE71,0)</f>
        <v>3.3333333333333333E-2</v>
      </c>
      <c r="S71" s="40">
        <v>7</v>
      </c>
      <c r="T71" s="41">
        <f t="shared" si="29"/>
        <v>4.4871794871794872E-2</v>
      </c>
      <c r="U71" s="40">
        <v>33</v>
      </c>
      <c r="V71" s="41">
        <f t="shared" si="30"/>
        <v>0.13750000000000001</v>
      </c>
      <c r="W71" s="40">
        <v>20</v>
      </c>
      <c r="X71" s="41">
        <f t="shared" si="31"/>
        <v>0.12820512820512819</v>
      </c>
      <c r="Y71" s="40">
        <v>35</v>
      </c>
      <c r="Z71" s="41">
        <f t="shared" si="32"/>
        <v>0.14583333333333334</v>
      </c>
      <c r="AA71" s="40">
        <v>28</v>
      </c>
      <c r="AB71" s="41">
        <f t="shared" si="33"/>
        <v>0.17948717948717949</v>
      </c>
      <c r="AC71" s="40">
        <v>172</v>
      </c>
      <c r="AD71" s="41">
        <f t="shared" si="41"/>
        <v>0.71666666666666667</v>
      </c>
      <c r="AE71" s="40">
        <v>108</v>
      </c>
      <c r="AF71" s="41">
        <f t="shared" si="34"/>
        <v>0.69230769230769229</v>
      </c>
      <c r="AG71" s="40">
        <v>4</v>
      </c>
      <c r="AH71" s="41">
        <f t="shared" si="42"/>
        <v>1.6666666666666666E-2</v>
      </c>
      <c r="AI71" s="40">
        <v>4</v>
      </c>
      <c r="AJ71" s="41">
        <f t="shared" si="35"/>
        <v>2.564102564102564E-2</v>
      </c>
      <c r="AK71" s="40">
        <v>7</v>
      </c>
      <c r="AL71" s="41">
        <f t="shared" si="43"/>
        <v>2.9166666666666667E-2</v>
      </c>
      <c r="AM71" s="40">
        <v>4</v>
      </c>
      <c r="AN71" s="41">
        <f t="shared" si="36"/>
        <v>2.564102564102564E-2</v>
      </c>
      <c r="AO71" s="40">
        <v>156</v>
      </c>
      <c r="AP71" s="41">
        <f t="shared" si="44"/>
        <v>0.65</v>
      </c>
      <c r="AQ71" s="40">
        <v>99</v>
      </c>
      <c r="AR71" s="41">
        <f t="shared" si="37"/>
        <v>0.63461538461538458</v>
      </c>
      <c r="AS71" s="40">
        <v>40</v>
      </c>
      <c r="AT71" s="41">
        <f t="shared" si="45"/>
        <v>0.16666666666666666</v>
      </c>
      <c r="AU71" s="40">
        <v>31</v>
      </c>
      <c r="AV71" s="41">
        <f t="shared" si="38"/>
        <v>0.19871794871794871</v>
      </c>
      <c r="AW71" s="40">
        <v>16</v>
      </c>
      <c r="AX71" s="41">
        <f t="shared" si="46"/>
        <v>6.6666666666666666E-2</v>
      </c>
      <c r="AY71" s="40">
        <v>9</v>
      </c>
      <c r="AZ71" s="41">
        <f t="shared" si="39"/>
        <v>5.7692307692307696E-2</v>
      </c>
      <c r="BA71" s="40">
        <v>17</v>
      </c>
      <c r="BB71" s="41">
        <f t="shared" si="47"/>
        <v>7.0833333333333331E-2</v>
      </c>
      <c r="BC71" s="40">
        <v>9</v>
      </c>
      <c r="BD71" s="41">
        <f t="shared" si="40"/>
        <v>5.7692307692307696E-2</v>
      </c>
      <c r="BE71" s="40">
        <v>240</v>
      </c>
      <c r="BF71" s="40">
        <v>156</v>
      </c>
    </row>
    <row r="72" spans="1:58" ht="15.75" customHeight="1" x14ac:dyDescent="0.25">
      <c r="A72" s="39">
        <v>2024</v>
      </c>
      <c r="B72" s="39">
        <v>171245</v>
      </c>
      <c r="C72" s="37" t="str">
        <f>VLOOKUP(B72,procv!$A$2:$D$142,4,FALSE)</f>
        <v>Bico do Papagaio</v>
      </c>
      <c r="D72" s="37" t="s">
        <v>75</v>
      </c>
      <c r="E72" s="40">
        <v>1</v>
      </c>
      <c r="F72" s="42">
        <f t="shared" si="24"/>
        <v>6.2893081761006293E-3</v>
      </c>
      <c r="G72" s="40">
        <v>1</v>
      </c>
      <c r="H72" s="42">
        <f t="shared" si="25"/>
        <v>1.7857142857142856E-2</v>
      </c>
      <c r="I72" s="40">
        <v>1</v>
      </c>
      <c r="J72" s="41">
        <f t="shared" si="26"/>
        <v>6.2893081761006293E-3</v>
      </c>
      <c r="K72" s="40">
        <v>1</v>
      </c>
      <c r="L72" s="41">
        <f t="shared" si="27"/>
        <v>1.7857142857142856E-2</v>
      </c>
      <c r="M72" s="40">
        <v>149</v>
      </c>
      <c r="N72" s="41">
        <f>IFERROR(M72/$BE72,0)</f>
        <v>0.93710691823899372</v>
      </c>
      <c r="O72" s="40">
        <v>50</v>
      </c>
      <c r="P72" s="41">
        <f t="shared" si="28"/>
        <v>0.8928571428571429</v>
      </c>
      <c r="Q72" s="40">
        <v>8</v>
      </c>
      <c r="R72" s="41">
        <f>IFERROR(Q72/$BE72,0)</f>
        <v>5.0314465408805034E-2</v>
      </c>
      <c r="S72" s="40">
        <v>4</v>
      </c>
      <c r="T72" s="41">
        <f t="shared" si="29"/>
        <v>7.1428571428571425E-2</v>
      </c>
      <c r="U72" s="40">
        <v>3</v>
      </c>
      <c r="V72" s="41">
        <f t="shared" si="30"/>
        <v>1.8867924528301886E-2</v>
      </c>
      <c r="W72" s="40">
        <v>2</v>
      </c>
      <c r="X72" s="41">
        <f t="shared" si="31"/>
        <v>3.5714285714285712E-2</v>
      </c>
      <c r="Y72" s="40">
        <v>12</v>
      </c>
      <c r="Z72" s="41">
        <f t="shared" si="32"/>
        <v>7.5471698113207544E-2</v>
      </c>
      <c r="AA72" s="40">
        <v>3</v>
      </c>
      <c r="AB72" s="41">
        <f t="shared" si="33"/>
        <v>5.3571428571428568E-2</v>
      </c>
      <c r="AC72" s="40">
        <v>144</v>
      </c>
      <c r="AD72" s="41">
        <f t="shared" si="41"/>
        <v>0.90566037735849059</v>
      </c>
      <c r="AE72" s="40">
        <v>51</v>
      </c>
      <c r="AF72" s="41">
        <f t="shared" si="34"/>
        <v>0.9107142857142857</v>
      </c>
      <c r="AG72" s="40">
        <v>3</v>
      </c>
      <c r="AH72" s="41">
        <f t="shared" si="42"/>
        <v>1.8867924528301886E-2</v>
      </c>
      <c r="AI72" s="40">
        <v>2</v>
      </c>
      <c r="AJ72" s="41">
        <f t="shared" si="35"/>
        <v>3.5714285714285712E-2</v>
      </c>
      <c r="AK72" s="40">
        <v>2</v>
      </c>
      <c r="AL72" s="41">
        <f t="shared" si="43"/>
        <v>1.2578616352201259E-2</v>
      </c>
      <c r="AM72" s="40">
        <v>1</v>
      </c>
      <c r="AN72" s="41">
        <f t="shared" si="36"/>
        <v>1.7857142857142856E-2</v>
      </c>
      <c r="AO72" s="40">
        <v>112</v>
      </c>
      <c r="AP72" s="41">
        <f t="shared" si="44"/>
        <v>0.70440251572327039</v>
      </c>
      <c r="AQ72" s="40">
        <v>40</v>
      </c>
      <c r="AR72" s="41">
        <f t="shared" si="37"/>
        <v>0.7142857142857143</v>
      </c>
      <c r="AS72" s="40">
        <v>28</v>
      </c>
      <c r="AT72" s="41">
        <f t="shared" si="45"/>
        <v>0.1761006289308176</v>
      </c>
      <c r="AU72" s="40">
        <v>5</v>
      </c>
      <c r="AV72" s="41">
        <f t="shared" si="38"/>
        <v>8.9285714285714288E-2</v>
      </c>
      <c r="AW72" s="40">
        <v>9</v>
      </c>
      <c r="AX72" s="41">
        <f t="shared" si="46"/>
        <v>5.6603773584905662E-2</v>
      </c>
      <c r="AY72" s="40">
        <v>4</v>
      </c>
      <c r="AZ72" s="41">
        <f t="shared" si="39"/>
        <v>7.1428571428571425E-2</v>
      </c>
      <c r="BA72" s="40">
        <v>5</v>
      </c>
      <c r="BB72" s="41">
        <f t="shared" si="47"/>
        <v>3.1446540880503145E-2</v>
      </c>
      <c r="BC72" s="40">
        <v>4</v>
      </c>
      <c r="BD72" s="41">
        <f t="shared" si="40"/>
        <v>7.1428571428571425E-2</v>
      </c>
      <c r="BE72" s="40">
        <v>159</v>
      </c>
      <c r="BF72" s="40">
        <v>56</v>
      </c>
    </row>
    <row r="73" spans="1:58" ht="15.75" customHeight="1" x14ac:dyDescent="0.25">
      <c r="A73" s="39">
        <v>2024</v>
      </c>
      <c r="B73" s="39">
        <v>171250</v>
      </c>
      <c r="C73" s="37" t="str">
        <f>VLOOKUP(B73,procv!$A$2:$D$142,4,FALSE)</f>
        <v>Cantão</v>
      </c>
      <c r="D73" s="37" t="s">
        <v>76</v>
      </c>
      <c r="E73" s="40">
        <v>2</v>
      </c>
      <c r="F73" s="42">
        <f t="shared" si="24"/>
        <v>6.3492063492063492E-3</v>
      </c>
      <c r="G73" s="40">
        <v>2</v>
      </c>
      <c r="H73" s="42">
        <f t="shared" si="25"/>
        <v>1.3986013986013986E-2</v>
      </c>
      <c r="I73" s="40">
        <v>9</v>
      </c>
      <c r="J73" s="41">
        <f t="shared" si="26"/>
        <v>2.8571428571428571E-2</v>
      </c>
      <c r="K73" s="40">
        <v>1</v>
      </c>
      <c r="L73" s="41">
        <f t="shared" si="27"/>
        <v>6.993006993006993E-3</v>
      </c>
      <c r="M73" s="40">
        <v>284</v>
      </c>
      <c r="N73" s="41">
        <f>IFERROR(M73/$BE73,0)</f>
        <v>0.9015873015873016</v>
      </c>
      <c r="O73" s="40">
        <v>129</v>
      </c>
      <c r="P73" s="41">
        <f t="shared" si="28"/>
        <v>0.90209790209790208</v>
      </c>
      <c r="Q73" s="40">
        <v>20</v>
      </c>
      <c r="R73" s="41">
        <f>IFERROR(Q73/$BE73,0)</f>
        <v>6.3492063492063489E-2</v>
      </c>
      <c r="S73" s="40">
        <v>11</v>
      </c>
      <c r="T73" s="41">
        <f t="shared" si="29"/>
        <v>7.6923076923076927E-2</v>
      </c>
      <c r="U73" s="40">
        <v>8</v>
      </c>
      <c r="V73" s="41">
        <f t="shared" si="30"/>
        <v>2.5396825396825397E-2</v>
      </c>
      <c r="W73" s="40">
        <v>2</v>
      </c>
      <c r="X73" s="41">
        <f t="shared" si="31"/>
        <v>1.3986013986013986E-2</v>
      </c>
      <c r="Y73" s="40">
        <v>17</v>
      </c>
      <c r="Z73" s="41">
        <f t="shared" si="32"/>
        <v>5.3968253968253971E-2</v>
      </c>
      <c r="AA73" s="40">
        <v>10</v>
      </c>
      <c r="AB73" s="41">
        <f t="shared" si="33"/>
        <v>6.9930069930069935E-2</v>
      </c>
      <c r="AC73" s="40">
        <v>290</v>
      </c>
      <c r="AD73" s="41">
        <f t="shared" si="41"/>
        <v>0.92063492063492058</v>
      </c>
      <c r="AE73" s="40">
        <v>131</v>
      </c>
      <c r="AF73" s="41">
        <f t="shared" si="34"/>
        <v>0.91608391608391604</v>
      </c>
      <c r="AG73" s="40">
        <v>3</v>
      </c>
      <c r="AH73" s="41">
        <f t="shared" si="42"/>
        <v>9.5238095238095247E-3</v>
      </c>
      <c r="AI73" s="40">
        <v>2</v>
      </c>
      <c r="AJ73" s="41">
        <f t="shared" si="35"/>
        <v>1.3986013986013986E-2</v>
      </c>
      <c r="AK73" s="40">
        <v>12</v>
      </c>
      <c r="AL73" s="41">
        <f t="shared" si="43"/>
        <v>3.8095238095238099E-2</v>
      </c>
      <c r="AM73" s="40">
        <v>4</v>
      </c>
      <c r="AN73" s="41">
        <f t="shared" si="36"/>
        <v>2.7972027972027972E-2</v>
      </c>
      <c r="AO73" s="40">
        <v>200</v>
      </c>
      <c r="AP73" s="41">
        <f t="shared" si="44"/>
        <v>0.63492063492063489</v>
      </c>
      <c r="AQ73" s="40">
        <v>97</v>
      </c>
      <c r="AR73" s="41">
        <f t="shared" si="37"/>
        <v>0.67832167832167833</v>
      </c>
      <c r="AS73" s="40">
        <v>58</v>
      </c>
      <c r="AT73" s="41">
        <f t="shared" si="45"/>
        <v>0.18412698412698414</v>
      </c>
      <c r="AU73" s="40">
        <v>21</v>
      </c>
      <c r="AV73" s="41">
        <f t="shared" si="38"/>
        <v>0.14685314685314685</v>
      </c>
      <c r="AW73" s="40">
        <v>24</v>
      </c>
      <c r="AX73" s="41">
        <f t="shared" si="46"/>
        <v>7.6190476190476197E-2</v>
      </c>
      <c r="AY73" s="40">
        <v>10</v>
      </c>
      <c r="AZ73" s="41">
        <f t="shared" si="39"/>
        <v>6.9930069930069935E-2</v>
      </c>
      <c r="BA73" s="40">
        <v>18</v>
      </c>
      <c r="BB73" s="41">
        <f t="shared" si="47"/>
        <v>5.7142857142857141E-2</v>
      </c>
      <c r="BC73" s="40">
        <v>9</v>
      </c>
      <c r="BD73" s="41">
        <f t="shared" si="40"/>
        <v>6.2937062937062943E-2</v>
      </c>
      <c r="BE73" s="40">
        <v>315</v>
      </c>
      <c r="BF73" s="40">
        <v>143</v>
      </c>
    </row>
    <row r="74" spans="1:58" ht="15.75" customHeight="1" x14ac:dyDescent="0.25">
      <c r="A74" s="39">
        <v>2024</v>
      </c>
      <c r="B74" s="39">
        <v>171270</v>
      </c>
      <c r="C74" s="37" t="str">
        <f>VLOOKUP(B74,procv!$A$2:$D$142,4,FALSE)</f>
        <v>Amor Perfeito</v>
      </c>
      <c r="D74" s="37" t="s">
        <v>77</v>
      </c>
      <c r="E74" s="40">
        <v>0</v>
      </c>
      <c r="F74" s="42">
        <f t="shared" si="24"/>
        <v>0</v>
      </c>
      <c r="G74" s="40">
        <v>0</v>
      </c>
      <c r="H74" s="42">
        <f t="shared" si="25"/>
        <v>0</v>
      </c>
      <c r="I74" s="40">
        <v>7</v>
      </c>
      <c r="J74" s="41">
        <f t="shared" si="26"/>
        <v>3.553299492385787E-2</v>
      </c>
      <c r="K74" s="40">
        <v>6</v>
      </c>
      <c r="L74" s="41">
        <f t="shared" si="27"/>
        <v>4.4776119402985072E-2</v>
      </c>
      <c r="M74" s="40">
        <v>176</v>
      </c>
      <c r="N74" s="41">
        <f>IFERROR(M74/$BE74,0)</f>
        <v>0.89340101522842641</v>
      </c>
      <c r="O74" s="40">
        <v>113</v>
      </c>
      <c r="P74" s="41">
        <f t="shared" si="28"/>
        <v>0.84328358208955223</v>
      </c>
      <c r="Q74" s="40">
        <v>14</v>
      </c>
      <c r="R74" s="41">
        <f>IFERROR(Q74/$BE74,0)</f>
        <v>7.1065989847715741E-2</v>
      </c>
      <c r="S74" s="40">
        <v>15</v>
      </c>
      <c r="T74" s="41">
        <f t="shared" si="29"/>
        <v>0.11194029850746269</v>
      </c>
      <c r="U74" s="40">
        <v>15</v>
      </c>
      <c r="V74" s="41">
        <f t="shared" si="30"/>
        <v>7.6142131979695438E-2</v>
      </c>
      <c r="W74" s="40">
        <v>8</v>
      </c>
      <c r="X74" s="41">
        <f t="shared" si="31"/>
        <v>5.9701492537313432E-2</v>
      </c>
      <c r="Y74" s="40">
        <v>23</v>
      </c>
      <c r="Z74" s="41">
        <f t="shared" si="32"/>
        <v>0.116751269035533</v>
      </c>
      <c r="AA74" s="40">
        <v>12</v>
      </c>
      <c r="AB74" s="41">
        <f t="shared" si="33"/>
        <v>8.9552238805970144E-2</v>
      </c>
      <c r="AC74" s="40">
        <v>159</v>
      </c>
      <c r="AD74" s="41">
        <f t="shared" si="41"/>
        <v>0.80710659898477155</v>
      </c>
      <c r="AE74" s="40">
        <v>114</v>
      </c>
      <c r="AF74" s="41">
        <f t="shared" si="34"/>
        <v>0.85074626865671643</v>
      </c>
      <c r="AG74" s="40">
        <v>11</v>
      </c>
      <c r="AH74" s="41">
        <f t="shared" si="42"/>
        <v>5.5837563451776651E-2</v>
      </c>
      <c r="AI74" s="40">
        <v>8</v>
      </c>
      <c r="AJ74" s="41">
        <f t="shared" si="35"/>
        <v>5.9701492537313432E-2</v>
      </c>
      <c r="AK74" s="40">
        <v>10</v>
      </c>
      <c r="AL74" s="41">
        <f t="shared" si="43"/>
        <v>5.0761421319796954E-2</v>
      </c>
      <c r="AM74" s="40">
        <v>12</v>
      </c>
      <c r="AN74" s="41">
        <f t="shared" si="36"/>
        <v>8.9552238805970144E-2</v>
      </c>
      <c r="AO74" s="40">
        <v>109</v>
      </c>
      <c r="AP74" s="41">
        <f t="shared" si="44"/>
        <v>0.5532994923857868</v>
      </c>
      <c r="AQ74" s="40">
        <v>71</v>
      </c>
      <c r="AR74" s="41">
        <f t="shared" si="37"/>
        <v>0.52985074626865669</v>
      </c>
      <c r="AS74" s="40">
        <v>31</v>
      </c>
      <c r="AT74" s="41">
        <f t="shared" si="45"/>
        <v>0.15736040609137056</v>
      </c>
      <c r="AU74" s="40">
        <v>18</v>
      </c>
      <c r="AV74" s="41">
        <f t="shared" si="38"/>
        <v>0.13432835820895522</v>
      </c>
      <c r="AW74" s="40">
        <v>19</v>
      </c>
      <c r="AX74" s="41">
        <f t="shared" si="46"/>
        <v>9.6446700507614211E-2</v>
      </c>
      <c r="AY74" s="40">
        <v>12</v>
      </c>
      <c r="AZ74" s="41">
        <f t="shared" si="39"/>
        <v>8.9552238805970144E-2</v>
      </c>
      <c r="BA74" s="40">
        <v>17</v>
      </c>
      <c r="BB74" s="41">
        <f t="shared" si="47"/>
        <v>8.6294416243654817E-2</v>
      </c>
      <c r="BC74" s="40">
        <v>13</v>
      </c>
      <c r="BD74" s="41">
        <f t="shared" si="40"/>
        <v>9.7014925373134331E-2</v>
      </c>
      <c r="BE74" s="40">
        <v>197</v>
      </c>
      <c r="BF74" s="40">
        <v>134</v>
      </c>
    </row>
    <row r="75" spans="1:58" ht="15.75" customHeight="1" x14ac:dyDescent="0.25">
      <c r="A75" s="39">
        <v>2024</v>
      </c>
      <c r="B75" s="39">
        <v>171280</v>
      </c>
      <c r="C75" s="37" t="str">
        <f>VLOOKUP(B75,procv!$A$2:$D$142,4,FALSE)</f>
        <v>Bico do Papagaio</v>
      </c>
      <c r="D75" s="37" t="s">
        <v>78</v>
      </c>
      <c r="E75" s="40">
        <v>3</v>
      </c>
      <c r="F75" s="42">
        <f t="shared" si="24"/>
        <v>1.107011070110701E-2</v>
      </c>
      <c r="G75" s="40">
        <v>2</v>
      </c>
      <c r="H75" s="42">
        <f t="shared" si="25"/>
        <v>1.0050251256281407E-2</v>
      </c>
      <c r="I75" s="40">
        <v>5</v>
      </c>
      <c r="J75" s="41">
        <f t="shared" si="26"/>
        <v>1.8450184501845018E-2</v>
      </c>
      <c r="K75" s="40">
        <v>3</v>
      </c>
      <c r="L75" s="41">
        <f t="shared" si="27"/>
        <v>1.507537688442211E-2</v>
      </c>
      <c r="M75" s="40">
        <v>251</v>
      </c>
      <c r="N75" s="41">
        <f>IFERROR(M75/$BE75,0)</f>
        <v>0.92619926199261993</v>
      </c>
      <c r="O75" s="40">
        <v>186</v>
      </c>
      <c r="P75" s="41">
        <f t="shared" si="28"/>
        <v>0.9346733668341709</v>
      </c>
      <c r="Q75" s="40">
        <v>12</v>
      </c>
      <c r="R75" s="41">
        <f>IFERROR(Q75/$BE75,0)</f>
        <v>4.4280442804428041E-2</v>
      </c>
      <c r="S75" s="40">
        <v>8</v>
      </c>
      <c r="T75" s="41">
        <f t="shared" si="29"/>
        <v>4.0201005025125629E-2</v>
      </c>
      <c r="U75" s="40">
        <v>7</v>
      </c>
      <c r="V75" s="41">
        <f t="shared" si="30"/>
        <v>2.5830258302583026E-2</v>
      </c>
      <c r="W75" s="40">
        <v>5</v>
      </c>
      <c r="X75" s="41">
        <f t="shared" si="31"/>
        <v>2.5125628140703519E-2</v>
      </c>
      <c r="Y75" s="40">
        <v>19</v>
      </c>
      <c r="Z75" s="41">
        <f t="shared" si="32"/>
        <v>7.0110701107011064E-2</v>
      </c>
      <c r="AA75" s="40">
        <v>13</v>
      </c>
      <c r="AB75" s="41">
        <f t="shared" si="33"/>
        <v>6.5326633165829151E-2</v>
      </c>
      <c r="AC75" s="40">
        <v>245</v>
      </c>
      <c r="AD75" s="41">
        <f t="shared" si="41"/>
        <v>0.90405904059040587</v>
      </c>
      <c r="AE75" s="40">
        <v>181</v>
      </c>
      <c r="AF75" s="41">
        <f t="shared" si="34"/>
        <v>0.90954773869346739</v>
      </c>
      <c r="AG75" s="40">
        <v>7</v>
      </c>
      <c r="AH75" s="41">
        <f t="shared" si="42"/>
        <v>2.5830258302583026E-2</v>
      </c>
      <c r="AI75" s="40">
        <v>8</v>
      </c>
      <c r="AJ75" s="41">
        <f t="shared" si="35"/>
        <v>4.0201005025125629E-2</v>
      </c>
      <c r="AK75" s="40">
        <v>9</v>
      </c>
      <c r="AL75" s="41">
        <f t="shared" si="43"/>
        <v>3.3210332103321034E-2</v>
      </c>
      <c r="AM75" s="40">
        <v>9</v>
      </c>
      <c r="AN75" s="41">
        <f t="shared" si="36"/>
        <v>4.5226130653266333E-2</v>
      </c>
      <c r="AO75" s="40">
        <v>196</v>
      </c>
      <c r="AP75" s="41">
        <f t="shared" si="44"/>
        <v>0.7232472324723247</v>
      </c>
      <c r="AQ75" s="40">
        <v>142</v>
      </c>
      <c r="AR75" s="41">
        <f t="shared" si="37"/>
        <v>0.71356783919597988</v>
      </c>
      <c r="AS75" s="40">
        <v>32</v>
      </c>
      <c r="AT75" s="41">
        <f t="shared" si="45"/>
        <v>0.11808118081180811</v>
      </c>
      <c r="AU75" s="40">
        <v>23</v>
      </c>
      <c r="AV75" s="41">
        <f t="shared" si="38"/>
        <v>0.11557788944723618</v>
      </c>
      <c r="AW75" s="40">
        <v>17</v>
      </c>
      <c r="AX75" s="41">
        <f t="shared" si="46"/>
        <v>6.273062730627306E-2</v>
      </c>
      <c r="AY75" s="40">
        <v>10</v>
      </c>
      <c r="AZ75" s="41">
        <f t="shared" si="39"/>
        <v>5.0251256281407038E-2</v>
      </c>
      <c r="BA75" s="40">
        <v>10</v>
      </c>
      <c r="BB75" s="41">
        <f t="shared" si="47"/>
        <v>3.6900369003690037E-2</v>
      </c>
      <c r="BC75" s="40">
        <v>7</v>
      </c>
      <c r="BD75" s="41">
        <f t="shared" si="40"/>
        <v>3.5175879396984924E-2</v>
      </c>
      <c r="BE75" s="40">
        <v>271</v>
      </c>
      <c r="BF75" s="40">
        <v>199</v>
      </c>
    </row>
    <row r="76" spans="1:58" ht="15.75" customHeight="1" x14ac:dyDescent="0.25">
      <c r="A76" s="39">
        <v>2024</v>
      </c>
      <c r="B76" s="39">
        <v>171320</v>
      </c>
      <c r="C76" s="37" t="str">
        <f>VLOOKUP(B76,procv!$A$2:$D$142,4,FALSE)</f>
        <v>Capim Dourado</v>
      </c>
      <c r="D76" s="37" t="s">
        <v>79</v>
      </c>
      <c r="E76" s="40">
        <v>16</v>
      </c>
      <c r="F76" s="42">
        <f t="shared" si="24"/>
        <v>1.7204301075268817E-2</v>
      </c>
      <c r="G76" s="40">
        <v>13</v>
      </c>
      <c r="H76" s="42">
        <f t="shared" si="25"/>
        <v>2.2375215146299483E-2</v>
      </c>
      <c r="I76" s="40">
        <v>31</v>
      </c>
      <c r="J76" s="41">
        <f t="shared" si="26"/>
        <v>3.3333333333333333E-2</v>
      </c>
      <c r="K76" s="40">
        <v>31</v>
      </c>
      <c r="L76" s="41">
        <f t="shared" si="27"/>
        <v>5.3356282271944923E-2</v>
      </c>
      <c r="M76" s="40">
        <v>839</v>
      </c>
      <c r="N76" s="41">
        <f>IFERROR(M76/$BE76,0)</f>
        <v>0.90215053763440856</v>
      </c>
      <c r="O76" s="40">
        <v>518</v>
      </c>
      <c r="P76" s="41">
        <f t="shared" si="28"/>
        <v>0.89156626506024095</v>
      </c>
      <c r="Q76" s="40">
        <v>44</v>
      </c>
      <c r="R76" s="41">
        <f>IFERROR(Q76/$BE76,0)</f>
        <v>4.7311827956989246E-2</v>
      </c>
      <c r="S76" s="40">
        <v>19</v>
      </c>
      <c r="T76" s="41">
        <f t="shared" si="29"/>
        <v>3.2702237521514632E-2</v>
      </c>
      <c r="U76" s="40">
        <v>85</v>
      </c>
      <c r="V76" s="41">
        <f t="shared" si="30"/>
        <v>9.1397849462365593E-2</v>
      </c>
      <c r="W76" s="40">
        <v>62</v>
      </c>
      <c r="X76" s="41">
        <f t="shared" si="31"/>
        <v>0.10671256454388985</v>
      </c>
      <c r="Y76" s="40">
        <v>84</v>
      </c>
      <c r="Z76" s="41">
        <f t="shared" si="32"/>
        <v>9.0322580645161285E-2</v>
      </c>
      <c r="AA76" s="40">
        <v>73</v>
      </c>
      <c r="AB76" s="41">
        <f t="shared" si="33"/>
        <v>0.12564543889845095</v>
      </c>
      <c r="AC76" s="40">
        <v>761</v>
      </c>
      <c r="AD76" s="41">
        <f t="shared" si="41"/>
        <v>0.81827956989247308</v>
      </c>
      <c r="AE76" s="40">
        <v>446</v>
      </c>
      <c r="AF76" s="41">
        <f t="shared" si="34"/>
        <v>0.76764199655765919</v>
      </c>
      <c r="AG76" s="40">
        <v>22</v>
      </c>
      <c r="AH76" s="41">
        <f t="shared" si="42"/>
        <v>2.3655913978494623E-2</v>
      </c>
      <c r="AI76" s="40">
        <v>23</v>
      </c>
      <c r="AJ76" s="41">
        <f t="shared" si="35"/>
        <v>3.9586919104991396E-2</v>
      </c>
      <c r="AK76" s="40">
        <v>42</v>
      </c>
      <c r="AL76" s="41">
        <f t="shared" si="43"/>
        <v>4.5161290322580643E-2</v>
      </c>
      <c r="AM76" s="40">
        <v>39</v>
      </c>
      <c r="AN76" s="41">
        <f t="shared" si="36"/>
        <v>6.7125645438898457E-2</v>
      </c>
      <c r="AO76" s="40">
        <v>591</v>
      </c>
      <c r="AP76" s="41">
        <f t="shared" si="44"/>
        <v>0.63548387096774195</v>
      </c>
      <c r="AQ76" s="40">
        <v>378</v>
      </c>
      <c r="AR76" s="41">
        <f t="shared" si="37"/>
        <v>0.6506024096385542</v>
      </c>
      <c r="AS76" s="40">
        <v>143</v>
      </c>
      <c r="AT76" s="41">
        <f t="shared" si="45"/>
        <v>0.15376344086021507</v>
      </c>
      <c r="AU76" s="40">
        <v>73</v>
      </c>
      <c r="AV76" s="41">
        <f t="shared" si="38"/>
        <v>0.12564543889845095</v>
      </c>
      <c r="AW76" s="40">
        <v>71</v>
      </c>
      <c r="AX76" s="41">
        <f t="shared" si="46"/>
        <v>7.6344086021505372E-2</v>
      </c>
      <c r="AY76" s="40">
        <v>32</v>
      </c>
      <c r="AZ76" s="41">
        <f t="shared" si="39"/>
        <v>5.5077452667814115E-2</v>
      </c>
      <c r="BA76" s="40">
        <v>61</v>
      </c>
      <c r="BB76" s="41">
        <f t="shared" si="47"/>
        <v>6.5591397849462371E-2</v>
      </c>
      <c r="BC76" s="40">
        <v>36</v>
      </c>
      <c r="BD76" s="41">
        <f t="shared" si="40"/>
        <v>6.1962134251290879E-2</v>
      </c>
      <c r="BE76" s="40">
        <v>930</v>
      </c>
      <c r="BF76" s="40">
        <v>581</v>
      </c>
    </row>
    <row r="77" spans="1:58" ht="15.75" customHeight="1" x14ac:dyDescent="0.25">
      <c r="A77" s="39">
        <v>2024</v>
      </c>
      <c r="B77" s="39">
        <v>171330</v>
      </c>
      <c r="C77" s="37" t="str">
        <f>VLOOKUP(B77,procv!$A$2:$D$142,4,FALSE)</f>
        <v>Capim Dourado</v>
      </c>
      <c r="D77" s="37" t="s">
        <v>80</v>
      </c>
      <c r="E77" s="40">
        <v>9</v>
      </c>
      <c r="F77" s="42">
        <f t="shared" si="24"/>
        <v>1.2802275960170697E-2</v>
      </c>
      <c r="G77" s="40">
        <v>4</v>
      </c>
      <c r="H77" s="42">
        <f t="shared" si="25"/>
        <v>8.7336244541484712E-3</v>
      </c>
      <c r="I77" s="40">
        <v>17</v>
      </c>
      <c r="J77" s="41">
        <f t="shared" si="26"/>
        <v>2.4182076813655761E-2</v>
      </c>
      <c r="K77" s="40">
        <v>10</v>
      </c>
      <c r="L77" s="41">
        <f t="shared" si="27"/>
        <v>2.1834061135371178E-2</v>
      </c>
      <c r="M77" s="40">
        <v>611</v>
      </c>
      <c r="N77" s="41">
        <f>IFERROR(M77/$BE77,0)</f>
        <v>0.86913229018492177</v>
      </c>
      <c r="O77" s="40">
        <v>401</v>
      </c>
      <c r="P77" s="41">
        <f t="shared" si="28"/>
        <v>0.87554585152838427</v>
      </c>
      <c r="Q77" s="40">
        <v>66</v>
      </c>
      <c r="R77" s="41">
        <f>IFERROR(Q77/$BE77,0)</f>
        <v>9.388335704125178E-2</v>
      </c>
      <c r="S77" s="40">
        <v>43</v>
      </c>
      <c r="T77" s="41">
        <f t="shared" si="29"/>
        <v>9.3886462882096067E-2</v>
      </c>
      <c r="U77" s="40">
        <v>50</v>
      </c>
      <c r="V77" s="41">
        <f t="shared" si="30"/>
        <v>7.1123755334281655E-2</v>
      </c>
      <c r="W77" s="40">
        <v>30</v>
      </c>
      <c r="X77" s="41">
        <f t="shared" si="31"/>
        <v>6.5502183406113537E-2</v>
      </c>
      <c r="Y77" s="40">
        <v>56</v>
      </c>
      <c r="Z77" s="41">
        <f t="shared" si="32"/>
        <v>7.9658605974395447E-2</v>
      </c>
      <c r="AA77" s="40">
        <v>34</v>
      </c>
      <c r="AB77" s="41">
        <f t="shared" si="33"/>
        <v>7.4235807860262015E-2</v>
      </c>
      <c r="AC77" s="40">
        <v>597</v>
      </c>
      <c r="AD77" s="41">
        <f t="shared" si="41"/>
        <v>0.84921763869132294</v>
      </c>
      <c r="AE77" s="40">
        <v>394</v>
      </c>
      <c r="AF77" s="41">
        <f t="shared" si="34"/>
        <v>0.86026200873362446</v>
      </c>
      <c r="AG77" s="40">
        <v>18</v>
      </c>
      <c r="AH77" s="41">
        <f t="shared" si="42"/>
        <v>2.5604551920341393E-2</v>
      </c>
      <c r="AI77" s="40">
        <v>15</v>
      </c>
      <c r="AJ77" s="41">
        <f t="shared" si="35"/>
        <v>3.2751091703056769E-2</v>
      </c>
      <c r="AK77" s="40">
        <v>25</v>
      </c>
      <c r="AL77" s="41">
        <f t="shared" si="43"/>
        <v>3.5561877667140827E-2</v>
      </c>
      <c r="AM77" s="40">
        <v>20</v>
      </c>
      <c r="AN77" s="41">
        <f t="shared" si="36"/>
        <v>4.3668122270742356E-2</v>
      </c>
      <c r="AO77" s="40">
        <v>428</v>
      </c>
      <c r="AP77" s="41">
        <f t="shared" si="44"/>
        <v>0.60881934566145091</v>
      </c>
      <c r="AQ77" s="40">
        <v>290</v>
      </c>
      <c r="AR77" s="41">
        <f t="shared" si="37"/>
        <v>0.63318777292576423</v>
      </c>
      <c r="AS77" s="40">
        <v>132</v>
      </c>
      <c r="AT77" s="41">
        <f t="shared" si="45"/>
        <v>0.18776671408250356</v>
      </c>
      <c r="AU77" s="40">
        <v>68</v>
      </c>
      <c r="AV77" s="41">
        <f t="shared" si="38"/>
        <v>0.14847161572052403</v>
      </c>
      <c r="AW77" s="40">
        <v>54</v>
      </c>
      <c r="AX77" s="41">
        <f t="shared" si="46"/>
        <v>7.6813655761024183E-2</v>
      </c>
      <c r="AY77" s="40">
        <v>27</v>
      </c>
      <c r="AZ77" s="41">
        <f t="shared" si="39"/>
        <v>5.8951965065502182E-2</v>
      </c>
      <c r="BA77" s="40">
        <v>46</v>
      </c>
      <c r="BB77" s="41">
        <f t="shared" si="47"/>
        <v>6.5433854907539113E-2</v>
      </c>
      <c r="BC77" s="40">
        <v>38</v>
      </c>
      <c r="BD77" s="41">
        <f t="shared" si="40"/>
        <v>8.296943231441048E-2</v>
      </c>
      <c r="BE77" s="40">
        <v>703</v>
      </c>
      <c r="BF77" s="40">
        <v>458</v>
      </c>
    </row>
    <row r="78" spans="1:58" ht="15.75" customHeight="1" x14ac:dyDescent="0.25">
      <c r="A78" s="39">
        <v>2024</v>
      </c>
      <c r="B78" s="39">
        <v>171360</v>
      </c>
      <c r="C78" s="37" t="str">
        <f>VLOOKUP(B78,procv!$A$2:$D$142,4,FALSE)</f>
        <v>Amor Perfeito</v>
      </c>
      <c r="D78" s="37" t="s">
        <v>81</v>
      </c>
      <c r="E78" s="40">
        <v>0</v>
      </c>
      <c r="F78" s="42">
        <f t="shared" si="24"/>
        <v>0</v>
      </c>
      <c r="G78" s="40">
        <v>0</v>
      </c>
      <c r="H78" s="42">
        <f t="shared" si="25"/>
        <v>0</v>
      </c>
      <c r="I78" s="40">
        <v>14</v>
      </c>
      <c r="J78" s="41">
        <f t="shared" si="26"/>
        <v>3.3653846153846152E-2</v>
      </c>
      <c r="K78" s="40">
        <v>13</v>
      </c>
      <c r="L78" s="41">
        <f t="shared" si="27"/>
        <v>4.4067796610169491E-2</v>
      </c>
      <c r="M78" s="40">
        <v>377</v>
      </c>
      <c r="N78" s="41">
        <f>IFERROR(M78/$BE78,0)</f>
        <v>0.90625</v>
      </c>
      <c r="O78" s="40">
        <v>273</v>
      </c>
      <c r="P78" s="41">
        <f t="shared" si="28"/>
        <v>0.92542372881355928</v>
      </c>
      <c r="Q78" s="40">
        <v>25</v>
      </c>
      <c r="R78" s="41">
        <f>IFERROR(Q78/$BE78,0)</f>
        <v>6.0096153846153848E-2</v>
      </c>
      <c r="S78" s="40">
        <v>9</v>
      </c>
      <c r="T78" s="41">
        <f t="shared" si="29"/>
        <v>3.0508474576271188E-2</v>
      </c>
      <c r="U78" s="40">
        <v>9</v>
      </c>
      <c r="V78" s="41">
        <f t="shared" si="30"/>
        <v>2.1634615384615384E-2</v>
      </c>
      <c r="W78" s="40">
        <v>9</v>
      </c>
      <c r="X78" s="41">
        <f t="shared" si="31"/>
        <v>3.0508474576271188E-2</v>
      </c>
      <c r="Y78" s="40">
        <v>36</v>
      </c>
      <c r="Z78" s="41">
        <f t="shared" si="32"/>
        <v>8.6538461538461536E-2</v>
      </c>
      <c r="AA78" s="40">
        <v>32</v>
      </c>
      <c r="AB78" s="41">
        <f t="shared" si="33"/>
        <v>0.10847457627118644</v>
      </c>
      <c r="AC78" s="40">
        <v>371</v>
      </c>
      <c r="AD78" s="41">
        <f t="shared" si="41"/>
        <v>0.89182692307692313</v>
      </c>
      <c r="AE78" s="40">
        <v>254</v>
      </c>
      <c r="AF78" s="41">
        <f t="shared" si="34"/>
        <v>0.86101694915254234</v>
      </c>
      <c r="AG78" s="40">
        <v>8</v>
      </c>
      <c r="AH78" s="41">
        <f t="shared" si="42"/>
        <v>1.9230769230769232E-2</v>
      </c>
      <c r="AI78" s="40">
        <v>9</v>
      </c>
      <c r="AJ78" s="41">
        <f t="shared" si="35"/>
        <v>3.0508474576271188E-2</v>
      </c>
      <c r="AK78" s="40">
        <v>7</v>
      </c>
      <c r="AL78" s="41">
        <f t="shared" si="43"/>
        <v>1.6826923076923076E-2</v>
      </c>
      <c r="AM78" s="40">
        <v>9</v>
      </c>
      <c r="AN78" s="41">
        <f t="shared" si="36"/>
        <v>3.0508474576271188E-2</v>
      </c>
      <c r="AO78" s="40">
        <v>301</v>
      </c>
      <c r="AP78" s="41">
        <f t="shared" si="44"/>
        <v>0.72355769230769229</v>
      </c>
      <c r="AQ78" s="40">
        <v>216</v>
      </c>
      <c r="AR78" s="41">
        <f t="shared" si="37"/>
        <v>0.73220338983050848</v>
      </c>
      <c r="AS78" s="40">
        <v>65</v>
      </c>
      <c r="AT78" s="41">
        <f t="shared" si="45"/>
        <v>0.15625</v>
      </c>
      <c r="AU78" s="40">
        <v>40</v>
      </c>
      <c r="AV78" s="41">
        <f t="shared" si="38"/>
        <v>0.13559322033898305</v>
      </c>
      <c r="AW78" s="40">
        <v>21</v>
      </c>
      <c r="AX78" s="41">
        <f t="shared" si="46"/>
        <v>5.0480769230769232E-2</v>
      </c>
      <c r="AY78" s="40">
        <v>12</v>
      </c>
      <c r="AZ78" s="41">
        <f t="shared" si="39"/>
        <v>4.0677966101694912E-2</v>
      </c>
      <c r="BA78" s="40">
        <v>14</v>
      </c>
      <c r="BB78" s="41">
        <f t="shared" si="47"/>
        <v>3.3653846153846152E-2</v>
      </c>
      <c r="BC78" s="40">
        <v>9</v>
      </c>
      <c r="BD78" s="41">
        <f t="shared" si="40"/>
        <v>3.0508474576271188E-2</v>
      </c>
      <c r="BE78" s="40">
        <v>416</v>
      </c>
      <c r="BF78" s="40">
        <v>295</v>
      </c>
    </row>
    <row r="79" spans="1:58" ht="15.75" customHeight="1" x14ac:dyDescent="0.25">
      <c r="A79" s="39">
        <v>2024</v>
      </c>
      <c r="B79" s="39">
        <v>171370</v>
      </c>
      <c r="C79" s="37" t="str">
        <f>VLOOKUP(B79,procv!$A$2:$D$142,4,FALSE)</f>
        <v>Cantão</v>
      </c>
      <c r="D79" s="37" t="s">
        <v>82</v>
      </c>
      <c r="E79" s="40">
        <v>1</v>
      </c>
      <c r="F79" s="42">
        <f t="shared" si="24"/>
        <v>8.130081300813009E-3</v>
      </c>
      <c r="G79" s="40">
        <v>1</v>
      </c>
      <c r="H79" s="42">
        <f t="shared" si="25"/>
        <v>1.4084507042253521E-2</v>
      </c>
      <c r="I79" s="40">
        <v>2</v>
      </c>
      <c r="J79" s="41">
        <f t="shared" si="26"/>
        <v>1.6260162601626018E-2</v>
      </c>
      <c r="K79" s="40">
        <v>4</v>
      </c>
      <c r="L79" s="41">
        <f t="shared" si="27"/>
        <v>5.6338028169014086E-2</v>
      </c>
      <c r="M79" s="40">
        <v>114</v>
      </c>
      <c r="N79" s="41">
        <f>IFERROR(M79/$BE79,0)</f>
        <v>0.92682926829268297</v>
      </c>
      <c r="O79" s="40">
        <v>63</v>
      </c>
      <c r="P79" s="41">
        <f t="shared" si="28"/>
        <v>0.88732394366197187</v>
      </c>
      <c r="Q79" s="40">
        <v>6</v>
      </c>
      <c r="R79" s="41">
        <f>IFERROR(Q79/$BE79,0)</f>
        <v>4.878048780487805E-2</v>
      </c>
      <c r="S79" s="40">
        <v>3</v>
      </c>
      <c r="T79" s="41">
        <f t="shared" si="29"/>
        <v>4.2253521126760563E-2</v>
      </c>
      <c r="U79" s="40">
        <v>6</v>
      </c>
      <c r="V79" s="41">
        <f t="shared" si="30"/>
        <v>4.878048780487805E-2</v>
      </c>
      <c r="W79" s="40">
        <v>6</v>
      </c>
      <c r="X79" s="41">
        <f t="shared" si="31"/>
        <v>8.4507042253521125E-2</v>
      </c>
      <c r="Y79" s="40">
        <v>9</v>
      </c>
      <c r="Z79" s="41">
        <f t="shared" si="32"/>
        <v>7.3170731707317069E-2</v>
      </c>
      <c r="AA79" s="40">
        <v>8</v>
      </c>
      <c r="AB79" s="41">
        <f t="shared" si="33"/>
        <v>0.11267605633802817</v>
      </c>
      <c r="AC79" s="40">
        <v>108</v>
      </c>
      <c r="AD79" s="41">
        <f t="shared" si="41"/>
        <v>0.87804878048780488</v>
      </c>
      <c r="AE79" s="40">
        <v>57</v>
      </c>
      <c r="AF79" s="41">
        <f t="shared" si="34"/>
        <v>0.80281690140845074</v>
      </c>
      <c r="AG79" s="40">
        <v>3</v>
      </c>
      <c r="AH79" s="41">
        <f t="shared" si="42"/>
        <v>2.4390243902439025E-2</v>
      </c>
      <c r="AI79" s="40">
        <v>3</v>
      </c>
      <c r="AJ79" s="41">
        <f t="shared" si="35"/>
        <v>4.2253521126760563E-2</v>
      </c>
      <c r="AK79" s="40">
        <v>2</v>
      </c>
      <c r="AL79" s="41">
        <f t="shared" si="43"/>
        <v>1.6260162601626018E-2</v>
      </c>
      <c r="AM79" s="40">
        <v>1</v>
      </c>
      <c r="AN79" s="41">
        <f t="shared" si="36"/>
        <v>1.4084507042253521E-2</v>
      </c>
      <c r="AO79" s="40">
        <v>78</v>
      </c>
      <c r="AP79" s="41">
        <f t="shared" si="44"/>
        <v>0.63414634146341464</v>
      </c>
      <c r="AQ79" s="40">
        <v>46</v>
      </c>
      <c r="AR79" s="41">
        <f t="shared" si="37"/>
        <v>0.647887323943662</v>
      </c>
      <c r="AS79" s="40">
        <v>26</v>
      </c>
      <c r="AT79" s="41">
        <f t="shared" si="45"/>
        <v>0.21138211382113822</v>
      </c>
      <c r="AU79" s="40">
        <v>15</v>
      </c>
      <c r="AV79" s="41">
        <f t="shared" si="38"/>
        <v>0.21126760563380281</v>
      </c>
      <c r="AW79" s="40">
        <v>11</v>
      </c>
      <c r="AX79" s="41">
        <f t="shared" si="46"/>
        <v>8.943089430894309E-2</v>
      </c>
      <c r="AY79" s="40">
        <v>6</v>
      </c>
      <c r="AZ79" s="41">
        <f t="shared" si="39"/>
        <v>8.4507042253521125E-2</v>
      </c>
      <c r="BA79" s="40">
        <v>3</v>
      </c>
      <c r="BB79" s="41">
        <f t="shared" si="47"/>
        <v>2.4390243902439025E-2</v>
      </c>
      <c r="BC79" s="40">
        <v>0</v>
      </c>
      <c r="BD79" s="41">
        <f t="shared" si="40"/>
        <v>0</v>
      </c>
      <c r="BE79" s="40">
        <v>123</v>
      </c>
      <c r="BF79" s="40">
        <v>71</v>
      </c>
    </row>
    <row r="80" spans="1:58" ht="15.75" customHeight="1" x14ac:dyDescent="0.25">
      <c r="A80" s="39">
        <v>2024</v>
      </c>
      <c r="B80" s="39">
        <v>171395</v>
      </c>
      <c r="C80" s="37" t="str">
        <f>VLOOKUP(B80,procv!$A$2:$D$142,4,FALSE)</f>
        <v>Médio Norte Araguaia</v>
      </c>
      <c r="D80" s="37" t="s">
        <v>83</v>
      </c>
      <c r="E80" s="40">
        <v>4</v>
      </c>
      <c r="F80" s="42">
        <f t="shared" si="24"/>
        <v>1.4285714285714285E-2</v>
      </c>
      <c r="G80" s="40">
        <v>3</v>
      </c>
      <c r="H80" s="42">
        <f t="shared" si="25"/>
        <v>1.7964071856287425E-2</v>
      </c>
      <c r="I80" s="40">
        <v>7</v>
      </c>
      <c r="J80" s="41">
        <f t="shared" si="26"/>
        <v>2.5000000000000001E-2</v>
      </c>
      <c r="K80" s="40">
        <v>6</v>
      </c>
      <c r="L80" s="41">
        <f t="shared" si="27"/>
        <v>3.5928143712574849E-2</v>
      </c>
      <c r="M80" s="40">
        <v>253</v>
      </c>
      <c r="N80" s="41">
        <f>IFERROR(M80/$BE80,0)</f>
        <v>0.90357142857142858</v>
      </c>
      <c r="O80" s="40">
        <v>150</v>
      </c>
      <c r="P80" s="41">
        <f t="shared" si="28"/>
        <v>0.89820359281437123</v>
      </c>
      <c r="Q80" s="40">
        <v>16</v>
      </c>
      <c r="R80" s="41">
        <f>IFERROR(Q80/$BE80,0)</f>
        <v>5.7142857142857141E-2</v>
      </c>
      <c r="S80" s="40">
        <v>8</v>
      </c>
      <c r="T80" s="41">
        <f t="shared" si="29"/>
        <v>4.790419161676647E-2</v>
      </c>
      <c r="U80" s="40">
        <v>23</v>
      </c>
      <c r="V80" s="41">
        <f t="shared" si="30"/>
        <v>8.2142857142857142E-2</v>
      </c>
      <c r="W80" s="40">
        <v>18</v>
      </c>
      <c r="X80" s="41">
        <f t="shared" si="31"/>
        <v>0.10778443113772455</v>
      </c>
      <c r="Y80" s="40">
        <v>44</v>
      </c>
      <c r="Z80" s="41">
        <f t="shared" si="32"/>
        <v>0.15714285714285714</v>
      </c>
      <c r="AA80" s="40">
        <v>33</v>
      </c>
      <c r="AB80" s="41">
        <f t="shared" si="33"/>
        <v>0.19760479041916168</v>
      </c>
      <c r="AC80" s="40">
        <v>213</v>
      </c>
      <c r="AD80" s="41">
        <f t="shared" si="41"/>
        <v>0.76071428571428568</v>
      </c>
      <c r="AE80" s="40">
        <v>116</v>
      </c>
      <c r="AF80" s="41">
        <f t="shared" si="34"/>
        <v>0.69461077844311381</v>
      </c>
      <c r="AG80" s="40">
        <v>4</v>
      </c>
      <c r="AH80" s="41">
        <f t="shared" si="42"/>
        <v>1.4285714285714285E-2</v>
      </c>
      <c r="AI80" s="40">
        <v>4</v>
      </c>
      <c r="AJ80" s="41">
        <f t="shared" si="35"/>
        <v>2.3952095808383235E-2</v>
      </c>
      <c r="AK80" s="40">
        <v>5</v>
      </c>
      <c r="AL80" s="41">
        <f t="shared" si="43"/>
        <v>1.7857142857142856E-2</v>
      </c>
      <c r="AM80" s="40">
        <v>3</v>
      </c>
      <c r="AN80" s="41">
        <f t="shared" si="36"/>
        <v>1.7964071856287425E-2</v>
      </c>
      <c r="AO80" s="40">
        <v>165</v>
      </c>
      <c r="AP80" s="41">
        <f t="shared" si="44"/>
        <v>0.5892857142857143</v>
      </c>
      <c r="AQ80" s="40">
        <v>108</v>
      </c>
      <c r="AR80" s="41">
        <f t="shared" si="37"/>
        <v>0.6467065868263473</v>
      </c>
      <c r="AS80" s="40">
        <v>65</v>
      </c>
      <c r="AT80" s="41">
        <f t="shared" si="45"/>
        <v>0.23214285714285715</v>
      </c>
      <c r="AU80" s="40">
        <v>25</v>
      </c>
      <c r="AV80" s="41">
        <f t="shared" si="38"/>
        <v>0.1497005988023952</v>
      </c>
      <c r="AW80" s="40">
        <v>25</v>
      </c>
      <c r="AX80" s="41">
        <f t="shared" si="46"/>
        <v>8.9285714285714288E-2</v>
      </c>
      <c r="AY80" s="40">
        <v>18</v>
      </c>
      <c r="AZ80" s="41">
        <f t="shared" si="39"/>
        <v>0.10778443113772455</v>
      </c>
      <c r="BA80" s="40">
        <v>16</v>
      </c>
      <c r="BB80" s="41">
        <f t="shared" si="47"/>
        <v>5.7142857142857141E-2</v>
      </c>
      <c r="BC80" s="40">
        <v>9</v>
      </c>
      <c r="BD80" s="41">
        <f t="shared" si="40"/>
        <v>5.3892215568862277E-2</v>
      </c>
      <c r="BE80" s="40">
        <v>280</v>
      </c>
      <c r="BF80" s="40">
        <v>167</v>
      </c>
    </row>
    <row r="81" spans="1:58" ht="15.75" customHeight="1" x14ac:dyDescent="0.25">
      <c r="A81" s="39">
        <v>2024</v>
      </c>
      <c r="B81" s="39">
        <v>171420</v>
      </c>
      <c r="C81" s="37" t="str">
        <f>VLOOKUP(B81,procv!$A$2:$D$142,4,FALSE)</f>
        <v>Amor Perfeito</v>
      </c>
      <c r="D81" s="37" t="s">
        <v>84</v>
      </c>
      <c r="E81" s="40">
        <v>4</v>
      </c>
      <c r="F81" s="42">
        <f t="shared" si="24"/>
        <v>6.5466448445171853E-3</v>
      </c>
      <c r="G81" s="40">
        <v>3</v>
      </c>
      <c r="H81" s="42">
        <f t="shared" si="25"/>
        <v>8.7209302325581394E-3</v>
      </c>
      <c r="I81" s="40">
        <v>18</v>
      </c>
      <c r="J81" s="41">
        <f t="shared" si="26"/>
        <v>2.9459901800327332E-2</v>
      </c>
      <c r="K81" s="40">
        <v>6</v>
      </c>
      <c r="L81" s="41">
        <f t="shared" si="27"/>
        <v>1.7441860465116279E-2</v>
      </c>
      <c r="M81" s="40">
        <v>557</v>
      </c>
      <c r="N81" s="41">
        <f>IFERROR(M81/$BE81,0)</f>
        <v>0.91162029459901806</v>
      </c>
      <c r="O81" s="40">
        <v>319</v>
      </c>
      <c r="P81" s="41">
        <f t="shared" si="28"/>
        <v>0.92732558139534882</v>
      </c>
      <c r="Q81" s="40">
        <v>32</v>
      </c>
      <c r="R81" s="41">
        <f>IFERROR(Q81/$BE81,0)</f>
        <v>5.2373158756137482E-2</v>
      </c>
      <c r="S81" s="40">
        <v>16</v>
      </c>
      <c r="T81" s="41">
        <f t="shared" si="29"/>
        <v>4.6511627906976744E-2</v>
      </c>
      <c r="U81" s="40">
        <v>48</v>
      </c>
      <c r="V81" s="41">
        <f t="shared" si="30"/>
        <v>7.855973813420622E-2</v>
      </c>
      <c r="W81" s="40">
        <v>28</v>
      </c>
      <c r="X81" s="41">
        <f t="shared" si="31"/>
        <v>8.1395348837209308E-2</v>
      </c>
      <c r="Y81" s="40">
        <v>44</v>
      </c>
      <c r="Z81" s="41">
        <f t="shared" si="32"/>
        <v>7.2013093289689037E-2</v>
      </c>
      <c r="AA81" s="40">
        <v>28</v>
      </c>
      <c r="AB81" s="41">
        <f t="shared" si="33"/>
        <v>8.1395348837209308E-2</v>
      </c>
      <c r="AC81" s="40">
        <v>519</v>
      </c>
      <c r="AD81" s="41">
        <f t="shared" si="41"/>
        <v>0.84942716857610479</v>
      </c>
      <c r="AE81" s="40">
        <v>288</v>
      </c>
      <c r="AF81" s="41">
        <f t="shared" si="34"/>
        <v>0.83720930232558144</v>
      </c>
      <c r="AG81" s="40">
        <v>13</v>
      </c>
      <c r="AH81" s="41">
        <f t="shared" si="42"/>
        <v>2.1276595744680851E-2</v>
      </c>
      <c r="AI81" s="40">
        <v>11</v>
      </c>
      <c r="AJ81" s="41">
        <f t="shared" si="35"/>
        <v>3.1976744186046513E-2</v>
      </c>
      <c r="AK81" s="40">
        <v>20</v>
      </c>
      <c r="AL81" s="41">
        <f t="shared" si="43"/>
        <v>3.2733224222585927E-2</v>
      </c>
      <c r="AM81" s="40">
        <v>15</v>
      </c>
      <c r="AN81" s="41">
        <f t="shared" si="36"/>
        <v>4.3604651162790699E-2</v>
      </c>
      <c r="AO81" s="40">
        <v>386</v>
      </c>
      <c r="AP81" s="41">
        <f t="shared" si="44"/>
        <v>0.6317512274959084</v>
      </c>
      <c r="AQ81" s="40">
        <v>214</v>
      </c>
      <c r="AR81" s="41">
        <f t="shared" si="37"/>
        <v>0.62209302325581395</v>
      </c>
      <c r="AS81" s="40">
        <v>101</v>
      </c>
      <c r="AT81" s="41">
        <f t="shared" si="45"/>
        <v>0.16530278232405893</v>
      </c>
      <c r="AU81" s="40">
        <v>51</v>
      </c>
      <c r="AV81" s="41">
        <f t="shared" si="38"/>
        <v>0.14825581395348839</v>
      </c>
      <c r="AW81" s="40">
        <v>50</v>
      </c>
      <c r="AX81" s="41">
        <f t="shared" si="46"/>
        <v>8.1833060556464818E-2</v>
      </c>
      <c r="AY81" s="40">
        <v>33</v>
      </c>
      <c r="AZ81" s="41">
        <f t="shared" si="39"/>
        <v>9.5930232558139539E-2</v>
      </c>
      <c r="BA81" s="40">
        <v>41</v>
      </c>
      <c r="BB81" s="41">
        <f t="shared" si="47"/>
        <v>6.7103109656301146E-2</v>
      </c>
      <c r="BC81" s="40">
        <v>20</v>
      </c>
      <c r="BD81" s="41">
        <f t="shared" si="40"/>
        <v>5.8139534883720929E-2</v>
      </c>
      <c r="BE81" s="40">
        <v>611</v>
      </c>
      <c r="BF81" s="40">
        <v>344</v>
      </c>
    </row>
    <row r="82" spans="1:58" ht="15.75" customHeight="1" x14ac:dyDescent="0.25">
      <c r="A82" s="39">
        <v>2024</v>
      </c>
      <c r="B82" s="39">
        <v>171430</v>
      </c>
      <c r="C82" s="37" t="str">
        <f>VLOOKUP(B82,procv!$A$2:$D$142,4,FALSE)</f>
        <v>Bico do Papagaio</v>
      </c>
      <c r="D82" s="37" t="s">
        <v>85</v>
      </c>
      <c r="E82" s="40">
        <v>0</v>
      </c>
      <c r="F82" s="42">
        <f t="shared" si="24"/>
        <v>0</v>
      </c>
      <c r="G82" s="40">
        <v>0</v>
      </c>
      <c r="H82" s="42">
        <f t="shared" si="25"/>
        <v>0</v>
      </c>
      <c r="I82" s="40">
        <v>8</v>
      </c>
      <c r="J82" s="41">
        <f t="shared" si="26"/>
        <v>2.9197080291970802E-2</v>
      </c>
      <c r="K82" s="40">
        <v>3</v>
      </c>
      <c r="L82" s="41">
        <f t="shared" si="27"/>
        <v>1.6216216216216217E-2</v>
      </c>
      <c r="M82" s="40">
        <v>258</v>
      </c>
      <c r="N82" s="41">
        <f>IFERROR(M82/$BE82,0)</f>
        <v>0.94160583941605835</v>
      </c>
      <c r="O82" s="40">
        <v>178</v>
      </c>
      <c r="P82" s="41">
        <f t="shared" si="28"/>
        <v>0.96216216216216222</v>
      </c>
      <c r="Q82" s="40">
        <v>8</v>
      </c>
      <c r="R82" s="41">
        <f>IFERROR(Q82/$BE82,0)</f>
        <v>2.9197080291970802E-2</v>
      </c>
      <c r="S82" s="40">
        <v>4</v>
      </c>
      <c r="T82" s="41">
        <f t="shared" si="29"/>
        <v>2.1621621621621623E-2</v>
      </c>
      <c r="U82" s="40">
        <v>24</v>
      </c>
      <c r="V82" s="41">
        <f t="shared" si="30"/>
        <v>8.7591240875912413E-2</v>
      </c>
      <c r="W82" s="40">
        <v>12</v>
      </c>
      <c r="X82" s="41">
        <f t="shared" si="31"/>
        <v>6.4864864864864868E-2</v>
      </c>
      <c r="Y82" s="40">
        <v>25</v>
      </c>
      <c r="Z82" s="41">
        <f t="shared" si="32"/>
        <v>9.1240875912408759E-2</v>
      </c>
      <c r="AA82" s="40">
        <v>18</v>
      </c>
      <c r="AB82" s="41">
        <f t="shared" si="33"/>
        <v>9.7297297297297303E-2</v>
      </c>
      <c r="AC82" s="40">
        <v>225</v>
      </c>
      <c r="AD82" s="41">
        <f t="shared" si="41"/>
        <v>0.82116788321167888</v>
      </c>
      <c r="AE82" s="40">
        <v>155</v>
      </c>
      <c r="AF82" s="41">
        <f t="shared" si="34"/>
        <v>0.83783783783783783</v>
      </c>
      <c r="AG82" s="40">
        <v>4</v>
      </c>
      <c r="AH82" s="41">
        <f t="shared" si="42"/>
        <v>1.4598540145985401E-2</v>
      </c>
      <c r="AI82" s="40">
        <v>4</v>
      </c>
      <c r="AJ82" s="41">
        <f t="shared" si="35"/>
        <v>2.1621621621621623E-2</v>
      </c>
      <c r="AK82" s="40">
        <v>7</v>
      </c>
      <c r="AL82" s="41">
        <f t="shared" si="43"/>
        <v>2.5547445255474453E-2</v>
      </c>
      <c r="AM82" s="40">
        <v>8</v>
      </c>
      <c r="AN82" s="41">
        <f t="shared" si="36"/>
        <v>4.3243243243243246E-2</v>
      </c>
      <c r="AO82" s="40">
        <v>185</v>
      </c>
      <c r="AP82" s="41">
        <f t="shared" si="44"/>
        <v>0.67518248175182483</v>
      </c>
      <c r="AQ82" s="40">
        <v>126</v>
      </c>
      <c r="AR82" s="41">
        <f t="shared" si="37"/>
        <v>0.68108108108108112</v>
      </c>
      <c r="AS82" s="40">
        <v>42</v>
      </c>
      <c r="AT82" s="41">
        <f t="shared" si="45"/>
        <v>0.15328467153284672</v>
      </c>
      <c r="AU82" s="40">
        <v>27</v>
      </c>
      <c r="AV82" s="41">
        <f t="shared" si="38"/>
        <v>0.14594594594594595</v>
      </c>
      <c r="AW82" s="40">
        <v>18</v>
      </c>
      <c r="AX82" s="41">
        <f t="shared" si="46"/>
        <v>6.569343065693431E-2</v>
      </c>
      <c r="AY82" s="40">
        <v>8</v>
      </c>
      <c r="AZ82" s="41">
        <f t="shared" si="39"/>
        <v>4.3243243243243246E-2</v>
      </c>
      <c r="BA82" s="40">
        <v>18</v>
      </c>
      <c r="BB82" s="41">
        <f t="shared" si="47"/>
        <v>6.569343065693431E-2</v>
      </c>
      <c r="BC82" s="40">
        <v>12</v>
      </c>
      <c r="BD82" s="41">
        <f t="shared" si="40"/>
        <v>6.4864864864864868E-2</v>
      </c>
      <c r="BE82" s="40">
        <v>274</v>
      </c>
      <c r="BF82" s="40">
        <v>185</v>
      </c>
    </row>
    <row r="83" spans="1:58" ht="15.75" customHeight="1" x14ac:dyDescent="0.25">
      <c r="A83" s="39">
        <v>2024</v>
      </c>
      <c r="B83" s="39">
        <v>171488</v>
      </c>
      <c r="C83" s="37" t="str">
        <f>VLOOKUP(B83,procv!$A$2:$D$142,4,FALSE)</f>
        <v>Médio Norte Araguaia</v>
      </c>
      <c r="D83" s="37" t="s">
        <v>86</v>
      </c>
      <c r="E83" s="40">
        <v>6</v>
      </c>
      <c r="F83" s="42">
        <f t="shared" si="24"/>
        <v>7.7220077220077222E-3</v>
      </c>
      <c r="G83" s="40">
        <v>3</v>
      </c>
      <c r="H83" s="42">
        <f t="shared" si="25"/>
        <v>7.5949367088607592E-3</v>
      </c>
      <c r="I83" s="40">
        <v>22</v>
      </c>
      <c r="J83" s="41">
        <f t="shared" si="26"/>
        <v>2.8314028314028315E-2</v>
      </c>
      <c r="K83" s="40">
        <v>18</v>
      </c>
      <c r="L83" s="41">
        <f t="shared" si="27"/>
        <v>4.5569620253164557E-2</v>
      </c>
      <c r="M83" s="40">
        <v>718</v>
      </c>
      <c r="N83" s="41">
        <f>IFERROR(M83/$BE83,0)</f>
        <v>0.92406692406692403</v>
      </c>
      <c r="O83" s="40">
        <v>362</v>
      </c>
      <c r="P83" s="41">
        <f t="shared" si="28"/>
        <v>0.91645569620253164</v>
      </c>
      <c r="Q83" s="40">
        <v>31</v>
      </c>
      <c r="R83" s="41">
        <f>IFERROR(Q83/$BE83,0)</f>
        <v>3.9897039897039896E-2</v>
      </c>
      <c r="S83" s="40">
        <v>12</v>
      </c>
      <c r="T83" s="41">
        <f t="shared" si="29"/>
        <v>3.0379746835443037E-2</v>
      </c>
      <c r="U83" s="40">
        <v>31</v>
      </c>
      <c r="V83" s="41">
        <f t="shared" si="30"/>
        <v>3.9897039897039896E-2</v>
      </c>
      <c r="W83" s="40">
        <v>32</v>
      </c>
      <c r="X83" s="41">
        <f t="shared" si="31"/>
        <v>8.1012658227848103E-2</v>
      </c>
      <c r="Y83" s="40">
        <v>52</v>
      </c>
      <c r="Z83" s="41">
        <f t="shared" si="32"/>
        <v>6.6924066924066924E-2</v>
      </c>
      <c r="AA83" s="40">
        <v>46</v>
      </c>
      <c r="AB83" s="41">
        <f t="shared" si="33"/>
        <v>0.11645569620253164</v>
      </c>
      <c r="AC83" s="40">
        <v>694</v>
      </c>
      <c r="AD83" s="41">
        <f t="shared" si="41"/>
        <v>0.89317889317889321</v>
      </c>
      <c r="AE83" s="40">
        <v>317</v>
      </c>
      <c r="AF83" s="41">
        <f t="shared" si="34"/>
        <v>0.8025316455696202</v>
      </c>
      <c r="AG83" s="40">
        <v>23</v>
      </c>
      <c r="AH83" s="41">
        <f t="shared" si="42"/>
        <v>2.9601029601029602E-2</v>
      </c>
      <c r="AI83" s="40">
        <v>21</v>
      </c>
      <c r="AJ83" s="41">
        <f t="shared" si="35"/>
        <v>5.3164556962025315E-2</v>
      </c>
      <c r="AK83" s="40">
        <v>33</v>
      </c>
      <c r="AL83" s="41">
        <f t="shared" si="43"/>
        <v>4.2471042471042469E-2</v>
      </c>
      <c r="AM83" s="40">
        <v>31</v>
      </c>
      <c r="AN83" s="41">
        <f t="shared" si="36"/>
        <v>7.848101265822785E-2</v>
      </c>
      <c r="AO83" s="40">
        <v>502</v>
      </c>
      <c r="AP83" s="41">
        <f t="shared" si="44"/>
        <v>0.64607464607464604</v>
      </c>
      <c r="AQ83" s="40">
        <v>244</v>
      </c>
      <c r="AR83" s="41">
        <f t="shared" si="37"/>
        <v>0.61772151898734173</v>
      </c>
      <c r="AS83" s="40">
        <v>151</v>
      </c>
      <c r="AT83" s="41">
        <f t="shared" si="45"/>
        <v>0.19433719433719435</v>
      </c>
      <c r="AU83" s="40">
        <v>59</v>
      </c>
      <c r="AV83" s="41">
        <f t="shared" si="38"/>
        <v>0.14936708860759493</v>
      </c>
      <c r="AW83" s="40">
        <v>47</v>
      </c>
      <c r="AX83" s="41">
        <f t="shared" si="46"/>
        <v>6.0489060489060491E-2</v>
      </c>
      <c r="AY83" s="40">
        <v>26</v>
      </c>
      <c r="AZ83" s="41">
        <f t="shared" si="39"/>
        <v>6.5822784810126586E-2</v>
      </c>
      <c r="BA83" s="40">
        <v>21</v>
      </c>
      <c r="BB83" s="41">
        <f t="shared" si="47"/>
        <v>2.7027027027027029E-2</v>
      </c>
      <c r="BC83" s="40">
        <v>14</v>
      </c>
      <c r="BD83" s="41">
        <f t="shared" si="40"/>
        <v>3.5443037974683546E-2</v>
      </c>
      <c r="BE83" s="40">
        <v>777</v>
      </c>
      <c r="BF83" s="40">
        <v>395</v>
      </c>
    </row>
    <row r="84" spans="1:58" ht="15.75" customHeight="1" x14ac:dyDescent="0.25">
      <c r="A84" s="39">
        <v>2024</v>
      </c>
      <c r="B84" s="39">
        <v>171500</v>
      </c>
      <c r="C84" s="37" t="str">
        <f>VLOOKUP(B84,procv!$A$2:$D$142,4,FALSE)</f>
        <v>Cantão</v>
      </c>
      <c r="D84" s="37" t="s">
        <v>87</v>
      </c>
      <c r="E84" s="40">
        <v>2</v>
      </c>
      <c r="F84" s="42">
        <f t="shared" si="24"/>
        <v>7.5187969924812026E-3</v>
      </c>
      <c r="G84" s="40">
        <v>2</v>
      </c>
      <c r="H84" s="42">
        <f t="shared" si="25"/>
        <v>1.680672268907563E-2</v>
      </c>
      <c r="I84" s="40">
        <v>6</v>
      </c>
      <c r="J84" s="41">
        <f t="shared" si="26"/>
        <v>2.2556390977443608E-2</v>
      </c>
      <c r="K84" s="40">
        <v>5</v>
      </c>
      <c r="L84" s="41">
        <f t="shared" si="27"/>
        <v>4.2016806722689079E-2</v>
      </c>
      <c r="M84" s="40">
        <v>245</v>
      </c>
      <c r="N84" s="41">
        <f>IFERROR(M84/$BE84,0)</f>
        <v>0.92105263157894735</v>
      </c>
      <c r="O84" s="40">
        <v>106</v>
      </c>
      <c r="P84" s="41">
        <f t="shared" si="28"/>
        <v>0.89075630252100846</v>
      </c>
      <c r="Q84" s="40">
        <v>13</v>
      </c>
      <c r="R84" s="41">
        <f>IFERROR(Q84/$BE84,0)</f>
        <v>4.8872180451127817E-2</v>
      </c>
      <c r="S84" s="40">
        <v>6</v>
      </c>
      <c r="T84" s="41">
        <f t="shared" si="29"/>
        <v>5.0420168067226892E-2</v>
      </c>
      <c r="U84" s="40">
        <v>19</v>
      </c>
      <c r="V84" s="41">
        <f t="shared" si="30"/>
        <v>7.1428571428571425E-2</v>
      </c>
      <c r="W84" s="40">
        <v>13</v>
      </c>
      <c r="X84" s="41">
        <f t="shared" si="31"/>
        <v>0.1092436974789916</v>
      </c>
      <c r="Y84" s="40">
        <v>35</v>
      </c>
      <c r="Z84" s="41">
        <f t="shared" si="32"/>
        <v>0.13157894736842105</v>
      </c>
      <c r="AA84" s="40">
        <v>22</v>
      </c>
      <c r="AB84" s="41">
        <f t="shared" si="33"/>
        <v>0.18487394957983194</v>
      </c>
      <c r="AC84" s="40">
        <v>212</v>
      </c>
      <c r="AD84" s="41">
        <f t="shared" si="41"/>
        <v>0.79699248120300747</v>
      </c>
      <c r="AE84" s="40">
        <v>84</v>
      </c>
      <c r="AF84" s="41">
        <f t="shared" si="34"/>
        <v>0.70588235294117652</v>
      </c>
      <c r="AG84" s="40">
        <v>2</v>
      </c>
      <c r="AH84" s="41">
        <f t="shared" si="42"/>
        <v>7.5187969924812026E-3</v>
      </c>
      <c r="AI84" s="40">
        <v>2</v>
      </c>
      <c r="AJ84" s="41">
        <f t="shared" si="35"/>
        <v>1.680672268907563E-2</v>
      </c>
      <c r="AK84" s="40">
        <v>4</v>
      </c>
      <c r="AL84" s="41">
        <f t="shared" si="43"/>
        <v>1.5037593984962405E-2</v>
      </c>
      <c r="AM84" s="40">
        <v>3</v>
      </c>
      <c r="AN84" s="41">
        <f t="shared" si="36"/>
        <v>2.5210084033613446E-2</v>
      </c>
      <c r="AO84" s="40">
        <v>146</v>
      </c>
      <c r="AP84" s="41">
        <f t="shared" si="44"/>
        <v>0.54887218045112784</v>
      </c>
      <c r="AQ84" s="40">
        <v>67</v>
      </c>
      <c r="AR84" s="41">
        <f t="shared" si="37"/>
        <v>0.56302521008403361</v>
      </c>
      <c r="AS84" s="40">
        <v>62</v>
      </c>
      <c r="AT84" s="41">
        <f t="shared" si="45"/>
        <v>0.23308270676691728</v>
      </c>
      <c r="AU84" s="40">
        <v>26</v>
      </c>
      <c r="AV84" s="41">
        <f t="shared" si="38"/>
        <v>0.21848739495798319</v>
      </c>
      <c r="AW84" s="40">
        <v>34</v>
      </c>
      <c r="AX84" s="41">
        <f t="shared" si="46"/>
        <v>0.12781954887218044</v>
      </c>
      <c r="AY84" s="40">
        <v>10</v>
      </c>
      <c r="AZ84" s="41">
        <f t="shared" si="39"/>
        <v>8.4033613445378158E-2</v>
      </c>
      <c r="BA84" s="40">
        <v>18</v>
      </c>
      <c r="BB84" s="41">
        <f t="shared" si="47"/>
        <v>6.7669172932330823E-2</v>
      </c>
      <c r="BC84" s="40">
        <v>11</v>
      </c>
      <c r="BD84" s="41">
        <f t="shared" si="40"/>
        <v>9.2436974789915971E-2</v>
      </c>
      <c r="BE84" s="40">
        <v>266</v>
      </c>
      <c r="BF84" s="40">
        <v>119</v>
      </c>
    </row>
    <row r="85" spans="1:58" ht="15.75" customHeight="1" x14ac:dyDescent="0.25">
      <c r="A85" s="39">
        <v>2024</v>
      </c>
      <c r="B85" s="39">
        <v>171510</v>
      </c>
      <c r="C85" s="37" t="str">
        <f>VLOOKUP(B85,procv!$A$2:$D$142,4,FALSE)</f>
        <v>Capim Dourado</v>
      </c>
      <c r="D85" s="37" t="s">
        <v>88</v>
      </c>
      <c r="E85" s="40">
        <v>8</v>
      </c>
      <c r="F85" s="42">
        <f t="shared" si="24"/>
        <v>2.5559105431309903E-2</v>
      </c>
      <c r="G85" s="40">
        <v>6</v>
      </c>
      <c r="H85" s="42">
        <f t="shared" si="25"/>
        <v>2.8169014084507043E-2</v>
      </c>
      <c r="I85" s="40">
        <v>11</v>
      </c>
      <c r="J85" s="41">
        <f t="shared" si="26"/>
        <v>3.5143769968051117E-2</v>
      </c>
      <c r="K85" s="40">
        <v>11</v>
      </c>
      <c r="L85" s="41">
        <f t="shared" si="27"/>
        <v>5.1643192488262914E-2</v>
      </c>
      <c r="M85" s="40">
        <v>276</v>
      </c>
      <c r="N85" s="41">
        <f>IFERROR(M85/$BE85,0)</f>
        <v>0.88178913738019171</v>
      </c>
      <c r="O85" s="40">
        <v>190</v>
      </c>
      <c r="P85" s="41">
        <f t="shared" si="28"/>
        <v>0.892018779342723</v>
      </c>
      <c r="Q85" s="40">
        <v>18</v>
      </c>
      <c r="R85" s="41">
        <f>IFERROR(Q85/$BE85,0)</f>
        <v>5.7507987220447282E-2</v>
      </c>
      <c r="S85" s="40">
        <v>6</v>
      </c>
      <c r="T85" s="41">
        <f t="shared" si="29"/>
        <v>2.8169014084507043E-2</v>
      </c>
      <c r="U85" s="40">
        <v>17</v>
      </c>
      <c r="V85" s="41">
        <f t="shared" si="30"/>
        <v>5.4313099041533544E-2</v>
      </c>
      <c r="W85" s="40">
        <v>11</v>
      </c>
      <c r="X85" s="41">
        <f t="shared" si="31"/>
        <v>5.1643192488262914E-2</v>
      </c>
      <c r="Y85" s="40">
        <v>16</v>
      </c>
      <c r="Z85" s="41">
        <f t="shared" si="32"/>
        <v>5.1118210862619806E-2</v>
      </c>
      <c r="AA85" s="40">
        <v>15</v>
      </c>
      <c r="AB85" s="41">
        <f t="shared" si="33"/>
        <v>7.0422535211267609E-2</v>
      </c>
      <c r="AC85" s="40">
        <v>280</v>
      </c>
      <c r="AD85" s="41">
        <f t="shared" si="41"/>
        <v>0.89456869009584661</v>
      </c>
      <c r="AE85" s="40">
        <v>187</v>
      </c>
      <c r="AF85" s="41">
        <f t="shared" si="34"/>
        <v>0.8779342723004695</v>
      </c>
      <c r="AG85" s="40">
        <v>17</v>
      </c>
      <c r="AH85" s="41">
        <f t="shared" si="42"/>
        <v>5.4313099041533544E-2</v>
      </c>
      <c r="AI85" s="40">
        <v>20</v>
      </c>
      <c r="AJ85" s="41">
        <f t="shared" si="35"/>
        <v>9.3896713615023469E-2</v>
      </c>
      <c r="AK85" s="40">
        <v>15</v>
      </c>
      <c r="AL85" s="41">
        <f t="shared" si="43"/>
        <v>4.7923322683706068E-2</v>
      </c>
      <c r="AM85" s="40">
        <v>11</v>
      </c>
      <c r="AN85" s="41">
        <f t="shared" si="36"/>
        <v>5.1643192488262914E-2</v>
      </c>
      <c r="AO85" s="40">
        <v>198</v>
      </c>
      <c r="AP85" s="41">
        <f t="shared" si="44"/>
        <v>0.63258785942492013</v>
      </c>
      <c r="AQ85" s="40">
        <v>134</v>
      </c>
      <c r="AR85" s="41">
        <f t="shared" si="37"/>
        <v>0.62910798122065725</v>
      </c>
      <c r="AS85" s="40">
        <v>47</v>
      </c>
      <c r="AT85" s="41">
        <f t="shared" si="45"/>
        <v>0.15015974440894569</v>
      </c>
      <c r="AU85" s="40">
        <v>27</v>
      </c>
      <c r="AV85" s="41">
        <f t="shared" si="38"/>
        <v>0.12676056338028169</v>
      </c>
      <c r="AW85" s="40">
        <v>22</v>
      </c>
      <c r="AX85" s="41">
        <f t="shared" si="46"/>
        <v>7.0287539936102233E-2</v>
      </c>
      <c r="AY85" s="40">
        <v>11</v>
      </c>
      <c r="AZ85" s="41">
        <f t="shared" si="39"/>
        <v>5.1643192488262914E-2</v>
      </c>
      <c r="BA85" s="40">
        <v>14</v>
      </c>
      <c r="BB85" s="41">
        <f t="shared" si="47"/>
        <v>4.472843450479233E-2</v>
      </c>
      <c r="BC85" s="40">
        <v>10</v>
      </c>
      <c r="BD85" s="41">
        <f t="shared" si="40"/>
        <v>4.6948356807511735E-2</v>
      </c>
      <c r="BE85" s="40">
        <v>313</v>
      </c>
      <c r="BF85" s="40">
        <v>213</v>
      </c>
    </row>
    <row r="86" spans="1:58" ht="15.75" customHeight="1" x14ac:dyDescent="0.25">
      <c r="A86" s="39">
        <v>2024</v>
      </c>
      <c r="B86" s="39">
        <v>171515</v>
      </c>
      <c r="C86" s="37" t="str">
        <f>VLOOKUP(B86,procv!$A$2:$D$142,4,FALSE)</f>
        <v>Sudeste</v>
      </c>
      <c r="D86" s="37" t="s">
        <v>89</v>
      </c>
      <c r="E86" s="40">
        <v>0</v>
      </c>
      <c r="F86" s="42">
        <f t="shared" si="24"/>
        <v>0</v>
      </c>
      <c r="G86" s="40">
        <v>0</v>
      </c>
      <c r="H86" s="42">
        <f t="shared" si="25"/>
        <v>0</v>
      </c>
      <c r="I86" s="40">
        <v>0</v>
      </c>
      <c r="J86" s="41">
        <f t="shared" si="26"/>
        <v>0</v>
      </c>
      <c r="K86" s="40">
        <v>0</v>
      </c>
      <c r="L86" s="41">
        <f t="shared" si="27"/>
        <v>0</v>
      </c>
      <c r="M86" s="40">
        <v>93</v>
      </c>
      <c r="N86" s="41">
        <f>IFERROR(M86/$BE86,0)</f>
        <v>0.98936170212765961</v>
      </c>
      <c r="O86" s="40">
        <v>47</v>
      </c>
      <c r="P86" s="41">
        <f t="shared" si="28"/>
        <v>0.95918367346938771</v>
      </c>
      <c r="Q86" s="40">
        <v>1</v>
      </c>
      <c r="R86" s="41">
        <f>IFERROR(Q86/$BE86,0)</f>
        <v>1.0638297872340425E-2</v>
      </c>
      <c r="S86" s="40">
        <v>2</v>
      </c>
      <c r="T86" s="41">
        <f t="shared" si="29"/>
        <v>4.0816326530612242E-2</v>
      </c>
      <c r="U86" s="40">
        <v>3</v>
      </c>
      <c r="V86" s="41">
        <f t="shared" si="30"/>
        <v>3.1914893617021274E-2</v>
      </c>
      <c r="W86" s="40">
        <v>1</v>
      </c>
      <c r="X86" s="41">
        <f t="shared" si="31"/>
        <v>2.0408163265306121E-2</v>
      </c>
      <c r="Y86" s="40">
        <v>4</v>
      </c>
      <c r="Z86" s="41">
        <f t="shared" si="32"/>
        <v>4.2553191489361701E-2</v>
      </c>
      <c r="AA86" s="40">
        <v>6</v>
      </c>
      <c r="AB86" s="41">
        <f t="shared" si="33"/>
        <v>0.12244897959183673</v>
      </c>
      <c r="AC86" s="40">
        <v>87</v>
      </c>
      <c r="AD86" s="41">
        <f t="shared" si="41"/>
        <v>0.92553191489361697</v>
      </c>
      <c r="AE86" s="40">
        <v>42</v>
      </c>
      <c r="AF86" s="41">
        <f t="shared" si="34"/>
        <v>0.8571428571428571</v>
      </c>
      <c r="AG86" s="40">
        <v>2</v>
      </c>
      <c r="AH86" s="41">
        <f t="shared" si="42"/>
        <v>2.1276595744680851E-2</v>
      </c>
      <c r="AI86" s="40">
        <v>0</v>
      </c>
      <c r="AJ86" s="41">
        <f t="shared" si="35"/>
        <v>0</v>
      </c>
      <c r="AK86" s="40">
        <v>6</v>
      </c>
      <c r="AL86" s="41">
        <f t="shared" si="43"/>
        <v>6.3829787234042548E-2</v>
      </c>
      <c r="AM86" s="40">
        <v>2</v>
      </c>
      <c r="AN86" s="41">
        <f t="shared" si="36"/>
        <v>4.0816326530612242E-2</v>
      </c>
      <c r="AO86" s="40">
        <v>65</v>
      </c>
      <c r="AP86" s="41">
        <f t="shared" si="44"/>
        <v>0.69148936170212771</v>
      </c>
      <c r="AQ86" s="40">
        <v>34</v>
      </c>
      <c r="AR86" s="41">
        <f t="shared" si="37"/>
        <v>0.69387755102040816</v>
      </c>
      <c r="AS86" s="40">
        <v>12</v>
      </c>
      <c r="AT86" s="41">
        <f t="shared" si="45"/>
        <v>0.1276595744680851</v>
      </c>
      <c r="AU86" s="40">
        <v>7</v>
      </c>
      <c r="AV86" s="41">
        <f t="shared" si="38"/>
        <v>0.14285714285714285</v>
      </c>
      <c r="AW86" s="40">
        <v>6</v>
      </c>
      <c r="AX86" s="41">
        <f t="shared" si="46"/>
        <v>6.3829787234042548E-2</v>
      </c>
      <c r="AY86" s="40">
        <v>4</v>
      </c>
      <c r="AZ86" s="41">
        <f t="shared" si="39"/>
        <v>8.1632653061224483E-2</v>
      </c>
      <c r="BA86" s="40">
        <v>3</v>
      </c>
      <c r="BB86" s="41">
        <f t="shared" si="47"/>
        <v>3.1914893617021274E-2</v>
      </c>
      <c r="BC86" s="40">
        <v>2</v>
      </c>
      <c r="BD86" s="41">
        <f t="shared" si="40"/>
        <v>4.0816326530612242E-2</v>
      </c>
      <c r="BE86" s="40">
        <v>94</v>
      </c>
      <c r="BF86" s="40">
        <v>49</v>
      </c>
    </row>
    <row r="87" spans="1:58" ht="15.75" customHeight="1" x14ac:dyDescent="0.25">
      <c r="A87" s="39">
        <v>2024</v>
      </c>
      <c r="B87" s="39">
        <v>171525</v>
      </c>
      <c r="C87" s="37" t="str">
        <f>VLOOKUP(B87,procv!$A$2:$D$142,4,FALSE)</f>
        <v>Sudeste</v>
      </c>
      <c r="D87" s="37" t="s">
        <v>90</v>
      </c>
      <c r="E87" s="40">
        <v>2</v>
      </c>
      <c r="F87" s="42">
        <f t="shared" si="24"/>
        <v>2.4691358024691357E-2</v>
      </c>
      <c r="G87" s="40">
        <v>2</v>
      </c>
      <c r="H87" s="42">
        <f t="shared" si="25"/>
        <v>2.6315789473684209E-2</v>
      </c>
      <c r="I87" s="40">
        <v>4</v>
      </c>
      <c r="J87" s="41">
        <f t="shared" si="26"/>
        <v>4.9382716049382713E-2</v>
      </c>
      <c r="K87" s="40">
        <v>4</v>
      </c>
      <c r="L87" s="41">
        <f t="shared" si="27"/>
        <v>5.2631578947368418E-2</v>
      </c>
      <c r="M87" s="40">
        <v>71</v>
      </c>
      <c r="N87" s="41">
        <f>IFERROR(M87/$BE87,0)</f>
        <v>0.87654320987654322</v>
      </c>
      <c r="O87" s="40">
        <v>67</v>
      </c>
      <c r="P87" s="41">
        <f t="shared" si="28"/>
        <v>0.88157894736842102</v>
      </c>
      <c r="Q87" s="40">
        <v>4</v>
      </c>
      <c r="R87" s="41">
        <f>IFERROR(Q87/$BE87,0)</f>
        <v>4.9382716049382713E-2</v>
      </c>
      <c r="S87" s="40">
        <v>3</v>
      </c>
      <c r="T87" s="41">
        <f t="shared" si="29"/>
        <v>3.9473684210526314E-2</v>
      </c>
      <c r="U87" s="40">
        <v>4</v>
      </c>
      <c r="V87" s="41">
        <f t="shared" si="30"/>
        <v>4.9382716049382713E-2</v>
      </c>
      <c r="W87" s="40">
        <v>4</v>
      </c>
      <c r="X87" s="41">
        <f t="shared" si="31"/>
        <v>5.2631578947368418E-2</v>
      </c>
      <c r="Y87" s="40">
        <v>9</v>
      </c>
      <c r="Z87" s="41">
        <f t="shared" si="32"/>
        <v>0.1111111111111111</v>
      </c>
      <c r="AA87" s="40">
        <v>9</v>
      </c>
      <c r="AB87" s="41">
        <f t="shared" si="33"/>
        <v>0.11842105263157894</v>
      </c>
      <c r="AC87" s="40">
        <v>68</v>
      </c>
      <c r="AD87" s="41">
        <f t="shared" si="41"/>
        <v>0.83950617283950613</v>
      </c>
      <c r="AE87" s="40">
        <v>63</v>
      </c>
      <c r="AF87" s="41">
        <f t="shared" si="34"/>
        <v>0.82894736842105265</v>
      </c>
      <c r="AG87" s="40">
        <v>5</v>
      </c>
      <c r="AH87" s="41">
        <f t="shared" si="42"/>
        <v>6.1728395061728392E-2</v>
      </c>
      <c r="AI87" s="40">
        <v>4</v>
      </c>
      <c r="AJ87" s="41">
        <f t="shared" si="35"/>
        <v>5.2631578947368418E-2</v>
      </c>
      <c r="AK87" s="40">
        <v>4</v>
      </c>
      <c r="AL87" s="41">
        <f t="shared" si="43"/>
        <v>4.9382716049382713E-2</v>
      </c>
      <c r="AM87" s="40">
        <v>4</v>
      </c>
      <c r="AN87" s="41">
        <f t="shared" si="36"/>
        <v>5.2631578947368418E-2</v>
      </c>
      <c r="AO87" s="40">
        <v>53</v>
      </c>
      <c r="AP87" s="41">
        <f t="shared" si="44"/>
        <v>0.65432098765432101</v>
      </c>
      <c r="AQ87" s="40">
        <v>52</v>
      </c>
      <c r="AR87" s="41">
        <f t="shared" si="37"/>
        <v>0.68421052631578949</v>
      </c>
      <c r="AS87" s="40">
        <v>15</v>
      </c>
      <c r="AT87" s="41">
        <f t="shared" si="45"/>
        <v>0.18518518518518517</v>
      </c>
      <c r="AU87" s="40">
        <v>12</v>
      </c>
      <c r="AV87" s="41">
        <f t="shared" si="38"/>
        <v>0.15789473684210525</v>
      </c>
      <c r="AW87" s="40">
        <v>2</v>
      </c>
      <c r="AX87" s="41">
        <f t="shared" si="46"/>
        <v>2.4691358024691357E-2</v>
      </c>
      <c r="AY87" s="40">
        <v>2</v>
      </c>
      <c r="AZ87" s="41">
        <f t="shared" si="39"/>
        <v>2.6315789473684209E-2</v>
      </c>
      <c r="BA87" s="40">
        <v>2</v>
      </c>
      <c r="BB87" s="41">
        <f t="shared" si="47"/>
        <v>2.4691358024691357E-2</v>
      </c>
      <c r="BC87" s="40">
        <v>2</v>
      </c>
      <c r="BD87" s="41">
        <f t="shared" si="40"/>
        <v>2.6315789473684209E-2</v>
      </c>
      <c r="BE87" s="40">
        <v>81</v>
      </c>
      <c r="BF87" s="40">
        <v>76</v>
      </c>
    </row>
    <row r="88" spans="1:58" ht="15.75" customHeight="1" x14ac:dyDescent="0.25">
      <c r="A88" s="39">
        <v>2024</v>
      </c>
      <c r="B88" s="39">
        <v>171550</v>
      </c>
      <c r="C88" s="37" t="str">
        <f>VLOOKUP(B88,procv!$A$2:$D$142,4,FALSE)</f>
        <v>Amor Perfeito</v>
      </c>
      <c r="D88" s="37" t="s">
        <v>91</v>
      </c>
      <c r="E88" s="40">
        <v>1</v>
      </c>
      <c r="F88" s="42">
        <f t="shared" si="24"/>
        <v>1.1235955056179775E-2</v>
      </c>
      <c r="G88" s="40">
        <v>0</v>
      </c>
      <c r="H88" s="42">
        <f t="shared" si="25"/>
        <v>0</v>
      </c>
      <c r="I88" s="40">
        <v>1</v>
      </c>
      <c r="J88" s="41">
        <f t="shared" si="26"/>
        <v>1.1235955056179775E-2</v>
      </c>
      <c r="K88" s="40">
        <v>1</v>
      </c>
      <c r="L88" s="41">
        <f t="shared" si="27"/>
        <v>2.2727272727272728E-2</v>
      </c>
      <c r="M88" s="40">
        <v>85</v>
      </c>
      <c r="N88" s="41">
        <f>IFERROR(M88/$BE88,0)</f>
        <v>0.9550561797752809</v>
      </c>
      <c r="O88" s="40">
        <v>43</v>
      </c>
      <c r="P88" s="41">
        <f t="shared" si="28"/>
        <v>0.97727272727272729</v>
      </c>
      <c r="Q88" s="40">
        <v>2</v>
      </c>
      <c r="R88" s="41">
        <f>IFERROR(Q88/$BE88,0)</f>
        <v>2.247191011235955E-2</v>
      </c>
      <c r="S88" s="40">
        <v>0</v>
      </c>
      <c r="T88" s="41">
        <f t="shared" si="29"/>
        <v>0</v>
      </c>
      <c r="U88" s="40">
        <v>3</v>
      </c>
      <c r="V88" s="41">
        <f t="shared" si="30"/>
        <v>3.3707865168539325E-2</v>
      </c>
      <c r="W88" s="40">
        <v>2</v>
      </c>
      <c r="X88" s="41">
        <f t="shared" si="31"/>
        <v>4.5454545454545456E-2</v>
      </c>
      <c r="Y88" s="40">
        <v>2</v>
      </c>
      <c r="Z88" s="41">
        <f t="shared" si="32"/>
        <v>2.247191011235955E-2</v>
      </c>
      <c r="AA88" s="40">
        <v>1</v>
      </c>
      <c r="AB88" s="41">
        <f t="shared" si="33"/>
        <v>2.2727272727272728E-2</v>
      </c>
      <c r="AC88" s="40">
        <v>84</v>
      </c>
      <c r="AD88" s="41">
        <f t="shared" si="41"/>
        <v>0.9438202247191011</v>
      </c>
      <c r="AE88" s="40">
        <v>41</v>
      </c>
      <c r="AF88" s="41">
        <f t="shared" si="34"/>
        <v>0.93181818181818177</v>
      </c>
      <c r="AG88" s="40">
        <v>2</v>
      </c>
      <c r="AH88" s="41">
        <f t="shared" si="42"/>
        <v>2.247191011235955E-2</v>
      </c>
      <c r="AI88" s="40">
        <v>1</v>
      </c>
      <c r="AJ88" s="41">
        <f t="shared" si="35"/>
        <v>2.2727272727272728E-2</v>
      </c>
      <c r="AK88" s="40">
        <v>3</v>
      </c>
      <c r="AL88" s="41">
        <f t="shared" si="43"/>
        <v>3.3707865168539325E-2</v>
      </c>
      <c r="AM88" s="40">
        <v>4</v>
      </c>
      <c r="AN88" s="41">
        <f t="shared" si="36"/>
        <v>9.0909090909090912E-2</v>
      </c>
      <c r="AO88" s="40">
        <v>62</v>
      </c>
      <c r="AP88" s="41">
        <f t="shared" si="44"/>
        <v>0.6966292134831461</v>
      </c>
      <c r="AQ88" s="40">
        <v>30</v>
      </c>
      <c r="AR88" s="41">
        <f t="shared" si="37"/>
        <v>0.68181818181818177</v>
      </c>
      <c r="AS88" s="40">
        <v>14</v>
      </c>
      <c r="AT88" s="41">
        <f t="shared" si="45"/>
        <v>0.15730337078651685</v>
      </c>
      <c r="AU88" s="40">
        <v>8</v>
      </c>
      <c r="AV88" s="41">
        <f t="shared" si="38"/>
        <v>0.18181818181818182</v>
      </c>
      <c r="AW88" s="40">
        <v>5</v>
      </c>
      <c r="AX88" s="41">
        <f t="shared" si="46"/>
        <v>5.6179775280898875E-2</v>
      </c>
      <c r="AY88" s="40">
        <v>0</v>
      </c>
      <c r="AZ88" s="41">
        <f t="shared" si="39"/>
        <v>0</v>
      </c>
      <c r="BA88" s="40">
        <v>3</v>
      </c>
      <c r="BB88" s="41">
        <f t="shared" si="47"/>
        <v>3.3707865168539325E-2</v>
      </c>
      <c r="BC88" s="40">
        <v>1</v>
      </c>
      <c r="BD88" s="41">
        <f t="shared" si="40"/>
        <v>2.2727272727272728E-2</v>
      </c>
      <c r="BE88" s="40">
        <v>89</v>
      </c>
      <c r="BF88" s="40">
        <v>44</v>
      </c>
    </row>
    <row r="89" spans="1:58" ht="15.75" customHeight="1" x14ac:dyDescent="0.25">
      <c r="A89" s="39">
        <v>2024</v>
      </c>
      <c r="B89" s="39">
        <v>172100</v>
      </c>
      <c r="C89" s="37" t="str">
        <f>VLOOKUP(B89,procv!$A$2:$D$142,4,FALSE)</f>
        <v>Capim Dourado</v>
      </c>
      <c r="D89" s="37" t="s">
        <v>92</v>
      </c>
      <c r="E89" s="40">
        <v>92</v>
      </c>
      <c r="F89" s="42">
        <f t="shared" si="24"/>
        <v>7.0638820638820642E-3</v>
      </c>
      <c r="G89" s="40">
        <v>72</v>
      </c>
      <c r="H89" s="42">
        <f t="shared" si="25"/>
        <v>1.2561060711793441E-2</v>
      </c>
      <c r="I89" s="40">
        <v>373</v>
      </c>
      <c r="J89" s="41">
        <f t="shared" si="26"/>
        <v>2.8639434889434889E-2</v>
      </c>
      <c r="K89" s="40">
        <v>211</v>
      </c>
      <c r="L89" s="41">
        <f t="shared" si="27"/>
        <v>3.6810886252616887E-2</v>
      </c>
      <c r="M89" s="43">
        <v>11772</v>
      </c>
      <c r="N89" s="41">
        <f>IFERROR(M89/$BE89,0)</f>
        <v>0.90386977886977882</v>
      </c>
      <c r="O89" s="43">
        <v>5066</v>
      </c>
      <c r="P89" s="41">
        <f t="shared" si="28"/>
        <v>0.88381018841591064</v>
      </c>
      <c r="Q89" s="40">
        <v>787</v>
      </c>
      <c r="R89" s="41">
        <f>IFERROR(Q89/$BE89,0)</f>
        <v>6.0426904176904175E-2</v>
      </c>
      <c r="S89" s="40">
        <v>383</v>
      </c>
      <c r="T89" s="41">
        <f t="shared" si="29"/>
        <v>6.6817864619678993E-2</v>
      </c>
      <c r="U89" s="40">
        <v>670</v>
      </c>
      <c r="V89" s="41">
        <f t="shared" si="30"/>
        <v>5.1443488943488942E-2</v>
      </c>
      <c r="W89" s="40">
        <v>540</v>
      </c>
      <c r="X89" s="41">
        <f t="shared" si="31"/>
        <v>9.4207955338450805E-2</v>
      </c>
      <c r="Y89" s="43">
        <v>1016</v>
      </c>
      <c r="Z89" s="41">
        <f t="shared" si="32"/>
        <v>7.8009828009828017E-2</v>
      </c>
      <c r="AA89" s="40">
        <v>624</v>
      </c>
      <c r="AB89" s="41">
        <f t="shared" si="33"/>
        <v>0.10886252616887648</v>
      </c>
      <c r="AC89" s="43">
        <v>11339</v>
      </c>
      <c r="AD89" s="41">
        <f t="shared" si="41"/>
        <v>0.87062346437346438</v>
      </c>
      <c r="AE89" s="43">
        <v>4569</v>
      </c>
      <c r="AF89" s="41">
        <f t="shared" si="34"/>
        <v>0.79710397766922536</v>
      </c>
      <c r="AG89" s="40">
        <v>324</v>
      </c>
      <c r="AH89" s="41">
        <f t="shared" si="42"/>
        <v>2.4877149877149878E-2</v>
      </c>
      <c r="AI89" s="40">
        <v>266</v>
      </c>
      <c r="AJ89" s="41">
        <f t="shared" si="35"/>
        <v>4.6406140963014653E-2</v>
      </c>
      <c r="AK89" s="40">
        <v>413</v>
      </c>
      <c r="AL89" s="41">
        <f t="shared" si="43"/>
        <v>3.1710687960687961E-2</v>
      </c>
      <c r="AM89" s="40">
        <v>279</v>
      </c>
      <c r="AN89" s="41">
        <f t="shared" si="36"/>
        <v>4.8674110258199579E-2</v>
      </c>
      <c r="AO89" s="43">
        <v>7951</v>
      </c>
      <c r="AP89" s="41">
        <f t="shared" si="44"/>
        <v>0.61048832923832919</v>
      </c>
      <c r="AQ89" s="43">
        <v>3268</v>
      </c>
      <c r="AR89" s="41">
        <f t="shared" si="37"/>
        <v>0.57013258897418007</v>
      </c>
      <c r="AS89" s="43">
        <v>2481</v>
      </c>
      <c r="AT89" s="41">
        <f t="shared" si="45"/>
        <v>0.19049447174447173</v>
      </c>
      <c r="AU89" s="40">
        <v>919</v>
      </c>
      <c r="AV89" s="41">
        <f t="shared" si="38"/>
        <v>0.16032798325191905</v>
      </c>
      <c r="AW89" s="43">
        <v>1147</v>
      </c>
      <c r="AX89" s="41">
        <f t="shared" si="46"/>
        <v>8.8068181818181823E-2</v>
      </c>
      <c r="AY89" s="40">
        <v>510</v>
      </c>
      <c r="AZ89" s="41">
        <f t="shared" si="39"/>
        <v>8.8974180041870202E-2</v>
      </c>
      <c r="BA89" s="40">
        <v>710</v>
      </c>
      <c r="BB89" s="41">
        <f t="shared" si="47"/>
        <v>5.4514742014742018E-2</v>
      </c>
      <c r="BC89" s="40">
        <v>492</v>
      </c>
      <c r="BD89" s="41">
        <f t="shared" si="40"/>
        <v>8.5833914863921848E-2</v>
      </c>
      <c r="BE89" s="43">
        <v>13024</v>
      </c>
      <c r="BF89" s="43">
        <v>5732</v>
      </c>
    </row>
    <row r="90" spans="1:58" ht="15.75" customHeight="1" x14ac:dyDescent="0.25">
      <c r="A90" s="39">
        <v>2024</v>
      </c>
      <c r="B90" s="39">
        <v>171570</v>
      </c>
      <c r="C90" s="37" t="str">
        <f>VLOOKUP(B90,procv!$A$2:$D$142,4,FALSE)</f>
        <v>Cerrado Tocantins Araguaia</v>
      </c>
      <c r="D90" s="37" t="s">
        <v>93</v>
      </c>
      <c r="E90" s="40">
        <v>2</v>
      </c>
      <c r="F90" s="42">
        <f t="shared" si="24"/>
        <v>5.3908355795148251E-3</v>
      </c>
      <c r="G90" s="40">
        <v>0</v>
      </c>
      <c r="H90" s="42">
        <f t="shared" si="25"/>
        <v>0</v>
      </c>
      <c r="I90" s="40">
        <v>18</v>
      </c>
      <c r="J90" s="41">
        <f t="shared" si="26"/>
        <v>4.8517520215633422E-2</v>
      </c>
      <c r="K90" s="40">
        <v>11</v>
      </c>
      <c r="L90" s="41">
        <f t="shared" si="27"/>
        <v>5.3398058252427182E-2</v>
      </c>
      <c r="M90" s="40">
        <v>332</v>
      </c>
      <c r="N90" s="41">
        <f>IFERROR(M90/$BE90,0)</f>
        <v>0.89487870619946097</v>
      </c>
      <c r="O90" s="40">
        <v>184</v>
      </c>
      <c r="P90" s="41">
        <f t="shared" si="28"/>
        <v>0.89320388349514568</v>
      </c>
      <c r="Q90" s="40">
        <v>19</v>
      </c>
      <c r="R90" s="41">
        <f>IFERROR(Q90/$BE90,0)</f>
        <v>5.1212938005390833E-2</v>
      </c>
      <c r="S90" s="40">
        <v>11</v>
      </c>
      <c r="T90" s="41">
        <f t="shared" si="29"/>
        <v>5.3398058252427182E-2</v>
      </c>
      <c r="U90" s="40">
        <v>32</v>
      </c>
      <c r="V90" s="41">
        <f t="shared" si="30"/>
        <v>8.6253369272237201E-2</v>
      </c>
      <c r="W90" s="40">
        <v>16</v>
      </c>
      <c r="X90" s="41">
        <f t="shared" si="31"/>
        <v>7.7669902912621352E-2</v>
      </c>
      <c r="Y90" s="40">
        <v>45</v>
      </c>
      <c r="Z90" s="41">
        <f t="shared" si="32"/>
        <v>0.12129380053908356</v>
      </c>
      <c r="AA90" s="40">
        <v>24</v>
      </c>
      <c r="AB90" s="41">
        <f t="shared" si="33"/>
        <v>0.11650485436893204</v>
      </c>
      <c r="AC90" s="40">
        <v>294</v>
      </c>
      <c r="AD90" s="41">
        <f t="shared" si="41"/>
        <v>0.79245283018867929</v>
      </c>
      <c r="AE90" s="40">
        <v>166</v>
      </c>
      <c r="AF90" s="41">
        <f t="shared" si="34"/>
        <v>0.80582524271844658</v>
      </c>
      <c r="AG90" s="40">
        <v>7</v>
      </c>
      <c r="AH90" s="41">
        <f t="shared" si="42"/>
        <v>1.8867924528301886E-2</v>
      </c>
      <c r="AI90" s="40">
        <v>5</v>
      </c>
      <c r="AJ90" s="41">
        <f t="shared" si="35"/>
        <v>2.4271844660194174E-2</v>
      </c>
      <c r="AK90" s="40">
        <v>10</v>
      </c>
      <c r="AL90" s="41">
        <f t="shared" si="43"/>
        <v>2.6954177897574125E-2</v>
      </c>
      <c r="AM90" s="40">
        <v>9</v>
      </c>
      <c r="AN90" s="41">
        <f t="shared" si="36"/>
        <v>4.3689320388349516E-2</v>
      </c>
      <c r="AO90" s="40">
        <v>226</v>
      </c>
      <c r="AP90" s="41">
        <f t="shared" si="44"/>
        <v>0.60916442048517516</v>
      </c>
      <c r="AQ90" s="40">
        <v>135</v>
      </c>
      <c r="AR90" s="41">
        <f t="shared" si="37"/>
        <v>0.65533980582524276</v>
      </c>
      <c r="AS90" s="40">
        <v>59</v>
      </c>
      <c r="AT90" s="41">
        <f t="shared" si="45"/>
        <v>0.15902964959568733</v>
      </c>
      <c r="AU90" s="40">
        <v>30</v>
      </c>
      <c r="AV90" s="41">
        <f t="shared" si="38"/>
        <v>0.14563106796116504</v>
      </c>
      <c r="AW90" s="40">
        <v>46</v>
      </c>
      <c r="AX90" s="41">
        <f t="shared" si="46"/>
        <v>0.12398921832884097</v>
      </c>
      <c r="AY90" s="40">
        <v>14</v>
      </c>
      <c r="AZ90" s="41">
        <f t="shared" si="39"/>
        <v>6.7961165048543687E-2</v>
      </c>
      <c r="BA90" s="40">
        <v>23</v>
      </c>
      <c r="BB90" s="41">
        <f t="shared" si="47"/>
        <v>6.1994609164420483E-2</v>
      </c>
      <c r="BC90" s="40">
        <v>13</v>
      </c>
      <c r="BD90" s="41">
        <f t="shared" si="40"/>
        <v>6.3106796116504854E-2</v>
      </c>
      <c r="BE90" s="40">
        <v>371</v>
      </c>
      <c r="BF90" s="40">
        <v>206</v>
      </c>
    </row>
    <row r="91" spans="1:58" ht="15.75" customHeight="1" x14ac:dyDescent="0.25">
      <c r="A91" s="39">
        <v>2024</v>
      </c>
      <c r="B91" s="39">
        <v>171380</v>
      </c>
      <c r="C91" s="37" t="str">
        <f>VLOOKUP(B91,procv!$A$2:$D$142,4,FALSE)</f>
        <v>Bico do Papagaio</v>
      </c>
      <c r="D91" s="37" t="s">
        <v>94</v>
      </c>
      <c r="E91" s="40">
        <v>0</v>
      </c>
      <c r="F91" s="42">
        <f t="shared" si="24"/>
        <v>0</v>
      </c>
      <c r="G91" s="40">
        <v>0</v>
      </c>
      <c r="H91" s="42">
        <f t="shared" si="25"/>
        <v>0</v>
      </c>
      <c r="I91" s="40">
        <v>10</v>
      </c>
      <c r="J91" s="41">
        <f t="shared" si="26"/>
        <v>4.5248868778280542E-2</v>
      </c>
      <c r="K91" s="40">
        <v>9</v>
      </c>
      <c r="L91" s="41">
        <f t="shared" si="27"/>
        <v>4.0540540540540543E-2</v>
      </c>
      <c r="M91" s="40">
        <v>204</v>
      </c>
      <c r="N91" s="41">
        <f>IFERROR(M91/$BE91,0)</f>
        <v>0.92307692307692313</v>
      </c>
      <c r="O91" s="40">
        <v>207</v>
      </c>
      <c r="P91" s="41">
        <f t="shared" si="28"/>
        <v>0.93243243243243246</v>
      </c>
      <c r="Q91" s="40">
        <v>7</v>
      </c>
      <c r="R91" s="41">
        <f>IFERROR(Q91/$BE91,0)</f>
        <v>3.1674208144796379E-2</v>
      </c>
      <c r="S91" s="40">
        <v>6</v>
      </c>
      <c r="T91" s="41">
        <f t="shared" si="29"/>
        <v>2.7027027027027029E-2</v>
      </c>
      <c r="U91" s="40">
        <v>16</v>
      </c>
      <c r="V91" s="41">
        <f t="shared" si="30"/>
        <v>7.2398190045248875E-2</v>
      </c>
      <c r="W91" s="40">
        <v>15</v>
      </c>
      <c r="X91" s="41">
        <f t="shared" si="31"/>
        <v>6.7567567567567571E-2</v>
      </c>
      <c r="Y91" s="40">
        <v>22</v>
      </c>
      <c r="Z91" s="41">
        <f t="shared" si="32"/>
        <v>9.9547511312217188E-2</v>
      </c>
      <c r="AA91" s="40">
        <v>21</v>
      </c>
      <c r="AB91" s="41">
        <f t="shared" si="33"/>
        <v>9.45945945945946E-2</v>
      </c>
      <c r="AC91" s="40">
        <v>183</v>
      </c>
      <c r="AD91" s="41">
        <f t="shared" si="41"/>
        <v>0.82805429864253388</v>
      </c>
      <c r="AE91" s="40">
        <v>186</v>
      </c>
      <c r="AF91" s="41">
        <f t="shared" si="34"/>
        <v>0.83783783783783783</v>
      </c>
      <c r="AG91" s="40">
        <v>3</v>
      </c>
      <c r="AH91" s="41">
        <f t="shared" si="42"/>
        <v>1.3574660633484163E-2</v>
      </c>
      <c r="AI91" s="40">
        <v>3</v>
      </c>
      <c r="AJ91" s="41">
        <f t="shared" si="35"/>
        <v>1.3513513513513514E-2</v>
      </c>
      <c r="AK91" s="40">
        <v>7</v>
      </c>
      <c r="AL91" s="41">
        <f t="shared" si="43"/>
        <v>3.1674208144796379E-2</v>
      </c>
      <c r="AM91" s="40">
        <v>7</v>
      </c>
      <c r="AN91" s="41">
        <f t="shared" si="36"/>
        <v>3.1531531531531529E-2</v>
      </c>
      <c r="AO91" s="40">
        <v>147</v>
      </c>
      <c r="AP91" s="41">
        <f t="shared" si="44"/>
        <v>0.66515837104072395</v>
      </c>
      <c r="AQ91" s="40">
        <v>148</v>
      </c>
      <c r="AR91" s="41">
        <f t="shared" si="37"/>
        <v>0.66666666666666663</v>
      </c>
      <c r="AS91" s="40">
        <v>36</v>
      </c>
      <c r="AT91" s="41">
        <f t="shared" si="45"/>
        <v>0.16289592760180996</v>
      </c>
      <c r="AU91" s="40">
        <v>38</v>
      </c>
      <c r="AV91" s="41">
        <f t="shared" si="38"/>
        <v>0.17117117117117117</v>
      </c>
      <c r="AW91" s="40">
        <v>16</v>
      </c>
      <c r="AX91" s="41">
        <f t="shared" si="46"/>
        <v>7.2398190045248875E-2</v>
      </c>
      <c r="AY91" s="40">
        <v>15</v>
      </c>
      <c r="AZ91" s="41">
        <f t="shared" si="39"/>
        <v>6.7567567567567571E-2</v>
      </c>
      <c r="BA91" s="40">
        <v>12</v>
      </c>
      <c r="BB91" s="41">
        <f t="shared" si="47"/>
        <v>5.4298642533936653E-2</v>
      </c>
      <c r="BC91" s="40">
        <v>11</v>
      </c>
      <c r="BD91" s="41">
        <f t="shared" si="40"/>
        <v>4.954954954954955E-2</v>
      </c>
      <c r="BE91" s="40">
        <v>221</v>
      </c>
      <c r="BF91" s="40">
        <v>222</v>
      </c>
    </row>
    <row r="92" spans="1:58" ht="15.75" customHeight="1" x14ac:dyDescent="0.25">
      <c r="A92" s="39">
        <v>2024</v>
      </c>
      <c r="B92" s="39">
        <v>171575</v>
      </c>
      <c r="C92" s="37" t="str">
        <f>VLOOKUP(B92,procv!$A$2:$D$142,4,FALSE)</f>
        <v>Ilha do Bananal</v>
      </c>
      <c r="D92" s="37" t="s">
        <v>95</v>
      </c>
      <c r="E92" s="40">
        <v>3</v>
      </c>
      <c r="F92" s="42">
        <f t="shared" si="24"/>
        <v>5.6710775047258983E-3</v>
      </c>
      <c r="G92" s="40">
        <v>0</v>
      </c>
      <c r="H92" s="42">
        <f t="shared" si="25"/>
        <v>0</v>
      </c>
      <c r="I92" s="40">
        <v>8</v>
      </c>
      <c r="J92" s="41">
        <f t="shared" si="26"/>
        <v>1.5122873345935728E-2</v>
      </c>
      <c r="K92" s="40">
        <v>7</v>
      </c>
      <c r="L92" s="41">
        <f t="shared" si="27"/>
        <v>3.0973451327433628E-2</v>
      </c>
      <c r="M92" s="40">
        <v>488</v>
      </c>
      <c r="N92" s="41">
        <f>IFERROR(M92/$BE92,0)</f>
        <v>0.92249527410207943</v>
      </c>
      <c r="O92" s="40">
        <v>207</v>
      </c>
      <c r="P92" s="41">
        <f t="shared" si="28"/>
        <v>0.91592920353982299</v>
      </c>
      <c r="Q92" s="40">
        <v>30</v>
      </c>
      <c r="R92" s="41">
        <f>IFERROR(Q92/$BE92,0)</f>
        <v>5.6710775047258979E-2</v>
      </c>
      <c r="S92" s="40">
        <v>12</v>
      </c>
      <c r="T92" s="41">
        <f t="shared" si="29"/>
        <v>5.3097345132743362E-2</v>
      </c>
      <c r="U92" s="40">
        <v>9</v>
      </c>
      <c r="V92" s="41">
        <f t="shared" si="30"/>
        <v>1.7013232514177693E-2</v>
      </c>
      <c r="W92" s="40">
        <v>7</v>
      </c>
      <c r="X92" s="41">
        <f t="shared" si="31"/>
        <v>3.0973451327433628E-2</v>
      </c>
      <c r="Y92" s="40">
        <v>27</v>
      </c>
      <c r="Z92" s="41">
        <f t="shared" si="32"/>
        <v>5.1039697542533083E-2</v>
      </c>
      <c r="AA92" s="40">
        <v>11</v>
      </c>
      <c r="AB92" s="41">
        <f t="shared" si="33"/>
        <v>4.8672566371681415E-2</v>
      </c>
      <c r="AC92" s="40">
        <v>493</v>
      </c>
      <c r="AD92" s="41">
        <f t="shared" si="41"/>
        <v>0.93194706994328924</v>
      </c>
      <c r="AE92" s="40">
        <v>209</v>
      </c>
      <c r="AF92" s="41">
        <f t="shared" si="34"/>
        <v>0.9247787610619469</v>
      </c>
      <c r="AG92" s="40">
        <v>14</v>
      </c>
      <c r="AH92" s="41">
        <f t="shared" si="42"/>
        <v>2.6465028355387523E-2</v>
      </c>
      <c r="AI92" s="40">
        <v>7</v>
      </c>
      <c r="AJ92" s="41">
        <f t="shared" si="35"/>
        <v>3.0973451327433628E-2</v>
      </c>
      <c r="AK92" s="40">
        <v>22</v>
      </c>
      <c r="AL92" s="41">
        <f t="shared" si="43"/>
        <v>4.1587901701323253E-2</v>
      </c>
      <c r="AM92" s="40">
        <v>13</v>
      </c>
      <c r="AN92" s="41">
        <f t="shared" si="36"/>
        <v>5.7522123893805309E-2</v>
      </c>
      <c r="AO92" s="40">
        <v>355</v>
      </c>
      <c r="AP92" s="41">
        <f t="shared" si="44"/>
        <v>0.67107750472589789</v>
      </c>
      <c r="AQ92" s="40">
        <v>161</v>
      </c>
      <c r="AR92" s="41">
        <f t="shared" si="37"/>
        <v>0.71238938053097345</v>
      </c>
      <c r="AS92" s="40">
        <v>93</v>
      </c>
      <c r="AT92" s="41">
        <f t="shared" si="45"/>
        <v>0.17580340264650285</v>
      </c>
      <c r="AU92" s="40">
        <v>28</v>
      </c>
      <c r="AV92" s="41">
        <f t="shared" si="38"/>
        <v>0.12389380530973451</v>
      </c>
      <c r="AW92" s="40">
        <v>29</v>
      </c>
      <c r="AX92" s="41">
        <f t="shared" si="46"/>
        <v>5.4820415879017016E-2</v>
      </c>
      <c r="AY92" s="40">
        <v>10</v>
      </c>
      <c r="AZ92" s="41">
        <f t="shared" si="39"/>
        <v>4.4247787610619468E-2</v>
      </c>
      <c r="BA92" s="40">
        <v>16</v>
      </c>
      <c r="BB92" s="41">
        <f t="shared" si="47"/>
        <v>3.0245746691871456E-2</v>
      </c>
      <c r="BC92" s="40">
        <v>8</v>
      </c>
      <c r="BD92" s="41">
        <f t="shared" si="40"/>
        <v>3.5398230088495575E-2</v>
      </c>
      <c r="BE92" s="40">
        <v>529</v>
      </c>
      <c r="BF92" s="40">
        <v>226</v>
      </c>
    </row>
    <row r="93" spans="1:58" ht="15.75" customHeight="1" x14ac:dyDescent="0.25">
      <c r="A93" s="39">
        <v>2024</v>
      </c>
      <c r="B93" s="39">
        <v>171610</v>
      </c>
      <c r="C93" s="37" t="str">
        <f>VLOOKUP(B93,procv!$A$2:$D$142,4,FALSE)</f>
        <v>Cantão</v>
      </c>
      <c r="D93" s="37" t="s">
        <v>96</v>
      </c>
      <c r="E93" s="40">
        <v>9</v>
      </c>
      <c r="F93" s="42">
        <f t="shared" si="24"/>
        <v>4.1341295360587966E-3</v>
      </c>
      <c r="G93" s="40">
        <v>3</v>
      </c>
      <c r="H93" s="42">
        <f t="shared" si="25"/>
        <v>4.9342105263157892E-3</v>
      </c>
      <c r="I93" s="40">
        <v>34</v>
      </c>
      <c r="J93" s="41">
        <f t="shared" si="26"/>
        <v>1.5617822691777675E-2</v>
      </c>
      <c r="K93" s="40">
        <v>13</v>
      </c>
      <c r="L93" s="41">
        <f t="shared" si="27"/>
        <v>2.1381578947368422E-2</v>
      </c>
      <c r="M93" s="43">
        <v>1984</v>
      </c>
      <c r="N93" s="41">
        <f>IFERROR(M93/$BE93,0)</f>
        <v>0.91134588883785028</v>
      </c>
      <c r="O93" s="40">
        <v>561</v>
      </c>
      <c r="P93" s="41">
        <f t="shared" si="28"/>
        <v>0.92269736842105265</v>
      </c>
      <c r="Q93" s="40">
        <v>150</v>
      </c>
      <c r="R93" s="41">
        <f>IFERROR(Q93/$BE93,0)</f>
        <v>6.8902158934313271E-2</v>
      </c>
      <c r="S93" s="40">
        <v>31</v>
      </c>
      <c r="T93" s="41">
        <f t="shared" si="29"/>
        <v>5.0986842105263157E-2</v>
      </c>
      <c r="U93" s="40">
        <v>53</v>
      </c>
      <c r="V93" s="41">
        <f t="shared" si="30"/>
        <v>2.4345429490124023E-2</v>
      </c>
      <c r="W93" s="40">
        <v>20</v>
      </c>
      <c r="X93" s="41">
        <f t="shared" si="31"/>
        <v>3.2894736842105261E-2</v>
      </c>
      <c r="Y93" s="40">
        <v>122</v>
      </c>
      <c r="Z93" s="41">
        <f t="shared" si="32"/>
        <v>5.604042259990813E-2</v>
      </c>
      <c r="AA93" s="40">
        <v>39</v>
      </c>
      <c r="AB93" s="41">
        <f t="shared" si="33"/>
        <v>6.4144736842105268E-2</v>
      </c>
      <c r="AC93" s="43">
        <v>2002</v>
      </c>
      <c r="AD93" s="41">
        <f t="shared" si="41"/>
        <v>0.91961414790996787</v>
      </c>
      <c r="AE93" s="40">
        <v>549</v>
      </c>
      <c r="AF93" s="41">
        <f t="shared" si="34"/>
        <v>0.90296052631578949</v>
      </c>
      <c r="AG93" s="40">
        <v>16</v>
      </c>
      <c r="AH93" s="41">
        <f t="shared" si="42"/>
        <v>7.3495636196600827E-3</v>
      </c>
      <c r="AI93" s="40">
        <v>8</v>
      </c>
      <c r="AJ93" s="41">
        <f t="shared" si="35"/>
        <v>1.3157894736842105E-2</v>
      </c>
      <c r="AK93" s="40">
        <v>50</v>
      </c>
      <c r="AL93" s="41">
        <f t="shared" si="43"/>
        <v>2.2967386311437757E-2</v>
      </c>
      <c r="AM93" s="40">
        <v>27</v>
      </c>
      <c r="AN93" s="41">
        <f t="shared" si="36"/>
        <v>4.4407894736842105E-2</v>
      </c>
      <c r="AO93" s="43">
        <v>1452</v>
      </c>
      <c r="AP93" s="41">
        <f t="shared" si="44"/>
        <v>0.66697289848415253</v>
      </c>
      <c r="AQ93" s="40">
        <v>441</v>
      </c>
      <c r="AR93" s="41">
        <f t="shared" si="37"/>
        <v>0.72532894736842102</v>
      </c>
      <c r="AS93" s="40">
        <v>387</v>
      </c>
      <c r="AT93" s="41">
        <f t="shared" si="45"/>
        <v>0.17776757005052826</v>
      </c>
      <c r="AU93" s="40">
        <v>76</v>
      </c>
      <c r="AV93" s="41">
        <f t="shared" si="38"/>
        <v>0.125</v>
      </c>
      <c r="AW93" s="40">
        <v>174</v>
      </c>
      <c r="AX93" s="41">
        <f t="shared" si="46"/>
        <v>7.99265043638034E-2</v>
      </c>
      <c r="AY93" s="40">
        <v>26</v>
      </c>
      <c r="AZ93" s="41">
        <f t="shared" si="39"/>
        <v>4.2763157894736843E-2</v>
      </c>
      <c r="BA93" s="40">
        <v>98</v>
      </c>
      <c r="BB93" s="41">
        <f t="shared" si="47"/>
        <v>4.5016077170418008E-2</v>
      </c>
      <c r="BC93" s="40">
        <v>30</v>
      </c>
      <c r="BD93" s="41">
        <f t="shared" si="40"/>
        <v>4.9342105263157895E-2</v>
      </c>
      <c r="BE93" s="43">
        <v>2177</v>
      </c>
      <c r="BF93" s="40">
        <v>608</v>
      </c>
    </row>
    <row r="94" spans="1:58" ht="15.75" customHeight="1" x14ac:dyDescent="0.25">
      <c r="A94" s="39">
        <v>2024</v>
      </c>
      <c r="B94" s="39">
        <v>171620</v>
      </c>
      <c r="C94" s="37" t="str">
        <f>VLOOKUP(B94,procv!$A$2:$D$142,4,FALSE)</f>
        <v>Sudeste</v>
      </c>
      <c r="D94" s="37" t="s">
        <v>97</v>
      </c>
      <c r="E94" s="40">
        <v>8</v>
      </c>
      <c r="F94" s="42">
        <f t="shared" si="24"/>
        <v>1.2519561815336464E-2</v>
      </c>
      <c r="G94" s="40">
        <v>7</v>
      </c>
      <c r="H94" s="42">
        <f t="shared" si="25"/>
        <v>2.0114942528735632E-2</v>
      </c>
      <c r="I94" s="40">
        <v>21</v>
      </c>
      <c r="J94" s="41">
        <f t="shared" si="26"/>
        <v>3.2863849765258218E-2</v>
      </c>
      <c r="K94" s="40">
        <v>14</v>
      </c>
      <c r="L94" s="41">
        <f t="shared" si="27"/>
        <v>4.0229885057471264E-2</v>
      </c>
      <c r="M94" s="40">
        <v>576</v>
      </c>
      <c r="N94" s="41">
        <f>IFERROR(M94/$BE94,0)</f>
        <v>0.90140845070422537</v>
      </c>
      <c r="O94" s="40">
        <v>315</v>
      </c>
      <c r="P94" s="41">
        <f t="shared" si="28"/>
        <v>0.90517241379310343</v>
      </c>
      <c r="Q94" s="40">
        <v>34</v>
      </c>
      <c r="R94" s="41">
        <f>IFERROR(Q94/$BE94,0)</f>
        <v>5.3208137715179966E-2</v>
      </c>
      <c r="S94" s="40">
        <v>12</v>
      </c>
      <c r="T94" s="41">
        <f t="shared" si="29"/>
        <v>3.4482758620689655E-2</v>
      </c>
      <c r="U94" s="40">
        <v>41</v>
      </c>
      <c r="V94" s="41">
        <f t="shared" si="30"/>
        <v>6.416275430359937E-2</v>
      </c>
      <c r="W94" s="40">
        <v>30</v>
      </c>
      <c r="X94" s="41">
        <f t="shared" si="31"/>
        <v>8.6206896551724144E-2</v>
      </c>
      <c r="Y94" s="40">
        <v>58</v>
      </c>
      <c r="Z94" s="41">
        <f t="shared" si="32"/>
        <v>9.0766823161189364E-2</v>
      </c>
      <c r="AA94" s="40">
        <v>27</v>
      </c>
      <c r="AB94" s="41">
        <f t="shared" si="33"/>
        <v>7.7586206896551727E-2</v>
      </c>
      <c r="AC94" s="40">
        <v>540</v>
      </c>
      <c r="AD94" s="41">
        <f t="shared" si="41"/>
        <v>0.84507042253521125</v>
      </c>
      <c r="AE94" s="40">
        <v>291</v>
      </c>
      <c r="AF94" s="41">
        <f t="shared" si="34"/>
        <v>0.83620689655172409</v>
      </c>
      <c r="AG94" s="40">
        <v>31</v>
      </c>
      <c r="AH94" s="41">
        <f t="shared" si="42"/>
        <v>4.8513302034428794E-2</v>
      </c>
      <c r="AI94" s="40">
        <v>15</v>
      </c>
      <c r="AJ94" s="41">
        <f t="shared" si="35"/>
        <v>4.3103448275862072E-2</v>
      </c>
      <c r="AK94" s="40">
        <v>44</v>
      </c>
      <c r="AL94" s="41">
        <f t="shared" si="43"/>
        <v>6.8857589984350542E-2</v>
      </c>
      <c r="AM94" s="40">
        <v>30</v>
      </c>
      <c r="AN94" s="41">
        <f t="shared" si="36"/>
        <v>8.6206896551724144E-2</v>
      </c>
      <c r="AO94" s="40">
        <v>398</v>
      </c>
      <c r="AP94" s="41">
        <f t="shared" si="44"/>
        <v>0.62284820031298904</v>
      </c>
      <c r="AQ94" s="40">
        <v>222</v>
      </c>
      <c r="AR94" s="41">
        <f t="shared" si="37"/>
        <v>0.63793103448275867</v>
      </c>
      <c r="AS94" s="40">
        <v>80</v>
      </c>
      <c r="AT94" s="41">
        <f t="shared" si="45"/>
        <v>0.12519561815336464</v>
      </c>
      <c r="AU94" s="40">
        <v>44</v>
      </c>
      <c r="AV94" s="41">
        <f t="shared" si="38"/>
        <v>0.12643678160919541</v>
      </c>
      <c r="AW94" s="40">
        <v>37</v>
      </c>
      <c r="AX94" s="41">
        <f t="shared" si="46"/>
        <v>5.7902973395931145E-2</v>
      </c>
      <c r="AY94" s="40">
        <v>16</v>
      </c>
      <c r="AZ94" s="41">
        <f t="shared" si="39"/>
        <v>4.5977011494252873E-2</v>
      </c>
      <c r="BA94" s="40">
        <v>49</v>
      </c>
      <c r="BB94" s="41">
        <f t="shared" si="47"/>
        <v>7.6682316118935834E-2</v>
      </c>
      <c r="BC94" s="40">
        <v>21</v>
      </c>
      <c r="BD94" s="41">
        <f t="shared" si="40"/>
        <v>6.0344827586206899E-2</v>
      </c>
      <c r="BE94" s="40">
        <v>639</v>
      </c>
      <c r="BF94" s="40">
        <v>348</v>
      </c>
    </row>
    <row r="95" spans="1:58" ht="15.75" customHeight="1" x14ac:dyDescent="0.25">
      <c r="A95" s="39">
        <v>2024</v>
      </c>
      <c r="B95" s="39">
        <v>171630</v>
      </c>
      <c r="C95" s="37" t="str">
        <f>VLOOKUP(B95,procv!$A$2:$D$142,4,FALSE)</f>
        <v>Médio Norte Araguaia</v>
      </c>
      <c r="D95" s="37" t="s">
        <v>98</v>
      </c>
      <c r="E95" s="40">
        <v>0</v>
      </c>
      <c r="F95" s="42">
        <f t="shared" si="24"/>
        <v>0</v>
      </c>
      <c r="G95" s="40">
        <v>0</v>
      </c>
      <c r="H95" s="42">
        <f t="shared" si="25"/>
        <v>0</v>
      </c>
      <c r="I95" s="40">
        <v>16</v>
      </c>
      <c r="J95" s="41">
        <f t="shared" si="26"/>
        <v>6.3745019920318724E-2</v>
      </c>
      <c r="K95" s="40">
        <v>12</v>
      </c>
      <c r="L95" s="41">
        <f t="shared" si="27"/>
        <v>6.25E-2</v>
      </c>
      <c r="M95" s="40">
        <v>226</v>
      </c>
      <c r="N95" s="41">
        <f>IFERROR(M95/$BE95,0)</f>
        <v>0.90039840637450197</v>
      </c>
      <c r="O95" s="40">
        <v>174</v>
      </c>
      <c r="P95" s="41">
        <f t="shared" si="28"/>
        <v>0.90625</v>
      </c>
      <c r="Q95" s="40">
        <v>9</v>
      </c>
      <c r="R95" s="41">
        <f>IFERROR(Q95/$BE95,0)</f>
        <v>3.5856573705179286E-2</v>
      </c>
      <c r="S95" s="40">
        <v>6</v>
      </c>
      <c r="T95" s="41">
        <f t="shared" si="29"/>
        <v>3.125E-2</v>
      </c>
      <c r="U95" s="40">
        <v>10</v>
      </c>
      <c r="V95" s="41">
        <f t="shared" si="30"/>
        <v>3.9840637450199202E-2</v>
      </c>
      <c r="W95" s="40">
        <v>7</v>
      </c>
      <c r="X95" s="41">
        <f t="shared" si="31"/>
        <v>3.6458333333333336E-2</v>
      </c>
      <c r="Y95" s="40">
        <v>7</v>
      </c>
      <c r="Z95" s="41">
        <f t="shared" si="32"/>
        <v>2.7888446215139442E-2</v>
      </c>
      <c r="AA95" s="40">
        <v>11</v>
      </c>
      <c r="AB95" s="41">
        <f t="shared" si="33"/>
        <v>5.7291666666666664E-2</v>
      </c>
      <c r="AC95" s="40">
        <v>234</v>
      </c>
      <c r="AD95" s="41">
        <f t="shared" si="41"/>
        <v>0.9322709163346613</v>
      </c>
      <c r="AE95" s="40">
        <v>174</v>
      </c>
      <c r="AF95" s="41">
        <f t="shared" si="34"/>
        <v>0.90625</v>
      </c>
      <c r="AG95" s="40">
        <v>36</v>
      </c>
      <c r="AH95" s="41">
        <f t="shared" si="42"/>
        <v>0.14342629482071714</v>
      </c>
      <c r="AI95" s="40">
        <v>13</v>
      </c>
      <c r="AJ95" s="41">
        <f t="shared" si="35"/>
        <v>6.7708333333333329E-2</v>
      </c>
      <c r="AK95" s="40">
        <v>25</v>
      </c>
      <c r="AL95" s="41">
        <f t="shared" si="43"/>
        <v>9.9601593625498003E-2</v>
      </c>
      <c r="AM95" s="40">
        <v>13</v>
      </c>
      <c r="AN95" s="41">
        <f t="shared" si="36"/>
        <v>6.7708333333333329E-2</v>
      </c>
      <c r="AO95" s="40">
        <v>151</v>
      </c>
      <c r="AP95" s="41">
        <f t="shared" si="44"/>
        <v>0.60159362549800799</v>
      </c>
      <c r="AQ95" s="40">
        <v>131</v>
      </c>
      <c r="AR95" s="41">
        <f t="shared" si="37"/>
        <v>0.68229166666666663</v>
      </c>
      <c r="AS95" s="40">
        <v>17</v>
      </c>
      <c r="AT95" s="41">
        <f t="shared" si="45"/>
        <v>6.7729083665338641E-2</v>
      </c>
      <c r="AU95" s="40">
        <v>15</v>
      </c>
      <c r="AV95" s="41">
        <f t="shared" si="38"/>
        <v>7.8125E-2</v>
      </c>
      <c r="AW95" s="40">
        <v>14</v>
      </c>
      <c r="AX95" s="41">
        <f t="shared" si="46"/>
        <v>5.5776892430278883E-2</v>
      </c>
      <c r="AY95" s="40">
        <v>13</v>
      </c>
      <c r="AZ95" s="41">
        <f t="shared" si="39"/>
        <v>6.7708333333333329E-2</v>
      </c>
      <c r="BA95" s="40">
        <v>8</v>
      </c>
      <c r="BB95" s="41">
        <f t="shared" si="47"/>
        <v>3.1872509960159362E-2</v>
      </c>
      <c r="BC95" s="40">
        <v>7</v>
      </c>
      <c r="BD95" s="41">
        <f t="shared" si="40"/>
        <v>3.6458333333333336E-2</v>
      </c>
      <c r="BE95" s="40">
        <v>251</v>
      </c>
      <c r="BF95" s="40">
        <v>192</v>
      </c>
    </row>
    <row r="96" spans="1:58" ht="15.75" customHeight="1" x14ac:dyDescent="0.25">
      <c r="A96" s="39">
        <v>2024</v>
      </c>
      <c r="B96" s="39">
        <v>171650</v>
      </c>
      <c r="C96" s="37" t="str">
        <f>VLOOKUP(B96,procv!$A$2:$D$142,4,FALSE)</f>
        <v>Cerrado Tocantins Araguaia</v>
      </c>
      <c r="D96" s="37" t="s">
        <v>99</v>
      </c>
      <c r="E96" s="40">
        <v>5</v>
      </c>
      <c r="F96" s="42">
        <f t="shared" si="24"/>
        <v>5.8275058275058279E-3</v>
      </c>
      <c r="G96" s="40">
        <v>2</v>
      </c>
      <c r="H96" s="42">
        <f t="shared" si="25"/>
        <v>5.681818181818182E-3</v>
      </c>
      <c r="I96" s="40">
        <v>24</v>
      </c>
      <c r="J96" s="41">
        <f t="shared" si="26"/>
        <v>2.7972027972027972E-2</v>
      </c>
      <c r="K96" s="40">
        <v>11</v>
      </c>
      <c r="L96" s="41">
        <f t="shared" si="27"/>
        <v>3.125E-2</v>
      </c>
      <c r="M96" s="40">
        <v>788</v>
      </c>
      <c r="N96" s="41">
        <f>IFERROR(M96/$BE96,0)</f>
        <v>0.9184149184149184</v>
      </c>
      <c r="O96" s="40">
        <v>315</v>
      </c>
      <c r="P96" s="41">
        <f t="shared" si="28"/>
        <v>0.89488636363636365</v>
      </c>
      <c r="Q96" s="40">
        <v>41</v>
      </c>
      <c r="R96" s="41">
        <f>IFERROR(Q96/$BE96,0)</f>
        <v>4.7785547785547784E-2</v>
      </c>
      <c r="S96" s="40">
        <v>24</v>
      </c>
      <c r="T96" s="41">
        <f t="shared" si="29"/>
        <v>6.8181818181818177E-2</v>
      </c>
      <c r="U96" s="40">
        <v>49</v>
      </c>
      <c r="V96" s="41">
        <f t="shared" si="30"/>
        <v>5.7109557109557112E-2</v>
      </c>
      <c r="W96" s="40">
        <v>21</v>
      </c>
      <c r="X96" s="41">
        <f t="shared" si="31"/>
        <v>5.9659090909090912E-2</v>
      </c>
      <c r="Y96" s="40">
        <v>87</v>
      </c>
      <c r="Z96" s="41">
        <f t="shared" si="32"/>
        <v>0.10139860139860139</v>
      </c>
      <c r="AA96" s="40">
        <v>55</v>
      </c>
      <c r="AB96" s="41">
        <f t="shared" si="33"/>
        <v>0.15625</v>
      </c>
      <c r="AC96" s="40">
        <v>722</v>
      </c>
      <c r="AD96" s="41">
        <f t="shared" si="41"/>
        <v>0.84149184149184153</v>
      </c>
      <c r="AE96" s="40">
        <v>276</v>
      </c>
      <c r="AF96" s="41">
        <f t="shared" si="34"/>
        <v>0.78409090909090906</v>
      </c>
      <c r="AG96" s="40">
        <v>15</v>
      </c>
      <c r="AH96" s="41">
        <f t="shared" si="42"/>
        <v>1.7482517482517484E-2</v>
      </c>
      <c r="AI96" s="40">
        <v>10</v>
      </c>
      <c r="AJ96" s="41">
        <f t="shared" si="35"/>
        <v>2.8409090909090908E-2</v>
      </c>
      <c r="AK96" s="40">
        <v>22</v>
      </c>
      <c r="AL96" s="41">
        <f t="shared" si="43"/>
        <v>2.564102564102564E-2</v>
      </c>
      <c r="AM96" s="40">
        <v>6</v>
      </c>
      <c r="AN96" s="41">
        <f t="shared" si="36"/>
        <v>1.7045454545454544E-2</v>
      </c>
      <c r="AO96" s="40">
        <v>520</v>
      </c>
      <c r="AP96" s="41">
        <f t="shared" si="44"/>
        <v>0.60606060606060608</v>
      </c>
      <c r="AQ96" s="40">
        <v>230</v>
      </c>
      <c r="AR96" s="41">
        <f t="shared" si="37"/>
        <v>0.65340909090909094</v>
      </c>
      <c r="AS96" s="40">
        <v>183</v>
      </c>
      <c r="AT96" s="41">
        <f t="shared" si="45"/>
        <v>0.21328671328671328</v>
      </c>
      <c r="AU96" s="40">
        <v>54</v>
      </c>
      <c r="AV96" s="41">
        <f t="shared" si="38"/>
        <v>0.15340909090909091</v>
      </c>
      <c r="AW96" s="40">
        <v>77</v>
      </c>
      <c r="AX96" s="41">
        <f t="shared" si="46"/>
        <v>8.9743589743589744E-2</v>
      </c>
      <c r="AY96" s="40">
        <v>29</v>
      </c>
      <c r="AZ96" s="41">
        <f t="shared" si="39"/>
        <v>8.2386363636363633E-2</v>
      </c>
      <c r="BA96" s="40">
        <v>41</v>
      </c>
      <c r="BB96" s="41">
        <f t="shared" si="47"/>
        <v>4.7785547785547784E-2</v>
      </c>
      <c r="BC96" s="40">
        <v>23</v>
      </c>
      <c r="BD96" s="41">
        <f t="shared" si="40"/>
        <v>6.5340909090909088E-2</v>
      </c>
      <c r="BE96" s="40">
        <v>858</v>
      </c>
      <c r="BF96" s="40">
        <v>352</v>
      </c>
    </row>
    <row r="97" spans="1:58" ht="15.75" customHeight="1" x14ac:dyDescent="0.25">
      <c r="A97" s="39">
        <v>2024</v>
      </c>
      <c r="B97" s="39">
        <v>171660</v>
      </c>
      <c r="C97" s="37" t="str">
        <f>VLOOKUP(B97,procv!$A$2:$D$142,4,FALSE)</f>
        <v>Ilha do Bananal</v>
      </c>
      <c r="D97" s="37" t="s">
        <v>100</v>
      </c>
      <c r="E97" s="40">
        <v>1</v>
      </c>
      <c r="F97" s="42">
        <f t="shared" si="24"/>
        <v>2.304147465437788E-3</v>
      </c>
      <c r="G97" s="40">
        <v>1</v>
      </c>
      <c r="H97" s="42">
        <f t="shared" si="25"/>
        <v>3.937007874015748E-3</v>
      </c>
      <c r="I97" s="40">
        <v>11</v>
      </c>
      <c r="J97" s="41">
        <f t="shared" si="26"/>
        <v>2.5345622119815669E-2</v>
      </c>
      <c r="K97" s="40">
        <v>6</v>
      </c>
      <c r="L97" s="41">
        <f t="shared" si="27"/>
        <v>2.3622047244094488E-2</v>
      </c>
      <c r="M97" s="40">
        <v>394</v>
      </c>
      <c r="N97" s="41">
        <f>IFERROR(M97/$BE97,0)</f>
        <v>0.90783410138248843</v>
      </c>
      <c r="O97" s="40">
        <v>232</v>
      </c>
      <c r="P97" s="41">
        <f t="shared" si="28"/>
        <v>0.91338582677165359</v>
      </c>
      <c r="Q97" s="40">
        <v>28</v>
      </c>
      <c r="R97" s="41">
        <f>IFERROR(Q97/$BE97,0)</f>
        <v>6.4516129032258063E-2</v>
      </c>
      <c r="S97" s="40">
        <v>15</v>
      </c>
      <c r="T97" s="41">
        <f t="shared" si="29"/>
        <v>5.905511811023622E-2</v>
      </c>
      <c r="U97" s="40">
        <v>21</v>
      </c>
      <c r="V97" s="41">
        <f t="shared" si="30"/>
        <v>4.8387096774193547E-2</v>
      </c>
      <c r="W97" s="40">
        <v>22</v>
      </c>
      <c r="X97" s="41">
        <f t="shared" si="31"/>
        <v>8.6614173228346455E-2</v>
      </c>
      <c r="Y97" s="40">
        <v>50</v>
      </c>
      <c r="Z97" s="41">
        <f t="shared" si="32"/>
        <v>0.1152073732718894</v>
      </c>
      <c r="AA97" s="40">
        <v>30</v>
      </c>
      <c r="AB97" s="41">
        <f t="shared" si="33"/>
        <v>0.11811023622047244</v>
      </c>
      <c r="AC97" s="40">
        <v>363</v>
      </c>
      <c r="AD97" s="41">
        <f t="shared" si="41"/>
        <v>0.83640552995391704</v>
      </c>
      <c r="AE97" s="40">
        <v>202</v>
      </c>
      <c r="AF97" s="41">
        <f t="shared" si="34"/>
        <v>0.79527559055118113</v>
      </c>
      <c r="AG97" s="40">
        <v>1</v>
      </c>
      <c r="AH97" s="41">
        <f t="shared" si="42"/>
        <v>2.304147465437788E-3</v>
      </c>
      <c r="AI97" s="40">
        <v>2</v>
      </c>
      <c r="AJ97" s="41">
        <f t="shared" si="35"/>
        <v>7.874015748031496E-3</v>
      </c>
      <c r="AK97" s="40">
        <v>9</v>
      </c>
      <c r="AL97" s="41">
        <f t="shared" si="43"/>
        <v>2.0737327188940093E-2</v>
      </c>
      <c r="AM97" s="40">
        <v>8</v>
      </c>
      <c r="AN97" s="41">
        <f t="shared" si="36"/>
        <v>3.1496062992125984E-2</v>
      </c>
      <c r="AO97" s="40">
        <v>244</v>
      </c>
      <c r="AP97" s="41">
        <f t="shared" si="44"/>
        <v>0.56221198156682028</v>
      </c>
      <c r="AQ97" s="40">
        <v>141</v>
      </c>
      <c r="AR97" s="41">
        <f t="shared" si="37"/>
        <v>0.55511811023622049</v>
      </c>
      <c r="AS97" s="40">
        <v>102</v>
      </c>
      <c r="AT97" s="41">
        <f t="shared" si="45"/>
        <v>0.23502304147465439</v>
      </c>
      <c r="AU97" s="40">
        <v>54</v>
      </c>
      <c r="AV97" s="41">
        <f t="shared" si="38"/>
        <v>0.2125984251968504</v>
      </c>
      <c r="AW97" s="40">
        <v>51</v>
      </c>
      <c r="AX97" s="41">
        <f t="shared" si="46"/>
        <v>0.11751152073732719</v>
      </c>
      <c r="AY97" s="40">
        <v>32</v>
      </c>
      <c r="AZ97" s="41">
        <f t="shared" si="39"/>
        <v>0.12598425196850394</v>
      </c>
      <c r="BA97" s="40">
        <v>27</v>
      </c>
      <c r="BB97" s="41">
        <f t="shared" si="47"/>
        <v>6.2211981566820278E-2</v>
      </c>
      <c r="BC97" s="40">
        <v>17</v>
      </c>
      <c r="BD97" s="41">
        <f t="shared" si="40"/>
        <v>6.6929133858267723E-2</v>
      </c>
      <c r="BE97" s="40">
        <v>434</v>
      </c>
      <c r="BF97" s="40">
        <v>254</v>
      </c>
    </row>
    <row r="98" spans="1:58" ht="15.75" customHeight="1" x14ac:dyDescent="0.25">
      <c r="A98" s="39">
        <v>2024</v>
      </c>
      <c r="B98" s="39">
        <v>171665</v>
      </c>
      <c r="C98" s="37" t="str">
        <f>VLOOKUP(B98,procv!$A$2:$D$142,4,FALSE)</f>
        <v>Cerrado Tocantins Araguaia</v>
      </c>
      <c r="D98" s="37" t="s">
        <v>101</v>
      </c>
      <c r="E98" s="40">
        <v>3</v>
      </c>
      <c r="F98" s="42">
        <f t="shared" si="24"/>
        <v>1.1627906976744186E-2</v>
      </c>
      <c r="G98" s="40">
        <v>2</v>
      </c>
      <c r="H98" s="42">
        <f t="shared" si="25"/>
        <v>2.6315789473684209E-2</v>
      </c>
      <c r="I98" s="40">
        <v>6</v>
      </c>
      <c r="J98" s="41">
        <f t="shared" si="26"/>
        <v>2.3255813953488372E-2</v>
      </c>
      <c r="K98" s="40">
        <v>1</v>
      </c>
      <c r="L98" s="41">
        <f t="shared" si="27"/>
        <v>1.3157894736842105E-2</v>
      </c>
      <c r="M98" s="40">
        <v>239</v>
      </c>
      <c r="N98" s="41">
        <f>IFERROR(M98/$BE98,0)</f>
        <v>0.9263565891472868</v>
      </c>
      <c r="O98" s="40">
        <v>65</v>
      </c>
      <c r="P98" s="41">
        <f t="shared" si="28"/>
        <v>0.85526315789473684</v>
      </c>
      <c r="Q98" s="40">
        <v>10</v>
      </c>
      <c r="R98" s="41">
        <f>IFERROR(Q98/$BE98,0)</f>
        <v>3.875968992248062E-2</v>
      </c>
      <c r="S98" s="40">
        <v>8</v>
      </c>
      <c r="T98" s="41">
        <f t="shared" si="29"/>
        <v>0.10526315789473684</v>
      </c>
      <c r="U98" s="40">
        <v>10</v>
      </c>
      <c r="V98" s="41">
        <f t="shared" si="30"/>
        <v>3.875968992248062E-2</v>
      </c>
      <c r="W98" s="40">
        <v>5</v>
      </c>
      <c r="X98" s="41">
        <f t="shared" si="31"/>
        <v>6.5789473684210523E-2</v>
      </c>
      <c r="Y98" s="40">
        <v>23</v>
      </c>
      <c r="Z98" s="41">
        <f t="shared" si="32"/>
        <v>8.9147286821705432E-2</v>
      </c>
      <c r="AA98" s="40">
        <v>8</v>
      </c>
      <c r="AB98" s="41">
        <f t="shared" si="33"/>
        <v>0.10526315789473684</v>
      </c>
      <c r="AC98" s="40">
        <v>225</v>
      </c>
      <c r="AD98" s="41">
        <f t="shared" si="41"/>
        <v>0.87209302325581395</v>
      </c>
      <c r="AE98" s="40">
        <v>63</v>
      </c>
      <c r="AF98" s="41">
        <f t="shared" si="34"/>
        <v>0.82894736842105265</v>
      </c>
      <c r="AG98" s="40">
        <v>5</v>
      </c>
      <c r="AH98" s="41">
        <f t="shared" si="42"/>
        <v>1.937984496124031E-2</v>
      </c>
      <c r="AI98" s="40">
        <v>5</v>
      </c>
      <c r="AJ98" s="41">
        <f t="shared" si="35"/>
        <v>6.5789473684210523E-2</v>
      </c>
      <c r="AK98" s="40">
        <v>8</v>
      </c>
      <c r="AL98" s="41">
        <f t="shared" si="43"/>
        <v>3.1007751937984496E-2</v>
      </c>
      <c r="AM98" s="40">
        <v>6</v>
      </c>
      <c r="AN98" s="41">
        <f t="shared" si="36"/>
        <v>7.8947368421052627E-2</v>
      </c>
      <c r="AO98" s="40">
        <v>168</v>
      </c>
      <c r="AP98" s="41">
        <f t="shared" si="44"/>
        <v>0.65116279069767447</v>
      </c>
      <c r="AQ98" s="40">
        <v>34</v>
      </c>
      <c r="AR98" s="41">
        <f t="shared" si="37"/>
        <v>0.44736842105263158</v>
      </c>
      <c r="AS98" s="40">
        <v>46</v>
      </c>
      <c r="AT98" s="41">
        <f t="shared" si="45"/>
        <v>0.17829457364341086</v>
      </c>
      <c r="AU98" s="40">
        <v>15</v>
      </c>
      <c r="AV98" s="41">
        <f t="shared" si="38"/>
        <v>0.19736842105263158</v>
      </c>
      <c r="AW98" s="40">
        <v>16</v>
      </c>
      <c r="AX98" s="41">
        <f t="shared" si="46"/>
        <v>6.2015503875968991E-2</v>
      </c>
      <c r="AY98" s="40">
        <v>5</v>
      </c>
      <c r="AZ98" s="41">
        <f t="shared" si="39"/>
        <v>6.5789473684210523E-2</v>
      </c>
      <c r="BA98" s="40">
        <v>15</v>
      </c>
      <c r="BB98" s="41">
        <f t="shared" si="47"/>
        <v>5.8139534883720929E-2</v>
      </c>
      <c r="BC98" s="40">
        <v>11</v>
      </c>
      <c r="BD98" s="41">
        <f t="shared" si="40"/>
        <v>0.14473684210526316</v>
      </c>
      <c r="BE98" s="40">
        <v>258</v>
      </c>
      <c r="BF98" s="40">
        <v>76</v>
      </c>
    </row>
    <row r="99" spans="1:58" ht="15.75" customHeight="1" x14ac:dyDescent="0.25">
      <c r="A99" s="39">
        <v>2024</v>
      </c>
      <c r="B99" s="39">
        <v>171700</v>
      </c>
      <c r="C99" s="37" t="str">
        <f>VLOOKUP(B99,procv!$A$2:$D$142,4,FALSE)</f>
        <v>Amor Perfeito</v>
      </c>
      <c r="D99" s="37" t="s">
        <v>102</v>
      </c>
      <c r="E99" s="40">
        <v>5</v>
      </c>
      <c r="F99" s="42">
        <f t="shared" si="24"/>
        <v>1.7123287671232876E-2</v>
      </c>
      <c r="G99" s="40">
        <v>4</v>
      </c>
      <c r="H99" s="42">
        <f t="shared" si="25"/>
        <v>2.5000000000000001E-2</v>
      </c>
      <c r="I99" s="40">
        <v>10</v>
      </c>
      <c r="J99" s="41">
        <f t="shared" si="26"/>
        <v>3.4246575342465752E-2</v>
      </c>
      <c r="K99" s="40">
        <v>6</v>
      </c>
      <c r="L99" s="41">
        <f t="shared" si="27"/>
        <v>3.7499999999999999E-2</v>
      </c>
      <c r="M99" s="40">
        <v>264</v>
      </c>
      <c r="N99" s="41">
        <f>IFERROR(M99/$BE99,0)</f>
        <v>0.90410958904109584</v>
      </c>
      <c r="O99" s="40">
        <v>140</v>
      </c>
      <c r="P99" s="41">
        <f t="shared" si="28"/>
        <v>0.875</v>
      </c>
      <c r="Q99" s="40">
        <v>13</v>
      </c>
      <c r="R99" s="41">
        <f>IFERROR(Q99/$BE99,0)</f>
        <v>4.4520547945205477E-2</v>
      </c>
      <c r="S99" s="40">
        <v>10</v>
      </c>
      <c r="T99" s="41">
        <f t="shared" si="29"/>
        <v>6.25E-2</v>
      </c>
      <c r="U99" s="40">
        <v>26</v>
      </c>
      <c r="V99" s="41">
        <f t="shared" si="30"/>
        <v>8.9041095890410954E-2</v>
      </c>
      <c r="W99" s="40">
        <v>24</v>
      </c>
      <c r="X99" s="41">
        <f t="shared" si="31"/>
        <v>0.15</v>
      </c>
      <c r="Y99" s="40">
        <v>24</v>
      </c>
      <c r="Z99" s="41">
        <f t="shared" si="32"/>
        <v>8.2191780821917804E-2</v>
      </c>
      <c r="AA99" s="40">
        <v>12</v>
      </c>
      <c r="AB99" s="41">
        <f t="shared" si="33"/>
        <v>7.4999999999999997E-2</v>
      </c>
      <c r="AC99" s="40">
        <v>242</v>
      </c>
      <c r="AD99" s="41">
        <f t="shared" si="41"/>
        <v>0.82876712328767121</v>
      </c>
      <c r="AE99" s="40">
        <v>124</v>
      </c>
      <c r="AF99" s="41">
        <f t="shared" si="34"/>
        <v>0.77500000000000002</v>
      </c>
      <c r="AG99" s="40">
        <v>6</v>
      </c>
      <c r="AH99" s="41">
        <f t="shared" si="42"/>
        <v>2.0547945205479451E-2</v>
      </c>
      <c r="AI99" s="40">
        <v>9</v>
      </c>
      <c r="AJ99" s="41">
        <f t="shared" si="35"/>
        <v>5.6250000000000001E-2</v>
      </c>
      <c r="AK99" s="40">
        <v>12</v>
      </c>
      <c r="AL99" s="41">
        <f t="shared" si="43"/>
        <v>4.1095890410958902E-2</v>
      </c>
      <c r="AM99" s="40">
        <v>6</v>
      </c>
      <c r="AN99" s="41">
        <f t="shared" si="36"/>
        <v>3.7499999999999999E-2</v>
      </c>
      <c r="AO99" s="40">
        <v>181</v>
      </c>
      <c r="AP99" s="41">
        <f t="shared" si="44"/>
        <v>0.61986301369863017</v>
      </c>
      <c r="AQ99" s="40">
        <v>91</v>
      </c>
      <c r="AR99" s="41">
        <f t="shared" si="37"/>
        <v>0.56874999999999998</v>
      </c>
      <c r="AS99" s="40">
        <v>45</v>
      </c>
      <c r="AT99" s="41">
        <f t="shared" si="45"/>
        <v>0.1541095890410959</v>
      </c>
      <c r="AU99" s="40">
        <v>27</v>
      </c>
      <c r="AV99" s="41">
        <f t="shared" si="38"/>
        <v>0.16875000000000001</v>
      </c>
      <c r="AW99" s="40">
        <v>29</v>
      </c>
      <c r="AX99" s="41">
        <f t="shared" si="46"/>
        <v>9.9315068493150679E-2</v>
      </c>
      <c r="AY99" s="40">
        <v>13</v>
      </c>
      <c r="AZ99" s="41">
        <f t="shared" si="39"/>
        <v>8.1250000000000003E-2</v>
      </c>
      <c r="BA99" s="40">
        <v>19</v>
      </c>
      <c r="BB99" s="41">
        <f t="shared" si="47"/>
        <v>6.5068493150684928E-2</v>
      </c>
      <c r="BC99" s="40">
        <v>14</v>
      </c>
      <c r="BD99" s="41">
        <f t="shared" si="40"/>
        <v>8.7499999999999994E-2</v>
      </c>
      <c r="BE99" s="40">
        <v>292</v>
      </c>
      <c r="BF99" s="40">
        <v>160</v>
      </c>
    </row>
    <row r="100" spans="1:58" ht="15.75" customHeight="1" x14ac:dyDescent="0.25">
      <c r="A100" s="39">
        <v>2024</v>
      </c>
      <c r="B100" s="39">
        <v>171720</v>
      </c>
      <c r="C100" s="37" t="str">
        <f>VLOOKUP(B100,procv!$A$2:$D$142,4,FALSE)</f>
        <v>Médio Norte Araguaia</v>
      </c>
      <c r="D100" s="37" t="s">
        <v>103</v>
      </c>
      <c r="E100" s="40">
        <v>2</v>
      </c>
      <c r="F100" s="42">
        <f t="shared" si="24"/>
        <v>1.5503875968992248E-2</v>
      </c>
      <c r="G100" s="40">
        <v>2</v>
      </c>
      <c r="H100" s="42">
        <f t="shared" si="25"/>
        <v>2.1505376344086023E-2</v>
      </c>
      <c r="I100" s="40">
        <v>1</v>
      </c>
      <c r="J100" s="41">
        <f t="shared" si="26"/>
        <v>7.7519379844961239E-3</v>
      </c>
      <c r="K100" s="40">
        <v>0</v>
      </c>
      <c r="L100" s="41">
        <f t="shared" si="27"/>
        <v>0</v>
      </c>
      <c r="M100" s="40">
        <v>118</v>
      </c>
      <c r="N100" s="41">
        <f>IFERROR(M100/$BE100,0)</f>
        <v>0.9147286821705426</v>
      </c>
      <c r="O100" s="40">
        <v>84</v>
      </c>
      <c r="P100" s="41">
        <f t="shared" si="28"/>
        <v>0.90322580645161288</v>
      </c>
      <c r="Q100" s="40">
        <v>8</v>
      </c>
      <c r="R100" s="41">
        <f>IFERROR(Q100/$BE100,0)</f>
        <v>6.2015503875968991E-2</v>
      </c>
      <c r="S100" s="40">
        <v>7</v>
      </c>
      <c r="T100" s="41">
        <f t="shared" si="29"/>
        <v>7.5268817204301078E-2</v>
      </c>
      <c r="U100" s="40">
        <v>10</v>
      </c>
      <c r="V100" s="41">
        <f t="shared" si="30"/>
        <v>7.7519379844961239E-2</v>
      </c>
      <c r="W100" s="40">
        <v>7</v>
      </c>
      <c r="X100" s="41">
        <f t="shared" si="31"/>
        <v>7.5268817204301078E-2</v>
      </c>
      <c r="Y100" s="40">
        <v>9</v>
      </c>
      <c r="Z100" s="41">
        <f t="shared" si="32"/>
        <v>6.9767441860465115E-2</v>
      </c>
      <c r="AA100" s="40">
        <v>7</v>
      </c>
      <c r="AB100" s="41">
        <f t="shared" si="33"/>
        <v>7.5268817204301078E-2</v>
      </c>
      <c r="AC100" s="40">
        <v>110</v>
      </c>
      <c r="AD100" s="41">
        <f t="shared" si="41"/>
        <v>0.8527131782945736</v>
      </c>
      <c r="AE100" s="40">
        <v>79</v>
      </c>
      <c r="AF100" s="41">
        <f t="shared" si="34"/>
        <v>0.84946236559139787</v>
      </c>
      <c r="AG100" s="40">
        <v>10</v>
      </c>
      <c r="AH100" s="41">
        <f t="shared" si="42"/>
        <v>7.7519379844961239E-2</v>
      </c>
      <c r="AI100" s="40">
        <v>8</v>
      </c>
      <c r="AJ100" s="41">
        <f t="shared" si="35"/>
        <v>8.6021505376344093E-2</v>
      </c>
      <c r="AK100" s="40">
        <v>4</v>
      </c>
      <c r="AL100" s="41">
        <f t="shared" si="43"/>
        <v>3.1007751937984496E-2</v>
      </c>
      <c r="AM100" s="40">
        <v>3</v>
      </c>
      <c r="AN100" s="41">
        <f t="shared" si="36"/>
        <v>3.2258064516129031E-2</v>
      </c>
      <c r="AO100" s="40">
        <v>75</v>
      </c>
      <c r="AP100" s="41">
        <f t="shared" si="44"/>
        <v>0.58139534883720934</v>
      </c>
      <c r="AQ100" s="40">
        <v>55</v>
      </c>
      <c r="AR100" s="41">
        <f t="shared" si="37"/>
        <v>0.59139784946236562</v>
      </c>
      <c r="AS100" s="40">
        <v>26</v>
      </c>
      <c r="AT100" s="41">
        <f t="shared" si="45"/>
        <v>0.20155038759689922</v>
      </c>
      <c r="AU100" s="40">
        <v>18</v>
      </c>
      <c r="AV100" s="41">
        <f t="shared" si="38"/>
        <v>0.19354838709677419</v>
      </c>
      <c r="AW100" s="40">
        <v>6</v>
      </c>
      <c r="AX100" s="41">
        <f t="shared" si="46"/>
        <v>4.6511627906976744E-2</v>
      </c>
      <c r="AY100" s="40">
        <v>4</v>
      </c>
      <c r="AZ100" s="41">
        <f t="shared" si="39"/>
        <v>4.3010752688172046E-2</v>
      </c>
      <c r="BA100" s="40">
        <v>8</v>
      </c>
      <c r="BB100" s="41">
        <f t="shared" si="47"/>
        <v>6.2015503875968991E-2</v>
      </c>
      <c r="BC100" s="40">
        <v>5</v>
      </c>
      <c r="BD100" s="41">
        <f t="shared" si="40"/>
        <v>5.3763440860215055E-2</v>
      </c>
      <c r="BE100" s="40">
        <v>129</v>
      </c>
      <c r="BF100" s="40">
        <v>93</v>
      </c>
    </row>
    <row r="101" spans="1:58" ht="15.75" customHeight="1" x14ac:dyDescent="0.25">
      <c r="A101" s="39">
        <v>2024</v>
      </c>
      <c r="B101" s="39">
        <v>171750</v>
      </c>
      <c r="C101" s="37" t="str">
        <f>VLOOKUP(B101,procv!$A$2:$D$142,4,FALSE)</f>
        <v>Cantão</v>
      </c>
      <c r="D101" s="37" t="s">
        <v>104</v>
      </c>
      <c r="E101" s="40">
        <v>1</v>
      </c>
      <c r="F101" s="42">
        <f t="shared" si="24"/>
        <v>2.008032128514056E-3</v>
      </c>
      <c r="G101" s="40">
        <v>1</v>
      </c>
      <c r="H101" s="42">
        <f t="shared" si="25"/>
        <v>3.8167938931297708E-3</v>
      </c>
      <c r="I101" s="40">
        <v>17</v>
      </c>
      <c r="J101" s="41">
        <f t="shared" si="26"/>
        <v>3.4136546184738957E-2</v>
      </c>
      <c r="K101" s="40">
        <v>7</v>
      </c>
      <c r="L101" s="41">
        <f t="shared" si="27"/>
        <v>2.6717557251908396E-2</v>
      </c>
      <c r="M101" s="40">
        <v>460</v>
      </c>
      <c r="N101" s="41">
        <f>IFERROR(M101/$BE101,0)</f>
        <v>0.92369477911646591</v>
      </c>
      <c r="O101" s="40">
        <v>244</v>
      </c>
      <c r="P101" s="41">
        <f t="shared" si="28"/>
        <v>0.93129770992366412</v>
      </c>
      <c r="Q101" s="40">
        <v>20</v>
      </c>
      <c r="R101" s="41">
        <f>IFERROR(Q101/$BE101,0)</f>
        <v>4.0160642570281124E-2</v>
      </c>
      <c r="S101" s="40">
        <v>10</v>
      </c>
      <c r="T101" s="41">
        <f t="shared" si="29"/>
        <v>3.8167938931297711E-2</v>
      </c>
      <c r="U101" s="40">
        <v>14</v>
      </c>
      <c r="V101" s="41">
        <f t="shared" si="30"/>
        <v>2.8112449799196786E-2</v>
      </c>
      <c r="W101" s="40">
        <v>12</v>
      </c>
      <c r="X101" s="41">
        <f t="shared" si="31"/>
        <v>4.5801526717557252E-2</v>
      </c>
      <c r="Y101" s="40">
        <v>55</v>
      </c>
      <c r="Z101" s="41">
        <f t="shared" si="32"/>
        <v>0.11044176706827309</v>
      </c>
      <c r="AA101" s="40">
        <v>29</v>
      </c>
      <c r="AB101" s="41">
        <f t="shared" si="33"/>
        <v>0.11068702290076336</v>
      </c>
      <c r="AC101" s="40">
        <v>429</v>
      </c>
      <c r="AD101" s="41">
        <f t="shared" si="41"/>
        <v>0.86144578313253017</v>
      </c>
      <c r="AE101" s="40">
        <v>221</v>
      </c>
      <c r="AF101" s="41">
        <f t="shared" si="34"/>
        <v>0.84351145038167941</v>
      </c>
      <c r="AG101" s="40">
        <v>10</v>
      </c>
      <c r="AH101" s="41">
        <f t="shared" si="42"/>
        <v>2.0080321285140562E-2</v>
      </c>
      <c r="AI101" s="40">
        <v>4</v>
      </c>
      <c r="AJ101" s="41">
        <f t="shared" si="35"/>
        <v>1.5267175572519083E-2</v>
      </c>
      <c r="AK101" s="40">
        <v>22</v>
      </c>
      <c r="AL101" s="41">
        <f t="shared" si="43"/>
        <v>4.4176706827309238E-2</v>
      </c>
      <c r="AM101" s="40">
        <v>16</v>
      </c>
      <c r="AN101" s="41">
        <f t="shared" si="36"/>
        <v>6.1068702290076333E-2</v>
      </c>
      <c r="AO101" s="40">
        <v>314</v>
      </c>
      <c r="AP101" s="41">
        <f t="shared" si="44"/>
        <v>0.63052208835341361</v>
      </c>
      <c r="AQ101" s="40">
        <v>181</v>
      </c>
      <c r="AR101" s="41">
        <f t="shared" si="37"/>
        <v>0.69083969465648853</v>
      </c>
      <c r="AS101" s="40">
        <v>100</v>
      </c>
      <c r="AT101" s="41">
        <f t="shared" si="45"/>
        <v>0.20080321285140562</v>
      </c>
      <c r="AU101" s="40">
        <v>36</v>
      </c>
      <c r="AV101" s="41">
        <f t="shared" si="38"/>
        <v>0.13740458015267176</v>
      </c>
      <c r="AW101" s="40">
        <v>35</v>
      </c>
      <c r="AX101" s="41">
        <f t="shared" si="46"/>
        <v>7.0281124497991967E-2</v>
      </c>
      <c r="AY101" s="40">
        <v>16</v>
      </c>
      <c r="AZ101" s="41">
        <f t="shared" si="39"/>
        <v>6.1068702290076333E-2</v>
      </c>
      <c r="BA101" s="40">
        <v>17</v>
      </c>
      <c r="BB101" s="41">
        <f t="shared" si="47"/>
        <v>3.4136546184738957E-2</v>
      </c>
      <c r="BC101" s="40">
        <v>9</v>
      </c>
      <c r="BD101" s="41">
        <f t="shared" si="40"/>
        <v>3.4351145038167941E-2</v>
      </c>
      <c r="BE101" s="40">
        <v>498</v>
      </c>
      <c r="BF101" s="40">
        <v>262</v>
      </c>
    </row>
    <row r="102" spans="1:58" ht="15.75" customHeight="1" x14ac:dyDescent="0.25">
      <c r="A102" s="39">
        <v>2024</v>
      </c>
      <c r="B102" s="39">
        <v>171780</v>
      </c>
      <c r="C102" s="37" t="str">
        <f>VLOOKUP(B102,procv!$A$2:$D$142,4,FALSE)</f>
        <v>Sudeste</v>
      </c>
      <c r="D102" s="37" t="s">
        <v>105</v>
      </c>
      <c r="E102" s="40">
        <v>4</v>
      </c>
      <c r="F102" s="42">
        <f t="shared" si="24"/>
        <v>1.8518518518518517E-2</v>
      </c>
      <c r="G102" s="40">
        <v>3</v>
      </c>
      <c r="H102" s="42">
        <f t="shared" si="25"/>
        <v>2.1739130434782608E-2</v>
      </c>
      <c r="I102" s="40">
        <v>7</v>
      </c>
      <c r="J102" s="41">
        <f t="shared" si="26"/>
        <v>3.2407407407407406E-2</v>
      </c>
      <c r="K102" s="40">
        <v>4</v>
      </c>
      <c r="L102" s="41">
        <f t="shared" si="27"/>
        <v>2.8985507246376812E-2</v>
      </c>
      <c r="M102" s="40">
        <v>198</v>
      </c>
      <c r="N102" s="41">
        <f>IFERROR(M102/$BE102,0)</f>
        <v>0.91666666666666663</v>
      </c>
      <c r="O102" s="40">
        <v>127</v>
      </c>
      <c r="P102" s="41">
        <f t="shared" si="28"/>
        <v>0.92028985507246375</v>
      </c>
      <c r="Q102" s="40">
        <v>7</v>
      </c>
      <c r="R102" s="41">
        <f>IFERROR(Q102/$BE102,0)</f>
        <v>3.2407407407407406E-2</v>
      </c>
      <c r="S102" s="40">
        <v>4</v>
      </c>
      <c r="T102" s="41">
        <f t="shared" si="29"/>
        <v>2.8985507246376812E-2</v>
      </c>
      <c r="U102" s="40">
        <v>7</v>
      </c>
      <c r="V102" s="41">
        <f t="shared" si="30"/>
        <v>3.2407407407407406E-2</v>
      </c>
      <c r="W102" s="40">
        <v>4</v>
      </c>
      <c r="X102" s="41">
        <f t="shared" si="31"/>
        <v>2.8985507246376812E-2</v>
      </c>
      <c r="Y102" s="40">
        <v>7</v>
      </c>
      <c r="Z102" s="41">
        <f t="shared" si="32"/>
        <v>3.2407407407407406E-2</v>
      </c>
      <c r="AA102" s="40">
        <v>9</v>
      </c>
      <c r="AB102" s="41">
        <f t="shared" si="33"/>
        <v>6.5217391304347824E-2</v>
      </c>
      <c r="AC102" s="40">
        <v>202</v>
      </c>
      <c r="AD102" s="41">
        <f t="shared" si="41"/>
        <v>0.93518518518518523</v>
      </c>
      <c r="AE102" s="40">
        <v>125</v>
      </c>
      <c r="AF102" s="41">
        <f t="shared" si="34"/>
        <v>0.90579710144927539</v>
      </c>
      <c r="AG102" s="40">
        <v>7</v>
      </c>
      <c r="AH102" s="41">
        <f t="shared" si="42"/>
        <v>3.2407407407407406E-2</v>
      </c>
      <c r="AI102" s="40">
        <v>5</v>
      </c>
      <c r="AJ102" s="41">
        <f t="shared" si="35"/>
        <v>3.6231884057971016E-2</v>
      </c>
      <c r="AK102" s="40">
        <v>11</v>
      </c>
      <c r="AL102" s="41">
        <f t="shared" si="43"/>
        <v>5.0925925925925923E-2</v>
      </c>
      <c r="AM102" s="40">
        <v>9</v>
      </c>
      <c r="AN102" s="41">
        <f t="shared" si="36"/>
        <v>6.5217391304347824E-2</v>
      </c>
      <c r="AO102" s="40">
        <v>156</v>
      </c>
      <c r="AP102" s="41">
        <f t="shared" si="44"/>
        <v>0.72222222222222221</v>
      </c>
      <c r="AQ102" s="40">
        <v>102</v>
      </c>
      <c r="AR102" s="41">
        <f t="shared" si="37"/>
        <v>0.73913043478260865</v>
      </c>
      <c r="AS102" s="40">
        <v>27</v>
      </c>
      <c r="AT102" s="41">
        <f t="shared" si="45"/>
        <v>0.125</v>
      </c>
      <c r="AU102" s="40">
        <v>13</v>
      </c>
      <c r="AV102" s="41">
        <f t="shared" si="38"/>
        <v>9.420289855072464E-2</v>
      </c>
      <c r="AW102" s="40">
        <v>8</v>
      </c>
      <c r="AX102" s="41">
        <f t="shared" si="46"/>
        <v>3.7037037037037035E-2</v>
      </c>
      <c r="AY102" s="40">
        <v>5</v>
      </c>
      <c r="AZ102" s="41">
        <f t="shared" si="39"/>
        <v>3.6231884057971016E-2</v>
      </c>
      <c r="BA102" s="40">
        <v>7</v>
      </c>
      <c r="BB102" s="41">
        <f t="shared" si="47"/>
        <v>3.2407407407407406E-2</v>
      </c>
      <c r="BC102" s="40">
        <v>4</v>
      </c>
      <c r="BD102" s="41">
        <f t="shared" si="40"/>
        <v>2.8985507246376812E-2</v>
      </c>
      <c r="BE102" s="40">
        <v>216</v>
      </c>
      <c r="BF102" s="40">
        <v>138</v>
      </c>
    </row>
    <row r="103" spans="1:58" ht="15.75" customHeight="1" x14ac:dyDescent="0.25">
      <c r="A103" s="39">
        <v>2024</v>
      </c>
      <c r="B103" s="39">
        <v>171790</v>
      </c>
      <c r="C103" s="37" t="str">
        <f>VLOOKUP(B103,procv!$A$2:$D$142,4,FALSE)</f>
        <v>Amor Perfeito</v>
      </c>
      <c r="D103" s="37" t="s">
        <v>106</v>
      </c>
      <c r="E103" s="40">
        <v>4</v>
      </c>
      <c r="F103" s="42">
        <f t="shared" si="24"/>
        <v>9.3676814988290398E-3</v>
      </c>
      <c r="G103" s="40">
        <v>1</v>
      </c>
      <c r="H103" s="42">
        <f t="shared" si="25"/>
        <v>3.937007874015748E-3</v>
      </c>
      <c r="I103" s="40">
        <v>14</v>
      </c>
      <c r="J103" s="41">
        <f t="shared" si="26"/>
        <v>3.2786885245901641E-2</v>
      </c>
      <c r="K103" s="40">
        <v>8</v>
      </c>
      <c r="L103" s="41">
        <f t="shared" si="27"/>
        <v>3.1496062992125984E-2</v>
      </c>
      <c r="M103" s="40">
        <v>393</v>
      </c>
      <c r="N103" s="41">
        <f>IFERROR(M103/$BE103,0)</f>
        <v>0.92037470725995318</v>
      </c>
      <c r="O103" s="40">
        <v>234</v>
      </c>
      <c r="P103" s="41">
        <f t="shared" si="28"/>
        <v>0.92125984251968507</v>
      </c>
      <c r="Q103" s="40">
        <v>16</v>
      </c>
      <c r="R103" s="41">
        <f>IFERROR(Q103/$BE103,0)</f>
        <v>3.7470725995316159E-2</v>
      </c>
      <c r="S103" s="40">
        <v>11</v>
      </c>
      <c r="T103" s="41">
        <f t="shared" si="29"/>
        <v>4.3307086614173228E-2</v>
      </c>
      <c r="U103" s="40">
        <v>8</v>
      </c>
      <c r="V103" s="41">
        <f t="shared" si="30"/>
        <v>1.873536299765808E-2</v>
      </c>
      <c r="W103" s="40">
        <v>2</v>
      </c>
      <c r="X103" s="41">
        <f t="shared" si="31"/>
        <v>7.874015748031496E-3</v>
      </c>
      <c r="Y103" s="40">
        <v>25</v>
      </c>
      <c r="Z103" s="41">
        <f t="shared" si="32"/>
        <v>5.8548009367681501E-2</v>
      </c>
      <c r="AA103" s="40">
        <v>18</v>
      </c>
      <c r="AB103" s="41">
        <f t="shared" si="33"/>
        <v>7.0866141732283464E-2</v>
      </c>
      <c r="AC103" s="40">
        <v>394</v>
      </c>
      <c r="AD103" s="41">
        <f t="shared" si="41"/>
        <v>0.92271662763466045</v>
      </c>
      <c r="AE103" s="40">
        <v>234</v>
      </c>
      <c r="AF103" s="41">
        <f t="shared" si="34"/>
        <v>0.92125984251968507</v>
      </c>
      <c r="AG103" s="40">
        <v>11</v>
      </c>
      <c r="AH103" s="41">
        <f t="shared" si="42"/>
        <v>2.576112412177986E-2</v>
      </c>
      <c r="AI103" s="40">
        <v>7</v>
      </c>
      <c r="AJ103" s="41">
        <f t="shared" si="35"/>
        <v>2.7559055118110236E-2</v>
      </c>
      <c r="AK103" s="40">
        <v>19</v>
      </c>
      <c r="AL103" s="41">
        <f t="shared" si="43"/>
        <v>4.449648711943794E-2</v>
      </c>
      <c r="AM103" s="40">
        <v>16</v>
      </c>
      <c r="AN103" s="41">
        <f t="shared" si="36"/>
        <v>6.2992125984251968E-2</v>
      </c>
      <c r="AO103" s="40">
        <v>300</v>
      </c>
      <c r="AP103" s="41">
        <f t="shared" si="44"/>
        <v>0.70257611241217799</v>
      </c>
      <c r="AQ103" s="40">
        <v>178</v>
      </c>
      <c r="AR103" s="41">
        <f t="shared" si="37"/>
        <v>0.70078740157480313</v>
      </c>
      <c r="AS103" s="40">
        <v>63</v>
      </c>
      <c r="AT103" s="41">
        <f t="shared" si="45"/>
        <v>0.14754098360655737</v>
      </c>
      <c r="AU103" s="40">
        <v>32</v>
      </c>
      <c r="AV103" s="41">
        <f t="shared" si="38"/>
        <v>0.12598425196850394</v>
      </c>
      <c r="AW103" s="40">
        <v>23</v>
      </c>
      <c r="AX103" s="41">
        <f t="shared" si="46"/>
        <v>5.3864168618266976E-2</v>
      </c>
      <c r="AY103" s="40">
        <v>14</v>
      </c>
      <c r="AZ103" s="41">
        <f t="shared" si="39"/>
        <v>5.5118110236220472E-2</v>
      </c>
      <c r="BA103" s="40">
        <v>11</v>
      </c>
      <c r="BB103" s="41">
        <f t="shared" si="47"/>
        <v>2.576112412177986E-2</v>
      </c>
      <c r="BC103" s="40">
        <v>7</v>
      </c>
      <c r="BD103" s="41">
        <f t="shared" si="40"/>
        <v>2.7559055118110236E-2</v>
      </c>
      <c r="BE103" s="40">
        <v>427</v>
      </c>
      <c r="BF103" s="40">
        <v>254</v>
      </c>
    </row>
    <row r="104" spans="1:58" ht="15.75" customHeight="1" x14ac:dyDescent="0.25">
      <c r="A104" s="39">
        <v>2024</v>
      </c>
      <c r="B104" s="39">
        <v>171800</v>
      </c>
      <c r="C104" s="37" t="str">
        <f>VLOOKUP(B104,procv!$A$2:$D$142,4,FALSE)</f>
        <v>Sudeste</v>
      </c>
      <c r="D104" s="37" t="s">
        <v>107</v>
      </c>
      <c r="E104" s="40">
        <v>2</v>
      </c>
      <c r="F104" s="42">
        <f t="shared" si="24"/>
        <v>1.2500000000000001E-2</v>
      </c>
      <c r="G104" s="40">
        <v>1</v>
      </c>
      <c r="H104" s="42">
        <f t="shared" si="25"/>
        <v>8.0645161290322578E-3</v>
      </c>
      <c r="I104" s="40">
        <v>4</v>
      </c>
      <c r="J104" s="41">
        <f t="shared" si="26"/>
        <v>2.5000000000000001E-2</v>
      </c>
      <c r="K104" s="40">
        <v>3</v>
      </c>
      <c r="L104" s="41">
        <f t="shared" si="27"/>
        <v>2.4193548387096774E-2</v>
      </c>
      <c r="M104" s="40">
        <v>148</v>
      </c>
      <c r="N104" s="41">
        <f>IFERROR(M104/$BE104,0)</f>
        <v>0.92500000000000004</v>
      </c>
      <c r="O104" s="40">
        <v>116</v>
      </c>
      <c r="P104" s="41">
        <f t="shared" si="28"/>
        <v>0.93548387096774188</v>
      </c>
      <c r="Q104" s="40">
        <v>6</v>
      </c>
      <c r="R104" s="41">
        <f>IFERROR(Q104/$BE104,0)</f>
        <v>3.7499999999999999E-2</v>
      </c>
      <c r="S104" s="40">
        <v>4</v>
      </c>
      <c r="T104" s="41">
        <f t="shared" si="29"/>
        <v>3.2258064516129031E-2</v>
      </c>
      <c r="U104" s="40">
        <v>8</v>
      </c>
      <c r="V104" s="41">
        <f t="shared" si="30"/>
        <v>0.05</v>
      </c>
      <c r="W104" s="40">
        <v>8</v>
      </c>
      <c r="X104" s="41">
        <f t="shared" si="31"/>
        <v>6.4516129032258063E-2</v>
      </c>
      <c r="Y104" s="40">
        <v>11</v>
      </c>
      <c r="Z104" s="41">
        <f t="shared" si="32"/>
        <v>6.8750000000000006E-2</v>
      </c>
      <c r="AA104" s="40">
        <v>12</v>
      </c>
      <c r="AB104" s="41">
        <f t="shared" si="33"/>
        <v>9.6774193548387094E-2</v>
      </c>
      <c r="AC104" s="40">
        <v>141</v>
      </c>
      <c r="AD104" s="41">
        <f t="shared" si="41"/>
        <v>0.88124999999999998</v>
      </c>
      <c r="AE104" s="40">
        <v>104</v>
      </c>
      <c r="AF104" s="41">
        <f t="shared" si="34"/>
        <v>0.83870967741935487</v>
      </c>
      <c r="AG104" s="40">
        <v>3</v>
      </c>
      <c r="AH104" s="41">
        <f t="shared" si="42"/>
        <v>1.8749999999999999E-2</v>
      </c>
      <c r="AI104" s="40">
        <v>3</v>
      </c>
      <c r="AJ104" s="41">
        <f t="shared" si="35"/>
        <v>2.4193548387096774E-2</v>
      </c>
      <c r="AK104" s="40">
        <v>6</v>
      </c>
      <c r="AL104" s="41">
        <f t="shared" si="43"/>
        <v>3.7499999999999999E-2</v>
      </c>
      <c r="AM104" s="40">
        <v>7</v>
      </c>
      <c r="AN104" s="41">
        <f t="shared" si="36"/>
        <v>5.6451612903225805E-2</v>
      </c>
      <c r="AO104" s="40">
        <v>98</v>
      </c>
      <c r="AP104" s="41">
        <f t="shared" si="44"/>
        <v>0.61250000000000004</v>
      </c>
      <c r="AQ104" s="40">
        <v>74</v>
      </c>
      <c r="AR104" s="41">
        <f t="shared" si="37"/>
        <v>0.59677419354838712</v>
      </c>
      <c r="AS104" s="40">
        <v>28</v>
      </c>
      <c r="AT104" s="41">
        <f t="shared" si="45"/>
        <v>0.17499999999999999</v>
      </c>
      <c r="AU104" s="40">
        <v>18</v>
      </c>
      <c r="AV104" s="41">
        <f t="shared" si="38"/>
        <v>0.14516129032258066</v>
      </c>
      <c r="AW104" s="40">
        <v>18</v>
      </c>
      <c r="AX104" s="41">
        <f t="shared" si="46"/>
        <v>0.1125</v>
      </c>
      <c r="AY104" s="40">
        <v>13</v>
      </c>
      <c r="AZ104" s="41">
        <f t="shared" si="39"/>
        <v>0.10483870967741936</v>
      </c>
      <c r="BA104" s="40">
        <v>7</v>
      </c>
      <c r="BB104" s="41">
        <f t="shared" si="47"/>
        <v>4.3749999999999997E-2</v>
      </c>
      <c r="BC104" s="40">
        <v>9</v>
      </c>
      <c r="BD104" s="41">
        <f t="shared" si="40"/>
        <v>7.2580645161290328E-2</v>
      </c>
      <c r="BE104" s="40">
        <v>160</v>
      </c>
      <c r="BF104" s="40">
        <v>124</v>
      </c>
    </row>
    <row r="105" spans="1:58" ht="15.75" customHeight="1" x14ac:dyDescent="0.25">
      <c r="A105" s="39">
        <v>2024</v>
      </c>
      <c r="B105" s="39">
        <v>171820</v>
      </c>
      <c r="C105" s="37" t="str">
        <f>VLOOKUP(B105,procv!$A$2:$D$142,4,FALSE)</f>
        <v>Amor Perfeito</v>
      </c>
      <c r="D105" s="37" t="s">
        <v>108</v>
      </c>
      <c r="E105" s="40">
        <v>20</v>
      </c>
      <c r="F105" s="42">
        <f t="shared" si="24"/>
        <v>5.7012542759407071E-3</v>
      </c>
      <c r="G105" s="40">
        <v>10</v>
      </c>
      <c r="H105" s="42">
        <f t="shared" si="25"/>
        <v>5.8343057176196032E-3</v>
      </c>
      <c r="I105" s="40">
        <v>96</v>
      </c>
      <c r="J105" s="41">
        <f t="shared" si="26"/>
        <v>2.7366020524515394E-2</v>
      </c>
      <c r="K105" s="40">
        <v>63</v>
      </c>
      <c r="L105" s="41">
        <f t="shared" si="27"/>
        <v>3.6756126021003498E-2</v>
      </c>
      <c r="M105" s="43">
        <v>3238</v>
      </c>
      <c r="N105" s="41">
        <f>IFERROR(M105/$BE105,0)</f>
        <v>0.9230330672748005</v>
      </c>
      <c r="O105" s="43">
        <v>1590</v>
      </c>
      <c r="P105" s="41">
        <f t="shared" si="28"/>
        <v>0.92765460910151687</v>
      </c>
      <c r="Q105" s="40">
        <v>154</v>
      </c>
      <c r="R105" s="41">
        <f>IFERROR(Q105/$BE105,0)</f>
        <v>4.3899657924743443E-2</v>
      </c>
      <c r="S105" s="40">
        <v>51</v>
      </c>
      <c r="T105" s="41">
        <f t="shared" si="29"/>
        <v>2.9754959159859977E-2</v>
      </c>
      <c r="U105" s="40">
        <v>113</v>
      </c>
      <c r="V105" s="41">
        <f t="shared" si="30"/>
        <v>3.2212086659064991E-2</v>
      </c>
      <c r="W105" s="40">
        <v>81</v>
      </c>
      <c r="X105" s="41">
        <f t="shared" si="31"/>
        <v>4.7257876312718786E-2</v>
      </c>
      <c r="Y105" s="40">
        <v>310</v>
      </c>
      <c r="Z105" s="41">
        <f t="shared" si="32"/>
        <v>8.8369441277080962E-2</v>
      </c>
      <c r="AA105" s="40">
        <v>215</v>
      </c>
      <c r="AB105" s="41">
        <f t="shared" si="33"/>
        <v>0.12543757292882146</v>
      </c>
      <c r="AC105" s="43">
        <v>3085</v>
      </c>
      <c r="AD105" s="41">
        <f t="shared" si="41"/>
        <v>0.87941847206385404</v>
      </c>
      <c r="AE105" s="43">
        <v>1418</v>
      </c>
      <c r="AF105" s="41">
        <f t="shared" si="34"/>
        <v>0.82730455075845977</v>
      </c>
      <c r="AG105" s="40">
        <v>66</v>
      </c>
      <c r="AH105" s="41">
        <f t="shared" si="42"/>
        <v>1.8814139110604332E-2</v>
      </c>
      <c r="AI105" s="40">
        <v>52</v>
      </c>
      <c r="AJ105" s="41">
        <f t="shared" si="35"/>
        <v>3.0338389731621937E-2</v>
      </c>
      <c r="AK105" s="40">
        <v>93</v>
      </c>
      <c r="AL105" s="41">
        <f t="shared" si="43"/>
        <v>2.6510832383124287E-2</v>
      </c>
      <c r="AM105" s="40">
        <v>60</v>
      </c>
      <c r="AN105" s="41">
        <f t="shared" si="36"/>
        <v>3.5005834305717617E-2</v>
      </c>
      <c r="AO105" s="43">
        <v>2417</v>
      </c>
      <c r="AP105" s="41">
        <f t="shared" si="44"/>
        <v>0.6889965792474344</v>
      </c>
      <c r="AQ105" s="43">
        <v>1223</v>
      </c>
      <c r="AR105" s="41">
        <f t="shared" si="37"/>
        <v>0.71353558926487748</v>
      </c>
      <c r="AS105" s="40">
        <v>621</v>
      </c>
      <c r="AT105" s="41">
        <f t="shared" si="45"/>
        <v>0.17702394526795895</v>
      </c>
      <c r="AU105" s="40">
        <v>239</v>
      </c>
      <c r="AV105" s="41">
        <f t="shared" si="38"/>
        <v>0.13943990665110853</v>
      </c>
      <c r="AW105" s="40">
        <v>212</v>
      </c>
      <c r="AX105" s="41">
        <f t="shared" si="46"/>
        <v>6.0433295324971492E-2</v>
      </c>
      <c r="AY105" s="40">
        <v>92</v>
      </c>
      <c r="AZ105" s="41">
        <f t="shared" si="39"/>
        <v>5.3675612602100353E-2</v>
      </c>
      <c r="BA105" s="40">
        <v>99</v>
      </c>
      <c r="BB105" s="41">
        <f t="shared" si="47"/>
        <v>2.8221208665906498E-2</v>
      </c>
      <c r="BC105" s="40">
        <v>48</v>
      </c>
      <c r="BD105" s="41">
        <f t="shared" si="40"/>
        <v>2.8004667444574097E-2</v>
      </c>
      <c r="BE105" s="43">
        <v>3508</v>
      </c>
      <c r="BF105" s="43">
        <v>1714</v>
      </c>
    </row>
    <row r="106" spans="1:58" ht="15.75" customHeight="1" x14ac:dyDescent="0.25">
      <c r="A106" s="39">
        <v>2024</v>
      </c>
      <c r="B106" s="39">
        <v>171830</v>
      </c>
      <c r="C106" s="37" t="str">
        <f>VLOOKUP(B106,procv!$A$2:$D$142,4,FALSE)</f>
        <v>Bico do Papagaio</v>
      </c>
      <c r="D106" s="37" t="s">
        <v>109</v>
      </c>
      <c r="E106" s="40">
        <v>8</v>
      </c>
      <c r="F106" s="42">
        <f t="shared" si="24"/>
        <v>2.1333333333333333E-2</v>
      </c>
      <c r="G106" s="40">
        <v>4</v>
      </c>
      <c r="H106" s="42">
        <f t="shared" si="25"/>
        <v>1.6877637130801686E-2</v>
      </c>
      <c r="I106" s="40">
        <v>11</v>
      </c>
      <c r="J106" s="41">
        <f t="shared" si="26"/>
        <v>2.9333333333333333E-2</v>
      </c>
      <c r="K106" s="40">
        <v>8</v>
      </c>
      <c r="L106" s="41">
        <f t="shared" si="27"/>
        <v>3.3755274261603373E-2</v>
      </c>
      <c r="M106" s="40">
        <v>340</v>
      </c>
      <c r="N106" s="41">
        <f>IFERROR(M106/$BE106,0)</f>
        <v>0.90666666666666662</v>
      </c>
      <c r="O106" s="40">
        <v>213</v>
      </c>
      <c r="P106" s="41">
        <f t="shared" si="28"/>
        <v>0.89873417721518989</v>
      </c>
      <c r="Q106" s="40">
        <v>16</v>
      </c>
      <c r="R106" s="41">
        <f>IFERROR(Q106/$BE106,0)</f>
        <v>4.2666666666666665E-2</v>
      </c>
      <c r="S106" s="40">
        <v>12</v>
      </c>
      <c r="T106" s="41">
        <f t="shared" si="29"/>
        <v>5.0632911392405063E-2</v>
      </c>
      <c r="U106" s="40">
        <v>30</v>
      </c>
      <c r="V106" s="41">
        <f t="shared" si="30"/>
        <v>0.08</v>
      </c>
      <c r="W106" s="40">
        <v>16</v>
      </c>
      <c r="X106" s="41">
        <f t="shared" si="31"/>
        <v>6.7510548523206745E-2</v>
      </c>
      <c r="Y106" s="40">
        <v>30</v>
      </c>
      <c r="Z106" s="41">
        <f t="shared" si="32"/>
        <v>0.08</v>
      </c>
      <c r="AA106" s="40">
        <v>18</v>
      </c>
      <c r="AB106" s="41">
        <f t="shared" si="33"/>
        <v>7.5949367088607597E-2</v>
      </c>
      <c r="AC106" s="40">
        <v>315</v>
      </c>
      <c r="AD106" s="41">
        <f t="shared" si="41"/>
        <v>0.84</v>
      </c>
      <c r="AE106" s="40">
        <v>203</v>
      </c>
      <c r="AF106" s="41">
        <f t="shared" si="34"/>
        <v>0.85654008438818563</v>
      </c>
      <c r="AG106" s="40">
        <v>10</v>
      </c>
      <c r="AH106" s="41">
        <f t="shared" si="42"/>
        <v>2.6666666666666668E-2</v>
      </c>
      <c r="AI106" s="40">
        <v>8</v>
      </c>
      <c r="AJ106" s="41">
        <f t="shared" si="35"/>
        <v>3.3755274261603373E-2</v>
      </c>
      <c r="AK106" s="40">
        <v>18</v>
      </c>
      <c r="AL106" s="41">
        <f t="shared" si="43"/>
        <v>4.8000000000000001E-2</v>
      </c>
      <c r="AM106" s="40">
        <v>9</v>
      </c>
      <c r="AN106" s="41">
        <f t="shared" si="36"/>
        <v>3.7974683544303799E-2</v>
      </c>
      <c r="AO106" s="40">
        <v>260</v>
      </c>
      <c r="AP106" s="41">
        <f t="shared" si="44"/>
        <v>0.69333333333333336</v>
      </c>
      <c r="AQ106" s="40">
        <v>171</v>
      </c>
      <c r="AR106" s="41">
        <f t="shared" si="37"/>
        <v>0.72151898734177211</v>
      </c>
      <c r="AS106" s="40">
        <v>47</v>
      </c>
      <c r="AT106" s="41">
        <f t="shared" si="45"/>
        <v>0.12533333333333332</v>
      </c>
      <c r="AU106" s="40">
        <v>22</v>
      </c>
      <c r="AV106" s="41">
        <f t="shared" si="38"/>
        <v>9.2827004219409287E-2</v>
      </c>
      <c r="AW106" s="40">
        <v>21</v>
      </c>
      <c r="AX106" s="41">
        <f t="shared" si="46"/>
        <v>5.6000000000000001E-2</v>
      </c>
      <c r="AY106" s="40">
        <v>14</v>
      </c>
      <c r="AZ106" s="41">
        <f t="shared" si="39"/>
        <v>5.9071729957805907E-2</v>
      </c>
      <c r="BA106" s="40">
        <v>19</v>
      </c>
      <c r="BB106" s="41">
        <f t="shared" si="47"/>
        <v>5.0666666666666665E-2</v>
      </c>
      <c r="BC106" s="40">
        <v>13</v>
      </c>
      <c r="BD106" s="41">
        <f t="shared" si="40"/>
        <v>5.4852320675105488E-2</v>
      </c>
      <c r="BE106" s="40">
        <v>375</v>
      </c>
      <c r="BF106" s="40">
        <v>237</v>
      </c>
    </row>
    <row r="107" spans="1:58" ht="15.75" customHeight="1" x14ac:dyDescent="0.25">
      <c r="A107" s="39">
        <v>2024</v>
      </c>
      <c r="B107" s="39">
        <v>171840</v>
      </c>
      <c r="C107" s="37" t="str">
        <f>VLOOKUP(B107,procv!$A$2:$D$142,4,FALSE)</f>
        <v>Cerrado Tocantins Araguaia</v>
      </c>
      <c r="D107" s="37" t="s">
        <v>110</v>
      </c>
      <c r="E107" s="40">
        <v>0</v>
      </c>
      <c r="F107" s="42">
        <f t="shared" si="24"/>
        <v>0</v>
      </c>
      <c r="G107" s="40">
        <v>0</v>
      </c>
      <c r="H107" s="42">
        <f t="shared" si="25"/>
        <v>0</v>
      </c>
      <c r="I107" s="40">
        <v>5</v>
      </c>
      <c r="J107" s="41">
        <f t="shared" si="26"/>
        <v>2.6455026455026454E-2</v>
      </c>
      <c r="K107" s="40">
        <v>2</v>
      </c>
      <c r="L107" s="41">
        <f t="shared" si="27"/>
        <v>3.9215686274509803E-2</v>
      </c>
      <c r="M107" s="40">
        <v>176</v>
      </c>
      <c r="N107" s="41">
        <f>IFERROR(M107/$BE107,0)</f>
        <v>0.93121693121693117</v>
      </c>
      <c r="O107" s="40">
        <v>47</v>
      </c>
      <c r="P107" s="41">
        <f t="shared" si="28"/>
        <v>0.92156862745098034</v>
      </c>
      <c r="Q107" s="40">
        <v>8</v>
      </c>
      <c r="R107" s="41">
        <f>IFERROR(Q107/$BE107,0)</f>
        <v>4.2328042328042326E-2</v>
      </c>
      <c r="S107" s="40">
        <v>2</v>
      </c>
      <c r="T107" s="41">
        <f t="shared" si="29"/>
        <v>3.9215686274509803E-2</v>
      </c>
      <c r="U107" s="40">
        <v>2</v>
      </c>
      <c r="V107" s="41">
        <f t="shared" si="30"/>
        <v>1.0582010582010581E-2</v>
      </c>
      <c r="W107" s="40">
        <v>1</v>
      </c>
      <c r="X107" s="41">
        <f t="shared" si="31"/>
        <v>1.9607843137254902E-2</v>
      </c>
      <c r="Y107" s="40">
        <v>12</v>
      </c>
      <c r="Z107" s="41">
        <f t="shared" si="32"/>
        <v>6.3492063492063489E-2</v>
      </c>
      <c r="AA107" s="40">
        <v>6</v>
      </c>
      <c r="AB107" s="41">
        <f t="shared" si="33"/>
        <v>0.11764705882352941</v>
      </c>
      <c r="AC107" s="40">
        <v>175</v>
      </c>
      <c r="AD107" s="41">
        <f t="shared" si="41"/>
        <v>0.92592592592592593</v>
      </c>
      <c r="AE107" s="40">
        <v>44</v>
      </c>
      <c r="AF107" s="41">
        <f t="shared" si="34"/>
        <v>0.86274509803921573</v>
      </c>
      <c r="AG107" s="40">
        <v>1</v>
      </c>
      <c r="AH107" s="41">
        <f t="shared" si="42"/>
        <v>5.2910052910052907E-3</v>
      </c>
      <c r="AI107" s="40">
        <v>0</v>
      </c>
      <c r="AJ107" s="41">
        <f t="shared" si="35"/>
        <v>0</v>
      </c>
      <c r="AK107" s="40">
        <v>6</v>
      </c>
      <c r="AL107" s="41">
        <f t="shared" si="43"/>
        <v>3.1746031746031744E-2</v>
      </c>
      <c r="AM107" s="40">
        <v>2</v>
      </c>
      <c r="AN107" s="41">
        <f t="shared" si="36"/>
        <v>3.9215686274509803E-2</v>
      </c>
      <c r="AO107" s="40">
        <v>132</v>
      </c>
      <c r="AP107" s="41">
        <f t="shared" si="44"/>
        <v>0.69841269841269837</v>
      </c>
      <c r="AQ107" s="40">
        <v>37</v>
      </c>
      <c r="AR107" s="41">
        <f t="shared" si="37"/>
        <v>0.72549019607843135</v>
      </c>
      <c r="AS107" s="40">
        <v>34</v>
      </c>
      <c r="AT107" s="41">
        <f t="shared" si="45"/>
        <v>0.17989417989417988</v>
      </c>
      <c r="AU107" s="40">
        <v>8</v>
      </c>
      <c r="AV107" s="41">
        <f t="shared" si="38"/>
        <v>0.15686274509803921</v>
      </c>
      <c r="AW107" s="40">
        <v>11</v>
      </c>
      <c r="AX107" s="41">
        <f t="shared" si="46"/>
        <v>5.8201058201058198E-2</v>
      </c>
      <c r="AY107" s="40">
        <v>2</v>
      </c>
      <c r="AZ107" s="41">
        <f t="shared" si="39"/>
        <v>3.9215686274509803E-2</v>
      </c>
      <c r="BA107" s="40">
        <v>5</v>
      </c>
      <c r="BB107" s="41">
        <f t="shared" si="47"/>
        <v>2.6455026455026454E-2</v>
      </c>
      <c r="BC107" s="40">
        <v>2</v>
      </c>
      <c r="BD107" s="41">
        <f t="shared" si="40"/>
        <v>3.9215686274509803E-2</v>
      </c>
      <c r="BE107" s="40">
        <v>189</v>
      </c>
      <c r="BF107" s="40">
        <v>51</v>
      </c>
    </row>
    <row r="108" spans="1:58" ht="15.75" customHeight="1" x14ac:dyDescent="0.25">
      <c r="A108" s="39">
        <v>2024</v>
      </c>
      <c r="B108" s="39">
        <v>171845</v>
      </c>
      <c r="C108" s="37" t="str">
        <f>VLOOKUP(B108,procv!$A$2:$D$142,4,FALSE)</f>
        <v>Cantão</v>
      </c>
      <c r="D108" s="37" t="s">
        <v>111</v>
      </c>
      <c r="E108" s="40">
        <v>1</v>
      </c>
      <c r="F108" s="42">
        <f t="shared" si="24"/>
        <v>6.1349693251533744E-3</v>
      </c>
      <c r="G108" s="40">
        <v>0</v>
      </c>
      <c r="H108" s="42">
        <f t="shared" si="25"/>
        <v>0</v>
      </c>
      <c r="I108" s="40">
        <v>2</v>
      </c>
      <c r="J108" s="41">
        <f t="shared" si="26"/>
        <v>1.2269938650306749E-2</v>
      </c>
      <c r="K108" s="40">
        <v>2</v>
      </c>
      <c r="L108" s="41">
        <f t="shared" si="27"/>
        <v>1.6666666666666666E-2</v>
      </c>
      <c r="M108" s="40">
        <v>148</v>
      </c>
      <c r="N108" s="41">
        <f>IFERROR(M108/$BE108,0)</f>
        <v>0.90797546012269936</v>
      </c>
      <c r="O108" s="40">
        <v>109</v>
      </c>
      <c r="P108" s="41">
        <f t="shared" si="28"/>
        <v>0.90833333333333333</v>
      </c>
      <c r="Q108" s="40">
        <v>12</v>
      </c>
      <c r="R108" s="41">
        <f>IFERROR(Q108/$BE108,0)</f>
        <v>7.3619631901840496E-2</v>
      </c>
      <c r="S108" s="40">
        <v>9</v>
      </c>
      <c r="T108" s="41">
        <f t="shared" si="29"/>
        <v>7.4999999999999997E-2</v>
      </c>
      <c r="U108" s="40">
        <v>5</v>
      </c>
      <c r="V108" s="41">
        <f t="shared" si="30"/>
        <v>3.0674846625766871E-2</v>
      </c>
      <c r="W108" s="40">
        <v>6</v>
      </c>
      <c r="X108" s="41">
        <f t="shared" si="31"/>
        <v>0.05</v>
      </c>
      <c r="Y108" s="40">
        <v>7</v>
      </c>
      <c r="Z108" s="41">
        <f t="shared" si="32"/>
        <v>4.2944785276073622E-2</v>
      </c>
      <c r="AA108" s="40">
        <v>6</v>
      </c>
      <c r="AB108" s="41">
        <f t="shared" si="33"/>
        <v>0.05</v>
      </c>
      <c r="AC108" s="40">
        <v>151</v>
      </c>
      <c r="AD108" s="41">
        <f t="shared" si="41"/>
        <v>0.92638036809815949</v>
      </c>
      <c r="AE108" s="40">
        <v>108</v>
      </c>
      <c r="AF108" s="41">
        <f t="shared" si="34"/>
        <v>0.9</v>
      </c>
      <c r="AG108" s="40">
        <v>6</v>
      </c>
      <c r="AH108" s="41">
        <f t="shared" si="42"/>
        <v>3.6809815950920248E-2</v>
      </c>
      <c r="AI108" s="40">
        <v>5</v>
      </c>
      <c r="AJ108" s="41">
        <f t="shared" si="35"/>
        <v>4.1666666666666664E-2</v>
      </c>
      <c r="AK108" s="40">
        <v>6</v>
      </c>
      <c r="AL108" s="41">
        <f t="shared" si="43"/>
        <v>3.6809815950920248E-2</v>
      </c>
      <c r="AM108" s="40">
        <v>5</v>
      </c>
      <c r="AN108" s="41">
        <f t="shared" si="36"/>
        <v>4.1666666666666664E-2</v>
      </c>
      <c r="AO108" s="40">
        <v>108</v>
      </c>
      <c r="AP108" s="41">
        <f t="shared" si="44"/>
        <v>0.66257668711656437</v>
      </c>
      <c r="AQ108" s="40">
        <v>80</v>
      </c>
      <c r="AR108" s="41">
        <f t="shared" si="37"/>
        <v>0.66666666666666663</v>
      </c>
      <c r="AS108" s="40">
        <v>26</v>
      </c>
      <c r="AT108" s="41">
        <f t="shared" si="45"/>
        <v>0.15950920245398773</v>
      </c>
      <c r="AU108" s="40">
        <v>17</v>
      </c>
      <c r="AV108" s="41">
        <f t="shared" si="38"/>
        <v>0.14166666666666666</v>
      </c>
      <c r="AW108" s="40">
        <v>7</v>
      </c>
      <c r="AX108" s="41">
        <f t="shared" si="46"/>
        <v>4.2944785276073622E-2</v>
      </c>
      <c r="AY108" s="40">
        <v>5</v>
      </c>
      <c r="AZ108" s="41">
        <f t="shared" si="39"/>
        <v>4.1666666666666664E-2</v>
      </c>
      <c r="BA108" s="40">
        <v>10</v>
      </c>
      <c r="BB108" s="41">
        <f t="shared" si="47"/>
        <v>6.1349693251533742E-2</v>
      </c>
      <c r="BC108" s="40">
        <v>8</v>
      </c>
      <c r="BD108" s="41">
        <f t="shared" si="40"/>
        <v>6.6666666666666666E-2</v>
      </c>
      <c r="BE108" s="40">
        <v>163</v>
      </c>
      <c r="BF108" s="40">
        <v>120</v>
      </c>
    </row>
    <row r="109" spans="1:58" ht="15.75" customHeight="1" x14ac:dyDescent="0.25">
      <c r="A109" s="39">
        <v>2024</v>
      </c>
      <c r="B109" s="39">
        <v>171850</v>
      </c>
      <c r="C109" s="37" t="str">
        <f>VLOOKUP(B109,procv!$A$2:$D$142,4,FALSE)</f>
        <v>Cerrado Tocantins Araguaia</v>
      </c>
      <c r="D109" s="37" t="s">
        <v>112</v>
      </c>
      <c r="E109" s="40">
        <v>2</v>
      </c>
      <c r="F109" s="42">
        <f t="shared" si="24"/>
        <v>6.7340067340067337E-3</v>
      </c>
      <c r="G109" s="40">
        <v>2</v>
      </c>
      <c r="H109" s="42">
        <f t="shared" si="25"/>
        <v>8.7336244541484712E-3</v>
      </c>
      <c r="I109" s="40">
        <v>6</v>
      </c>
      <c r="J109" s="41">
        <f t="shared" si="26"/>
        <v>2.0202020202020204E-2</v>
      </c>
      <c r="K109" s="40">
        <v>5</v>
      </c>
      <c r="L109" s="41">
        <f t="shared" si="27"/>
        <v>2.1834061135371178E-2</v>
      </c>
      <c r="M109" s="40">
        <v>275</v>
      </c>
      <c r="N109" s="41">
        <f>IFERROR(M109/$BE109,0)</f>
        <v>0.92592592592592593</v>
      </c>
      <c r="O109" s="40">
        <v>211</v>
      </c>
      <c r="P109" s="41">
        <f t="shared" si="28"/>
        <v>0.92139737991266379</v>
      </c>
      <c r="Q109" s="40">
        <v>14</v>
      </c>
      <c r="R109" s="41">
        <f>IFERROR(Q109/$BE109,0)</f>
        <v>4.7138047138047139E-2</v>
      </c>
      <c r="S109" s="40">
        <v>11</v>
      </c>
      <c r="T109" s="41">
        <f t="shared" si="29"/>
        <v>4.8034934497816595E-2</v>
      </c>
      <c r="U109" s="40">
        <v>17</v>
      </c>
      <c r="V109" s="41">
        <f t="shared" si="30"/>
        <v>5.7239057239057242E-2</v>
      </c>
      <c r="W109" s="40">
        <v>11</v>
      </c>
      <c r="X109" s="41">
        <f t="shared" si="31"/>
        <v>4.8034934497816595E-2</v>
      </c>
      <c r="Y109" s="40">
        <v>34</v>
      </c>
      <c r="Z109" s="41">
        <f t="shared" si="32"/>
        <v>0.11447811447811448</v>
      </c>
      <c r="AA109" s="40">
        <v>25</v>
      </c>
      <c r="AB109" s="41">
        <f t="shared" si="33"/>
        <v>0.1091703056768559</v>
      </c>
      <c r="AC109" s="40">
        <v>246</v>
      </c>
      <c r="AD109" s="41">
        <f t="shared" si="41"/>
        <v>0.82828282828282829</v>
      </c>
      <c r="AE109" s="40">
        <v>193</v>
      </c>
      <c r="AF109" s="41">
        <f t="shared" si="34"/>
        <v>0.84279475982532748</v>
      </c>
      <c r="AG109" s="40">
        <v>6</v>
      </c>
      <c r="AH109" s="41">
        <f t="shared" si="42"/>
        <v>2.0202020202020204E-2</v>
      </c>
      <c r="AI109" s="40">
        <v>4</v>
      </c>
      <c r="AJ109" s="41">
        <f t="shared" si="35"/>
        <v>1.7467248908296942E-2</v>
      </c>
      <c r="AK109" s="40">
        <v>6</v>
      </c>
      <c r="AL109" s="41">
        <f t="shared" si="43"/>
        <v>2.0202020202020204E-2</v>
      </c>
      <c r="AM109" s="40">
        <v>6</v>
      </c>
      <c r="AN109" s="41">
        <f t="shared" si="36"/>
        <v>2.6200873362445413E-2</v>
      </c>
      <c r="AO109" s="40">
        <v>173</v>
      </c>
      <c r="AP109" s="41">
        <f t="shared" si="44"/>
        <v>0.5824915824915825</v>
      </c>
      <c r="AQ109" s="40">
        <v>132</v>
      </c>
      <c r="AR109" s="41">
        <f t="shared" si="37"/>
        <v>0.57641921397379914</v>
      </c>
      <c r="AS109" s="40">
        <v>66</v>
      </c>
      <c r="AT109" s="41">
        <f t="shared" si="45"/>
        <v>0.22222222222222221</v>
      </c>
      <c r="AU109" s="40">
        <v>57</v>
      </c>
      <c r="AV109" s="41">
        <f t="shared" si="38"/>
        <v>0.24890829694323144</v>
      </c>
      <c r="AW109" s="40">
        <v>34</v>
      </c>
      <c r="AX109" s="41">
        <f t="shared" si="46"/>
        <v>0.11447811447811448</v>
      </c>
      <c r="AY109" s="40">
        <v>23</v>
      </c>
      <c r="AZ109" s="41">
        <f t="shared" si="39"/>
        <v>0.10043668122270742</v>
      </c>
      <c r="BA109" s="40">
        <v>12</v>
      </c>
      <c r="BB109" s="41">
        <f t="shared" si="47"/>
        <v>4.0404040404040407E-2</v>
      </c>
      <c r="BC109" s="40">
        <v>7</v>
      </c>
      <c r="BD109" s="41">
        <f t="shared" si="40"/>
        <v>3.0567685589519649E-2</v>
      </c>
      <c r="BE109" s="40">
        <v>297</v>
      </c>
      <c r="BF109" s="40">
        <v>229</v>
      </c>
    </row>
    <row r="110" spans="1:58" ht="15.75" customHeight="1" x14ac:dyDescent="0.25">
      <c r="A110" s="39">
        <v>2024</v>
      </c>
      <c r="B110" s="39">
        <v>171855</v>
      </c>
      <c r="C110" s="37" t="str">
        <f>VLOOKUP(B110,procv!$A$2:$D$142,4,FALSE)</f>
        <v>Bico do Papagaio</v>
      </c>
      <c r="D110" s="37" t="s">
        <v>113</v>
      </c>
      <c r="E110" s="40">
        <v>1</v>
      </c>
      <c r="F110" s="42">
        <f t="shared" si="24"/>
        <v>2.8571428571428571E-3</v>
      </c>
      <c r="G110" s="40">
        <v>2</v>
      </c>
      <c r="H110" s="42">
        <f t="shared" si="25"/>
        <v>1.0638297872340425E-2</v>
      </c>
      <c r="I110" s="40">
        <v>9</v>
      </c>
      <c r="J110" s="41">
        <f t="shared" si="26"/>
        <v>2.5714285714285714E-2</v>
      </c>
      <c r="K110" s="40">
        <v>3</v>
      </c>
      <c r="L110" s="41">
        <f t="shared" si="27"/>
        <v>1.5957446808510637E-2</v>
      </c>
      <c r="M110" s="40">
        <v>323</v>
      </c>
      <c r="N110" s="41">
        <f>IFERROR(M110/$BE110,0)</f>
        <v>0.92285714285714282</v>
      </c>
      <c r="O110" s="40">
        <v>170</v>
      </c>
      <c r="P110" s="41">
        <f t="shared" si="28"/>
        <v>0.9042553191489362</v>
      </c>
      <c r="Q110" s="40">
        <v>17</v>
      </c>
      <c r="R110" s="41">
        <f>IFERROR(Q110/$BE110,0)</f>
        <v>4.8571428571428571E-2</v>
      </c>
      <c r="S110" s="40">
        <v>13</v>
      </c>
      <c r="T110" s="41">
        <f t="shared" si="29"/>
        <v>6.9148936170212769E-2</v>
      </c>
      <c r="U110" s="40">
        <v>9</v>
      </c>
      <c r="V110" s="41">
        <f t="shared" si="30"/>
        <v>2.5714285714285714E-2</v>
      </c>
      <c r="W110" s="40">
        <v>10</v>
      </c>
      <c r="X110" s="41">
        <f t="shared" si="31"/>
        <v>5.3191489361702128E-2</v>
      </c>
      <c r="Y110" s="40">
        <v>18</v>
      </c>
      <c r="Z110" s="41">
        <f t="shared" si="32"/>
        <v>5.1428571428571428E-2</v>
      </c>
      <c r="AA110" s="40">
        <v>7</v>
      </c>
      <c r="AB110" s="41">
        <f t="shared" si="33"/>
        <v>3.7234042553191488E-2</v>
      </c>
      <c r="AC110" s="40">
        <v>323</v>
      </c>
      <c r="AD110" s="41">
        <f t="shared" si="41"/>
        <v>0.92285714285714282</v>
      </c>
      <c r="AE110" s="40">
        <v>171</v>
      </c>
      <c r="AF110" s="41">
        <f t="shared" si="34"/>
        <v>0.90957446808510634</v>
      </c>
      <c r="AG110" s="40">
        <v>13</v>
      </c>
      <c r="AH110" s="41">
        <f t="shared" si="42"/>
        <v>3.7142857142857144E-2</v>
      </c>
      <c r="AI110" s="40">
        <v>9</v>
      </c>
      <c r="AJ110" s="41">
        <f t="shared" si="35"/>
        <v>4.7872340425531915E-2</v>
      </c>
      <c r="AK110" s="40">
        <v>14</v>
      </c>
      <c r="AL110" s="41">
        <f t="shared" si="43"/>
        <v>0.04</v>
      </c>
      <c r="AM110" s="40">
        <v>7</v>
      </c>
      <c r="AN110" s="41">
        <f t="shared" si="36"/>
        <v>3.7234042553191488E-2</v>
      </c>
      <c r="AO110" s="40">
        <v>251</v>
      </c>
      <c r="AP110" s="41">
        <f t="shared" si="44"/>
        <v>0.71714285714285719</v>
      </c>
      <c r="AQ110" s="40">
        <v>131</v>
      </c>
      <c r="AR110" s="41">
        <f t="shared" si="37"/>
        <v>0.69680851063829785</v>
      </c>
      <c r="AS110" s="40">
        <v>43</v>
      </c>
      <c r="AT110" s="41">
        <f t="shared" si="45"/>
        <v>0.12285714285714286</v>
      </c>
      <c r="AU110" s="40">
        <v>23</v>
      </c>
      <c r="AV110" s="41">
        <f t="shared" si="38"/>
        <v>0.12234042553191489</v>
      </c>
      <c r="AW110" s="40">
        <v>21</v>
      </c>
      <c r="AX110" s="41">
        <f t="shared" si="46"/>
        <v>0.06</v>
      </c>
      <c r="AY110" s="40">
        <v>12</v>
      </c>
      <c r="AZ110" s="41">
        <f t="shared" si="39"/>
        <v>6.3829787234042548E-2</v>
      </c>
      <c r="BA110" s="40">
        <v>8</v>
      </c>
      <c r="BB110" s="41">
        <f t="shared" si="47"/>
        <v>2.2857142857142857E-2</v>
      </c>
      <c r="BC110" s="40">
        <v>6</v>
      </c>
      <c r="BD110" s="41">
        <f t="shared" si="40"/>
        <v>3.1914893617021274E-2</v>
      </c>
      <c r="BE110" s="40">
        <v>350</v>
      </c>
      <c r="BF110" s="40">
        <v>188</v>
      </c>
    </row>
    <row r="111" spans="1:58" ht="15.75" customHeight="1" x14ac:dyDescent="0.25">
      <c r="A111" s="39">
        <v>2024</v>
      </c>
      <c r="B111" s="39">
        <v>171865</v>
      </c>
      <c r="C111" s="37" t="str">
        <f>VLOOKUP(B111,procv!$A$2:$D$142,4,FALSE)</f>
        <v>Sudeste</v>
      </c>
      <c r="D111" s="37" t="s">
        <v>114</v>
      </c>
      <c r="E111" s="40">
        <v>1</v>
      </c>
      <c r="F111" s="42">
        <f t="shared" si="24"/>
        <v>5.4945054945054949E-3</v>
      </c>
      <c r="G111" s="40">
        <v>1</v>
      </c>
      <c r="H111" s="42">
        <f t="shared" si="25"/>
        <v>1.3513513513513514E-2</v>
      </c>
      <c r="I111" s="40">
        <v>4</v>
      </c>
      <c r="J111" s="41">
        <f t="shared" si="26"/>
        <v>2.197802197802198E-2</v>
      </c>
      <c r="K111" s="40">
        <v>3</v>
      </c>
      <c r="L111" s="41">
        <f t="shared" si="27"/>
        <v>4.0540540540540543E-2</v>
      </c>
      <c r="M111" s="40">
        <v>175</v>
      </c>
      <c r="N111" s="41">
        <f>IFERROR(M111/$BE111,0)</f>
        <v>0.96153846153846156</v>
      </c>
      <c r="O111" s="40">
        <v>68</v>
      </c>
      <c r="P111" s="41">
        <f t="shared" si="28"/>
        <v>0.91891891891891897</v>
      </c>
      <c r="Q111" s="40">
        <v>2</v>
      </c>
      <c r="R111" s="41">
        <f>IFERROR(Q111/$BE111,0)</f>
        <v>1.098901098901099E-2</v>
      </c>
      <c r="S111" s="40">
        <v>2</v>
      </c>
      <c r="T111" s="41">
        <f t="shared" si="29"/>
        <v>2.7027027027027029E-2</v>
      </c>
      <c r="U111" s="40">
        <v>11</v>
      </c>
      <c r="V111" s="41">
        <f t="shared" si="30"/>
        <v>6.043956043956044E-2</v>
      </c>
      <c r="W111" s="40">
        <v>8</v>
      </c>
      <c r="X111" s="41">
        <f t="shared" si="31"/>
        <v>0.10810810810810811</v>
      </c>
      <c r="Y111" s="40">
        <v>20</v>
      </c>
      <c r="Z111" s="41">
        <f t="shared" si="32"/>
        <v>0.10989010989010989</v>
      </c>
      <c r="AA111" s="40">
        <v>15</v>
      </c>
      <c r="AB111" s="41">
        <f t="shared" si="33"/>
        <v>0.20270270270270271</v>
      </c>
      <c r="AC111" s="40">
        <v>151</v>
      </c>
      <c r="AD111" s="41">
        <f t="shared" si="41"/>
        <v>0.82967032967032972</v>
      </c>
      <c r="AE111" s="40">
        <v>51</v>
      </c>
      <c r="AF111" s="41">
        <f t="shared" si="34"/>
        <v>0.68918918918918914</v>
      </c>
      <c r="AG111" s="40">
        <v>2</v>
      </c>
      <c r="AH111" s="41">
        <f t="shared" si="42"/>
        <v>1.098901098901099E-2</v>
      </c>
      <c r="AI111" s="40">
        <v>2</v>
      </c>
      <c r="AJ111" s="41">
        <f t="shared" si="35"/>
        <v>2.7027027027027029E-2</v>
      </c>
      <c r="AK111" s="40">
        <v>5</v>
      </c>
      <c r="AL111" s="41">
        <f t="shared" si="43"/>
        <v>2.7472527472527472E-2</v>
      </c>
      <c r="AM111" s="40">
        <v>6</v>
      </c>
      <c r="AN111" s="41">
        <f t="shared" si="36"/>
        <v>8.1081081081081086E-2</v>
      </c>
      <c r="AO111" s="40">
        <v>114</v>
      </c>
      <c r="AP111" s="41">
        <f t="shared" si="44"/>
        <v>0.62637362637362637</v>
      </c>
      <c r="AQ111" s="40">
        <v>41</v>
      </c>
      <c r="AR111" s="41">
        <f t="shared" si="37"/>
        <v>0.55405405405405406</v>
      </c>
      <c r="AS111" s="40">
        <v>46</v>
      </c>
      <c r="AT111" s="41">
        <f t="shared" si="45"/>
        <v>0.25274725274725274</v>
      </c>
      <c r="AU111" s="40">
        <v>15</v>
      </c>
      <c r="AV111" s="41">
        <f t="shared" si="38"/>
        <v>0.20270270270270271</v>
      </c>
      <c r="AW111" s="40">
        <v>10</v>
      </c>
      <c r="AX111" s="41">
        <f t="shared" si="46"/>
        <v>5.4945054945054944E-2</v>
      </c>
      <c r="AY111" s="40">
        <v>5</v>
      </c>
      <c r="AZ111" s="41">
        <f t="shared" si="39"/>
        <v>6.7567567567567571E-2</v>
      </c>
      <c r="BA111" s="40">
        <v>5</v>
      </c>
      <c r="BB111" s="41">
        <f t="shared" si="47"/>
        <v>2.7472527472527472E-2</v>
      </c>
      <c r="BC111" s="40">
        <v>5</v>
      </c>
      <c r="BD111" s="41">
        <f t="shared" si="40"/>
        <v>6.7567567567567571E-2</v>
      </c>
      <c r="BE111" s="40">
        <v>182</v>
      </c>
      <c r="BF111" s="40">
        <v>74</v>
      </c>
    </row>
    <row r="112" spans="1:58" ht="15.75" customHeight="1" x14ac:dyDescent="0.25">
      <c r="A112" s="39">
        <v>2024</v>
      </c>
      <c r="B112" s="39">
        <v>171870</v>
      </c>
      <c r="C112" s="37" t="str">
        <f>VLOOKUP(B112,procv!$A$2:$D$142,4,FALSE)</f>
        <v>Capim Dourado</v>
      </c>
      <c r="D112" s="37" t="s">
        <v>115</v>
      </c>
      <c r="E112" s="40">
        <v>1</v>
      </c>
      <c r="F112" s="42">
        <f t="shared" si="24"/>
        <v>5.9880239520958087E-3</v>
      </c>
      <c r="G112" s="40">
        <v>1</v>
      </c>
      <c r="H112" s="42">
        <f t="shared" si="25"/>
        <v>8.1967213114754103E-3</v>
      </c>
      <c r="I112" s="40">
        <v>2</v>
      </c>
      <c r="J112" s="41">
        <f t="shared" si="26"/>
        <v>1.1976047904191617E-2</v>
      </c>
      <c r="K112" s="40">
        <v>1</v>
      </c>
      <c r="L112" s="41">
        <f t="shared" si="27"/>
        <v>8.1967213114754103E-3</v>
      </c>
      <c r="M112" s="40">
        <v>153</v>
      </c>
      <c r="N112" s="41">
        <f>IFERROR(M112/$BE112,0)</f>
        <v>0.91616766467065869</v>
      </c>
      <c r="O112" s="40">
        <v>114</v>
      </c>
      <c r="P112" s="41">
        <f t="shared" si="28"/>
        <v>0.93442622950819676</v>
      </c>
      <c r="Q112" s="40">
        <v>11</v>
      </c>
      <c r="R112" s="41">
        <f>IFERROR(Q112/$BE112,0)</f>
        <v>6.5868263473053898E-2</v>
      </c>
      <c r="S112" s="40">
        <v>6</v>
      </c>
      <c r="T112" s="41">
        <f t="shared" si="29"/>
        <v>4.9180327868852458E-2</v>
      </c>
      <c r="U112" s="40">
        <v>9</v>
      </c>
      <c r="V112" s="41">
        <f t="shared" si="30"/>
        <v>5.3892215568862277E-2</v>
      </c>
      <c r="W112" s="40">
        <v>11</v>
      </c>
      <c r="X112" s="41">
        <f t="shared" si="31"/>
        <v>9.0163934426229511E-2</v>
      </c>
      <c r="Y112" s="40">
        <v>18</v>
      </c>
      <c r="Z112" s="41">
        <f t="shared" si="32"/>
        <v>0.10778443113772455</v>
      </c>
      <c r="AA112" s="40">
        <v>20</v>
      </c>
      <c r="AB112" s="41">
        <f t="shared" si="33"/>
        <v>0.16393442622950818</v>
      </c>
      <c r="AC112" s="40">
        <v>140</v>
      </c>
      <c r="AD112" s="41">
        <f t="shared" si="41"/>
        <v>0.83832335329341312</v>
      </c>
      <c r="AE112" s="40">
        <v>91</v>
      </c>
      <c r="AF112" s="41">
        <f t="shared" si="34"/>
        <v>0.74590163934426235</v>
      </c>
      <c r="AG112" s="40">
        <v>5</v>
      </c>
      <c r="AH112" s="41">
        <f t="shared" si="42"/>
        <v>2.9940119760479042E-2</v>
      </c>
      <c r="AI112" s="40">
        <v>6</v>
      </c>
      <c r="AJ112" s="41">
        <f t="shared" si="35"/>
        <v>4.9180327868852458E-2</v>
      </c>
      <c r="AK112" s="40">
        <v>3</v>
      </c>
      <c r="AL112" s="41">
        <f t="shared" si="43"/>
        <v>1.7964071856287425E-2</v>
      </c>
      <c r="AM112" s="40">
        <v>3</v>
      </c>
      <c r="AN112" s="41">
        <f t="shared" si="36"/>
        <v>2.4590163934426229E-2</v>
      </c>
      <c r="AO112" s="40">
        <v>100</v>
      </c>
      <c r="AP112" s="41">
        <f t="shared" si="44"/>
        <v>0.59880239520958078</v>
      </c>
      <c r="AQ112" s="40">
        <v>67</v>
      </c>
      <c r="AR112" s="41">
        <f t="shared" si="37"/>
        <v>0.54918032786885251</v>
      </c>
      <c r="AS112" s="40">
        <v>35</v>
      </c>
      <c r="AT112" s="41">
        <f t="shared" si="45"/>
        <v>0.20958083832335328</v>
      </c>
      <c r="AU112" s="40">
        <v>23</v>
      </c>
      <c r="AV112" s="41">
        <f t="shared" si="38"/>
        <v>0.18852459016393441</v>
      </c>
      <c r="AW112" s="40">
        <v>16</v>
      </c>
      <c r="AX112" s="41">
        <f t="shared" si="46"/>
        <v>9.580838323353294E-2</v>
      </c>
      <c r="AY112" s="40">
        <v>13</v>
      </c>
      <c r="AZ112" s="41">
        <f t="shared" si="39"/>
        <v>0.10655737704918032</v>
      </c>
      <c r="BA112" s="40">
        <v>8</v>
      </c>
      <c r="BB112" s="41">
        <f t="shared" si="47"/>
        <v>4.790419161676647E-2</v>
      </c>
      <c r="BC112" s="40">
        <v>10</v>
      </c>
      <c r="BD112" s="41">
        <f t="shared" si="40"/>
        <v>8.1967213114754092E-2</v>
      </c>
      <c r="BE112" s="40">
        <v>167</v>
      </c>
      <c r="BF112" s="40">
        <v>122</v>
      </c>
    </row>
    <row r="113" spans="1:58" ht="15.75" customHeight="1" x14ac:dyDescent="0.25">
      <c r="A113" s="39">
        <v>2024</v>
      </c>
      <c r="B113" s="39">
        <v>171875</v>
      </c>
      <c r="C113" s="37" t="str">
        <f>VLOOKUP(B113,procv!$A$2:$D$142,4,FALSE)</f>
        <v>Capim Dourado</v>
      </c>
      <c r="D113" s="37" t="s">
        <v>116</v>
      </c>
      <c r="E113" s="40">
        <v>5</v>
      </c>
      <c r="F113" s="42">
        <f t="shared" si="24"/>
        <v>1.3550135501355014E-2</v>
      </c>
      <c r="G113" s="40">
        <v>4</v>
      </c>
      <c r="H113" s="42">
        <f t="shared" si="25"/>
        <v>1.3422818791946308E-2</v>
      </c>
      <c r="I113" s="40">
        <v>20</v>
      </c>
      <c r="J113" s="41">
        <f t="shared" si="26"/>
        <v>5.4200542005420058E-2</v>
      </c>
      <c r="K113" s="40">
        <v>17</v>
      </c>
      <c r="L113" s="41">
        <f t="shared" si="27"/>
        <v>5.7046979865771813E-2</v>
      </c>
      <c r="M113" s="40">
        <v>334</v>
      </c>
      <c r="N113" s="41">
        <f>IFERROR(M113/$BE113,0)</f>
        <v>0.90514905149051494</v>
      </c>
      <c r="O113" s="40">
        <v>268</v>
      </c>
      <c r="P113" s="41">
        <f t="shared" si="28"/>
        <v>0.89932885906040272</v>
      </c>
      <c r="Q113" s="40">
        <v>10</v>
      </c>
      <c r="R113" s="41">
        <f>IFERROR(Q113/$BE113,0)</f>
        <v>2.7100271002710029E-2</v>
      </c>
      <c r="S113" s="40">
        <v>9</v>
      </c>
      <c r="T113" s="41">
        <f t="shared" si="29"/>
        <v>3.0201342281879196E-2</v>
      </c>
      <c r="U113" s="40">
        <v>19</v>
      </c>
      <c r="V113" s="41">
        <f t="shared" si="30"/>
        <v>5.1490514905149054E-2</v>
      </c>
      <c r="W113" s="40">
        <v>15</v>
      </c>
      <c r="X113" s="41">
        <f t="shared" si="31"/>
        <v>5.0335570469798654E-2</v>
      </c>
      <c r="Y113" s="40">
        <v>39</v>
      </c>
      <c r="Z113" s="41">
        <f t="shared" si="32"/>
        <v>0.10569105691056911</v>
      </c>
      <c r="AA113" s="40">
        <v>33</v>
      </c>
      <c r="AB113" s="41">
        <f t="shared" si="33"/>
        <v>0.11073825503355705</v>
      </c>
      <c r="AC113" s="40">
        <v>311</v>
      </c>
      <c r="AD113" s="41">
        <f t="shared" si="41"/>
        <v>0.84281842818428188</v>
      </c>
      <c r="AE113" s="40">
        <v>250</v>
      </c>
      <c r="AF113" s="41">
        <f t="shared" si="34"/>
        <v>0.83892617449664431</v>
      </c>
      <c r="AG113" s="40">
        <v>15</v>
      </c>
      <c r="AH113" s="41">
        <f t="shared" si="42"/>
        <v>4.065040650406504E-2</v>
      </c>
      <c r="AI113" s="40">
        <v>18</v>
      </c>
      <c r="AJ113" s="41">
        <f t="shared" si="35"/>
        <v>6.0402684563758392E-2</v>
      </c>
      <c r="AK113" s="40">
        <v>14</v>
      </c>
      <c r="AL113" s="41">
        <f t="shared" si="43"/>
        <v>3.7940379403794036E-2</v>
      </c>
      <c r="AM113" s="40">
        <v>10</v>
      </c>
      <c r="AN113" s="41">
        <f t="shared" si="36"/>
        <v>3.3557046979865772E-2</v>
      </c>
      <c r="AO113" s="40">
        <v>254</v>
      </c>
      <c r="AP113" s="41">
        <f t="shared" si="44"/>
        <v>0.68834688346883466</v>
      </c>
      <c r="AQ113" s="40">
        <v>204</v>
      </c>
      <c r="AR113" s="41">
        <f t="shared" si="37"/>
        <v>0.68456375838926176</v>
      </c>
      <c r="AS113" s="40">
        <v>54</v>
      </c>
      <c r="AT113" s="41">
        <f t="shared" si="45"/>
        <v>0.14634146341463414</v>
      </c>
      <c r="AU113" s="40">
        <v>43</v>
      </c>
      <c r="AV113" s="41">
        <f t="shared" si="38"/>
        <v>0.14429530201342283</v>
      </c>
      <c r="AW113" s="40">
        <v>25</v>
      </c>
      <c r="AX113" s="41">
        <f t="shared" si="46"/>
        <v>6.7750677506775062E-2</v>
      </c>
      <c r="AY113" s="40">
        <v>16</v>
      </c>
      <c r="AZ113" s="41">
        <f t="shared" si="39"/>
        <v>5.3691275167785234E-2</v>
      </c>
      <c r="BA113" s="40">
        <v>7</v>
      </c>
      <c r="BB113" s="41">
        <f t="shared" si="47"/>
        <v>1.8970189701897018E-2</v>
      </c>
      <c r="BC113" s="40">
        <v>7</v>
      </c>
      <c r="BD113" s="41">
        <f t="shared" si="40"/>
        <v>2.3489932885906041E-2</v>
      </c>
      <c r="BE113" s="40">
        <v>369</v>
      </c>
      <c r="BF113" s="40">
        <v>298</v>
      </c>
    </row>
    <row r="114" spans="1:58" ht="15.75" customHeight="1" x14ac:dyDescent="0.25">
      <c r="A114" s="39">
        <v>2024</v>
      </c>
      <c r="B114" s="39">
        <v>171880</v>
      </c>
      <c r="C114" s="37" t="str">
        <f>VLOOKUP(B114,procv!$A$2:$D$142,4,FALSE)</f>
        <v>Bico do Papagaio</v>
      </c>
      <c r="D114" s="37" t="s">
        <v>117</v>
      </c>
      <c r="E114" s="40">
        <v>4</v>
      </c>
      <c r="F114" s="42">
        <f t="shared" si="24"/>
        <v>9.4786729857819912E-3</v>
      </c>
      <c r="G114" s="40">
        <v>3</v>
      </c>
      <c r="H114" s="42">
        <f t="shared" si="25"/>
        <v>1.0169491525423728E-2</v>
      </c>
      <c r="I114" s="40">
        <v>13</v>
      </c>
      <c r="J114" s="41">
        <f t="shared" si="26"/>
        <v>3.0805687203791468E-2</v>
      </c>
      <c r="K114" s="40">
        <v>16</v>
      </c>
      <c r="L114" s="41">
        <f t="shared" si="27"/>
        <v>5.4237288135593219E-2</v>
      </c>
      <c r="M114" s="40">
        <v>382</v>
      </c>
      <c r="N114" s="41">
        <f>IFERROR(M114/$BE114,0)</f>
        <v>0.90521327014218012</v>
      </c>
      <c r="O114" s="40">
        <v>258</v>
      </c>
      <c r="P114" s="41">
        <f t="shared" si="28"/>
        <v>0.87457627118644066</v>
      </c>
      <c r="Q114" s="40">
        <v>23</v>
      </c>
      <c r="R114" s="41">
        <f>IFERROR(Q114/$BE114,0)</f>
        <v>5.4502369668246446E-2</v>
      </c>
      <c r="S114" s="40">
        <v>18</v>
      </c>
      <c r="T114" s="41">
        <f t="shared" si="29"/>
        <v>6.1016949152542375E-2</v>
      </c>
      <c r="U114" s="40">
        <v>30</v>
      </c>
      <c r="V114" s="41">
        <f t="shared" si="30"/>
        <v>7.1090047393364927E-2</v>
      </c>
      <c r="W114" s="40">
        <v>32</v>
      </c>
      <c r="X114" s="41">
        <f t="shared" si="31"/>
        <v>0.10847457627118644</v>
      </c>
      <c r="Y114" s="40">
        <v>29</v>
      </c>
      <c r="Z114" s="41">
        <f t="shared" si="32"/>
        <v>6.8720379146919433E-2</v>
      </c>
      <c r="AA114" s="40">
        <v>28</v>
      </c>
      <c r="AB114" s="41">
        <f t="shared" si="33"/>
        <v>9.4915254237288138E-2</v>
      </c>
      <c r="AC114" s="40">
        <v>363</v>
      </c>
      <c r="AD114" s="41">
        <f t="shared" si="41"/>
        <v>0.8601895734597157</v>
      </c>
      <c r="AE114" s="40">
        <v>235</v>
      </c>
      <c r="AF114" s="41">
        <f t="shared" si="34"/>
        <v>0.79661016949152541</v>
      </c>
      <c r="AG114" s="40">
        <v>16</v>
      </c>
      <c r="AH114" s="41">
        <f t="shared" si="42"/>
        <v>3.7914691943127965E-2</v>
      </c>
      <c r="AI114" s="40">
        <v>18</v>
      </c>
      <c r="AJ114" s="41">
        <f t="shared" si="35"/>
        <v>6.1016949152542375E-2</v>
      </c>
      <c r="AK114" s="40">
        <v>25</v>
      </c>
      <c r="AL114" s="41">
        <f t="shared" si="43"/>
        <v>5.9241706161137442E-2</v>
      </c>
      <c r="AM114" s="40">
        <v>23</v>
      </c>
      <c r="AN114" s="41">
        <f t="shared" si="36"/>
        <v>7.796610169491526E-2</v>
      </c>
      <c r="AO114" s="40">
        <v>276</v>
      </c>
      <c r="AP114" s="41">
        <f t="shared" si="44"/>
        <v>0.65402843601895733</v>
      </c>
      <c r="AQ114" s="40">
        <v>173</v>
      </c>
      <c r="AR114" s="41">
        <f t="shared" si="37"/>
        <v>0.58644067796610166</v>
      </c>
      <c r="AS114" s="40">
        <v>52</v>
      </c>
      <c r="AT114" s="41">
        <f t="shared" si="45"/>
        <v>0.12322274881516587</v>
      </c>
      <c r="AU114" s="40">
        <v>34</v>
      </c>
      <c r="AV114" s="41">
        <f t="shared" si="38"/>
        <v>0.11525423728813559</v>
      </c>
      <c r="AW114" s="40">
        <v>27</v>
      </c>
      <c r="AX114" s="41">
        <f t="shared" si="46"/>
        <v>6.398104265402843E-2</v>
      </c>
      <c r="AY114" s="40">
        <v>18</v>
      </c>
      <c r="AZ114" s="41">
        <f t="shared" si="39"/>
        <v>6.1016949152542375E-2</v>
      </c>
      <c r="BA114" s="40">
        <v>26</v>
      </c>
      <c r="BB114" s="41">
        <f t="shared" si="47"/>
        <v>6.1611374407582936E-2</v>
      </c>
      <c r="BC114" s="40">
        <v>29</v>
      </c>
      <c r="BD114" s="41">
        <f t="shared" si="40"/>
        <v>9.8305084745762716E-2</v>
      </c>
      <c r="BE114" s="40">
        <v>422</v>
      </c>
      <c r="BF114" s="40">
        <v>295</v>
      </c>
    </row>
    <row r="115" spans="1:58" ht="15.75" customHeight="1" x14ac:dyDescent="0.25">
      <c r="A115" s="39">
        <v>2024</v>
      </c>
      <c r="B115" s="39">
        <v>171884</v>
      </c>
      <c r="C115" s="37" t="str">
        <f>VLOOKUP(B115,procv!$A$2:$D$142,4,FALSE)</f>
        <v>Ilha do Bananal</v>
      </c>
      <c r="D115" s="37" t="s">
        <v>118</v>
      </c>
      <c r="E115" s="40">
        <v>1</v>
      </c>
      <c r="F115" s="42">
        <f t="shared" si="24"/>
        <v>3.5842293906810036E-3</v>
      </c>
      <c r="G115" s="40">
        <v>1</v>
      </c>
      <c r="H115" s="42">
        <f t="shared" si="25"/>
        <v>6.2500000000000003E-3</v>
      </c>
      <c r="I115" s="40">
        <v>2</v>
      </c>
      <c r="J115" s="41">
        <f t="shared" si="26"/>
        <v>7.1684587813620072E-3</v>
      </c>
      <c r="K115" s="40">
        <v>4</v>
      </c>
      <c r="L115" s="41">
        <f t="shared" si="27"/>
        <v>2.5000000000000001E-2</v>
      </c>
      <c r="M115" s="40">
        <v>252</v>
      </c>
      <c r="N115" s="41">
        <f>IFERROR(M115/$BE115,0)</f>
        <v>0.90322580645161288</v>
      </c>
      <c r="O115" s="40">
        <v>143</v>
      </c>
      <c r="P115" s="41">
        <f t="shared" si="28"/>
        <v>0.89375000000000004</v>
      </c>
      <c r="Q115" s="40">
        <v>24</v>
      </c>
      <c r="R115" s="41">
        <f>IFERROR(Q115/$BE115,0)</f>
        <v>8.6021505376344093E-2</v>
      </c>
      <c r="S115" s="40">
        <v>12</v>
      </c>
      <c r="T115" s="41">
        <f t="shared" si="29"/>
        <v>7.4999999999999997E-2</v>
      </c>
      <c r="U115" s="40">
        <v>10</v>
      </c>
      <c r="V115" s="41">
        <f t="shared" si="30"/>
        <v>3.5842293906810034E-2</v>
      </c>
      <c r="W115" s="40">
        <v>6</v>
      </c>
      <c r="X115" s="41">
        <f t="shared" si="31"/>
        <v>3.7499999999999999E-2</v>
      </c>
      <c r="Y115" s="40">
        <v>12</v>
      </c>
      <c r="Z115" s="41">
        <f t="shared" si="32"/>
        <v>4.3010752688172046E-2</v>
      </c>
      <c r="AA115" s="40">
        <v>9</v>
      </c>
      <c r="AB115" s="41">
        <f t="shared" si="33"/>
        <v>5.6250000000000001E-2</v>
      </c>
      <c r="AC115" s="40">
        <v>257</v>
      </c>
      <c r="AD115" s="41">
        <f t="shared" si="41"/>
        <v>0.92114695340501795</v>
      </c>
      <c r="AE115" s="40">
        <v>145</v>
      </c>
      <c r="AF115" s="41">
        <f t="shared" si="34"/>
        <v>0.90625</v>
      </c>
      <c r="AG115" s="40">
        <v>7</v>
      </c>
      <c r="AH115" s="41">
        <f t="shared" si="42"/>
        <v>2.5089605734767026E-2</v>
      </c>
      <c r="AI115" s="40">
        <v>7</v>
      </c>
      <c r="AJ115" s="41">
        <f t="shared" si="35"/>
        <v>4.3749999999999997E-2</v>
      </c>
      <c r="AK115" s="40">
        <v>6</v>
      </c>
      <c r="AL115" s="41">
        <f t="shared" si="43"/>
        <v>2.1505376344086023E-2</v>
      </c>
      <c r="AM115" s="40">
        <v>8</v>
      </c>
      <c r="AN115" s="41">
        <f t="shared" si="36"/>
        <v>0.05</v>
      </c>
      <c r="AO115" s="40">
        <v>186</v>
      </c>
      <c r="AP115" s="41">
        <f t="shared" si="44"/>
        <v>0.66666666666666663</v>
      </c>
      <c r="AQ115" s="40">
        <v>96</v>
      </c>
      <c r="AR115" s="41">
        <f t="shared" si="37"/>
        <v>0.6</v>
      </c>
      <c r="AS115" s="40">
        <v>43</v>
      </c>
      <c r="AT115" s="41">
        <f t="shared" si="45"/>
        <v>0.15412186379928317</v>
      </c>
      <c r="AU115" s="40">
        <v>28</v>
      </c>
      <c r="AV115" s="41">
        <f t="shared" si="38"/>
        <v>0.17499999999999999</v>
      </c>
      <c r="AW115" s="40">
        <v>15</v>
      </c>
      <c r="AX115" s="41">
        <f t="shared" si="46"/>
        <v>5.3763440860215055E-2</v>
      </c>
      <c r="AY115" s="40">
        <v>8</v>
      </c>
      <c r="AZ115" s="41">
        <f t="shared" si="39"/>
        <v>0.05</v>
      </c>
      <c r="BA115" s="40">
        <v>22</v>
      </c>
      <c r="BB115" s="41">
        <f t="shared" si="47"/>
        <v>7.8853046594982074E-2</v>
      </c>
      <c r="BC115" s="40">
        <v>13</v>
      </c>
      <c r="BD115" s="41">
        <f t="shared" si="40"/>
        <v>8.1250000000000003E-2</v>
      </c>
      <c r="BE115" s="40">
        <v>279</v>
      </c>
      <c r="BF115" s="40">
        <v>160</v>
      </c>
    </row>
    <row r="116" spans="1:58" ht="15.75" customHeight="1" x14ac:dyDescent="0.25">
      <c r="A116" s="39">
        <v>2024</v>
      </c>
      <c r="B116" s="39">
        <v>171886</v>
      </c>
      <c r="C116" s="37" t="str">
        <f>VLOOKUP(B116,procv!$A$2:$D$142,4,FALSE)</f>
        <v>Médio Norte Araguaia</v>
      </c>
      <c r="D116" s="37" t="s">
        <v>119</v>
      </c>
      <c r="E116" s="40">
        <v>2</v>
      </c>
      <c r="F116" s="42">
        <f t="shared" si="24"/>
        <v>3.766478342749529E-3</v>
      </c>
      <c r="G116" s="40">
        <v>0</v>
      </c>
      <c r="H116" s="42">
        <f t="shared" si="25"/>
        <v>0</v>
      </c>
      <c r="I116" s="40">
        <v>14</v>
      </c>
      <c r="J116" s="41">
        <f t="shared" si="26"/>
        <v>2.6365348399246705E-2</v>
      </c>
      <c r="K116" s="40">
        <v>14</v>
      </c>
      <c r="L116" s="41">
        <f t="shared" si="27"/>
        <v>4.2813455657492352E-2</v>
      </c>
      <c r="M116" s="40">
        <v>469</v>
      </c>
      <c r="N116" s="41">
        <f>IFERROR(M116/$BE116,0)</f>
        <v>0.8832391713747646</v>
      </c>
      <c r="O116" s="40">
        <v>281</v>
      </c>
      <c r="P116" s="41">
        <f t="shared" si="28"/>
        <v>0.85932721712538229</v>
      </c>
      <c r="Q116" s="40">
        <v>46</v>
      </c>
      <c r="R116" s="41">
        <f>IFERROR(Q116/$BE116,0)</f>
        <v>8.6629001883239173E-2</v>
      </c>
      <c r="S116" s="40">
        <v>32</v>
      </c>
      <c r="T116" s="41">
        <f t="shared" si="29"/>
        <v>9.7859327217125383E-2</v>
      </c>
      <c r="U116" s="40">
        <v>70</v>
      </c>
      <c r="V116" s="41">
        <f t="shared" si="30"/>
        <v>0.13182674199623351</v>
      </c>
      <c r="W116" s="40">
        <v>65</v>
      </c>
      <c r="X116" s="41">
        <f t="shared" si="31"/>
        <v>0.19877675840978593</v>
      </c>
      <c r="Y116" s="40">
        <v>55</v>
      </c>
      <c r="Z116" s="41">
        <f t="shared" si="32"/>
        <v>0.10357815442561205</v>
      </c>
      <c r="AA116" s="40">
        <v>35</v>
      </c>
      <c r="AB116" s="41">
        <f t="shared" si="33"/>
        <v>0.10703363914373089</v>
      </c>
      <c r="AC116" s="40">
        <v>406</v>
      </c>
      <c r="AD116" s="41">
        <f t="shared" si="41"/>
        <v>0.76459510357815441</v>
      </c>
      <c r="AE116" s="40">
        <v>227</v>
      </c>
      <c r="AF116" s="41">
        <f t="shared" si="34"/>
        <v>0.6941896024464832</v>
      </c>
      <c r="AG116" s="40">
        <v>17</v>
      </c>
      <c r="AH116" s="41">
        <f t="shared" si="42"/>
        <v>3.2015065913370999E-2</v>
      </c>
      <c r="AI116" s="40">
        <v>13</v>
      </c>
      <c r="AJ116" s="41">
        <f t="shared" si="35"/>
        <v>3.9755351681957186E-2</v>
      </c>
      <c r="AK116" s="40">
        <v>17</v>
      </c>
      <c r="AL116" s="41">
        <f t="shared" si="43"/>
        <v>3.2015065913370999E-2</v>
      </c>
      <c r="AM116" s="40">
        <v>14</v>
      </c>
      <c r="AN116" s="41">
        <f t="shared" si="36"/>
        <v>4.2813455657492352E-2</v>
      </c>
      <c r="AO116" s="40">
        <v>271</v>
      </c>
      <c r="AP116" s="41">
        <f t="shared" si="44"/>
        <v>0.5103578154425612</v>
      </c>
      <c r="AQ116" s="40">
        <v>153</v>
      </c>
      <c r="AR116" s="41">
        <f t="shared" si="37"/>
        <v>0.46788990825688076</v>
      </c>
      <c r="AS116" s="40">
        <v>88</v>
      </c>
      <c r="AT116" s="41">
        <f t="shared" si="45"/>
        <v>0.16572504708097929</v>
      </c>
      <c r="AU116" s="40">
        <v>44</v>
      </c>
      <c r="AV116" s="41">
        <f t="shared" si="38"/>
        <v>0.13455657492354739</v>
      </c>
      <c r="AW116" s="40">
        <v>40</v>
      </c>
      <c r="AX116" s="41">
        <f t="shared" si="46"/>
        <v>7.5329566854990579E-2</v>
      </c>
      <c r="AY116" s="40">
        <v>19</v>
      </c>
      <c r="AZ116" s="41">
        <f t="shared" si="39"/>
        <v>5.8103975535168197E-2</v>
      </c>
      <c r="BA116" s="40">
        <v>98</v>
      </c>
      <c r="BB116" s="41">
        <f t="shared" si="47"/>
        <v>0.18455743879472694</v>
      </c>
      <c r="BC116" s="40">
        <v>84</v>
      </c>
      <c r="BD116" s="41">
        <f t="shared" si="40"/>
        <v>0.25688073394495414</v>
      </c>
      <c r="BE116" s="40">
        <v>531</v>
      </c>
      <c r="BF116" s="40">
        <v>327</v>
      </c>
    </row>
    <row r="117" spans="1:58" ht="15.75" customHeight="1" x14ac:dyDescent="0.25">
      <c r="A117" s="39">
        <v>2024</v>
      </c>
      <c r="B117" s="39">
        <v>171888</v>
      </c>
      <c r="C117" s="37" t="str">
        <f>VLOOKUP(B117,procv!$A$2:$D$142,4,FALSE)</f>
        <v>Cerrado Tocantins Araguaia</v>
      </c>
      <c r="D117" s="37" t="s">
        <v>120</v>
      </c>
      <c r="E117" s="40">
        <v>0</v>
      </c>
      <c r="F117" s="42">
        <f t="shared" si="24"/>
        <v>0</v>
      </c>
      <c r="G117" s="40">
        <v>0</v>
      </c>
      <c r="H117" s="42">
        <f t="shared" si="25"/>
        <v>0</v>
      </c>
      <c r="I117" s="40">
        <v>5</v>
      </c>
      <c r="J117" s="41">
        <f t="shared" si="26"/>
        <v>2.7322404371584699E-2</v>
      </c>
      <c r="K117" s="40">
        <v>0</v>
      </c>
      <c r="L117" s="41">
        <f t="shared" si="27"/>
        <v>0</v>
      </c>
      <c r="M117" s="40">
        <v>173</v>
      </c>
      <c r="N117" s="41">
        <f>IFERROR(M117/$BE117,0)</f>
        <v>0.94535519125683065</v>
      </c>
      <c r="O117" s="40">
        <v>30</v>
      </c>
      <c r="P117" s="41">
        <f t="shared" si="28"/>
        <v>0.967741935483871</v>
      </c>
      <c r="Q117" s="40">
        <v>5</v>
      </c>
      <c r="R117" s="41">
        <f>IFERROR(Q117/$BE117,0)</f>
        <v>2.7322404371584699E-2</v>
      </c>
      <c r="S117" s="40">
        <v>1</v>
      </c>
      <c r="T117" s="41">
        <f t="shared" si="29"/>
        <v>3.2258064516129031E-2</v>
      </c>
      <c r="U117" s="40">
        <v>14</v>
      </c>
      <c r="V117" s="41">
        <f t="shared" si="30"/>
        <v>7.650273224043716E-2</v>
      </c>
      <c r="W117" s="40">
        <v>2</v>
      </c>
      <c r="X117" s="41">
        <f t="shared" si="31"/>
        <v>6.4516129032258063E-2</v>
      </c>
      <c r="Y117" s="40">
        <v>25</v>
      </c>
      <c r="Z117" s="41">
        <f t="shared" si="32"/>
        <v>0.13661202185792351</v>
      </c>
      <c r="AA117" s="40">
        <v>5</v>
      </c>
      <c r="AB117" s="41">
        <f t="shared" si="33"/>
        <v>0.16129032258064516</v>
      </c>
      <c r="AC117" s="40">
        <v>144</v>
      </c>
      <c r="AD117" s="41">
        <f t="shared" si="41"/>
        <v>0.78688524590163933</v>
      </c>
      <c r="AE117" s="40">
        <v>24</v>
      </c>
      <c r="AF117" s="41">
        <f t="shared" si="34"/>
        <v>0.77419354838709675</v>
      </c>
      <c r="AG117" s="40">
        <v>1</v>
      </c>
      <c r="AH117" s="41">
        <f t="shared" si="42"/>
        <v>5.4644808743169399E-3</v>
      </c>
      <c r="AI117" s="40">
        <v>2</v>
      </c>
      <c r="AJ117" s="41">
        <f t="shared" si="35"/>
        <v>6.4516129032258063E-2</v>
      </c>
      <c r="AK117" s="40">
        <v>3</v>
      </c>
      <c r="AL117" s="41">
        <f t="shared" si="43"/>
        <v>1.6393442622950821E-2</v>
      </c>
      <c r="AM117" s="40">
        <v>1</v>
      </c>
      <c r="AN117" s="41">
        <f t="shared" si="36"/>
        <v>3.2258064516129031E-2</v>
      </c>
      <c r="AO117" s="40">
        <v>112</v>
      </c>
      <c r="AP117" s="41">
        <f t="shared" si="44"/>
        <v>0.61202185792349728</v>
      </c>
      <c r="AQ117" s="40">
        <v>20</v>
      </c>
      <c r="AR117" s="41">
        <f t="shared" si="37"/>
        <v>0.64516129032258063</v>
      </c>
      <c r="AS117" s="40">
        <v>41</v>
      </c>
      <c r="AT117" s="41">
        <f t="shared" si="45"/>
        <v>0.22404371584699453</v>
      </c>
      <c r="AU117" s="40">
        <v>6</v>
      </c>
      <c r="AV117" s="41">
        <f t="shared" si="38"/>
        <v>0.19354838709677419</v>
      </c>
      <c r="AW117" s="40">
        <v>22</v>
      </c>
      <c r="AX117" s="41">
        <f t="shared" si="46"/>
        <v>0.12021857923497267</v>
      </c>
      <c r="AY117" s="40">
        <v>1</v>
      </c>
      <c r="AZ117" s="41">
        <f t="shared" si="39"/>
        <v>3.2258064516129031E-2</v>
      </c>
      <c r="BA117" s="40">
        <v>4</v>
      </c>
      <c r="BB117" s="41">
        <f t="shared" si="47"/>
        <v>2.185792349726776E-2</v>
      </c>
      <c r="BC117" s="40">
        <v>1</v>
      </c>
      <c r="BD117" s="41">
        <f t="shared" si="40"/>
        <v>3.2258064516129031E-2</v>
      </c>
      <c r="BE117" s="40">
        <v>183</v>
      </c>
      <c r="BF117" s="40">
        <v>31</v>
      </c>
    </row>
    <row r="118" spans="1:58" ht="15.75" customHeight="1" x14ac:dyDescent="0.25">
      <c r="A118" s="39">
        <v>2024</v>
      </c>
      <c r="B118" s="39">
        <v>171889</v>
      </c>
      <c r="C118" s="37" t="str">
        <f>VLOOKUP(B118,procv!$A$2:$D$142,4,FALSE)</f>
        <v>Ilha do Bananal</v>
      </c>
      <c r="D118" s="37" t="s">
        <v>121</v>
      </c>
      <c r="E118" s="40">
        <v>1</v>
      </c>
      <c r="F118" s="42">
        <f t="shared" si="24"/>
        <v>7.0921985815602835E-3</v>
      </c>
      <c r="G118" s="40">
        <v>1</v>
      </c>
      <c r="H118" s="42">
        <f t="shared" si="25"/>
        <v>1.7241379310344827E-2</v>
      </c>
      <c r="I118" s="40">
        <v>2</v>
      </c>
      <c r="J118" s="41">
        <f t="shared" si="26"/>
        <v>1.4184397163120567E-2</v>
      </c>
      <c r="K118" s="40">
        <v>2</v>
      </c>
      <c r="L118" s="41">
        <f t="shared" si="27"/>
        <v>3.4482758620689655E-2</v>
      </c>
      <c r="M118" s="40">
        <v>131</v>
      </c>
      <c r="N118" s="41">
        <f>IFERROR(M118/$BE118,0)</f>
        <v>0.92907801418439717</v>
      </c>
      <c r="O118" s="40">
        <v>52</v>
      </c>
      <c r="P118" s="41">
        <f t="shared" si="28"/>
        <v>0.89655172413793105</v>
      </c>
      <c r="Q118" s="40">
        <v>7</v>
      </c>
      <c r="R118" s="41">
        <f>IFERROR(Q118/$BE118,0)</f>
        <v>4.9645390070921988E-2</v>
      </c>
      <c r="S118" s="40">
        <v>3</v>
      </c>
      <c r="T118" s="41">
        <f t="shared" si="29"/>
        <v>5.1724137931034482E-2</v>
      </c>
      <c r="U118" s="40">
        <v>2</v>
      </c>
      <c r="V118" s="41">
        <f t="shared" si="30"/>
        <v>1.4184397163120567E-2</v>
      </c>
      <c r="W118" s="40">
        <v>1</v>
      </c>
      <c r="X118" s="41">
        <f t="shared" si="31"/>
        <v>1.7241379310344827E-2</v>
      </c>
      <c r="Y118" s="40">
        <v>8</v>
      </c>
      <c r="Z118" s="41">
        <f t="shared" si="32"/>
        <v>5.6737588652482268E-2</v>
      </c>
      <c r="AA118" s="40">
        <v>4</v>
      </c>
      <c r="AB118" s="41">
        <f t="shared" si="33"/>
        <v>6.8965517241379309E-2</v>
      </c>
      <c r="AC118" s="40">
        <v>131</v>
      </c>
      <c r="AD118" s="41">
        <f t="shared" si="41"/>
        <v>0.92907801418439717</v>
      </c>
      <c r="AE118" s="40">
        <v>53</v>
      </c>
      <c r="AF118" s="41">
        <f t="shared" si="34"/>
        <v>0.91379310344827591</v>
      </c>
      <c r="AG118" s="40">
        <v>5</v>
      </c>
      <c r="AH118" s="41">
        <f t="shared" si="42"/>
        <v>3.5460992907801421E-2</v>
      </c>
      <c r="AI118" s="40">
        <v>3</v>
      </c>
      <c r="AJ118" s="41">
        <f t="shared" si="35"/>
        <v>5.1724137931034482E-2</v>
      </c>
      <c r="AK118" s="40">
        <v>2</v>
      </c>
      <c r="AL118" s="41">
        <f t="shared" si="43"/>
        <v>1.4184397163120567E-2</v>
      </c>
      <c r="AM118" s="40">
        <v>2</v>
      </c>
      <c r="AN118" s="41">
        <f t="shared" si="36"/>
        <v>3.4482758620689655E-2</v>
      </c>
      <c r="AO118" s="40">
        <v>92</v>
      </c>
      <c r="AP118" s="41">
        <f t="shared" si="44"/>
        <v>0.65248226950354615</v>
      </c>
      <c r="AQ118" s="40">
        <v>45</v>
      </c>
      <c r="AR118" s="41">
        <f t="shared" si="37"/>
        <v>0.77586206896551724</v>
      </c>
      <c r="AS118" s="40">
        <v>26</v>
      </c>
      <c r="AT118" s="41">
        <f t="shared" si="45"/>
        <v>0.18439716312056736</v>
      </c>
      <c r="AU118" s="40">
        <v>2</v>
      </c>
      <c r="AV118" s="41">
        <f t="shared" si="38"/>
        <v>3.4482758620689655E-2</v>
      </c>
      <c r="AW118" s="40">
        <v>11</v>
      </c>
      <c r="AX118" s="41">
        <f t="shared" si="46"/>
        <v>7.8014184397163122E-2</v>
      </c>
      <c r="AY118" s="40">
        <v>2</v>
      </c>
      <c r="AZ118" s="41">
        <f t="shared" si="39"/>
        <v>3.4482758620689655E-2</v>
      </c>
      <c r="BA118" s="40">
        <v>5</v>
      </c>
      <c r="BB118" s="41">
        <f t="shared" si="47"/>
        <v>3.5460992907801421E-2</v>
      </c>
      <c r="BC118" s="40">
        <v>4</v>
      </c>
      <c r="BD118" s="41">
        <f t="shared" si="40"/>
        <v>6.8965517241379309E-2</v>
      </c>
      <c r="BE118" s="40">
        <v>141</v>
      </c>
      <c r="BF118" s="40">
        <v>58</v>
      </c>
    </row>
    <row r="119" spans="1:58" ht="15.75" customHeight="1" x14ac:dyDescent="0.25">
      <c r="A119" s="39">
        <v>2024</v>
      </c>
      <c r="B119" s="39">
        <v>171890</v>
      </c>
      <c r="C119" s="37" t="str">
        <f>VLOOKUP(B119,procv!$A$2:$D$142,4,FALSE)</f>
        <v>Amor Perfeito</v>
      </c>
      <c r="D119" s="37" t="s">
        <v>122</v>
      </c>
      <c r="E119" s="40">
        <v>2</v>
      </c>
      <c r="F119" s="42">
        <f t="shared" si="24"/>
        <v>8.2644628099173556E-3</v>
      </c>
      <c r="G119" s="40">
        <v>1</v>
      </c>
      <c r="H119" s="42">
        <f t="shared" si="25"/>
        <v>4.5871559633027525E-3</v>
      </c>
      <c r="I119" s="40">
        <v>8</v>
      </c>
      <c r="J119" s="41">
        <f t="shared" si="26"/>
        <v>3.3057851239669422E-2</v>
      </c>
      <c r="K119" s="40">
        <v>8</v>
      </c>
      <c r="L119" s="41">
        <f t="shared" si="27"/>
        <v>3.669724770642202E-2</v>
      </c>
      <c r="M119" s="40">
        <v>228</v>
      </c>
      <c r="N119" s="41">
        <f>IFERROR(M119/$BE119,0)</f>
        <v>0.94214876033057848</v>
      </c>
      <c r="O119" s="40">
        <v>206</v>
      </c>
      <c r="P119" s="41">
        <f t="shared" si="28"/>
        <v>0.94495412844036697</v>
      </c>
      <c r="Q119" s="40">
        <v>4</v>
      </c>
      <c r="R119" s="41">
        <f>IFERROR(Q119/$BE119,0)</f>
        <v>1.6528925619834711E-2</v>
      </c>
      <c r="S119" s="40">
        <v>3</v>
      </c>
      <c r="T119" s="41">
        <f t="shared" si="29"/>
        <v>1.3761467889908258E-2</v>
      </c>
      <c r="U119" s="40">
        <v>19</v>
      </c>
      <c r="V119" s="41">
        <f t="shared" si="30"/>
        <v>7.8512396694214878E-2</v>
      </c>
      <c r="W119" s="40">
        <v>19</v>
      </c>
      <c r="X119" s="41">
        <f t="shared" si="31"/>
        <v>8.7155963302752298E-2</v>
      </c>
      <c r="Y119" s="40">
        <v>23</v>
      </c>
      <c r="Z119" s="41">
        <f t="shared" si="32"/>
        <v>9.5041322314049589E-2</v>
      </c>
      <c r="AA119" s="40">
        <v>22</v>
      </c>
      <c r="AB119" s="41">
        <f t="shared" si="33"/>
        <v>0.10091743119266056</v>
      </c>
      <c r="AC119" s="40">
        <v>200</v>
      </c>
      <c r="AD119" s="41">
        <f t="shared" si="41"/>
        <v>0.82644628099173556</v>
      </c>
      <c r="AE119" s="40">
        <v>177</v>
      </c>
      <c r="AF119" s="41">
        <f t="shared" si="34"/>
        <v>0.81192660550458717</v>
      </c>
      <c r="AG119" s="40">
        <v>17</v>
      </c>
      <c r="AH119" s="41">
        <f t="shared" si="42"/>
        <v>7.0247933884297523E-2</v>
      </c>
      <c r="AI119" s="40">
        <v>18</v>
      </c>
      <c r="AJ119" s="41">
        <f t="shared" si="35"/>
        <v>8.2568807339449546E-2</v>
      </c>
      <c r="AK119" s="40">
        <v>12</v>
      </c>
      <c r="AL119" s="41">
        <f t="shared" si="43"/>
        <v>4.9586776859504134E-2</v>
      </c>
      <c r="AM119" s="40">
        <v>11</v>
      </c>
      <c r="AN119" s="41">
        <f t="shared" si="36"/>
        <v>5.0458715596330278E-2</v>
      </c>
      <c r="AO119" s="40">
        <v>135</v>
      </c>
      <c r="AP119" s="41">
        <f t="shared" si="44"/>
        <v>0.55785123966942152</v>
      </c>
      <c r="AQ119" s="40">
        <v>113</v>
      </c>
      <c r="AR119" s="41">
        <f t="shared" si="37"/>
        <v>0.51834862385321101</v>
      </c>
      <c r="AS119" s="40">
        <v>52</v>
      </c>
      <c r="AT119" s="41">
        <f t="shared" si="45"/>
        <v>0.21487603305785125</v>
      </c>
      <c r="AU119" s="40">
        <v>51</v>
      </c>
      <c r="AV119" s="41">
        <f t="shared" si="38"/>
        <v>0.23394495412844038</v>
      </c>
      <c r="AW119" s="40">
        <v>15</v>
      </c>
      <c r="AX119" s="41">
        <f t="shared" si="46"/>
        <v>6.1983471074380167E-2</v>
      </c>
      <c r="AY119" s="40">
        <v>15</v>
      </c>
      <c r="AZ119" s="41">
        <f t="shared" si="39"/>
        <v>6.8807339449541288E-2</v>
      </c>
      <c r="BA119" s="40">
        <v>11</v>
      </c>
      <c r="BB119" s="41">
        <f t="shared" si="47"/>
        <v>4.5454545454545456E-2</v>
      </c>
      <c r="BC119" s="40">
        <v>10</v>
      </c>
      <c r="BD119" s="41">
        <f t="shared" si="40"/>
        <v>4.5871559633027525E-2</v>
      </c>
      <c r="BE119" s="40">
        <v>242</v>
      </c>
      <c r="BF119" s="40">
        <v>218</v>
      </c>
    </row>
    <row r="120" spans="1:58" ht="15.75" customHeight="1" x14ac:dyDescent="0.25">
      <c r="A120" s="39">
        <v>2024</v>
      </c>
      <c r="B120" s="39">
        <v>171900</v>
      </c>
      <c r="C120" s="37" t="str">
        <f>VLOOKUP(B120,procv!$A$2:$D$142,4,FALSE)</f>
        <v>Capim Dourado</v>
      </c>
      <c r="D120" s="37" t="s">
        <v>123</v>
      </c>
      <c r="E120" s="40">
        <v>5</v>
      </c>
      <c r="F120" s="42">
        <f t="shared" si="24"/>
        <v>1.5974440894568689E-2</v>
      </c>
      <c r="G120" s="40">
        <v>4</v>
      </c>
      <c r="H120" s="42">
        <f t="shared" si="25"/>
        <v>2.6143790849673203E-2</v>
      </c>
      <c r="I120" s="40">
        <v>12</v>
      </c>
      <c r="J120" s="41">
        <f t="shared" si="26"/>
        <v>3.8338658146964855E-2</v>
      </c>
      <c r="K120" s="40">
        <v>5</v>
      </c>
      <c r="L120" s="41">
        <f t="shared" si="27"/>
        <v>3.2679738562091505E-2</v>
      </c>
      <c r="M120" s="40">
        <v>274</v>
      </c>
      <c r="N120" s="41">
        <f>IFERROR(M120/$BE120,0)</f>
        <v>0.87539936102236426</v>
      </c>
      <c r="O120" s="40">
        <v>136</v>
      </c>
      <c r="P120" s="41">
        <f t="shared" si="28"/>
        <v>0.88888888888888884</v>
      </c>
      <c r="Q120" s="40">
        <v>22</v>
      </c>
      <c r="R120" s="41">
        <f>IFERROR(Q120/$BE120,0)</f>
        <v>7.0287539936102233E-2</v>
      </c>
      <c r="S120" s="40">
        <v>8</v>
      </c>
      <c r="T120" s="41">
        <f t="shared" si="29"/>
        <v>5.2287581699346407E-2</v>
      </c>
      <c r="U120" s="40">
        <v>14</v>
      </c>
      <c r="V120" s="41">
        <f t="shared" si="30"/>
        <v>4.472843450479233E-2</v>
      </c>
      <c r="W120" s="40">
        <v>16</v>
      </c>
      <c r="X120" s="41">
        <f t="shared" si="31"/>
        <v>0.10457516339869281</v>
      </c>
      <c r="Y120" s="40">
        <v>34</v>
      </c>
      <c r="Z120" s="41">
        <f t="shared" si="32"/>
        <v>0.10862619808306709</v>
      </c>
      <c r="AA120" s="40">
        <v>11</v>
      </c>
      <c r="AB120" s="41">
        <f t="shared" si="33"/>
        <v>7.1895424836601302E-2</v>
      </c>
      <c r="AC120" s="40">
        <v>265</v>
      </c>
      <c r="AD120" s="41">
        <f t="shared" si="41"/>
        <v>0.84664536741214058</v>
      </c>
      <c r="AE120" s="40">
        <v>126</v>
      </c>
      <c r="AF120" s="41">
        <f t="shared" si="34"/>
        <v>0.82352941176470584</v>
      </c>
      <c r="AG120" s="40">
        <v>3</v>
      </c>
      <c r="AH120" s="41">
        <f t="shared" si="42"/>
        <v>9.5846645367412137E-3</v>
      </c>
      <c r="AI120" s="40">
        <v>5</v>
      </c>
      <c r="AJ120" s="41">
        <f t="shared" si="35"/>
        <v>3.2679738562091505E-2</v>
      </c>
      <c r="AK120" s="40">
        <v>7</v>
      </c>
      <c r="AL120" s="41">
        <f t="shared" si="43"/>
        <v>2.2364217252396165E-2</v>
      </c>
      <c r="AM120" s="40">
        <v>3</v>
      </c>
      <c r="AN120" s="41">
        <f t="shared" si="36"/>
        <v>1.9607843137254902E-2</v>
      </c>
      <c r="AO120" s="40">
        <v>206</v>
      </c>
      <c r="AP120" s="41">
        <f t="shared" si="44"/>
        <v>0.65814696485623003</v>
      </c>
      <c r="AQ120" s="40">
        <v>103</v>
      </c>
      <c r="AR120" s="41">
        <f t="shared" si="37"/>
        <v>0.67320261437908502</v>
      </c>
      <c r="AS120" s="40">
        <v>55</v>
      </c>
      <c r="AT120" s="41">
        <f t="shared" si="45"/>
        <v>0.1757188498402556</v>
      </c>
      <c r="AU120" s="40">
        <v>25</v>
      </c>
      <c r="AV120" s="41">
        <f t="shared" si="38"/>
        <v>0.16339869281045752</v>
      </c>
      <c r="AW120" s="40">
        <v>27</v>
      </c>
      <c r="AX120" s="41">
        <f t="shared" si="46"/>
        <v>8.6261980830670923E-2</v>
      </c>
      <c r="AY120" s="40">
        <v>13</v>
      </c>
      <c r="AZ120" s="41">
        <f t="shared" si="39"/>
        <v>8.4967320261437912E-2</v>
      </c>
      <c r="BA120" s="40">
        <v>15</v>
      </c>
      <c r="BB120" s="41">
        <f t="shared" si="47"/>
        <v>4.7923322683706068E-2</v>
      </c>
      <c r="BC120" s="40">
        <v>4</v>
      </c>
      <c r="BD120" s="41">
        <f t="shared" si="40"/>
        <v>2.6143790849673203E-2</v>
      </c>
      <c r="BE120" s="40">
        <v>313</v>
      </c>
      <c r="BF120" s="40">
        <v>153</v>
      </c>
    </row>
    <row r="121" spans="1:58" ht="15.75" customHeight="1" x14ac:dyDescent="0.25">
      <c r="A121" s="39">
        <v>2024</v>
      </c>
      <c r="B121" s="39">
        <v>172000</v>
      </c>
      <c r="C121" s="37" t="str">
        <f>VLOOKUP(B121,procv!$A$2:$D$142,4,FALSE)</f>
        <v>Bico do Papagaio</v>
      </c>
      <c r="D121" s="37" t="s">
        <v>124</v>
      </c>
      <c r="E121" s="40">
        <v>0</v>
      </c>
      <c r="F121" s="42">
        <f t="shared" si="24"/>
        <v>0</v>
      </c>
      <c r="G121" s="40">
        <v>0</v>
      </c>
      <c r="H121" s="42">
        <f t="shared" si="25"/>
        <v>0</v>
      </c>
      <c r="I121" s="40">
        <v>8</v>
      </c>
      <c r="J121" s="41">
        <f t="shared" si="26"/>
        <v>4.1884816753926704E-2</v>
      </c>
      <c r="K121" s="40">
        <v>2</v>
      </c>
      <c r="L121" s="41">
        <f t="shared" si="27"/>
        <v>3.5714285714285712E-2</v>
      </c>
      <c r="M121" s="40">
        <v>175</v>
      </c>
      <c r="N121" s="41">
        <f>IFERROR(M121/$BE121,0)</f>
        <v>0.91623036649214662</v>
      </c>
      <c r="O121" s="40">
        <v>53</v>
      </c>
      <c r="P121" s="41">
        <f t="shared" si="28"/>
        <v>0.9464285714285714</v>
      </c>
      <c r="Q121" s="40">
        <v>8</v>
      </c>
      <c r="R121" s="41">
        <f>IFERROR(Q121/$BE121,0)</f>
        <v>4.1884816753926704E-2</v>
      </c>
      <c r="S121" s="40">
        <v>1</v>
      </c>
      <c r="T121" s="41">
        <f t="shared" si="29"/>
        <v>1.7857142857142856E-2</v>
      </c>
      <c r="U121" s="40">
        <v>9</v>
      </c>
      <c r="V121" s="41">
        <f t="shared" si="30"/>
        <v>4.712041884816754E-2</v>
      </c>
      <c r="W121" s="40">
        <v>9</v>
      </c>
      <c r="X121" s="41">
        <f t="shared" si="31"/>
        <v>0.16071428571428573</v>
      </c>
      <c r="Y121" s="40">
        <v>20</v>
      </c>
      <c r="Z121" s="41">
        <f t="shared" si="32"/>
        <v>0.10471204188481675</v>
      </c>
      <c r="AA121" s="40">
        <v>4</v>
      </c>
      <c r="AB121" s="41">
        <f t="shared" si="33"/>
        <v>7.1428571428571425E-2</v>
      </c>
      <c r="AC121" s="40">
        <v>162</v>
      </c>
      <c r="AD121" s="41">
        <f t="shared" si="41"/>
        <v>0.84816753926701571</v>
      </c>
      <c r="AE121" s="40">
        <v>43</v>
      </c>
      <c r="AF121" s="41">
        <f t="shared" si="34"/>
        <v>0.7678571428571429</v>
      </c>
      <c r="AG121" s="40">
        <v>1</v>
      </c>
      <c r="AH121" s="41">
        <f t="shared" si="42"/>
        <v>5.235602094240838E-3</v>
      </c>
      <c r="AI121" s="40">
        <v>0</v>
      </c>
      <c r="AJ121" s="41">
        <f t="shared" si="35"/>
        <v>0</v>
      </c>
      <c r="AK121" s="40">
        <v>7</v>
      </c>
      <c r="AL121" s="41">
        <f t="shared" si="43"/>
        <v>3.6649214659685861E-2</v>
      </c>
      <c r="AM121" s="40">
        <v>5</v>
      </c>
      <c r="AN121" s="41">
        <f t="shared" si="36"/>
        <v>8.9285714285714288E-2</v>
      </c>
      <c r="AO121" s="40">
        <v>134</v>
      </c>
      <c r="AP121" s="41">
        <f t="shared" si="44"/>
        <v>0.70157068062827221</v>
      </c>
      <c r="AQ121" s="40">
        <v>34</v>
      </c>
      <c r="AR121" s="41">
        <f t="shared" si="37"/>
        <v>0.6071428571428571</v>
      </c>
      <c r="AS121" s="40">
        <v>27</v>
      </c>
      <c r="AT121" s="41">
        <f t="shared" si="45"/>
        <v>0.14136125654450263</v>
      </c>
      <c r="AU121" s="40">
        <v>6</v>
      </c>
      <c r="AV121" s="41">
        <f t="shared" si="38"/>
        <v>0.10714285714285714</v>
      </c>
      <c r="AW121" s="40">
        <v>15</v>
      </c>
      <c r="AX121" s="41">
        <f t="shared" si="46"/>
        <v>7.8534031413612565E-2</v>
      </c>
      <c r="AY121" s="40">
        <v>6</v>
      </c>
      <c r="AZ121" s="41">
        <f t="shared" si="39"/>
        <v>0.10714285714285714</v>
      </c>
      <c r="BA121" s="40">
        <v>7</v>
      </c>
      <c r="BB121" s="41">
        <f t="shared" si="47"/>
        <v>3.6649214659685861E-2</v>
      </c>
      <c r="BC121" s="40">
        <v>5</v>
      </c>
      <c r="BD121" s="41">
        <f t="shared" si="40"/>
        <v>8.9285714285714288E-2</v>
      </c>
      <c r="BE121" s="40">
        <v>191</v>
      </c>
      <c r="BF121" s="40">
        <v>56</v>
      </c>
    </row>
    <row r="122" spans="1:58" ht="15.75" customHeight="1" x14ac:dyDescent="0.25">
      <c r="A122" s="39">
        <v>2024</v>
      </c>
      <c r="B122" s="39">
        <v>172010</v>
      </c>
      <c r="C122" s="37" t="str">
        <f>VLOOKUP(B122,procv!$A$2:$D$142,4,FALSE)</f>
        <v>Bico do Papagaio</v>
      </c>
      <c r="D122" s="37" t="s">
        <v>125</v>
      </c>
      <c r="E122" s="40">
        <v>4</v>
      </c>
      <c r="F122" s="42">
        <f t="shared" si="24"/>
        <v>8.0971659919028341E-3</v>
      </c>
      <c r="G122" s="40">
        <v>2</v>
      </c>
      <c r="H122" s="42">
        <f t="shared" si="25"/>
        <v>7.8431372549019607E-3</v>
      </c>
      <c r="I122" s="40">
        <v>19</v>
      </c>
      <c r="J122" s="41">
        <f t="shared" si="26"/>
        <v>3.8461538461538464E-2</v>
      </c>
      <c r="K122" s="40">
        <v>10</v>
      </c>
      <c r="L122" s="41">
        <f t="shared" si="27"/>
        <v>3.9215686274509803E-2</v>
      </c>
      <c r="M122" s="40">
        <v>446</v>
      </c>
      <c r="N122" s="41">
        <f>IFERROR(M122/$BE122,0)</f>
        <v>0.90283400809716596</v>
      </c>
      <c r="O122" s="40">
        <v>232</v>
      </c>
      <c r="P122" s="41">
        <f t="shared" si="28"/>
        <v>0.90980392156862744</v>
      </c>
      <c r="Q122" s="40">
        <v>25</v>
      </c>
      <c r="R122" s="41">
        <f>IFERROR(Q122/$BE122,0)</f>
        <v>5.0607287449392711E-2</v>
      </c>
      <c r="S122" s="40">
        <v>11</v>
      </c>
      <c r="T122" s="41">
        <f t="shared" si="29"/>
        <v>4.3137254901960784E-2</v>
      </c>
      <c r="U122" s="40">
        <v>33</v>
      </c>
      <c r="V122" s="41">
        <f t="shared" si="30"/>
        <v>6.6801619433198386E-2</v>
      </c>
      <c r="W122" s="40">
        <v>27</v>
      </c>
      <c r="X122" s="41">
        <f t="shared" si="31"/>
        <v>0.10588235294117647</v>
      </c>
      <c r="Y122" s="40">
        <v>42</v>
      </c>
      <c r="Z122" s="41">
        <f t="shared" si="32"/>
        <v>8.5020242914979755E-2</v>
      </c>
      <c r="AA122" s="40">
        <v>24</v>
      </c>
      <c r="AB122" s="41">
        <f t="shared" si="33"/>
        <v>9.4117647058823528E-2</v>
      </c>
      <c r="AC122" s="40">
        <v>419</v>
      </c>
      <c r="AD122" s="41">
        <f t="shared" si="41"/>
        <v>0.84817813765182182</v>
      </c>
      <c r="AE122" s="40">
        <v>204</v>
      </c>
      <c r="AF122" s="41">
        <f t="shared" si="34"/>
        <v>0.8</v>
      </c>
      <c r="AG122" s="40">
        <v>13</v>
      </c>
      <c r="AH122" s="41">
        <f t="shared" si="42"/>
        <v>2.6315789473684209E-2</v>
      </c>
      <c r="AI122" s="40">
        <v>5</v>
      </c>
      <c r="AJ122" s="41">
        <f t="shared" si="35"/>
        <v>1.9607843137254902E-2</v>
      </c>
      <c r="AK122" s="40">
        <v>9</v>
      </c>
      <c r="AL122" s="41">
        <f t="shared" si="43"/>
        <v>1.8218623481781375E-2</v>
      </c>
      <c r="AM122" s="40">
        <v>12</v>
      </c>
      <c r="AN122" s="41">
        <f t="shared" si="36"/>
        <v>4.7058823529411764E-2</v>
      </c>
      <c r="AO122" s="40">
        <v>325</v>
      </c>
      <c r="AP122" s="41">
        <f t="shared" si="44"/>
        <v>0.65789473684210531</v>
      </c>
      <c r="AQ122" s="40">
        <v>169</v>
      </c>
      <c r="AR122" s="41">
        <f t="shared" si="37"/>
        <v>0.66274509803921566</v>
      </c>
      <c r="AS122" s="40">
        <v>82</v>
      </c>
      <c r="AT122" s="41">
        <f t="shared" si="45"/>
        <v>0.16599190283400811</v>
      </c>
      <c r="AU122" s="40">
        <v>29</v>
      </c>
      <c r="AV122" s="41">
        <f t="shared" si="38"/>
        <v>0.11372549019607843</v>
      </c>
      <c r="AW122" s="40">
        <v>37</v>
      </c>
      <c r="AX122" s="41">
        <f t="shared" si="46"/>
        <v>7.4898785425101214E-2</v>
      </c>
      <c r="AY122" s="40">
        <v>25</v>
      </c>
      <c r="AZ122" s="41">
        <f t="shared" si="39"/>
        <v>9.8039215686274508E-2</v>
      </c>
      <c r="BA122" s="40">
        <v>28</v>
      </c>
      <c r="BB122" s="41">
        <f t="shared" si="47"/>
        <v>5.6680161943319839E-2</v>
      </c>
      <c r="BC122" s="40">
        <v>15</v>
      </c>
      <c r="BD122" s="41">
        <f t="shared" si="40"/>
        <v>5.8823529411764705E-2</v>
      </c>
      <c r="BE122" s="40">
        <v>494</v>
      </c>
      <c r="BF122" s="40">
        <v>255</v>
      </c>
    </row>
    <row r="123" spans="1:58" ht="15.75" customHeight="1" x14ac:dyDescent="0.25">
      <c r="A123" s="39">
        <v>2024</v>
      </c>
      <c r="B123" s="39">
        <v>172015</v>
      </c>
      <c r="C123" s="37" t="str">
        <f>VLOOKUP(B123,procv!$A$2:$D$142,4,FALSE)</f>
        <v>Capim Dourado</v>
      </c>
      <c r="D123" s="37" t="s">
        <v>126</v>
      </c>
      <c r="E123" s="40">
        <v>0</v>
      </c>
      <c r="F123" s="42">
        <f t="shared" si="24"/>
        <v>0</v>
      </c>
      <c r="G123" s="40">
        <v>0</v>
      </c>
      <c r="H123" s="42">
        <f t="shared" si="25"/>
        <v>0</v>
      </c>
      <c r="I123" s="40">
        <v>6</v>
      </c>
      <c r="J123" s="41">
        <f t="shared" si="26"/>
        <v>4.2253521126760563E-2</v>
      </c>
      <c r="K123" s="40">
        <v>4</v>
      </c>
      <c r="L123" s="41">
        <f t="shared" si="27"/>
        <v>6.7796610169491525E-2</v>
      </c>
      <c r="M123" s="40">
        <v>130</v>
      </c>
      <c r="N123" s="41">
        <f>IFERROR(M123/$BE123,0)</f>
        <v>0.91549295774647887</v>
      </c>
      <c r="O123" s="40">
        <v>54</v>
      </c>
      <c r="P123" s="41">
        <f t="shared" si="28"/>
        <v>0.9152542372881356</v>
      </c>
      <c r="Q123" s="40">
        <v>6</v>
      </c>
      <c r="R123" s="41">
        <f>IFERROR(Q123/$BE123,0)</f>
        <v>4.2253521126760563E-2</v>
      </c>
      <c r="S123" s="40">
        <v>1</v>
      </c>
      <c r="T123" s="41">
        <f t="shared" si="29"/>
        <v>1.6949152542372881E-2</v>
      </c>
      <c r="U123" s="40">
        <v>9</v>
      </c>
      <c r="V123" s="41">
        <f t="shared" si="30"/>
        <v>6.3380281690140844E-2</v>
      </c>
      <c r="W123" s="40">
        <v>3</v>
      </c>
      <c r="X123" s="41">
        <f t="shared" si="31"/>
        <v>5.0847457627118647E-2</v>
      </c>
      <c r="Y123" s="40">
        <v>12</v>
      </c>
      <c r="Z123" s="41">
        <f t="shared" si="32"/>
        <v>8.4507042253521125E-2</v>
      </c>
      <c r="AA123" s="40">
        <v>4</v>
      </c>
      <c r="AB123" s="41">
        <f t="shared" si="33"/>
        <v>6.7796610169491525E-2</v>
      </c>
      <c r="AC123" s="40">
        <v>121</v>
      </c>
      <c r="AD123" s="41">
        <f t="shared" si="41"/>
        <v>0.852112676056338</v>
      </c>
      <c r="AE123" s="40">
        <v>52</v>
      </c>
      <c r="AF123" s="41">
        <f t="shared" si="34"/>
        <v>0.88135593220338981</v>
      </c>
      <c r="AG123" s="40">
        <v>2</v>
      </c>
      <c r="AH123" s="41">
        <f t="shared" si="42"/>
        <v>1.4084507042253521E-2</v>
      </c>
      <c r="AI123" s="40">
        <v>2</v>
      </c>
      <c r="AJ123" s="41">
        <f t="shared" si="35"/>
        <v>3.3898305084745763E-2</v>
      </c>
      <c r="AK123" s="40">
        <v>5</v>
      </c>
      <c r="AL123" s="41">
        <f t="shared" si="43"/>
        <v>3.5211267605633804E-2</v>
      </c>
      <c r="AM123" s="40">
        <v>3</v>
      </c>
      <c r="AN123" s="41">
        <f t="shared" si="36"/>
        <v>5.0847457627118647E-2</v>
      </c>
      <c r="AO123" s="40">
        <v>88</v>
      </c>
      <c r="AP123" s="41">
        <f t="shared" si="44"/>
        <v>0.61971830985915488</v>
      </c>
      <c r="AQ123" s="40">
        <v>44</v>
      </c>
      <c r="AR123" s="41">
        <f t="shared" si="37"/>
        <v>0.74576271186440679</v>
      </c>
      <c r="AS123" s="40">
        <v>29</v>
      </c>
      <c r="AT123" s="41">
        <f t="shared" si="45"/>
        <v>0.20422535211267606</v>
      </c>
      <c r="AU123" s="40">
        <v>8</v>
      </c>
      <c r="AV123" s="41">
        <f t="shared" si="38"/>
        <v>0.13559322033898305</v>
      </c>
      <c r="AW123" s="40">
        <v>11</v>
      </c>
      <c r="AX123" s="41">
        <f t="shared" si="46"/>
        <v>7.746478873239436E-2</v>
      </c>
      <c r="AY123" s="40">
        <v>2</v>
      </c>
      <c r="AZ123" s="41">
        <f t="shared" si="39"/>
        <v>3.3898305084745763E-2</v>
      </c>
      <c r="BA123" s="40">
        <v>7</v>
      </c>
      <c r="BB123" s="41">
        <f t="shared" si="47"/>
        <v>4.9295774647887321E-2</v>
      </c>
      <c r="BC123" s="40">
        <v>0</v>
      </c>
      <c r="BD123" s="41">
        <f t="shared" si="40"/>
        <v>0</v>
      </c>
      <c r="BE123" s="40">
        <v>142</v>
      </c>
      <c r="BF123" s="40">
        <v>59</v>
      </c>
    </row>
    <row r="124" spans="1:58" ht="15.75" customHeight="1" x14ac:dyDescent="0.25">
      <c r="A124" s="39">
        <v>2024</v>
      </c>
      <c r="B124" s="39">
        <v>172020</v>
      </c>
      <c r="C124" s="37" t="str">
        <f>VLOOKUP(B124,procv!$A$2:$D$142,4,FALSE)</f>
        <v>Bico do Papagaio</v>
      </c>
      <c r="D124" s="37" t="s">
        <v>127</v>
      </c>
      <c r="E124" s="40">
        <v>8</v>
      </c>
      <c r="F124" s="42">
        <f t="shared" si="24"/>
        <v>8.0889787664307385E-3</v>
      </c>
      <c r="G124" s="40">
        <v>2</v>
      </c>
      <c r="H124" s="42">
        <f t="shared" si="25"/>
        <v>2.7700831024930748E-3</v>
      </c>
      <c r="I124" s="40">
        <v>63</v>
      </c>
      <c r="J124" s="41">
        <f t="shared" si="26"/>
        <v>6.3700707785642061E-2</v>
      </c>
      <c r="K124" s="40">
        <v>48</v>
      </c>
      <c r="L124" s="41">
        <f t="shared" si="27"/>
        <v>6.6481994459833799E-2</v>
      </c>
      <c r="M124" s="40">
        <v>886</v>
      </c>
      <c r="N124" s="41">
        <f>IFERROR(M124/$BE124,0)</f>
        <v>0.89585439838220426</v>
      </c>
      <c r="O124" s="40">
        <v>641</v>
      </c>
      <c r="P124" s="41">
        <f t="shared" si="28"/>
        <v>0.88781163434903043</v>
      </c>
      <c r="Q124" s="40">
        <v>32</v>
      </c>
      <c r="R124" s="41">
        <f>IFERROR(Q124/$BE124,0)</f>
        <v>3.2355915065722954E-2</v>
      </c>
      <c r="S124" s="40">
        <v>31</v>
      </c>
      <c r="T124" s="41">
        <f t="shared" si="29"/>
        <v>4.2936288088642659E-2</v>
      </c>
      <c r="U124" s="40">
        <v>59</v>
      </c>
      <c r="V124" s="41">
        <f t="shared" si="30"/>
        <v>5.9656218402426693E-2</v>
      </c>
      <c r="W124" s="40">
        <v>41</v>
      </c>
      <c r="X124" s="41">
        <f t="shared" si="31"/>
        <v>5.6786703601108032E-2</v>
      </c>
      <c r="Y124" s="40">
        <v>83</v>
      </c>
      <c r="Z124" s="41">
        <f t="shared" si="32"/>
        <v>8.3923154701718905E-2</v>
      </c>
      <c r="AA124" s="40">
        <v>74</v>
      </c>
      <c r="AB124" s="41">
        <f t="shared" si="33"/>
        <v>0.10249307479224377</v>
      </c>
      <c r="AC124" s="40">
        <v>847</v>
      </c>
      <c r="AD124" s="41">
        <f t="shared" si="41"/>
        <v>0.85642062689585441</v>
      </c>
      <c r="AE124" s="40">
        <v>607</v>
      </c>
      <c r="AF124" s="41">
        <f t="shared" si="34"/>
        <v>0.84072022160664817</v>
      </c>
      <c r="AG124" s="40">
        <v>41</v>
      </c>
      <c r="AH124" s="41">
        <f t="shared" si="42"/>
        <v>4.1456016177957536E-2</v>
      </c>
      <c r="AI124" s="40">
        <v>38</v>
      </c>
      <c r="AJ124" s="41">
        <f t="shared" si="35"/>
        <v>5.2631578947368418E-2</v>
      </c>
      <c r="AK124" s="40">
        <v>62</v>
      </c>
      <c r="AL124" s="41">
        <f t="shared" si="43"/>
        <v>6.2689585439838214E-2</v>
      </c>
      <c r="AM124" s="40">
        <v>42</v>
      </c>
      <c r="AN124" s="41">
        <f t="shared" si="36"/>
        <v>5.817174515235457E-2</v>
      </c>
      <c r="AO124" s="40">
        <v>653</v>
      </c>
      <c r="AP124" s="41">
        <f t="shared" si="44"/>
        <v>0.66026289180990905</v>
      </c>
      <c r="AQ124" s="40">
        <v>511</v>
      </c>
      <c r="AR124" s="41">
        <f t="shared" si="37"/>
        <v>0.70775623268698062</v>
      </c>
      <c r="AS124" s="40">
        <v>130</v>
      </c>
      <c r="AT124" s="41">
        <f t="shared" si="45"/>
        <v>0.13144590495449948</v>
      </c>
      <c r="AU124" s="40">
        <v>61</v>
      </c>
      <c r="AV124" s="41">
        <f t="shared" si="38"/>
        <v>8.4487534626038779E-2</v>
      </c>
      <c r="AW124" s="40">
        <v>58</v>
      </c>
      <c r="AX124" s="41">
        <f t="shared" si="46"/>
        <v>5.8645096056622853E-2</v>
      </c>
      <c r="AY124" s="40">
        <v>31</v>
      </c>
      <c r="AZ124" s="41">
        <f t="shared" si="39"/>
        <v>4.2936288088642659E-2</v>
      </c>
      <c r="BA124" s="40">
        <v>45</v>
      </c>
      <c r="BB124" s="41">
        <f t="shared" si="47"/>
        <v>4.5500505561172903E-2</v>
      </c>
      <c r="BC124" s="40">
        <v>39</v>
      </c>
      <c r="BD124" s="41">
        <f t="shared" si="40"/>
        <v>5.4016620498614956E-2</v>
      </c>
      <c r="BE124" s="40">
        <v>989</v>
      </c>
      <c r="BF124" s="40">
        <v>722</v>
      </c>
    </row>
    <row r="125" spans="1:58" ht="15.75" customHeight="1" x14ac:dyDescent="0.25">
      <c r="A125" s="39">
        <v>2024</v>
      </c>
      <c r="B125" s="39">
        <v>172025</v>
      </c>
      <c r="C125" s="37" t="str">
        <f>VLOOKUP(B125,procv!$A$2:$D$142,4,FALSE)</f>
        <v>Ilha do Bananal</v>
      </c>
      <c r="D125" s="37" t="s">
        <v>128</v>
      </c>
      <c r="E125" s="40">
        <v>0</v>
      </c>
      <c r="F125" s="42">
        <f t="shared" si="24"/>
        <v>0</v>
      </c>
      <c r="G125" s="40">
        <v>0</v>
      </c>
      <c r="H125" s="42">
        <f t="shared" si="25"/>
        <v>0</v>
      </c>
      <c r="I125" s="40">
        <v>5</v>
      </c>
      <c r="J125" s="41">
        <f t="shared" si="26"/>
        <v>2.8571428571428571E-2</v>
      </c>
      <c r="K125" s="40">
        <v>3</v>
      </c>
      <c r="L125" s="41">
        <f t="shared" si="27"/>
        <v>2.7027027027027029E-2</v>
      </c>
      <c r="M125" s="40">
        <v>164</v>
      </c>
      <c r="N125" s="41">
        <f>IFERROR(M125/$BE125,0)</f>
        <v>0.93714285714285717</v>
      </c>
      <c r="O125" s="40">
        <v>105</v>
      </c>
      <c r="P125" s="41">
        <f t="shared" si="28"/>
        <v>0.94594594594594594</v>
      </c>
      <c r="Q125" s="40">
        <v>6</v>
      </c>
      <c r="R125" s="41">
        <f>IFERROR(Q125/$BE125,0)</f>
        <v>3.4285714285714287E-2</v>
      </c>
      <c r="S125" s="40">
        <v>3</v>
      </c>
      <c r="T125" s="41">
        <f t="shared" si="29"/>
        <v>2.7027027027027029E-2</v>
      </c>
      <c r="U125" s="40">
        <v>13</v>
      </c>
      <c r="V125" s="41">
        <f t="shared" si="30"/>
        <v>7.4285714285714288E-2</v>
      </c>
      <c r="W125" s="40">
        <v>7</v>
      </c>
      <c r="X125" s="41">
        <f t="shared" si="31"/>
        <v>6.3063063063063057E-2</v>
      </c>
      <c r="Y125" s="40">
        <v>13</v>
      </c>
      <c r="Z125" s="41">
        <f t="shared" si="32"/>
        <v>7.4285714285714288E-2</v>
      </c>
      <c r="AA125" s="40">
        <v>7</v>
      </c>
      <c r="AB125" s="41">
        <f t="shared" si="33"/>
        <v>6.3063063063063057E-2</v>
      </c>
      <c r="AC125" s="40">
        <v>149</v>
      </c>
      <c r="AD125" s="41">
        <f t="shared" si="41"/>
        <v>0.85142857142857142</v>
      </c>
      <c r="AE125" s="40">
        <v>97</v>
      </c>
      <c r="AF125" s="41">
        <f t="shared" si="34"/>
        <v>0.87387387387387383</v>
      </c>
      <c r="AG125" s="40">
        <v>1</v>
      </c>
      <c r="AH125" s="41">
        <f t="shared" si="42"/>
        <v>5.7142857142857143E-3</v>
      </c>
      <c r="AI125" s="40">
        <v>0</v>
      </c>
      <c r="AJ125" s="41">
        <f t="shared" si="35"/>
        <v>0</v>
      </c>
      <c r="AK125" s="40">
        <v>4</v>
      </c>
      <c r="AL125" s="41">
        <f t="shared" si="43"/>
        <v>2.2857142857142857E-2</v>
      </c>
      <c r="AM125" s="40">
        <v>4</v>
      </c>
      <c r="AN125" s="41">
        <f t="shared" si="36"/>
        <v>3.6036036036036036E-2</v>
      </c>
      <c r="AO125" s="40">
        <v>110</v>
      </c>
      <c r="AP125" s="41">
        <f t="shared" si="44"/>
        <v>0.62857142857142856</v>
      </c>
      <c r="AQ125" s="40">
        <v>71</v>
      </c>
      <c r="AR125" s="41">
        <f t="shared" si="37"/>
        <v>0.63963963963963966</v>
      </c>
      <c r="AS125" s="40">
        <v>35</v>
      </c>
      <c r="AT125" s="41">
        <f t="shared" si="45"/>
        <v>0.2</v>
      </c>
      <c r="AU125" s="40">
        <v>25</v>
      </c>
      <c r="AV125" s="41">
        <f t="shared" si="38"/>
        <v>0.22522522522522523</v>
      </c>
      <c r="AW125" s="40">
        <v>16</v>
      </c>
      <c r="AX125" s="41">
        <f t="shared" si="46"/>
        <v>9.1428571428571428E-2</v>
      </c>
      <c r="AY125" s="40">
        <v>8</v>
      </c>
      <c r="AZ125" s="41">
        <f t="shared" si="39"/>
        <v>7.2072072072072071E-2</v>
      </c>
      <c r="BA125" s="40">
        <v>9</v>
      </c>
      <c r="BB125" s="41">
        <f t="shared" si="47"/>
        <v>5.1428571428571428E-2</v>
      </c>
      <c r="BC125" s="40">
        <v>3</v>
      </c>
      <c r="BD125" s="41">
        <f t="shared" si="40"/>
        <v>2.7027027027027029E-2</v>
      </c>
      <c r="BE125" s="40">
        <v>175</v>
      </c>
      <c r="BF125" s="40">
        <v>111</v>
      </c>
    </row>
    <row r="126" spans="1:58" ht="15.75" customHeight="1" x14ac:dyDescent="0.25">
      <c r="A126" s="39">
        <v>2024</v>
      </c>
      <c r="B126" s="39">
        <v>172030</v>
      </c>
      <c r="C126" s="37" t="str">
        <f>VLOOKUP(B126,procv!$A$2:$D$142,4,FALSE)</f>
        <v>Bico do Papagaio</v>
      </c>
      <c r="D126" s="37" t="s">
        <v>129</v>
      </c>
      <c r="E126" s="40">
        <v>2</v>
      </c>
      <c r="F126" s="42">
        <f t="shared" si="24"/>
        <v>8.8495575221238937E-3</v>
      </c>
      <c r="G126" s="40">
        <v>2</v>
      </c>
      <c r="H126" s="42">
        <f t="shared" si="25"/>
        <v>1.0471204188481676E-2</v>
      </c>
      <c r="I126" s="40">
        <v>10</v>
      </c>
      <c r="J126" s="41">
        <f t="shared" si="26"/>
        <v>4.4247787610619468E-2</v>
      </c>
      <c r="K126" s="40">
        <v>11</v>
      </c>
      <c r="L126" s="41">
        <f t="shared" si="27"/>
        <v>5.7591623036649213E-2</v>
      </c>
      <c r="M126" s="40">
        <v>205</v>
      </c>
      <c r="N126" s="41">
        <f>IFERROR(M126/$BE126,0)</f>
        <v>0.90707964601769908</v>
      </c>
      <c r="O126" s="40">
        <v>170</v>
      </c>
      <c r="P126" s="41">
        <f t="shared" si="28"/>
        <v>0.89005235602094246</v>
      </c>
      <c r="Q126" s="40">
        <v>9</v>
      </c>
      <c r="R126" s="41">
        <f>IFERROR(Q126/$BE126,0)</f>
        <v>3.9823008849557522E-2</v>
      </c>
      <c r="S126" s="40">
        <v>8</v>
      </c>
      <c r="T126" s="41">
        <f t="shared" si="29"/>
        <v>4.1884816753926704E-2</v>
      </c>
      <c r="U126" s="40">
        <v>25</v>
      </c>
      <c r="V126" s="41">
        <f t="shared" si="30"/>
        <v>0.11061946902654868</v>
      </c>
      <c r="W126" s="40">
        <v>25</v>
      </c>
      <c r="X126" s="41">
        <f t="shared" si="31"/>
        <v>0.13089005235602094</v>
      </c>
      <c r="Y126" s="40">
        <v>27</v>
      </c>
      <c r="Z126" s="41">
        <f t="shared" si="32"/>
        <v>0.11946902654867257</v>
      </c>
      <c r="AA126" s="40">
        <v>25</v>
      </c>
      <c r="AB126" s="41">
        <f t="shared" si="33"/>
        <v>0.13089005235602094</v>
      </c>
      <c r="AC126" s="40">
        <v>174</v>
      </c>
      <c r="AD126" s="41">
        <f t="shared" si="41"/>
        <v>0.76991150442477874</v>
      </c>
      <c r="AE126" s="40">
        <v>141</v>
      </c>
      <c r="AF126" s="41">
        <f t="shared" si="34"/>
        <v>0.73821989528795806</v>
      </c>
      <c r="AG126" s="40">
        <v>5</v>
      </c>
      <c r="AH126" s="41">
        <f t="shared" si="42"/>
        <v>2.2123893805309734E-2</v>
      </c>
      <c r="AI126" s="40">
        <v>4</v>
      </c>
      <c r="AJ126" s="41">
        <f t="shared" si="35"/>
        <v>2.0942408376963352E-2</v>
      </c>
      <c r="AK126" s="40">
        <v>12</v>
      </c>
      <c r="AL126" s="41">
        <f t="shared" si="43"/>
        <v>5.3097345132743362E-2</v>
      </c>
      <c r="AM126" s="40">
        <v>11</v>
      </c>
      <c r="AN126" s="41">
        <f t="shared" si="36"/>
        <v>5.7591623036649213E-2</v>
      </c>
      <c r="AO126" s="40">
        <v>153</v>
      </c>
      <c r="AP126" s="41">
        <f t="shared" si="44"/>
        <v>0.67699115044247793</v>
      </c>
      <c r="AQ126" s="40">
        <v>129</v>
      </c>
      <c r="AR126" s="41">
        <f t="shared" si="37"/>
        <v>0.67539267015706805</v>
      </c>
      <c r="AS126" s="40">
        <v>26</v>
      </c>
      <c r="AT126" s="41">
        <f t="shared" si="45"/>
        <v>0.11504424778761062</v>
      </c>
      <c r="AU126" s="40">
        <v>24</v>
      </c>
      <c r="AV126" s="41">
        <f t="shared" si="38"/>
        <v>0.1256544502617801</v>
      </c>
      <c r="AW126" s="40">
        <v>19</v>
      </c>
      <c r="AX126" s="41">
        <f t="shared" si="46"/>
        <v>8.4070796460176997E-2</v>
      </c>
      <c r="AY126" s="40">
        <v>11</v>
      </c>
      <c r="AZ126" s="41">
        <f t="shared" si="39"/>
        <v>5.7591623036649213E-2</v>
      </c>
      <c r="BA126" s="40">
        <v>11</v>
      </c>
      <c r="BB126" s="41">
        <f t="shared" si="47"/>
        <v>4.8672566371681415E-2</v>
      </c>
      <c r="BC126" s="40">
        <v>12</v>
      </c>
      <c r="BD126" s="41">
        <f t="shared" si="40"/>
        <v>6.2827225130890049E-2</v>
      </c>
      <c r="BE126" s="40">
        <v>226</v>
      </c>
      <c r="BF126" s="40">
        <v>191</v>
      </c>
    </row>
    <row r="127" spans="1:58" ht="15.75" customHeight="1" x14ac:dyDescent="0.25">
      <c r="A127" s="39">
        <v>2024</v>
      </c>
      <c r="B127" s="39">
        <v>172049</v>
      </c>
      <c r="C127" s="37" t="str">
        <f>VLOOKUP(B127,procv!$A$2:$D$142,4,FALSE)</f>
        <v>Ilha do Bananal</v>
      </c>
      <c r="D127" s="37" t="s">
        <v>130</v>
      </c>
      <c r="E127" s="40">
        <v>2</v>
      </c>
      <c r="F127" s="42">
        <f t="shared" si="24"/>
        <v>9.9502487562189053E-3</v>
      </c>
      <c r="G127" s="40">
        <v>2</v>
      </c>
      <c r="H127" s="42">
        <f t="shared" si="25"/>
        <v>1.6949152542372881E-2</v>
      </c>
      <c r="I127" s="40">
        <v>7</v>
      </c>
      <c r="J127" s="41">
        <f t="shared" si="26"/>
        <v>3.482587064676617E-2</v>
      </c>
      <c r="K127" s="40">
        <v>5</v>
      </c>
      <c r="L127" s="41">
        <f t="shared" si="27"/>
        <v>4.2372881355932202E-2</v>
      </c>
      <c r="M127" s="40">
        <v>183</v>
      </c>
      <c r="N127" s="41">
        <f>IFERROR(M127/$BE127,0)</f>
        <v>0.91044776119402981</v>
      </c>
      <c r="O127" s="40">
        <v>103</v>
      </c>
      <c r="P127" s="41">
        <f t="shared" si="28"/>
        <v>0.8728813559322034</v>
      </c>
      <c r="Q127" s="40">
        <v>9</v>
      </c>
      <c r="R127" s="41">
        <f>IFERROR(Q127/$BE127,0)</f>
        <v>4.4776119402985072E-2</v>
      </c>
      <c r="S127" s="40">
        <v>8</v>
      </c>
      <c r="T127" s="41">
        <f t="shared" si="29"/>
        <v>6.7796610169491525E-2</v>
      </c>
      <c r="U127" s="40">
        <v>18</v>
      </c>
      <c r="V127" s="41">
        <f t="shared" si="30"/>
        <v>8.9552238805970144E-2</v>
      </c>
      <c r="W127" s="40">
        <v>14</v>
      </c>
      <c r="X127" s="41">
        <f t="shared" si="31"/>
        <v>0.11864406779661017</v>
      </c>
      <c r="Y127" s="40">
        <v>22</v>
      </c>
      <c r="Z127" s="41">
        <f t="shared" si="32"/>
        <v>0.10945273631840796</v>
      </c>
      <c r="AA127" s="40">
        <v>18</v>
      </c>
      <c r="AB127" s="41">
        <f t="shared" si="33"/>
        <v>0.15254237288135594</v>
      </c>
      <c r="AC127" s="40">
        <v>161</v>
      </c>
      <c r="AD127" s="41">
        <f t="shared" si="41"/>
        <v>0.80099502487562191</v>
      </c>
      <c r="AE127" s="40">
        <v>86</v>
      </c>
      <c r="AF127" s="41">
        <f t="shared" si="34"/>
        <v>0.72881355932203384</v>
      </c>
      <c r="AG127" s="40">
        <v>2</v>
      </c>
      <c r="AH127" s="41">
        <f t="shared" si="42"/>
        <v>9.9502487562189053E-3</v>
      </c>
      <c r="AI127" s="40">
        <v>3</v>
      </c>
      <c r="AJ127" s="41">
        <f t="shared" si="35"/>
        <v>2.5423728813559324E-2</v>
      </c>
      <c r="AK127" s="40">
        <v>2</v>
      </c>
      <c r="AL127" s="41">
        <f t="shared" si="43"/>
        <v>9.9502487562189053E-3</v>
      </c>
      <c r="AM127" s="40">
        <v>3</v>
      </c>
      <c r="AN127" s="41">
        <f t="shared" si="36"/>
        <v>2.5423728813559324E-2</v>
      </c>
      <c r="AO127" s="40">
        <v>126</v>
      </c>
      <c r="AP127" s="41">
        <f t="shared" si="44"/>
        <v>0.62686567164179108</v>
      </c>
      <c r="AQ127" s="40">
        <v>64</v>
      </c>
      <c r="AR127" s="41">
        <f t="shared" si="37"/>
        <v>0.5423728813559322</v>
      </c>
      <c r="AS127" s="40">
        <v>37</v>
      </c>
      <c r="AT127" s="41">
        <f t="shared" si="45"/>
        <v>0.18407960199004975</v>
      </c>
      <c r="AU127" s="40">
        <v>25</v>
      </c>
      <c r="AV127" s="41">
        <f t="shared" si="38"/>
        <v>0.21186440677966101</v>
      </c>
      <c r="AW127" s="40">
        <v>23</v>
      </c>
      <c r="AX127" s="41">
        <f t="shared" si="46"/>
        <v>0.11442786069651742</v>
      </c>
      <c r="AY127" s="40">
        <v>13</v>
      </c>
      <c r="AZ127" s="41">
        <f t="shared" si="39"/>
        <v>0.11016949152542373</v>
      </c>
      <c r="BA127" s="40">
        <v>11</v>
      </c>
      <c r="BB127" s="41">
        <f t="shared" si="47"/>
        <v>5.4726368159203981E-2</v>
      </c>
      <c r="BC127" s="40">
        <v>10</v>
      </c>
      <c r="BD127" s="41">
        <f t="shared" si="40"/>
        <v>8.4745762711864403E-2</v>
      </c>
      <c r="BE127" s="40">
        <v>201</v>
      </c>
      <c r="BF127" s="40">
        <v>118</v>
      </c>
    </row>
    <row r="128" spans="1:58" ht="15.75" customHeight="1" x14ac:dyDescent="0.25">
      <c r="A128" s="39">
        <v>2024</v>
      </c>
      <c r="B128" s="39">
        <v>172065</v>
      </c>
      <c r="C128" s="37" t="str">
        <f>VLOOKUP(B128,procv!$A$2:$D$142,4,FALSE)</f>
        <v>Amor Perfeito</v>
      </c>
      <c r="D128" s="37" t="s">
        <v>131</v>
      </c>
      <c r="E128" s="40">
        <v>2</v>
      </c>
      <c r="F128" s="42">
        <f t="shared" si="24"/>
        <v>4.8899755501222494E-3</v>
      </c>
      <c r="G128" s="40">
        <v>3</v>
      </c>
      <c r="H128" s="42">
        <f t="shared" si="25"/>
        <v>1.6393442622950821E-2</v>
      </c>
      <c r="I128" s="40">
        <v>7</v>
      </c>
      <c r="J128" s="41">
        <f t="shared" si="26"/>
        <v>1.7114914425427872E-2</v>
      </c>
      <c r="K128" s="40">
        <v>5</v>
      </c>
      <c r="L128" s="41">
        <f t="shared" si="27"/>
        <v>2.7322404371584699E-2</v>
      </c>
      <c r="M128" s="40">
        <v>379</v>
      </c>
      <c r="N128" s="41">
        <f>IFERROR(M128/$BE128,0)</f>
        <v>0.92665036674816625</v>
      </c>
      <c r="O128" s="40">
        <v>164</v>
      </c>
      <c r="P128" s="41">
        <f t="shared" si="28"/>
        <v>0.89617486338797814</v>
      </c>
      <c r="Q128" s="40">
        <v>21</v>
      </c>
      <c r="R128" s="41">
        <f>IFERROR(Q128/$BE128,0)</f>
        <v>5.1344743276283619E-2</v>
      </c>
      <c r="S128" s="40">
        <v>11</v>
      </c>
      <c r="T128" s="41">
        <f t="shared" si="29"/>
        <v>6.0109289617486336E-2</v>
      </c>
      <c r="U128" s="40">
        <v>29</v>
      </c>
      <c r="V128" s="41">
        <f t="shared" si="30"/>
        <v>7.090464547677261E-2</v>
      </c>
      <c r="W128" s="40">
        <v>10</v>
      </c>
      <c r="X128" s="41">
        <f t="shared" si="31"/>
        <v>5.4644808743169397E-2</v>
      </c>
      <c r="Y128" s="40">
        <v>26</v>
      </c>
      <c r="Z128" s="41">
        <f t="shared" si="32"/>
        <v>6.3569682151589244E-2</v>
      </c>
      <c r="AA128" s="40">
        <v>14</v>
      </c>
      <c r="AB128" s="41">
        <f t="shared" si="33"/>
        <v>7.650273224043716E-2</v>
      </c>
      <c r="AC128" s="40">
        <v>354</v>
      </c>
      <c r="AD128" s="41">
        <f t="shared" si="41"/>
        <v>0.86552567237163813</v>
      </c>
      <c r="AE128" s="40">
        <v>159</v>
      </c>
      <c r="AF128" s="41">
        <f t="shared" si="34"/>
        <v>0.86885245901639341</v>
      </c>
      <c r="AG128" s="40">
        <v>10</v>
      </c>
      <c r="AH128" s="41">
        <f t="shared" si="42"/>
        <v>2.4449877750611249E-2</v>
      </c>
      <c r="AI128" s="40">
        <v>12</v>
      </c>
      <c r="AJ128" s="41">
        <f t="shared" si="35"/>
        <v>6.5573770491803282E-2</v>
      </c>
      <c r="AK128" s="40">
        <v>13</v>
      </c>
      <c r="AL128" s="41">
        <f t="shared" si="43"/>
        <v>3.1784841075794622E-2</v>
      </c>
      <c r="AM128" s="40">
        <v>8</v>
      </c>
      <c r="AN128" s="41">
        <f t="shared" si="36"/>
        <v>4.3715846994535519E-2</v>
      </c>
      <c r="AO128" s="40">
        <v>255</v>
      </c>
      <c r="AP128" s="41">
        <f t="shared" si="44"/>
        <v>0.62347188264058684</v>
      </c>
      <c r="AQ128" s="40">
        <v>110</v>
      </c>
      <c r="AR128" s="41">
        <f t="shared" si="37"/>
        <v>0.60109289617486339</v>
      </c>
      <c r="AS128" s="40">
        <v>74</v>
      </c>
      <c r="AT128" s="41">
        <f t="shared" si="45"/>
        <v>0.18092909535452323</v>
      </c>
      <c r="AU128" s="40">
        <v>28</v>
      </c>
      <c r="AV128" s="41">
        <f t="shared" si="38"/>
        <v>0.15300546448087432</v>
      </c>
      <c r="AW128" s="40">
        <v>27</v>
      </c>
      <c r="AX128" s="41">
        <f t="shared" si="46"/>
        <v>6.6014669926650366E-2</v>
      </c>
      <c r="AY128" s="40">
        <v>9</v>
      </c>
      <c r="AZ128" s="41">
        <f t="shared" si="39"/>
        <v>4.9180327868852458E-2</v>
      </c>
      <c r="BA128" s="40">
        <v>30</v>
      </c>
      <c r="BB128" s="41">
        <f t="shared" si="47"/>
        <v>7.3349633251833746E-2</v>
      </c>
      <c r="BC128" s="40">
        <v>16</v>
      </c>
      <c r="BD128" s="41">
        <f t="shared" si="40"/>
        <v>8.7431693989071038E-2</v>
      </c>
      <c r="BE128" s="40">
        <v>409</v>
      </c>
      <c r="BF128" s="40">
        <v>183</v>
      </c>
    </row>
    <row r="129" spans="1:58" ht="15.75" customHeight="1" x14ac:dyDescent="0.25">
      <c r="A129" s="39">
        <v>2024</v>
      </c>
      <c r="B129" s="39">
        <v>172080</v>
      </c>
      <c r="C129" s="37" t="str">
        <f>VLOOKUP(B129,procv!$A$2:$D$142,4,FALSE)</f>
        <v>Bico do Papagaio</v>
      </c>
      <c r="D129" s="37" t="s">
        <v>132</v>
      </c>
      <c r="E129" s="40">
        <v>9</v>
      </c>
      <c r="F129" s="42">
        <f t="shared" si="24"/>
        <v>1.1984021304926764E-2</v>
      </c>
      <c r="G129" s="40">
        <v>1</v>
      </c>
      <c r="H129" s="42">
        <f t="shared" si="25"/>
        <v>2.0366598778004071E-3</v>
      </c>
      <c r="I129" s="40">
        <v>29</v>
      </c>
      <c r="J129" s="41">
        <f t="shared" si="26"/>
        <v>3.8615179760319571E-2</v>
      </c>
      <c r="K129" s="40">
        <v>18</v>
      </c>
      <c r="L129" s="41">
        <f t="shared" si="27"/>
        <v>3.6659877800407331E-2</v>
      </c>
      <c r="M129" s="40">
        <v>671</v>
      </c>
      <c r="N129" s="41">
        <f>IFERROR(M129/$BE129,0)</f>
        <v>0.89347536617842871</v>
      </c>
      <c r="O129" s="40">
        <v>441</v>
      </c>
      <c r="P129" s="41">
        <f t="shared" si="28"/>
        <v>0.89816700610997968</v>
      </c>
      <c r="Q129" s="40">
        <v>42</v>
      </c>
      <c r="R129" s="41">
        <f>IFERROR(Q129/$BE129,0)</f>
        <v>5.5925432756324903E-2</v>
      </c>
      <c r="S129" s="40">
        <v>31</v>
      </c>
      <c r="T129" s="41">
        <f t="shared" si="29"/>
        <v>6.313645621181263E-2</v>
      </c>
      <c r="U129" s="40">
        <v>34</v>
      </c>
      <c r="V129" s="41">
        <f t="shared" si="30"/>
        <v>4.5272969374167776E-2</v>
      </c>
      <c r="W129" s="40">
        <v>21</v>
      </c>
      <c r="X129" s="41">
        <f t="shared" si="31"/>
        <v>4.2769857433808553E-2</v>
      </c>
      <c r="Y129" s="40">
        <v>74</v>
      </c>
      <c r="Z129" s="41">
        <f t="shared" si="32"/>
        <v>9.8535286284953394E-2</v>
      </c>
      <c r="AA129" s="40">
        <v>59</v>
      </c>
      <c r="AB129" s="41">
        <f t="shared" si="33"/>
        <v>0.12016293279022404</v>
      </c>
      <c r="AC129" s="40">
        <v>643</v>
      </c>
      <c r="AD129" s="41">
        <f t="shared" si="41"/>
        <v>0.85619174434087886</v>
      </c>
      <c r="AE129" s="40">
        <v>411</v>
      </c>
      <c r="AF129" s="41">
        <f t="shared" si="34"/>
        <v>0.83706720977596738</v>
      </c>
      <c r="AG129" s="40">
        <v>19</v>
      </c>
      <c r="AH129" s="41">
        <f t="shared" si="42"/>
        <v>2.529960053262317E-2</v>
      </c>
      <c r="AI129" s="40">
        <v>13</v>
      </c>
      <c r="AJ129" s="41">
        <f t="shared" si="35"/>
        <v>2.6476578411405296E-2</v>
      </c>
      <c r="AK129" s="40">
        <v>30</v>
      </c>
      <c r="AL129" s="41">
        <f t="shared" si="43"/>
        <v>3.9946737683089213E-2</v>
      </c>
      <c r="AM129" s="40">
        <v>26</v>
      </c>
      <c r="AN129" s="41">
        <f t="shared" si="36"/>
        <v>5.2953156822810592E-2</v>
      </c>
      <c r="AO129" s="40">
        <v>492</v>
      </c>
      <c r="AP129" s="41">
        <f t="shared" si="44"/>
        <v>0.65512649800266309</v>
      </c>
      <c r="AQ129" s="40">
        <v>303</v>
      </c>
      <c r="AR129" s="41">
        <f t="shared" si="37"/>
        <v>0.61710794297352345</v>
      </c>
      <c r="AS129" s="40">
        <v>112</v>
      </c>
      <c r="AT129" s="41">
        <f t="shared" si="45"/>
        <v>0.14913448735019974</v>
      </c>
      <c r="AU129" s="40">
        <v>87</v>
      </c>
      <c r="AV129" s="41">
        <f t="shared" si="38"/>
        <v>0.17718940936863545</v>
      </c>
      <c r="AW129" s="40">
        <v>59</v>
      </c>
      <c r="AX129" s="41">
        <f t="shared" si="46"/>
        <v>7.8561917443408791E-2</v>
      </c>
      <c r="AY129" s="40">
        <v>40</v>
      </c>
      <c r="AZ129" s="41">
        <f t="shared" si="39"/>
        <v>8.1466395112016296E-2</v>
      </c>
      <c r="BA129" s="40">
        <v>39</v>
      </c>
      <c r="BB129" s="41">
        <f t="shared" si="47"/>
        <v>5.1930758988015982E-2</v>
      </c>
      <c r="BC129" s="40">
        <v>22</v>
      </c>
      <c r="BD129" s="41">
        <f t="shared" si="40"/>
        <v>4.4806517311608958E-2</v>
      </c>
      <c r="BE129" s="40">
        <v>751</v>
      </c>
      <c r="BF129" s="40">
        <v>491</v>
      </c>
    </row>
    <row r="130" spans="1:58" ht="15.75" customHeight="1" x14ac:dyDescent="0.25">
      <c r="A130" s="39">
        <v>2024</v>
      </c>
      <c r="B130" s="39">
        <v>172085</v>
      </c>
      <c r="C130" s="37" t="str">
        <f>VLOOKUP(B130,procv!$A$2:$D$142,4,FALSE)</f>
        <v>Ilha do Bananal</v>
      </c>
      <c r="D130" s="37" t="s">
        <v>133</v>
      </c>
      <c r="E130" s="40">
        <v>1</v>
      </c>
      <c r="F130" s="42">
        <f t="shared" ref="F130:F193" si="48">IFERROR(E130/$BE130,0)</f>
        <v>9.0090090090090089E-3</v>
      </c>
      <c r="G130" s="40">
        <v>1</v>
      </c>
      <c r="H130" s="42">
        <f t="shared" ref="H130:H193" si="49">IFERROR(G130/$BF130,0)</f>
        <v>1.8181818181818181E-2</v>
      </c>
      <c r="I130" s="40">
        <v>1</v>
      </c>
      <c r="J130" s="41">
        <f t="shared" ref="J130:J193" si="50">IFERROR(I130/$BE130,0)</f>
        <v>9.0090090090090089E-3</v>
      </c>
      <c r="K130" s="40">
        <v>1</v>
      </c>
      <c r="L130" s="41">
        <f t="shared" ref="L130:L193" si="51">IFERROR(K130/$BF130,0)</f>
        <v>1.8181818181818181E-2</v>
      </c>
      <c r="M130" s="40">
        <v>97</v>
      </c>
      <c r="N130" s="41">
        <f>IFERROR(M130/$BE130,0)</f>
        <v>0.87387387387387383</v>
      </c>
      <c r="O130" s="40">
        <v>49</v>
      </c>
      <c r="P130" s="41">
        <f t="shared" ref="P130:P193" si="52">IFERROR(O130/$BF130,0)</f>
        <v>0.89090909090909087</v>
      </c>
      <c r="Q130" s="40">
        <v>12</v>
      </c>
      <c r="R130" s="41">
        <f>IFERROR(Q130/$BE130,0)</f>
        <v>0.10810810810810811</v>
      </c>
      <c r="S130" s="40">
        <v>4</v>
      </c>
      <c r="T130" s="41">
        <f t="shared" ref="T130:T193" si="53">IFERROR(S130/$BF130,0)</f>
        <v>7.2727272727272724E-2</v>
      </c>
      <c r="U130" s="40">
        <v>3</v>
      </c>
      <c r="V130" s="41">
        <f t="shared" ref="V130:V193" si="54">IFERROR(U130/$BE130,0)</f>
        <v>2.7027027027027029E-2</v>
      </c>
      <c r="W130" s="40">
        <v>2</v>
      </c>
      <c r="X130" s="41">
        <f t="shared" ref="X130:X193" si="55">IFERROR(W130/$BF130,0)</f>
        <v>3.6363636363636362E-2</v>
      </c>
      <c r="Y130" s="40">
        <v>5</v>
      </c>
      <c r="Z130" s="41">
        <f t="shared" ref="Z130:Z193" si="56">IFERROR(Y130/$BE130,0)</f>
        <v>4.5045045045045043E-2</v>
      </c>
      <c r="AA130" s="40">
        <v>3</v>
      </c>
      <c r="AB130" s="41">
        <f t="shared" ref="AB130:AB193" si="57">IFERROR(AA130/$BF130,0)</f>
        <v>5.4545454545454543E-2</v>
      </c>
      <c r="AC130" s="40">
        <v>103</v>
      </c>
      <c r="AD130" s="41">
        <f t="shared" si="41"/>
        <v>0.92792792792792789</v>
      </c>
      <c r="AE130" s="40">
        <v>50</v>
      </c>
      <c r="AF130" s="41">
        <f t="shared" ref="AF130:AF193" si="58">IFERROR(AE130/$BF130,0)</f>
        <v>0.90909090909090906</v>
      </c>
      <c r="AG130" s="40">
        <v>1</v>
      </c>
      <c r="AH130" s="41">
        <f t="shared" si="42"/>
        <v>9.0090090090090089E-3</v>
      </c>
      <c r="AI130" s="40">
        <v>1</v>
      </c>
      <c r="AJ130" s="41">
        <f t="shared" ref="AJ130:AJ193" si="59">IFERROR(AI130/$BF130,0)</f>
        <v>1.8181818181818181E-2</v>
      </c>
      <c r="AK130" s="40">
        <v>7</v>
      </c>
      <c r="AL130" s="41">
        <f t="shared" si="43"/>
        <v>6.3063063063063057E-2</v>
      </c>
      <c r="AM130" s="40">
        <v>7</v>
      </c>
      <c r="AN130" s="41">
        <f t="shared" ref="AN130:AN193" si="60">IFERROR(AM130/$BF130,0)</f>
        <v>0.12727272727272726</v>
      </c>
      <c r="AO130" s="40">
        <v>74</v>
      </c>
      <c r="AP130" s="41">
        <f t="shared" si="44"/>
        <v>0.66666666666666663</v>
      </c>
      <c r="AQ130" s="40">
        <v>38</v>
      </c>
      <c r="AR130" s="41">
        <f t="shared" ref="AR130:AR193" si="61">IFERROR(AQ130/$BF130,0)</f>
        <v>0.69090909090909092</v>
      </c>
      <c r="AS130" s="40">
        <v>15</v>
      </c>
      <c r="AT130" s="41">
        <f t="shared" si="45"/>
        <v>0.13513513513513514</v>
      </c>
      <c r="AU130" s="40">
        <v>6</v>
      </c>
      <c r="AV130" s="41">
        <f t="shared" ref="AV130:AV193" si="62">IFERROR(AU130/$BF130,0)</f>
        <v>0.10909090909090909</v>
      </c>
      <c r="AW130" s="40">
        <v>7</v>
      </c>
      <c r="AX130" s="41">
        <f t="shared" si="46"/>
        <v>6.3063063063063057E-2</v>
      </c>
      <c r="AY130" s="40">
        <v>2</v>
      </c>
      <c r="AZ130" s="41">
        <f t="shared" ref="AZ130:AZ193" si="63">IFERROR(AY130/$BF130,0)</f>
        <v>3.6363636363636362E-2</v>
      </c>
      <c r="BA130" s="40">
        <v>7</v>
      </c>
      <c r="BB130" s="41">
        <f t="shared" si="47"/>
        <v>6.3063063063063057E-2</v>
      </c>
      <c r="BC130" s="40">
        <v>1</v>
      </c>
      <c r="BD130" s="41">
        <f t="shared" ref="BD130:BD193" si="64">IFERROR(BC130/$BF130,0)</f>
        <v>1.8181818181818181E-2</v>
      </c>
      <c r="BE130" s="40">
        <v>111</v>
      </c>
      <c r="BF130" s="40">
        <v>55</v>
      </c>
    </row>
    <row r="131" spans="1:58" ht="15.75" customHeight="1" x14ac:dyDescent="0.25">
      <c r="A131" s="39">
        <v>2024</v>
      </c>
      <c r="B131" s="39">
        <v>170825</v>
      </c>
      <c r="C131" s="37" t="str">
        <f>VLOOKUP(B131,procv!$A$2:$D$142,4,FALSE)</f>
        <v>Capim Dourado</v>
      </c>
      <c r="D131" s="37" t="s">
        <v>134</v>
      </c>
      <c r="E131" s="40">
        <v>1</v>
      </c>
      <c r="F131" s="42">
        <f t="shared" si="48"/>
        <v>9.8039215686274508E-3</v>
      </c>
      <c r="G131" s="40">
        <v>1</v>
      </c>
      <c r="H131" s="42">
        <f t="shared" si="49"/>
        <v>1.2658227848101266E-2</v>
      </c>
      <c r="I131" s="40">
        <v>3</v>
      </c>
      <c r="J131" s="41">
        <f t="shared" si="50"/>
        <v>2.9411764705882353E-2</v>
      </c>
      <c r="K131" s="40">
        <v>3</v>
      </c>
      <c r="L131" s="41">
        <f t="shared" si="51"/>
        <v>3.7974683544303799E-2</v>
      </c>
      <c r="M131" s="40">
        <v>89</v>
      </c>
      <c r="N131" s="41">
        <f>IFERROR(M131/$BE131,0)</f>
        <v>0.87254901960784315</v>
      </c>
      <c r="O131" s="40">
        <v>66</v>
      </c>
      <c r="P131" s="41">
        <f t="shared" si="52"/>
        <v>0.83544303797468356</v>
      </c>
      <c r="Q131" s="40">
        <v>9</v>
      </c>
      <c r="R131" s="41">
        <f>IFERROR(Q131/$BE131,0)</f>
        <v>8.8235294117647065E-2</v>
      </c>
      <c r="S131" s="40">
        <v>9</v>
      </c>
      <c r="T131" s="41">
        <f t="shared" si="53"/>
        <v>0.11392405063291139</v>
      </c>
      <c r="U131" s="40">
        <v>1</v>
      </c>
      <c r="V131" s="41">
        <f t="shared" si="54"/>
        <v>9.8039215686274508E-3</v>
      </c>
      <c r="W131" s="40">
        <v>2</v>
      </c>
      <c r="X131" s="41">
        <f t="shared" si="55"/>
        <v>2.5316455696202531E-2</v>
      </c>
      <c r="Y131" s="40">
        <v>7</v>
      </c>
      <c r="Z131" s="41">
        <f t="shared" si="56"/>
        <v>6.8627450980392163E-2</v>
      </c>
      <c r="AA131" s="40">
        <v>4</v>
      </c>
      <c r="AB131" s="41">
        <f t="shared" si="57"/>
        <v>5.0632911392405063E-2</v>
      </c>
      <c r="AC131" s="40">
        <v>94</v>
      </c>
      <c r="AD131" s="41">
        <f t="shared" ref="AD131:AD162" si="65">IFERROR(AC131/$BE131,0)</f>
        <v>0.92156862745098034</v>
      </c>
      <c r="AE131" s="40">
        <v>73</v>
      </c>
      <c r="AF131" s="41">
        <f t="shared" si="58"/>
        <v>0.92405063291139244</v>
      </c>
      <c r="AG131" s="40">
        <v>3</v>
      </c>
      <c r="AH131" s="41">
        <f t="shared" ref="AH131:AH162" si="66">IFERROR(AG131/$BE131,0)</f>
        <v>2.9411764705882353E-2</v>
      </c>
      <c r="AI131" s="40">
        <v>3</v>
      </c>
      <c r="AJ131" s="41">
        <f t="shared" si="59"/>
        <v>3.7974683544303799E-2</v>
      </c>
      <c r="AK131" s="40">
        <v>3</v>
      </c>
      <c r="AL131" s="41">
        <f t="shared" ref="AL131:AL162" si="67">IFERROR(AK131/$BE131,0)</f>
        <v>2.9411764705882353E-2</v>
      </c>
      <c r="AM131" s="40">
        <v>4</v>
      </c>
      <c r="AN131" s="41">
        <f t="shared" si="60"/>
        <v>5.0632911392405063E-2</v>
      </c>
      <c r="AO131" s="40">
        <v>75</v>
      </c>
      <c r="AP131" s="41">
        <f t="shared" ref="AP131:AP162" si="68">IFERROR(AO131/$BE131,0)</f>
        <v>0.73529411764705888</v>
      </c>
      <c r="AQ131" s="40">
        <v>56</v>
      </c>
      <c r="AR131" s="41">
        <f t="shared" si="61"/>
        <v>0.70886075949367089</v>
      </c>
      <c r="AS131" s="40">
        <v>11</v>
      </c>
      <c r="AT131" s="41">
        <f t="shared" ref="AT131:AT162" si="69">IFERROR(AS131/$BE131,0)</f>
        <v>0.10784313725490197</v>
      </c>
      <c r="AU131" s="40">
        <v>8</v>
      </c>
      <c r="AV131" s="41">
        <f t="shared" si="62"/>
        <v>0.10126582278481013</v>
      </c>
      <c r="AW131" s="40">
        <v>6</v>
      </c>
      <c r="AX131" s="41">
        <f t="shared" ref="AX131:AX162" si="70">IFERROR(AW131/$BE131,0)</f>
        <v>5.8823529411764705E-2</v>
      </c>
      <c r="AY131" s="40">
        <v>4</v>
      </c>
      <c r="AZ131" s="41">
        <f t="shared" si="63"/>
        <v>5.0632911392405063E-2</v>
      </c>
      <c r="BA131" s="40">
        <v>4</v>
      </c>
      <c r="BB131" s="41">
        <f t="shared" ref="BB131:BB162" si="71">IFERROR(BA131/$BE131,0)</f>
        <v>3.9215686274509803E-2</v>
      </c>
      <c r="BC131" s="40">
        <v>4</v>
      </c>
      <c r="BD131" s="41">
        <f t="shared" si="64"/>
        <v>5.0632911392405063E-2</v>
      </c>
      <c r="BE131" s="40">
        <v>102</v>
      </c>
      <c r="BF131" s="40">
        <v>79</v>
      </c>
    </row>
    <row r="132" spans="1:58" ht="15.75" customHeight="1" x14ac:dyDescent="0.25">
      <c r="A132" s="39">
        <v>2024</v>
      </c>
      <c r="B132" s="39">
        <v>172090</v>
      </c>
      <c r="C132" s="37" t="str">
        <f>VLOOKUP(B132,procv!$A$2:$D$142,4,FALSE)</f>
        <v>Sudeste</v>
      </c>
      <c r="D132" s="37" t="s">
        <v>135</v>
      </c>
      <c r="E132" s="40">
        <v>4</v>
      </c>
      <c r="F132" s="42">
        <f t="shared" si="48"/>
        <v>4.4052863436123352E-3</v>
      </c>
      <c r="G132" s="40">
        <v>5</v>
      </c>
      <c r="H132" s="42">
        <f t="shared" si="49"/>
        <v>7.1530758226037196E-3</v>
      </c>
      <c r="I132" s="40">
        <v>22</v>
      </c>
      <c r="J132" s="41">
        <f t="shared" si="50"/>
        <v>2.4229074889867842E-2</v>
      </c>
      <c r="K132" s="40">
        <v>19</v>
      </c>
      <c r="L132" s="41">
        <f t="shared" si="51"/>
        <v>2.7181688125894134E-2</v>
      </c>
      <c r="M132" s="40">
        <v>829</v>
      </c>
      <c r="N132" s="41">
        <f>IFERROR(M132/$BE132,0)</f>
        <v>0.91299559471365643</v>
      </c>
      <c r="O132" s="40">
        <v>635</v>
      </c>
      <c r="P132" s="41">
        <f t="shared" si="52"/>
        <v>0.90844062947067239</v>
      </c>
      <c r="Q132" s="40">
        <v>53</v>
      </c>
      <c r="R132" s="41">
        <f>IFERROR(Q132/$BE132,0)</f>
        <v>5.8370044052863439E-2</v>
      </c>
      <c r="S132" s="40">
        <v>40</v>
      </c>
      <c r="T132" s="41">
        <f t="shared" si="53"/>
        <v>5.7224606580829757E-2</v>
      </c>
      <c r="U132" s="40">
        <v>44</v>
      </c>
      <c r="V132" s="41">
        <f t="shared" si="54"/>
        <v>4.8458149779735685E-2</v>
      </c>
      <c r="W132" s="40">
        <v>36</v>
      </c>
      <c r="X132" s="41">
        <f t="shared" si="55"/>
        <v>5.1502145922746781E-2</v>
      </c>
      <c r="Y132" s="40">
        <v>77</v>
      </c>
      <c r="Z132" s="41">
        <f t="shared" si="56"/>
        <v>8.4801762114537452E-2</v>
      </c>
      <c r="AA132" s="40">
        <v>68</v>
      </c>
      <c r="AB132" s="41">
        <f t="shared" si="57"/>
        <v>9.7281831187410586E-2</v>
      </c>
      <c r="AC132" s="40">
        <v>787</v>
      </c>
      <c r="AD132" s="41">
        <f t="shared" si="65"/>
        <v>0.86674008810572689</v>
      </c>
      <c r="AE132" s="40">
        <v>595</v>
      </c>
      <c r="AF132" s="41">
        <f t="shared" si="58"/>
        <v>0.85121602288984266</v>
      </c>
      <c r="AG132" s="40">
        <v>16</v>
      </c>
      <c r="AH132" s="41">
        <f t="shared" si="66"/>
        <v>1.7621145374449341E-2</v>
      </c>
      <c r="AI132" s="40">
        <v>13</v>
      </c>
      <c r="AJ132" s="41">
        <f t="shared" si="59"/>
        <v>1.8597997138769671E-2</v>
      </c>
      <c r="AK132" s="40">
        <v>34</v>
      </c>
      <c r="AL132" s="41">
        <f t="shared" si="67"/>
        <v>3.7444933920704845E-2</v>
      </c>
      <c r="AM132" s="40">
        <v>37</v>
      </c>
      <c r="AN132" s="41">
        <f t="shared" si="60"/>
        <v>5.2932761087267528E-2</v>
      </c>
      <c r="AO132" s="40">
        <v>555</v>
      </c>
      <c r="AP132" s="41">
        <f t="shared" si="68"/>
        <v>0.61123348017621149</v>
      </c>
      <c r="AQ132" s="40">
        <v>441</v>
      </c>
      <c r="AR132" s="41">
        <f t="shared" si="61"/>
        <v>0.63090128755364805</v>
      </c>
      <c r="AS132" s="40">
        <v>164</v>
      </c>
      <c r="AT132" s="41">
        <f t="shared" si="69"/>
        <v>0.18061674008810572</v>
      </c>
      <c r="AU132" s="40">
        <v>109</v>
      </c>
      <c r="AV132" s="41">
        <f t="shared" si="62"/>
        <v>0.15593705293276108</v>
      </c>
      <c r="AW132" s="40">
        <v>95</v>
      </c>
      <c r="AX132" s="41">
        <f t="shared" si="70"/>
        <v>0.10462555066079295</v>
      </c>
      <c r="AY132" s="40">
        <v>66</v>
      </c>
      <c r="AZ132" s="41">
        <f t="shared" si="63"/>
        <v>9.4420600858369105E-2</v>
      </c>
      <c r="BA132" s="40">
        <v>44</v>
      </c>
      <c r="BB132" s="41">
        <f t="shared" si="71"/>
        <v>4.8458149779735685E-2</v>
      </c>
      <c r="BC132" s="40">
        <v>33</v>
      </c>
      <c r="BD132" s="41">
        <f t="shared" si="64"/>
        <v>4.7210300429184553E-2</v>
      </c>
      <c r="BE132" s="40">
        <v>908</v>
      </c>
      <c r="BF132" s="40">
        <v>699</v>
      </c>
    </row>
    <row r="133" spans="1:58" ht="15.75" customHeight="1" x14ac:dyDescent="0.25">
      <c r="A133" s="39">
        <v>2024</v>
      </c>
      <c r="B133" s="39">
        <v>172093</v>
      </c>
      <c r="C133" s="37" t="str">
        <f>VLOOKUP(B133,procv!$A$2:$D$142,4,FALSE)</f>
        <v>Sudeste</v>
      </c>
      <c r="D133" s="37" t="s">
        <v>136</v>
      </c>
      <c r="E133" s="40">
        <v>0</v>
      </c>
      <c r="F133" s="42">
        <f t="shared" si="48"/>
        <v>0</v>
      </c>
      <c r="G133" s="40">
        <v>0</v>
      </c>
      <c r="H133" s="42">
        <f t="shared" si="49"/>
        <v>0</v>
      </c>
      <c r="I133" s="40">
        <v>0</v>
      </c>
      <c r="J133" s="41">
        <f t="shared" si="50"/>
        <v>0</v>
      </c>
      <c r="K133" s="40">
        <v>1</v>
      </c>
      <c r="L133" s="41">
        <f t="shared" si="51"/>
        <v>1.9230769230769232E-2</v>
      </c>
      <c r="M133" s="40">
        <v>61</v>
      </c>
      <c r="N133" s="41">
        <f>IFERROR(M133/$BE133,0)</f>
        <v>0.91044776119402981</v>
      </c>
      <c r="O133" s="40">
        <v>46</v>
      </c>
      <c r="P133" s="41">
        <f t="shared" si="52"/>
        <v>0.88461538461538458</v>
      </c>
      <c r="Q133" s="40">
        <v>6</v>
      </c>
      <c r="R133" s="41">
        <f>IFERROR(Q133/$BE133,0)</f>
        <v>8.9552238805970144E-2</v>
      </c>
      <c r="S133" s="40">
        <v>5</v>
      </c>
      <c r="T133" s="41">
        <f t="shared" si="53"/>
        <v>9.6153846153846159E-2</v>
      </c>
      <c r="U133" s="40">
        <v>1</v>
      </c>
      <c r="V133" s="41">
        <f t="shared" si="54"/>
        <v>1.4925373134328358E-2</v>
      </c>
      <c r="W133" s="40">
        <v>1</v>
      </c>
      <c r="X133" s="41">
        <f t="shared" si="55"/>
        <v>1.9230769230769232E-2</v>
      </c>
      <c r="Y133" s="40">
        <v>5</v>
      </c>
      <c r="Z133" s="41">
        <f t="shared" si="56"/>
        <v>7.4626865671641784E-2</v>
      </c>
      <c r="AA133" s="40">
        <v>1</v>
      </c>
      <c r="AB133" s="41">
        <f t="shared" si="57"/>
        <v>1.9230769230769232E-2</v>
      </c>
      <c r="AC133" s="40">
        <v>61</v>
      </c>
      <c r="AD133" s="41">
        <f t="shared" si="65"/>
        <v>0.91044776119402981</v>
      </c>
      <c r="AE133" s="40">
        <v>50</v>
      </c>
      <c r="AF133" s="41">
        <f t="shared" si="58"/>
        <v>0.96153846153846156</v>
      </c>
      <c r="AG133" s="40">
        <v>1</v>
      </c>
      <c r="AH133" s="41">
        <f t="shared" si="66"/>
        <v>1.4925373134328358E-2</v>
      </c>
      <c r="AI133" s="40">
        <v>3</v>
      </c>
      <c r="AJ133" s="41">
        <f t="shared" si="59"/>
        <v>5.7692307692307696E-2</v>
      </c>
      <c r="AK133" s="40">
        <v>0</v>
      </c>
      <c r="AL133" s="41">
        <f t="shared" si="67"/>
        <v>0</v>
      </c>
      <c r="AM133" s="40">
        <v>0</v>
      </c>
      <c r="AN133" s="41">
        <f t="shared" si="60"/>
        <v>0</v>
      </c>
      <c r="AO133" s="40">
        <v>45</v>
      </c>
      <c r="AP133" s="41">
        <f t="shared" si="68"/>
        <v>0.67164179104477617</v>
      </c>
      <c r="AQ133" s="40">
        <v>34</v>
      </c>
      <c r="AR133" s="41">
        <f t="shared" si="61"/>
        <v>0.65384615384615385</v>
      </c>
      <c r="AS133" s="40">
        <v>11</v>
      </c>
      <c r="AT133" s="41">
        <f t="shared" si="69"/>
        <v>0.16417910447761194</v>
      </c>
      <c r="AU133" s="40">
        <v>10</v>
      </c>
      <c r="AV133" s="41">
        <f t="shared" si="62"/>
        <v>0.19230769230769232</v>
      </c>
      <c r="AW133" s="40">
        <v>6</v>
      </c>
      <c r="AX133" s="41">
        <f t="shared" si="70"/>
        <v>8.9552238805970144E-2</v>
      </c>
      <c r="AY133" s="40">
        <v>2</v>
      </c>
      <c r="AZ133" s="41">
        <f t="shared" si="63"/>
        <v>3.8461538461538464E-2</v>
      </c>
      <c r="BA133" s="40">
        <v>4</v>
      </c>
      <c r="BB133" s="41">
        <f t="shared" si="71"/>
        <v>5.9701492537313432E-2</v>
      </c>
      <c r="BC133" s="40">
        <v>3</v>
      </c>
      <c r="BD133" s="41">
        <f t="shared" si="64"/>
        <v>5.7692307692307696E-2</v>
      </c>
      <c r="BE133" s="40">
        <v>67</v>
      </c>
      <c r="BF133" s="40">
        <v>52</v>
      </c>
    </row>
    <row r="134" spans="1:58" ht="15.75" customHeight="1" x14ac:dyDescent="0.25">
      <c r="A134" s="39">
        <v>2024</v>
      </c>
      <c r="B134" s="39">
        <v>172097</v>
      </c>
      <c r="C134" s="37" t="str">
        <f>VLOOKUP(B134,procv!$A$2:$D$142,4,FALSE)</f>
        <v>Ilha do Bananal</v>
      </c>
      <c r="D134" s="37" t="s">
        <v>137</v>
      </c>
      <c r="E134" s="40">
        <v>1</v>
      </c>
      <c r="F134" s="42">
        <f t="shared" si="48"/>
        <v>5.0000000000000001E-3</v>
      </c>
      <c r="G134" s="40">
        <v>1</v>
      </c>
      <c r="H134" s="42">
        <f t="shared" si="49"/>
        <v>1.1627906976744186E-2</v>
      </c>
      <c r="I134" s="40">
        <v>2</v>
      </c>
      <c r="J134" s="41">
        <f t="shared" si="50"/>
        <v>0.01</v>
      </c>
      <c r="K134" s="40">
        <v>3</v>
      </c>
      <c r="L134" s="41">
        <f t="shared" si="51"/>
        <v>3.4883720930232558E-2</v>
      </c>
      <c r="M134" s="40">
        <v>182</v>
      </c>
      <c r="N134" s="41">
        <f>IFERROR(M134/$BE134,0)</f>
        <v>0.91</v>
      </c>
      <c r="O134" s="40">
        <v>71</v>
      </c>
      <c r="P134" s="41">
        <f t="shared" si="52"/>
        <v>0.82558139534883723</v>
      </c>
      <c r="Q134" s="40">
        <v>15</v>
      </c>
      <c r="R134" s="41">
        <f>IFERROR(Q134/$BE134,0)</f>
        <v>7.4999999999999997E-2</v>
      </c>
      <c r="S134" s="40">
        <v>11</v>
      </c>
      <c r="T134" s="41">
        <f t="shared" si="53"/>
        <v>0.12790697674418605</v>
      </c>
      <c r="U134" s="40">
        <v>6</v>
      </c>
      <c r="V134" s="41">
        <f t="shared" si="54"/>
        <v>0.03</v>
      </c>
      <c r="W134" s="40">
        <v>8</v>
      </c>
      <c r="X134" s="41">
        <f t="shared" si="55"/>
        <v>9.3023255813953487E-2</v>
      </c>
      <c r="Y134" s="40">
        <v>19</v>
      </c>
      <c r="Z134" s="41">
        <f t="shared" si="56"/>
        <v>9.5000000000000001E-2</v>
      </c>
      <c r="AA134" s="40">
        <v>9</v>
      </c>
      <c r="AB134" s="41">
        <f t="shared" si="57"/>
        <v>0.10465116279069768</v>
      </c>
      <c r="AC134" s="40">
        <v>175</v>
      </c>
      <c r="AD134" s="41">
        <f t="shared" si="65"/>
        <v>0.875</v>
      </c>
      <c r="AE134" s="40">
        <v>69</v>
      </c>
      <c r="AF134" s="41">
        <f t="shared" si="58"/>
        <v>0.80232558139534882</v>
      </c>
      <c r="AG134" s="40">
        <v>1</v>
      </c>
      <c r="AH134" s="41">
        <f t="shared" si="66"/>
        <v>5.0000000000000001E-3</v>
      </c>
      <c r="AI134" s="40">
        <v>1</v>
      </c>
      <c r="AJ134" s="41">
        <f t="shared" si="59"/>
        <v>1.1627906976744186E-2</v>
      </c>
      <c r="AK134" s="40">
        <v>0</v>
      </c>
      <c r="AL134" s="41">
        <f t="shared" si="67"/>
        <v>0</v>
      </c>
      <c r="AM134" s="40">
        <v>2</v>
      </c>
      <c r="AN134" s="41">
        <f t="shared" si="60"/>
        <v>2.3255813953488372E-2</v>
      </c>
      <c r="AO134" s="40">
        <v>122</v>
      </c>
      <c r="AP134" s="41">
        <f t="shared" si="68"/>
        <v>0.61</v>
      </c>
      <c r="AQ134" s="40">
        <v>43</v>
      </c>
      <c r="AR134" s="41">
        <f t="shared" si="61"/>
        <v>0.5</v>
      </c>
      <c r="AS134" s="40">
        <v>48</v>
      </c>
      <c r="AT134" s="41">
        <f t="shared" si="69"/>
        <v>0.24</v>
      </c>
      <c r="AU134" s="40">
        <v>23</v>
      </c>
      <c r="AV134" s="41">
        <f t="shared" si="62"/>
        <v>0.26744186046511625</v>
      </c>
      <c r="AW134" s="40">
        <v>19</v>
      </c>
      <c r="AX134" s="41">
        <f t="shared" si="70"/>
        <v>9.5000000000000001E-2</v>
      </c>
      <c r="AY134" s="40">
        <v>9</v>
      </c>
      <c r="AZ134" s="41">
        <f t="shared" si="63"/>
        <v>0.10465116279069768</v>
      </c>
      <c r="BA134" s="40">
        <v>10</v>
      </c>
      <c r="BB134" s="41">
        <f t="shared" si="71"/>
        <v>0.05</v>
      </c>
      <c r="BC134" s="40">
        <v>8</v>
      </c>
      <c r="BD134" s="41">
        <f t="shared" si="64"/>
        <v>9.3023255813953487E-2</v>
      </c>
      <c r="BE134" s="40">
        <v>200</v>
      </c>
      <c r="BF134" s="40">
        <v>86</v>
      </c>
    </row>
    <row r="135" spans="1:58" ht="15.75" customHeight="1" x14ac:dyDescent="0.25">
      <c r="A135" s="39">
        <v>2024</v>
      </c>
      <c r="B135" s="39">
        <v>172110</v>
      </c>
      <c r="C135" s="37" t="str">
        <f>VLOOKUP(B135,procv!$A$2:$D$142,4,FALSE)</f>
        <v>Capim Dourado</v>
      </c>
      <c r="D135" s="37" t="s">
        <v>138</v>
      </c>
      <c r="E135" s="40">
        <v>4</v>
      </c>
      <c r="F135" s="42">
        <f t="shared" si="48"/>
        <v>5.2562417871222077E-3</v>
      </c>
      <c r="G135" s="40">
        <v>3</v>
      </c>
      <c r="H135" s="42">
        <f t="shared" si="49"/>
        <v>4.6224961479198771E-3</v>
      </c>
      <c r="I135" s="40">
        <v>11</v>
      </c>
      <c r="J135" s="41">
        <f t="shared" si="50"/>
        <v>1.4454664914586071E-2</v>
      </c>
      <c r="K135" s="40">
        <v>9</v>
      </c>
      <c r="L135" s="41">
        <f t="shared" si="51"/>
        <v>1.386748844375963E-2</v>
      </c>
      <c r="M135" s="40">
        <v>715</v>
      </c>
      <c r="N135" s="41">
        <f>IFERROR(M135/$BE135,0)</f>
        <v>0.93955321944809467</v>
      </c>
      <c r="O135" s="40">
        <v>615</v>
      </c>
      <c r="P135" s="41">
        <f t="shared" si="52"/>
        <v>0.94761171032357472</v>
      </c>
      <c r="Q135" s="40">
        <v>31</v>
      </c>
      <c r="R135" s="41">
        <f>IFERROR(Q135/$BE135,0)</f>
        <v>4.0735873850197106E-2</v>
      </c>
      <c r="S135" s="40">
        <v>22</v>
      </c>
      <c r="T135" s="41">
        <f t="shared" si="53"/>
        <v>3.3898305084745763E-2</v>
      </c>
      <c r="U135" s="40">
        <v>43</v>
      </c>
      <c r="V135" s="41">
        <f t="shared" si="54"/>
        <v>5.6504599211563734E-2</v>
      </c>
      <c r="W135" s="40">
        <v>41</v>
      </c>
      <c r="X135" s="41">
        <f t="shared" si="55"/>
        <v>6.3174114021571651E-2</v>
      </c>
      <c r="Y135" s="40">
        <v>62</v>
      </c>
      <c r="Z135" s="41">
        <f t="shared" si="56"/>
        <v>8.1471747700394212E-2</v>
      </c>
      <c r="AA135" s="40">
        <v>58</v>
      </c>
      <c r="AB135" s="41">
        <f t="shared" si="57"/>
        <v>8.9368258859784278E-2</v>
      </c>
      <c r="AC135" s="40">
        <v>656</v>
      </c>
      <c r="AD135" s="41">
        <f t="shared" si="65"/>
        <v>0.86202365308804207</v>
      </c>
      <c r="AE135" s="40">
        <v>550</v>
      </c>
      <c r="AF135" s="41">
        <f t="shared" si="58"/>
        <v>0.84745762711864403</v>
      </c>
      <c r="AG135" s="40">
        <v>29</v>
      </c>
      <c r="AH135" s="41">
        <f t="shared" si="66"/>
        <v>3.8107752956636008E-2</v>
      </c>
      <c r="AI135" s="40">
        <v>26</v>
      </c>
      <c r="AJ135" s="41">
        <f t="shared" si="59"/>
        <v>4.0061633281972264E-2</v>
      </c>
      <c r="AK135" s="40">
        <v>33</v>
      </c>
      <c r="AL135" s="41">
        <f t="shared" si="67"/>
        <v>4.3363994743758211E-2</v>
      </c>
      <c r="AM135" s="40">
        <v>32</v>
      </c>
      <c r="AN135" s="41">
        <f t="shared" si="60"/>
        <v>4.930662557781202E-2</v>
      </c>
      <c r="AO135" s="40">
        <v>472</v>
      </c>
      <c r="AP135" s="41">
        <f t="shared" si="68"/>
        <v>0.62023653088042052</v>
      </c>
      <c r="AQ135" s="40">
        <v>409</v>
      </c>
      <c r="AR135" s="41">
        <f t="shared" si="61"/>
        <v>0.63020030816640982</v>
      </c>
      <c r="AS135" s="40">
        <v>137</v>
      </c>
      <c r="AT135" s="41">
        <f t="shared" si="69"/>
        <v>0.1800262812089356</v>
      </c>
      <c r="AU135" s="40">
        <v>111</v>
      </c>
      <c r="AV135" s="41">
        <f t="shared" si="62"/>
        <v>0.17103235747303544</v>
      </c>
      <c r="AW135" s="40">
        <v>52</v>
      </c>
      <c r="AX135" s="41">
        <f t="shared" si="70"/>
        <v>6.8331143232588695E-2</v>
      </c>
      <c r="AY135" s="40">
        <v>37</v>
      </c>
      <c r="AZ135" s="41">
        <f t="shared" si="63"/>
        <v>5.7010785824345149E-2</v>
      </c>
      <c r="BA135" s="40">
        <v>38</v>
      </c>
      <c r="BB135" s="41">
        <f t="shared" si="71"/>
        <v>4.9934296977660969E-2</v>
      </c>
      <c r="BC135" s="40">
        <v>34</v>
      </c>
      <c r="BD135" s="41">
        <f t="shared" si="64"/>
        <v>5.2388289676425268E-2</v>
      </c>
      <c r="BE135" s="40">
        <v>761</v>
      </c>
      <c r="BF135" s="40">
        <v>649</v>
      </c>
    </row>
    <row r="136" spans="1:58" ht="15.75" customHeight="1" x14ac:dyDescent="0.25">
      <c r="A136" s="39">
        <v>2024</v>
      </c>
      <c r="B136" s="39">
        <v>172120</v>
      </c>
      <c r="C136" s="37" t="str">
        <f>VLOOKUP(B136,procv!$A$2:$D$142,4,FALSE)</f>
        <v>Bico do Papagaio</v>
      </c>
      <c r="D136" s="37" t="s">
        <v>139</v>
      </c>
      <c r="E136" s="40">
        <v>18</v>
      </c>
      <c r="F136" s="42">
        <f t="shared" si="48"/>
        <v>1.3119533527696793E-2</v>
      </c>
      <c r="G136" s="40">
        <v>14</v>
      </c>
      <c r="H136" s="42">
        <f t="shared" si="49"/>
        <v>1.3916500994035786E-2</v>
      </c>
      <c r="I136" s="40">
        <v>49</v>
      </c>
      <c r="J136" s="41">
        <f t="shared" si="50"/>
        <v>3.5714285714285712E-2</v>
      </c>
      <c r="K136" s="40">
        <v>46</v>
      </c>
      <c r="L136" s="41">
        <f t="shared" si="51"/>
        <v>4.5725646123260438E-2</v>
      </c>
      <c r="M136" s="43">
        <v>1242</v>
      </c>
      <c r="N136" s="41">
        <f>IFERROR(M136/$BE136,0)</f>
        <v>0.90524781341107874</v>
      </c>
      <c r="O136" s="40">
        <v>902</v>
      </c>
      <c r="P136" s="41">
        <f t="shared" si="52"/>
        <v>0.89662027833001989</v>
      </c>
      <c r="Q136" s="40">
        <v>63</v>
      </c>
      <c r="R136" s="41">
        <f>IFERROR(Q136/$BE136,0)</f>
        <v>4.5918367346938778E-2</v>
      </c>
      <c r="S136" s="40">
        <v>44</v>
      </c>
      <c r="T136" s="41">
        <f t="shared" si="53"/>
        <v>4.37375745526839E-2</v>
      </c>
      <c r="U136" s="40">
        <v>116</v>
      </c>
      <c r="V136" s="41">
        <f t="shared" si="54"/>
        <v>8.4548104956268216E-2</v>
      </c>
      <c r="W136" s="40">
        <v>101</v>
      </c>
      <c r="X136" s="41">
        <f t="shared" si="55"/>
        <v>0.10039761431411531</v>
      </c>
      <c r="Y136" s="40">
        <v>141</v>
      </c>
      <c r="Z136" s="41">
        <f t="shared" si="56"/>
        <v>0.10276967930029154</v>
      </c>
      <c r="AA136" s="40">
        <v>125</v>
      </c>
      <c r="AB136" s="41">
        <f t="shared" si="57"/>
        <v>0.1242544731610338</v>
      </c>
      <c r="AC136" s="43">
        <v>1115</v>
      </c>
      <c r="AD136" s="41">
        <f t="shared" si="65"/>
        <v>0.81268221574344024</v>
      </c>
      <c r="AE136" s="40">
        <v>780</v>
      </c>
      <c r="AF136" s="41">
        <f t="shared" si="58"/>
        <v>0.77534791252485091</v>
      </c>
      <c r="AG136" s="40">
        <v>66</v>
      </c>
      <c r="AH136" s="41">
        <f t="shared" si="66"/>
        <v>4.8104956268221574E-2</v>
      </c>
      <c r="AI136" s="40">
        <v>56</v>
      </c>
      <c r="AJ136" s="41">
        <f t="shared" si="59"/>
        <v>5.5666003976143144E-2</v>
      </c>
      <c r="AK136" s="40">
        <v>77</v>
      </c>
      <c r="AL136" s="41">
        <f t="shared" si="67"/>
        <v>5.6122448979591837E-2</v>
      </c>
      <c r="AM136" s="40">
        <v>64</v>
      </c>
      <c r="AN136" s="41">
        <f t="shared" si="60"/>
        <v>6.3618290258449298E-2</v>
      </c>
      <c r="AO136" s="40">
        <v>846</v>
      </c>
      <c r="AP136" s="41">
        <f t="shared" si="68"/>
        <v>0.61661807580174932</v>
      </c>
      <c r="AQ136" s="40">
        <v>608</v>
      </c>
      <c r="AR136" s="41">
        <f t="shared" si="61"/>
        <v>0.60437375745526833</v>
      </c>
      <c r="AS136" s="40">
        <v>205</v>
      </c>
      <c r="AT136" s="41">
        <f t="shared" si="69"/>
        <v>0.14941690962099125</v>
      </c>
      <c r="AU136" s="40">
        <v>142</v>
      </c>
      <c r="AV136" s="41">
        <f t="shared" si="62"/>
        <v>0.14115308151093439</v>
      </c>
      <c r="AW136" s="40">
        <v>98</v>
      </c>
      <c r="AX136" s="41">
        <f t="shared" si="70"/>
        <v>7.1428571428571425E-2</v>
      </c>
      <c r="AY136" s="40">
        <v>75</v>
      </c>
      <c r="AZ136" s="41">
        <f t="shared" si="63"/>
        <v>7.4552683896620273E-2</v>
      </c>
      <c r="BA136" s="40">
        <v>80</v>
      </c>
      <c r="BB136" s="41">
        <f t="shared" si="71"/>
        <v>5.8309037900874633E-2</v>
      </c>
      <c r="BC136" s="40">
        <v>61</v>
      </c>
      <c r="BD136" s="41">
        <f t="shared" si="64"/>
        <v>6.063618290258449E-2</v>
      </c>
      <c r="BE136" s="43">
        <v>1372</v>
      </c>
      <c r="BF136" s="43">
        <v>1006</v>
      </c>
    </row>
    <row r="137" spans="1:58" ht="15.75" customHeight="1" x14ac:dyDescent="0.25">
      <c r="A137" s="39">
        <v>2024</v>
      </c>
      <c r="B137" s="39">
        <v>172125</v>
      </c>
      <c r="C137" s="37" t="str">
        <f>VLOOKUP(B137,procv!$A$2:$D$142,4,FALSE)</f>
        <v>Cerrado Tocantins Araguaia</v>
      </c>
      <c r="D137" s="37" t="s">
        <v>140</v>
      </c>
      <c r="E137" s="40">
        <v>2</v>
      </c>
      <c r="F137" s="42">
        <f t="shared" si="48"/>
        <v>1.2500000000000001E-2</v>
      </c>
      <c r="G137" s="40">
        <v>0</v>
      </c>
      <c r="H137" s="42">
        <f t="shared" si="49"/>
        <v>0</v>
      </c>
      <c r="I137" s="40">
        <v>3</v>
      </c>
      <c r="J137" s="41">
        <f t="shared" si="50"/>
        <v>1.8749999999999999E-2</v>
      </c>
      <c r="K137" s="40">
        <v>3</v>
      </c>
      <c r="L137" s="41">
        <f t="shared" si="51"/>
        <v>4.4117647058823532E-2</v>
      </c>
      <c r="M137" s="40">
        <v>147</v>
      </c>
      <c r="N137" s="41">
        <f>IFERROR(M137/$BE137,0)</f>
        <v>0.91874999999999996</v>
      </c>
      <c r="O137" s="40">
        <v>61</v>
      </c>
      <c r="P137" s="41">
        <f t="shared" si="52"/>
        <v>0.8970588235294118</v>
      </c>
      <c r="Q137" s="40">
        <v>8</v>
      </c>
      <c r="R137" s="41">
        <f>IFERROR(Q137/$BE137,0)</f>
        <v>0.05</v>
      </c>
      <c r="S137" s="40">
        <v>4</v>
      </c>
      <c r="T137" s="41">
        <f t="shared" si="53"/>
        <v>5.8823529411764705E-2</v>
      </c>
      <c r="U137" s="40">
        <v>0</v>
      </c>
      <c r="V137" s="41">
        <f t="shared" si="54"/>
        <v>0</v>
      </c>
      <c r="W137" s="40">
        <v>1</v>
      </c>
      <c r="X137" s="41">
        <f t="shared" si="55"/>
        <v>1.4705882352941176E-2</v>
      </c>
      <c r="Y137" s="40">
        <v>6</v>
      </c>
      <c r="Z137" s="41">
        <f t="shared" si="56"/>
        <v>3.7499999999999999E-2</v>
      </c>
      <c r="AA137" s="40">
        <v>10</v>
      </c>
      <c r="AB137" s="41">
        <f t="shared" si="57"/>
        <v>0.14705882352941177</v>
      </c>
      <c r="AC137" s="40">
        <v>154</v>
      </c>
      <c r="AD137" s="41">
        <f t="shared" si="65"/>
        <v>0.96250000000000002</v>
      </c>
      <c r="AE137" s="40">
        <v>57</v>
      </c>
      <c r="AF137" s="41">
        <f t="shared" si="58"/>
        <v>0.83823529411764708</v>
      </c>
      <c r="AG137" s="40">
        <v>2</v>
      </c>
      <c r="AH137" s="41">
        <f t="shared" si="66"/>
        <v>1.2500000000000001E-2</v>
      </c>
      <c r="AI137" s="40">
        <v>4</v>
      </c>
      <c r="AJ137" s="41">
        <f t="shared" si="59"/>
        <v>5.8823529411764705E-2</v>
      </c>
      <c r="AK137" s="40">
        <v>5</v>
      </c>
      <c r="AL137" s="41">
        <f t="shared" si="67"/>
        <v>3.125E-2</v>
      </c>
      <c r="AM137" s="40">
        <v>4</v>
      </c>
      <c r="AN137" s="41">
        <f t="shared" si="60"/>
        <v>5.8823529411764705E-2</v>
      </c>
      <c r="AO137" s="40">
        <v>111</v>
      </c>
      <c r="AP137" s="41">
        <f t="shared" si="68"/>
        <v>0.69374999999999998</v>
      </c>
      <c r="AQ137" s="40">
        <v>43</v>
      </c>
      <c r="AR137" s="41">
        <f t="shared" si="61"/>
        <v>0.63235294117647056</v>
      </c>
      <c r="AS137" s="40">
        <v>30</v>
      </c>
      <c r="AT137" s="41">
        <f t="shared" si="69"/>
        <v>0.1875</v>
      </c>
      <c r="AU137" s="40">
        <v>9</v>
      </c>
      <c r="AV137" s="41">
        <f t="shared" si="62"/>
        <v>0.13235294117647059</v>
      </c>
      <c r="AW137" s="40">
        <v>7</v>
      </c>
      <c r="AX137" s="41">
        <f t="shared" si="70"/>
        <v>4.3749999999999997E-2</v>
      </c>
      <c r="AY137" s="40">
        <v>3</v>
      </c>
      <c r="AZ137" s="41">
        <f t="shared" si="63"/>
        <v>4.4117647058823532E-2</v>
      </c>
      <c r="BA137" s="40">
        <v>5</v>
      </c>
      <c r="BB137" s="41">
        <f t="shared" si="71"/>
        <v>3.125E-2</v>
      </c>
      <c r="BC137" s="40">
        <v>5</v>
      </c>
      <c r="BD137" s="41">
        <f t="shared" si="64"/>
        <v>7.3529411764705885E-2</v>
      </c>
      <c r="BE137" s="40">
        <v>160</v>
      </c>
      <c r="BF137" s="40">
        <v>68</v>
      </c>
    </row>
    <row r="138" spans="1:58" ht="15.75" customHeight="1" x14ac:dyDescent="0.25">
      <c r="A138" s="39">
        <v>2024</v>
      </c>
      <c r="B138" s="39">
        <v>172130</v>
      </c>
      <c r="C138" s="37" t="str">
        <f>VLOOKUP(B138,procv!$A$2:$D$142,4,FALSE)</f>
        <v>Cerrado Tocantins Araguaia</v>
      </c>
      <c r="D138" s="37" t="s">
        <v>141</v>
      </c>
      <c r="E138" s="40">
        <v>1</v>
      </c>
      <c r="F138" s="42">
        <f t="shared" si="48"/>
        <v>1.5384615384615385E-2</v>
      </c>
      <c r="G138" s="40">
        <v>1</v>
      </c>
      <c r="H138" s="42">
        <f t="shared" si="49"/>
        <v>0.05</v>
      </c>
      <c r="I138" s="40">
        <v>0</v>
      </c>
      <c r="J138" s="41">
        <f t="shared" si="50"/>
        <v>0</v>
      </c>
      <c r="K138" s="40">
        <v>0</v>
      </c>
      <c r="L138" s="41">
        <f t="shared" si="51"/>
        <v>0</v>
      </c>
      <c r="M138" s="40">
        <v>61</v>
      </c>
      <c r="N138" s="41">
        <f>IFERROR(M138/$BE138,0)</f>
        <v>0.93846153846153846</v>
      </c>
      <c r="O138" s="40">
        <v>18</v>
      </c>
      <c r="P138" s="41">
        <f t="shared" si="52"/>
        <v>0.9</v>
      </c>
      <c r="Q138" s="40">
        <v>3</v>
      </c>
      <c r="R138" s="41">
        <f>IFERROR(Q138/$BE138,0)</f>
        <v>4.6153846153846156E-2</v>
      </c>
      <c r="S138" s="40">
        <v>1</v>
      </c>
      <c r="T138" s="41">
        <f t="shared" si="53"/>
        <v>0.05</v>
      </c>
      <c r="U138" s="40">
        <v>2</v>
      </c>
      <c r="V138" s="41">
        <f t="shared" si="54"/>
        <v>3.0769230769230771E-2</v>
      </c>
      <c r="W138" s="40">
        <v>1</v>
      </c>
      <c r="X138" s="41">
        <f t="shared" si="55"/>
        <v>0.05</v>
      </c>
      <c r="Y138" s="40">
        <v>3</v>
      </c>
      <c r="Z138" s="41">
        <f t="shared" si="56"/>
        <v>4.6153846153846156E-2</v>
      </c>
      <c r="AA138" s="40">
        <v>1</v>
      </c>
      <c r="AB138" s="41">
        <f t="shared" si="57"/>
        <v>0.05</v>
      </c>
      <c r="AC138" s="40">
        <v>60</v>
      </c>
      <c r="AD138" s="41">
        <f t="shared" si="65"/>
        <v>0.92307692307692313</v>
      </c>
      <c r="AE138" s="40">
        <v>18</v>
      </c>
      <c r="AF138" s="41">
        <f t="shared" si="58"/>
        <v>0.9</v>
      </c>
      <c r="AG138" s="40">
        <v>2</v>
      </c>
      <c r="AH138" s="41">
        <f t="shared" si="66"/>
        <v>3.0769230769230771E-2</v>
      </c>
      <c r="AI138" s="40">
        <v>1</v>
      </c>
      <c r="AJ138" s="41">
        <f t="shared" si="59"/>
        <v>0.05</v>
      </c>
      <c r="AK138" s="40">
        <v>1</v>
      </c>
      <c r="AL138" s="41">
        <f t="shared" si="67"/>
        <v>1.5384615384615385E-2</v>
      </c>
      <c r="AM138" s="40">
        <v>1</v>
      </c>
      <c r="AN138" s="41">
        <f t="shared" si="60"/>
        <v>0.05</v>
      </c>
      <c r="AO138" s="40">
        <v>40</v>
      </c>
      <c r="AP138" s="41">
        <f t="shared" si="68"/>
        <v>0.61538461538461542</v>
      </c>
      <c r="AQ138" s="40">
        <v>12</v>
      </c>
      <c r="AR138" s="41">
        <f t="shared" si="61"/>
        <v>0.6</v>
      </c>
      <c r="AS138" s="40">
        <v>17</v>
      </c>
      <c r="AT138" s="41">
        <f t="shared" si="69"/>
        <v>0.26153846153846155</v>
      </c>
      <c r="AU138" s="40">
        <v>3</v>
      </c>
      <c r="AV138" s="41">
        <f t="shared" si="62"/>
        <v>0.15</v>
      </c>
      <c r="AW138" s="40">
        <v>2</v>
      </c>
      <c r="AX138" s="41">
        <f t="shared" si="70"/>
        <v>3.0769230769230771E-2</v>
      </c>
      <c r="AY138" s="40">
        <v>1</v>
      </c>
      <c r="AZ138" s="41">
        <f t="shared" si="63"/>
        <v>0.05</v>
      </c>
      <c r="BA138" s="40">
        <v>3</v>
      </c>
      <c r="BB138" s="41">
        <f t="shared" si="71"/>
        <v>4.6153846153846156E-2</v>
      </c>
      <c r="BC138" s="40">
        <v>2</v>
      </c>
      <c r="BD138" s="41">
        <f t="shared" si="64"/>
        <v>0.1</v>
      </c>
      <c r="BE138" s="40">
        <v>65</v>
      </c>
      <c r="BF138" s="40">
        <v>20</v>
      </c>
    </row>
    <row r="139" spans="1:58" ht="15.75" customHeight="1" x14ac:dyDescent="0.25">
      <c r="A139" s="39">
        <v>2024</v>
      </c>
      <c r="B139" s="39">
        <v>172208</v>
      </c>
      <c r="C139" s="37" t="str">
        <f>VLOOKUP(B139,procv!$A$2:$D$142,4,FALSE)</f>
        <v>Médio Norte Araguaia</v>
      </c>
      <c r="D139" s="37" t="s">
        <v>142</v>
      </c>
      <c r="E139" s="40">
        <v>0</v>
      </c>
      <c r="F139" s="42">
        <f t="shared" si="48"/>
        <v>0</v>
      </c>
      <c r="G139" s="40">
        <v>1</v>
      </c>
      <c r="H139" s="42">
        <f t="shared" si="49"/>
        <v>2.8985507246376812E-3</v>
      </c>
      <c r="I139" s="40">
        <v>10</v>
      </c>
      <c r="J139" s="41">
        <f t="shared" si="50"/>
        <v>1.7667844522968199E-2</v>
      </c>
      <c r="K139" s="40">
        <v>8</v>
      </c>
      <c r="L139" s="41">
        <f t="shared" si="51"/>
        <v>2.318840579710145E-2</v>
      </c>
      <c r="M139" s="40">
        <v>524</v>
      </c>
      <c r="N139" s="41">
        <f>IFERROR(M139/$BE139,0)</f>
        <v>0.9257950530035336</v>
      </c>
      <c r="O139" s="40">
        <v>317</v>
      </c>
      <c r="P139" s="41">
        <f t="shared" si="52"/>
        <v>0.91884057971014488</v>
      </c>
      <c r="Q139" s="40">
        <v>32</v>
      </c>
      <c r="R139" s="41">
        <f>IFERROR(Q139/$BE139,0)</f>
        <v>5.6537102473498232E-2</v>
      </c>
      <c r="S139" s="40">
        <v>19</v>
      </c>
      <c r="T139" s="41">
        <f t="shared" si="53"/>
        <v>5.5072463768115941E-2</v>
      </c>
      <c r="U139" s="40">
        <v>23</v>
      </c>
      <c r="V139" s="41">
        <f t="shared" si="54"/>
        <v>4.0636042402826852E-2</v>
      </c>
      <c r="W139" s="40">
        <v>14</v>
      </c>
      <c r="X139" s="41">
        <f t="shared" si="55"/>
        <v>4.0579710144927533E-2</v>
      </c>
      <c r="Y139" s="40">
        <v>39</v>
      </c>
      <c r="Z139" s="41">
        <f t="shared" si="56"/>
        <v>6.8904593639575976E-2</v>
      </c>
      <c r="AA139" s="40">
        <v>23</v>
      </c>
      <c r="AB139" s="41">
        <f t="shared" si="57"/>
        <v>6.6666666666666666E-2</v>
      </c>
      <c r="AC139" s="40">
        <v>504</v>
      </c>
      <c r="AD139" s="41">
        <f t="shared" si="65"/>
        <v>0.89045936395759717</v>
      </c>
      <c r="AE139" s="40">
        <v>308</v>
      </c>
      <c r="AF139" s="41">
        <f t="shared" si="58"/>
        <v>0.89275362318840579</v>
      </c>
      <c r="AG139" s="40">
        <v>5</v>
      </c>
      <c r="AH139" s="41">
        <f t="shared" si="66"/>
        <v>8.8339222614840993E-3</v>
      </c>
      <c r="AI139" s="40">
        <v>3</v>
      </c>
      <c r="AJ139" s="41">
        <f t="shared" si="59"/>
        <v>8.6956521739130436E-3</v>
      </c>
      <c r="AK139" s="40">
        <v>14</v>
      </c>
      <c r="AL139" s="41">
        <f t="shared" si="67"/>
        <v>2.4734982332155476E-2</v>
      </c>
      <c r="AM139" s="40">
        <v>13</v>
      </c>
      <c r="AN139" s="41">
        <f t="shared" si="60"/>
        <v>3.7681159420289857E-2</v>
      </c>
      <c r="AO139" s="40">
        <v>372</v>
      </c>
      <c r="AP139" s="41">
        <f t="shared" si="68"/>
        <v>0.65724381625441697</v>
      </c>
      <c r="AQ139" s="40">
        <v>231</v>
      </c>
      <c r="AR139" s="41">
        <f t="shared" si="61"/>
        <v>0.66956521739130437</v>
      </c>
      <c r="AS139" s="40">
        <v>95</v>
      </c>
      <c r="AT139" s="41">
        <f t="shared" si="69"/>
        <v>0.16784452296819788</v>
      </c>
      <c r="AU139" s="40">
        <v>53</v>
      </c>
      <c r="AV139" s="41">
        <f t="shared" si="62"/>
        <v>0.15362318840579711</v>
      </c>
      <c r="AW139" s="40">
        <v>49</v>
      </c>
      <c r="AX139" s="41">
        <f t="shared" si="70"/>
        <v>8.6572438162544174E-2</v>
      </c>
      <c r="AY139" s="40">
        <v>29</v>
      </c>
      <c r="AZ139" s="41">
        <f t="shared" si="63"/>
        <v>8.4057971014492749E-2</v>
      </c>
      <c r="BA139" s="40">
        <v>31</v>
      </c>
      <c r="BB139" s="41">
        <f t="shared" si="71"/>
        <v>5.4770318021201414E-2</v>
      </c>
      <c r="BC139" s="40">
        <v>16</v>
      </c>
      <c r="BD139" s="41">
        <f t="shared" si="64"/>
        <v>4.6376811594202899E-2</v>
      </c>
      <c r="BE139" s="40">
        <v>566</v>
      </c>
      <c r="BF139" s="40">
        <v>345</v>
      </c>
    </row>
    <row r="140" spans="1:58" ht="15.75" customHeight="1" x14ac:dyDescent="0.25">
      <c r="A140" s="39">
        <v>2024</v>
      </c>
      <c r="B140" s="39">
        <v>172210</v>
      </c>
      <c r="C140" s="37" t="str">
        <f>VLOOKUP(B140,procv!$A$2:$D$142,4,FALSE)</f>
        <v>Médio Norte Araguaia</v>
      </c>
      <c r="D140" s="37" t="s">
        <v>143</v>
      </c>
      <c r="E140" s="40">
        <v>7</v>
      </c>
      <c r="F140" s="42">
        <f t="shared" si="48"/>
        <v>1.1023622047244094E-2</v>
      </c>
      <c r="G140" s="40">
        <v>5</v>
      </c>
      <c r="H140" s="42">
        <f t="shared" si="49"/>
        <v>1.1061946902654867E-2</v>
      </c>
      <c r="I140" s="40">
        <v>23</v>
      </c>
      <c r="J140" s="41">
        <f t="shared" si="50"/>
        <v>3.6220472440944881E-2</v>
      </c>
      <c r="K140" s="40">
        <v>15</v>
      </c>
      <c r="L140" s="41">
        <f t="shared" si="51"/>
        <v>3.3185840707964605E-2</v>
      </c>
      <c r="M140" s="40">
        <v>572</v>
      </c>
      <c r="N140" s="41">
        <f>IFERROR(M140/$BE140,0)</f>
        <v>0.90078740157480319</v>
      </c>
      <c r="O140" s="40">
        <v>410</v>
      </c>
      <c r="P140" s="41">
        <f t="shared" si="52"/>
        <v>0.90707964601769908</v>
      </c>
      <c r="Q140" s="40">
        <v>33</v>
      </c>
      <c r="R140" s="41">
        <f>IFERROR(Q140/$BE140,0)</f>
        <v>5.1968503937007873E-2</v>
      </c>
      <c r="S140" s="40">
        <v>22</v>
      </c>
      <c r="T140" s="41">
        <f t="shared" si="53"/>
        <v>4.8672566371681415E-2</v>
      </c>
      <c r="U140" s="40">
        <v>34</v>
      </c>
      <c r="V140" s="41">
        <f t="shared" si="54"/>
        <v>5.3543307086614172E-2</v>
      </c>
      <c r="W140" s="40">
        <v>28</v>
      </c>
      <c r="X140" s="41">
        <f t="shared" si="55"/>
        <v>6.1946902654867256E-2</v>
      </c>
      <c r="Y140" s="40">
        <v>53</v>
      </c>
      <c r="Z140" s="41">
        <f t="shared" si="56"/>
        <v>8.3464566929133857E-2</v>
      </c>
      <c r="AA140" s="40">
        <v>37</v>
      </c>
      <c r="AB140" s="41">
        <f t="shared" si="57"/>
        <v>8.185840707964602E-2</v>
      </c>
      <c r="AC140" s="40">
        <v>548</v>
      </c>
      <c r="AD140" s="41">
        <f t="shared" si="65"/>
        <v>0.86299212598425201</v>
      </c>
      <c r="AE140" s="40">
        <v>387</v>
      </c>
      <c r="AF140" s="41">
        <f t="shared" si="58"/>
        <v>0.85619469026548678</v>
      </c>
      <c r="AG140" s="40">
        <v>15</v>
      </c>
      <c r="AH140" s="41">
        <f t="shared" si="66"/>
        <v>2.3622047244094488E-2</v>
      </c>
      <c r="AI140" s="40">
        <v>20</v>
      </c>
      <c r="AJ140" s="41">
        <f t="shared" si="59"/>
        <v>4.4247787610619468E-2</v>
      </c>
      <c r="AK140" s="40">
        <v>27</v>
      </c>
      <c r="AL140" s="41">
        <f t="shared" si="67"/>
        <v>4.2519685039370078E-2</v>
      </c>
      <c r="AM140" s="40">
        <v>27</v>
      </c>
      <c r="AN140" s="41">
        <f t="shared" si="60"/>
        <v>5.9734513274336286E-2</v>
      </c>
      <c r="AO140" s="40">
        <v>438</v>
      </c>
      <c r="AP140" s="41">
        <f t="shared" si="68"/>
        <v>0.68976377952755907</v>
      </c>
      <c r="AQ140" s="40">
        <v>309</v>
      </c>
      <c r="AR140" s="41">
        <f t="shared" si="61"/>
        <v>0.6836283185840708</v>
      </c>
      <c r="AS140" s="40">
        <v>92</v>
      </c>
      <c r="AT140" s="41">
        <f t="shared" si="69"/>
        <v>0.14488188976377953</v>
      </c>
      <c r="AU140" s="40">
        <v>57</v>
      </c>
      <c r="AV140" s="41">
        <f t="shared" si="62"/>
        <v>0.12610619469026549</v>
      </c>
      <c r="AW140" s="40">
        <v>40</v>
      </c>
      <c r="AX140" s="41">
        <f t="shared" si="70"/>
        <v>6.2992125984251968E-2</v>
      </c>
      <c r="AY140" s="40">
        <v>26</v>
      </c>
      <c r="AZ140" s="41">
        <f t="shared" si="63"/>
        <v>5.7522123893805309E-2</v>
      </c>
      <c r="BA140" s="40">
        <v>23</v>
      </c>
      <c r="BB140" s="41">
        <f t="shared" si="71"/>
        <v>3.6220472440944881E-2</v>
      </c>
      <c r="BC140" s="40">
        <v>13</v>
      </c>
      <c r="BD140" s="41">
        <f t="shared" si="64"/>
        <v>2.8761061946902654E-2</v>
      </c>
      <c r="BE140" s="40">
        <v>635</v>
      </c>
      <c r="BF140" s="40">
        <v>452</v>
      </c>
    </row>
    <row r="141" spans="1:58" ht="15.75" customHeight="1" x14ac:dyDescent="0.25">
      <c r="A141" s="44">
        <v>2023</v>
      </c>
      <c r="B141" s="39">
        <v>170025</v>
      </c>
      <c r="C141" s="37" t="str">
        <f>VLOOKUP(B141,procv!$A$2:$D$142,4,FALSE)</f>
        <v>Cantão</v>
      </c>
      <c r="D141" s="37" t="s">
        <v>5</v>
      </c>
      <c r="E141" s="45">
        <v>0</v>
      </c>
      <c r="F141" s="42">
        <f t="shared" si="48"/>
        <v>0</v>
      </c>
      <c r="G141" s="45">
        <v>0</v>
      </c>
      <c r="H141" s="42">
        <f t="shared" si="49"/>
        <v>0</v>
      </c>
      <c r="I141" s="45">
        <v>5</v>
      </c>
      <c r="J141" s="41">
        <f t="shared" si="50"/>
        <v>2.6315789473684209E-2</v>
      </c>
      <c r="K141" s="45">
        <v>4</v>
      </c>
      <c r="L141" s="41">
        <f t="shared" si="51"/>
        <v>4.9382716049382713E-2</v>
      </c>
      <c r="M141" s="45">
        <v>176</v>
      </c>
      <c r="N141" s="41">
        <f t="shared" ref="N141:N193" si="72">IFERROR(M141/$BE141,0)</f>
        <v>0.9263157894736842</v>
      </c>
      <c r="O141" s="45">
        <v>76</v>
      </c>
      <c r="P141" s="41">
        <f t="shared" si="52"/>
        <v>0.93827160493827155</v>
      </c>
      <c r="Q141" s="45">
        <v>9</v>
      </c>
      <c r="R141" s="41">
        <f t="shared" ref="R141:R193" si="73">IFERROR(Q141/$BE141,0)</f>
        <v>4.736842105263158E-2</v>
      </c>
      <c r="S141" s="45">
        <v>1</v>
      </c>
      <c r="T141" s="41">
        <f t="shared" si="53"/>
        <v>1.2345679012345678E-2</v>
      </c>
      <c r="U141" s="45">
        <v>5</v>
      </c>
      <c r="V141" s="41">
        <f t="shared" si="54"/>
        <v>2.6315789473684209E-2</v>
      </c>
      <c r="W141" s="45">
        <v>3</v>
      </c>
      <c r="X141" s="41">
        <f t="shared" si="55"/>
        <v>3.7037037037037035E-2</v>
      </c>
      <c r="Y141" s="45">
        <v>9</v>
      </c>
      <c r="Z141" s="41">
        <f t="shared" si="56"/>
        <v>4.736842105263158E-2</v>
      </c>
      <c r="AA141" s="45">
        <v>8</v>
      </c>
      <c r="AB141" s="41">
        <f t="shared" si="57"/>
        <v>9.8765432098765427E-2</v>
      </c>
      <c r="AC141" s="45">
        <v>176</v>
      </c>
      <c r="AD141" s="41">
        <f t="shared" si="65"/>
        <v>0.9263157894736842</v>
      </c>
      <c r="AE141" s="45">
        <v>70</v>
      </c>
      <c r="AF141" s="41">
        <f t="shared" si="58"/>
        <v>0.86419753086419748</v>
      </c>
      <c r="AG141" s="45">
        <v>10</v>
      </c>
      <c r="AH141" s="41">
        <f t="shared" si="66"/>
        <v>5.2631578947368418E-2</v>
      </c>
      <c r="AI141" s="45">
        <v>4</v>
      </c>
      <c r="AJ141" s="41">
        <f t="shared" si="59"/>
        <v>4.9382716049382713E-2</v>
      </c>
      <c r="AK141" s="45">
        <v>14</v>
      </c>
      <c r="AL141" s="41">
        <f t="shared" si="67"/>
        <v>7.3684210526315783E-2</v>
      </c>
      <c r="AM141" s="45">
        <v>6</v>
      </c>
      <c r="AN141" s="41">
        <f t="shared" si="60"/>
        <v>7.407407407407407E-2</v>
      </c>
      <c r="AO141" s="45">
        <v>116</v>
      </c>
      <c r="AP141" s="41">
        <f t="shared" si="68"/>
        <v>0.61052631578947369</v>
      </c>
      <c r="AQ141" s="45">
        <v>54</v>
      </c>
      <c r="AR141" s="41">
        <f t="shared" si="61"/>
        <v>0.66666666666666663</v>
      </c>
      <c r="AS141" s="45">
        <v>35</v>
      </c>
      <c r="AT141" s="41">
        <f t="shared" si="69"/>
        <v>0.18421052631578946</v>
      </c>
      <c r="AU141" s="45">
        <v>12</v>
      </c>
      <c r="AV141" s="41">
        <f t="shared" si="62"/>
        <v>0.14814814814814814</v>
      </c>
      <c r="AW141" s="45">
        <v>8</v>
      </c>
      <c r="AX141" s="41">
        <f t="shared" si="70"/>
        <v>4.2105263157894736E-2</v>
      </c>
      <c r="AY141" s="45">
        <v>4</v>
      </c>
      <c r="AZ141" s="41">
        <f t="shared" si="63"/>
        <v>4.9382716049382713E-2</v>
      </c>
      <c r="BA141" s="45">
        <v>7</v>
      </c>
      <c r="BB141" s="41">
        <f t="shared" si="71"/>
        <v>3.6842105263157891E-2</v>
      </c>
      <c r="BC141" s="45">
        <v>1</v>
      </c>
      <c r="BD141" s="41">
        <f t="shared" si="64"/>
        <v>1.2345679012345678E-2</v>
      </c>
      <c r="BE141" s="45">
        <v>190</v>
      </c>
      <c r="BF141" s="45">
        <v>81</v>
      </c>
    </row>
    <row r="142" spans="1:58" ht="15.75" customHeight="1" x14ac:dyDescent="0.25">
      <c r="A142" s="44">
        <v>2023</v>
      </c>
      <c r="B142" s="39">
        <v>170030</v>
      </c>
      <c r="C142" s="37" t="str">
        <f>VLOOKUP(B142,procv!$A$2:$D$142,4,FALSE)</f>
        <v>Bico do Papagaio</v>
      </c>
      <c r="D142" s="37" t="s">
        <v>6</v>
      </c>
      <c r="E142" s="45">
        <v>1</v>
      </c>
      <c r="F142" s="42">
        <f t="shared" si="48"/>
        <v>5.8139534883720929E-3</v>
      </c>
      <c r="G142" s="45">
        <v>0</v>
      </c>
      <c r="H142" s="42">
        <f t="shared" si="49"/>
        <v>0</v>
      </c>
      <c r="I142" s="45">
        <v>9</v>
      </c>
      <c r="J142" s="41">
        <f t="shared" si="50"/>
        <v>5.232558139534884E-2</v>
      </c>
      <c r="K142" s="45">
        <v>8</v>
      </c>
      <c r="L142" s="41">
        <f t="shared" si="51"/>
        <v>5.9701492537313432E-2</v>
      </c>
      <c r="M142" s="45">
        <v>155</v>
      </c>
      <c r="N142" s="41">
        <f t="shared" si="72"/>
        <v>0.90116279069767447</v>
      </c>
      <c r="O142" s="45">
        <v>121</v>
      </c>
      <c r="P142" s="41">
        <f t="shared" si="52"/>
        <v>0.90298507462686572</v>
      </c>
      <c r="Q142" s="45">
        <v>7</v>
      </c>
      <c r="R142" s="41">
        <f t="shared" si="73"/>
        <v>4.0697674418604654E-2</v>
      </c>
      <c r="S142" s="45">
        <v>5</v>
      </c>
      <c r="T142" s="41">
        <f t="shared" si="53"/>
        <v>3.7313432835820892E-2</v>
      </c>
      <c r="U142" s="45">
        <v>10</v>
      </c>
      <c r="V142" s="41">
        <f t="shared" si="54"/>
        <v>5.8139534883720929E-2</v>
      </c>
      <c r="W142" s="45">
        <v>9</v>
      </c>
      <c r="X142" s="41">
        <f t="shared" si="55"/>
        <v>6.7164179104477612E-2</v>
      </c>
      <c r="Y142" s="45">
        <v>14</v>
      </c>
      <c r="Z142" s="41">
        <f t="shared" si="56"/>
        <v>8.1395348837209308E-2</v>
      </c>
      <c r="AA142" s="45">
        <v>12</v>
      </c>
      <c r="AB142" s="41">
        <f t="shared" si="57"/>
        <v>8.9552238805970144E-2</v>
      </c>
      <c r="AC142" s="45">
        <v>148</v>
      </c>
      <c r="AD142" s="41">
        <f t="shared" si="65"/>
        <v>0.86046511627906974</v>
      </c>
      <c r="AE142" s="45">
        <v>113</v>
      </c>
      <c r="AF142" s="41">
        <f t="shared" si="58"/>
        <v>0.84328358208955223</v>
      </c>
      <c r="AG142" s="45">
        <v>4</v>
      </c>
      <c r="AH142" s="41">
        <f t="shared" si="66"/>
        <v>2.3255813953488372E-2</v>
      </c>
      <c r="AI142" s="45">
        <v>3</v>
      </c>
      <c r="AJ142" s="41">
        <f t="shared" si="59"/>
        <v>2.2388059701492536E-2</v>
      </c>
      <c r="AK142" s="45">
        <v>14</v>
      </c>
      <c r="AL142" s="41">
        <f t="shared" si="67"/>
        <v>8.1395348837209308E-2</v>
      </c>
      <c r="AM142" s="45">
        <v>12</v>
      </c>
      <c r="AN142" s="41">
        <f t="shared" si="60"/>
        <v>8.9552238805970144E-2</v>
      </c>
      <c r="AO142" s="45">
        <v>113</v>
      </c>
      <c r="AP142" s="41">
        <f t="shared" si="68"/>
        <v>0.65697674418604646</v>
      </c>
      <c r="AQ142" s="45">
        <v>87</v>
      </c>
      <c r="AR142" s="41">
        <f t="shared" si="61"/>
        <v>0.64925373134328357</v>
      </c>
      <c r="AS142" s="45">
        <v>22</v>
      </c>
      <c r="AT142" s="41">
        <f t="shared" si="69"/>
        <v>0.12790697674418605</v>
      </c>
      <c r="AU142" s="45">
        <v>17</v>
      </c>
      <c r="AV142" s="41">
        <f t="shared" si="62"/>
        <v>0.12686567164179105</v>
      </c>
      <c r="AW142" s="45">
        <v>14</v>
      </c>
      <c r="AX142" s="41">
        <f t="shared" si="70"/>
        <v>8.1395348837209308E-2</v>
      </c>
      <c r="AY142" s="45">
        <v>11</v>
      </c>
      <c r="AZ142" s="41">
        <f t="shared" si="63"/>
        <v>8.2089552238805971E-2</v>
      </c>
      <c r="BA142" s="45">
        <v>5</v>
      </c>
      <c r="BB142" s="41">
        <f t="shared" si="71"/>
        <v>2.9069767441860465E-2</v>
      </c>
      <c r="BC142" s="45">
        <v>4</v>
      </c>
      <c r="BD142" s="41">
        <f t="shared" si="64"/>
        <v>2.9850746268656716E-2</v>
      </c>
      <c r="BE142" s="45">
        <v>172</v>
      </c>
      <c r="BF142" s="45">
        <v>134</v>
      </c>
    </row>
    <row r="143" spans="1:58" ht="15.75" customHeight="1" x14ac:dyDescent="0.25">
      <c r="A143" s="44">
        <v>2023</v>
      </c>
      <c r="B143" s="39">
        <v>170035</v>
      </c>
      <c r="C143" s="37" t="str">
        <f>VLOOKUP(B143,procv!$A$2:$D$142,4,FALSE)</f>
        <v>Ilha do Bananal</v>
      </c>
      <c r="D143" s="37" t="s">
        <v>7</v>
      </c>
      <c r="E143" s="45">
        <v>0</v>
      </c>
      <c r="F143" s="42">
        <f t="shared" si="48"/>
        <v>0</v>
      </c>
      <c r="G143" s="45">
        <v>0</v>
      </c>
      <c r="H143" s="42">
        <f t="shared" si="49"/>
        <v>0</v>
      </c>
      <c r="I143" s="45">
        <v>4</v>
      </c>
      <c r="J143" s="41">
        <f t="shared" si="50"/>
        <v>1.2500000000000001E-2</v>
      </c>
      <c r="K143" s="45">
        <v>1</v>
      </c>
      <c r="L143" s="41">
        <f t="shared" si="51"/>
        <v>5.7142857142857143E-3</v>
      </c>
      <c r="M143" s="45">
        <v>292</v>
      </c>
      <c r="N143" s="41">
        <f t="shared" si="72"/>
        <v>0.91249999999999998</v>
      </c>
      <c r="O143" s="45">
        <v>153</v>
      </c>
      <c r="P143" s="41">
        <f t="shared" si="52"/>
        <v>0.87428571428571433</v>
      </c>
      <c r="Q143" s="45">
        <v>24</v>
      </c>
      <c r="R143" s="41">
        <f t="shared" si="73"/>
        <v>7.4999999999999997E-2</v>
      </c>
      <c r="S143" s="45">
        <v>21</v>
      </c>
      <c r="T143" s="41">
        <f t="shared" si="53"/>
        <v>0.12</v>
      </c>
      <c r="U143" s="45">
        <v>12</v>
      </c>
      <c r="V143" s="41">
        <f t="shared" si="54"/>
        <v>3.7499999999999999E-2</v>
      </c>
      <c r="W143" s="45">
        <v>6</v>
      </c>
      <c r="X143" s="41">
        <f t="shared" si="55"/>
        <v>3.4285714285714287E-2</v>
      </c>
      <c r="Y143" s="45">
        <v>31</v>
      </c>
      <c r="Z143" s="41">
        <f t="shared" si="56"/>
        <v>9.6875000000000003E-2</v>
      </c>
      <c r="AA143" s="45">
        <v>15</v>
      </c>
      <c r="AB143" s="41">
        <f t="shared" si="57"/>
        <v>8.5714285714285715E-2</v>
      </c>
      <c r="AC143" s="45">
        <v>277</v>
      </c>
      <c r="AD143" s="41">
        <f t="shared" si="65"/>
        <v>0.86562499999999998</v>
      </c>
      <c r="AE143" s="45">
        <v>154</v>
      </c>
      <c r="AF143" s="41">
        <f t="shared" si="58"/>
        <v>0.88</v>
      </c>
      <c r="AG143" s="45">
        <v>8</v>
      </c>
      <c r="AH143" s="41">
        <f t="shared" si="66"/>
        <v>2.5000000000000001E-2</v>
      </c>
      <c r="AI143" s="45">
        <v>3</v>
      </c>
      <c r="AJ143" s="41">
        <f t="shared" si="59"/>
        <v>1.7142857142857144E-2</v>
      </c>
      <c r="AK143" s="45">
        <v>11</v>
      </c>
      <c r="AL143" s="41">
        <f t="shared" si="67"/>
        <v>3.4375000000000003E-2</v>
      </c>
      <c r="AM143" s="45">
        <v>7</v>
      </c>
      <c r="AN143" s="41">
        <f t="shared" si="60"/>
        <v>0.04</v>
      </c>
      <c r="AO143" s="45">
        <v>172</v>
      </c>
      <c r="AP143" s="41">
        <f t="shared" si="68"/>
        <v>0.53749999999999998</v>
      </c>
      <c r="AQ143" s="45">
        <v>101</v>
      </c>
      <c r="AR143" s="41">
        <f t="shared" si="61"/>
        <v>0.57714285714285718</v>
      </c>
      <c r="AS143" s="45">
        <v>75</v>
      </c>
      <c r="AT143" s="41">
        <f t="shared" si="69"/>
        <v>0.234375</v>
      </c>
      <c r="AU143" s="45">
        <v>37</v>
      </c>
      <c r="AV143" s="41">
        <f t="shared" si="62"/>
        <v>0.21142857142857144</v>
      </c>
      <c r="AW143" s="45">
        <v>33</v>
      </c>
      <c r="AX143" s="41">
        <f t="shared" si="70"/>
        <v>0.10312499999999999</v>
      </c>
      <c r="AY143" s="45">
        <v>12</v>
      </c>
      <c r="AZ143" s="41">
        <f t="shared" si="63"/>
        <v>6.8571428571428575E-2</v>
      </c>
      <c r="BA143" s="45">
        <v>21</v>
      </c>
      <c r="BB143" s="41">
        <f t="shared" si="71"/>
        <v>6.5625000000000003E-2</v>
      </c>
      <c r="BC143" s="45">
        <v>15</v>
      </c>
      <c r="BD143" s="41">
        <f t="shared" si="64"/>
        <v>8.5714285714285715E-2</v>
      </c>
      <c r="BE143" s="45">
        <v>320</v>
      </c>
      <c r="BF143" s="45">
        <v>175</v>
      </c>
    </row>
    <row r="144" spans="1:58" ht="15.75" customHeight="1" x14ac:dyDescent="0.25">
      <c r="A144" s="44">
        <v>2023</v>
      </c>
      <c r="B144" s="39">
        <v>170040</v>
      </c>
      <c r="C144" s="37" t="str">
        <f>VLOOKUP(B144,procv!$A$2:$D$142,4,FALSE)</f>
        <v>Sudeste</v>
      </c>
      <c r="D144" s="37" t="s">
        <v>8</v>
      </c>
      <c r="E144" s="45">
        <v>2</v>
      </c>
      <c r="F144" s="42">
        <f t="shared" si="48"/>
        <v>4.5662100456621002E-3</v>
      </c>
      <c r="G144" s="45">
        <v>0</v>
      </c>
      <c r="H144" s="42">
        <f t="shared" si="49"/>
        <v>0</v>
      </c>
      <c r="I144" s="45">
        <v>11</v>
      </c>
      <c r="J144" s="41">
        <f t="shared" si="50"/>
        <v>2.5114155251141551E-2</v>
      </c>
      <c r="K144" s="45">
        <v>9</v>
      </c>
      <c r="L144" s="41">
        <f t="shared" si="51"/>
        <v>2.9411764705882353E-2</v>
      </c>
      <c r="M144" s="45">
        <v>404</v>
      </c>
      <c r="N144" s="41">
        <f t="shared" si="72"/>
        <v>0.92237442922374424</v>
      </c>
      <c r="O144" s="45">
        <v>279</v>
      </c>
      <c r="P144" s="41">
        <f t="shared" si="52"/>
        <v>0.91176470588235292</v>
      </c>
      <c r="Q144" s="45">
        <v>21</v>
      </c>
      <c r="R144" s="41">
        <f t="shared" si="73"/>
        <v>4.7945205479452052E-2</v>
      </c>
      <c r="S144" s="45">
        <v>18</v>
      </c>
      <c r="T144" s="41">
        <f t="shared" si="53"/>
        <v>5.8823529411764705E-2</v>
      </c>
      <c r="U144" s="45">
        <v>20</v>
      </c>
      <c r="V144" s="41">
        <f t="shared" si="54"/>
        <v>4.5662100456621002E-2</v>
      </c>
      <c r="W144" s="45">
        <v>13</v>
      </c>
      <c r="X144" s="41">
        <f t="shared" si="55"/>
        <v>4.2483660130718956E-2</v>
      </c>
      <c r="Y144" s="45">
        <v>38</v>
      </c>
      <c r="Z144" s="41">
        <f t="shared" si="56"/>
        <v>8.6757990867579904E-2</v>
      </c>
      <c r="AA144" s="45">
        <v>24</v>
      </c>
      <c r="AB144" s="41">
        <f t="shared" si="57"/>
        <v>7.8431372549019607E-2</v>
      </c>
      <c r="AC144" s="45">
        <v>380</v>
      </c>
      <c r="AD144" s="41">
        <f t="shared" si="65"/>
        <v>0.86757990867579904</v>
      </c>
      <c r="AE144" s="45">
        <v>269</v>
      </c>
      <c r="AF144" s="41">
        <f t="shared" si="58"/>
        <v>0.87908496732026142</v>
      </c>
      <c r="AG144" s="45">
        <v>7</v>
      </c>
      <c r="AH144" s="41">
        <f t="shared" si="66"/>
        <v>1.5981735159817351E-2</v>
      </c>
      <c r="AI144" s="45">
        <v>5</v>
      </c>
      <c r="AJ144" s="41">
        <f t="shared" si="59"/>
        <v>1.6339869281045753E-2</v>
      </c>
      <c r="AK144" s="45">
        <v>15</v>
      </c>
      <c r="AL144" s="41">
        <f t="shared" si="67"/>
        <v>3.4246575342465752E-2</v>
      </c>
      <c r="AM144" s="45">
        <v>16</v>
      </c>
      <c r="AN144" s="41">
        <f t="shared" si="60"/>
        <v>5.2287581699346407E-2</v>
      </c>
      <c r="AO144" s="45">
        <v>287</v>
      </c>
      <c r="AP144" s="41">
        <f t="shared" si="68"/>
        <v>0.65525114155251141</v>
      </c>
      <c r="AQ144" s="45">
        <v>212</v>
      </c>
      <c r="AR144" s="41">
        <f t="shared" si="61"/>
        <v>0.69281045751633985</v>
      </c>
      <c r="AS144" s="45">
        <v>74</v>
      </c>
      <c r="AT144" s="41">
        <f t="shared" si="69"/>
        <v>0.16894977168949771</v>
      </c>
      <c r="AU144" s="45">
        <v>38</v>
      </c>
      <c r="AV144" s="41">
        <f t="shared" si="62"/>
        <v>0.12418300653594772</v>
      </c>
      <c r="AW144" s="45">
        <v>33</v>
      </c>
      <c r="AX144" s="41">
        <f t="shared" si="70"/>
        <v>7.5342465753424653E-2</v>
      </c>
      <c r="AY144" s="45">
        <v>20</v>
      </c>
      <c r="AZ144" s="41">
        <f t="shared" si="63"/>
        <v>6.535947712418301E-2</v>
      </c>
      <c r="BA144" s="45">
        <v>22</v>
      </c>
      <c r="BB144" s="41">
        <f t="shared" si="71"/>
        <v>5.0228310502283102E-2</v>
      </c>
      <c r="BC144" s="45">
        <v>15</v>
      </c>
      <c r="BD144" s="41">
        <f t="shared" si="64"/>
        <v>4.9019607843137254E-2</v>
      </c>
      <c r="BE144" s="45">
        <v>438</v>
      </c>
      <c r="BF144" s="45">
        <v>306</v>
      </c>
    </row>
    <row r="145" spans="1:58" ht="15.75" customHeight="1" x14ac:dyDescent="0.25">
      <c r="A145" s="44">
        <v>2023</v>
      </c>
      <c r="B145" s="39">
        <v>170070</v>
      </c>
      <c r="C145" s="37" t="str">
        <f>VLOOKUP(B145,procv!$A$2:$D$142,4,FALSE)</f>
        <v>Ilha do Bananal</v>
      </c>
      <c r="D145" s="37" t="s">
        <v>9</v>
      </c>
      <c r="E145" s="45">
        <v>1</v>
      </c>
      <c r="F145" s="42">
        <f t="shared" si="48"/>
        <v>2.257336343115124E-3</v>
      </c>
      <c r="G145" s="45">
        <v>0</v>
      </c>
      <c r="H145" s="42">
        <f t="shared" si="49"/>
        <v>0</v>
      </c>
      <c r="I145" s="45">
        <v>13</v>
      </c>
      <c r="J145" s="41">
        <f t="shared" si="50"/>
        <v>2.9345372460496615E-2</v>
      </c>
      <c r="K145" s="45">
        <v>10</v>
      </c>
      <c r="L145" s="41">
        <f t="shared" si="51"/>
        <v>3.0769230769230771E-2</v>
      </c>
      <c r="M145" s="45">
        <v>374</v>
      </c>
      <c r="N145" s="41">
        <f t="shared" si="72"/>
        <v>0.84424379232505642</v>
      </c>
      <c r="O145" s="45">
        <v>268</v>
      </c>
      <c r="P145" s="41">
        <f t="shared" si="52"/>
        <v>0.82461538461538464</v>
      </c>
      <c r="Q145" s="45">
        <v>55</v>
      </c>
      <c r="R145" s="41">
        <f t="shared" si="73"/>
        <v>0.12415349887133183</v>
      </c>
      <c r="S145" s="45">
        <v>47</v>
      </c>
      <c r="T145" s="41">
        <f t="shared" si="53"/>
        <v>0.14461538461538462</v>
      </c>
      <c r="U145" s="45">
        <v>40</v>
      </c>
      <c r="V145" s="41">
        <f t="shared" si="54"/>
        <v>9.0293453724604969E-2</v>
      </c>
      <c r="W145" s="45">
        <v>27</v>
      </c>
      <c r="X145" s="41">
        <f t="shared" si="55"/>
        <v>8.3076923076923076E-2</v>
      </c>
      <c r="Y145" s="45">
        <v>31</v>
      </c>
      <c r="Z145" s="41">
        <f t="shared" si="56"/>
        <v>6.9977426636568849E-2</v>
      </c>
      <c r="AA145" s="45">
        <v>18</v>
      </c>
      <c r="AB145" s="41">
        <f t="shared" si="57"/>
        <v>5.5384615384615386E-2</v>
      </c>
      <c r="AC145" s="45">
        <v>372</v>
      </c>
      <c r="AD145" s="41">
        <f t="shared" si="65"/>
        <v>0.83972911963882624</v>
      </c>
      <c r="AE145" s="45">
        <v>280</v>
      </c>
      <c r="AF145" s="41">
        <f t="shared" si="58"/>
        <v>0.86153846153846159</v>
      </c>
      <c r="AG145" s="45">
        <v>12</v>
      </c>
      <c r="AH145" s="41">
        <f t="shared" si="66"/>
        <v>2.7088036117381489E-2</v>
      </c>
      <c r="AI145" s="45">
        <v>10</v>
      </c>
      <c r="AJ145" s="41">
        <f t="shared" si="59"/>
        <v>3.0769230769230771E-2</v>
      </c>
      <c r="AK145" s="45">
        <v>20</v>
      </c>
      <c r="AL145" s="41">
        <f t="shared" si="67"/>
        <v>4.5146726862302484E-2</v>
      </c>
      <c r="AM145" s="45">
        <v>21</v>
      </c>
      <c r="AN145" s="41">
        <f t="shared" si="60"/>
        <v>6.4615384615384616E-2</v>
      </c>
      <c r="AO145" s="45">
        <v>241</v>
      </c>
      <c r="AP145" s="41">
        <f t="shared" si="68"/>
        <v>0.54401805869074493</v>
      </c>
      <c r="AQ145" s="45">
        <v>170</v>
      </c>
      <c r="AR145" s="41">
        <f t="shared" si="61"/>
        <v>0.52307692307692311</v>
      </c>
      <c r="AS145" s="45">
        <v>81</v>
      </c>
      <c r="AT145" s="41">
        <f t="shared" si="69"/>
        <v>0.18284424379232506</v>
      </c>
      <c r="AU145" s="45">
        <v>55</v>
      </c>
      <c r="AV145" s="41">
        <f t="shared" si="62"/>
        <v>0.16923076923076924</v>
      </c>
      <c r="AW145" s="45">
        <v>46</v>
      </c>
      <c r="AX145" s="41">
        <f t="shared" si="70"/>
        <v>0.10383747178329571</v>
      </c>
      <c r="AY145" s="45">
        <v>39</v>
      </c>
      <c r="AZ145" s="41">
        <f t="shared" si="63"/>
        <v>0.12</v>
      </c>
      <c r="BA145" s="45">
        <v>43</v>
      </c>
      <c r="BB145" s="41">
        <f t="shared" si="71"/>
        <v>9.7065462753950338E-2</v>
      </c>
      <c r="BC145" s="45">
        <v>30</v>
      </c>
      <c r="BD145" s="41">
        <f t="shared" si="64"/>
        <v>9.2307692307692313E-2</v>
      </c>
      <c r="BE145" s="45">
        <v>443</v>
      </c>
      <c r="BF145" s="45">
        <v>325</v>
      </c>
    </row>
    <row r="146" spans="1:58" ht="15.75" customHeight="1" x14ac:dyDescent="0.25">
      <c r="A146" s="44">
        <v>2023</v>
      </c>
      <c r="B146" s="39">
        <v>170100</v>
      </c>
      <c r="C146" s="37" t="str">
        <f>VLOOKUP(B146,procv!$A$2:$D$142,4,FALSE)</f>
        <v>Bico do Papagaio</v>
      </c>
      <c r="D146" s="37" t="s">
        <v>10</v>
      </c>
      <c r="E146" s="45">
        <v>9</v>
      </c>
      <c r="F146" s="42">
        <f t="shared" si="48"/>
        <v>1.3177159590043924E-2</v>
      </c>
      <c r="G146" s="45">
        <v>8</v>
      </c>
      <c r="H146" s="42">
        <f t="shared" si="49"/>
        <v>1.6701461377870562E-2</v>
      </c>
      <c r="I146" s="45">
        <v>21</v>
      </c>
      <c r="J146" s="41">
        <f t="shared" si="50"/>
        <v>3.074670571010249E-2</v>
      </c>
      <c r="K146" s="45">
        <v>19</v>
      </c>
      <c r="L146" s="41">
        <f t="shared" si="51"/>
        <v>3.9665970772442591E-2</v>
      </c>
      <c r="M146" s="45">
        <v>624</v>
      </c>
      <c r="N146" s="41">
        <f t="shared" si="72"/>
        <v>0.91361639824304541</v>
      </c>
      <c r="O146" s="45">
        <v>423</v>
      </c>
      <c r="P146" s="41">
        <f t="shared" si="52"/>
        <v>0.8830897703549061</v>
      </c>
      <c r="Q146" s="45">
        <v>29</v>
      </c>
      <c r="R146" s="41">
        <f t="shared" si="73"/>
        <v>4.24597364568082E-2</v>
      </c>
      <c r="S146" s="45">
        <v>29</v>
      </c>
      <c r="T146" s="41">
        <f t="shared" si="53"/>
        <v>6.0542797494780795E-2</v>
      </c>
      <c r="U146" s="45">
        <v>40</v>
      </c>
      <c r="V146" s="41">
        <f t="shared" si="54"/>
        <v>5.8565153733528552E-2</v>
      </c>
      <c r="W146" s="45">
        <v>30</v>
      </c>
      <c r="X146" s="41">
        <f t="shared" si="55"/>
        <v>6.2630480167014613E-2</v>
      </c>
      <c r="Y146" s="45">
        <v>49</v>
      </c>
      <c r="Z146" s="41">
        <f t="shared" si="56"/>
        <v>7.1742313323572476E-2</v>
      </c>
      <c r="AA146" s="45">
        <v>38</v>
      </c>
      <c r="AB146" s="41">
        <f t="shared" si="57"/>
        <v>7.9331941544885182E-2</v>
      </c>
      <c r="AC146" s="45">
        <v>594</v>
      </c>
      <c r="AD146" s="41">
        <f t="shared" si="65"/>
        <v>0.86969253294289894</v>
      </c>
      <c r="AE146" s="45">
        <v>411</v>
      </c>
      <c r="AF146" s="41">
        <f t="shared" si="58"/>
        <v>0.85803757828810023</v>
      </c>
      <c r="AG146" s="45">
        <v>21</v>
      </c>
      <c r="AH146" s="41">
        <f t="shared" si="66"/>
        <v>3.074670571010249E-2</v>
      </c>
      <c r="AI146" s="45">
        <v>24</v>
      </c>
      <c r="AJ146" s="41">
        <f t="shared" si="59"/>
        <v>5.0104384133611693E-2</v>
      </c>
      <c r="AK146" s="45">
        <v>32</v>
      </c>
      <c r="AL146" s="41">
        <f t="shared" si="67"/>
        <v>4.6852122986822842E-2</v>
      </c>
      <c r="AM146" s="45">
        <v>37</v>
      </c>
      <c r="AN146" s="41">
        <f t="shared" si="60"/>
        <v>7.724425887265135E-2</v>
      </c>
      <c r="AO146" s="45">
        <v>432</v>
      </c>
      <c r="AP146" s="41">
        <f t="shared" si="68"/>
        <v>0.63250366032210836</v>
      </c>
      <c r="AQ146" s="45">
        <v>304</v>
      </c>
      <c r="AR146" s="41">
        <f t="shared" si="61"/>
        <v>0.63465553235908145</v>
      </c>
      <c r="AS146" s="45">
        <v>94</v>
      </c>
      <c r="AT146" s="41">
        <f t="shared" si="69"/>
        <v>0.1376281112737921</v>
      </c>
      <c r="AU146" s="45">
        <v>46</v>
      </c>
      <c r="AV146" s="41">
        <f t="shared" si="62"/>
        <v>9.6033402922755737E-2</v>
      </c>
      <c r="AW146" s="45">
        <v>59</v>
      </c>
      <c r="AX146" s="41">
        <f t="shared" si="70"/>
        <v>8.6383601756954614E-2</v>
      </c>
      <c r="AY146" s="45">
        <v>29</v>
      </c>
      <c r="AZ146" s="41">
        <f t="shared" si="63"/>
        <v>6.0542797494780795E-2</v>
      </c>
      <c r="BA146" s="45">
        <v>45</v>
      </c>
      <c r="BB146" s="41">
        <f t="shared" si="71"/>
        <v>6.5885797950219621E-2</v>
      </c>
      <c r="BC146" s="45">
        <v>39</v>
      </c>
      <c r="BD146" s="41">
        <f t="shared" si="64"/>
        <v>8.1419624217118999E-2</v>
      </c>
      <c r="BE146" s="45">
        <v>683</v>
      </c>
      <c r="BF146" s="45">
        <v>479</v>
      </c>
    </row>
    <row r="147" spans="1:58" ht="15.75" customHeight="1" x14ac:dyDescent="0.25">
      <c r="A147" s="44">
        <v>2023</v>
      </c>
      <c r="B147" s="39">
        <v>170105</v>
      </c>
      <c r="C147" s="37" t="str">
        <f>VLOOKUP(B147,procv!$A$2:$D$142,4,FALSE)</f>
        <v>Bico do Papagaio</v>
      </c>
      <c r="D147" s="37" t="s">
        <v>11</v>
      </c>
      <c r="E147" s="45">
        <v>3</v>
      </c>
      <c r="F147" s="42">
        <f t="shared" si="48"/>
        <v>1.6393442622950821E-2</v>
      </c>
      <c r="G147" s="45">
        <v>1</v>
      </c>
      <c r="H147" s="42">
        <f t="shared" si="49"/>
        <v>1.4285714285714285E-2</v>
      </c>
      <c r="I147" s="45">
        <v>10</v>
      </c>
      <c r="J147" s="41">
        <f t="shared" si="50"/>
        <v>5.4644808743169397E-2</v>
      </c>
      <c r="K147" s="45">
        <v>6</v>
      </c>
      <c r="L147" s="41">
        <f t="shared" si="51"/>
        <v>8.5714285714285715E-2</v>
      </c>
      <c r="M147" s="45">
        <v>161</v>
      </c>
      <c r="N147" s="41">
        <f t="shared" si="72"/>
        <v>0.8797814207650273</v>
      </c>
      <c r="O147" s="45">
        <v>59</v>
      </c>
      <c r="P147" s="41">
        <f t="shared" si="52"/>
        <v>0.84285714285714286</v>
      </c>
      <c r="Q147" s="45">
        <v>9</v>
      </c>
      <c r="R147" s="41">
        <f t="shared" si="73"/>
        <v>4.9180327868852458E-2</v>
      </c>
      <c r="S147" s="45">
        <v>4</v>
      </c>
      <c r="T147" s="41">
        <f t="shared" si="53"/>
        <v>5.7142857142857141E-2</v>
      </c>
      <c r="U147" s="45">
        <v>6</v>
      </c>
      <c r="V147" s="41">
        <f t="shared" si="54"/>
        <v>3.2786885245901641E-2</v>
      </c>
      <c r="W147" s="45">
        <v>6</v>
      </c>
      <c r="X147" s="41">
        <f t="shared" si="55"/>
        <v>8.5714285714285715E-2</v>
      </c>
      <c r="Y147" s="45">
        <v>7</v>
      </c>
      <c r="Z147" s="41">
        <f t="shared" si="56"/>
        <v>3.825136612021858E-2</v>
      </c>
      <c r="AA147" s="45">
        <v>3</v>
      </c>
      <c r="AB147" s="41">
        <f t="shared" si="57"/>
        <v>4.2857142857142858E-2</v>
      </c>
      <c r="AC147" s="45">
        <v>170</v>
      </c>
      <c r="AD147" s="41">
        <f t="shared" si="65"/>
        <v>0.92896174863387981</v>
      </c>
      <c r="AE147" s="45">
        <v>61</v>
      </c>
      <c r="AF147" s="41">
        <f t="shared" si="58"/>
        <v>0.87142857142857144</v>
      </c>
      <c r="AG147" s="45">
        <v>14</v>
      </c>
      <c r="AH147" s="41">
        <f t="shared" si="66"/>
        <v>7.650273224043716E-2</v>
      </c>
      <c r="AI147" s="45">
        <v>10</v>
      </c>
      <c r="AJ147" s="41">
        <f t="shared" si="59"/>
        <v>0.14285714285714285</v>
      </c>
      <c r="AK147" s="45">
        <v>6</v>
      </c>
      <c r="AL147" s="41">
        <f t="shared" si="67"/>
        <v>3.2786885245901641E-2</v>
      </c>
      <c r="AM147" s="45">
        <v>2</v>
      </c>
      <c r="AN147" s="41">
        <f t="shared" si="60"/>
        <v>2.8571428571428571E-2</v>
      </c>
      <c r="AO147" s="45">
        <v>112</v>
      </c>
      <c r="AP147" s="41">
        <f t="shared" si="68"/>
        <v>0.61202185792349728</v>
      </c>
      <c r="AQ147" s="45">
        <v>42</v>
      </c>
      <c r="AR147" s="41">
        <f t="shared" si="61"/>
        <v>0.6</v>
      </c>
      <c r="AS147" s="45">
        <v>31</v>
      </c>
      <c r="AT147" s="41">
        <f t="shared" si="69"/>
        <v>0.16939890710382513</v>
      </c>
      <c r="AU147" s="45">
        <v>9</v>
      </c>
      <c r="AV147" s="41">
        <f t="shared" si="62"/>
        <v>0.12857142857142856</v>
      </c>
      <c r="AW147" s="45">
        <v>13</v>
      </c>
      <c r="AX147" s="41">
        <f t="shared" si="70"/>
        <v>7.1038251366120214E-2</v>
      </c>
      <c r="AY147" s="45">
        <v>4</v>
      </c>
      <c r="AZ147" s="41">
        <f t="shared" si="63"/>
        <v>5.7142857142857141E-2</v>
      </c>
      <c r="BA147" s="45">
        <v>7</v>
      </c>
      <c r="BB147" s="41">
        <f t="shared" si="71"/>
        <v>3.825136612021858E-2</v>
      </c>
      <c r="BC147" s="45">
        <v>3</v>
      </c>
      <c r="BD147" s="41">
        <f t="shared" si="64"/>
        <v>4.2857142857142858E-2</v>
      </c>
      <c r="BE147" s="45">
        <v>183</v>
      </c>
      <c r="BF147" s="45">
        <v>70</v>
      </c>
    </row>
    <row r="148" spans="1:58" ht="15.75" customHeight="1" x14ac:dyDescent="0.25">
      <c r="A148" s="44">
        <v>2023</v>
      </c>
      <c r="B148" s="39">
        <v>170110</v>
      </c>
      <c r="C148" s="37" t="str">
        <f>VLOOKUP(B148,procv!$A$2:$D$142,4,FALSE)</f>
        <v>Capim Dourado</v>
      </c>
      <c r="D148" s="37" t="s">
        <v>12</v>
      </c>
      <c r="E148" s="45">
        <v>6</v>
      </c>
      <c r="F148" s="42">
        <f t="shared" si="48"/>
        <v>1.5748031496062992E-2</v>
      </c>
      <c r="G148" s="45">
        <v>7</v>
      </c>
      <c r="H148" s="42">
        <f t="shared" si="49"/>
        <v>3.7433155080213901E-2</v>
      </c>
      <c r="I148" s="45">
        <v>11</v>
      </c>
      <c r="J148" s="41">
        <f t="shared" si="50"/>
        <v>2.8871391076115485E-2</v>
      </c>
      <c r="K148" s="45">
        <v>15</v>
      </c>
      <c r="L148" s="41">
        <f t="shared" si="51"/>
        <v>8.0213903743315509E-2</v>
      </c>
      <c r="M148" s="45">
        <v>341</v>
      </c>
      <c r="N148" s="41">
        <f t="shared" si="72"/>
        <v>0.89501312335958005</v>
      </c>
      <c r="O148" s="45">
        <v>158</v>
      </c>
      <c r="P148" s="41">
        <f t="shared" si="52"/>
        <v>0.84491978609625673</v>
      </c>
      <c r="Q148" s="45">
        <v>23</v>
      </c>
      <c r="R148" s="41">
        <f t="shared" si="73"/>
        <v>6.0367454068241469E-2</v>
      </c>
      <c r="S148" s="45">
        <v>7</v>
      </c>
      <c r="T148" s="41">
        <f t="shared" si="53"/>
        <v>3.7433155080213901E-2</v>
      </c>
      <c r="U148" s="45">
        <v>10</v>
      </c>
      <c r="V148" s="41">
        <f t="shared" si="54"/>
        <v>2.6246719160104987E-2</v>
      </c>
      <c r="W148" s="45">
        <v>7</v>
      </c>
      <c r="X148" s="41">
        <f t="shared" si="55"/>
        <v>3.7433155080213901E-2</v>
      </c>
      <c r="Y148" s="45">
        <v>32</v>
      </c>
      <c r="Z148" s="41">
        <f t="shared" si="56"/>
        <v>8.3989501312335957E-2</v>
      </c>
      <c r="AA148" s="45">
        <v>24</v>
      </c>
      <c r="AB148" s="41">
        <f t="shared" si="57"/>
        <v>0.12834224598930483</v>
      </c>
      <c r="AC148" s="45">
        <v>339</v>
      </c>
      <c r="AD148" s="41">
        <f t="shared" si="65"/>
        <v>0.88976377952755903</v>
      </c>
      <c r="AE148" s="45">
        <v>156</v>
      </c>
      <c r="AF148" s="41">
        <f t="shared" si="58"/>
        <v>0.83422459893048129</v>
      </c>
      <c r="AG148" s="45">
        <v>15</v>
      </c>
      <c r="AH148" s="41">
        <f t="shared" si="66"/>
        <v>3.937007874015748E-2</v>
      </c>
      <c r="AI148" s="45">
        <v>15</v>
      </c>
      <c r="AJ148" s="41">
        <f t="shared" si="59"/>
        <v>8.0213903743315509E-2</v>
      </c>
      <c r="AK148" s="45">
        <v>25</v>
      </c>
      <c r="AL148" s="41">
        <f t="shared" si="67"/>
        <v>6.5616797900262466E-2</v>
      </c>
      <c r="AM148" s="45">
        <v>23</v>
      </c>
      <c r="AN148" s="41">
        <f t="shared" si="60"/>
        <v>0.12299465240641712</v>
      </c>
      <c r="AO148" s="45">
        <v>236</v>
      </c>
      <c r="AP148" s="41">
        <f t="shared" si="68"/>
        <v>0.61942257217847774</v>
      </c>
      <c r="AQ148" s="45">
        <v>105</v>
      </c>
      <c r="AR148" s="41">
        <f t="shared" si="61"/>
        <v>0.56149732620320858</v>
      </c>
      <c r="AS148" s="45">
        <v>64</v>
      </c>
      <c r="AT148" s="41">
        <f t="shared" si="69"/>
        <v>0.16797900262467191</v>
      </c>
      <c r="AU148" s="45">
        <v>34</v>
      </c>
      <c r="AV148" s="41">
        <f t="shared" si="62"/>
        <v>0.18181818181818182</v>
      </c>
      <c r="AW148" s="45">
        <v>26</v>
      </c>
      <c r="AX148" s="41">
        <f t="shared" si="70"/>
        <v>6.8241469816272965E-2</v>
      </c>
      <c r="AY148" s="45">
        <v>6</v>
      </c>
      <c r="AZ148" s="41">
        <f t="shared" si="63"/>
        <v>3.2085561497326207E-2</v>
      </c>
      <c r="BA148" s="45">
        <v>15</v>
      </c>
      <c r="BB148" s="41">
        <f t="shared" si="71"/>
        <v>3.937007874015748E-2</v>
      </c>
      <c r="BC148" s="45">
        <v>4</v>
      </c>
      <c r="BD148" s="41">
        <f t="shared" si="64"/>
        <v>2.1390374331550801E-2</v>
      </c>
      <c r="BE148" s="45">
        <v>381</v>
      </c>
      <c r="BF148" s="45">
        <v>187</v>
      </c>
    </row>
    <row r="149" spans="1:58" ht="15.75" customHeight="1" x14ac:dyDescent="0.25">
      <c r="A149" s="44">
        <v>2023</v>
      </c>
      <c r="B149" s="39">
        <v>170130</v>
      </c>
      <c r="C149" s="37" t="str">
        <f>VLOOKUP(B149,procv!$A$2:$D$142,4,FALSE)</f>
        <v>Médio Norte Araguaia</v>
      </c>
      <c r="D149" s="37" t="s">
        <v>13</v>
      </c>
      <c r="E149" s="45">
        <v>1</v>
      </c>
      <c r="F149" s="42">
        <f t="shared" si="48"/>
        <v>2.8735632183908046E-3</v>
      </c>
      <c r="G149" s="45">
        <v>1</v>
      </c>
      <c r="H149" s="42">
        <f t="shared" si="49"/>
        <v>5.4644808743169399E-3</v>
      </c>
      <c r="I149" s="45">
        <v>4</v>
      </c>
      <c r="J149" s="41">
        <f t="shared" si="50"/>
        <v>1.1494252873563218E-2</v>
      </c>
      <c r="K149" s="45">
        <v>1</v>
      </c>
      <c r="L149" s="41">
        <f t="shared" si="51"/>
        <v>5.4644808743169399E-3</v>
      </c>
      <c r="M149" s="45">
        <v>320</v>
      </c>
      <c r="N149" s="41">
        <f t="shared" si="72"/>
        <v>0.91954022988505746</v>
      </c>
      <c r="O149" s="45">
        <v>166</v>
      </c>
      <c r="P149" s="41">
        <f t="shared" si="52"/>
        <v>0.90710382513661203</v>
      </c>
      <c r="Q149" s="45">
        <v>23</v>
      </c>
      <c r="R149" s="41">
        <f t="shared" si="73"/>
        <v>6.6091954022988508E-2</v>
      </c>
      <c r="S149" s="45">
        <v>15</v>
      </c>
      <c r="T149" s="41">
        <f t="shared" si="53"/>
        <v>8.1967213114754092E-2</v>
      </c>
      <c r="U149" s="45">
        <v>11</v>
      </c>
      <c r="V149" s="41">
        <f t="shared" si="54"/>
        <v>3.1609195402298854E-2</v>
      </c>
      <c r="W149" s="45">
        <v>15</v>
      </c>
      <c r="X149" s="41">
        <f t="shared" si="55"/>
        <v>8.1967213114754092E-2</v>
      </c>
      <c r="Y149" s="45">
        <v>22</v>
      </c>
      <c r="Z149" s="41">
        <f t="shared" si="56"/>
        <v>6.3218390804597707E-2</v>
      </c>
      <c r="AA149" s="45">
        <v>14</v>
      </c>
      <c r="AB149" s="41">
        <f t="shared" si="57"/>
        <v>7.650273224043716E-2</v>
      </c>
      <c r="AC149" s="45">
        <v>315</v>
      </c>
      <c r="AD149" s="41">
        <f t="shared" si="65"/>
        <v>0.90517241379310343</v>
      </c>
      <c r="AE149" s="45">
        <v>154</v>
      </c>
      <c r="AF149" s="41">
        <f t="shared" si="58"/>
        <v>0.84153005464480879</v>
      </c>
      <c r="AG149" s="45">
        <v>12</v>
      </c>
      <c r="AH149" s="41">
        <f t="shared" si="66"/>
        <v>3.4482758620689655E-2</v>
      </c>
      <c r="AI149" s="45">
        <v>11</v>
      </c>
      <c r="AJ149" s="41">
        <f t="shared" si="59"/>
        <v>6.0109289617486336E-2</v>
      </c>
      <c r="AK149" s="45">
        <v>17</v>
      </c>
      <c r="AL149" s="41">
        <f t="shared" si="67"/>
        <v>4.8850574712643681E-2</v>
      </c>
      <c r="AM149" s="45">
        <v>12</v>
      </c>
      <c r="AN149" s="41">
        <f t="shared" si="60"/>
        <v>6.5573770491803282E-2</v>
      </c>
      <c r="AO149" s="45">
        <v>212</v>
      </c>
      <c r="AP149" s="41">
        <f t="shared" si="68"/>
        <v>0.60919540229885061</v>
      </c>
      <c r="AQ149" s="45">
        <v>94</v>
      </c>
      <c r="AR149" s="41">
        <f t="shared" si="61"/>
        <v>0.51366120218579236</v>
      </c>
      <c r="AS149" s="45">
        <v>64</v>
      </c>
      <c r="AT149" s="41">
        <f t="shared" si="69"/>
        <v>0.18390804597701149</v>
      </c>
      <c r="AU149" s="45">
        <v>29</v>
      </c>
      <c r="AV149" s="41">
        <f t="shared" si="62"/>
        <v>0.15846994535519127</v>
      </c>
      <c r="AW149" s="45">
        <v>22</v>
      </c>
      <c r="AX149" s="41">
        <f t="shared" si="70"/>
        <v>6.3218390804597707E-2</v>
      </c>
      <c r="AY149" s="45">
        <v>17</v>
      </c>
      <c r="AZ149" s="41">
        <f t="shared" si="63"/>
        <v>9.2896174863387984E-2</v>
      </c>
      <c r="BA149" s="45">
        <v>21</v>
      </c>
      <c r="BB149" s="41">
        <f t="shared" si="71"/>
        <v>6.0344827586206899E-2</v>
      </c>
      <c r="BC149" s="45">
        <v>20</v>
      </c>
      <c r="BD149" s="41">
        <f t="shared" si="64"/>
        <v>0.10928961748633879</v>
      </c>
      <c r="BE149" s="45">
        <v>348</v>
      </c>
      <c r="BF149" s="45">
        <v>183</v>
      </c>
    </row>
    <row r="150" spans="1:58" ht="15.75" customHeight="1" x14ac:dyDescent="0.25">
      <c r="A150" s="44">
        <v>2023</v>
      </c>
      <c r="B150" s="39">
        <v>170190</v>
      </c>
      <c r="C150" s="37" t="str">
        <f>VLOOKUP(B150,procv!$A$2:$D$142,4,FALSE)</f>
        <v>Cantão</v>
      </c>
      <c r="D150" s="37" t="s">
        <v>14</v>
      </c>
      <c r="E150" s="45">
        <v>3</v>
      </c>
      <c r="F150" s="42">
        <f t="shared" si="48"/>
        <v>6.8807339449541288E-3</v>
      </c>
      <c r="G150" s="45">
        <v>0</v>
      </c>
      <c r="H150" s="42">
        <f t="shared" si="49"/>
        <v>0</v>
      </c>
      <c r="I150" s="45">
        <v>11</v>
      </c>
      <c r="J150" s="41">
        <f t="shared" si="50"/>
        <v>2.5229357798165139E-2</v>
      </c>
      <c r="K150" s="45">
        <v>11</v>
      </c>
      <c r="L150" s="41">
        <f t="shared" si="51"/>
        <v>4.3999999999999997E-2</v>
      </c>
      <c r="M150" s="45">
        <v>400</v>
      </c>
      <c r="N150" s="41">
        <f t="shared" si="72"/>
        <v>0.91743119266055051</v>
      </c>
      <c r="O150" s="45">
        <v>230</v>
      </c>
      <c r="P150" s="41">
        <f t="shared" si="52"/>
        <v>0.92</v>
      </c>
      <c r="Q150" s="45">
        <v>22</v>
      </c>
      <c r="R150" s="41">
        <f t="shared" si="73"/>
        <v>5.0458715596330278E-2</v>
      </c>
      <c r="S150" s="45">
        <v>9</v>
      </c>
      <c r="T150" s="41">
        <f t="shared" si="53"/>
        <v>3.5999999999999997E-2</v>
      </c>
      <c r="U150" s="45">
        <v>36</v>
      </c>
      <c r="V150" s="41">
        <f t="shared" si="54"/>
        <v>8.2568807339449546E-2</v>
      </c>
      <c r="W150" s="45">
        <v>36</v>
      </c>
      <c r="X150" s="41">
        <f t="shared" si="55"/>
        <v>0.14399999999999999</v>
      </c>
      <c r="Y150" s="45">
        <v>40</v>
      </c>
      <c r="Z150" s="41">
        <f t="shared" si="56"/>
        <v>9.1743119266055051E-2</v>
      </c>
      <c r="AA150" s="45">
        <v>36</v>
      </c>
      <c r="AB150" s="41">
        <f t="shared" si="57"/>
        <v>0.14399999999999999</v>
      </c>
      <c r="AC150" s="45">
        <v>360</v>
      </c>
      <c r="AD150" s="41">
        <f t="shared" si="65"/>
        <v>0.82568807339449546</v>
      </c>
      <c r="AE150" s="45">
        <v>178</v>
      </c>
      <c r="AF150" s="41">
        <f t="shared" si="58"/>
        <v>0.71199999999999997</v>
      </c>
      <c r="AG150" s="45">
        <v>13</v>
      </c>
      <c r="AH150" s="41">
        <f t="shared" si="66"/>
        <v>2.9816513761467892E-2</v>
      </c>
      <c r="AI150" s="45">
        <v>11</v>
      </c>
      <c r="AJ150" s="41">
        <f t="shared" si="59"/>
        <v>4.3999999999999997E-2</v>
      </c>
      <c r="AK150" s="45">
        <v>20</v>
      </c>
      <c r="AL150" s="41">
        <f t="shared" si="67"/>
        <v>4.5871559633027525E-2</v>
      </c>
      <c r="AM150" s="45">
        <v>13</v>
      </c>
      <c r="AN150" s="41">
        <f t="shared" si="60"/>
        <v>5.1999999999999998E-2</v>
      </c>
      <c r="AO150" s="45">
        <v>262</v>
      </c>
      <c r="AP150" s="41">
        <f t="shared" si="68"/>
        <v>0.6009174311926605</v>
      </c>
      <c r="AQ150" s="45">
        <v>135</v>
      </c>
      <c r="AR150" s="41">
        <f t="shared" si="61"/>
        <v>0.54</v>
      </c>
      <c r="AS150" s="45">
        <v>76</v>
      </c>
      <c r="AT150" s="41">
        <f t="shared" si="69"/>
        <v>0.1743119266055046</v>
      </c>
      <c r="AU150" s="45">
        <v>40</v>
      </c>
      <c r="AV150" s="41">
        <f t="shared" si="62"/>
        <v>0.16</v>
      </c>
      <c r="AW150" s="45">
        <v>28</v>
      </c>
      <c r="AX150" s="41">
        <f t="shared" si="70"/>
        <v>6.4220183486238536E-2</v>
      </c>
      <c r="AY150" s="45">
        <v>16</v>
      </c>
      <c r="AZ150" s="41">
        <f t="shared" si="63"/>
        <v>6.4000000000000001E-2</v>
      </c>
      <c r="BA150" s="45">
        <v>37</v>
      </c>
      <c r="BB150" s="41">
        <f t="shared" si="71"/>
        <v>8.4862385321100922E-2</v>
      </c>
      <c r="BC150" s="45">
        <v>35</v>
      </c>
      <c r="BD150" s="41">
        <f t="shared" si="64"/>
        <v>0.14000000000000001</v>
      </c>
      <c r="BE150" s="45">
        <v>436</v>
      </c>
      <c r="BF150" s="45">
        <v>250</v>
      </c>
    </row>
    <row r="151" spans="1:58" ht="15.75" customHeight="1" x14ac:dyDescent="0.25">
      <c r="A151" s="44">
        <v>2023</v>
      </c>
      <c r="B151" s="39">
        <v>170200</v>
      </c>
      <c r="C151" s="37" t="str">
        <f>VLOOKUP(B151,procv!$A$2:$D$142,4,FALSE)</f>
        <v>Ilha do Bananal</v>
      </c>
      <c r="D151" s="37" t="s">
        <v>15</v>
      </c>
      <c r="E151" s="45">
        <v>0</v>
      </c>
      <c r="F151" s="42">
        <f t="shared" si="48"/>
        <v>0</v>
      </c>
      <c r="G151" s="45">
        <v>1</v>
      </c>
      <c r="H151" s="42">
        <f t="shared" si="49"/>
        <v>3.7313432835820895E-3</v>
      </c>
      <c r="I151" s="45">
        <v>12</v>
      </c>
      <c r="J151" s="41">
        <f t="shared" si="50"/>
        <v>2.23463687150838E-2</v>
      </c>
      <c r="K151" s="45">
        <v>4</v>
      </c>
      <c r="L151" s="41">
        <f t="shared" si="51"/>
        <v>1.4925373134328358E-2</v>
      </c>
      <c r="M151" s="45">
        <v>497</v>
      </c>
      <c r="N151" s="41">
        <f t="shared" si="72"/>
        <v>0.92551210428305397</v>
      </c>
      <c r="O151" s="45">
        <v>247</v>
      </c>
      <c r="P151" s="41">
        <f t="shared" si="52"/>
        <v>0.92164179104477617</v>
      </c>
      <c r="Q151" s="45">
        <v>28</v>
      </c>
      <c r="R151" s="41">
        <f t="shared" si="73"/>
        <v>5.2141527001862198E-2</v>
      </c>
      <c r="S151" s="45">
        <v>16</v>
      </c>
      <c r="T151" s="41">
        <f t="shared" si="53"/>
        <v>5.9701492537313432E-2</v>
      </c>
      <c r="U151" s="45">
        <v>20</v>
      </c>
      <c r="V151" s="41">
        <f t="shared" si="54"/>
        <v>3.7243947858473E-2</v>
      </c>
      <c r="W151" s="45">
        <v>11</v>
      </c>
      <c r="X151" s="41">
        <f t="shared" si="55"/>
        <v>4.1044776119402986E-2</v>
      </c>
      <c r="Y151" s="45">
        <v>53</v>
      </c>
      <c r="Z151" s="41">
        <f t="shared" si="56"/>
        <v>9.8696461824953452E-2</v>
      </c>
      <c r="AA151" s="45">
        <v>30</v>
      </c>
      <c r="AB151" s="41">
        <f t="shared" si="57"/>
        <v>0.11194029850746269</v>
      </c>
      <c r="AC151" s="45">
        <v>464</v>
      </c>
      <c r="AD151" s="41">
        <f t="shared" si="65"/>
        <v>0.86405959031657353</v>
      </c>
      <c r="AE151" s="45">
        <v>227</v>
      </c>
      <c r="AF151" s="41">
        <f t="shared" si="58"/>
        <v>0.84701492537313428</v>
      </c>
      <c r="AG151" s="45">
        <v>4</v>
      </c>
      <c r="AH151" s="41">
        <f t="shared" si="66"/>
        <v>7.4487895716945996E-3</v>
      </c>
      <c r="AI151" s="45">
        <v>3</v>
      </c>
      <c r="AJ151" s="41">
        <f t="shared" si="59"/>
        <v>1.1194029850746268E-2</v>
      </c>
      <c r="AK151" s="45">
        <v>11</v>
      </c>
      <c r="AL151" s="41">
        <f t="shared" si="67"/>
        <v>2.0484171322160148E-2</v>
      </c>
      <c r="AM151" s="45">
        <v>3</v>
      </c>
      <c r="AN151" s="41">
        <f t="shared" si="60"/>
        <v>1.1194029850746268E-2</v>
      </c>
      <c r="AO151" s="45">
        <v>321</v>
      </c>
      <c r="AP151" s="41">
        <f t="shared" si="68"/>
        <v>0.5977653631284916</v>
      </c>
      <c r="AQ151" s="45">
        <v>155</v>
      </c>
      <c r="AR151" s="41">
        <f t="shared" si="61"/>
        <v>0.57835820895522383</v>
      </c>
      <c r="AS151" s="45">
        <v>124</v>
      </c>
      <c r="AT151" s="41">
        <f t="shared" si="69"/>
        <v>0.23091247672253259</v>
      </c>
      <c r="AU151" s="45">
        <v>71</v>
      </c>
      <c r="AV151" s="41">
        <f t="shared" si="62"/>
        <v>0.26492537313432835</v>
      </c>
      <c r="AW151" s="45">
        <v>49</v>
      </c>
      <c r="AX151" s="41">
        <f t="shared" si="70"/>
        <v>9.1247672253258846E-2</v>
      </c>
      <c r="AY151" s="45">
        <v>22</v>
      </c>
      <c r="AZ151" s="41">
        <f t="shared" si="63"/>
        <v>8.2089552238805971E-2</v>
      </c>
      <c r="BA151" s="45">
        <v>28</v>
      </c>
      <c r="BB151" s="41">
        <f t="shared" si="71"/>
        <v>5.2141527001862198E-2</v>
      </c>
      <c r="BC151" s="45">
        <v>14</v>
      </c>
      <c r="BD151" s="41">
        <f t="shared" si="64"/>
        <v>5.2238805970149252E-2</v>
      </c>
      <c r="BE151" s="45">
        <v>537</v>
      </c>
      <c r="BF151" s="45">
        <v>268</v>
      </c>
    </row>
    <row r="152" spans="1:58" ht="15.75" customHeight="1" x14ac:dyDescent="0.25">
      <c r="A152" s="44">
        <v>2023</v>
      </c>
      <c r="B152" s="39">
        <v>170210</v>
      </c>
      <c r="C152" s="37" t="str">
        <f>VLOOKUP(B152,procv!$A$2:$D$142,4,FALSE)</f>
        <v>Médio Norte Araguaia</v>
      </c>
      <c r="D152" s="37" t="s">
        <v>16</v>
      </c>
      <c r="E152" s="45">
        <v>60</v>
      </c>
      <c r="F152" s="42">
        <f t="shared" si="48"/>
        <v>7.7150572200077152E-3</v>
      </c>
      <c r="G152" s="45">
        <v>5</v>
      </c>
      <c r="H152" s="42">
        <f t="shared" si="49"/>
        <v>1.3469827586206897E-3</v>
      </c>
      <c r="I152" s="45">
        <v>165</v>
      </c>
      <c r="J152" s="41">
        <f t="shared" si="50"/>
        <v>2.1216407355021217E-2</v>
      </c>
      <c r="K152" s="45">
        <v>23</v>
      </c>
      <c r="L152" s="41">
        <f t="shared" si="51"/>
        <v>6.1961206896551727E-3</v>
      </c>
      <c r="M152" s="46">
        <v>7226</v>
      </c>
      <c r="N152" s="41">
        <f t="shared" si="72"/>
        <v>0.92915005786292915</v>
      </c>
      <c r="O152" s="46">
        <v>3615</v>
      </c>
      <c r="P152" s="41">
        <f t="shared" si="52"/>
        <v>0.97386853448275867</v>
      </c>
      <c r="Q152" s="45">
        <v>326</v>
      </c>
      <c r="R152" s="41">
        <f t="shared" si="73"/>
        <v>4.1918477562041916E-2</v>
      </c>
      <c r="S152" s="45">
        <v>69</v>
      </c>
      <c r="T152" s="41">
        <f t="shared" si="53"/>
        <v>1.8588362068965518E-2</v>
      </c>
      <c r="U152" s="45">
        <v>225</v>
      </c>
      <c r="V152" s="41">
        <f t="shared" si="54"/>
        <v>2.8931464575028931E-2</v>
      </c>
      <c r="W152" s="45">
        <v>37</v>
      </c>
      <c r="X152" s="41">
        <f t="shared" si="55"/>
        <v>9.9676724137931043E-3</v>
      </c>
      <c r="Y152" s="45">
        <v>348</v>
      </c>
      <c r="Z152" s="41">
        <f t="shared" si="56"/>
        <v>4.4747331876044745E-2</v>
      </c>
      <c r="AA152" s="45">
        <v>71</v>
      </c>
      <c r="AB152" s="41">
        <f t="shared" si="57"/>
        <v>1.9127155172413791E-2</v>
      </c>
      <c r="AC152" s="46">
        <v>7204</v>
      </c>
      <c r="AD152" s="41">
        <f t="shared" si="65"/>
        <v>0.92632120354892633</v>
      </c>
      <c r="AE152" s="46">
        <v>3604</v>
      </c>
      <c r="AF152" s="41">
        <f t="shared" si="58"/>
        <v>0.97090517241379315</v>
      </c>
      <c r="AG152" s="45">
        <v>332</v>
      </c>
      <c r="AH152" s="41">
        <f t="shared" si="66"/>
        <v>4.2689983284042693E-2</v>
      </c>
      <c r="AI152" s="45">
        <v>305</v>
      </c>
      <c r="AJ152" s="41">
        <f t="shared" si="59"/>
        <v>8.2165948275862072E-2</v>
      </c>
      <c r="AK152" s="45">
        <v>255</v>
      </c>
      <c r="AL152" s="41">
        <f t="shared" si="67"/>
        <v>3.278899318503279E-2</v>
      </c>
      <c r="AM152" s="45">
        <v>128</v>
      </c>
      <c r="AN152" s="41">
        <f t="shared" si="60"/>
        <v>3.4482758620689655E-2</v>
      </c>
      <c r="AO152" s="46">
        <v>5487</v>
      </c>
      <c r="AP152" s="41">
        <f t="shared" si="68"/>
        <v>0.70554198276970559</v>
      </c>
      <c r="AQ152" s="46">
        <v>2924</v>
      </c>
      <c r="AR152" s="41">
        <f t="shared" si="61"/>
        <v>0.78771551724137934</v>
      </c>
      <c r="AS152" s="46">
        <v>1029</v>
      </c>
      <c r="AT152" s="41">
        <f t="shared" si="69"/>
        <v>0.1323132313231323</v>
      </c>
      <c r="AU152" s="45">
        <v>239</v>
      </c>
      <c r="AV152" s="41">
        <f t="shared" si="62"/>
        <v>6.4385775862068964E-2</v>
      </c>
      <c r="AW152" s="45">
        <v>441</v>
      </c>
      <c r="AX152" s="41">
        <f t="shared" si="70"/>
        <v>5.6705670567056707E-2</v>
      </c>
      <c r="AY152" s="45">
        <v>72</v>
      </c>
      <c r="AZ152" s="41">
        <f t="shared" si="63"/>
        <v>1.9396551724137932E-2</v>
      </c>
      <c r="BA152" s="45">
        <v>233</v>
      </c>
      <c r="BB152" s="41">
        <f t="shared" si="71"/>
        <v>2.9960138871029961E-2</v>
      </c>
      <c r="BC152" s="45">
        <v>44</v>
      </c>
      <c r="BD152" s="41">
        <f t="shared" si="64"/>
        <v>1.1853448275862068E-2</v>
      </c>
      <c r="BE152" s="46">
        <v>7777</v>
      </c>
      <c r="BF152" s="46">
        <v>3712</v>
      </c>
    </row>
    <row r="153" spans="1:58" ht="15.75" customHeight="1" x14ac:dyDescent="0.25">
      <c r="A153" s="44">
        <v>2023</v>
      </c>
      <c r="B153" s="39">
        <v>170215</v>
      </c>
      <c r="C153" s="37" t="str">
        <f>VLOOKUP(B153,procv!$A$2:$D$142,4,FALSE)</f>
        <v>Médio Norte Araguaia</v>
      </c>
      <c r="D153" s="37" t="s">
        <v>17</v>
      </c>
      <c r="E153" s="45">
        <v>4</v>
      </c>
      <c r="F153" s="42">
        <f t="shared" si="48"/>
        <v>1.4869888475836431E-2</v>
      </c>
      <c r="G153" s="45">
        <v>2</v>
      </c>
      <c r="H153" s="42">
        <f t="shared" si="49"/>
        <v>1.3605442176870748E-2</v>
      </c>
      <c r="I153" s="45">
        <v>10</v>
      </c>
      <c r="J153" s="41">
        <f t="shared" si="50"/>
        <v>3.717472118959108E-2</v>
      </c>
      <c r="K153" s="45">
        <v>1</v>
      </c>
      <c r="L153" s="41">
        <f t="shared" si="51"/>
        <v>6.8027210884353739E-3</v>
      </c>
      <c r="M153" s="45">
        <v>241</v>
      </c>
      <c r="N153" s="41">
        <f t="shared" si="72"/>
        <v>0.89591078066914498</v>
      </c>
      <c r="O153" s="45">
        <v>135</v>
      </c>
      <c r="P153" s="41">
        <f t="shared" si="52"/>
        <v>0.91836734693877553</v>
      </c>
      <c r="Q153" s="45">
        <v>14</v>
      </c>
      <c r="R153" s="41">
        <f t="shared" si="73"/>
        <v>5.204460966542751E-2</v>
      </c>
      <c r="S153" s="45">
        <v>9</v>
      </c>
      <c r="T153" s="41">
        <f t="shared" si="53"/>
        <v>6.1224489795918366E-2</v>
      </c>
      <c r="U153" s="45">
        <v>18</v>
      </c>
      <c r="V153" s="41">
        <f t="shared" si="54"/>
        <v>6.6914498141263934E-2</v>
      </c>
      <c r="W153" s="45">
        <v>1</v>
      </c>
      <c r="X153" s="41">
        <f t="shared" si="55"/>
        <v>6.8027210884353739E-3</v>
      </c>
      <c r="Y153" s="45">
        <v>24</v>
      </c>
      <c r="Z153" s="41">
        <f t="shared" si="56"/>
        <v>8.9219330855018583E-2</v>
      </c>
      <c r="AA153" s="45">
        <v>13</v>
      </c>
      <c r="AB153" s="41">
        <f t="shared" si="57"/>
        <v>8.8435374149659865E-2</v>
      </c>
      <c r="AC153" s="45">
        <v>227</v>
      </c>
      <c r="AD153" s="41">
        <f t="shared" si="65"/>
        <v>0.84386617100371752</v>
      </c>
      <c r="AE153" s="45">
        <v>133</v>
      </c>
      <c r="AF153" s="41">
        <f t="shared" si="58"/>
        <v>0.90476190476190477</v>
      </c>
      <c r="AG153" s="45">
        <v>6</v>
      </c>
      <c r="AH153" s="41">
        <f t="shared" si="66"/>
        <v>2.2304832713754646E-2</v>
      </c>
      <c r="AI153" s="45">
        <v>4</v>
      </c>
      <c r="AJ153" s="41">
        <f t="shared" si="59"/>
        <v>2.7210884353741496E-2</v>
      </c>
      <c r="AK153" s="45">
        <v>11</v>
      </c>
      <c r="AL153" s="41">
        <f t="shared" si="67"/>
        <v>4.0892193308550186E-2</v>
      </c>
      <c r="AM153" s="45">
        <v>9</v>
      </c>
      <c r="AN153" s="41">
        <f t="shared" si="60"/>
        <v>6.1224489795918366E-2</v>
      </c>
      <c r="AO153" s="45">
        <v>161</v>
      </c>
      <c r="AP153" s="41">
        <f t="shared" si="68"/>
        <v>0.5985130111524164</v>
      </c>
      <c r="AQ153" s="45">
        <v>103</v>
      </c>
      <c r="AR153" s="41">
        <f t="shared" si="61"/>
        <v>0.70068027210884354</v>
      </c>
      <c r="AS153" s="45">
        <v>45</v>
      </c>
      <c r="AT153" s="41">
        <f t="shared" si="69"/>
        <v>0.16728624535315986</v>
      </c>
      <c r="AU153" s="45">
        <v>12</v>
      </c>
      <c r="AV153" s="41">
        <f t="shared" si="62"/>
        <v>8.1632653061224483E-2</v>
      </c>
      <c r="AW153" s="45">
        <v>28</v>
      </c>
      <c r="AX153" s="41">
        <f t="shared" si="70"/>
        <v>0.10408921933085502</v>
      </c>
      <c r="AY153" s="45">
        <v>10</v>
      </c>
      <c r="AZ153" s="41">
        <f t="shared" si="63"/>
        <v>6.8027210884353748E-2</v>
      </c>
      <c r="BA153" s="45">
        <v>18</v>
      </c>
      <c r="BB153" s="41">
        <f t="shared" si="71"/>
        <v>6.6914498141263934E-2</v>
      </c>
      <c r="BC153" s="45">
        <v>9</v>
      </c>
      <c r="BD153" s="41">
        <f t="shared" si="64"/>
        <v>6.1224489795918366E-2</v>
      </c>
      <c r="BE153" s="45">
        <v>269</v>
      </c>
      <c r="BF153" s="45">
        <v>147</v>
      </c>
    </row>
    <row r="154" spans="1:58" ht="15.75" customHeight="1" x14ac:dyDescent="0.25">
      <c r="A154" s="44">
        <v>2023</v>
      </c>
      <c r="B154" s="39">
        <v>170220</v>
      </c>
      <c r="C154" s="37" t="str">
        <f>VLOOKUP(B154,procv!$A$2:$D$142,4,FALSE)</f>
        <v>Bico do Papagaio</v>
      </c>
      <c r="D154" s="37" t="s">
        <v>18</v>
      </c>
      <c r="E154" s="45">
        <v>22</v>
      </c>
      <c r="F154" s="42">
        <f t="shared" si="48"/>
        <v>1.1190233977619531E-2</v>
      </c>
      <c r="G154" s="45">
        <v>19</v>
      </c>
      <c r="H154" s="42">
        <f t="shared" si="49"/>
        <v>1.8147086914995225E-2</v>
      </c>
      <c r="I154" s="45">
        <v>85</v>
      </c>
      <c r="J154" s="41">
        <f t="shared" si="50"/>
        <v>4.3234994913530007E-2</v>
      </c>
      <c r="K154" s="45">
        <v>57</v>
      </c>
      <c r="L154" s="41">
        <f t="shared" si="51"/>
        <v>5.4441260744985676E-2</v>
      </c>
      <c r="M154" s="46">
        <v>1772</v>
      </c>
      <c r="N154" s="41">
        <f t="shared" si="72"/>
        <v>0.901322482197355</v>
      </c>
      <c r="O154" s="45">
        <v>929</v>
      </c>
      <c r="P154" s="41">
        <f t="shared" si="52"/>
        <v>0.88729703915950331</v>
      </c>
      <c r="Q154" s="45">
        <v>87</v>
      </c>
      <c r="R154" s="41">
        <f t="shared" si="73"/>
        <v>4.4252288911495422E-2</v>
      </c>
      <c r="S154" s="45">
        <v>42</v>
      </c>
      <c r="T154" s="41">
        <f t="shared" si="53"/>
        <v>4.0114613180515762E-2</v>
      </c>
      <c r="U154" s="45">
        <v>134</v>
      </c>
      <c r="V154" s="41">
        <f t="shared" si="54"/>
        <v>6.8158697863682602E-2</v>
      </c>
      <c r="W154" s="45">
        <v>88</v>
      </c>
      <c r="X154" s="41">
        <f t="shared" si="55"/>
        <v>8.4049665711556823E-2</v>
      </c>
      <c r="Y154" s="45">
        <v>167</v>
      </c>
      <c r="Z154" s="41">
        <f t="shared" si="56"/>
        <v>8.4944048830111904E-2</v>
      </c>
      <c r="AA154" s="45">
        <v>97</v>
      </c>
      <c r="AB154" s="41">
        <f t="shared" si="57"/>
        <v>9.2645654250238782E-2</v>
      </c>
      <c r="AC154" s="46">
        <v>1666</v>
      </c>
      <c r="AD154" s="41">
        <f t="shared" si="65"/>
        <v>0.84740590030518825</v>
      </c>
      <c r="AE154" s="45">
        <v>864</v>
      </c>
      <c r="AF154" s="41">
        <f t="shared" si="58"/>
        <v>0.82521489971346706</v>
      </c>
      <c r="AG154" s="45">
        <v>55</v>
      </c>
      <c r="AH154" s="41">
        <f t="shared" si="66"/>
        <v>2.797558494404883E-2</v>
      </c>
      <c r="AI154" s="45">
        <v>45</v>
      </c>
      <c r="AJ154" s="41">
        <f t="shared" si="59"/>
        <v>4.2979942693409739E-2</v>
      </c>
      <c r="AK154" s="45">
        <v>103</v>
      </c>
      <c r="AL154" s="41">
        <f t="shared" si="67"/>
        <v>5.2390640895218721E-2</v>
      </c>
      <c r="AM154" s="45">
        <v>71</v>
      </c>
      <c r="AN154" s="41">
        <f t="shared" si="60"/>
        <v>6.7812798471824254E-2</v>
      </c>
      <c r="AO154" s="46">
        <v>1307</v>
      </c>
      <c r="AP154" s="41">
        <f t="shared" si="68"/>
        <v>0.66480162767039674</v>
      </c>
      <c r="AQ154" s="45">
        <v>705</v>
      </c>
      <c r="AR154" s="41">
        <f t="shared" si="61"/>
        <v>0.67335243553008595</v>
      </c>
      <c r="AS154" s="45">
        <v>268</v>
      </c>
      <c r="AT154" s="41">
        <f t="shared" si="69"/>
        <v>0.1363173957273652</v>
      </c>
      <c r="AU154" s="45">
        <v>116</v>
      </c>
      <c r="AV154" s="41">
        <f t="shared" si="62"/>
        <v>0.11079274116523401</v>
      </c>
      <c r="AW154" s="45">
        <v>120</v>
      </c>
      <c r="AX154" s="41">
        <f t="shared" si="70"/>
        <v>6.1037639877924724E-2</v>
      </c>
      <c r="AY154" s="45">
        <v>51</v>
      </c>
      <c r="AZ154" s="41">
        <f t="shared" si="63"/>
        <v>4.8710601719197708E-2</v>
      </c>
      <c r="BA154" s="45">
        <v>114</v>
      </c>
      <c r="BB154" s="41">
        <f t="shared" si="71"/>
        <v>5.7985757884028481E-2</v>
      </c>
      <c r="BC154" s="45">
        <v>61</v>
      </c>
      <c r="BD154" s="41">
        <f t="shared" si="64"/>
        <v>5.8261700095510981E-2</v>
      </c>
      <c r="BE154" s="46">
        <v>1966</v>
      </c>
      <c r="BF154" s="46">
        <v>1047</v>
      </c>
    </row>
    <row r="155" spans="1:58" ht="15.75" customHeight="1" x14ac:dyDescent="0.25">
      <c r="A155" s="44">
        <v>2023</v>
      </c>
      <c r="B155" s="39">
        <v>170230</v>
      </c>
      <c r="C155" s="37" t="str">
        <f>VLOOKUP(B155,procv!$A$2:$D$142,4,FALSE)</f>
        <v>Cerrado Tocantins Araguaia</v>
      </c>
      <c r="D155" s="37" t="s">
        <v>19</v>
      </c>
      <c r="E155" s="45">
        <v>0</v>
      </c>
      <c r="F155" s="42">
        <f t="shared" si="48"/>
        <v>0</v>
      </c>
      <c r="G155" s="45">
        <v>0</v>
      </c>
      <c r="H155" s="42">
        <f t="shared" si="49"/>
        <v>0</v>
      </c>
      <c r="I155" s="45">
        <v>8</v>
      </c>
      <c r="J155" s="41">
        <f t="shared" si="50"/>
        <v>3.3755274261603373E-2</v>
      </c>
      <c r="K155" s="45">
        <v>6</v>
      </c>
      <c r="L155" s="41">
        <f t="shared" si="51"/>
        <v>3.3333333333333333E-2</v>
      </c>
      <c r="M155" s="45">
        <v>209</v>
      </c>
      <c r="N155" s="41">
        <f t="shared" si="72"/>
        <v>0.88185654008438819</v>
      </c>
      <c r="O155" s="45">
        <v>159</v>
      </c>
      <c r="P155" s="41">
        <f t="shared" si="52"/>
        <v>0.8833333333333333</v>
      </c>
      <c r="Q155" s="45">
        <v>20</v>
      </c>
      <c r="R155" s="41">
        <f t="shared" si="73"/>
        <v>8.4388185654008435E-2</v>
      </c>
      <c r="S155" s="45">
        <v>15</v>
      </c>
      <c r="T155" s="41">
        <f t="shared" si="53"/>
        <v>8.3333333333333329E-2</v>
      </c>
      <c r="U155" s="45">
        <v>27</v>
      </c>
      <c r="V155" s="41">
        <f t="shared" si="54"/>
        <v>0.11392405063291139</v>
      </c>
      <c r="W155" s="45">
        <v>13</v>
      </c>
      <c r="X155" s="41">
        <f t="shared" si="55"/>
        <v>7.2222222222222215E-2</v>
      </c>
      <c r="Y155" s="45">
        <v>14</v>
      </c>
      <c r="Z155" s="41">
        <f t="shared" si="56"/>
        <v>5.9071729957805907E-2</v>
      </c>
      <c r="AA155" s="45">
        <v>12</v>
      </c>
      <c r="AB155" s="41">
        <f t="shared" si="57"/>
        <v>6.6666666666666666E-2</v>
      </c>
      <c r="AC155" s="45">
        <v>196</v>
      </c>
      <c r="AD155" s="41">
        <f t="shared" si="65"/>
        <v>0.8270042194092827</v>
      </c>
      <c r="AE155" s="45">
        <v>155</v>
      </c>
      <c r="AF155" s="41">
        <f t="shared" si="58"/>
        <v>0.86111111111111116</v>
      </c>
      <c r="AG155" s="45">
        <v>7</v>
      </c>
      <c r="AH155" s="41">
        <f t="shared" si="66"/>
        <v>2.9535864978902954E-2</v>
      </c>
      <c r="AI155" s="45">
        <v>9</v>
      </c>
      <c r="AJ155" s="41">
        <f t="shared" si="59"/>
        <v>0.05</v>
      </c>
      <c r="AK155" s="45">
        <v>7</v>
      </c>
      <c r="AL155" s="41">
        <f t="shared" si="67"/>
        <v>2.9535864978902954E-2</v>
      </c>
      <c r="AM155" s="45">
        <v>5</v>
      </c>
      <c r="AN155" s="41">
        <f t="shared" si="60"/>
        <v>2.7777777777777776E-2</v>
      </c>
      <c r="AO155" s="45">
        <v>144</v>
      </c>
      <c r="AP155" s="41">
        <f t="shared" si="68"/>
        <v>0.60759493670886078</v>
      </c>
      <c r="AQ155" s="45">
        <v>111</v>
      </c>
      <c r="AR155" s="41">
        <f t="shared" si="61"/>
        <v>0.6166666666666667</v>
      </c>
      <c r="AS155" s="45">
        <v>32</v>
      </c>
      <c r="AT155" s="41">
        <f t="shared" si="69"/>
        <v>0.13502109704641349</v>
      </c>
      <c r="AU155" s="45">
        <v>25</v>
      </c>
      <c r="AV155" s="41">
        <f t="shared" si="62"/>
        <v>0.1388888888888889</v>
      </c>
      <c r="AW155" s="45">
        <v>14</v>
      </c>
      <c r="AX155" s="41">
        <f t="shared" si="70"/>
        <v>5.9071729957805907E-2</v>
      </c>
      <c r="AY155" s="45">
        <v>11</v>
      </c>
      <c r="AZ155" s="41">
        <f t="shared" si="63"/>
        <v>6.1111111111111109E-2</v>
      </c>
      <c r="BA155" s="45">
        <v>33</v>
      </c>
      <c r="BB155" s="41">
        <f t="shared" si="71"/>
        <v>0.13924050632911392</v>
      </c>
      <c r="BC155" s="45">
        <v>19</v>
      </c>
      <c r="BD155" s="41">
        <f t="shared" si="64"/>
        <v>0.10555555555555556</v>
      </c>
      <c r="BE155" s="45">
        <v>237</v>
      </c>
      <c r="BF155" s="45">
        <v>180</v>
      </c>
    </row>
    <row r="156" spans="1:58" ht="15.75" customHeight="1" x14ac:dyDescent="0.25">
      <c r="A156" s="44">
        <v>2023</v>
      </c>
      <c r="B156" s="39">
        <v>170240</v>
      </c>
      <c r="C156" s="37" t="str">
        <f>VLOOKUP(B156,procv!$A$2:$D$142,4,FALSE)</f>
        <v>Sudeste</v>
      </c>
      <c r="D156" s="37" t="s">
        <v>20</v>
      </c>
      <c r="E156" s="45">
        <v>3</v>
      </c>
      <c r="F156" s="42">
        <f t="shared" si="48"/>
        <v>8.3102493074792248E-3</v>
      </c>
      <c r="G156" s="45">
        <v>1</v>
      </c>
      <c r="H156" s="42">
        <f t="shared" si="49"/>
        <v>8.3333333333333332E-3</v>
      </c>
      <c r="I156" s="45">
        <v>12</v>
      </c>
      <c r="J156" s="41">
        <f t="shared" si="50"/>
        <v>3.3240997229916899E-2</v>
      </c>
      <c r="K156" s="45">
        <v>5</v>
      </c>
      <c r="L156" s="41">
        <f t="shared" si="51"/>
        <v>4.1666666666666664E-2</v>
      </c>
      <c r="M156" s="45">
        <v>330</v>
      </c>
      <c r="N156" s="41">
        <f t="shared" si="72"/>
        <v>0.91412742382271472</v>
      </c>
      <c r="O156" s="45">
        <v>110</v>
      </c>
      <c r="P156" s="41">
        <f t="shared" si="52"/>
        <v>0.91666666666666663</v>
      </c>
      <c r="Q156" s="45">
        <v>16</v>
      </c>
      <c r="R156" s="41">
        <f t="shared" si="73"/>
        <v>4.4321329639889197E-2</v>
      </c>
      <c r="S156" s="45">
        <v>4</v>
      </c>
      <c r="T156" s="41">
        <f t="shared" si="53"/>
        <v>3.3333333333333333E-2</v>
      </c>
      <c r="U156" s="45">
        <v>17</v>
      </c>
      <c r="V156" s="41">
        <f t="shared" si="54"/>
        <v>4.7091412742382273E-2</v>
      </c>
      <c r="W156" s="45">
        <v>6</v>
      </c>
      <c r="X156" s="41">
        <f t="shared" si="55"/>
        <v>0.05</v>
      </c>
      <c r="Y156" s="45">
        <v>41</v>
      </c>
      <c r="Z156" s="41">
        <f t="shared" si="56"/>
        <v>0.11357340720221606</v>
      </c>
      <c r="AA156" s="45">
        <v>18</v>
      </c>
      <c r="AB156" s="41">
        <f t="shared" si="57"/>
        <v>0.15</v>
      </c>
      <c r="AC156" s="45">
        <v>303</v>
      </c>
      <c r="AD156" s="41">
        <f t="shared" si="65"/>
        <v>0.83933518005540164</v>
      </c>
      <c r="AE156" s="45">
        <v>96</v>
      </c>
      <c r="AF156" s="41">
        <f t="shared" si="58"/>
        <v>0.8</v>
      </c>
      <c r="AG156" s="45">
        <v>5</v>
      </c>
      <c r="AH156" s="41">
        <f t="shared" si="66"/>
        <v>1.3850415512465374E-2</v>
      </c>
      <c r="AI156" s="45">
        <v>1</v>
      </c>
      <c r="AJ156" s="41">
        <f t="shared" si="59"/>
        <v>8.3333333333333332E-3</v>
      </c>
      <c r="AK156" s="45">
        <v>8</v>
      </c>
      <c r="AL156" s="41">
        <f t="shared" si="67"/>
        <v>2.2160664819944598E-2</v>
      </c>
      <c r="AM156" s="45">
        <v>3</v>
      </c>
      <c r="AN156" s="41">
        <f t="shared" si="60"/>
        <v>2.5000000000000001E-2</v>
      </c>
      <c r="AO156" s="45">
        <v>236</v>
      </c>
      <c r="AP156" s="41">
        <f t="shared" si="68"/>
        <v>0.65373961218836563</v>
      </c>
      <c r="AQ156" s="45">
        <v>83</v>
      </c>
      <c r="AR156" s="41">
        <f t="shared" si="61"/>
        <v>0.69166666666666665</v>
      </c>
      <c r="AS156" s="45">
        <v>69</v>
      </c>
      <c r="AT156" s="41">
        <f t="shared" si="69"/>
        <v>0.19113573407202217</v>
      </c>
      <c r="AU156" s="45">
        <v>18</v>
      </c>
      <c r="AV156" s="41">
        <f t="shared" si="62"/>
        <v>0.15</v>
      </c>
      <c r="AW156" s="45">
        <v>28</v>
      </c>
      <c r="AX156" s="41">
        <f t="shared" si="70"/>
        <v>7.7562326869806089E-2</v>
      </c>
      <c r="AY156" s="45">
        <v>12</v>
      </c>
      <c r="AZ156" s="41">
        <f t="shared" si="63"/>
        <v>0.1</v>
      </c>
      <c r="BA156" s="45">
        <v>15</v>
      </c>
      <c r="BB156" s="41">
        <f t="shared" si="71"/>
        <v>4.1551246537396121E-2</v>
      </c>
      <c r="BC156" s="45">
        <v>3</v>
      </c>
      <c r="BD156" s="41">
        <f t="shared" si="64"/>
        <v>2.5000000000000001E-2</v>
      </c>
      <c r="BE156" s="45">
        <v>361</v>
      </c>
      <c r="BF156" s="45">
        <v>120</v>
      </c>
    </row>
    <row r="157" spans="1:58" ht="15.75" customHeight="1" x14ac:dyDescent="0.25">
      <c r="A157" s="44">
        <v>2023</v>
      </c>
      <c r="B157" s="39">
        <v>170255</v>
      </c>
      <c r="C157" s="37" t="str">
        <f>VLOOKUP(B157,procv!$A$2:$D$142,4,FALSE)</f>
        <v>Bico do Papagaio</v>
      </c>
      <c r="D157" s="37" t="s">
        <v>21</v>
      </c>
      <c r="E157" s="45">
        <v>8</v>
      </c>
      <c r="F157" s="42">
        <f t="shared" si="48"/>
        <v>7.048458149779736E-3</v>
      </c>
      <c r="G157" s="45">
        <v>7</v>
      </c>
      <c r="H157" s="42">
        <f t="shared" si="49"/>
        <v>1.1164274322169059E-2</v>
      </c>
      <c r="I157" s="45">
        <v>28</v>
      </c>
      <c r="J157" s="41">
        <f t="shared" si="50"/>
        <v>2.4669603524229075E-2</v>
      </c>
      <c r="K157" s="45">
        <v>17</v>
      </c>
      <c r="L157" s="41">
        <f t="shared" si="51"/>
        <v>2.7113237639553429E-2</v>
      </c>
      <c r="M157" s="46">
        <v>1049</v>
      </c>
      <c r="N157" s="41">
        <f t="shared" si="72"/>
        <v>0.92422907488986783</v>
      </c>
      <c r="O157" s="45">
        <v>581</v>
      </c>
      <c r="P157" s="41">
        <f t="shared" si="52"/>
        <v>0.92663476874003192</v>
      </c>
      <c r="Q157" s="45">
        <v>50</v>
      </c>
      <c r="R157" s="41">
        <f t="shared" si="73"/>
        <v>4.405286343612335E-2</v>
      </c>
      <c r="S157" s="45">
        <v>22</v>
      </c>
      <c r="T157" s="41">
        <f t="shared" si="53"/>
        <v>3.5087719298245612E-2</v>
      </c>
      <c r="U157" s="45">
        <v>29</v>
      </c>
      <c r="V157" s="41">
        <f t="shared" si="54"/>
        <v>2.5550660792951541E-2</v>
      </c>
      <c r="W157" s="45">
        <v>24</v>
      </c>
      <c r="X157" s="41">
        <f t="shared" si="55"/>
        <v>3.8277511961722487E-2</v>
      </c>
      <c r="Y157" s="45">
        <v>79</v>
      </c>
      <c r="Z157" s="41">
        <f t="shared" si="56"/>
        <v>6.9603524229074884E-2</v>
      </c>
      <c r="AA157" s="45">
        <v>52</v>
      </c>
      <c r="AB157" s="41">
        <f t="shared" si="57"/>
        <v>8.2934609250398722E-2</v>
      </c>
      <c r="AC157" s="46">
        <v>1027</v>
      </c>
      <c r="AD157" s="41">
        <f t="shared" si="65"/>
        <v>0.90484581497797356</v>
      </c>
      <c r="AE157" s="45">
        <v>551</v>
      </c>
      <c r="AF157" s="41">
        <f t="shared" si="58"/>
        <v>0.87878787878787878</v>
      </c>
      <c r="AG157" s="45">
        <v>22</v>
      </c>
      <c r="AH157" s="41">
        <f t="shared" si="66"/>
        <v>1.9383259911894272E-2</v>
      </c>
      <c r="AI157" s="45">
        <v>20</v>
      </c>
      <c r="AJ157" s="41">
        <f t="shared" si="59"/>
        <v>3.1897926634768738E-2</v>
      </c>
      <c r="AK157" s="45">
        <v>38</v>
      </c>
      <c r="AL157" s="41">
        <f t="shared" si="67"/>
        <v>3.3480176211453744E-2</v>
      </c>
      <c r="AM157" s="45">
        <v>31</v>
      </c>
      <c r="AN157" s="41">
        <f t="shared" si="60"/>
        <v>4.9441786283891544E-2</v>
      </c>
      <c r="AO157" s="45">
        <v>809</v>
      </c>
      <c r="AP157" s="41">
        <f t="shared" si="68"/>
        <v>0.71277533039647578</v>
      </c>
      <c r="AQ157" s="45">
        <v>459</v>
      </c>
      <c r="AR157" s="41">
        <f t="shared" si="61"/>
        <v>0.73205741626794263</v>
      </c>
      <c r="AS157" s="45">
        <v>173</v>
      </c>
      <c r="AT157" s="41">
        <f t="shared" si="69"/>
        <v>0.15242290748898679</v>
      </c>
      <c r="AU157" s="45">
        <v>70</v>
      </c>
      <c r="AV157" s="41">
        <f t="shared" si="62"/>
        <v>0.11164274322169059</v>
      </c>
      <c r="AW157" s="45">
        <v>64</v>
      </c>
      <c r="AX157" s="41">
        <f t="shared" si="70"/>
        <v>5.6387665198237888E-2</v>
      </c>
      <c r="AY157" s="45">
        <v>28</v>
      </c>
      <c r="AZ157" s="41">
        <f t="shared" si="63"/>
        <v>4.4657097288676235E-2</v>
      </c>
      <c r="BA157" s="45">
        <v>29</v>
      </c>
      <c r="BB157" s="41">
        <f t="shared" si="71"/>
        <v>2.5550660792951541E-2</v>
      </c>
      <c r="BC157" s="45">
        <v>19</v>
      </c>
      <c r="BD157" s="41">
        <f t="shared" si="64"/>
        <v>3.0303030303030304E-2</v>
      </c>
      <c r="BE157" s="46">
        <v>1135</v>
      </c>
      <c r="BF157" s="45">
        <v>627</v>
      </c>
    </row>
    <row r="158" spans="1:58" ht="15.75" customHeight="1" x14ac:dyDescent="0.25">
      <c r="A158" s="44">
        <v>2023</v>
      </c>
      <c r="B158" s="39">
        <v>170270</v>
      </c>
      <c r="C158" s="37" t="str">
        <f>VLOOKUP(B158,procv!$A$2:$D$142,4,FALSE)</f>
        <v>Sudeste</v>
      </c>
      <c r="D158" s="37" t="s">
        <v>22</v>
      </c>
      <c r="E158" s="45">
        <v>2</v>
      </c>
      <c r="F158" s="42">
        <f t="shared" si="48"/>
        <v>1.4598540145985401E-2</v>
      </c>
      <c r="G158" s="45">
        <v>2</v>
      </c>
      <c r="H158" s="42">
        <f t="shared" si="49"/>
        <v>2.4096385542168676E-2</v>
      </c>
      <c r="I158" s="45">
        <v>3</v>
      </c>
      <c r="J158" s="41">
        <f t="shared" si="50"/>
        <v>2.1897810218978103E-2</v>
      </c>
      <c r="K158" s="45">
        <v>3</v>
      </c>
      <c r="L158" s="41">
        <f t="shared" si="51"/>
        <v>3.614457831325301E-2</v>
      </c>
      <c r="M158" s="45">
        <v>122</v>
      </c>
      <c r="N158" s="41">
        <f t="shared" si="72"/>
        <v>0.89051094890510951</v>
      </c>
      <c r="O158" s="45">
        <v>73</v>
      </c>
      <c r="P158" s="41">
        <f t="shared" si="52"/>
        <v>0.87951807228915657</v>
      </c>
      <c r="Q158" s="45">
        <v>10</v>
      </c>
      <c r="R158" s="41">
        <f t="shared" si="73"/>
        <v>7.2992700729927001E-2</v>
      </c>
      <c r="S158" s="45">
        <v>5</v>
      </c>
      <c r="T158" s="41">
        <f t="shared" si="53"/>
        <v>6.0240963855421686E-2</v>
      </c>
      <c r="U158" s="45">
        <v>6</v>
      </c>
      <c r="V158" s="41">
        <f t="shared" si="54"/>
        <v>4.3795620437956206E-2</v>
      </c>
      <c r="W158" s="45">
        <v>3</v>
      </c>
      <c r="X158" s="41">
        <f t="shared" si="55"/>
        <v>3.614457831325301E-2</v>
      </c>
      <c r="Y158" s="45">
        <v>8</v>
      </c>
      <c r="Z158" s="41">
        <f t="shared" si="56"/>
        <v>5.8394160583941604E-2</v>
      </c>
      <c r="AA158" s="45">
        <v>4</v>
      </c>
      <c r="AB158" s="41">
        <f t="shared" si="57"/>
        <v>4.8192771084337352E-2</v>
      </c>
      <c r="AC158" s="45">
        <v>123</v>
      </c>
      <c r="AD158" s="41">
        <f t="shared" si="65"/>
        <v>0.8978102189781022</v>
      </c>
      <c r="AE158" s="45">
        <v>76</v>
      </c>
      <c r="AF158" s="41">
        <f t="shared" si="58"/>
        <v>0.91566265060240959</v>
      </c>
      <c r="AG158" s="45">
        <v>6</v>
      </c>
      <c r="AH158" s="41">
        <f t="shared" si="66"/>
        <v>4.3795620437956206E-2</v>
      </c>
      <c r="AI158" s="45">
        <v>4</v>
      </c>
      <c r="AJ158" s="41">
        <f t="shared" si="59"/>
        <v>4.8192771084337352E-2</v>
      </c>
      <c r="AK158" s="45">
        <v>7</v>
      </c>
      <c r="AL158" s="41">
        <f t="shared" si="67"/>
        <v>5.1094890510948905E-2</v>
      </c>
      <c r="AM158" s="45">
        <v>5</v>
      </c>
      <c r="AN158" s="41">
        <f t="shared" si="60"/>
        <v>6.0240963855421686E-2</v>
      </c>
      <c r="AO158" s="45">
        <v>95</v>
      </c>
      <c r="AP158" s="41">
        <f t="shared" si="68"/>
        <v>0.69343065693430661</v>
      </c>
      <c r="AQ158" s="45">
        <v>61</v>
      </c>
      <c r="AR158" s="41">
        <f t="shared" si="61"/>
        <v>0.73493975903614461</v>
      </c>
      <c r="AS158" s="45">
        <v>12</v>
      </c>
      <c r="AT158" s="41">
        <f t="shared" si="69"/>
        <v>8.7591240875912413E-2</v>
      </c>
      <c r="AU158" s="45">
        <v>6</v>
      </c>
      <c r="AV158" s="41">
        <f t="shared" si="62"/>
        <v>7.2289156626506021E-2</v>
      </c>
      <c r="AW158" s="45">
        <v>9</v>
      </c>
      <c r="AX158" s="41">
        <f t="shared" si="70"/>
        <v>6.569343065693431E-2</v>
      </c>
      <c r="AY158" s="45">
        <v>2</v>
      </c>
      <c r="AZ158" s="41">
        <f t="shared" si="63"/>
        <v>2.4096385542168676E-2</v>
      </c>
      <c r="BA158" s="45">
        <v>8</v>
      </c>
      <c r="BB158" s="41">
        <f t="shared" si="71"/>
        <v>5.8394160583941604E-2</v>
      </c>
      <c r="BC158" s="45">
        <v>5</v>
      </c>
      <c r="BD158" s="41">
        <f t="shared" si="64"/>
        <v>6.0240963855421686E-2</v>
      </c>
      <c r="BE158" s="45">
        <v>137</v>
      </c>
      <c r="BF158" s="45">
        <v>83</v>
      </c>
    </row>
    <row r="159" spans="1:58" ht="15.75" customHeight="1" x14ac:dyDescent="0.25">
      <c r="A159" s="44">
        <v>2023</v>
      </c>
      <c r="B159" s="39">
        <v>170290</v>
      </c>
      <c r="C159" s="37" t="str">
        <f>VLOOKUP(B159,procv!$A$2:$D$142,4,FALSE)</f>
        <v>Bico do Papagaio</v>
      </c>
      <c r="D159" s="37" t="s">
        <v>23</v>
      </c>
      <c r="E159" s="45">
        <v>6</v>
      </c>
      <c r="F159" s="42">
        <f t="shared" si="48"/>
        <v>9.5238095238095247E-3</v>
      </c>
      <c r="G159" s="45">
        <v>5</v>
      </c>
      <c r="H159" s="42">
        <f t="shared" si="49"/>
        <v>8.4175084175084174E-3</v>
      </c>
      <c r="I159" s="45">
        <v>24</v>
      </c>
      <c r="J159" s="41">
        <f t="shared" si="50"/>
        <v>3.8095238095238099E-2</v>
      </c>
      <c r="K159" s="45">
        <v>25</v>
      </c>
      <c r="L159" s="41">
        <f t="shared" si="51"/>
        <v>4.208754208754209E-2</v>
      </c>
      <c r="M159" s="45">
        <v>571</v>
      </c>
      <c r="N159" s="41">
        <f t="shared" si="72"/>
        <v>0.90634920634920635</v>
      </c>
      <c r="O159" s="45">
        <v>535</v>
      </c>
      <c r="P159" s="41">
        <f t="shared" si="52"/>
        <v>0.90067340067340063</v>
      </c>
      <c r="Q159" s="45">
        <v>29</v>
      </c>
      <c r="R159" s="41">
        <f t="shared" si="73"/>
        <v>4.6031746031746035E-2</v>
      </c>
      <c r="S159" s="45">
        <v>29</v>
      </c>
      <c r="T159" s="41">
        <f t="shared" si="53"/>
        <v>4.8821548821548821E-2</v>
      </c>
      <c r="U159" s="45">
        <v>61</v>
      </c>
      <c r="V159" s="41">
        <f t="shared" si="54"/>
        <v>9.6825396825396828E-2</v>
      </c>
      <c r="W159" s="45">
        <v>60</v>
      </c>
      <c r="X159" s="41">
        <f t="shared" si="55"/>
        <v>0.10101010101010101</v>
      </c>
      <c r="Y159" s="45">
        <v>72</v>
      </c>
      <c r="Z159" s="41">
        <f t="shared" si="56"/>
        <v>0.11428571428571428</v>
      </c>
      <c r="AA159" s="45">
        <v>71</v>
      </c>
      <c r="AB159" s="41">
        <f t="shared" si="57"/>
        <v>0.11952861952861953</v>
      </c>
      <c r="AC159" s="45">
        <v>497</v>
      </c>
      <c r="AD159" s="41">
        <f t="shared" si="65"/>
        <v>0.78888888888888886</v>
      </c>
      <c r="AE159" s="45">
        <v>463</v>
      </c>
      <c r="AF159" s="41">
        <f t="shared" si="58"/>
        <v>0.77946127946127941</v>
      </c>
      <c r="AG159" s="45">
        <v>34</v>
      </c>
      <c r="AH159" s="41">
        <f t="shared" si="66"/>
        <v>5.3968253968253971E-2</v>
      </c>
      <c r="AI159" s="45">
        <v>35</v>
      </c>
      <c r="AJ159" s="41">
        <f t="shared" si="59"/>
        <v>5.8922558922558925E-2</v>
      </c>
      <c r="AK159" s="45">
        <v>39</v>
      </c>
      <c r="AL159" s="41">
        <f t="shared" si="67"/>
        <v>6.1904761904761907E-2</v>
      </c>
      <c r="AM159" s="45">
        <v>39</v>
      </c>
      <c r="AN159" s="41">
        <f t="shared" si="60"/>
        <v>6.5656565656565663E-2</v>
      </c>
      <c r="AO159" s="45">
        <v>392</v>
      </c>
      <c r="AP159" s="41">
        <f t="shared" si="68"/>
        <v>0.62222222222222223</v>
      </c>
      <c r="AQ159" s="45">
        <v>371</v>
      </c>
      <c r="AR159" s="41">
        <f t="shared" si="61"/>
        <v>0.62457912457912457</v>
      </c>
      <c r="AS159" s="45">
        <v>78</v>
      </c>
      <c r="AT159" s="41">
        <f t="shared" si="69"/>
        <v>0.12380952380952381</v>
      </c>
      <c r="AU159" s="45">
        <v>68</v>
      </c>
      <c r="AV159" s="41">
        <f t="shared" si="62"/>
        <v>0.11447811447811448</v>
      </c>
      <c r="AW159" s="45">
        <v>43</v>
      </c>
      <c r="AX159" s="41">
        <f t="shared" si="70"/>
        <v>6.8253968253968247E-2</v>
      </c>
      <c r="AY159" s="45">
        <v>38</v>
      </c>
      <c r="AZ159" s="41">
        <f t="shared" si="63"/>
        <v>6.3973063973063973E-2</v>
      </c>
      <c r="BA159" s="45">
        <v>44</v>
      </c>
      <c r="BB159" s="41">
        <f t="shared" si="71"/>
        <v>6.9841269841269843E-2</v>
      </c>
      <c r="BC159" s="45">
        <v>43</v>
      </c>
      <c r="BD159" s="41">
        <f t="shared" si="64"/>
        <v>7.2390572390572394E-2</v>
      </c>
      <c r="BE159" s="45">
        <v>630</v>
      </c>
      <c r="BF159" s="45">
        <v>594</v>
      </c>
    </row>
    <row r="160" spans="1:58" ht="15.75" customHeight="1" x14ac:dyDescent="0.25">
      <c r="A160" s="44">
        <v>2023</v>
      </c>
      <c r="B160" s="39">
        <v>170300</v>
      </c>
      <c r="C160" s="37" t="str">
        <f>VLOOKUP(B160,procv!$A$2:$D$142,4,FALSE)</f>
        <v>Médio Norte Araguaia</v>
      </c>
      <c r="D160" s="37" t="s">
        <v>24</v>
      </c>
      <c r="E160" s="45">
        <v>4</v>
      </c>
      <c r="F160" s="42">
        <f t="shared" si="48"/>
        <v>8.6021505376344086E-3</v>
      </c>
      <c r="G160" s="45">
        <v>4</v>
      </c>
      <c r="H160" s="42">
        <f t="shared" si="49"/>
        <v>1.2578616352201259E-2</v>
      </c>
      <c r="I160" s="45">
        <v>12</v>
      </c>
      <c r="J160" s="41">
        <f t="shared" si="50"/>
        <v>2.5806451612903226E-2</v>
      </c>
      <c r="K160" s="45">
        <v>12</v>
      </c>
      <c r="L160" s="41">
        <f t="shared" si="51"/>
        <v>3.7735849056603772E-2</v>
      </c>
      <c r="M160" s="45">
        <v>432</v>
      </c>
      <c r="N160" s="41">
        <f t="shared" si="72"/>
        <v>0.92903225806451617</v>
      </c>
      <c r="O160" s="45">
        <v>286</v>
      </c>
      <c r="P160" s="41">
        <f t="shared" si="52"/>
        <v>0.89937106918238996</v>
      </c>
      <c r="Q160" s="45">
        <v>17</v>
      </c>
      <c r="R160" s="41">
        <f t="shared" si="73"/>
        <v>3.6559139784946237E-2</v>
      </c>
      <c r="S160" s="45">
        <v>16</v>
      </c>
      <c r="T160" s="41">
        <f t="shared" si="53"/>
        <v>5.0314465408805034E-2</v>
      </c>
      <c r="U160" s="45">
        <v>48</v>
      </c>
      <c r="V160" s="41">
        <f t="shared" si="54"/>
        <v>0.1032258064516129</v>
      </c>
      <c r="W160" s="45">
        <v>14</v>
      </c>
      <c r="X160" s="41">
        <f t="shared" si="55"/>
        <v>4.40251572327044E-2</v>
      </c>
      <c r="Y160" s="45">
        <v>53</v>
      </c>
      <c r="Z160" s="41">
        <f t="shared" si="56"/>
        <v>0.11397849462365592</v>
      </c>
      <c r="AA160" s="45">
        <v>29</v>
      </c>
      <c r="AB160" s="41">
        <f t="shared" si="57"/>
        <v>9.1194968553459113E-2</v>
      </c>
      <c r="AC160" s="45">
        <v>364</v>
      </c>
      <c r="AD160" s="41">
        <f t="shared" si="65"/>
        <v>0.78279569892473122</v>
      </c>
      <c r="AE160" s="45">
        <v>275</v>
      </c>
      <c r="AF160" s="41">
        <f t="shared" si="58"/>
        <v>0.86477987421383651</v>
      </c>
      <c r="AG160" s="45">
        <v>11</v>
      </c>
      <c r="AH160" s="41">
        <f t="shared" si="66"/>
        <v>2.3655913978494623E-2</v>
      </c>
      <c r="AI160" s="45">
        <v>16</v>
      </c>
      <c r="AJ160" s="41">
        <f t="shared" si="59"/>
        <v>5.0314465408805034E-2</v>
      </c>
      <c r="AK160" s="45">
        <v>21</v>
      </c>
      <c r="AL160" s="41">
        <f t="shared" si="67"/>
        <v>4.5161290322580643E-2</v>
      </c>
      <c r="AM160" s="45">
        <v>18</v>
      </c>
      <c r="AN160" s="41">
        <f t="shared" si="60"/>
        <v>5.6603773584905662E-2</v>
      </c>
      <c r="AO160" s="45">
        <v>264</v>
      </c>
      <c r="AP160" s="41">
        <f t="shared" si="68"/>
        <v>0.56774193548387097</v>
      </c>
      <c r="AQ160" s="45">
        <v>201</v>
      </c>
      <c r="AR160" s="41">
        <f t="shared" si="61"/>
        <v>0.63207547169811318</v>
      </c>
      <c r="AS160" s="45">
        <v>90</v>
      </c>
      <c r="AT160" s="41">
        <f t="shared" si="69"/>
        <v>0.19354838709677419</v>
      </c>
      <c r="AU160" s="45">
        <v>49</v>
      </c>
      <c r="AV160" s="41">
        <f t="shared" si="62"/>
        <v>0.1540880503144654</v>
      </c>
      <c r="AW160" s="45">
        <v>42</v>
      </c>
      <c r="AX160" s="41">
        <f t="shared" si="70"/>
        <v>9.0322580645161285E-2</v>
      </c>
      <c r="AY160" s="45">
        <v>19</v>
      </c>
      <c r="AZ160" s="41">
        <f t="shared" si="63"/>
        <v>5.9748427672955975E-2</v>
      </c>
      <c r="BA160" s="45">
        <v>37</v>
      </c>
      <c r="BB160" s="41">
        <f t="shared" si="71"/>
        <v>7.9569892473118284E-2</v>
      </c>
      <c r="BC160" s="45">
        <v>15</v>
      </c>
      <c r="BD160" s="41">
        <f t="shared" si="64"/>
        <v>4.716981132075472E-2</v>
      </c>
      <c r="BE160" s="45">
        <v>465</v>
      </c>
      <c r="BF160" s="45">
        <v>318</v>
      </c>
    </row>
    <row r="161" spans="1:58" ht="15.75" customHeight="1" x14ac:dyDescent="0.25">
      <c r="A161" s="44">
        <v>2023</v>
      </c>
      <c r="B161" s="39">
        <v>170305</v>
      </c>
      <c r="C161" s="37" t="str">
        <f>VLOOKUP(B161,procv!$A$2:$D$142,4,FALSE)</f>
        <v>Cerrado Tocantins Araguaia</v>
      </c>
      <c r="D161" s="37" t="s">
        <v>25</v>
      </c>
      <c r="E161" s="45">
        <v>0</v>
      </c>
      <c r="F161" s="42">
        <f t="shared" si="48"/>
        <v>0</v>
      </c>
      <c r="G161" s="45">
        <v>0</v>
      </c>
      <c r="H161" s="42">
        <f t="shared" si="49"/>
        <v>0</v>
      </c>
      <c r="I161" s="45">
        <v>2</v>
      </c>
      <c r="J161" s="41">
        <f t="shared" si="50"/>
        <v>7.1942446043165471E-3</v>
      </c>
      <c r="K161" s="45">
        <v>0</v>
      </c>
      <c r="L161" s="41">
        <f t="shared" si="51"/>
        <v>0</v>
      </c>
      <c r="M161" s="45">
        <v>256</v>
      </c>
      <c r="N161" s="41">
        <f t="shared" si="72"/>
        <v>0.92086330935251803</v>
      </c>
      <c r="O161" s="45">
        <v>129</v>
      </c>
      <c r="P161" s="41">
        <f t="shared" si="52"/>
        <v>0.88356164383561642</v>
      </c>
      <c r="Q161" s="45">
        <v>20</v>
      </c>
      <c r="R161" s="41">
        <f t="shared" si="73"/>
        <v>7.1942446043165464E-2</v>
      </c>
      <c r="S161" s="45">
        <v>17</v>
      </c>
      <c r="T161" s="41">
        <f t="shared" si="53"/>
        <v>0.11643835616438356</v>
      </c>
      <c r="U161" s="45">
        <v>25</v>
      </c>
      <c r="V161" s="41">
        <f t="shared" si="54"/>
        <v>8.9928057553956831E-2</v>
      </c>
      <c r="W161" s="45">
        <v>25</v>
      </c>
      <c r="X161" s="41">
        <f t="shared" si="55"/>
        <v>0.17123287671232876</v>
      </c>
      <c r="Y161" s="45">
        <v>22</v>
      </c>
      <c r="Z161" s="41">
        <f t="shared" si="56"/>
        <v>7.9136690647482008E-2</v>
      </c>
      <c r="AA161" s="45">
        <v>22</v>
      </c>
      <c r="AB161" s="41">
        <f t="shared" si="57"/>
        <v>0.15068493150684931</v>
      </c>
      <c r="AC161" s="45">
        <v>231</v>
      </c>
      <c r="AD161" s="41">
        <f t="shared" si="65"/>
        <v>0.8309352517985612</v>
      </c>
      <c r="AE161" s="45">
        <v>99</v>
      </c>
      <c r="AF161" s="41">
        <f t="shared" si="58"/>
        <v>0.67808219178082196</v>
      </c>
      <c r="AG161" s="45">
        <v>1</v>
      </c>
      <c r="AH161" s="41">
        <f t="shared" si="66"/>
        <v>3.5971223021582736E-3</v>
      </c>
      <c r="AI161" s="45">
        <v>1</v>
      </c>
      <c r="AJ161" s="41">
        <f t="shared" si="59"/>
        <v>6.8493150684931503E-3</v>
      </c>
      <c r="AK161" s="45">
        <v>3</v>
      </c>
      <c r="AL161" s="41">
        <f t="shared" si="67"/>
        <v>1.0791366906474821E-2</v>
      </c>
      <c r="AM161" s="45">
        <v>2</v>
      </c>
      <c r="AN161" s="41">
        <f t="shared" si="60"/>
        <v>1.3698630136986301E-2</v>
      </c>
      <c r="AO161" s="45">
        <v>159</v>
      </c>
      <c r="AP161" s="41">
        <f t="shared" si="68"/>
        <v>0.57194244604316546</v>
      </c>
      <c r="AQ161" s="45">
        <v>61</v>
      </c>
      <c r="AR161" s="41">
        <f t="shared" si="61"/>
        <v>0.4178082191780822</v>
      </c>
      <c r="AS161" s="45">
        <v>55</v>
      </c>
      <c r="AT161" s="41">
        <f t="shared" si="69"/>
        <v>0.19784172661870503</v>
      </c>
      <c r="AU161" s="45">
        <v>30</v>
      </c>
      <c r="AV161" s="41">
        <f t="shared" si="62"/>
        <v>0.20547945205479451</v>
      </c>
      <c r="AW161" s="45">
        <v>36</v>
      </c>
      <c r="AX161" s="41">
        <f t="shared" si="70"/>
        <v>0.12949640287769784</v>
      </c>
      <c r="AY161" s="45">
        <v>30</v>
      </c>
      <c r="AZ161" s="41">
        <f t="shared" si="63"/>
        <v>0.20547945205479451</v>
      </c>
      <c r="BA161" s="45">
        <v>24</v>
      </c>
      <c r="BB161" s="41">
        <f t="shared" si="71"/>
        <v>8.6330935251798566E-2</v>
      </c>
      <c r="BC161" s="45">
        <v>22</v>
      </c>
      <c r="BD161" s="41">
        <f t="shared" si="64"/>
        <v>0.15068493150684931</v>
      </c>
      <c r="BE161" s="45">
        <v>278</v>
      </c>
      <c r="BF161" s="45">
        <v>146</v>
      </c>
    </row>
    <row r="162" spans="1:58" ht="15.75" customHeight="1" x14ac:dyDescent="0.25">
      <c r="A162" s="44">
        <v>2023</v>
      </c>
      <c r="B162" s="39">
        <v>170307</v>
      </c>
      <c r="C162" s="37" t="str">
        <f>VLOOKUP(B162,procv!$A$2:$D$142,4,FALSE)</f>
        <v>Médio Norte Araguaia</v>
      </c>
      <c r="D162" s="37" t="s">
        <v>26</v>
      </c>
      <c r="E162" s="45">
        <v>7</v>
      </c>
      <c r="F162" s="42">
        <f t="shared" si="48"/>
        <v>1.66270783847981E-2</v>
      </c>
      <c r="G162" s="45">
        <v>5</v>
      </c>
      <c r="H162" s="42">
        <f t="shared" si="49"/>
        <v>1.9762845849802372E-2</v>
      </c>
      <c r="I162" s="45">
        <v>14</v>
      </c>
      <c r="J162" s="41">
        <f t="shared" si="50"/>
        <v>3.3254156769596199E-2</v>
      </c>
      <c r="K162" s="45">
        <v>10</v>
      </c>
      <c r="L162" s="41">
        <f t="shared" si="51"/>
        <v>3.9525691699604744E-2</v>
      </c>
      <c r="M162" s="45">
        <v>377</v>
      </c>
      <c r="N162" s="41">
        <f t="shared" si="72"/>
        <v>0.89548693586698336</v>
      </c>
      <c r="O162" s="45">
        <v>224</v>
      </c>
      <c r="P162" s="41">
        <f t="shared" si="52"/>
        <v>0.88537549407114624</v>
      </c>
      <c r="Q162" s="45">
        <v>23</v>
      </c>
      <c r="R162" s="41">
        <f t="shared" si="73"/>
        <v>5.4631828978622329E-2</v>
      </c>
      <c r="S162" s="45">
        <v>14</v>
      </c>
      <c r="T162" s="41">
        <f t="shared" si="53"/>
        <v>5.533596837944664E-2</v>
      </c>
      <c r="U162" s="45">
        <v>19</v>
      </c>
      <c r="V162" s="41">
        <f t="shared" si="54"/>
        <v>4.5130641330166268E-2</v>
      </c>
      <c r="W162" s="45">
        <v>11</v>
      </c>
      <c r="X162" s="41">
        <f t="shared" si="55"/>
        <v>4.3478260869565216E-2</v>
      </c>
      <c r="Y162" s="45">
        <v>28</v>
      </c>
      <c r="Z162" s="41">
        <f t="shared" si="56"/>
        <v>6.6508313539192399E-2</v>
      </c>
      <c r="AA162" s="45">
        <v>26</v>
      </c>
      <c r="AB162" s="41">
        <f t="shared" si="57"/>
        <v>0.10276679841897234</v>
      </c>
      <c r="AC162" s="45">
        <v>374</v>
      </c>
      <c r="AD162" s="41">
        <f t="shared" si="65"/>
        <v>0.88836104513064129</v>
      </c>
      <c r="AE162" s="45">
        <v>216</v>
      </c>
      <c r="AF162" s="41">
        <f t="shared" si="58"/>
        <v>0.85375494071146241</v>
      </c>
      <c r="AG162" s="45">
        <v>10</v>
      </c>
      <c r="AH162" s="41">
        <f t="shared" si="66"/>
        <v>2.3752969121140142E-2</v>
      </c>
      <c r="AI162" s="45">
        <v>8</v>
      </c>
      <c r="AJ162" s="41">
        <f t="shared" si="59"/>
        <v>3.1620553359683792E-2</v>
      </c>
      <c r="AK162" s="45">
        <v>19</v>
      </c>
      <c r="AL162" s="41">
        <f t="shared" si="67"/>
        <v>4.5130641330166268E-2</v>
      </c>
      <c r="AM162" s="45">
        <v>17</v>
      </c>
      <c r="AN162" s="41">
        <f t="shared" si="60"/>
        <v>6.7193675889328064E-2</v>
      </c>
      <c r="AO162" s="45">
        <v>283</v>
      </c>
      <c r="AP162" s="41">
        <f t="shared" si="68"/>
        <v>0.67220902612826605</v>
      </c>
      <c r="AQ162" s="45">
        <v>175</v>
      </c>
      <c r="AR162" s="41">
        <f t="shared" si="61"/>
        <v>0.69169960474308301</v>
      </c>
      <c r="AS162" s="45">
        <v>61</v>
      </c>
      <c r="AT162" s="41">
        <f t="shared" si="69"/>
        <v>0.14489311163895488</v>
      </c>
      <c r="AU162" s="45">
        <v>27</v>
      </c>
      <c r="AV162" s="41">
        <f t="shared" si="62"/>
        <v>0.1067193675889328</v>
      </c>
      <c r="AW162" s="45">
        <v>37</v>
      </c>
      <c r="AX162" s="41">
        <f t="shared" si="70"/>
        <v>8.7885985748218529E-2</v>
      </c>
      <c r="AY162" s="45">
        <v>15</v>
      </c>
      <c r="AZ162" s="41">
        <f t="shared" si="63"/>
        <v>5.9288537549407112E-2</v>
      </c>
      <c r="BA162" s="45">
        <v>11</v>
      </c>
      <c r="BB162" s="41">
        <f t="shared" si="71"/>
        <v>2.6128266033254157E-2</v>
      </c>
      <c r="BC162" s="45">
        <v>11</v>
      </c>
      <c r="BD162" s="41">
        <f t="shared" si="64"/>
        <v>4.3478260869565216E-2</v>
      </c>
      <c r="BE162" s="45">
        <v>421</v>
      </c>
      <c r="BF162" s="45">
        <v>253</v>
      </c>
    </row>
    <row r="163" spans="1:58" ht="15.75" customHeight="1" x14ac:dyDescent="0.25">
      <c r="A163" s="44">
        <v>2023</v>
      </c>
      <c r="B163" s="39">
        <v>170310</v>
      </c>
      <c r="C163" s="37" t="str">
        <f>VLOOKUP(B163,procv!$A$2:$D$142,4,FALSE)</f>
        <v>Cantão</v>
      </c>
      <c r="D163" s="37" t="s">
        <v>27</v>
      </c>
      <c r="E163" s="45">
        <v>2</v>
      </c>
      <c r="F163" s="42">
        <f t="shared" si="48"/>
        <v>7.4906367041198503E-3</v>
      </c>
      <c r="G163" s="45">
        <v>2</v>
      </c>
      <c r="H163" s="42">
        <f t="shared" si="49"/>
        <v>1.0101010101010102E-2</v>
      </c>
      <c r="I163" s="45">
        <v>15</v>
      </c>
      <c r="J163" s="41">
        <f t="shared" si="50"/>
        <v>5.6179775280898875E-2</v>
      </c>
      <c r="K163" s="45">
        <v>12</v>
      </c>
      <c r="L163" s="41">
        <f t="shared" si="51"/>
        <v>6.0606060606060608E-2</v>
      </c>
      <c r="M163" s="45">
        <v>231</v>
      </c>
      <c r="N163" s="41">
        <f t="shared" si="72"/>
        <v>0.8651685393258427</v>
      </c>
      <c r="O163" s="45">
        <v>169</v>
      </c>
      <c r="P163" s="41">
        <f t="shared" si="52"/>
        <v>0.85353535353535348</v>
      </c>
      <c r="Q163" s="45">
        <v>19</v>
      </c>
      <c r="R163" s="41">
        <f t="shared" si="73"/>
        <v>7.116104868913857E-2</v>
      </c>
      <c r="S163" s="45">
        <v>15</v>
      </c>
      <c r="T163" s="41">
        <f t="shared" si="53"/>
        <v>7.575757575757576E-2</v>
      </c>
      <c r="U163" s="45">
        <v>22</v>
      </c>
      <c r="V163" s="41">
        <f t="shared" si="54"/>
        <v>8.2397003745318345E-2</v>
      </c>
      <c r="W163" s="45">
        <v>19</v>
      </c>
      <c r="X163" s="41">
        <f t="shared" si="55"/>
        <v>9.5959595959595953E-2</v>
      </c>
      <c r="Y163" s="45">
        <v>23</v>
      </c>
      <c r="Z163" s="41">
        <f t="shared" si="56"/>
        <v>8.6142322097378279E-2</v>
      </c>
      <c r="AA163" s="45">
        <v>20</v>
      </c>
      <c r="AB163" s="41">
        <f t="shared" si="57"/>
        <v>0.10101010101010101</v>
      </c>
      <c r="AC163" s="45">
        <v>222</v>
      </c>
      <c r="AD163" s="41">
        <f t="shared" ref="AD163:AD191" si="74">IFERROR(AC163/$BE163,0)</f>
        <v>0.8314606741573034</v>
      </c>
      <c r="AE163" s="45">
        <v>159</v>
      </c>
      <c r="AF163" s="41">
        <f t="shared" si="58"/>
        <v>0.80303030303030298</v>
      </c>
      <c r="AG163" s="45">
        <v>19</v>
      </c>
      <c r="AH163" s="41">
        <f t="shared" ref="AH163:AH191" si="75">IFERROR(AG163/$BE163,0)</f>
        <v>7.116104868913857E-2</v>
      </c>
      <c r="AI163" s="45">
        <v>21</v>
      </c>
      <c r="AJ163" s="41">
        <f t="shared" si="59"/>
        <v>0.10606060606060606</v>
      </c>
      <c r="AK163" s="45">
        <v>15</v>
      </c>
      <c r="AL163" s="41">
        <f t="shared" ref="AL163:AL191" si="76">IFERROR(AK163/$BE163,0)</f>
        <v>5.6179775280898875E-2</v>
      </c>
      <c r="AM163" s="45">
        <v>10</v>
      </c>
      <c r="AN163" s="41">
        <f t="shared" si="60"/>
        <v>5.0505050505050504E-2</v>
      </c>
      <c r="AO163" s="45">
        <v>133</v>
      </c>
      <c r="AP163" s="41">
        <f t="shared" ref="AP163:AP191" si="77">IFERROR(AO163/$BE163,0)</f>
        <v>0.49812734082397003</v>
      </c>
      <c r="AQ163" s="45">
        <v>98</v>
      </c>
      <c r="AR163" s="41">
        <f t="shared" si="61"/>
        <v>0.49494949494949497</v>
      </c>
      <c r="AS163" s="45">
        <v>47</v>
      </c>
      <c r="AT163" s="41">
        <f t="shared" ref="AT163:AT191" si="78">IFERROR(AS163/$BE163,0)</f>
        <v>0.17602996254681649</v>
      </c>
      <c r="AU163" s="45">
        <v>32</v>
      </c>
      <c r="AV163" s="41">
        <f t="shared" si="62"/>
        <v>0.16161616161616163</v>
      </c>
      <c r="AW163" s="45">
        <v>29</v>
      </c>
      <c r="AX163" s="41">
        <f t="shared" ref="AX163:AX191" si="79">IFERROR(AW163/$BE163,0)</f>
        <v>0.10861423220973783</v>
      </c>
      <c r="AY163" s="45">
        <v>17</v>
      </c>
      <c r="AZ163" s="41">
        <f t="shared" si="63"/>
        <v>8.5858585858585856E-2</v>
      </c>
      <c r="BA163" s="45">
        <v>24</v>
      </c>
      <c r="BB163" s="41">
        <f t="shared" ref="BB163:BB191" si="80">IFERROR(BA163/$BE163,0)</f>
        <v>8.98876404494382E-2</v>
      </c>
      <c r="BC163" s="45">
        <v>20</v>
      </c>
      <c r="BD163" s="41">
        <f t="shared" si="64"/>
        <v>0.10101010101010101</v>
      </c>
      <c r="BE163" s="45">
        <v>267</v>
      </c>
      <c r="BF163" s="45">
        <v>198</v>
      </c>
    </row>
    <row r="164" spans="1:58" ht="15.75" customHeight="1" x14ac:dyDescent="0.25">
      <c r="A164" s="44">
        <v>2023</v>
      </c>
      <c r="B164" s="39">
        <v>170320</v>
      </c>
      <c r="C164" s="37" t="str">
        <f>VLOOKUP(B164,procv!$A$2:$D$142,4,FALSE)</f>
        <v>Cerrado Tocantins Araguaia</v>
      </c>
      <c r="D164" s="37" t="s">
        <v>28</v>
      </c>
      <c r="E164" s="45">
        <v>4</v>
      </c>
      <c r="F164" s="42">
        <f t="shared" si="48"/>
        <v>2.2988505747126436E-2</v>
      </c>
      <c r="G164" s="45">
        <v>2</v>
      </c>
      <c r="H164" s="42">
        <f t="shared" si="49"/>
        <v>1.6393442622950821E-2</v>
      </c>
      <c r="I164" s="45">
        <v>5</v>
      </c>
      <c r="J164" s="41">
        <f t="shared" si="50"/>
        <v>2.8735632183908046E-2</v>
      </c>
      <c r="K164" s="45">
        <v>4</v>
      </c>
      <c r="L164" s="41">
        <f t="shared" si="51"/>
        <v>3.2786885245901641E-2</v>
      </c>
      <c r="M164" s="45">
        <v>159</v>
      </c>
      <c r="N164" s="41">
        <f t="shared" si="72"/>
        <v>0.91379310344827591</v>
      </c>
      <c r="O164" s="45">
        <v>110</v>
      </c>
      <c r="P164" s="41">
        <f t="shared" si="52"/>
        <v>0.90163934426229508</v>
      </c>
      <c r="Q164" s="45">
        <v>6</v>
      </c>
      <c r="R164" s="41">
        <f t="shared" si="73"/>
        <v>3.4482758620689655E-2</v>
      </c>
      <c r="S164" s="45">
        <v>6</v>
      </c>
      <c r="T164" s="41">
        <f t="shared" si="53"/>
        <v>4.9180327868852458E-2</v>
      </c>
      <c r="U164" s="45">
        <v>9</v>
      </c>
      <c r="V164" s="41">
        <f t="shared" si="54"/>
        <v>5.1724137931034482E-2</v>
      </c>
      <c r="W164" s="45">
        <v>8</v>
      </c>
      <c r="X164" s="41">
        <f t="shared" si="55"/>
        <v>6.5573770491803282E-2</v>
      </c>
      <c r="Y164" s="45">
        <v>13</v>
      </c>
      <c r="Z164" s="41">
        <f t="shared" si="56"/>
        <v>7.4712643678160925E-2</v>
      </c>
      <c r="AA164" s="45">
        <v>16</v>
      </c>
      <c r="AB164" s="41">
        <f t="shared" si="57"/>
        <v>0.13114754098360656</v>
      </c>
      <c r="AC164" s="45">
        <v>152</v>
      </c>
      <c r="AD164" s="41">
        <f t="shared" si="74"/>
        <v>0.87356321839080464</v>
      </c>
      <c r="AE164" s="45">
        <v>98</v>
      </c>
      <c r="AF164" s="41">
        <f t="shared" si="58"/>
        <v>0.80327868852459017</v>
      </c>
      <c r="AG164" s="45">
        <v>10</v>
      </c>
      <c r="AH164" s="41">
        <f t="shared" si="75"/>
        <v>5.7471264367816091E-2</v>
      </c>
      <c r="AI164" s="45">
        <v>7</v>
      </c>
      <c r="AJ164" s="41">
        <f t="shared" si="59"/>
        <v>5.737704918032787E-2</v>
      </c>
      <c r="AK164" s="45">
        <v>9</v>
      </c>
      <c r="AL164" s="41">
        <f t="shared" si="76"/>
        <v>5.1724137931034482E-2</v>
      </c>
      <c r="AM164" s="45">
        <v>7</v>
      </c>
      <c r="AN164" s="41">
        <f t="shared" si="60"/>
        <v>5.737704918032787E-2</v>
      </c>
      <c r="AO164" s="45">
        <v>119</v>
      </c>
      <c r="AP164" s="41">
        <f t="shared" si="77"/>
        <v>0.68390804597701149</v>
      </c>
      <c r="AQ164" s="45">
        <v>79</v>
      </c>
      <c r="AR164" s="41">
        <f t="shared" si="61"/>
        <v>0.64754098360655743</v>
      </c>
      <c r="AS164" s="45">
        <v>20</v>
      </c>
      <c r="AT164" s="41">
        <f t="shared" si="78"/>
        <v>0.11494252873563218</v>
      </c>
      <c r="AU164" s="45">
        <v>13</v>
      </c>
      <c r="AV164" s="41">
        <f t="shared" si="62"/>
        <v>0.10655737704918032</v>
      </c>
      <c r="AW164" s="45">
        <v>8</v>
      </c>
      <c r="AX164" s="41">
        <f t="shared" si="79"/>
        <v>4.5977011494252873E-2</v>
      </c>
      <c r="AY164" s="45">
        <v>8</v>
      </c>
      <c r="AZ164" s="41">
        <f t="shared" si="63"/>
        <v>6.5573770491803282E-2</v>
      </c>
      <c r="BA164" s="45">
        <v>8</v>
      </c>
      <c r="BB164" s="41">
        <f t="shared" si="80"/>
        <v>4.5977011494252873E-2</v>
      </c>
      <c r="BC164" s="45">
        <v>8</v>
      </c>
      <c r="BD164" s="41">
        <f t="shared" si="64"/>
        <v>6.5573770491803282E-2</v>
      </c>
      <c r="BE164" s="45">
        <v>174</v>
      </c>
      <c r="BF164" s="45">
        <v>122</v>
      </c>
    </row>
    <row r="165" spans="1:58" ht="15.75" customHeight="1" x14ac:dyDescent="0.25">
      <c r="A165" s="44">
        <v>2023</v>
      </c>
      <c r="B165" s="39">
        <v>170330</v>
      </c>
      <c r="C165" s="37" t="str">
        <f>VLOOKUP(B165,procv!$A$2:$D$142,4,FALSE)</f>
        <v>Cerrado Tocantins Araguaia</v>
      </c>
      <c r="D165" s="37" t="s">
        <v>29</v>
      </c>
      <c r="E165" s="45">
        <v>1</v>
      </c>
      <c r="F165" s="42">
        <f t="shared" si="48"/>
        <v>4.7169811320754715E-3</v>
      </c>
      <c r="G165" s="45">
        <v>1</v>
      </c>
      <c r="H165" s="42">
        <f t="shared" si="49"/>
        <v>1.098901098901099E-2</v>
      </c>
      <c r="I165" s="45">
        <v>8</v>
      </c>
      <c r="J165" s="41">
        <f t="shared" si="50"/>
        <v>3.7735849056603772E-2</v>
      </c>
      <c r="K165" s="45">
        <v>3</v>
      </c>
      <c r="L165" s="41">
        <f t="shared" si="51"/>
        <v>3.2967032967032968E-2</v>
      </c>
      <c r="M165" s="45">
        <v>195</v>
      </c>
      <c r="N165" s="41">
        <f t="shared" si="72"/>
        <v>0.91981132075471694</v>
      </c>
      <c r="O165" s="45">
        <v>85</v>
      </c>
      <c r="P165" s="41">
        <f t="shared" si="52"/>
        <v>0.93406593406593408</v>
      </c>
      <c r="Q165" s="45">
        <v>8</v>
      </c>
      <c r="R165" s="41">
        <f t="shared" si="73"/>
        <v>3.7735849056603772E-2</v>
      </c>
      <c r="S165" s="45">
        <v>2</v>
      </c>
      <c r="T165" s="41">
        <f t="shared" si="53"/>
        <v>2.197802197802198E-2</v>
      </c>
      <c r="U165" s="45">
        <v>20</v>
      </c>
      <c r="V165" s="41">
        <f t="shared" si="54"/>
        <v>9.4339622641509441E-2</v>
      </c>
      <c r="W165" s="45">
        <v>4</v>
      </c>
      <c r="X165" s="41">
        <f t="shared" si="55"/>
        <v>4.3956043956043959E-2</v>
      </c>
      <c r="Y165" s="45">
        <v>14</v>
      </c>
      <c r="Z165" s="41">
        <f t="shared" si="56"/>
        <v>6.6037735849056603E-2</v>
      </c>
      <c r="AA165" s="45">
        <v>6</v>
      </c>
      <c r="AB165" s="41">
        <f t="shared" si="57"/>
        <v>6.5934065934065936E-2</v>
      </c>
      <c r="AC165" s="45">
        <v>178</v>
      </c>
      <c r="AD165" s="41">
        <f t="shared" si="74"/>
        <v>0.839622641509434</v>
      </c>
      <c r="AE165" s="45">
        <v>81</v>
      </c>
      <c r="AF165" s="41">
        <f t="shared" si="58"/>
        <v>0.89010989010989006</v>
      </c>
      <c r="AG165" s="45">
        <v>7</v>
      </c>
      <c r="AH165" s="41">
        <f t="shared" si="75"/>
        <v>3.3018867924528301E-2</v>
      </c>
      <c r="AI165" s="45">
        <v>5</v>
      </c>
      <c r="AJ165" s="41">
        <f t="shared" si="59"/>
        <v>5.4945054945054944E-2</v>
      </c>
      <c r="AK165" s="45">
        <v>7</v>
      </c>
      <c r="AL165" s="41">
        <f t="shared" si="76"/>
        <v>3.3018867924528301E-2</v>
      </c>
      <c r="AM165" s="45">
        <v>3</v>
      </c>
      <c r="AN165" s="41">
        <f t="shared" si="60"/>
        <v>3.2967032967032968E-2</v>
      </c>
      <c r="AO165" s="45">
        <v>134</v>
      </c>
      <c r="AP165" s="41">
        <f t="shared" si="77"/>
        <v>0.63207547169811318</v>
      </c>
      <c r="AQ165" s="45">
        <v>66</v>
      </c>
      <c r="AR165" s="41">
        <f t="shared" si="61"/>
        <v>0.72527472527472525</v>
      </c>
      <c r="AS165" s="45">
        <v>34</v>
      </c>
      <c r="AT165" s="41">
        <f t="shared" si="78"/>
        <v>0.16037735849056603</v>
      </c>
      <c r="AU165" s="45">
        <v>10</v>
      </c>
      <c r="AV165" s="41">
        <f t="shared" si="62"/>
        <v>0.10989010989010989</v>
      </c>
      <c r="AW165" s="45">
        <v>9</v>
      </c>
      <c r="AX165" s="41">
        <f t="shared" si="79"/>
        <v>4.2452830188679243E-2</v>
      </c>
      <c r="AY165" s="45">
        <v>3</v>
      </c>
      <c r="AZ165" s="41">
        <f t="shared" si="63"/>
        <v>3.2967032967032968E-2</v>
      </c>
      <c r="BA165" s="45">
        <v>21</v>
      </c>
      <c r="BB165" s="41">
        <f t="shared" si="80"/>
        <v>9.9056603773584911E-2</v>
      </c>
      <c r="BC165" s="45">
        <v>4</v>
      </c>
      <c r="BD165" s="41">
        <f t="shared" si="64"/>
        <v>4.3956043956043959E-2</v>
      </c>
      <c r="BE165" s="45">
        <v>212</v>
      </c>
      <c r="BF165" s="45">
        <v>91</v>
      </c>
    </row>
    <row r="166" spans="1:58" ht="15.75" customHeight="1" x14ac:dyDescent="0.25">
      <c r="A166" s="44">
        <v>2023</v>
      </c>
      <c r="B166" s="39">
        <v>170360</v>
      </c>
      <c r="C166" s="37" t="str">
        <f>VLOOKUP(B166,procv!$A$2:$D$142,4,FALSE)</f>
        <v>Cerrado Tocantins Araguaia</v>
      </c>
      <c r="D166" s="37" t="s">
        <v>30</v>
      </c>
      <c r="E166" s="45">
        <v>0</v>
      </c>
      <c r="F166" s="42">
        <f t="shared" si="48"/>
        <v>0</v>
      </c>
      <c r="G166" s="45">
        <v>0</v>
      </c>
      <c r="H166" s="42">
        <f t="shared" si="49"/>
        <v>0</v>
      </c>
      <c r="I166" s="45">
        <v>3</v>
      </c>
      <c r="J166" s="41">
        <f t="shared" si="50"/>
        <v>1.9607843137254902E-2</v>
      </c>
      <c r="K166" s="45">
        <v>2</v>
      </c>
      <c r="L166" s="41">
        <f t="shared" si="51"/>
        <v>2.3809523809523808E-2</v>
      </c>
      <c r="M166" s="45">
        <v>145</v>
      </c>
      <c r="N166" s="41">
        <f t="shared" si="72"/>
        <v>0.94771241830065356</v>
      </c>
      <c r="O166" s="45">
        <v>78</v>
      </c>
      <c r="P166" s="41">
        <f t="shared" si="52"/>
        <v>0.9285714285714286</v>
      </c>
      <c r="Q166" s="45">
        <v>5</v>
      </c>
      <c r="R166" s="41">
        <f t="shared" si="73"/>
        <v>3.2679738562091505E-2</v>
      </c>
      <c r="S166" s="45">
        <v>4</v>
      </c>
      <c r="T166" s="41">
        <f t="shared" si="53"/>
        <v>4.7619047619047616E-2</v>
      </c>
      <c r="U166" s="45">
        <v>13</v>
      </c>
      <c r="V166" s="41">
        <f t="shared" si="54"/>
        <v>8.4967320261437912E-2</v>
      </c>
      <c r="W166" s="45">
        <v>7</v>
      </c>
      <c r="X166" s="41">
        <f t="shared" si="55"/>
        <v>8.3333333333333329E-2</v>
      </c>
      <c r="Y166" s="45">
        <v>11</v>
      </c>
      <c r="Z166" s="41">
        <f t="shared" si="56"/>
        <v>7.1895424836601302E-2</v>
      </c>
      <c r="AA166" s="45">
        <v>8</v>
      </c>
      <c r="AB166" s="41">
        <f t="shared" si="57"/>
        <v>9.5238095238095233E-2</v>
      </c>
      <c r="AC166" s="45">
        <v>129</v>
      </c>
      <c r="AD166" s="41">
        <f t="shared" si="74"/>
        <v>0.84313725490196079</v>
      </c>
      <c r="AE166" s="45">
        <v>69</v>
      </c>
      <c r="AF166" s="41">
        <f t="shared" si="58"/>
        <v>0.8214285714285714</v>
      </c>
      <c r="AG166" s="45">
        <v>4</v>
      </c>
      <c r="AH166" s="41">
        <f t="shared" si="75"/>
        <v>2.6143790849673203E-2</v>
      </c>
      <c r="AI166" s="45">
        <v>2</v>
      </c>
      <c r="AJ166" s="41">
        <f t="shared" si="59"/>
        <v>2.3809523809523808E-2</v>
      </c>
      <c r="AK166" s="45">
        <v>6</v>
      </c>
      <c r="AL166" s="41">
        <f t="shared" si="76"/>
        <v>3.9215686274509803E-2</v>
      </c>
      <c r="AM166" s="45">
        <v>5</v>
      </c>
      <c r="AN166" s="41">
        <f t="shared" si="60"/>
        <v>5.9523809523809521E-2</v>
      </c>
      <c r="AO166" s="45">
        <v>94</v>
      </c>
      <c r="AP166" s="41">
        <f t="shared" si="77"/>
        <v>0.6143790849673203</v>
      </c>
      <c r="AQ166" s="45">
        <v>47</v>
      </c>
      <c r="AR166" s="41">
        <f t="shared" si="61"/>
        <v>0.55952380952380953</v>
      </c>
      <c r="AS166" s="45">
        <v>25</v>
      </c>
      <c r="AT166" s="41">
        <f t="shared" si="78"/>
        <v>0.16339869281045752</v>
      </c>
      <c r="AU166" s="45">
        <v>20</v>
      </c>
      <c r="AV166" s="41">
        <f t="shared" si="62"/>
        <v>0.23809523809523808</v>
      </c>
      <c r="AW166" s="45">
        <v>14</v>
      </c>
      <c r="AX166" s="41">
        <f t="shared" si="79"/>
        <v>9.1503267973856203E-2</v>
      </c>
      <c r="AY166" s="45">
        <v>6</v>
      </c>
      <c r="AZ166" s="41">
        <f t="shared" si="63"/>
        <v>7.1428571428571425E-2</v>
      </c>
      <c r="BA166" s="45">
        <v>10</v>
      </c>
      <c r="BB166" s="41">
        <f t="shared" si="80"/>
        <v>6.535947712418301E-2</v>
      </c>
      <c r="BC166" s="45">
        <v>4</v>
      </c>
      <c r="BD166" s="41">
        <f t="shared" si="64"/>
        <v>4.7619047619047616E-2</v>
      </c>
      <c r="BE166" s="45">
        <v>153</v>
      </c>
      <c r="BF166" s="45">
        <v>84</v>
      </c>
    </row>
    <row r="167" spans="1:58" ht="15.75" customHeight="1" x14ac:dyDescent="0.25">
      <c r="A167" s="44">
        <v>2023</v>
      </c>
      <c r="B167" s="39">
        <v>170370</v>
      </c>
      <c r="C167" s="37" t="str">
        <f>VLOOKUP(B167,procv!$A$2:$D$142,4,FALSE)</f>
        <v>Amor Perfeito</v>
      </c>
      <c r="D167" s="37" t="s">
        <v>31</v>
      </c>
      <c r="E167" s="45">
        <v>3</v>
      </c>
      <c r="F167" s="42">
        <f t="shared" si="48"/>
        <v>9.9009900990099011E-3</v>
      </c>
      <c r="G167" s="45">
        <v>2</v>
      </c>
      <c r="H167" s="42">
        <f t="shared" si="49"/>
        <v>1.2422360248447204E-2</v>
      </c>
      <c r="I167" s="45">
        <v>5</v>
      </c>
      <c r="J167" s="41">
        <f t="shared" si="50"/>
        <v>1.65016501650165E-2</v>
      </c>
      <c r="K167" s="45">
        <v>3</v>
      </c>
      <c r="L167" s="41">
        <f t="shared" si="51"/>
        <v>1.8633540372670808E-2</v>
      </c>
      <c r="M167" s="45">
        <v>273</v>
      </c>
      <c r="N167" s="41">
        <f t="shared" si="72"/>
        <v>0.90099009900990101</v>
      </c>
      <c r="O167" s="45">
        <v>144</v>
      </c>
      <c r="P167" s="41">
        <f t="shared" si="52"/>
        <v>0.89440993788819878</v>
      </c>
      <c r="Q167" s="45">
        <v>22</v>
      </c>
      <c r="R167" s="41">
        <f t="shared" si="73"/>
        <v>7.2607260726072612E-2</v>
      </c>
      <c r="S167" s="45">
        <v>12</v>
      </c>
      <c r="T167" s="41">
        <f t="shared" si="53"/>
        <v>7.4534161490683232E-2</v>
      </c>
      <c r="U167" s="45">
        <v>18</v>
      </c>
      <c r="V167" s="41">
        <f t="shared" si="54"/>
        <v>5.9405940594059403E-2</v>
      </c>
      <c r="W167" s="45">
        <v>8</v>
      </c>
      <c r="X167" s="41">
        <f t="shared" si="55"/>
        <v>4.9689440993788817E-2</v>
      </c>
      <c r="Y167" s="45">
        <v>37</v>
      </c>
      <c r="Z167" s="41">
        <f t="shared" si="56"/>
        <v>0.12211221122112212</v>
      </c>
      <c r="AA167" s="45">
        <v>13</v>
      </c>
      <c r="AB167" s="41">
        <f t="shared" si="57"/>
        <v>8.0745341614906832E-2</v>
      </c>
      <c r="AC167" s="45">
        <v>248</v>
      </c>
      <c r="AD167" s="41">
        <f t="shared" si="74"/>
        <v>0.81848184818481851</v>
      </c>
      <c r="AE167" s="45">
        <v>140</v>
      </c>
      <c r="AF167" s="41">
        <f t="shared" si="58"/>
        <v>0.86956521739130432</v>
      </c>
      <c r="AG167" s="45">
        <v>6</v>
      </c>
      <c r="AH167" s="41">
        <f t="shared" si="75"/>
        <v>1.9801980198019802E-2</v>
      </c>
      <c r="AI167" s="45">
        <v>5</v>
      </c>
      <c r="AJ167" s="41">
        <f t="shared" si="59"/>
        <v>3.1055900621118012E-2</v>
      </c>
      <c r="AK167" s="45">
        <v>17</v>
      </c>
      <c r="AL167" s="41">
        <f t="shared" si="76"/>
        <v>5.6105610561056105E-2</v>
      </c>
      <c r="AM167" s="45">
        <v>16</v>
      </c>
      <c r="AN167" s="41">
        <f t="shared" si="60"/>
        <v>9.9378881987577633E-2</v>
      </c>
      <c r="AO167" s="45">
        <v>177</v>
      </c>
      <c r="AP167" s="41">
        <f t="shared" si="77"/>
        <v>0.58415841584158412</v>
      </c>
      <c r="AQ167" s="45">
        <v>111</v>
      </c>
      <c r="AR167" s="41">
        <f t="shared" si="61"/>
        <v>0.68944099378881984</v>
      </c>
      <c r="AS167" s="45">
        <v>47</v>
      </c>
      <c r="AT167" s="41">
        <f t="shared" si="78"/>
        <v>0.15511551155115511</v>
      </c>
      <c r="AU167" s="45">
        <v>9</v>
      </c>
      <c r="AV167" s="41">
        <f t="shared" si="62"/>
        <v>5.5900621118012424E-2</v>
      </c>
      <c r="AW167" s="45">
        <v>31</v>
      </c>
      <c r="AX167" s="41">
        <f t="shared" si="79"/>
        <v>0.10231023102310231</v>
      </c>
      <c r="AY167" s="45">
        <v>7</v>
      </c>
      <c r="AZ167" s="41">
        <f t="shared" si="63"/>
        <v>4.3478260869565216E-2</v>
      </c>
      <c r="BA167" s="45">
        <v>25</v>
      </c>
      <c r="BB167" s="41">
        <f t="shared" si="80"/>
        <v>8.2508250825082508E-2</v>
      </c>
      <c r="BC167" s="45">
        <v>13</v>
      </c>
      <c r="BD167" s="41">
        <f t="shared" si="64"/>
        <v>8.0745341614906832E-2</v>
      </c>
      <c r="BE167" s="45">
        <v>303</v>
      </c>
      <c r="BF167" s="45">
        <v>161</v>
      </c>
    </row>
    <row r="168" spans="1:58" ht="15.75" customHeight="1" x14ac:dyDescent="0.25">
      <c r="A168" s="44">
        <v>2023</v>
      </c>
      <c r="B168" s="39">
        <v>170380</v>
      </c>
      <c r="C168" s="37" t="str">
        <f>VLOOKUP(B168,procv!$A$2:$D$142,4,FALSE)</f>
        <v>Bico do Papagaio</v>
      </c>
      <c r="D168" s="37" t="s">
        <v>32</v>
      </c>
      <c r="E168" s="45">
        <v>7</v>
      </c>
      <c r="F168" s="42">
        <f t="shared" si="48"/>
        <v>1.020408163265306E-2</v>
      </c>
      <c r="G168" s="45">
        <v>5</v>
      </c>
      <c r="H168" s="42">
        <f t="shared" si="49"/>
        <v>1.4245014245014245E-2</v>
      </c>
      <c r="I168" s="45">
        <v>19</v>
      </c>
      <c r="J168" s="41">
        <f t="shared" si="50"/>
        <v>2.7696793002915453E-2</v>
      </c>
      <c r="K168" s="45">
        <v>10</v>
      </c>
      <c r="L168" s="41">
        <f t="shared" si="51"/>
        <v>2.8490028490028491E-2</v>
      </c>
      <c r="M168" s="45">
        <v>618</v>
      </c>
      <c r="N168" s="41">
        <f t="shared" si="72"/>
        <v>0.9008746355685131</v>
      </c>
      <c r="O168" s="45">
        <v>325</v>
      </c>
      <c r="P168" s="41">
        <f t="shared" si="52"/>
        <v>0.92592592592592593</v>
      </c>
      <c r="Q168" s="45">
        <v>42</v>
      </c>
      <c r="R168" s="41">
        <f t="shared" si="73"/>
        <v>6.1224489795918366E-2</v>
      </c>
      <c r="S168" s="45">
        <v>11</v>
      </c>
      <c r="T168" s="41">
        <f t="shared" si="53"/>
        <v>3.1339031339031341E-2</v>
      </c>
      <c r="U168" s="45">
        <v>35</v>
      </c>
      <c r="V168" s="41">
        <f t="shared" si="54"/>
        <v>5.1020408163265307E-2</v>
      </c>
      <c r="W168" s="45">
        <v>26</v>
      </c>
      <c r="X168" s="41">
        <f t="shared" si="55"/>
        <v>7.407407407407407E-2</v>
      </c>
      <c r="Y168" s="45">
        <v>74</v>
      </c>
      <c r="Z168" s="41">
        <f t="shared" si="56"/>
        <v>0.10787172011661808</v>
      </c>
      <c r="AA168" s="45">
        <v>33</v>
      </c>
      <c r="AB168" s="41">
        <f t="shared" si="57"/>
        <v>9.4017094017094016E-2</v>
      </c>
      <c r="AC168" s="45">
        <v>577</v>
      </c>
      <c r="AD168" s="41">
        <f t="shared" si="74"/>
        <v>0.84110787172011658</v>
      </c>
      <c r="AE168" s="45">
        <v>292</v>
      </c>
      <c r="AF168" s="41">
        <f t="shared" si="58"/>
        <v>0.83190883190883191</v>
      </c>
      <c r="AG168" s="45">
        <v>12</v>
      </c>
      <c r="AH168" s="41">
        <f t="shared" si="75"/>
        <v>1.7492711370262391E-2</v>
      </c>
      <c r="AI168" s="45">
        <v>13</v>
      </c>
      <c r="AJ168" s="41">
        <f t="shared" si="59"/>
        <v>3.7037037037037035E-2</v>
      </c>
      <c r="AK168" s="45">
        <v>16</v>
      </c>
      <c r="AL168" s="41">
        <f t="shared" si="76"/>
        <v>2.3323615160349854E-2</v>
      </c>
      <c r="AM168" s="45">
        <v>16</v>
      </c>
      <c r="AN168" s="41">
        <f t="shared" si="60"/>
        <v>4.5584045584045586E-2</v>
      </c>
      <c r="AO168" s="45">
        <v>423</v>
      </c>
      <c r="AP168" s="41">
        <f t="shared" si="77"/>
        <v>0.61661807580174932</v>
      </c>
      <c r="AQ168" s="45">
        <v>231</v>
      </c>
      <c r="AR168" s="41">
        <f t="shared" si="61"/>
        <v>0.65811965811965811</v>
      </c>
      <c r="AS168" s="45">
        <v>142</v>
      </c>
      <c r="AT168" s="41">
        <f t="shared" si="78"/>
        <v>0.20699708454810495</v>
      </c>
      <c r="AU168" s="45">
        <v>52</v>
      </c>
      <c r="AV168" s="41">
        <f t="shared" si="62"/>
        <v>0.14814814814814814</v>
      </c>
      <c r="AW168" s="45">
        <v>55</v>
      </c>
      <c r="AX168" s="41">
        <f t="shared" si="79"/>
        <v>8.0174927113702624E-2</v>
      </c>
      <c r="AY168" s="45">
        <v>18</v>
      </c>
      <c r="AZ168" s="41">
        <f t="shared" si="63"/>
        <v>5.128205128205128E-2</v>
      </c>
      <c r="BA168" s="45">
        <v>38</v>
      </c>
      <c r="BB168" s="41">
        <f t="shared" si="80"/>
        <v>5.5393586005830907E-2</v>
      </c>
      <c r="BC168" s="45">
        <v>21</v>
      </c>
      <c r="BD168" s="41">
        <f t="shared" si="64"/>
        <v>5.9829059829059832E-2</v>
      </c>
      <c r="BE168" s="45">
        <v>686</v>
      </c>
      <c r="BF168" s="45">
        <v>351</v>
      </c>
    </row>
    <row r="169" spans="1:58" ht="15.75" customHeight="1" x14ac:dyDescent="0.25">
      <c r="A169" s="44">
        <v>2023</v>
      </c>
      <c r="B169" s="39">
        <v>170382</v>
      </c>
      <c r="C169" s="37" t="str">
        <f>VLOOKUP(B169,procv!$A$2:$D$142,4,FALSE)</f>
        <v>Bico do Papagaio</v>
      </c>
      <c r="D169" s="37" t="s">
        <v>33</v>
      </c>
      <c r="E169" s="45">
        <v>1</v>
      </c>
      <c r="F169" s="42">
        <f t="shared" si="48"/>
        <v>6.8027210884353739E-3</v>
      </c>
      <c r="G169" s="45">
        <v>1</v>
      </c>
      <c r="H169" s="42">
        <f t="shared" si="49"/>
        <v>1.020408163265306E-2</v>
      </c>
      <c r="I169" s="45">
        <v>3</v>
      </c>
      <c r="J169" s="41">
        <f t="shared" si="50"/>
        <v>2.0408163265306121E-2</v>
      </c>
      <c r="K169" s="45">
        <v>0</v>
      </c>
      <c r="L169" s="41">
        <f t="shared" si="51"/>
        <v>0</v>
      </c>
      <c r="M169" s="45">
        <v>137</v>
      </c>
      <c r="N169" s="41">
        <f t="shared" si="72"/>
        <v>0.93197278911564629</v>
      </c>
      <c r="O169" s="45">
        <v>93</v>
      </c>
      <c r="P169" s="41">
        <f t="shared" si="52"/>
        <v>0.94897959183673475</v>
      </c>
      <c r="Q169" s="45">
        <v>6</v>
      </c>
      <c r="R169" s="41">
        <f t="shared" si="73"/>
        <v>4.0816326530612242E-2</v>
      </c>
      <c r="S169" s="45">
        <v>4</v>
      </c>
      <c r="T169" s="41">
        <f t="shared" si="53"/>
        <v>4.0816326530612242E-2</v>
      </c>
      <c r="U169" s="45">
        <v>6</v>
      </c>
      <c r="V169" s="41">
        <f t="shared" si="54"/>
        <v>4.0816326530612242E-2</v>
      </c>
      <c r="W169" s="45">
        <v>5</v>
      </c>
      <c r="X169" s="41">
        <f t="shared" si="55"/>
        <v>5.1020408163265307E-2</v>
      </c>
      <c r="Y169" s="45">
        <v>19</v>
      </c>
      <c r="Z169" s="41">
        <f t="shared" si="56"/>
        <v>0.12925170068027211</v>
      </c>
      <c r="AA169" s="45">
        <v>17</v>
      </c>
      <c r="AB169" s="41">
        <f t="shared" si="57"/>
        <v>0.17346938775510204</v>
      </c>
      <c r="AC169" s="45">
        <v>122</v>
      </c>
      <c r="AD169" s="41">
        <f t="shared" si="74"/>
        <v>0.82993197278911568</v>
      </c>
      <c r="AE169" s="45">
        <v>76</v>
      </c>
      <c r="AF169" s="41">
        <f t="shared" si="58"/>
        <v>0.77551020408163263</v>
      </c>
      <c r="AG169" s="45">
        <v>2</v>
      </c>
      <c r="AH169" s="41">
        <f t="shared" si="75"/>
        <v>1.3605442176870748E-2</v>
      </c>
      <c r="AI169" s="45">
        <v>3</v>
      </c>
      <c r="AJ169" s="41">
        <f t="shared" si="59"/>
        <v>3.0612244897959183E-2</v>
      </c>
      <c r="AK169" s="45">
        <v>0</v>
      </c>
      <c r="AL169" s="41">
        <f t="shared" si="76"/>
        <v>0</v>
      </c>
      <c r="AM169" s="45">
        <v>0</v>
      </c>
      <c r="AN169" s="41">
        <f t="shared" si="60"/>
        <v>0</v>
      </c>
      <c r="AO169" s="45">
        <v>99</v>
      </c>
      <c r="AP169" s="41">
        <f t="shared" si="77"/>
        <v>0.67346938775510201</v>
      </c>
      <c r="AQ169" s="45">
        <v>59</v>
      </c>
      <c r="AR169" s="41">
        <f t="shared" si="61"/>
        <v>0.60204081632653061</v>
      </c>
      <c r="AS169" s="45">
        <v>36</v>
      </c>
      <c r="AT169" s="41">
        <f t="shared" si="78"/>
        <v>0.24489795918367346</v>
      </c>
      <c r="AU169" s="45">
        <v>27</v>
      </c>
      <c r="AV169" s="41">
        <f t="shared" si="62"/>
        <v>0.27551020408163263</v>
      </c>
      <c r="AW169" s="45">
        <v>7</v>
      </c>
      <c r="AX169" s="41">
        <f t="shared" si="79"/>
        <v>4.7619047619047616E-2</v>
      </c>
      <c r="AY169" s="45">
        <v>5</v>
      </c>
      <c r="AZ169" s="41">
        <f t="shared" si="63"/>
        <v>5.1020408163265307E-2</v>
      </c>
      <c r="BA169" s="45">
        <v>3</v>
      </c>
      <c r="BB169" s="41">
        <f t="shared" si="80"/>
        <v>2.0408163265306121E-2</v>
      </c>
      <c r="BC169" s="45">
        <v>4</v>
      </c>
      <c r="BD169" s="41">
        <f t="shared" si="64"/>
        <v>4.0816326530612242E-2</v>
      </c>
      <c r="BE169" s="45">
        <v>147</v>
      </c>
      <c r="BF169" s="45">
        <v>98</v>
      </c>
    </row>
    <row r="170" spans="1:58" ht="15.75" customHeight="1" x14ac:dyDescent="0.25">
      <c r="A170" s="44">
        <v>2023</v>
      </c>
      <c r="B170" s="39">
        <v>170384</v>
      </c>
      <c r="C170" s="37" t="str">
        <f>VLOOKUP(B170,procv!$A$2:$D$142,4,FALSE)</f>
        <v>Médio Norte Araguaia</v>
      </c>
      <c r="D170" s="37" t="s">
        <v>34</v>
      </c>
      <c r="E170" s="45">
        <v>3</v>
      </c>
      <c r="F170" s="42">
        <f t="shared" si="48"/>
        <v>3.8910505836575876E-3</v>
      </c>
      <c r="G170" s="45">
        <v>1</v>
      </c>
      <c r="H170" s="42">
        <f t="shared" si="49"/>
        <v>2.5773195876288659E-3</v>
      </c>
      <c r="I170" s="45">
        <v>29</v>
      </c>
      <c r="J170" s="41">
        <f t="shared" si="50"/>
        <v>3.7613488975356678E-2</v>
      </c>
      <c r="K170" s="45">
        <v>21</v>
      </c>
      <c r="L170" s="41">
        <f t="shared" si="51"/>
        <v>5.4123711340206188E-2</v>
      </c>
      <c r="M170" s="45">
        <v>715</v>
      </c>
      <c r="N170" s="41">
        <f t="shared" si="72"/>
        <v>0.92736705577172507</v>
      </c>
      <c r="O170" s="45">
        <v>353</v>
      </c>
      <c r="P170" s="41">
        <f t="shared" si="52"/>
        <v>0.90979381443298968</v>
      </c>
      <c r="Q170" s="45">
        <v>24</v>
      </c>
      <c r="R170" s="41">
        <f t="shared" si="73"/>
        <v>3.1128404669260701E-2</v>
      </c>
      <c r="S170" s="45">
        <v>13</v>
      </c>
      <c r="T170" s="41">
        <f t="shared" si="53"/>
        <v>3.3505154639175257E-2</v>
      </c>
      <c r="U170" s="45">
        <v>21</v>
      </c>
      <c r="V170" s="41">
        <f t="shared" si="54"/>
        <v>2.7237354085603113E-2</v>
      </c>
      <c r="W170" s="45">
        <v>16</v>
      </c>
      <c r="X170" s="41">
        <f t="shared" si="55"/>
        <v>4.1237113402061855E-2</v>
      </c>
      <c r="Y170" s="45">
        <v>52</v>
      </c>
      <c r="Z170" s="41">
        <f t="shared" si="56"/>
        <v>6.744487678339818E-2</v>
      </c>
      <c r="AA170" s="45">
        <v>34</v>
      </c>
      <c r="AB170" s="41">
        <f t="shared" si="57"/>
        <v>8.7628865979381437E-2</v>
      </c>
      <c r="AC170" s="45">
        <v>698</v>
      </c>
      <c r="AD170" s="41">
        <f t="shared" si="74"/>
        <v>0.90531776913099871</v>
      </c>
      <c r="AE170" s="45">
        <v>338</v>
      </c>
      <c r="AF170" s="41">
        <f t="shared" si="58"/>
        <v>0.87113402061855671</v>
      </c>
      <c r="AG170" s="45">
        <v>2</v>
      </c>
      <c r="AH170" s="41">
        <f t="shared" si="75"/>
        <v>2.5940337224383916E-3</v>
      </c>
      <c r="AI170" s="45">
        <v>1</v>
      </c>
      <c r="AJ170" s="41">
        <f t="shared" si="59"/>
        <v>2.5773195876288659E-3</v>
      </c>
      <c r="AK170" s="45">
        <v>13</v>
      </c>
      <c r="AL170" s="41">
        <f t="shared" si="76"/>
        <v>1.6861219195849545E-2</v>
      </c>
      <c r="AM170" s="45">
        <v>10</v>
      </c>
      <c r="AN170" s="41">
        <f t="shared" si="60"/>
        <v>2.5773195876288658E-2</v>
      </c>
      <c r="AO170" s="45">
        <v>595</v>
      </c>
      <c r="AP170" s="41">
        <f t="shared" si="77"/>
        <v>0.77172503242542156</v>
      </c>
      <c r="AQ170" s="45">
        <v>293</v>
      </c>
      <c r="AR170" s="41">
        <f t="shared" si="61"/>
        <v>0.75515463917525771</v>
      </c>
      <c r="AS170" s="45">
        <v>123</v>
      </c>
      <c r="AT170" s="41">
        <f t="shared" si="78"/>
        <v>0.15953307392996108</v>
      </c>
      <c r="AU170" s="45">
        <v>57</v>
      </c>
      <c r="AV170" s="41">
        <f t="shared" si="62"/>
        <v>0.14690721649484537</v>
      </c>
      <c r="AW170" s="45">
        <v>23</v>
      </c>
      <c r="AX170" s="41">
        <f t="shared" si="79"/>
        <v>2.9831387808041506E-2</v>
      </c>
      <c r="AY170" s="45">
        <v>15</v>
      </c>
      <c r="AZ170" s="41">
        <f t="shared" si="63"/>
        <v>3.8659793814432991E-2</v>
      </c>
      <c r="BA170" s="45">
        <v>15</v>
      </c>
      <c r="BB170" s="41">
        <f t="shared" si="80"/>
        <v>1.9455252918287938E-2</v>
      </c>
      <c r="BC170" s="45">
        <v>12</v>
      </c>
      <c r="BD170" s="41">
        <f t="shared" si="64"/>
        <v>3.0927835051546393E-2</v>
      </c>
      <c r="BE170" s="45">
        <v>771</v>
      </c>
      <c r="BF170" s="45">
        <v>388</v>
      </c>
    </row>
    <row r="171" spans="1:58" ht="15.75" customHeight="1" x14ac:dyDescent="0.25">
      <c r="A171" s="44">
        <v>2023</v>
      </c>
      <c r="B171" s="39">
        <v>170386</v>
      </c>
      <c r="C171" s="37" t="str">
        <f>VLOOKUP(B171,procv!$A$2:$D$142,4,FALSE)</f>
        <v>Ilha do Bananal</v>
      </c>
      <c r="D171" s="37" t="s">
        <v>35</v>
      </c>
      <c r="E171" s="45">
        <v>0</v>
      </c>
      <c r="F171" s="42">
        <f t="shared" si="48"/>
        <v>0</v>
      </c>
      <c r="G171" s="45">
        <v>0</v>
      </c>
      <c r="H171" s="42">
        <f t="shared" si="49"/>
        <v>0</v>
      </c>
      <c r="I171" s="45">
        <v>2</v>
      </c>
      <c r="J171" s="41">
        <f t="shared" si="50"/>
        <v>7.9365079365079361E-3</v>
      </c>
      <c r="K171" s="45">
        <v>0</v>
      </c>
      <c r="L171" s="41">
        <f t="shared" si="51"/>
        <v>0</v>
      </c>
      <c r="M171" s="45">
        <v>240</v>
      </c>
      <c r="N171" s="41">
        <f t="shared" si="72"/>
        <v>0.95238095238095233</v>
      </c>
      <c r="O171" s="45">
        <v>124</v>
      </c>
      <c r="P171" s="41">
        <f t="shared" si="52"/>
        <v>0.96124031007751942</v>
      </c>
      <c r="Q171" s="45">
        <v>10</v>
      </c>
      <c r="R171" s="41">
        <f t="shared" si="73"/>
        <v>3.968253968253968E-2</v>
      </c>
      <c r="S171" s="45">
        <v>5</v>
      </c>
      <c r="T171" s="41">
        <f t="shared" si="53"/>
        <v>3.875968992248062E-2</v>
      </c>
      <c r="U171" s="45">
        <v>9</v>
      </c>
      <c r="V171" s="41">
        <f t="shared" si="54"/>
        <v>3.5714285714285712E-2</v>
      </c>
      <c r="W171" s="45">
        <v>7</v>
      </c>
      <c r="X171" s="41">
        <f t="shared" si="55"/>
        <v>5.4263565891472867E-2</v>
      </c>
      <c r="Y171" s="45">
        <v>22</v>
      </c>
      <c r="Z171" s="41">
        <f t="shared" si="56"/>
        <v>8.7301587301587297E-2</v>
      </c>
      <c r="AA171" s="45">
        <v>16</v>
      </c>
      <c r="AB171" s="41">
        <f t="shared" si="57"/>
        <v>0.12403100775193798</v>
      </c>
      <c r="AC171" s="45">
        <v>221</v>
      </c>
      <c r="AD171" s="41">
        <f t="shared" si="74"/>
        <v>0.87698412698412698</v>
      </c>
      <c r="AE171" s="45">
        <v>106</v>
      </c>
      <c r="AF171" s="41">
        <f t="shared" si="58"/>
        <v>0.82170542635658916</v>
      </c>
      <c r="AG171" s="45">
        <v>0</v>
      </c>
      <c r="AH171" s="41">
        <f t="shared" si="75"/>
        <v>0</v>
      </c>
      <c r="AI171" s="45">
        <v>0</v>
      </c>
      <c r="AJ171" s="41">
        <f t="shared" si="59"/>
        <v>0</v>
      </c>
      <c r="AK171" s="45">
        <v>6</v>
      </c>
      <c r="AL171" s="41">
        <f t="shared" si="76"/>
        <v>2.3809523809523808E-2</v>
      </c>
      <c r="AM171" s="45">
        <v>3</v>
      </c>
      <c r="AN171" s="41">
        <f t="shared" si="60"/>
        <v>2.3255813953488372E-2</v>
      </c>
      <c r="AO171" s="45">
        <v>161</v>
      </c>
      <c r="AP171" s="41">
        <f t="shared" si="77"/>
        <v>0.63888888888888884</v>
      </c>
      <c r="AQ171" s="45">
        <v>86</v>
      </c>
      <c r="AR171" s="41">
        <f t="shared" si="61"/>
        <v>0.66666666666666663</v>
      </c>
      <c r="AS171" s="45">
        <v>54</v>
      </c>
      <c r="AT171" s="41">
        <f t="shared" si="78"/>
        <v>0.21428571428571427</v>
      </c>
      <c r="AU171" s="45">
        <v>22</v>
      </c>
      <c r="AV171" s="41">
        <f t="shared" si="62"/>
        <v>0.17054263565891473</v>
      </c>
      <c r="AW171" s="45">
        <v>20</v>
      </c>
      <c r="AX171" s="41">
        <f t="shared" si="79"/>
        <v>7.9365079365079361E-2</v>
      </c>
      <c r="AY171" s="45">
        <v>8</v>
      </c>
      <c r="AZ171" s="41">
        <f t="shared" si="63"/>
        <v>6.2015503875968991E-2</v>
      </c>
      <c r="BA171" s="45">
        <v>11</v>
      </c>
      <c r="BB171" s="41">
        <f t="shared" si="80"/>
        <v>4.3650793650793648E-2</v>
      </c>
      <c r="BC171" s="45">
        <v>10</v>
      </c>
      <c r="BD171" s="41">
        <f t="shared" si="64"/>
        <v>7.7519379844961239E-2</v>
      </c>
      <c r="BE171" s="45">
        <v>252</v>
      </c>
      <c r="BF171" s="45">
        <v>129</v>
      </c>
    </row>
    <row r="172" spans="1:58" ht="15.75" customHeight="1" x14ac:dyDescent="0.25">
      <c r="A172" s="44">
        <v>2023</v>
      </c>
      <c r="B172" s="39">
        <v>170388</v>
      </c>
      <c r="C172" s="37" t="str">
        <f>VLOOKUP(B172,procv!$A$2:$D$142,4,FALSE)</f>
        <v>Médio Norte Araguaia</v>
      </c>
      <c r="D172" s="37" t="s">
        <v>36</v>
      </c>
      <c r="E172" s="45">
        <v>2</v>
      </c>
      <c r="F172" s="42">
        <f t="shared" si="48"/>
        <v>9.6153846153846159E-3</v>
      </c>
      <c r="G172" s="45">
        <v>1</v>
      </c>
      <c r="H172" s="42">
        <f t="shared" si="49"/>
        <v>7.6335877862595417E-3</v>
      </c>
      <c r="I172" s="45">
        <v>10</v>
      </c>
      <c r="J172" s="41">
        <f t="shared" si="50"/>
        <v>4.807692307692308E-2</v>
      </c>
      <c r="K172" s="45">
        <v>10</v>
      </c>
      <c r="L172" s="41">
        <f t="shared" si="51"/>
        <v>7.6335877862595422E-2</v>
      </c>
      <c r="M172" s="45">
        <v>184</v>
      </c>
      <c r="N172" s="41">
        <f t="shared" si="72"/>
        <v>0.88461538461538458</v>
      </c>
      <c r="O172" s="45">
        <v>111</v>
      </c>
      <c r="P172" s="41">
        <f t="shared" si="52"/>
        <v>0.84732824427480913</v>
      </c>
      <c r="Q172" s="45">
        <v>12</v>
      </c>
      <c r="R172" s="41">
        <f t="shared" si="73"/>
        <v>5.7692307692307696E-2</v>
      </c>
      <c r="S172" s="45">
        <v>9</v>
      </c>
      <c r="T172" s="41">
        <f t="shared" si="53"/>
        <v>6.8702290076335881E-2</v>
      </c>
      <c r="U172" s="45">
        <v>8</v>
      </c>
      <c r="V172" s="41">
        <f t="shared" si="54"/>
        <v>3.8461538461538464E-2</v>
      </c>
      <c r="W172" s="45">
        <v>6</v>
      </c>
      <c r="X172" s="41">
        <f t="shared" si="55"/>
        <v>4.5801526717557252E-2</v>
      </c>
      <c r="Y172" s="45">
        <v>28</v>
      </c>
      <c r="Z172" s="41">
        <f t="shared" si="56"/>
        <v>0.13461538461538461</v>
      </c>
      <c r="AA172" s="45">
        <v>17</v>
      </c>
      <c r="AB172" s="41">
        <f t="shared" si="57"/>
        <v>0.12977099236641221</v>
      </c>
      <c r="AC172" s="45">
        <v>172</v>
      </c>
      <c r="AD172" s="41">
        <f t="shared" si="74"/>
        <v>0.82692307692307687</v>
      </c>
      <c r="AE172" s="45">
        <v>108</v>
      </c>
      <c r="AF172" s="41">
        <f t="shared" si="58"/>
        <v>0.82442748091603058</v>
      </c>
      <c r="AG172" s="45">
        <v>4</v>
      </c>
      <c r="AH172" s="41">
        <f t="shared" si="75"/>
        <v>1.9230769230769232E-2</v>
      </c>
      <c r="AI172" s="45">
        <v>5</v>
      </c>
      <c r="AJ172" s="41">
        <f t="shared" si="59"/>
        <v>3.8167938931297711E-2</v>
      </c>
      <c r="AK172" s="45">
        <v>6</v>
      </c>
      <c r="AL172" s="41">
        <f t="shared" si="76"/>
        <v>2.8846153846153848E-2</v>
      </c>
      <c r="AM172" s="45">
        <v>11</v>
      </c>
      <c r="AN172" s="41">
        <f t="shared" si="60"/>
        <v>8.3969465648854963E-2</v>
      </c>
      <c r="AO172" s="45">
        <v>136</v>
      </c>
      <c r="AP172" s="41">
        <f t="shared" si="77"/>
        <v>0.65384615384615385</v>
      </c>
      <c r="AQ172" s="45">
        <v>85</v>
      </c>
      <c r="AR172" s="41">
        <f t="shared" si="61"/>
        <v>0.64885496183206104</v>
      </c>
      <c r="AS172" s="45">
        <v>36</v>
      </c>
      <c r="AT172" s="41">
        <f t="shared" si="78"/>
        <v>0.17307692307692307</v>
      </c>
      <c r="AU172" s="45">
        <v>16</v>
      </c>
      <c r="AV172" s="41">
        <f t="shared" si="62"/>
        <v>0.12213740458015267</v>
      </c>
      <c r="AW172" s="45">
        <v>16</v>
      </c>
      <c r="AX172" s="41">
        <f t="shared" si="79"/>
        <v>7.6923076923076927E-2</v>
      </c>
      <c r="AY172" s="45">
        <v>5</v>
      </c>
      <c r="AZ172" s="41">
        <f t="shared" si="63"/>
        <v>3.8167938931297711E-2</v>
      </c>
      <c r="BA172" s="45">
        <v>10</v>
      </c>
      <c r="BB172" s="41">
        <f t="shared" si="80"/>
        <v>4.807692307692308E-2</v>
      </c>
      <c r="BC172" s="45">
        <v>9</v>
      </c>
      <c r="BD172" s="41">
        <f t="shared" si="64"/>
        <v>6.8702290076335881E-2</v>
      </c>
      <c r="BE172" s="45">
        <v>208</v>
      </c>
      <c r="BF172" s="45">
        <v>131</v>
      </c>
    </row>
    <row r="173" spans="1:58" ht="15.75" customHeight="1" x14ac:dyDescent="0.25">
      <c r="A173" s="44">
        <v>2023</v>
      </c>
      <c r="B173" s="39">
        <v>170389</v>
      </c>
      <c r="C173" s="37" t="str">
        <f>VLOOKUP(B173,procv!$A$2:$D$142,4,FALSE)</f>
        <v>Bico do Papagaio</v>
      </c>
      <c r="D173" s="37" t="s">
        <v>37</v>
      </c>
      <c r="E173" s="45">
        <v>1</v>
      </c>
      <c r="F173" s="42">
        <f t="shared" si="48"/>
        <v>3.7735849056603774E-3</v>
      </c>
      <c r="G173" s="45">
        <v>1</v>
      </c>
      <c r="H173" s="42">
        <f t="shared" si="49"/>
        <v>5.3763440860215058E-3</v>
      </c>
      <c r="I173" s="45">
        <v>11</v>
      </c>
      <c r="J173" s="41">
        <f t="shared" si="50"/>
        <v>4.1509433962264149E-2</v>
      </c>
      <c r="K173" s="45">
        <v>8</v>
      </c>
      <c r="L173" s="41">
        <f t="shared" si="51"/>
        <v>4.3010752688172046E-2</v>
      </c>
      <c r="M173" s="45">
        <v>238</v>
      </c>
      <c r="N173" s="41">
        <f t="shared" si="72"/>
        <v>0.89811320754716983</v>
      </c>
      <c r="O173" s="45">
        <v>159</v>
      </c>
      <c r="P173" s="41">
        <f t="shared" si="52"/>
        <v>0.85483870967741937</v>
      </c>
      <c r="Q173" s="45">
        <v>15</v>
      </c>
      <c r="R173" s="41">
        <f t="shared" si="73"/>
        <v>5.6603773584905662E-2</v>
      </c>
      <c r="S173" s="45">
        <v>18</v>
      </c>
      <c r="T173" s="41">
        <f t="shared" si="53"/>
        <v>9.6774193548387094E-2</v>
      </c>
      <c r="U173" s="45">
        <v>8</v>
      </c>
      <c r="V173" s="41">
        <f t="shared" si="54"/>
        <v>3.0188679245283019E-2</v>
      </c>
      <c r="W173" s="45">
        <v>8</v>
      </c>
      <c r="X173" s="41">
        <f t="shared" si="55"/>
        <v>4.3010752688172046E-2</v>
      </c>
      <c r="Y173" s="45">
        <v>24</v>
      </c>
      <c r="Z173" s="41">
        <f t="shared" si="56"/>
        <v>9.056603773584905E-2</v>
      </c>
      <c r="AA173" s="45">
        <v>21</v>
      </c>
      <c r="AB173" s="41">
        <f t="shared" si="57"/>
        <v>0.11290322580645161</v>
      </c>
      <c r="AC173" s="45">
        <v>233</v>
      </c>
      <c r="AD173" s="41">
        <f t="shared" si="74"/>
        <v>0.87924528301886795</v>
      </c>
      <c r="AE173" s="45">
        <v>157</v>
      </c>
      <c r="AF173" s="41">
        <f t="shared" si="58"/>
        <v>0.84408602150537637</v>
      </c>
      <c r="AG173" s="45">
        <v>1</v>
      </c>
      <c r="AH173" s="41">
        <f t="shared" si="75"/>
        <v>3.7735849056603774E-3</v>
      </c>
      <c r="AI173" s="45">
        <v>2</v>
      </c>
      <c r="AJ173" s="41">
        <f t="shared" si="59"/>
        <v>1.0752688172043012E-2</v>
      </c>
      <c r="AK173" s="45">
        <v>7</v>
      </c>
      <c r="AL173" s="41">
        <f t="shared" si="76"/>
        <v>2.6415094339622643E-2</v>
      </c>
      <c r="AM173" s="45">
        <v>9</v>
      </c>
      <c r="AN173" s="41">
        <f t="shared" si="60"/>
        <v>4.8387096774193547E-2</v>
      </c>
      <c r="AO173" s="45">
        <v>173</v>
      </c>
      <c r="AP173" s="41">
        <f t="shared" si="77"/>
        <v>0.65283018867924525</v>
      </c>
      <c r="AQ173" s="45">
        <v>119</v>
      </c>
      <c r="AR173" s="41">
        <f t="shared" si="61"/>
        <v>0.63978494623655913</v>
      </c>
      <c r="AS173" s="45">
        <v>48</v>
      </c>
      <c r="AT173" s="41">
        <f t="shared" si="78"/>
        <v>0.1811320754716981</v>
      </c>
      <c r="AU173" s="45">
        <v>32</v>
      </c>
      <c r="AV173" s="41">
        <f t="shared" si="62"/>
        <v>0.17204301075268819</v>
      </c>
      <c r="AW173" s="45">
        <v>23</v>
      </c>
      <c r="AX173" s="41">
        <f t="shared" si="79"/>
        <v>8.6792452830188674E-2</v>
      </c>
      <c r="AY173" s="45">
        <v>12</v>
      </c>
      <c r="AZ173" s="41">
        <f t="shared" si="63"/>
        <v>6.4516129032258063E-2</v>
      </c>
      <c r="BA173" s="45">
        <v>13</v>
      </c>
      <c r="BB173" s="41">
        <f t="shared" si="80"/>
        <v>4.9056603773584909E-2</v>
      </c>
      <c r="BC173" s="45">
        <v>12</v>
      </c>
      <c r="BD173" s="41">
        <f t="shared" si="64"/>
        <v>6.4516129032258063E-2</v>
      </c>
      <c r="BE173" s="45">
        <v>265</v>
      </c>
      <c r="BF173" s="45">
        <v>186</v>
      </c>
    </row>
    <row r="174" spans="1:58" ht="15.75" customHeight="1" x14ac:dyDescent="0.25">
      <c r="A174" s="44">
        <v>2023</v>
      </c>
      <c r="B174" s="39">
        <v>170390</v>
      </c>
      <c r="C174" s="37" t="str">
        <f>VLOOKUP(B174,procv!$A$2:$D$142,4,FALSE)</f>
        <v>Cantão</v>
      </c>
      <c r="D174" s="37" t="s">
        <v>38</v>
      </c>
      <c r="E174" s="45">
        <v>5</v>
      </c>
      <c r="F174" s="42">
        <f t="shared" si="48"/>
        <v>1.6129032258064516E-2</v>
      </c>
      <c r="G174" s="45">
        <v>5</v>
      </c>
      <c r="H174" s="42">
        <f t="shared" si="49"/>
        <v>2.1645021645021644E-2</v>
      </c>
      <c r="I174" s="45">
        <v>14</v>
      </c>
      <c r="J174" s="41">
        <f t="shared" si="50"/>
        <v>4.5161290322580643E-2</v>
      </c>
      <c r="K174" s="45">
        <v>11</v>
      </c>
      <c r="L174" s="41">
        <f t="shared" si="51"/>
        <v>4.7619047619047616E-2</v>
      </c>
      <c r="M174" s="45">
        <v>271</v>
      </c>
      <c r="N174" s="41">
        <f t="shared" si="72"/>
        <v>0.87419354838709673</v>
      </c>
      <c r="O174" s="45">
        <v>199</v>
      </c>
      <c r="P174" s="41">
        <f t="shared" si="52"/>
        <v>0.8614718614718615</v>
      </c>
      <c r="Q174" s="45">
        <v>20</v>
      </c>
      <c r="R174" s="41">
        <f t="shared" si="73"/>
        <v>6.4516129032258063E-2</v>
      </c>
      <c r="S174" s="45">
        <v>16</v>
      </c>
      <c r="T174" s="41">
        <f t="shared" si="53"/>
        <v>6.9264069264069264E-2</v>
      </c>
      <c r="U174" s="45">
        <v>13</v>
      </c>
      <c r="V174" s="41">
        <f t="shared" si="54"/>
        <v>4.1935483870967745E-2</v>
      </c>
      <c r="W174" s="45">
        <v>12</v>
      </c>
      <c r="X174" s="41">
        <f t="shared" si="55"/>
        <v>5.1948051948051951E-2</v>
      </c>
      <c r="Y174" s="45">
        <v>33</v>
      </c>
      <c r="Z174" s="41">
        <f t="shared" si="56"/>
        <v>0.1064516129032258</v>
      </c>
      <c r="AA174" s="45">
        <v>24</v>
      </c>
      <c r="AB174" s="41">
        <f t="shared" si="57"/>
        <v>0.1038961038961039</v>
      </c>
      <c r="AC174" s="45">
        <v>264</v>
      </c>
      <c r="AD174" s="41">
        <f t="shared" si="74"/>
        <v>0.85161290322580641</v>
      </c>
      <c r="AE174" s="45">
        <v>195</v>
      </c>
      <c r="AF174" s="41">
        <f t="shared" si="58"/>
        <v>0.8441558441558441</v>
      </c>
      <c r="AG174" s="45">
        <v>21</v>
      </c>
      <c r="AH174" s="41">
        <f t="shared" si="75"/>
        <v>6.7741935483870974E-2</v>
      </c>
      <c r="AI174" s="45">
        <v>19</v>
      </c>
      <c r="AJ174" s="41">
        <f t="shared" si="59"/>
        <v>8.2251082251082255E-2</v>
      </c>
      <c r="AK174" s="45">
        <v>10</v>
      </c>
      <c r="AL174" s="41">
        <f t="shared" si="76"/>
        <v>3.2258064516129031E-2</v>
      </c>
      <c r="AM174" s="45">
        <v>10</v>
      </c>
      <c r="AN174" s="41">
        <f t="shared" si="60"/>
        <v>4.3290043290043288E-2</v>
      </c>
      <c r="AO174" s="45">
        <v>187</v>
      </c>
      <c r="AP174" s="41">
        <f t="shared" si="77"/>
        <v>0.60322580645161294</v>
      </c>
      <c r="AQ174" s="45">
        <v>137</v>
      </c>
      <c r="AR174" s="41">
        <f t="shared" si="61"/>
        <v>0.59307359307359309</v>
      </c>
      <c r="AS174" s="45">
        <v>46</v>
      </c>
      <c r="AT174" s="41">
        <f t="shared" si="78"/>
        <v>0.14838709677419354</v>
      </c>
      <c r="AU174" s="45">
        <v>27</v>
      </c>
      <c r="AV174" s="41">
        <f t="shared" si="62"/>
        <v>0.11688311688311688</v>
      </c>
      <c r="AW174" s="45">
        <v>26</v>
      </c>
      <c r="AX174" s="41">
        <f t="shared" si="79"/>
        <v>8.387096774193549E-2</v>
      </c>
      <c r="AY174" s="45">
        <v>19</v>
      </c>
      <c r="AZ174" s="41">
        <f t="shared" si="63"/>
        <v>8.2251082251082255E-2</v>
      </c>
      <c r="BA174" s="45">
        <v>20</v>
      </c>
      <c r="BB174" s="41">
        <f t="shared" si="80"/>
        <v>6.4516129032258063E-2</v>
      </c>
      <c r="BC174" s="45">
        <v>19</v>
      </c>
      <c r="BD174" s="41">
        <f t="shared" si="64"/>
        <v>8.2251082251082255E-2</v>
      </c>
      <c r="BE174" s="45">
        <v>310</v>
      </c>
      <c r="BF174" s="45">
        <v>231</v>
      </c>
    </row>
    <row r="175" spans="1:58" ht="15.75" customHeight="1" x14ac:dyDescent="0.25">
      <c r="A175" s="44">
        <v>2023</v>
      </c>
      <c r="B175" s="39">
        <v>170410</v>
      </c>
      <c r="C175" s="37" t="str">
        <f>VLOOKUP(B175,procv!$A$2:$D$142,4,FALSE)</f>
        <v>Cerrado Tocantins Araguaia</v>
      </c>
      <c r="D175" s="37" t="s">
        <v>39</v>
      </c>
      <c r="E175" s="45">
        <v>1</v>
      </c>
      <c r="F175" s="42">
        <f t="shared" si="48"/>
        <v>1.1111111111111112E-2</v>
      </c>
      <c r="G175" s="45">
        <v>0</v>
      </c>
      <c r="H175" s="42">
        <f t="shared" si="49"/>
        <v>0</v>
      </c>
      <c r="I175" s="45">
        <v>1</v>
      </c>
      <c r="J175" s="41">
        <f t="shared" si="50"/>
        <v>1.1111111111111112E-2</v>
      </c>
      <c r="K175" s="45">
        <v>1</v>
      </c>
      <c r="L175" s="41">
        <f t="shared" si="51"/>
        <v>1.4492753623188406E-2</v>
      </c>
      <c r="M175" s="45">
        <v>85</v>
      </c>
      <c r="N175" s="41">
        <f t="shared" si="72"/>
        <v>0.94444444444444442</v>
      </c>
      <c r="O175" s="45">
        <v>62</v>
      </c>
      <c r="P175" s="41">
        <f t="shared" si="52"/>
        <v>0.89855072463768115</v>
      </c>
      <c r="Q175" s="45">
        <v>3</v>
      </c>
      <c r="R175" s="41">
        <f t="shared" si="73"/>
        <v>3.3333333333333333E-2</v>
      </c>
      <c r="S175" s="45">
        <v>6</v>
      </c>
      <c r="T175" s="41">
        <f t="shared" si="53"/>
        <v>8.6956521739130432E-2</v>
      </c>
      <c r="U175" s="45">
        <v>7</v>
      </c>
      <c r="V175" s="41">
        <f t="shared" si="54"/>
        <v>7.7777777777777779E-2</v>
      </c>
      <c r="W175" s="45">
        <v>7</v>
      </c>
      <c r="X175" s="41">
        <f t="shared" si="55"/>
        <v>0.10144927536231885</v>
      </c>
      <c r="Y175" s="45">
        <v>16</v>
      </c>
      <c r="Z175" s="41">
        <f t="shared" si="56"/>
        <v>0.17777777777777778</v>
      </c>
      <c r="AA175" s="45">
        <v>14</v>
      </c>
      <c r="AB175" s="41">
        <f t="shared" si="57"/>
        <v>0.20289855072463769</v>
      </c>
      <c r="AC175" s="45">
        <v>67</v>
      </c>
      <c r="AD175" s="41">
        <f t="shared" si="74"/>
        <v>0.74444444444444446</v>
      </c>
      <c r="AE175" s="45">
        <v>48</v>
      </c>
      <c r="AF175" s="41">
        <f t="shared" si="58"/>
        <v>0.69565217391304346</v>
      </c>
      <c r="AG175" s="45">
        <v>5</v>
      </c>
      <c r="AH175" s="41">
        <f t="shared" si="75"/>
        <v>5.5555555555555552E-2</v>
      </c>
      <c r="AI175" s="45">
        <v>1</v>
      </c>
      <c r="AJ175" s="41">
        <f t="shared" si="59"/>
        <v>1.4492753623188406E-2</v>
      </c>
      <c r="AK175" s="45">
        <v>2</v>
      </c>
      <c r="AL175" s="41">
        <f t="shared" si="76"/>
        <v>2.2222222222222223E-2</v>
      </c>
      <c r="AM175" s="45">
        <v>2</v>
      </c>
      <c r="AN175" s="41">
        <f t="shared" si="60"/>
        <v>2.8985507246376812E-2</v>
      </c>
      <c r="AO175" s="45">
        <v>50</v>
      </c>
      <c r="AP175" s="41">
        <f t="shared" si="77"/>
        <v>0.55555555555555558</v>
      </c>
      <c r="AQ175" s="45">
        <v>40</v>
      </c>
      <c r="AR175" s="41">
        <f t="shared" si="61"/>
        <v>0.57971014492753625</v>
      </c>
      <c r="AS175" s="45">
        <v>18</v>
      </c>
      <c r="AT175" s="41">
        <f t="shared" si="78"/>
        <v>0.2</v>
      </c>
      <c r="AU175" s="45">
        <v>14</v>
      </c>
      <c r="AV175" s="41">
        <f t="shared" si="62"/>
        <v>0.20289855072463769</v>
      </c>
      <c r="AW175" s="45">
        <v>7</v>
      </c>
      <c r="AX175" s="41">
        <f t="shared" si="79"/>
        <v>7.7777777777777779E-2</v>
      </c>
      <c r="AY175" s="45">
        <v>6</v>
      </c>
      <c r="AZ175" s="41">
        <f t="shared" si="63"/>
        <v>8.6956521739130432E-2</v>
      </c>
      <c r="BA175" s="45">
        <v>8</v>
      </c>
      <c r="BB175" s="41">
        <f t="shared" si="80"/>
        <v>8.8888888888888892E-2</v>
      </c>
      <c r="BC175" s="45">
        <v>6</v>
      </c>
      <c r="BD175" s="41">
        <f t="shared" si="64"/>
        <v>8.6956521739130432E-2</v>
      </c>
      <c r="BE175" s="45">
        <v>90</v>
      </c>
      <c r="BF175" s="45">
        <v>69</v>
      </c>
    </row>
    <row r="176" spans="1:58" ht="15.75" customHeight="1" x14ac:dyDescent="0.25">
      <c r="A176" s="44">
        <v>2023</v>
      </c>
      <c r="B176" s="39">
        <v>170510</v>
      </c>
      <c r="C176" s="37" t="str">
        <f>VLOOKUP(B176,procv!$A$2:$D$142,4,FALSE)</f>
        <v>Amor Perfeito</v>
      </c>
      <c r="D176" s="37" t="s">
        <v>40</v>
      </c>
      <c r="E176" s="45">
        <v>1</v>
      </c>
      <c r="F176" s="42">
        <f t="shared" si="48"/>
        <v>3.968253968253968E-3</v>
      </c>
      <c r="G176" s="45">
        <v>1</v>
      </c>
      <c r="H176" s="42">
        <f t="shared" si="49"/>
        <v>6.0606060606060606E-3</v>
      </c>
      <c r="I176" s="45">
        <v>7</v>
      </c>
      <c r="J176" s="41">
        <f t="shared" si="50"/>
        <v>2.7777777777777776E-2</v>
      </c>
      <c r="K176" s="45">
        <v>3</v>
      </c>
      <c r="L176" s="41">
        <f t="shared" si="51"/>
        <v>1.8181818181818181E-2</v>
      </c>
      <c r="M176" s="45">
        <v>235</v>
      </c>
      <c r="N176" s="41">
        <f t="shared" si="72"/>
        <v>0.93253968253968256</v>
      </c>
      <c r="O176" s="45">
        <v>155</v>
      </c>
      <c r="P176" s="41">
        <f t="shared" si="52"/>
        <v>0.93939393939393945</v>
      </c>
      <c r="Q176" s="45">
        <v>9</v>
      </c>
      <c r="R176" s="41">
        <f t="shared" si="73"/>
        <v>3.5714285714285712E-2</v>
      </c>
      <c r="S176" s="45">
        <v>6</v>
      </c>
      <c r="T176" s="41">
        <f t="shared" si="53"/>
        <v>3.6363636363636362E-2</v>
      </c>
      <c r="U176" s="45">
        <v>12</v>
      </c>
      <c r="V176" s="41">
        <f t="shared" si="54"/>
        <v>4.7619047619047616E-2</v>
      </c>
      <c r="W176" s="45">
        <v>7</v>
      </c>
      <c r="X176" s="41">
        <f t="shared" si="55"/>
        <v>4.2424242424242427E-2</v>
      </c>
      <c r="Y176" s="45">
        <v>19</v>
      </c>
      <c r="Z176" s="41">
        <f t="shared" si="56"/>
        <v>7.5396825396825393E-2</v>
      </c>
      <c r="AA176" s="45">
        <v>11</v>
      </c>
      <c r="AB176" s="41">
        <f t="shared" si="57"/>
        <v>6.6666666666666666E-2</v>
      </c>
      <c r="AC176" s="45">
        <v>221</v>
      </c>
      <c r="AD176" s="41">
        <f t="shared" si="74"/>
        <v>0.87698412698412698</v>
      </c>
      <c r="AE176" s="45">
        <v>147</v>
      </c>
      <c r="AF176" s="41">
        <f t="shared" si="58"/>
        <v>0.89090909090909087</v>
      </c>
      <c r="AG176" s="45">
        <v>9</v>
      </c>
      <c r="AH176" s="41">
        <f t="shared" si="75"/>
        <v>3.5714285714285712E-2</v>
      </c>
      <c r="AI176" s="45">
        <v>10</v>
      </c>
      <c r="AJ176" s="41">
        <f t="shared" si="59"/>
        <v>6.0606060606060608E-2</v>
      </c>
      <c r="AK176" s="45">
        <v>12</v>
      </c>
      <c r="AL176" s="41">
        <f t="shared" si="76"/>
        <v>4.7619047619047616E-2</v>
      </c>
      <c r="AM176" s="45">
        <v>8</v>
      </c>
      <c r="AN176" s="41">
        <f t="shared" si="60"/>
        <v>4.8484848484848485E-2</v>
      </c>
      <c r="AO176" s="45">
        <v>162</v>
      </c>
      <c r="AP176" s="41">
        <f t="shared" si="77"/>
        <v>0.6428571428571429</v>
      </c>
      <c r="AQ176" s="45">
        <v>109</v>
      </c>
      <c r="AR176" s="41">
        <f t="shared" si="61"/>
        <v>0.66060606060606064</v>
      </c>
      <c r="AS176" s="45">
        <v>42</v>
      </c>
      <c r="AT176" s="41">
        <f t="shared" si="78"/>
        <v>0.16666666666666666</v>
      </c>
      <c r="AU176" s="45">
        <v>18</v>
      </c>
      <c r="AV176" s="41">
        <f t="shared" si="62"/>
        <v>0.10909090909090909</v>
      </c>
      <c r="AW176" s="45">
        <v>14</v>
      </c>
      <c r="AX176" s="41">
        <f t="shared" si="79"/>
        <v>5.5555555555555552E-2</v>
      </c>
      <c r="AY176" s="45">
        <v>8</v>
      </c>
      <c r="AZ176" s="41">
        <f t="shared" si="63"/>
        <v>4.8484848484848485E-2</v>
      </c>
      <c r="BA176" s="45">
        <v>13</v>
      </c>
      <c r="BB176" s="41">
        <f t="shared" si="80"/>
        <v>5.1587301587301584E-2</v>
      </c>
      <c r="BC176" s="45">
        <v>12</v>
      </c>
      <c r="BD176" s="41">
        <f t="shared" si="64"/>
        <v>7.2727272727272724E-2</v>
      </c>
      <c r="BE176" s="45">
        <v>252</v>
      </c>
      <c r="BF176" s="45">
        <v>165</v>
      </c>
    </row>
    <row r="177" spans="1:58" ht="15.75" customHeight="1" x14ac:dyDescent="0.25">
      <c r="A177" s="44">
        <v>2023</v>
      </c>
      <c r="B177" s="39">
        <v>170460</v>
      </c>
      <c r="C177" s="37" t="str">
        <f>VLOOKUP(B177,procv!$A$2:$D$142,4,FALSE)</f>
        <v>Cantão</v>
      </c>
      <c r="D177" s="37" t="s">
        <v>41</v>
      </c>
      <c r="E177" s="45">
        <v>1</v>
      </c>
      <c r="F177" s="42">
        <f t="shared" si="48"/>
        <v>6.8493150684931503E-3</v>
      </c>
      <c r="G177" s="45">
        <v>1</v>
      </c>
      <c r="H177" s="42">
        <f t="shared" si="49"/>
        <v>1.3157894736842105E-2</v>
      </c>
      <c r="I177" s="45">
        <v>5</v>
      </c>
      <c r="J177" s="41">
        <f t="shared" si="50"/>
        <v>3.4246575342465752E-2</v>
      </c>
      <c r="K177" s="45">
        <v>3</v>
      </c>
      <c r="L177" s="41">
        <f t="shared" si="51"/>
        <v>3.9473684210526314E-2</v>
      </c>
      <c r="M177" s="45">
        <v>137</v>
      </c>
      <c r="N177" s="41">
        <f t="shared" si="72"/>
        <v>0.93835616438356162</v>
      </c>
      <c r="O177" s="45">
        <v>72</v>
      </c>
      <c r="P177" s="41">
        <f t="shared" si="52"/>
        <v>0.94736842105263153</v>
      </c>
      <c r="Q177" s="45">
        <v>3</v>
      </c>
      <c r="R177" s="41">
        <f t="shared" si="73"/>
        <v>2.0547945205479451E-2</v>
      </c>
      <c r="S177" s="45">
        <v>0</v>
      </c>
      <c r="T177" s="41">
        <f t="shared" si="53"/>
        <v>0</v>
      </c>
      <c r="U177" s="45">
        <v>8</v>
      </c>
      <c r="V177" s="41">
        <f t="shared" si="54"/>
        <v>5.4794520547945202E-2</v>
      </c>
      <c r="W177" s="45">
        <v>2</v>
      </c>
      <c r="X177" s="41">
        <f t="shared" si="55"/>
        <v>2.6315789473684209E-2</v>
      </c>
      <c r="Y177" s="45">
        <v>9</v>
      </c>
      <c r="Z177" s="41">
        <f t="shared" si="56"/>
        <v>6.1643835616438353E-2</v>
      </c>
      <c r="AA177" s="45">
        <v>6</v>
      </c>
      <c r="AB177" s="41">
        <f t="shared" si="57"/>
        <v>7.8947368421052627E-2</v>
      </c>
      <c r="AC177" s="45">
        <v>129</v>
      </c>
      <c r="AD177" s="41">
        <f t="shared" si="74"/>
        <v>0.88356164383561642</v>
      </c>
      <c r="AE177" s="45">
        <v>68</v>
      </c>
      <c r="AF177" s="41">
        <f t="shared" si="58"/>
        <v>0.89473684210526316</v>
      </c>
      <c r="AG177" s="45">
        <v>1</v>
      </c>
      <c r="AH177" s="41">
        <f t="shared" si="75"/>
        <v>6.8493150684931503E-3</v>
      </c>
      <c r="AI177" s="45">
        <v>1</v>
      </c>
      <c r="AJ177" s="41">
        <f t="shared" si="59"/>
        <v>1.3157894736842105E-2</v>
      </c>
      <c r="AK177" s="45">
        <v>5</v>
      </c>
      <c r="AL177" s="41">
        <f t="shared" si="76"/>
        <v>3.4246575342465752E-2</v>
      </c>
      <c r="AM177" s="45">
        <v>6</v>
      </c>
      <c r="AN177" s="41">
        <f t="shared" si="60"/>
        <v>7.8947368421052627E-2</v>
      </c>
      <c r="AO177" s="45">
        <v>103</v>
      </c>
      <c r="AP177" s="41">
        <f t="shared" si="77"/>
        <v>0.70547945205479456</v>
      </c>
      <c r="AQ177" s="45">
        <v>55</v>
      </c>
      <c r="AR177" s="41">
        <f t="shared" si="61"/>
        <v>0.72368421052631582</v>
      </c>
      <c r="AS177" s="45">
        <v>22</v>
      </c>
      <c r="AT177" s="41">
        <f t="shared" si="78"/>
        <v>0.15068493150684931</v>
      </c>
      <c r="AU177" s="45">
        <v>10</v>
      </c>
      <c r="AV177" s="41">
        <f t="shared" si="62"/>
        <v>0.13157894736842105</v>
      </c>
      <c r="AW177" s="45">
        <v>12</v>
      </c>
      <c r="AX177" s="41">
        <f t="shared" si="79"/>
        <v>8.2191780821917804E-2</v>
      </c>
      <c r="AY177" s="45">
        <v>4</v>
      </c>
      <c r="AZ177" s="41">
        <f t="shared" si="63"/>
        <v>5.2631578947368418E-2</v>
      </c>
      <c r="BA177" s="45">
        <v>3</v>
      </c>
      <c r="BB177" s="41">
        <f t="shared" si="80"/>
        <v>2.0547945205479451E-2</v>
      </c>
      <c r="BC177" s="45">
        <v>0</v>
      </c>
      <c r="BD177" s="41">
        <f t="shared" si="64"/>
        <v>0</v>
      </c>
      <c r="BE177" s="45">
        <v>146</v>
      </c>
      <c r="BF177" s="45">
        <v>76</v>
      </c>
    </row>
    <row r="178" spans="1:58" ht="15.75" customHeight="1" x14ac:dyDescent="0.25">
      <c r="A178" s="44">
        <v>2023</v>
      </c>
      <c r="B178" s="39">
        <v>170550</v>
      </c>
      <c r="C178" s="37" t="str">
        <f>VLOOKUP(B178,procv!$A$2:$D$142,4,FALSE)</f>
        <v>Cerrado Tocantins Araguaia</v>
      </c>
      <c r="D178" s="37" t="s">
        <v>42</v>
      </c>
      <c r="E178" s="45">
        <v>8</v>
      </c>
      <c r="F178" s="42">
        <f t="shared" si="48"/>
        <v>6.2942564909520063E-3</v>
      </c>
      <c r="G178" s="45">
        <v>6</v>
      </c>
      <c r="H178" s="42">
        <f t="shared" si="49"/>
        <v>8.5348506401137988E-3</v>
      </c>
      <c r="I178" s="45">
        <v>32</v>
      </c>
      <c r="J178" s="41">
        <f t="shared" si="50"/>
        <v>2.5177025963808025E-2</v>
      </c>
      <c r="K178" s="45">
        <v>19</v>
      </c>
      <c r="L178" s="41">
        <f t="shared" si="51"/>
        <v>2.7027027027027029E-2</v>
      </c>
      <c r="M178" s="46">
        <v>1170</v>
      </c>
      <c r="N178" s="41">
        <f t="shared" si="72"/>
        <v>0.92053501180173092</v>
      </c>
      <c r="O178" s="45">
        <v>644</v>
      </c>
      <c r="P178" s="41">
        <f t="shared" si="52"/>
        <v>0.91607396870554769</v>
      </c>
      <c r="Q178" s="45">
        <v>61</v>
      </c>
      <c r="R178" s="41">
        <f t="shared" si="73"/>
        <v>4.7993705743509051E-2</v>
      </c>
      <c r="S178" s="45">
        <v>34</v>
      </c>
      <c r="T178" s="41">
        <f t="shared" si="53"/>
        <v>4.8364153627311522E-2</v>
      </c>
      <c r="U178" s="45">
        <v>47</v>
      </c>
      <c r="V178" s="41">
        <f t="shared" si="54"/>
        <v>3.6978756884343038E-2</v>
      </c>
      <c r="W178" s="45">
        <v>34</v>
      </c>
      <c r="X178" s="41">
        <f t="shared" si="55"/>
        <v>4.8364153627311522E-2</v>
      </c>
      <c r="Y178" s="45">
        <v>99</v>
      </c>
      <c r="Z178" s="41">
        <f t="shared" si="56"/>
        <v>7.7891424075531082E-2</v>
      </c>
      <c r="AA178" s="45">
        <v>63</v>
      </c>
      <c r="AB178" s="41">
        <f t="shared" si="57"/>
        <v>8.9615931721194877E-2</v>
      </c>
      <c r="AC178" s="46">
        <v>1125</v>
      </c>
      <c r="AD178" s="41">
        <f t="shared" si="74"/>
        <v>0.88512981904012589</v>
      </c>
      <c r="AE178" s="45">
        <v>606</v>
      </c>
      <c r="AF178" s="41">
        <f t="shared" si="58"/>
        <v>0.86201991465149364</v>
      </c>
      <c r="AG178" s="45">
        <v>46</v>
      </c>
      <c r="AH178" s="41">
        <f t="shared" si="75"/>
        <v>3.6191974822974038E-2</v>
      </c>
      <c r="AI178" s="45">
        <v>39</v>
      </c>
      <c r="AJ178" s="41">
        <f t="shared" si="59"/>
        <v>5.5476529160739689E-2</v>
      </c>
      <c r="AK178" s="45">
        <v>44</v>
      </c>
      <c r="AL178" s="41">
        <f t="shared" si="76"/>
        <v>3.4618410700236038E-2</v>
      </c>
      <c r="AM178" s="45">
        <v>31</v>
      </c>
      <c r="AN178" s="41">
        <f t="shared" si="60"/>
        <v>4.4096728307254626E-2</v>
      </c>
      <c r="AO178" s="45">
        <v>828</v>
      </c>
      <c r="AP178" s="41">
        <f t="shared" si="77"/>
        <v>0.65145554681353268</v>
      </c>
      <c r="AQ178" s="45">
        <v>445</v>
      </c>
      <c r="AR178" s="41">
        <f t="shared" si="61"/>
        <v>0.63300142247510671</v>
      </c>
      <c r="AS178" s="45">
        <v>206</v>
      </c>
      <c r="AT178" s="41">
        <f t="shared" si="78"/>
        <v>0.16207710464201416</v>
      </c>
      <c r="AU178" s="45">
        <v>102</v>
      </c>
      <c r="AV178" s="41">
        <f t="shared" si="62"/>
        <v>0.14509246088193456</v>
      </c>
      <c r="AW178" s="45">
        <v>86</v>
      </c>
      <c r="AX178" s="41">
        <f t="shared" si="79"/>
        <v>6.7663257277734062E-2</v>
      </c>
      <c r="AY178" s="45">
        <v>48</v>
      </c>
      <c r="AZ178" s="41">
        <f t="shared" si="63"/>
        <v>6.8278805120910391E-2</v>
      </c>
      <c r="BA178" s="45">
        <v>61</v>
      </c>
      <c r="BB178" s="41">
        <f t="shared" si="80"/>
        <v>4.7993705743509051E-2</v>
      </c>
      <c r="BC178" s="45">
        <v>38</v>
      </c>
      <c r="BD178" s="41">
        <f t="shared" si="64"/>
        <v>5.4054054054054057E-2</v>
      </c>
      <c r="BE178" s="46">
        <v>1271</v>
      </c>
      <c r="BF178" s="45">
        <v>703</v>
      </c>
    </row>
    <row r="179" spans="1:58" ht="15.75" customHeight="1" x14ac:dyDescent="0.25">
      <c r="A179" s="44">
        <v>2023</v>
      </c>
      <c r="B179" s="39">
        <v>171670</v>
      </c>
      <c r="C179" s="37" t="str">
        <f>VLOOKUP(B179,procv!$A$2:$D$142,4,FALSE)</f>
        <v>Cerrado Tocantins Araguaia</v>
      </c>
      <c r="D179" s="37" t="s">
        <v>43</v>
      </c>
      <c r="E179" s="45">
        <v>3</v>
      </c>
      <c r="F179" s="42">
        <f t="shared" si="48"/>
        <v>9.6153846153846159E-3</v>
      </c>
      <c r="G179" s="45">
        <v>2</v>
      </c>
      <c r="H179" s="42">
        <f t="shared" si="49"/>
        <v>1.5037593984962405E-2</v>
      </c>
      <c r="I179" s="45">
        <v>6</v>
      </c>
      <c r="J179" s="41">
        <f t="shared" si="50"/>
        <v>1.9230769230769232E-2</v>
      </c>
      <c r="K179" s="45">
        <v>2</v>
      </c>
      <c r="L179" s="41">
        <f t="shared" si="51"/>
        <v>1.5037593984962405E-2</v>
      </c>
      <c r="M179" s="45">
        <v>289</v>
      </c>
      <c r="N179" s="41">
        <f t="shared" si="72"/>
        <v>0.92628205128205132</v>
      </c>
      <c r="O179" s="45">
        <v>124</v>
      </c>
      <c r="P179" s="41">
        <f t="shared" si="52"/>
        <v>0.93233082706766912</v>
      </c>
      <c r="Q179" s="45">
        <v>14</v>
      </c>
      <c r="R179" s="41">
        <f t="shared" si="73"/>
        <v>4.4871794871794872E-2</v>
      </c>
      <c r="S179" s="45">
        <v>5</v>
      </c>
      <c r="T179" s="41">
        <f t="shared" si="53"/>
        <v>3.7593984962406013E-2</v>
      </c>
      <c r="U179" s="45">
        <v>14</v>
      </c>
      <c r="V179" s="41">
        <f t="shared" si="54"/>
        <v>4.4871794871794872E-2</v>
      </c>
      <c r="W179" s="45">
        <v>9</v>
      </c>
      <c r="X179" s="41">
        <f t="shared" si="55"/>
        <v>6.7669172932330823E-2</v>
      </c>
      <c r="Y179" s="45">
        <v>25</v>
      </c>
      <c r="Z179" s="41">
        <f t="shared" si="56"/>
        <v>8.0128205128205135E-2</v>
      </c>
      <c r="AA179" s="45">
        <v>13</v>
      </c>
      <c r="AB179" s="41">
        <f t="shared" si="57"/>
        <v>9.7744360902255634E-2</v>
      </c>
      <c r="AC179" s="45">
        <v>273</v>
      </c>
      <c r="AD179" s="41">
        <f t="shared" si="74"/>
        <v>0.875</v>
      </c>
      <c r="AE179" s="45">
        <v>111</v>
      </c>
      <c r="AF179" s="41">
        <f t="shared" si="58"/>
        <v>0.83458646616541354</v>
      </c>
      <c r="AG179" s="45">
        <v>0</v>
      </c>
      <c r="AH179" s="41">
        <f t="shared" si="75"/>
        <v>0</v>
      </c>
      <c r="AI179" s="45">
        <v>0</v>
      </c>
      <c r="AJ179" s="41">
        <f t="shared" si="59"/>
        <v>0</v>
      </c>
      <c r="AK179" s="45">
        <v>10</v>
      </c>
      <c r="AL179" s="41">
        <f t="shared" si="76"/>
        <v>3.2051282051282048E-2</v>
      </c>
      <c r="AM179" s="45">
        <v>4</v>
      </c>
      <c r="AN179" s="41">
        <f t="shared" si="60"/>
        <v>3.007518796992481E-2</v>
      </c>
      <c r="AO179" s="45">
        <v>207</v>
      </c>
      <c r="AP179" s="41">
        <f t="shared" si="77"/>
        <v>0.66346153846153844</v>
      </c>
      <c r="AQ179" s="45">
        <v>91</v>
      </c>
      <c r="AR179" s="41">
        <f t="shared" si="61"/>
        <v>0.68421052631578949</v>
      </c>
      <c r="AS179" s="45">
        <v>57</v>
      </c>
      <c r="AT179" s="41">
        <f t="shared" si="78"/>
        <v>0.18269230769230768</v>
      </c>
      <c r="AU179" s="45">
        <v>16</v>
      </c>
      <c r="AV179" s="41">
        <f t="shared" si="62"/>
        <v>0.12030075187969924</v>
      </c>
      <c r="AW179" s="45">
        <v>19</v>
      </c>
      <c r="AX179" s="41">
        <f t="shared" si="79"/>
        <v>6.0897435897435896E-2</v>
      </c>
      <c r="AY179" s="45">
        <v>10</v>
      </c>
      <c r="AZ179" s="41">
        <f t="shared" si="63"/>
        <v>7.5187969924812026E-2</v>
      </c>
      <c r="BA179" s="45">
        <v>19</v>
      </c>
      <c r="BB179" s="41">
        <f t="shared" si="80"/>
        <v>6.0897435897435896E-2</v>
      </c>
      <c r="BC179" s="45">
        <v>12</v>
      </c>
      <c r="BD179" s="41">
        <f t="shared" si="64"/>
        <v>9.0225563909774431E-2</v>
      </c>
      <c r="BE179" s="45">
        <v>312</v>
      </c>
      <c r="BF179" s="45">
        <v>133</v>
      </c>
    </row>
    <row r="180" spans="1:58" ht="15.75" customHeight="1" x14ac:dyDescent="0.25">
      <c r="A180" s="44">
        <v>2023</v>
      </c>
      <c r="B180" s="39">
        <v>170555</v>
      </c>
      <c r="C180" s="37" t="str">
        <f>VLOOKUP(B180,procv!$A$2:$D$142,4,FALSE)</f>
        <v>Sudeste</v>
      </c>
      <c r="D180" s="37" t="s">
        <v>44</v>
      </c>
      <c r="E180" s="45">
        <v>6</v>
      </c>
      <c r="F180" s="42">
        <f t="shared" si="48"/>
        <v>2.0134228187919462E-2</v>
      </c>
      <c r="G180" s="45">
        <v>4</v>
      </c>
      <c r="H180" s="42">
        <f t="shared" si="49"/>
        <v>2.1505376344086023E-2</v>
      </c>
      <c r="I180" s="45">
        <v>13</v>
      </c>
      <c r="J180" s="41">
        <f t="shared" si="50"/>
        <v>4.3624161073825503E-2</v>
      </c>
      <c r="K180" s="45">
        <v>10</v>
      </c>
      <c r="L180" s="41">
        <f t="shared" si="51"/>
        <v>5.3763440860215055E-2</v>
      </c>
      <c r="M180" s="45">
        <v>265</v>
      </c>
      <c r="N180" s="41">
        <f t="shared" si="72"/>
        <v>0.88926174496644295</v>
      </c>
      <c r="O180" s="45">
        <v>160</v>
      </c>
      <c r="P180" s="41">
        <f t="shared" si="52"/>
        <v>0.86021505376344087</v>
      </c>
      <c r="Q180" s="45">
        <v>14</v>
      </c>
      <c r="R180" s="41">
        <f t="shared" si="73"/>
        <v>4.6979865771812082E-2</v>
      </c>
      <c r="S180" s="45">
        <v>12</v>
      </c>
      <c r="T180" s="41">
        <f t="shared" si="53"/>
        <v>6.4516129032258063E-2</v>
      </c>
      <c r="U180" s="45">
        <v>11</v>
      </c>
      <c r="V180" s="41">
        <f t="shared" si="54"/>
        <v>3.6912751677852351E-2</v>
      </c>
      <c r="W180" s="45">
        <v>8</v>
      </c>
      <c r="X180" s="41">
        <f t="shared" si="55"/>
        <v>4.3010752688172046E-2</v>
      </c>
      <c r="Y180" s="45">
        <v>18</v>
      </c>
      <c r="Z180" s="41">
        <f t="shared" si="56"/>
        <v>6.0402684563758392E-2</v>
      </c>
      <c r="AA180" s="45">
        <v>16</v>
      </c>
      <c r="AB180" s="41">
        <f t="shared" si="57"/>
        <v>8.6021505376344093E-2</v>
      </c>
      <c r="AC180" s="45">
        <v>269</v>
      </c>
      <c r="AD180" s="41">
        <f t="shared" si="74"/>
        <v>0.90268456375838924</v>
      </c>
      <c r="AE180" s="45">
        <v>162</v>
      </c>
      <c r="AF180" s="41">
        <f t="shared" si="58"/>
        <v>0.87096774193548387</v>
      </c>
      <c r="AG180" s="45">
        <v>19</v>
      </c>
      <c r="AH180" s="41">
        <f t="shared" si="75"/>
        <v>6.3758389261744972E-2</v>
      </c>
      <c r="AI180" s="45">
        <v>15</v>
      </c>
      <c r="AJ180" s="41">
        <f t="shared" si="59"/>
        <v>8.0645161290322578E-2</v>
      </c>
      <c r="AK180" s="45">
        <v>13</v>
      </c>
      <c r="AL180" s="41">
        <f t="shared" si="76"/>
        <v>4.3624161073825503E-2</v>
      </c>
      <c r="AM180" s="45">
        <v>11</v>
      </c>
      <c r="AN180" s="41">
        <f t="shared" si="60"/>
        <v>5.9139784946236562E-2</v>
      </c>
      <c r="AO180" s="45">
        <v>185</v>
      </c>
      <c r="AP180" s="41">
        <f t="shared" si="77"/>
        <v>0.62080536912751683</v>
      </c>
      <c r="AQ180" s="45">
        <v>104</v>
      </c>
      <c r="AR180" s="41">
        <f t="shared" si="61"/>
        <v>0.55913978494623651</v>
      </c>
      <c r="AS180" s="45">
        <v>50</v>
      </c>
      <c r="AT180" s="41">
        <f t="shared" si="78"/>
        <v>0.16778523489932887</v>
      </c>
      <c r="AU180" s="45">
        <v>31</v>
      </c>
      <c r="AV180" s="41">
        <f t="shared" si="62"/>
        <v>0.16666666666666666</v>
      </c>
      <c r="AW180" s="45">
        <v>20</v>
      </c>
      <c r="AX180" s="41">
        <f t="shared" si="79"/>
        <v>6.7114093959731544E-2</v>
      </c>
      <c r="AY180" s="45">
        <v>17</v>
      </c>
      <c r="AZ180" s="41">
        <f t="shared" si="63"/>
        <v>9.1397849462365593E-2</v>
      </c>
      <c r="BA180" s="45">
        <v>11</v>
      </c>
      <c r="BB180" s="41">
        <f t="shared" si="80"/>
        <v>3.6912751677852351E-2</v>
      </c>
      <c r="BC180" s="45">
        <v>8</v>
      </c>
      <c r="BD180" s="41">
        <f t="shared" si="64"/>
        <v>4.3010752688172046E-2</v>
      </c>
      <c r="BE180" s="45">
        <v>298</v>
      </c>
      <c r="BF180" s="45">
        <v>186</v>
      </c>
    </row>
    <row r="181" spans="1:58" ht="15.75" customHeight="1" x14ac:dyDescent="0.25">
      <c r="A181" s="44">
        <v>2023</v>
      </c>
      <c r="B181" s="39">
        <v>170560</v>
      </c>
      <c r="C181" s="37" t="str">
        <f>VLOOKUP(B181,procv!$A$2:$D$142,4,FALSE)</f>
        <v>Sudeste</v>
      </c>
      <c r="D181" s="37" t="s">
        <v>45</v>
      </c>
      <c r="E181" s="45">
        <v>2</v>
      </c>
      <c r="F181" s="42">
        <f t="shared" si="48"/>
        <v>6.7340067340067337E-3</v>
      </c>
      <c r="G181" s="45">
        <v>1</v>
      </c>
      <c r="H181" s="42">
        <f t="shared" si="49"/>
        <v>5.8479532163742687E-3</v>
      </c>
      <c r="I181" s="45">
        <v>10</v>
      </c>
      <c r="J181" s="41">
        <f t="shared" si="50"/>
        <v>3.3670033670033669E-2</v>
      </c>
      <c r="K181" s="45">
        <v>9</v>
      </c>
      <c r="L181" s="41">
        <f t="shared" si="51"/>
        <v>5.2631578947368418E-2</v>
      </c>
      <c r="M181" s="45">
        <v>268</v>
      </c>
      <c r="N181" s="41">
        <f t="shared" si="72"/>
        <v>0.90235690235690236</v>
      </c>
      <c r="O181" s="45">
        <v>153</v>
      </c>
      <c r="P181" s="41">
        <f t="shared" si="52"/>
        <v>0.89473684210526316</v>
      </c>
      <c r="Q181" s="45">
        <v>17</v>
      </c>
      <c r="R181" s="41">
        <f t="shared" si="73"/>
        <v>5.7239057239057242E-2</v>
      </c>
      <c r="S181" s="45">
        <v>8</v>
      </c>
      <c r="T181" s="41">
        <f t="shared" si="53"/>
        <v>4.6783625730994149E-2</v>
      </c>
      <c r="U181" s="45">
        <v>11</v>
      </c>
      <c r="V181" s="41">
        <f t="shared" si="54"/>
        <v>3.7037037037037035E-2</v>
      </c>
      <c r="W181" s="45">
        <v>11</v>
      </c>
      <c r="X181" s="41">
        <f t="shared" si="55"/>
        <v>6.4327485380116955E-2</v>
      </c>
      <c r="Y181" s="45">
        <v>21</v>
      </c>
      <c r="Z181" s="41">
        <f t="shared" si="56"/>
        <v>7.0707070707070704E-2</v>
      </c>
      <c r="AA181" s="45">
        <v>12</v>
      </c>
      <c r="AB181" s="41">
        <f t="shared" si="57"/>
        <v>7.0175438596491224E-2</v>
      </c>
      <c r="AC181" s="45">
        <v>265</v>
      </c>
      <c r="AD181" s="41">
        <f t="shared" si="74"/>
        <v>0.8922558922558923</v>
      </c>
      <c r="AE181" s="45">
        <v>148</v>
      </c>
      <c r="AF181" s="41">
        <f t="shared" si="58"/>
        <v>0.86549707602339176</v>
      </c>
      <c r="AG181" s="45">
        <v>3</v>
      </c>
      <c r="AH181" s="41">
        <f t="shared" si="75"/>
        <v>1.0101010101010102E-2</v>
      </c>
      <c r="AI181" s="45">
        <v>3</v>
      </c>
      <c r="AJ181" s="41">
        <f t="shared" si="59"/>
        <v>1.7543859649122806E-2</v>
      </c>
      <c r="AK181" s="45">
        <v>11</v>
      </c>
      <c r="AL181" s="41">
        <f t="shared" si="76"/>
        <v>3.7037037037037035E-2</v>
      </c>
      <c r="AM181" s="45">
        <v>9</v>
      </c>
      <c r="AN181" s="41">
        <f t="shared" si="60"/>
        <v>5.2631578947368418E-2</v>
      </c>
      <c r="AO181" s="45">
        <v>209</v>
      </c>
      <c r="AP181" s="41">
        <f t="shared" si="77"/>
        <v>0.70370370370370372</v>
      </c>
      <c r="AQ181" s="45">
        <v>130</v>
      </c>
      <c r="AR181" s="41">
        <f t="shared" si="61"/>
        <v>0.76023391812865493</v>
      </c>
      <c r="AS181" s="45">
        <v>49</v>
      </c>
      <c r="AT181" s="41">
        <f t="shared" si="78"/>
        <v>0.16498316498316498</v>
      </c>
      <c r="AU181" s="45">
        <v>18</v>
      </c>
      <c r="AV181" s="41">
        <f t="shared" si="62"/>
        <v>0.10526315789473684</v>
      </c>
      <c r="AW181" s="45">
        <v>13</v>
      </c>
      <c r="AX181" s="41">
        <f t="shared" si="79"/>
        <v>4.3771043771043773E-2</v>
      </c>
      <c r="AY181" s="45">
        <v>3</v>
      </c>
      <c r="AZ181" s="41">
        <f t="shared" si="63"/>
        <v>1.7543859649122806E-2</v>
      </c>
      <c r="BA181" s="45">
        <v>12</v>
      </c>
      <c r="BB181" s="41">
        <f t="shared" si="80"/>
        <v>4.0404040404040407E-2</v>
      </c>
      <c r="BC181" s="45">
        <v>8</v>
      </c>
      <c r="BD181" s="41">
        <f t="shared" si="64"/>
        <v>4.6783625730994149E-2</v>
      </c>
      <c r="BE181" s="45">
        <v>297</v>
      </c>
      <c r="BF181" s="45">
        <v>171</v>
      </c>
    </row>
    <row r="182" spans="1:58" ht="15.75" customHeight="1" x14ac:dyDescent="0.25">
      <c r="A182" s="44">
        <v>2023</v>
      </c>
      <c r="B182" s="39">
        <v>170600</v>
      </c>
      <c r="C182" s="37" t="str">
        <f>VLOOKUP(B182,procv!$A$2:$D$142,4,FALSE)</f>
        <v>Cerrado Tocantins Araguaia</v>
      </c>
      <c r="D182" s="37" t="s">
        <v>46</v>
      </c>
      <c r="E182" s="45">
        <v>7</v>
      </c>
      <c r="F182" s="42">
        <f t="shared" si="48"/>
        <v>2.20125786163522E-2</v>
      </c>
      <c r="G182" s="45">
        <v>4</v>
      </c>
      <c r="H182" s="42">
        <f t="shared" si="49"/>
        <v>2.8169014084507043E-2</v>
      </c>
      <c r="I182" s="45">
        <v>16</v>
      </c>
      <c r="J182" s="41">
        <f t="shared" si="50"/>
        <v>5.0314465408805034E-2</v>
      </c>
      <c r="K182" s="45">
        <v>10</v>
      </c>
      <c r="L182" s="41">
        <f t="shared" si="51"/>
        <v>7.0422535211267609E-2</v>
      </c>
      <c r="M182" s="45">
        <v>277</v>
      </c>
      <c r="N182" s="41">
        <f t="shared" si="72"/>
        <v>0.87106918238993714</v>
      </c>
      <c r="O182" s="45">
        <v>120</v>
      </c>
      <c r="P182" s="41">
        <f t="shared" si="52"/>
        <v>0.84507042253521125</v>
      </c>
      <c r="Q182" s="45">
        <v>18</v>
      </c>
      <c r="R182" s="41">
        <f t="shared" si="73"/>
        <v>5.6603773584905662E-2</v>
      </c>
      <c r="S182" s="45">
        <v>8</v>
      </c>
      <c r="T182" s="41">
        <f t="shared" si="53"/>
        <v>5.6338028169014086E-2</v>
      </c>
      <c r="U182" s="45">
        <v>30</v>
      </c>
      <c r="V182" s="41">
        <f t="shared" si="54"/>
        <v>9.4339622641509441E-2</v>
      </c>
      <c r="W182" s="45">
        <v>16</v>
      </c>
      <c r="X182" s="41">
        <f t="shared" si="55"/>
        <v>0.11267605633802817</v>
      </c>
      <c r="Y182" s="45">
        <v>33</v>
      </c>
      <c r="Z182" s="41">
        <f t="shared" si="56"/>
        <v>0.10377358490566038</v>
      </c>
      <c r="AA182" s="45">
        <v>14</v>
      </c>
      <c r="AB182" s="41">
        <f t="shared" si="57"/>
        <v>9.8591549295774641E-2</v>
      </c>
      <c r="AC182" s="45">
        <v>255</v>
      </c>
      <c r="AD182" s="41">
        <f t="shared" si="74"/>
        <v>0.80188679245283023</v>
      </c>
      <c r="AE182" s="45">
        <v>112</v>
      </c>
      <c r="AF182" s="41">
        <f t="shared" si="58"/>
        <v>0.78873239436619713</v>
      </c>
      <c r="AG182" s="45">
        <v>16</v>
      </c>
      <c r="AH182" s="41">
        <f t="shared" si="75"/>
        <v>5.0314465408805034E-2</v>
      </c>
      <c r="AI182" s="45">
        <v>12</v>
      </c>
      <c r="AJ182" s="41">
        <f t="shared" si="59"/>
        <v>8.4507042253521125E-2</v>
      </c>
      <c r="AK182" s="45">
        <v>13</v>
      </c>
      <c r="AL182" s="41">
        <f t="shared" si="76"/>
        <v>4.0880503144654086E-2</v>
      </c>
      <c r="AM182" s="45">
        <v>9</v>
      </c>
      <c r="AN182" s="41">
        <f t="shared" si="60"/>
        <v>6.3380281690140844E-2</v>
      </c>
      <c r="AO182" s="45">
        <v>214</v>
      </c>
      <c r="AP182" s="41">
        <f t="shared" si="77"/>
        <v>0.67295597484276726</v>
      </c>
      <c r="AQ182" s="45">
        <v>89</v>
      </c>
      <c r="AR182" s="41">
        <f t="shared" si="61"/>
        <v>0.62676056338028174</v>
      </c>
      <c r="AS182" s="45">
        <v>37</v>
      </c>
      <c r="AT182" s="41">
        <f t="shared" si="78"/>
        <v>0.11635220125786164</v>
      </c>
      <c r="AU182" s="45">
        <v>14</v>
      </c>
      <c r="AV182" s="41">
        <f t="shared" si="62"/>
        <v>9.8591549295774641E-2</v>
      </c>
      <c r="AW182" s="45">
        <v>19</v>
      </c>
      <c r="AX182" s="41">
        <f t="shared" si="79"/>
        <v>5.9748427672955975E-2</v>
      </c>
      <c r="AY182" s="45">
        <v>6</v>
      </c>
      <c r="AZ182" s="41">
        <f t="shared" si="63"/>
        <v>4.2253521126760563E-2</v>
      </c>
      <c r="BA182" s="45">
        <v>19</v>
      </c>
      <c r="BB182" s="41">
        <f t="shared" si="80"/>
        <v>5.9748427672955975E-2</v>
      </c>
      <c r="BC182" s="45">
        <v>12</v>
      </c>
      <c r="BD182" s="41">
        <f t="shared" si="64"/>
        <v>8.4507042253521125E-2</v>
      </c>
      <c r="BE182" s="45">
        <v>318</v>
      </c>
      <c r="BF182" s="45">
        <v>142</v>
      </c>
    </row>
    <row r="183" spans="1:58" ht="15.75" customHeight="1" x14ac:dyDescent="0.25">
      <c r="A183" s="44">
        <v>2023</v>
      </c>
      <c r="B183" s="39">
        <v>170610</v>
      </c>
      <c r="C183" s="37" t="str">
        <f>VLOOKUP(B183,procv!$A$2:$D$142,4,FALSE)</f>
        <v>Cantão</v>
      </c>
      <c r="D183" s="37" t="s">
        <v>47</v>
      </c>
      <c r="E183" s="45">
        <v>0</v>
      </c>
      <c r="F183" s="42">
        <f t="shared" si="48"/>
        <v>0</v>
      </c>
      <c r="G183" s="45">
        <v>0</v>
      </c>
      <c r="H183" s="42">
        <f t="shared" si="49"/>
        <v>0</v>
      </c>
      <c r="I183" s="45">
        <v>6</v>
      </c>
      <c r="J183" s="41">
        <f t="shared" si="50"/>
        <v>1.7291066282420751E-2</v>
      </c>
      <c r="K183" s="45">
        <v>4</v>
      </c>
      <c r="L183" s="41">
        <f t="shared" si="51"/>
        <v>2.7397260273972601E-2</v>
      </c>
      <c r="M183" s="45">
        <v>320</v>
      </c>
      <c r="N183" s="41">
        <f t="shared" si="72"/>
        <v>0.9221902017291066</v>
      </c>
      <c r="O183" s="45">
        <v>131</v>
      </c>
      <c r="P183" s="41">
        <f t="shared" si="52"/>
        <v>0.89726027397260277</v>
      </c>
      <c r="Q183" s="45">
        <v>21</v>
      </c>
      <c r="R183" s="41">
        <f t="shared" si="73"/>
        <v>6.0518731988472622E-2</v>
      </c>
      <c r="S183" s="45">
        <v>11</v>
      </c>
      <c r="T183" s="41">
        <f t="shared" si="53"/>
        <v>7.5342465753424653E-2</v>
      </c>
      <c r="U183" s="45">
        <v>10</v>
      </c>
      <c r="V183" s="41">
        <f t="shared" si="54"/>
        <v>2.8818443804034581E-2</v>
      </c>
      <c r="W183" s="45">
        <v>6</v>
      </c>
      <c r="X183" s="41">
        <f t="shared" si="55"/>
        <v>4.1095890410958902E-2</v>
      </c>
      <c r="Y183" s="45">
        <v>19</v>
      </c>
      <c r="Z183" s="41">
        <f t="shared" si="56"/>
        <v>5.4755043227665709E-2</v>
      </c>
      <c r="AA183" s="45">
        <v>6</v>
      </c>
      <c r="AB183" s="41">
        <f t="shared" si="57"/>
        <v>4.1095890410958902E-2</v>
      </c>
      <c r="AC183" s="45">
        <v>318</v>
      </c>
      <c r="AD183" s="41">
        <f t="shared" si="74"/>
        <v>0.91642651296829969</v>
      </c>
      <c r="AE183" s="45">
        <v>134</v>
      </c>
      <c r="AF183" s="41">
        <f t="shared" si="58"/>
        <v>0.9178082191780822</v>
      </c>
      <c r="AG183" s="45">
        <v>4</v>
      </c>
      <c r="AH183" s="41">
        <f t="shared" si="75"/>
        <v>1.1527377521613832E-2</v>
      </c>
      <c r="AI183" s="45">
        <v>2</v>
      </c>
      <c r="AJ183" s="41">
        <f t="shared" si="59"/>
        <v>1.3698630136986301E-2</v>
      </c>
      <c r="AK183" s="45">
        <v>12</v>
      </c>
      <c r="AL183" s="41">
        <f t="shared" si="76"/>
        <v>3.4582132564841501E-2</v>
      </c>
      <c r="AM183" s="45">
        <v>9</v>
      </c>
      <c r="AN183" s="41">
        <f t="shared" si="60"/>
        <v>6.1643835616438353E-2</v>
      </c>
      <c r="AO183" s="45">
        <v>229</v>
      </c>
      <c r="AP183" s="41">
        <f t="shared" si="77"/>
        <v>0.65994236311239196</v>
      </c>
      <c r="AQ183" s="45">
        <v>96</v>
      </c>
      <c r="AR183" s="41">
        <f t="shared" si="61"/>
        <v>0.65753424657534243</v>
      </c>
      <c r="AS183" s="45">
        <v>59</v>
      </c>
      <c r="AT183" s="41">
        <f t="shared" si="78"/>
        <v>0.17002881844380405</v>
      </c>
      <c r="AU183" s="45">
        <v>17</v>
      </c>
      <c r="AV183" s="41">
        <f t="shared" si="62"/>
        <v>0.11643835616438356</v>
      </c>
      <c r="AW183" s="45">
        <v>26</v>
      </c>
      <c r="AX183" s="41">
        <f t="shared" si="79"/>
        <v>7.492795389048991E-2</v>
      </c>
      <c r="AY183" s="45">
        <v>12</v>
      </c>
      <c r="AZ183" s="41">
        <f t="shared" si="63"/>
        <v>8.2191780821917804E-2</v>
      </c>
      <c r="BA183" s="45">
        <v>17</v>
      </c>
      <c r="BB183" s="41">
        <f t="shared" si="80"/>
        <v>4.8991354466858789E-2</v>
      </c>
      <c r="BC183" s="45">
        <v>10</v>
      </c>
      <c r="BD183" s="41">
        <f t="shared" si="64"/>
        <v>6.8493150684931503E-2</v>
      </c>
      <c r="BE183" s="45">
        <v>347</v>
      </c>
      <c r="BF183" s="45">
        <v>146</v>
      </c>
    </row>
    <row r="184" spans="1:58" ht="15.75" customHeight="1" x14ac:dyDescent="0.25">
      <c r="A184" s="44">
        <v>2023</v>
      </c>
      <c r="B184" s="39">
        <v>170625</v>
      </c>
      <c r="C184" s="37" t="str">
        <f>VLOOKUP(B184,procv!$A$2:$D$142,4,FALSE)</f>
        <v>Ilha do Bananal</v>
      </c>
      <c r="D184" s="37" t="s">
        <v>48</v>
      </c>
      <c r="E184" s="45">
        <v>0</v>
      </c>
      <c r="F184" s="42">
        <f t="shared" si="48"/>
        <v>0</v>
      </c>
      <c r="G184" s="45">
        <v>0</v>
      </c>
      <c r="H184" s="42">
        <f t="shared" si="49"/>
        <v>0</v>
      </c>
      <c r="I184" s="45">
        <v>1</v>
      </c>
      <c r="J184" s="41">
        <f t="shared" si="50"/>
        <v>1.2987012987012988E-2</v>
      </c>
      <c r="K184" s="45">
        <v>0</v>
      </c>
      <c r="L184" s="41">
        <f t="shared" si="51"/>
        <v>0</v>
      </c>
      <c r="M184" s="45">
        <v>70</v>
      </c>
      <c r="N184" s="41">
        <f t="shared" si="72"/>
        <v>0.90909090909090906</v>
      </c>
      <c r="O184" s="45">
        <v>13</v>
      </c>
      <c r="P184" s="41">
        <f t="shared" si="52"/>
        <v>0.9285714285714286</v>
      </c>
      <c r="Q184" s="45">
        <v>6</v>
      </c>
      <c r="R184" s="41">
        <f t="shared" si="73"/>
        <v>7.792207792207792E-2</v>
      </c>
      <c r="S184" s="45">
        <v>1</v>
      </c>
      <c r="T184" s="41">
        <f t="shared" si="53"/>
        <v>7.1428571428571425E-2</v>
      </c>
      <c r="U184" s="45">
        <v>5</v>
      </c>
      <c r="V184" s="41">
        <f t="shared" si="54"/>
        <v>6.4935064935064929E-2</v>
      </c>
      <c r="W184" s="45">
        <v>1</v>
      </c>
      <c r="X184" s="41">
        <f t="shared" si="55"/>
        <v>7.1428571428571425E-2</v>
      </c>
      <c r="Y184" s="45">
        <v>10</v>
      </c>
      <c r="Z184" s="41">
        <f t="shared" si="56"/>
        <v>0.12987012987012986</v>
      </c>
      <c r="AA184" s="45">
        <v>2</v>
      </c>
      <c r="AB184" s="41">
        <f t="shared" si="57"/>
        <v>0.14285714285714285</v>
      </c>
      <c r="AC184" s="45">
        <v>62</v>
      </c>
      <c r="AD184" s="41">
        <f t="shared" si="74"/>
        <v>0.80519480519480524</v>
      </c>
      <c r="AE184" s="45">
        <v>11</v>
      </c>
      <c r="AF184" s="41">
        <f t="shared" si="58"/>
        <v>0.7857142857142857</v>
      </c>
      <c r="AG184" s="45">
        <v>0</v>
      </c>
      <c r="AH184" s="41">
        <f t="shared" si="75"/>
        <v>0</v>
      </c>
      <c r="AI184" s="45">
        <v>0</v>
      </c>
      <c r="AJ184" s="41">
        <f t="shared" si="59"/>
        <v>0</v>
      </c>
      <c r="AK184" s="45">
        <v>1</v>
      </c>
      <c r="AL184" s="41">
        <f t="shared" si="76"/>
        <v>1.2987012987012988E-2</v>
      </c>
      <c r="AM184" s="45">
        <v>0</v>
      </c>
      <c r="AN184" s="41">
        <f t="shared" si="60"/>
        <v>0</v>
      </c>
      <c r="AO184" s="45">
        <v>41</v>
      </c>
      <c r="AP184" s="41">
        <f t="shared" si="77"/>
        <v>0.53246753246753242</v>
      </c>
      <c r="AQ184" s="45">
        <v>7</v>
      </c>
      <c r="AR184" s="41">
        <f t="shared" si="61"/>
        <v>0.5</v>
      </c>
      <c r="AS184" s="45">
        <v>15</v>
      </c>
      <c r="AT184" s="41">
        <f t="shared" si="78"/>
        <v>0.19480519480519481</v>
      </c>
      <c r="AU184" s="45">
        <v>4</v>
      </c>
      <c r="AV184" s="41">
        <f t="shared" si="62"/>
        <v>0.2857142857142857</v>
      </c>
      <c r="AW184" s="45">
        <v>11</v>
      </c>
      <c r="AX184" s="41">
        <f t="shared" si="79"/>
        <v>0.14285714285714285</v>
      </c>
      <c r="AY184" s="45">
        <v>2</v>
      </c>
      <c r="AZ184" s="41">
        <f t="shared" si="63"/>
        <v>0.14285714285714285</v>
      </c>
      <c r="BA184" s="45">
        <v>9</v>
      </c>
      <c r="BB184" s="41">
        <f t="shared" si="80"/>
        <v>0.11688311688311688</v>
      </c>
      <c r="BC184" s="45">
        <v>1</v>
      </c>
      <c r="BD184" s="41">
        <f t="shared" si="64"/>
        <v>7.1428571428571425E-2</v>
      </c>
      <c r="BE184" s="45">
        <v>77</v>
      </c>
      <c r="BF184" s="45">
        <v>14</v>
      </c>
    </row>
    <row r="185" spans="1:58" ht="15.75" customHeight="1" x14ac:dyDescent="0.25">
      <c r="A185" s="44">
        <v>2023</v>
      </c>
      <c r="B185" s="39">
        <v>170650</v>
      </c>
      <c r="C185" s="37" t="str">
        <f>VLOOKUP(B185,procv!$A$2:$D$142,4,FALSE)</f>
        <v>Médio Norte Araguaia</v>
      </c>
      <c r="D185" s="37" t="s">
        <v>49</v>
      </c>
      <c r="E185" s="45">
        <v>2</v>
      </c>
      <c r="F185" s="42">
        <f t="shared" si="48"/>
        <v>8.0000000000000002E-3</v>
      </c>
      <c r="G185" s="45">
        <v>0</v>
      </c>
      <c r="H185" s="42">
        <f t="shared" si="49"/>
        <v>0</v>
      </c>
      <c r="I185" s="45">
        <v>11</v>
      </c>
      <c r="J185" s="41">
        <f t="shared" si="50"/>
        <v>4.3999999999999997E-2</v>
      </c>
      <c r="K185" s="45">
        <v>4</v>
      </c>
      <c r="L185" s="41">
        <f t="shared" si="51"/>
        <v>3.7735849056603772E-2</v>
      </c>
      <c r="M185" s="45">
        <v>229</v>
      </c>
      <c r="N185" s="41">
        <f t="shared" si="72"/>
        <v>0.91600000000000004</v>
      </c>
      <c r="O185" s="45">
        <v>98</v>
      </c>
      <c r="P185" s="41">
        <f t="shared" si="52"/>
        <v>0.92452830188679247</v>
      </c>
      <c r="Q185" s="45">
        <v>8</v>
      </c>
      <c r="R185" s="41">
        <f t="shared" si="73"/>
        <v>3.2000000000000001E-2</v>
      </c>
      <c r="S185" s="45">
        <v>4</v>
      </c>
      <c r="T185" s="41">
        <f t="shared" si="53"/>
        <v>3.7735849056603772E-2</v>
      </c>
      <c r="U185" s="45">
        <v>12</v>
      </c>
      <c r="V185" s="41">
        <f t="shared" si="54"/>
        <v>4.8000000000000001E-2</v>
      </c>
      <c r="W185" s="45">
        <v>3</v>
      </c>
      <c r="X185" s="41">
        <f t="shared" si="55"/>
        <v>2.8301886792452831E-2</v>
      </c>
      <c r="Y185" s="45">
        <v>32</v>
      </c>
      <c r="Z185" s="41">
        <f t="shared" si="56"/>
        <v>0.128</v>
      </c>
      <c r="AA185" s="45">
        <v>16</v>
      </c>
      <c r="AB185" s="41">
        <f t="shared" si="57"/>
        <v>0.15094339622641509</v>
      </c>
      <c r="AC185" s="45">
        <v>206</v>
      </c>
      <c r="AD185" s="41">
        <f t="shared" si="74"/>
        <v>0.82399999999999995</v>
      </c>
      <c r="AE185" s="45">
        <v>87</v>
      </c>
      <c r="AF185" s="41">
        <f t="shared" si="58"/>
        <v>0.82075471698113212</v>
      </c>
      <c r="AG185" s="45">
        <v>8</v>
      </c>
      <c r="AH185" s="41">
        <f t="shared" si="75"/>
        <v>3.2000000000000001E-2</v>
      </c>
      <c r="AI185" s="45">
        <v>1</v>
      </c>
      <c r="AJ185" s="41">
        <f t="shared" si="59"/>
        <v>9.433962264150943E-3</v>
      </c>
      <c r="AK185" s="45">
        <v>5</v>
      </c>
      <c r="AL185" s="41">
        <f t="shared" si="76"/>
        <v>0.02</v>
      </c>
      <c r="AM185" s="45">
        <v>5</v>
      </c>
      <c r="AN185" s="41">
        <f t="shared" si="60"/>
        <v>4.716981132075472E-2</v>
      </c>
      <c r="AO185" s="45">
        <v>166</v>
      </c>
      <c r="AP185" s="41">
        <f t="shared" si="77"/>
        <v>0.66400000000000003</v>
      </c>
      <c r="AQ185" s="45">
        <v>67</v>
      </c>
      <c r="AR185" s="41">
        <f t="shared" si="61"/>
        <v>0.63207547169811318</v>
      </c>
      <c r="AS185" s="45">
        <v>46</v>
      </c>
      <c r="AT185" s="41">
        <f t="shared" si="78"/>
        <v>0.184</v>
      </c>
      <c r="AU185" s="45">
        <v>22</v>
      </c>
      <c r="AV185" s="41">
        <f t="shared" si="62"/>
        <v>0.20754716981132076</v>
      </c>
      <c r="AW185" s="45">
        <v>15</v>
      </c>
      <c r="AX185" s="41">
        <f t="shared" si="79"/>
        <v>0.06</v>
      </c>
      <c r="AY185" s="45">
        <v>7</v>
      </c>
      <c r="AZ185" s="41">
        <f t="shared" si="63"/>
        <v>6.6037735849056603E-2</v>
      </c>
      <c r="BA185" s="45">
        <v>10</v>
      </c>
      <c r="BB185" s="41">
        <f t="shared" si="80"/>
        <v>0.04</v>
      </c>
      <c r="BC185" s="45">
        <v>4</v>
      </c>
      <c r="BD185" s="41">
        <f t="shared" si="64"/>
        <v>3.7735849056603772E-2</v>
      </c>
      <c r="BE185" s="45">
        <v>250</v>
      </c>
      <c r="BF185" s="45">
        <v>106</v>
      </c>
    </row>
    <row r="186" spans="1:58" ht="15.75" customHeight="1" x14ac:dyDescent="0.25">
      <c r="A186" s="44">
        <v>2023</v>
      </c>
      <c r="B186" s="39">
        <v>170700</v>
      </c>
      <c r="C186" s="37" t="str">
        <f>VLOOKUP(B186,procv!$A$2:$D$142,4,FALSE)</f>
        <v>Sudeste</v>
      </c>
      <c r="D186" s="37" t="s">
        <v>50</v>
      </c>
      <c r="E186" s="45">
        <v>14</v>
      </c>
      <c r="F186" s="42">
        <f t="shared" si="48"/>
        <v>1.3397129186602871E-2</v>
      </c>
      <c r="G186" s="45">
        <v>8</v>
      </c>
      <c r="H186" s="42">
        <f t="shared" si="49"/>
        <v>1.6666666666666666E-2</v>
      </c>
      <c r="I186" s="45">
        <v>28</v>
      </c>
      <c r="J186" s="41">
        <f t="shared" si="50"/>
        <v>2.6794258373205742E-2</v>
      </c>
      <c r="K186" s="45">
        <v>17</v>
      </c>
      <c r="L186" s="41">
        <f t="shared" si="51"/>
        <v>3.5416666666666666E-2</v>
      </c>
      <c r="M186" s="45">
        <v>959</v>
      </c>
      <c r="N186" s="41">
        <f t="shared" si="72"/>
        <v>0.91770334928229669</v>
      </c>
      <c r="O186" s="45">
        <v>433</v>
      </c>
      <c r="P186" s="41">
        <f t="shared" si="52"/>
        <v>0.90208333333333335</v>
      </c>
      <c r="Q186" s="45">
        <v>44</v>
      </c>
      <c r="R186" s="41">
        <f t="shared" si="73"/>
        <v>4.2105263157894736E-2</v>
      </c>
      <c r="S186" s="45">
        <v>22</v>
      </c>
      <c r="T186" s="41">
        <f t="shared" si="53"/>
        <v>4.583333333333333E-2</v>
      </c>
      <c r="U186" s="45">
        <v>46</v>
      </c>
      <c r="V186" s="41">
        <f t="shared" si="54"/>
        <v>4.4019138755980861E-2</v>
      </c>
      <c r="W186" s="45">
        <v>40</v>
      </c>
      <c r="X186" s="41">
        <f t="shared" si="55"/>
        <v>8.3333333333333329E-2</v>
      </c>
      <c r="Y186" s="45">
        <v>88</v>
      </c>
      <c r="Z186" s="41">
        <f t="shared" si="56"/>
        <v>8.4210526315789472E-2</v>
      </c>
      <c r="AA186" s="45">
        <v>52</v>
      </c>
      <c r="AB186" s="41">
        <f t="shared" si="57"/>
        <v>0.10833333333333334</v>
      </c>
      <c r="AC186" s="45">
        <v>911</v>
      </c>
      <c r="AD186" s="41">
        <f t="shared" si="74"/>
        <v>0.87177033492822964</v>
      </c>
      <c r="AE186" s="45">
        <v>388</v>
      </c>
      <c r="AF186" s="41">
        <f t="shared" si="58"/>
        <v>0.80833333333333335</v>
      </c>
      <c r="AG186" s="45">
        <v>28</v>
      </c>
      <c r="AH186" s="41">
        <f t="shared" si="75"/>
        <v>2.6794258373205742E-2</v>
      </c>
      <c r="AI186" s="45">
        <v>27</v>
      </c>
      <c r="AJ186" s="41">
        <f t="shared" si="59"/>
        <v>5.6250000000000001E-2</v>
      </c>
      <c r="AK186" s="45">
        <v>38</v>
      </c>
      <c r="AL186" s="41">
        <f t="shared" si="76"/>
        <v>3.6363636363636362E-2</v>
      </c>
      <c r="AM186" s="45">
        <v>30</v>
      </c>
      <c r="AN186" s="41">
        <f t="shared" si="60"/>
        <v>6.25E-2</v>
      </c>
      <c r="AO186" s="45">
        <v>689</v>
      </c>
      <c r="AP186" s="41">
        <f t="shared" si="77"/>
        <v>0.65933014354066988</v>
      </c>
      <c r="AQ186" s="45">
        <v>301</v>
      </c>
      <c r="AR186" s="41">
        <f t="shared" si="61"/>
        <v>0.62708333333333333</v>
      </c>
      <c r="AS186" s="45">
        <v>163</v>
      </c>
      <c r="AT186" s="41">
        <f t="shared" si="78"/>
        <v>0.15598086124401914</v>
      </c>
      <c r="AU186" s="45">
        <v>49</v>
      </c>
      <c r="AV186" s="41">
        <f t="shared" si="62"/>
        <v>0.10208333333333333</v>
      </c>
      <c r="AW186" s="45">
        <v>78</v>
      </c>
      <c r="AX186" s="41">
        <f t="shared" si="79"/>
        <v>7.4641148325358855E-2</v>
      </c>
      <c r="AY186" s="45">
        <v>30</v>
      </c>
      <c r="AZ186" s="41">
        <f t="shared" si="63"/>
        <v>6.25E-2</v>
      </c>
      <c r="BA186" s="45">
        <v>49</v>
      </c>
      <c r="BB186" s="41">
        <f t="shared" si="80"/>
        <v>4.6889952153110051E-2</v>
      </c>
      <c r="BC186" s="45">
        <v>43</v>
      </c>
      <c r="BD186" s="41">
        <f t="shared" si="64"/>
        <v>8.9583333333333334E-2</v>
      </c>
      <c r="BE186" s="46">
        <v>1045</v>
      </c>
      <c r="BF186" s="45">
        <v>480</v>
      </c>
    </row>
    <row r="187" spans="1:58" ht="15.75" customHeight="1" x14ac:dyDescent="0.25">
      <c r="A187" s="44">
        <v>2023</v>
      </c>
      <c r="B187" s="39">
        <v>170710</v>
      </c>
      <c r="C187" s="37" t="str">
        <f>VLOOKUP(B187,procv!$A$2:$D$142,4,FALSE)</f>
        <v>Cantão</v>
      </c>
      <c r="D187" s="37" t="s">
        <v>51</v>
      </c>
      <c r="E187" s="45">
        <v>3</v>
      </c>
      <c r="F187" s="42">
        <f t="shared" si="48"/>
        <v>7.3529411764705881E-3</v>
      </c>
      <c r="G187" s="45">
        <v>4</v>
      </c>
      <c r="H187" s="42">
        <f t="shared" si="49"/>
        <v>2.3809523809523808E-2</v>
      </c>
      <c r="I187" s="45">
        <v>12</v>
      </c>
      <c r="J187" s="41">
        <f t="shared" si="50"/>
        <v>2.9411764705882353E-2</v>
      </c>
      <c r="K187" s="45">
        <v>5</v>
      </c>
      <c r="L187" s="41">
        <f t="shared" si="51"/>
        <v>2.976190476190476E-2</v>
      </c>
      <c r="M187" s="45">
        <v>372</v>
      </c>
      <c r="N187" s="41">
        <f t="shared" si="72"/>
        <v>0.91176470588235292</v>
      </c>
      <c r="O187" s="45">
        <v>144</v>
      </c>
      <c r="P187" s="41">
        <f t="shared" si="52"/>
        <v>0.8571428571428571</v>
      </c>
      <c r="Q187" s="45">
        <v>21</v>
      </c>
      <c r="R187" s="41">
        <f t="shared" si="73"/>
        <v>5.1470588235294115E-2</v>
      </c>
      <c r="S187" s="45">
        <v>15</v>
      </c>
      <c r="T187" s="41">
        <f t="shared" si="53"/>
        <v>8.9285714285714288E-2</v>
      </c>
      <c r="U187" s="45">
        <v>15</v>
      </c>
      <c r="V187" s="41">
        <f t="shared" si="54"/>
        <v>3.6764705882352942E-2</v>
      </c>
      <c r="W187" s="45">
        <v>13</v>
      </c>
      <c r="X187" s="41">
        <f t="shared" si="55"/>
        <v>7.7380952380952384E-2</v>
      </c>
      <c r="Y187" s="45">
        <v>24</v>
      </c>
      <c r="Z187" s="41">
        <f t="shared" si="56"/>
        <v>5.8823529411764705E-2</v>
      </c>
      <c r="AA187" s="45">
        <v>14</v>
      </c>
      <c r="AB187" s="41">
        <f t="shared" si="57"/>
        <v>8.3333333333333329E-2</v>
      </c>
      <c r="AC187" s="45">
        <v>369</v>
      </c>
      <c r="AD187" s="41">
        <f t="shared" si="74"/>
        <v>0.90441176470588236</v>
      </c>
      <c r="AE187" s="45">
        <v>141</v>
      </c>
      <c r="AF187" s="41">
        <f t="shared" si="58"/>
        <v>0.8392857142857143</v>
      </c>
      <c r="AG187" s="45">
        <v>17</v>
      </c>
      <c r="AH187" s="41">
        <f t="shared" si="75"/>
        <v>4.1666666666666664E-2</v>
      </c>
      <c r="AI187" s="45">
        <v>16</v>
      </c>
      <c r="AJ187" s="41">
        <f t="shared" si="59"/>
        <v>9.5238095238095233E-2</v>
      </c>
      <c r="AK187" s="45">
        <v>20</v>
      </c>
      <c r="AL187" s="41">
        <f t="shared" si="76"/>
        <v>4.9019607843137254E-2</v>
      </c>
      <c r="AM187" s="45">
        <v>9</v>
      </c>
      <c r="AN187" s="41">
        <f t="shared" si="60"/>
        <v>5.3571428571428568E-2</v>
      </c>
      <c r="AO187" s="45">
        <v>270</v>
      </c>
      <c r="AP187" s="41">
        <f t="shared" si="77"/>
        <v>0.66176470588235292</v>
      </c>
      <c r="AQ187" s="45">
        <v>99</v>
      </c>
      <c r="AR187" s="41">
        <f t="shared" si="61"/>
        <v>0.5892857142857143</v>
      </c>
      <c r="AS187" s="45">
        <v>69</v>
      </c>
      <c r="AT187" s="41">
        <f t="shared" si="78"/>
        <v>0.16911764705882354</v>
      </c>
      <c r="AU187" s="45">
        <v>22</v>
      </c>
      <c r="AV187" s="41">
        <f t="shared" si="62"/>
        <v>0.13095238095238096</v>
      </c>
      <c r="AW187" s="45">
        <v>19</v>
      </c>
      <c r="AX187" s="41">
        <f t="shared" si="79"/>
        <v>4.6568627450980393E-2</v>
      </c>
      <c r="AY187" s="45">
        <v>11</v>
      </c>
      <c r="AZ187" s="41">
        <f t="shared" si="63"/>
        <v>6.5476190476190479E-2</v>
      </c>
      <c r="BA187" s="45">
        <v>13</v>
      </c>
      <c r="BB187" s="41">
        <f t="shared" si="80"/>
        <v>3.1862745098039214E-2</v>
      </c>
      <c r="BC187" s="45">
        <v>11</v>
      </c>
      <c r="BD187" s="41">
        <f t="shared" si="64"/>
        <v>6.5476190476190479E-2</v>
      </c>
      <c r="BE187" s="45">
        <v>408</v>
      </c>
      <c r="BF187" s="45">
        <v>168</v>
      </c>
    </row>
    <row r="188" spans="1:58" ht="15.75" customHeight="1" x14ac:dyDescent="0.25">
      <c r="A188" s="44">
        <v>2023</v>
      </c>
      <c r="B188" s="39">
        <v>170720</v>
      </c>
      <c r="C188" s="37" t="str">
        <f>VLOOKUP(B188,procv!$A$2:$D$142,4,FALSE)</f>
        <v>Cantão</v>
      </c>
      <c r="D188" s="37" t="s">
        <v>52</v>
      </c>
      <c r="E188" s="45">
        <v>2</v>
      </c>
      <c r="F188" s="42">
        <f t="shared" si="48"/>
        <v>5.2770448548812663E-3</v>
      </c>
      <c r="G188" s="45">
        <v>0</v>
      </c>
      <c r="H188" s="42">
        <f t="shared" si="49"/>
        <v>0</v>
      </c>
      <c r="I188" s="45">
        <v>2</v>
      </c>
      <c r="J188" s="41">
        <f t="shared" si="50"/>
        <v>5.2770448548812663E-3</v>
      </c>
      <c r="K188" s="45">
        <v>0</v>
      </c>
      <c r="L188" s="41">
        <f t="shared" si="51"/>
        <v>0</v>
      </c>
      <c r="M188" s="45">
        <v>349</v>
      </c>
      <c r="N188" s="41">
        <f t="shared" si="72"/>
        <v>0.920844327176781</v>
      </c>
      <c r="O188" s="45">
        <v>212</v>
      </c>
      <c r="P188" s="41">
        <f t="shared" si="52"/>
        <v>0.93392070484581502</v>
      </c>
      <c r="Q188" s="45">
        <v>26</v>
      </c>
      <c r="R188" s="41">
        <f t="shared" si="73"/>
        <v>6.860158311345646E-2</v>
      </c>
      <c r="S188" s="45">
        <v>15</v>
      </c>
      <c r="T188" s="41">
        <f t="shared" si="53"/>
        <v>6.6079295154185022E-2</v>
      </c>
      <c r="U188" s="45">
        <v>12</v>
      </c>
      <c r="V188" s="41">
        <f t="shared" si="54"/>
        <v>3.1662269129287601E-2</v>
      </c>
      <c r="W188" s="45">
        <v>6</v>
      </c>
      <c r="X188" s="41">
        <f t="shared" si="55"/>
        <v>2.643171806167401E-2</v>
      </c>
      <c r="Y188" s="45">
        <v>11</v>
      </c>
      <c r="Z188" s="41">
        <f t="shared" si="56"/>
        <v>2.9023746701846966E-2</v>
      </c>
      <c r="AA188" s="45">
        <v>10</v>
      </c>
      <c r="AB188" s="41">
        <f t="shared" si="57"/>
        <v>4.405286343612335E-2</v>
      </c>
      <c r="AC188" s="45">
        <v>356</v>
      </c>
      <c r="AD188" s="41">
        <f t="shared" si="74"/>
        <v>0.93931398416886547</v>
      </c>
      <c r="AE188" s="45">
        <v>211</v>
      </c>
      <c r="AF188" s="41">
        <f t="shared" si="58"/>
        <v>0.92951541850220265</v>
      </c>
      <c r="AG188" s="45">
        <v>6</v>
      </c>
      <c r="AH188" s="41">
        <f t="shared" si="75"/>
        <v>1.5831134564643801E-2</v>
      </c>
      <c r="AI188" s="45">
        <v>5</v>
      </c>
      <c r="AJ188" s="41">
        <f t="shared" si="59"/>
        <v>2.2026431718061675E-2</v>
      </c>
      <c r="AK188" s="45">
        <v>11</v>
      </c>
      <c r="AL188" s="41">
        <f t="shared" si="76"/>
        <v>2.9023746701846966E-2</v>
      </c>
      <c r="AM188" s="45">
        <v>10</v>
      </c>
      <c r="AN188" s="41">
        <f t="shared" si="60"/>
        <v>4.405286343612335E-2</v>
      </c>
      <c r="AO188" s="45">
        <v>262</v>
      </c>
      <c r="AP188" s="41">
        <f t="shared" si="77"/>
        <v>0.69129287598944589</v>
      </c>
      <c r="AQ188" s="45">
        <v>159</v>
      </c>
      <c r="AR188" s="41">
        <f t="shared" si="61"/>
        <v>0.70044052863436124</v>
      </c>
      <c r="AS188" s="45">
        <v>54</v>
      </c>
      <c r="AT188" s="41">
        <f t="shared" si="78"/>
        <v>0.14248021108179421</v>
      </c>
      <c r="AU188" s="45">
        <v>27</v>
      </c>
      <c r="AV188" s="41">
        <f t="shared" si="62"/>
        <v>0.11894273127753303</v>
      </c>
      <c r="AW188" s="45">
        <v>27</v>
      </c>
      <c r="AX188" s="41">
        <f t="shared" si="79"/>
        <v>7.1240105540897103E-2</v>
      </c>
      <c r="AY188" s="45">
        <v>15</v>
      </c>
      <c r="AZ188" s="41">
        <f t="shared" si="63"/>
        <v>6.6079295154185022E-2</v>
      </c>
      <c r="BA188" s="45">
        <v>19</v>
      </c>
      <c r="BB188" s="41">
        <f t="shared" si="80"/>
        <v>5.0131926121372031E-2</v>
      </c>
      <c r="BC188" s="45">
        <v>11</v>
      </c>
      <c r="BD188" s="41">
        <f t="shared" si="64"/>
        <v>4.8458149779735685E-2</v>
      </c>
      <c r="BE188" s="45">
        <v>379</v>
      </c>
      <c r="BF188" s="45">
        <v>227</v>
      </c>
    </row>
    <row r="189" spans="1:58" ht="15.75" customHeight="1" x14ac:dyDescent="0.25">
      <c r="A189" s="44">
        <v>2023</v>
      </c>
      <c r="B189" s="39">
        <v>170730</v>
      </c>
      <c r="C189" s="37" t="str">
        <f>VLOOKUP(B189,procv!$A$2:$D$142,4,FALSE)</f>
        <v>Ilha do Bananal</v>
      </c>
      <c r="D189" s="37" t="s">
        <v>53</v>
      </c>
      <c r="E189" s="45">
        <v>3</v>
      </c>
      <c r="F189" s="42">
        <f t="shared" si="48"/>
        <v>1.1235955056179775E-2</v>
      </c>
      <c r="G189" s="45">
        <v>2</v>
      </c>
      <c r="H189" s="42">
        <f t="shared" si="49"/>
        <v>1.1764705882352941E-2</v>
      </c>
      <c r="I189" s="45">
        <v>6</v>
      </c>
      <c r="J189" s="41">
        <f t="shared" si="50"/>
        <v>2.247191011235955E-2</v>
      </c>
      <c r="K189" s="45">
        <v>4</v>
      </c>
      <c r="L189" s="41">
        <f t="shared" si="51"/>
        <v>2.3529411764705882E-2</v>
      </c>
      <c r="M189" s="45">
        <v>247</v>
      </c>
      <c r="N189" s="41">
        <f t="shared" si="72"/>
        <v>0.92509363295880154</v>
      </c>
      <c r="O189" s="45">
        <v>158</v>
      </c>
      <c r="P189" s="41">
        <f t="shared" si="52"/>
        <v>0.92941176470588238</v>
      </c>
      <c r="Q189" s="45">
        <v>11</v>
      </c>
      <c r="R189" s="41">
        <f t="shared" si="73"/>
        <v>4.1198501872659173E-2</v>
      </c>
      <c r="S189" s="45">
        <v>6</v>
      </c>
      <c r="T189" s="41">
        <f t="shared" si="53"/>
        <v>3.5294117647058823E-2</v>
      </c>
      <c r="U189" s="45">
        <v>11</v>
      </c>
      <c r="V189" s="41">
        <f t="shared" si="54"/>
        <v>4.1198501872659173E-2</v>
      </c>
      <c r="W189" s="45">
        <v>5</v>
      </c>
      <c r="X189" s="41">
        <f t="shared" si="55"/>
        <v>2.9411764705882353E-2</v>
      </c>
      <c r="Y189" s="45">
        <v>9</v>
      </c>
      <c r="Z189" s="41">
        <f t="shared" si="56"/>
        <v>3.3707865168539325E-2</v>
      </c>
      <c r="AA189" s="45">
        <v>8</v>
      </c>
      <c r="AB189" s="41">
        <f t="shared" si="57"/>
        <v>4.7058823529411764E-2</v>
      </c>
      <c r="AC189" s="45">
        <v>247</v>
      </c>
      <c r="AD189" s="41">
        <f t="shared" si="74"/>
        <v>0.92509363295880154</v>
      </c>
      <c r="AE189" s="45">
        <v>157</v>
      </c>
      <c r="AF189" s="41">
        <f t="shared" si="58"/>
        <v>0.92352941176470593</v>
      </c>
      <c r="AG189" s="45">
        <v>6</v>
      </c>
      <c r="AH189" s="41">
        <f t="shared" si="75"/>
        <v>2.247191011235955E-2</v>
      </c>
      <c r="AI189" s="45">
        <v>5</v>
      </c>
      <c r="AJ189" s="41">
        <f t="shared" si="59"/>
        <v>2.9411764705882353E-2</v>
      </c>
      <c r="AK189" s="45">
        <v>10</v>
      </c>
      <c r="AL189" s="41">
        <f t="shared" si="76"/>
        <v>3.7453183520599252E-2</v>
      </c>
      <c r="AM189" s="45">
        <v>6</v>
      </c>
      <c r="AN189" s="41">
        <f t="shared" si="60"/>
        <v>3.5294117647058823E-2</v>
      </c>
      <c r="AO189" s="45">
        <v>194</v>
      </c>
      <c r="AP189" s="41">
        <f t="shared" si="77"/>
        <v>0.72659176029962547</v>
      </c>
      <c r="AQ189" s="45">
        <v>136</v>
      </c>
      <c r="AR189" s="41">
        <f t="shared" si="61"/>
        <v>0.8</v>
      </c>
      <c r="AS189" s="45">
        <v>32</v>
      </c>
      <c r="AT189" s="41">
        <f t="shared" si="78"/>
        <v>0.1198501872659176</v>
      </c>
      <c r="AU189" s="45">
        <v>10</v>
      </c>
      <c r="AV189" s="41">
        <f t="shared" si="62"/>
        <v>5.8823529411764705E-2</v>
      </c>
      <c r="AW189" s="45">
        <v>13</v>
      </c>
      <c r="AX189" s="41">
        <f t="shared" si="79"/>
        <v>4.8689138576779027E-2</v>
      </c>
      <c r="AY189" s="45">
        <v>7</v>
      </c>
      <c r="AZ189" s="41">
        <f t="shared" si="63"/>
        <v>4.1176470588235294E-2</v>
      </c>
      <c r="BA189" s="45">
        <v>12</v>
      </c>
      <c r="BB189" s="41">
        <f t="shared" si="80"/>
        <v>4.49438202247191E-2</v>
      </c>
      <c r="BC189" s="45">
        <v>6</v>
      </c>
      <c r="BD189" s="41">
        <f t="shared" si="64"/>
        <v>3.5294117647058823E-2</v>
      </c>
      <c r="BE189" s="45">
        <v>267</v>
      </c>
      <c r="BF189" s="45">
        <v>170</v>
      </c>
    </row>
    <row r="190" spans="1:58" ht="15.75" customHeight="1" x14ac:dyDescent="0.25">
      <c r="A190" s="44">
        <v>2023</v>
      </c>
      <c r="B190" s="39">
        <v>170740</v>
      </c>
      <c r="C190" s="37" t="str">
        <f>VLOOKUP(B190,procv!$A$2:$D$142,4,FALSE)</f>
        <v>Bico do Papagaio</v>
      </c>
      <c r="D190" s="37" t="s">
        <v>54</v>
      </c>
      <c r="E190" s="45">
        <v>5</v>
      </c>
      <c r="F190" s="42">
        <f t="shared" si="48"/>
        <v>7.3099415204678359E-3</v>
      </c>
      <c r="G190" s="45">
        <v>5</v>
      </c>
      <c r="H190" s="42">
        <f t="shared" si="49"/>
        <v>1.2376237623762377E-2</v>
      </c>
      <c r="I190" s="45">
        <v>30</v>
      </c>
      <c r="J190" s="41">
        <f t="shared" si="50"/>
        <v>4.3859649122807015E-2</v>
      </c>
      <c r="K190" s="45">
        <v>26</v>
      </c>
      <c r="L190" s="41">
        <f t="shared" si="51"/>
        <v>6.4356435643564358E-2</v>
      </c>
      <c r="M190" s="45">
        <v>625</v>
      </c>
      <c r="N190" s="41">
        <f t="shared" si="72"/>
        <v>0.91374269005847952</v>
      </c>
      <c r="O190" s="45">
        <v>359</v>
      </c>
      <c r="P190" s="41">
        <f t="shared" si="52"/>
        <v>0.88861386138613863</v>
      </c>
      <c r="Q190" s="45">
        <v>24</v>
      </c>
      <c r="R190" s="41">
        <f t="shared" si="73"/>
        <v>3.5087719298245612E-2</v>
      </c>
      <c r="S190" s="45">
        <v>14</v>
      </c>
      <c r="T190" s="41">
        <f t="shared" si="53"/>
        <v>3.4653465346534656E-2</v>
      </c>
      <c r="U190" s="45">
        <v>41</v>
      </c>
      <c r="V190" s="41">
        <f t="shared" si="54"/>
        <v>5.9941520467836254E-2</v>
      </c>
      <c r="W190" s="45">
        <v>29</v>
      </c>
      <c r="X190" s="41">
        <f t="shared" si="55"/>
        <v>7.1782178217821777E-2</v>
      </c>
      <c r="Y190" s="45">
        <v>68</v>
      </c>
      <c r="Z190" s="41">
        <f t="shared" si="56"/>
        <v>9.9415204678362568E-2</v>
      </c>
      <c r="AA190" s="45">
        <v>51</v>
      </c>
      <c r="AB190" s="41">
        <f t="shared" si="57"/>
        <v>0.12623762376237624</v>
      </c>
      <c r="AC190" s="45">
        <v>575</v>
      </c>
      <c r="AD190" s="41">
        <f t="shared" si="74"/>
        <v>0.84064327485380119</v>
      </c>
      <c r="AE190" s="45">
        <v>324</v>
      </c>
      <c r="AF190" s="41">
        <f t="shared" si="58"/>
        <v>0.80198019801980203</v>
      </c>
      <c r="AG190" s="45">
        <v>12</v>
      </c>
      <c r="AH190" s="41">
        <f t="shared" si="75"/>
        <v>1.7543859649122806E-2</v>
      </c>
      <c r="AI190" s="45">
        <v>14</v>
      </c>
      <c r="AJ190" s="41">
        <f t="shared" si="59"/>
        <v>3.4653465346534656E-2</v>
      </c>
      <c r="AK190" s="45">
        <v>27</v>
      </c>
      <c r="AL190" s="41">
        <f t="shared" si="76"/>
        <v>3.9473684210526314E-2</v>
      </c>
      <c r="AM190" s="45">
        <v>18</v>
      </c>
      <c r="AN190" s="41">
        <f t="shared" si="60"/>
        <v>4.4554455445544552E-2</v>
      </c>
      <c r="AO190" s="45">
        <v>460</v>
      </c>
      <c r="AP190" s="41">
        <f t="shared" si="77"/>
        <v>0.67251461988304095</v>
      </c>
      <c r="AQ190" s="45">
        <v>269</v>
      </c>
      <c r="AR190" s="41">
        <f t="shared" si="61"/>
        <v>0.66584158415841588</v>
      </c>
      <c r="AS190" s="45">
        <v>102</v>
      </c>
      <c r="AT190" s="41">
        <f t="shared" si="78"/>
        <v>0.14912280701754385</v>
      </c>
      <c r="AU190" s="45">
        <v>55</v>
      </c>
      <c r="AV190" s="41">
        <f t="shared" si="62"/>
        <v>0.13613861386138615</v>
      </c>
      <c r="AW190" s="45">
        <v>49</v>
      </c>
      <c r="AX190" s="41">
        <f t="shared" si="79"/>
        <v>7.1637426900584791E-2</v>
      </c>
      <c r="AY190" s="45">
        <v>25</v>
      </c>
      <c r="AZ190" s="41">
        <f t="shared" si="63"/>
        <v>6.1881188118811881E-2</v>
      </c>
      <c r="BA190" s="45">
        <v>34</v>
      </c>
      <c r="BB190" s="41">
        <f t="shared" si="80"/>
        <v>4.9707602339181284E-2</v>
      </c>
      <c r="BC190" s="45">
        <v>23</v>
      </c>
      <c r="BD190" s="41">
        <f t="shared" si="64"/>
        <v>5.6930693069306933E-2</v>
      </c>
      <c r="BE190" s="45">
        <v>684</v>
      </c>
      <c r="BF190" s="45">
        <v>404</v>
      </c>
    </row>
    <row r="191" spans="1:58" ht="15.75" customHeight="1" x14ac:dyDescent="0.25">
      <c r="A191" s="44">
        <v>2023</v>
      </c>
      <c r="B191" s="39">
        <v>170755</v>
      </c>
      <c r="C191" s="37" t="str">
        <f>VLOOKUP(B191,procv!$A$2:$D$142,4,FALSE)</f>
        <v>Amor Perfeito</v>
      </c>
      <c r="D191" s="37" t="s">
        <v>55</v>
      </c>
      <c r="E191" s="45">
        <v>0</v>
      </c>
      <c r="F191" s="42">
        <f t="shared" si="48"/>
        <v>0</v>
      </c>
      <c r="G191" s="45">
        <v>0</v>
      </c>
      <c r="H191" s="42">
        <f t="shared" si="49"/>
        <v>0</v>
      </c>
      <c r="I191" s="45">
        <v>3</v>
      </c>
      <c r="J191" s="41">
        <f t="shared" si="50"/>
        <v>1.3698630136986301E-2</v>
      </c>
      <c r="K191" s="45">
        <v>2</v>
      </c>
      <c r="L191" s="41">
        <f t="shared" si="51"/>
        <v>1.4388489208633094E-2</v>
      </c>
      <c r="M191" s="45">
        <v>206</v>
      </c>
      <c r="N191" s="41">
        <f t="shared" si="72"/>
        <v>0.94063926940639264</v>
      </c>
      <c r="O191" s="45">
        <v>132</v>
      </c>
      <c r="P191" s="41">
        <f t="shared" si="52"/>
        <v>0.94964028776978415</v>
      </c>
      <c r="Q191" s="45">
        <v>10</v>
      </c>
      <c r="R191" s="41">
        <f t="shared" si="73"/>
        <v>4.5662100456621002E-2</v>
      </c>
      <c r="S191" s="45">
        <v>5</v>
      </c>
      <c r="T191" s="41">
        <f t="shared" si="53"/>
        <v>3.5971223021582732E-2</v>
      </c>
      <c r="U191" s="45">
        <v>5</v>
      </c>
      <c r="V191" s="41">
        <f t="shared" si="54"/>
        <v>2.2831050228310501E-2</v>
      </c>
      <c r="W191" s="45">
        <v>4</v>
      </c>
      <c r="X191" s="41">
        <f t="shared" si="55"/>
        <v>2.8776978417266189E-2</v>
      </c>
      <c r="Y191" s="45">
        <v>19</v>
      </c>
      <c r="Z191" s="41">
        <f t="shared" si="56"/>
        <v>8.6757990867579904E-2</v>
      </c>
      <c r="AA191" s="45">
        <v>15</v>
      </c>
      <c r="AB191" s="41">
        <f t="shared" si="57"/>
        <v>0.1079136690647482</v>
      </c>
      <c r="AC191" s="45">
        <v>195</v>
      </c>
      <c r="AD191" s="41">
        <f t="shared" si="74"/>
        <v>0.8904109589041096</v>
      </c>
      <c r="AE191" s="45">
        <v>120</v>
      </c>
      <c r="AF191" s="41">
        <f t="shared" si="58"/>
        <v>0.86330935251798557</v>
      </c>
      <c r="AG191" s="45">
        <v>1</v>
      </c>
      <c r="AH191" s="41">
        <f t="shared" si="75"/>
        <v>4.5662100456621002E-3</v>
      </c>
      <c r="AI191" s="45">
        <v>1</v>
      </c>
      <c r="AJ191" s="41">
        <f t="shared" si="59"/>
        <v>7.1942446043165471E-3</v>
      </c>
      <c r="AK191" s="45">
        <v>5</v>
      </c>
      <c r="AL191" s="41">
        <f t="shared" si="76"/>
        <v>2.2831050228310501E-2</v>
      </c>
      <c r="AM191" s="45">
        <v>3</v>
      </c>
      <c r="AN191" s="41">
        <f t="shared" si="60"/>
        <v>2.1582733812949641E-2</v>
      </c>
      <c r="AO191" s="45">
        <v>132</v>
      </c>
      <c r="AP191" s="41">
        <f t="shared" si="77"/>
        <v>0.60273972602739723</v>
      </c>
      <c r="AQ191" s="45">
        <v>87</v>
      </c>
      <c r="AR191" s="41">
        <f t="shared" si="61"/>
        <v>0.62589928057553956</v>
      </c>
      <c r="AS191" s="45">
        <v>59</v>
      </c>
      <c r="AT191" s="41">
        <f t="shared" si="78"/>
        <v>0.26940639269406391</v>
      </c>
      <c r="AU191" s="45">
        <v>40</v>
      </c>
      <c r="AV191" s="41">
        <f t="shared" si="62"/>
        <v>0.28776978417266186</v>
      </c>
      <c r="AW191" s="45">
        <v>14</v>
      </c>
      <c r="AX191" s="41">
        <f t="shared" si="79"/>
        <v>6.3926940639269403E-2</v>
      </c>
      <c r="AY191" s="45">
        <v>2</v>
      </c>
      <c r="AZ191" s="41">
        <f t="shared" si="63"/>
        <v>1.4388489208633094E-2</v>
      </c>
      <c r="BA191" s="45">
        <v>8</v>
      </c>
      <c r="BB191" s="41">
        <f t="shared" si="80"/>
        <v>3.6529680365296802E-2</v>
      </c>
      <c r="BC191" s="45">
        <v>6</v>
      </c>
      <c r="BD191" s="41">
        <f t="shared" si="64"/>
        <v>4.3165467625899283E-2</v>
      </c>
      <c r="BE191" s="45">
        <v>219</v>
      </c>
      <c r="BF191" s="45">
        <v>139</v>
      </c>
    </row>
    <row r="192" spans="1:58" ht="15.75" customHeight="1" x14ac:dyDescent="0.25">
      <c r="A192" s="44">
        <v>2023</v>
      </c>
      <c r="B192" s="39">
        <v>170765</v>
      </c>
      <c r="C192" s="37" t="str">
        <f>VLOOKUP(B192,procv!$A$2:$D$142,4,FALSE)</f>
        <v>Ilha do Bananal</v>
      </c>
      <c r="D192" s="37" t="s">
        <v>56</v>
      </c>
      <c r="E192" s="45">
        <v>3</v>
      </c>
      <c r="F192" s="42">
        <f t="shared" si="48"/>
        <v>1.0380622837370242E-2</v>
      </c>
      <c r="G192" s="45">
        <v>0</v>
      </c>
      <c r="H192" s="42">
        <f t="shared" si="49"/>
        <v>0</v>
      </c>
      <c r="I192" s="45">
        <v>6</v>
      </c>
      <c r="J192" s="41">
        <f t="shared" si="50"/>
        <v>2.0761245674740483E-2</v>
      </c>
      <c r="K192" s="45">
        <v>2</v>
      </c>
      <c r="L192" s="41">
        <f t="shared" si="51"/>
        <v>1.3157894736842105E-2</v>
      </c>
      <c r="M192" s="45">
        <v>258</v>
      </c>
      <c r="N192" s="41">
        <f t="shared" si="72"/>
        <v>0.89273356401384085</v>
      </c>
      <c r="O192" s="45">
        <v>142</v>
      </c>
      <c r="P192" s="41">
        <f t="shared" si="52"/>
        <v>0.93421052631578949</v>
      </c>
      <c r="Q192" s="45">
        <v>22</v>
      </c>
      <c r="R192" s="41">
        <f t="shared" si="73"/>
        <v>7.6124567474048443E-2</v>
      </c>
      <c r="S192" s="45">
        <v>8</v>
      </c>
      <c r="T192" s="41">
        <f t="shared" si="53"/>
        <v>5.2631578947368418E-2</v>
      </c>
      <c r="U192" s="45">
        <v>16</v>
      </c>
      <c r="V192" s="41">
        <f t="shared" si="54"/>
        <v>5.536332179930796E-2</v>
      </c>
      <c r="W192" s="45">
        <v>19</v>
      </c>
      <c r="X192" s="41">
        <f t="shared" si="55"/>
        <v>0.125</v>
      </c>
      <c r="Y192" s="45">
        <v>25</v>
      </c>
      <c r="Z192" s="41">
        <f t="shared" si="56"/>
        <v>8.6505190311418678E-2</v>
      </c>
      <c r="AA192" s="45">
        <v>11</v>
      </c>
      <c r="AB192" s="41">
        <f t="shared" si="57"/>
        <v>7.2368421052631582E-2</v>
      </c>
      <c r="AC192" s="45">
        <v>248</v>
      </c>
      <c r="AD192" s="41">
        <f t="shared" ref="AD192:AD255" si="81">IFERROR(AC192/$BE192,0)</f>
        <v>0.8581314878892734</v>
      </c>
      <c r="AE192" s="45">
        <v>122</v>
      </c>
      <c r="AF192" s="41">
        <f t="shared" si="58"/>
        <v>0.80263157894736847</v>
      </c>
      <c r="AG192" s="45">
        <v>7</v>
      </c>
      <c r="AH192" s="41">
        <f t="shared" ref="AH192:AH255" si="82">IFERROR(AG192/$BE192,0)</f>
        <v>2.4221453287197232E-2</v>
      </c>
      <c r="AI192" s="45">
        <v>4</v>
      </c>
      <c r="AJ192" s="41">
        <f t="shared" si="59"/>
        <v>2.6315789473684209E-2</v>
      </c>
      <c r="AK192" s="45">
        <v>7</v>
      </c>
      <c r="AL192" s="41">
        <f t="shared" ref="AL192:AL255" si="83">IFERROR(AK192/$BE192,0)</f>
        <v>2.4221453287197232E-2</v>
      </c>
      <c r="AM192" s="45">
        <v>6</v>
      </c>
      <c r="AN192" s="41">
        <f t="shared" si="60"/>
        <v>3.9473684210526314E-2</v>
      </c>
      <c r="AO192" s="45">
        <v>180</v>
      </c>
      <c r="AP192" s="41">
        <f t="shared" ref="AP192:AP255" si="84">IFERROR(AO192/$BE192,0)</f>
        <v>0.62283737024221453</v>
      </c>
      <c r="AQ192" s="45">
        <v>104</v>
      </c>
      <c r="AR192" s="41">
        <f t="shared" si="61"/>
        <v>0.68421052631578949</v>
      </c>
      <c r="AS192" s="45">
        <v>51</v>
      </c>
      <c r="AT192" s="41">
        <f t="shared" ref="AT192:AT255" si="85">IFERROR(AS192/$BE192,0)</f>
        <v>0.17647058823529413</v>
      </c>
      <c r="AU192" s="45">
        <v>13</v>
      </c>
      <c r="AV192" s="41">
        <f t="shared" si="62"/>
        <v>8.5526315789473686E-2</v>
      </c>
      <c r="AW192" s="45">
        <v>23</v>
      </c>
      <c r="AX192" s="41">
        <f t="shared" ref="AX192:AX255" si="86">IFERROR(AW192/$BE192,0)</f>
        <v>7.9584775086505188E-2</v>
      </c>
      <c r="AY192" s="45">
        <v>8</v>
      </c>
      <c r="AZ192" s="41">
        <f t="shared" si="63"/>
        <v>5.2631578947368418E-2</v>
      </c>
      <c r="BA192" s="45">
        <v>21</v>
      </c>
      <c r="BB192" s="41">
        <f t="shared" ref="BB192:BB255" si="87">IFERROR(BA192/$BE192,0)</f>
        <v>7.2664359861591699E-2</v>
      </c>
      <c r="BC192" s="45">
        <v>17</v>
      </c>
      <c r="BD192" s="41">
        <f t="shared" si="64"/>
        <v>0.1118421052631579</v>
      </c>
      <c r="BE192" s="45">
        <v>289</v>
      </c>
      <c r="BF192" s="45">
        <v>152</v>
      </c>
    </row>
    <row r="193" spans="1:58" ht="15.75" customHeight="1" x14ac:dyDescent="0.25">
      <c r="A193" s="44">
        <v>2023</v>
      </c>
      <c r="B193" s="39">
        <v>170770</v>
      </c>
      <c r="C193" s="37" t="str">
        <f>VLOOKUP(B193,procv!$A$2:$D$142,4,FALSE)</f>
        <v>Médio Norte Araguaia</v>
      </c>
      <c r="D193" s="37" t="s">
        <v>57</v>
      </c>
      <c r="E193" s="45">
        <v>2</v>
      </c>
      <c r="F193" s="42">
        <f t="shared" si="48"/>
        <v>3.8022813688212928E-3</v>
      </c>
      <c r="G193" s="45">
        <v>0</v>
      </c>
      <c r="H193" s="42">
        <f t="shared" si="49"/>
        <v>0</v>
      </c>
      <c r="I193" s="45">
        <v>18</v>
      </c>
      <c r="J193" s="41">
        <f t="shared" si="50"/>
        <v>3.4220532319391636E-2</v>
      </c>
      <c r="K193" s="45">
        <v>14</v>
      </c>
      <c r="L193" s="41">
        <f t="shared" si="51"/>
        <v>3.7135278514588858E-2</v>
      </c>
      <c r="M193" s="45">
        <v>488</v>
      </c>
      <c r="N193" s="41">
        <f t="shared" si="72"/>
        <v>0.92775665399239549</v>
      </c>
      <c r="O193" s="45">
        <v>349</v>
      </c>
      <c r="P193" s="41">
        <f t="shared" si="52"/>
        <v>0.92572944297082227</v>
      </c>
      <c r="Q193" s="45">
        <v>18</v>
      </c>
      <c r="R193" s="41">
        <f t="shared" si="73"/>
        <v>3.4220532319391636E-2</v>
      </c>
      <c r="S193" s="45">
        <v>14</v>
      </c>
      <c r="T193" s="41">
        <f t="shared" si="53"/>
        <v>3.7135278514588858E-2</v>
      </c>
      <c r="U193" s="45">
        <v>22</v>
      </c>
      <c r="V193" s="41">
        <f t="shared" si="54"/>
        <v>4.1825095057034217E-2</v>
      </c>
      <c r="W193" s="45">
        <v>16</v>
      </c>
      <c r="X193" s="41">
        <f t="shared" si="55"/>
        <v>4.2440318302387266E-2</v>
      </c>
      <c r="Y193" s="45">
        <v>54</v>
      </c>
      <c r="Z193" s="41">
        <f t="shared" si="56"/>
        <v>0.10266159695817491</v>
      </c>
      <c r="AA193" s="45">
        <v>46</v>
      </c>
      <c r="AB193" s="41">
        <f t="shared" si="57"/>
        <v>0.1220159151193634</v>
      </c>
      <c r="AC193" s="45">
        <v>450</v>
      </c>
      <c r="AD193" s="41">
        <f t="shared" si="81"/>
        <v>0.85551330798479086</v>
      </c>
      <c r="AE193" s="45">
        <v>315</v>
      </c>
      <c r="AF193" s="41">
        <f t="shared" si="58"/>
        <v>0.83554376657824936</v>
      </c>
      <c r="AG193" s="45">
        <v>9</v>
      </c>
      <c r="AH193" s="41">
        <f t="shared" si="82"/>
        <v>1.7110266159695818E-2</v>
      </c>
      <c r="AI193" s="45">
        <v>6</v>
      </c>
      <c r="AJ193" s="41">
        <f t="shared" si="59"/>
        <v>1.5915119363395226E-2</v>
      </c>
      <c r="AK193" s="45">
        <v>14</v>
      </c>
      <c r="AL193" s="41">
        <f t="shared" si="83"/>
        <v>2.6615969581749048E-2</v>
      </c>
      <c r="AM193" s="45">
        <v>10</v>
      </c>
      <c r="AN193" s="41">
        <f t="shared" si="60"/>
        <v>2.6525198938992044E-2</v>
      </c>
      <c r="AO193" s="45">
        <v>367</v>
      </c>
      <c r="AP193" s="41">
        <f t="shared" si="84"/>
        <v>0.69771863117870725</v>
      </c>
      <c r="AQ193" s="45">
        <v>264</v>
      </c>
      <c r="AR193" s="41">
        <f t="shared" si="61"/>
        <v>0.70026525198938994</v>
      </c>
      <c r="AS193" s="45">
        <v>80</v>
      </c>
      <c r="AT193" s="41">
        <f t="shared" si="85"/>
        <v>0.15209125475285171</v>
      </c>
      <c r="AU193" s="45">
        <v>69</v>
      </c>
      <c r="AV193" s="41">
        <f t="shared" si="62"/>
        <v>0.1830238726790451</v>
      </c>
      <c r="AW193" s="45">
        <v>34</v>
      </c>
      <c r="AX193" s="41">
        <f t="shared" si="86"/>
        <v>6.4638783269961975E-2</v>
      </c>
      <c r="AY193" s="45">
        <v>14</v>
      </c>
      <c r="AZ193" s="41">
        <f t="shared" si="63"/>
        <v>3.7135278514588858E-2</v>
      </c>
      <c r="BA193" s="45">
        <v>22</v>
      </c>
      <c r="BB193" s="41">
        <f t="shared" si="87"/>
        <v>4.1825095057034217E-2</v>
      </c>
      <c r="BC193" s="45">
        <v>14</v>
      </c>
      <c r="BD193" s="41">
        <f t="shared" si="64"/>
        <v>3.7135278514588858E-2</v>
      </c>
      <c r="BE193" s="45">
        <v>526</v>
      </c>
      <c r="BF193" s="45">
        <v>377</v>
      </c>
    </row>
    <row r="194" spans="1:58" ht="15.75" customHeight="1" x14ac:dyDescent="0.25">
      <c r="A194" s="44">
        <v>2023</v>
      </c>
      <c r="B194" s="39">
        <v>170820</v>
      </c>
      <c r="C194" s="37" t="str">
        <f>VLOOKUP(B194,procv!$A$2:$D$142,4,FALSE)</f>
        <v>Ilha do Bananal</v>
      </c>
      <c r="D194" s="37" t="s">
        <v>58</v>
      </c>
      <c r="E194" s="45">
        <v>4</v>
      </c>
      <c r="F194" s="42">
        <f t="shared" ref="F194:F257" si="88">IFERROR(E194/$BE194,0)</f>
        <v>5.3908355795148251E-3</v>
      </c>
      <c r="G194" s="45">
        <v>3</v>
      </c>
      <c r="H194" s="42">
        <f t="shared" ref="H194:H257" si="89">IFERROR(G194/$BF194,0)</f>
        <v>4.559270516717325E-3</v>
      </c>
      <c r="I194" s="45">
        <v>31</v>
      </c>
      <c r="J194" s="41">
        <f t="shared" ref="J194:J257" si="90">IFERROR(I194/$BE194,0)</f>
        <v>4.1778975741239892E-2</v>
      </c>
      <c r="K194" s="45">
        <v>31</v>
      </c>
      <c r="L194" s="41">
        <f t="shared" ref="L194:L257" si="91">IFERROR(K194/$BF194,0)</f>
        <v>4.7112462006079027E-2</v>
      </c>
      <c r="M194" s="45">
        <v>665</v>
      </c>
      <c r="N194" s="41">
        <f t="shared" ref="N194:N257" si="92">IFERROR(M194/$BE194,0)</f>
        <v>0.89622641509433965</v>
      </c>
      <c r="O194" s="45">
        <v>587</v>
      </c>
      <c r="P194" s="41">
        <f t="shared" ref="P194:P257" si="93">IFERROR(O194/$BF194,0)</f>
        <v>0.89209726443769</v>
      </c>
      <c r="Q194" s="45">
        <v>42</v>
      </c>
      <c r="R194" s="41">
        <f t="shared" ref="R194:R257" si="94">IFERROR(Q194/$BE194,0)</f>
        <v>5.6603773584905662E-2</v>
      </c>
      <c r="S194" s="45">
        <v>37</v>
      </c>
      <c r="T194" s="41">
        <f t="shared" ref="T194:T257" si="95">IFERROR(S194/$BF194,0)</f>
        <v>5.6231003039513679E-2</v>
      </c>
      <c r="U194" s="45">
        <v>24</v>
      </c>
      <c r="V194" s="41">
        <f t="shared" ref="V194:V257" si="96">IFERROR(U194/$BE194,0)</f>
        <v>3.2345013477088951E-2</v>
      </c>
      <c r="W194" s="45">
        <v>22</v>
      </c>
      <c r="X194" s="41">
        <f t="shared" ref="X194:X257" si="97">IFERROR(W194/$BF194,0)</f>
        <v>3.3434650455927049E-2</v>
      </c>
      <c r="Y194" s="45">
        <v>39</v>
      </c>
      <c r="Z194" s="41">
        <f t="shared" ref="Z194:Z257" si="98">IFERROR(Y194/$BE194,0)</f>
        <v>5.2560646900269542E-2</v>
      </c>
      <c r="AA194" s="45">
        <v>37</v>
      </c>
      <c r="AB194" s="41">
        <f t="shared" ref="AB194:AB257" si="99">IFERROR(AA194/$BF194,0)</f>
        <v>5.6231003039513679E-2</v>
      </c>
      <c r="AC194" s="45">
        <v>679</v>
      </c>
      <c r="AD194" s="41">
        <f t="shared" si="81"/>
        <v>0.91509433962264153</v>
      </c>
      <c r="AE194" s="45">
        <v>599</v>
      </c>
      <c r="AF194" s="41">
        <f t="shared" ref="AF194:AF257" si="100">IFERROR(AE194/$BF194,0)</f>
        <v>0.91033434650455924</v>
      </c>
      <c r="AG194" s="45">
        <v>40</v>
      </c>
      <c r="AH194" s="41">
        <f t="shared" si="82"/>
        <v>5.3908355795148251E-2</v>
      </c>
      <c r="AI194" s="45">
        <v>37</v>
      </c>
      <c r="AJ194" s="41">
        <f t="shared" ref="AJ194:AJ257" si="101">IFERROR(AI194/$BF194,0)</f>
        <v>5.6231003039513679E-2</v>
      </c>
      <c r="AK194" s="45">
        <v>41</v>
      </c>
      <c r="AL194" s="41">
        <f t="shared" si="83"/>
        <v>5.5256064690026953E-2</v>
      </c>
      <c r="AM194" s="45">
        <v>43</v>
      </c>
      <c r="AN194" s="41">
        <f t="shared" ref="AN194:AN257" si="102">IFERROR(AM194/$BF194,0)</f>
        <v>6.5349544072948323E-2</v>
      </c>
      <c r="AO194" s="45">
        <v>500</v>
      </c>
      <c r="AP194" s="41">
        <f t="shared" si="84"/>
        <v>0.67385444743935308</v>
      </c>
      <c r="AQ194" s="45">
        <v>443</v>
      </c>
      <c r="AR194" s="41">
        <f t="shared" ref="AR194:AR257" si="103">IFERROR(AQ194/$BF194,0)</f>
        <v>0.67325227963525835</v>
      </c>
      <c r="AS194" s="45">
        <v>85</v>
      </c>
      <c r="AT194" s="41">
        <f t="shared" si="85"/>
        <v>0.11455525606469003</v>
      </c>
      <c r="AU194" s="45">
        <v>70</v>
      </c>
      <c r="AV194" s="41">
        <f t="shared" ref="AV194:AV257" si="104">IFERROR(AU194/$BF194,0)</f>
        <v>0.10638297872340426</v>
      </c>
      <c r="AW194" s="45">
        <v>47</v>
      </c>
      <c r="AX194" s="41">
        <f t="shared" si="86"/>
        <v>6.3342318059299185E-2</v>
      </c>
      <c r="AY194" s="45">
        <v>37</v>
      </c>
      <c r="AZ194" s="41">
        <f t="shared" ref="AZ194:AZ257" si="105">IFERROR(AY194/$BF194,0)</f>
        <v>5.6231003039513679E-2</v>
      </c>
      <c r="BA194" s="45">
        <v>29</v>
      </c>
      <c r="BB194" s="41">
        <f t="shared" si="87"/>
        <v>3.9083557951482481E-2</v>
      </c>
      <c r="BC194" s="45">
        <v>28</v>
      </c>
      <c r="BD194" s="41">
        <f t="shared" ref="BD194:BD257" si="106">IFERROR(BC194/$BF194,0)</f>
        <v>4.2553191489361701E-2</v>
      </c>
      <c r="BE194" s="45">
        <v>742</v>
      </c>
      <c r="BF194" s="45">
        <v>658</v>
      </c>
    </row>
    <row r="195" spans="1:58" ht="15.75" customHeight="1" x14ac:dyDescent="0.25">
      <c r="A195" s="44">
        <v>2023</v>
      </c>
      <c r="B195" s="39">
        <v>170830</v>
      </c>
      <c r="C195" s="37" t="str">
        <f>VLOOKUP(B195,procv!$A$2:$D$142,4,FALSE)</f>
        <v>Cerrado Tocantins Araguaia</v>
      </c>
      <c r="D195" s="37" t="s">
        <v>59</v>
      </c>
      <c r="E195" s="45">
        <v>2</v>
      </c>
      <c r="F195" s="42">
        <f t="shared" si="88"/>
        <v>8.6956521739130436E-3</v>
      </c>
      <c r="G195" s="45">
        <v>1</v>
      </c>
      <c r="H195" s="42">
        <f t="shared" si="89"/>
        <v>6.7567567567567571E-3</v>
      </c>
      <c r="I195" s="45">
        <v>9</v>
      </c>
      <c r="J195" s="41">
        <f t="shared" si="90"/>
        <v>3.9130434782608699E-2</v>
      </c>
      <c r="K195" s="45">
        <v>9</v>
      </c>
      <c r="L195" s="41">
        <f t="shared" si="91"/>
        <v>6.0810810810810814E-2</v>
      </c>
      <c r="M195" s="45">
        <v>206</v>
      </c>
      <c r="N195" s="41">
        <f t="shared" si="92"/>
        <v>0.89565217391304353</v>
      </c>
      <c r="O195" s="45">
        <v>131</v>
      </c>
      <c r="P195" s="41">
        <f t="shared" si="93"/>
        <v>0.88513513513513509</v>
      </c>
      <c r="Q195" s="45">
        <v>13</v>
      </c>
      <c r="R195" s="41">
        <f t="shared" si="94"/>
        <v>5.6521739130434782E-2</v>
      </c>
      <c r="S195" s="45">
        <v>7</v>
      </c>
      <c r="T195" s="41">
        <f t="shared" si="95"/>
        <v>4.72972972972973E-2</v>
      </c>
      <c r="U195" s="45">
        <v>15</v>
      </c>
      <c r="V195" s="41">
        <f t="shared" si="96"/>
        <v>6.5217391304347824E-2</v>
      </c>
      <c r="W195" s="45">
        <v>7</v>
      </c>
      <c r="X195" s="41">
        <f t="shared" si="97"/>
        <v>4.72972972972973E-2</v>
      </c>
      <c r="Y195" s="45">
        <v>23</v>
      </c>
      <c r="Z195" s="41">
        <f t="shared" si="98"/>
        <v>0.1</v>
      </c>
      <c r="AA195" s="45">
        <v>10</v>
      </c>
      <c r="AB195" s="41">
        <f t="shared" si="99"/>
        <v>6.7567567567567571E-2</v>
      </c>
      <c r="AC195" s="45">
        <v>192</v>
      </c>
      <c r="AD195" s="41">
        <f t="shared" si="81"/>
        <v>0.83478260869565213</v>
      </c>
      <c r="AE195" s="45">
        <v>131</v>
      </c>
      <c r="AF195" s="41">
        <f t="shared" si="100"/>
        <v>0.88513513513513509</v>
      </c>
      <c r="AG195" s="45">
        <v>1</v>
      </c>
      <c r="AH195" s="41">
        <f t="shared" si="82"/>
        <v>4.3478260869565218E-3</v>
      </c>
      <c r="AI195" s="45">
        <v>1</v>
      </c>
      <c r="AJ195" s="41">
        <f t="shared" si="101"/>
        <v>6.7567567567567571E-3</v>
      </c>
      <c r="AK195" s="45">
        <v>8</v>
      </c>
      <c r="AL195" s="41">
        <f t="shared" si="83"/>
        <v>3.4782608695652174E-2</v>
      </c>
      <c r="AM195" s="45">
        <v>10</v>
      </c>
      <c r="AN195" s="41">
        <f t="shared" si="102"/>
        <v>6.7567567567567571E-2</v>
      </c>
      <c r="AO195" s="45">
        <v>142</v>
      </c>
      <c r="AP195" s="41">
        <f t="shared" si="84"/>
        <v>0.61739130434782608</v>
      </c>
      <c r="AQ195" s="45">
        <v>97</v>
      </c>
      <c r="AR195" s="41">
        <f t="shared" si="103"/>
        <v>0.65540540540540537</v>
      </c>
      <c r="AS195" s="45">
        <v>45</v>
      </c>
      <c r="AT195" s="41">
        <f t="shared" si="85"/>
        <v>0.19565217391304349</v>
      </c>
      <c r="AU195" s="45">
        <v>27</v>
      </c>
      <c r="AV195" s="41">
        <f t="shared" si="104"/>
        <v>0.18243243243243243</v>
      </c>
      <c r="AW195" s="45">
        <v>23</v>
      </c>
      <c r="AX195" s="41">
        <f t="shared" si="86"/>
        <v>0.1</v>
      </c>
      <c r="AY195" s="45">
        <v>5</v>
      </c>
      <c r="AZ195" s="41">
        <f t="shared" si="105"/>
        <v>3.3783783783783786E-2</v>
      </c>
      <c r="BA195" s="45">
        <v>11</v>
      </c>
      <c r="BB195" s="41">
        <f t="shared" si="87"/>
        <v>4.7826086956521741E-2</v>
      </c>
      <c r="BC195" s="45">
        <v>8</v>
      </c>
      <c r="BD195" s="41">
        <f t="shared" si="106"/>
        <v>5.4054054054054057E-2</v>
      </c>
      <c r="BE195" s="45">
        <v>230</v>
      </c>
      <c r="BF195" s="45">
        <v>148</v>
      </c>
    </row>
    <row r="196" spans="1:58" ht="15.75" customHeight="1" x14ac:dyDescent="0.25">
      <c r="A196" s="44">
        <v>2023</v>
      </c>
      <c r="B196" s="39">
        <v>170900</v>
      </c>
      <c r="C196" s="37" t="str">
        <f>VLOOKUP(B196,procv!$A$2:$D$142,4,FALSE)</f>
        <v>Médio Norte Araguaia</v>
      </c>
      <c r="D196" s="37" t="s">
        <v>60</v>
      </c>
      <c r="E196" s="45">
        <v>10</v>
      </c>
      <c r="F196" s="42">
        <f t="shared" si="88"/>
        <v>1.2195121951219513E-2</v>
      </c>
      <c r="G196" s="45">
        <v>10</v>
      </c>
      <c r="H196" s="42">
        <f t="shared" si="89"/>
        <v>1.9120458891013385E-2</v>
      </c>
      <c r="I196" s="45">
        <v>34</v>
      </c>
      <c r="J196" s="41">
        <f t="shared" si="90"/>
        <v>4.1463414634146344E-2</v>
      </c>
      <c r="K196" s="45">
        <v>30</v>
      </c>
      <c r="L196" s="41">
        <f t="shared" si="91"/>
        <v>5.736137667304015E-2</v>
      </c>
      <c r="M196" s="45">
        <v>727</v>
      </c>
      <c r="N196" s="41">
        <f t="shared" si="92"/>
        <v>0.88658536585365855</v>
      </c>
      <c r="O196" s="45">
        <v>457</v>
      </c>
      <c r="P196" s="41">
        <f t="shared" si="93"/>
        <v>0.87380497131931167</v>
      </c>
      <c r="Q196" s="45">
        <v>49</v>
      </c>
      <c r="R196" s="41">
        <f t="shared" si="94"/>
        <v>5.9756097560975607E-2</v>
      </c>
      <c r="S196" s="45">
        <v>26</v>
      </c>
      <c r="T196" s="41">
        <f t="shared" si="95"/>
        <v>4.9713193116634802E-2</v>
      </c>
      <c r="U196" s="45">
        <v>46</v>
      </c>
      <c r="V196" s="41">
        <f t="shared" si="96"/>
        <v>5.6097560975609757E-2</v>
      </c>
      <c r="W196" s="45">
        <v>36</v>
      </c>
      <c r="X196" s="41">
        <f t="shared" si="97"/>
        <v>6.8833652007648183E-2</v>
      </c>
      <c r="Y196" s="45">
        <v>66</v>
      </c>
      <c r="Z196" s="41">
        <f t="shared" si="98"/>
        <v>8.0487804878048783E-2</v>
      </c>
      <c r="AA196" s="45">
        <v>48</v>
      </c>
      <c r="AB196" s="41">
        <f t="shared" si="99"/>
        <v>9.1778202676864248E-2</v>
      </c>
      <c r="AC196" s="45">
        <v>708</v>
      </c>
      <c r="AD196" s="41">
        <f t="shared" si="81"/>
        <v>0.86341463414634145</v>
      </c>
      <c r="AE196" s="45">
        <v>439</v>
      </c>
      <c r="AF196" s="41">
        <f t="shared" si="100"/>
        <v>0.83938814531548755</v>
      </c>
      <c r="AG196" s="45">
        <v>35</v>
      </c>
      <c r="AH196" s="41">
        <f t="shared" si="82"/>
        <v>4.2682926829268296E-2</v>
      </c>
      <c r="AI196" s="45">
        <v>34</v>
      </c>
      <c r="AJ196" s="41">
        <f t="shared" si="101"/>
        <v>6.5009560229445512E-2</v>
      </c>
      <c r="AK196" s="45">
        <v>31</v>
      </c>
      <c r="AL196" s="41">
        <f t="shared" si="83"/>
        <v>3.7804878048780487E-2</v>
      </c>
      <c r="AM196" s="45">
        <v>24</v>
      </c>
      <c r="AN196" s="41">
        <f t="shared" si="102"/>
        <v>4.5889101338432124E-2</v>
      </c>
      <c r="AO196" s="45">
        <v>523</v>
      </c>
      <c r="AP196" s="41">
        <f t="shared" si="84"/>
        <v>0.6378048780487805</v>
      </c>
      <c r="AQ196" s="45">
        <v>350</v>
      </c>
      <c r="AR196" s="41">
        <f t="shared" si="103"/>
        <v>0.6692160611854685</v>
      </c>
      <c r="AS196" s="45">
        <v>126</v>
      </c>
      <c r="AT196" s="41">
        <f t="shared" si="85"/>
        <v>0.15365853658536585</v>
      </c>
      <c r="AU196" s="45">
        <v>61</v>
      </c>
      <c r="AV196" s="41">
        <f t="shared" si="104"/>
        <v>0.11663479923518165</v>
      </c>
      <c r="AW196" s="45">
        <v>58</v>
      </c>
      <c r="AX196" s="41">
        <f t="shared" si="86"/>
        <v>7.0731707317073164E-2</v>
      </c>
      <c r="AY196" s="45">
        <v>25</v>
      </c>
      <c r="AZ196" s="41">
        <f t="shared" si="105"/>
        <v>4.780114722753346E-2</v>
      </c>
      <c r="BA196" s="45">
        <v>47</v>
      </c>
      <c r="BB196" s="41">
        <f t="shared" si="87"/>
        <v>5.731707317073171E-2</v>
      </c>
      <c r="BC196" s="45">
        <v>29</v>
      </c>
      <c r="BD196" s="41">
        <f t="shared" si="106"/>
        <v>5.5449330783938815E-2</v>
      </c>
      <c r="BE196" s="45">
        <v>820</v>
      </c>
      <c r="BF196" s="45">
        <v>523</v>
      </c>
    </row>
    <row r="197" spans="1:58" ht="15.75" customHeight="1" x14ac:dyDescent="0.25">
      <c r="A197" s="44">
        <v>2023</v>
      </c>
      <c r="B197" s="39">
        <v>170930</v>
      </c>
      <c r="C197" s="37" t="str">
        <f>VLOOKUP(B197,procv!$A$2:$D$142,4,FALSE)</f>
        <v>Cerrado Tocantins Araguaia</v>
      </c>
      <c r="D197" s="37" t="s">
        <v>61</v>
      </c>
      <c r="E197" s="45">
        <v>11</v>
      </c>
      <c r="F197" s="42">
        <f t="shared" si="88"/>
        <v>1.1351909184726523E-2</v>
      </c>
      <c r="G197" s="45">
        <v>6</v>
      </c>
      <c r="H197" s="42">
        <f t="shared" si="89"/>
        <v>1.5306122448979591E-2</v>
      </c>
      <c r="I197" s="45">
        <v>14</v>
      </c>
      <c r="J197" s="41">
        <f t="shared" si="90"/>
        <v>1.4447884416924664E-2</v>
      </c>
      <c r="K197" s="45">
        <v>5</v>
      </c>
      <c r="L197" s="41">
        <f t="shared" si="91"/>
        <v>1.2755102040816327E-2</v>
      </c>
      <c r="M197" s="45">
        <v>902</v>
      </c>
      <c r="N197" s="41">
        <f t="shared" si="92"/>
        <v>0.93085655314757487</v>
      </c>
      <c r="O197" s="45">
        <v>375</v>
      </c>
      <c r="P197" s="41">
        <f t="shared" si="93"/>
        <v>0.95663265306122447</v>
      </c>
      <c r="Q197" s="45">
        <v>42</v>
      </c>
      <c r="R197" s="41">
        <f t="shared" si="94"/>
        <v>4.3343653250773995E-2</v>
      </c>
      <c r="S197" s="45">
        <v>6</v>
      </c>
      <c r="T197" s="41">
        <f t="shared" si="95"/>
        <v>1.5306122448979591E-2</v>
      </c>
      <c r="U197" s="45">
        <v>40</v>
      </c>
      <c r="V197" s="41">
        <f t="shared" si="96"/>
        <v>4.1279669762641899E-2</v>
      </c>
      <c r="W197" s="45">
        <v>28</v>
      </c>
      <c r="X197" s="41">
        <f t="shared" si="97"/>
        <v>7.1428571428571425E-2</v>
      </c>
      <c r="Y197" s="45">
        <v>76</v>
      </c>
      <c r="Z197" s="41">
        <f t="shared" si="98"/>
        <v>7.8431372549019607E-2</v>
      </c>
      <c r="AA197" s="45">
        <v>32</v>
      </c>
      <c r="AB197" s="41">
        <f t="shared" si="99"/>
        <v>8.1632653061224483E-2</v>
      </c>
      <c r="AC197" s="45">
        <v>853</v>
      </c>
      <c r="AD197" s="41">
        <f t="shared" si="81"/>
        <v>0.88028895768833848</v>
      </c>
      <c r="AE197" s="45">
        <v>332</v>
      </c>
      <c r="AF197" s="41">
        <f t="shared" si="100"/>
        <v>0.84693877551020413</v>
      </c>
      <c r="AG197" s="45">
        <v>12</v>
      </c>
      <c r="AH197" s="41">
        <f t="shared" si="82"/>
        <v>1.238390092879257E-2</v>
      </c>
      <c r="AI197" s="45">
        <v>5</v>
      </c>
      <c r="AJ197" s="41">
        <f t="shared" si="101"/>
        <v>1.2755102040816327E-2</v>
      </c>
      <c r="AK197" s="45">
        <v>15</v>
      </c>
      <c r="AL197" s="41">
        <f t="shared" si="83"/>
        <v>1.5479876160990712E-2</v>
      </c>
      <c r="AM197" s="45">
        <v>4</v>
      </c>
      <c r="AN197" s="41">
        <f t="shared" si="102"/>
        <v>1.020408163265306E-2</v>
      </c>
      <c r="AO197" s="45">
        <v>640</v>
      </c>
      <c r="AP197" s="41">
        <f t="shared" si="84"/>
        <v>0.66047471620227038</v>
      </c>
      <c r="AQ197" s="45">
        <v>279</v>
      </c>
      <c r="AR197" s="41">
        <f t="shared" si="103"/>
        <v>0.71173469387755106</v>
      </c>
      <c r="AS197" s="45">
        <v>218</v>
      </c>
      <c r="AT197" s="41">
        <f t="shared" si="85"/>
        <v>0.22497420020639836</v>
      </c>
      <c r="AU197" s="45">
        <v>88</v>
      </c>
      <c r="AV197" s="41">
        <f t="shared" si="104"/>
        <v>0.22448979591836735</v>
      </c>
      <c r="AW197" s="45">
        <v>56</v>
      </c>
      <c r="AX197" s="41">
        <f t="shared" si="86"/>
        <v>5.7791537667698657E-2</v>
      </c>
      <c r="AY197" s="45">
        <v>10</v>
      </c>
      <c r="AZ197" s="41">
        <f t="shared" si="105"/>
        <v>2.5510204081632654E-2</v>
      </c>
      <c r="BA197" s="45">
        <v>28</v>
      </c>
      <c r="BB197" s="41">
        <f t="shared" si="87"/>
        <v>2.8895768833849329E-2</v>
      </c>
      <c r="BC197" s="45">
        <v>6</v>
      </c>
      <c r="BD197" s="41">
        <f t="shared" si="106"/>
        <v>1.5306122448979591E-2</v>
      </c>
      <c r="BE197" s="45">
        <v>969</v>
      </c>
      <c r="BF197" s="45">
        <v>392</v>
      </c>
    </row>
    <row r="198" spans="1:58" ht="15.75" customHeight="1" x14ac:dyDescent="0.25">
      <c r="A198" s="44">
        <v>2023</v>
      </c>
      <c r="B198" s="39">
        <v>170950</v>
      </c>
      <c r="C198" s="37" t="str">
        <f>VLOOKUP(B198,procv!$A$2:$D$142,4,FALSE)</f>
        <v>Ilha do Bananal</v>
      </c>
      <c r="D198" s="37" t="s">
        <v>62</v>
      </c>
      <c r="E198" s="45">
        <v>156</v>
      </c>
      <c r="F198" s="42">
        <f t="shared" si="88"/>
        <v>4.7229791099000905E-2</v>
      </c>
      <c r="G198" s="45">
        <v>179</v>
      </c>
      <c r="H198" s="42">
        <f t="shared" si="89"/>
        <v>0.10974862047823421</v>
      </c>
      <c r="I198" s="45">
        <v>333</v>
      </c>
      <c r="J198" s="41">
        <f t="shared" si="90"/>
        <v>0.1008174386920981</v>
      </c>
      <c r="K198" s="45">
        <v>357</v>
      </c>
      <c r="L198" s="41">
        <f t="shared" si="91"/>
        <v>0.21888412017167383</v>
      </c>
      <c r="M198" s="46">
        <v>2657</v>
      </c>
      <c r="N198" s="41">
        <f t="shared" si="92"/>
        <v>0.80442022403875268</v>
      </c>
      <c r="O198" s="46">
        <v>1068</v>
      </c>
      <c r="P198" s="41">
        <f t="shared" si="93"/>
        <v>0.65481299816063765</v>
      </c>
      <c r="Q198" s="45">
        <v>157</v>
      </c>
      <c r="R198" s="41">
        <f t="shared" si="94"/>
        <v>4.7532546170148349E-2</v>
      </c>
      <c r="S198" s="45">
        <v>27</v>
      </c>
      <c r="T198" s="41">
        <f t="shared" si="95"/>
        <v>1.6554261189454321E-2</v>
      </c>
      <c r="U198" s="45">
        <v>176</v>
      </c>
      <c r="V198" s="41">
        <f t="shared" si="96"/>
        <v>5.3284892521949741E-2</v>
      </c>
      <c r="W198" s="45">
        <v>160</v>
      </c>
      <c r="X198" s="41">
        <f t="shared" si="97"/>
        <v>9.8099325567136728E-2</v>
      </c>
      <c r="Y198" s="45">
        <v>492</v>
      </c>
      <c r="Z198" s="41">
        <f t="shared" si="98"/>
        <v>0.14895549500454133</v>
      </c>
      <c r="AA198" s="45">
        <v>442</v>
      </c>
      <c r="AB198" s="41">
        <f t="shared" si="99"/>
        <v>0.27099938687921521</v>
      </c>
      <c r="AC198" s="46">
        <v>2635</v>
      </c>
      <c r="AD198" s="41">
        <f t="shared" si="81"/>
        <v>0.79775961247350891</v>
      </c>
      <c r="AE198" s="46">
        <v>1029</v>
      </c>
      <c r="AF198" s="41">
        <f t="shared" si="100"/>
        <v>0.63090128755364805</v>
      </c>
      <c r="AG198" s="45">
        <v>444</v>
      </c>
      <c r="AH198" s="41">
        <f t="shared" si="82"/>
        <v>0.13442325158946411</v>
      </c>
      <c r="AI198" s="45">
        <v>508</v>
      </c>
      <c r="AJ198" s="41">
        <f t="shared" si="101"/>
        <v>0.31146535867565911</v>
      </c>
      <c r="AK198" s="45">
        <v>133</v>
      </c>
      <c r="AL198" s="41">
        <f t="shared" si="83"/>
        <v>4.0266424462609751E-2</v>
      </c>
      <c r="AM198" s="45">
        <v>75</v>
      </c>
      <c r="AN198" s="41">
        <f t="shared" si="102"/>
        <v>4.5984058859595341E-2</v>
      </c>
      <c r="AO198" s="46">
        <v>2052</v>
      </c>
      <c r="AP198" s="41">
        <f t="shared" si="84"/>
        <v>0.62125340599455037</v>
      </c>
      <c r="AQ198" s="45">
        <v>980</v>
      </c>
      <c r="AR198" s="41">
        <f t="shared" si="103"/>
        <v>0.60085836909871249</v>
      </c>
      <c r="AS198" s="45">
        <v>400</v>
      </c>
      <c r="AT198" s="41">
        <f t="shared" si="85"/>
        <v>0.12110202845897669</v>
      </c>
      <c r="AU198" s="45">
        <v>36</v>
      </c>
      <c r="AV198" s="41">
        <f t="shared" si="104"/>
        <v>2.2072348252605765E-2</v>
      </c>
      <c r="AW198" s="45">
        <v>178</v>
      </c>
      <c r="AX198" s="41">
        <f t="shared" si="86"/>
        <v>5.3890402664244628E-2</v>
      </c>
      <c r="AY198" s="45">
        <v>18</v>
      </c>
      <c r="AZ198" s="41">
        <f t="shared" si="105"/>
        <v>1.1036174126302882E-2</v>
      </c>
      <c r="BA198" s="45">
        <v>96</v>
      </c>
      <c r="BB198" s="41">
        <f t="shared" si="87"/>
        <v>2.9064486830154404E-2</v>
      </c>
      <c r="BC198" s="45">
        <v>14</v>
      </c>
      <c r="BD198" s="41">
        <f t="shared" si="106"/>
        <v>8.5836909871244635E-3</v>
      </c>
      <c r="BE198" s="46">
        <v>3303</v>
      </c>
      <c r="BF198" s="46">
        <v>1631</v>
      </c>
    </row>
    <row r="199" spans="1:58" ht="15.75" customHeight="1" x14ac:dyDescent="0.25">
      <c r="A199" s="44">
        <v>2023</v>
      </c>
      <c r="B199" s="39">
        <v>170980</v>
      </c>
      <c r="C199" s="37" t="str">
        <f>VLOOKUP(B199,procv!$A$2:$D$142,4,FALSE)</f>
        <v>Amor Perfeito</v>
      </c>
      <c r="D199" s="37" t="s">
        <v>63</v>
      </c>
      <c r="E199" s="45">
        <v>0</v>
      </c>
      <c r="F199" s="42">
        <f t="shared" si="88"/>
        <v>0</v>
      </c>
      <c r="G199" s="45">
        <v>0</v>
      </c>
      <c r="H199" s="42">
        <f t="shared" si="89"/>
        <v>0</v>
      </c>
      <c r="I199" s="45">
        <v>5</v>
      </c>
      <c r="J199" s="41">
        <f t="shared" si="90"/>
        <v>4.9019607843137254E-2</v>
      </c>
      <c r="K199" s="45">
        <v>2</v>
      </c>
      <c r="L199" s="41">
        <f t="shared" si="91"/>
        <v>3.7735849056603772E-2</v>
      </c>
      <c r="M199" s="45">
        <v>86</v>
      </c>
      <c r="N199" s="41">
        <f t="shared" si="92"/>
        <v>0.84313725490196079</v>
      </c>
      <c r="O199" s="45">
        <v>45</v>
      </c>
      <c r="P199" s="41">
        <f t="shared" si="93"/>
        <v>0.84905660377358494</v>
      </c>
      <c r="Q199" s="45">
        <v>11</v>
      </c>
      <c r="R199" s="41">
        <f t="shared" si="94"/>
        <v>0.10784313725490197</v>
      </c>
      <c r="S199" s="45">
        <v>6</v>
      </c>
      <c r="T199" s="41">
        <f t="shared" si="95"/>
        <v>0.11320754716981132</v>
      </c>
      <c r="U199" s="45">
        <v>7</v>
      </c>
      <c r="V199" s="41">
        <f t="shared" si="96"/>
        <v>6.8627450980392163E-2</v>
      </c>
      <c r="W199" s="45">
        <v>3</v>
      </c>
      <c r="X199" s="41">
        <f t="shared" si="97"/>
        <v>5.6603773584905662E-2</v>
      </c>
      <c r="Y199" s="45">
        <v>6</v>
      </c>
      <c r="Z199" s="41">
        <f t="shared" si="98"/>
        <v>5.8823529411764705E-2</v>
      </c>
      <c r="AA199" s="45">
        <v>4</v>
      </c>
      <c r="AB199" s="41">
        <f t="shared" si="99"/>
        <v>7.5471698113207544E-2</v>
      </c>
      <c r="AC199" s="45">
        <v>89</v>
      </c>
      <c r="AD199" s="41">
        <f t="shared" si="81"/>
        <v>0.87254901960784315</v>
      </c>
      <c r="AE199" s="45">
        <v>46</v>
      </c>
      <c r="AF199" s="41">
        <f t="shared" si="100"/>
        <v>0.86792452830188682</v>
      </c>
      <c r="AG199" s="45">
        <v>2</v>
      </c>
      <c r="AH199" s="41">
        <f t="shared" si="82"/>
        <v>1.9607843137254902E-2</v>
      </c>
      <c r="AI199" s="45">
        <v>1</v>
      </c>
      <c r="AJ199" s="41">
        <f t="shared" si="101"/>
        <v>1.8867924528301886E-2</v>
      </c>
      <c r="AK199" s="45">
        <v>2</v>
      </c>
      <c r="AL199" s="41">
        <f t="shared" si="83"/>
        <v>1.9607843137254902E-2</v>
      </c>
      <c r="AM199" s="45">
        <v>2</v>
      </c>
      <c r="AN199" s="41">
        <f t="shared" si="102"/>
        <v>3.7735849056603772E-2</v>
      </c>
      <c r="AO199" s="45">
        <v>60</v>
      </c>
      <c r="AP199" s="41">
        <f t="shared" si="84"/>
        <v>0.58823529411764708</v>
      </c>
      <c r="AQ199" s="45">
        <v>33</v>
      </c>
      <c r="AR199" s="41">
        <f t="shared" si="103"/>
        <v>0.62264150943396224</v>
      </c>
      <c r="AS199" s="45">
        <v>18</v>
      </c>
      <c r="AT199" s="41">
        <f t="shared" si="85"/>
        <v>0.17647058823529413</v>
      </c>
      <c r="AU199" s="45">
        <v>6</v>
      </c>
      <c r="AV199" s="41">
        <f t="shared" si="104"/>
        <v>0.11320754716981132</v>
      </c>
      <c r="AW199" s="45">
        <v>14</v>
      </c>
      <c r="AX199" s="41">
        <f t="shared" si="86"/>
        <v>0.13725490196078433</v>
      </c>
      <c r="AY199" s="45">
        <v>6</v>
      </c>
      <c r="AZ199" s="41">
        <f t="shared" si="105"/>
        <v>0.11320754716981132</v>
      </c>
      <c r="BA199" s="45">
        <v>6</v>
      </c>
      <c r="BB199" s="41">
        <f t="shared" si="87"/>
        <v>5.8823529411764705E-2</v>
      </c>
      <c r="BC199" s="45">
        <v>5</v>
      </c>
      <c r="BD199" s="41">
        <f t="shared" si="106"/>
        <v>9.4339622641509441E-2</v>
      </c>
      <c r="BE199" s="45">
        <v>102</v>
      </c>
      <c r="BF199" s="45">
        <v>53</v>
      </c>
    </row>
    <row r="200" spans="1:58" ht="15.75" customHeight="1" x14ac:dyDescent="0.25">
      <c r="A200" s="44">
        <v>2023</v>
      </c>
      <c r="B200" s="39">
        <v>171050</v>
      </c>
      <c r="C200" s="37" t="str">
        <f>VLOOKUP(B200,procv!$A$2:$D$142,4,FALSE)</f>
        <v>Cerrado Tocantins Araguaia</v>
      </c>
      <c r="D200" s="37" t="s">
        <v>64</v>
      </c>
      <c r="E200" s="45">
        <v>9</v>
      </c>
      <c r="F200" s="42">
        <f t="shared" si="88"/>
        <v>2.2959183673469389E-2</v>
      </c>
      <c r="G200" s="45">
        <v>8</v>
      </c>
      <c r="H200" s="42">
        <f t="shared" si="89"/>
        <v>3.2520325203252036E-2</v>
      </c>
      <c r="I200" s="45">
        <v>7</v>
      </c>
      <c r="J200" s="41">
        <f t="shared" si="90"/>
        <v>1.7857142857142856E-2</v>
      </c>
      <c r="K200" s="45">
        <v>7</v>
      </c>
      <c r="L200" s="41">
        <f t="shared" si="91"/>
        <v>2.8455284552845527E-2</v>
      </c>
      <c r="M200" s="45">
        <v>363</v>
      </c>
      <c r="N200" s="41">
        <f t="shared" si="92"/>
        <v>0.92602040816326525</v>
      </c>
      <c r="O200" s="45">
        <v>220</v>
      </c>
      <c r="P200" s="41">
        <f t="shared" si="93"/>
        <v>0.89430894308943087</v>
      </c>
      <c r="Q200" s="45">
        <v>13</v>
      </c>
      <c r="R200" s="41">
        <f t="shared" si="94"/>
        <v>3.3163265306122451E-2</v>
      </c>
      <c r="S200" s="45">
        <v>11</v>
      </c>
      <c r="T200" s="41">
        <f t="shared" si="95"/>
        <v>4.4715447154471545E-2</v>
      </c>
      <c r="U200" s="45">
        <v>20</v>
      </c>
      <c r="V200" s="41">
        <f t="shared" si="96"/>
        <v>5.1020408163265307E-2</v>
      </c>
      <c r="W200" s="45">
        <v>16</v>
      </c>
      <c r="X200" s="41">
        <f t="shared" si="97"/>
        <v>6.5040650406504072E-2</v>
      </c>
      <c r="Y200" s="45">
        <v>35</v>
      </c>
      <c r="Z200" s="41">
        <f t="shared" si="98"/>
        <v>8.9285714285714288E-2</v>
      </c>
      <c r="AA200" s="45">
        <v>22</v>
      </c>
      <c r="AB200" s="41">
        <f t="shared" si="99"/>
        <v>8.943089430894309E-2</v>
      </c>
      <c r="AC200" s="45">
        <v>337</v>
      </c>
      <c r="AD200" s="41">
        <f t="shared" si="81"/>
        <v>0.85969387755102045</v>
      </c>
      <c r="AE200" s="45">
        <v>208</v>
      </c>
      <c r="AF200" s="41">
        <f t="shared" si="100"/>
        <v>0.84552845528455289</v>
      </c>
      <c r="AG200" s="45">
        <v>15</v>
      </c>
      <c r="AH200" s="41">
        <f t="shared" si="82"/>
        <v>3.826530612244898E-2</v>
      </c>
      <c r="AI200" s="45">
        <v>15</v>
      </c>
      <c r="AJ200" s="41">
        <f t="shared" si="101"/>
        <v>6.097560975609756E-2</v>
      </c>
      <c r="AK200" s="45">
        <v>9</v>
      </c>
      <c r="AL200" s="41">
        <f t="shared" si="83"/>
        <v>2.2959183673469389E-2</v>
      </c>
      <c r="AM200" s="45">
        <v>8</v>
      </c>
      <c r="AN200" s="41">
        <f t="shared" si="102"/>
        <v>3.2520325203252036E-2</v>
      </c>
      <c r="AO200" s="45">
        <v>255</v>
      </c>
      <c r="AP200" s="41">
        <f t="shared" si="84"/>
        <v>0.65051020408163263</v>
      </c>
      <c r="AQ200" s="45">
        <v>158</v>
      </c>
      <c r="AR200" s="41">
        <f t="shared" si="103"/>
        <v>0.64227642276422769</v>
      </c>
      <c r="AS200" s="45">
        <v>74</v>
      </c>
      <c r="AT200" s="41">
        <f t="shared" si="85"/>
        <v>0.18877551020408162</v>
      </c>
      <c r="AU200" s="45">
        <v>43</v>
      </c>
      <c r="AV200" s="41">
        <f t="shared" si="104"/>
        <v>0.17479674796747968</v>
      </c>
      <c r="AW200" s="45">
        <v>20</v>
      </c>
      <c r="AX200" s="41">
        <f t="shared" si="86"/>
        <v>5.1020408163265307E-2</v>
      </c>
      <c r="AY200" s="45">
        <v>9</v>
      </c>
      <c r="AZ200" s="41">
        <f t="shared" si="105"/>
        <v>3.6585365853658534E-2</v>
      </c>
      <c r="BA200" s="45">
        <v>19</v>
      </c>
      <c r="BB200" s="41">
        <f t="shared" si="87"/>
        <v>4.8469387755102039E-2</v>
      </c>
      <c r="BC200" s="45">
        <v>13</v>
      </c>
      <c r="BD200" s="41">
        <f t="shared" si="106"/>
        <v>5.2845528455284556E-2</v>
      </c>
      <c r="BE200" s="45">
        <v>392</v>
      </c>
      <c r="BF200" s="45">
        <v>246</v>
      </c>
    </row>
    <row r="201" spans="1:58" ht="15.75" customHeight="1" x14ac:dyDescent="0.25">
      <c r="A201" s="44">
        <v>2023</v>
      </c>
      <c r="B201" s="39">
        <v>171070</v>
      </c>
      <c r="C201" s="37" t="str">
        <f>VLOOKUP(B201,procv!$A$2:$D$142,4,FALSE)</f>
        <v>Bico do Papagaio</v>
      </c>
      <c r="D201" s="37" t="s">
        <v>65</v>
      </c>
      <c r="E201" s="45">
        <v>2</v>
      </c>
      <c r="F201" s="42">
        <f t="shared" si="88"/>
        <v>5.5096418732782371E-3</v>
      </c>
      <c r="G201" s="45">
        <v>3</v>
      </c>
      <c r="H201" s="42">
        <f t="shared" si="89"/>
        <v>1.1406844106463879E-2</v>
      </c>
      <c r="I201" s="45">
        <v>17</v>
      </c>
      <c r="J201" s="41">
        <f t="shared" si="90"/>
        <v>4.6831955922865015E-2</v>
      </c>
      <c r="K201" s="45">
        <v>14</v>
      </c>
      <c r="L201" s="41">
        <f t="shared" si="91"/>
        <v>5.3231939163498096E-2</v>
      </c>
      <c r="M201" s="45">
        <v>327</v>
      </c>
      <c r="N201" s="41">
        <f t="shared" si="92"/>
        <v>0.90082644628099173</v>
      </c>
      <c r="O201" s="45">
        <v>230</v>
      </c>
      <c r="P201" s="41">
        <f t="shared" si="93"/>
        <v>0.87452471482889738</v>
      </c>
      <c r="Q201" s="45">
        <v>17</v>
      </c>
      <c r="R201" s="41">
        <f t="shared" si="94"/>
        <v>4.6831955922865015E-2</v>
      </c>
      <c r="S201" s="45">
        <v>16</v>
      </c>
      <c r="T201" s="41">
        <f t="shared" si="95"/>
        <v>6.0836501901140684E-2</v>
      </c>
      <c r="U201" s="45">
        <v>45</v>
      </c>
      <c r="V201" s="41">
        <f t="shared" si="96"/>
        <v>0.12396694214876033</v>
      </c>
      <c r="W201" s="45">
        <v>36</v>
      </c>
      <c r="X201" s="41">
        <f t="shared" si="97"/>
        <v>0.13688212927756654</v>
      </c>
      <c r="Y201" s="45">
        <v>41</v>
      </c>
      <c r="Z201" s="41">
        <f t="shared" si="98"/>
        <v>0.11294765840220386</v>
      </c>
      <c r="AA201" s="45">
        <v>35</v>
      </c>
      <c r="AB201" s="41">
        <f t="shared" si="99"/>
        <v>0.13307984790874525</v>
      </c>
      <c r="AC201" s="45">
        <v>276</v>
      </c>
      <c r="AD201" s="41">
        <f t="shared" si="81"/>
        <v>0.76033057851239672</v>
      </c>
      <c r="AE201" s="45">
        <v>190</v>
      </c>
      <c r="AF201" s="41">
        <f t="shared" si="100"/>
        <v>0.72243346007604559</v>
      </c>
      <c r="AG201" s="45">
        <v>9</v>
      </c>
      <c r="AH201" s="41">
        <f t="shared" si="82"/>
        <v>2.4793388429752067E-2</v>
      </c>
      <c r="AI201" s="45">
        <v>13</v>
      </c>
      <c r="AJ201" s="41">
        <f t="shared" si="101"/>
        <v>4.9429657794676805E-2</v>
      </c>
      <c r="AK201" s="45">
        <v>11</v>
      </c>
      <c r="AL201" s="41">
        <f t="shared" si="83"/>
        <v>3.0303030303030304E-2</v>
      </c>
      <c r="AM201" s="45">
        <v>11</v>
      </c>
      <c r="AN201" s="41">
        <f t="shared" si="102"/>
        <v>4.1825095057034217E-2</v>
      </c>
      <c r="AO201" s="45">
        <v>226</v>
      </c>
      <c r="AP201" s="41">
        <f t="shared" si="84"/>
        <v>0.62258953168044073</v>
      </c>
      <c r="AQ201" s="45">
        <v>147</v>
      </c>
      <c r="AR201" s="41">
        <f t="shared" si="103"/>
        <v>0.55893536121673004</v>
      </c>
      <c r="AS201" s="45">
        <v>49</v>
      </c>
      <c r="AT201" s="41">
        <f t="shared" si="85"/>
        <v>0.13498622589531681</v>
      </c>
      <c r="AU201" s="45">
        <v>32</v>
      </c>
      <c r="AV201" s="41">
        <f t="shared" si="104"/>
        <v>0.12167300380228137</v>
      </c>
      <c r="AW201" s="45">
        <v>31</v>
      </c>
      <c r="AX201" s="41">
        <f t="shared" si="86"/>
        <v>8.5399449035812675E-2</v>
      </c>
      <c r="AY201" s="45">
        <v>23</v>
      </c>
      <c r="AZ201" s="41">
        <f t="shared" si="105"/>
        <v>8.7452471482889732E-2</v>
      </c>
      <c r="BA201" s="45">
        <v>37</v>
      </c>
      <c r="BB201" s="41">
        <f t="shared" si="87"/>
        <v>0.10192837465564739</v>
      </c>
      <c r="BC201" s="45">
        <v>37</v>
      </c>
      <c r="BD201" s="41">
        <f t="shared" si="106"/>
        <v>0.14068441064638784</v>
      </c>
      <c r="BE201" s="45">
        <v>363</v>
      </c>
      <c r="BF201" s="45">
        <v>263</v>
      </c>
    </row>
    <row r="202" spans="1:58" ht="15.75" customHeight="1" x14ac:dyDescent="0.25">
      <c r="A202" s="44">
        <v>2023</v>
      </c>
      <c r="B202" s="39">
        <v>171090</v>
      </c>
      <c r="C202" s="37" t="str">
        <f>VLOOKUP(B202,procv!$A$2:$D$142,4,FALSE)</f>
        <v>Cerrado Tocantins Araguaia</v>
      </c>
      <c r="D202" s="37" t="s">
        <v>66</v>
      </c>
      <c r="E202" s="45">
        <v>2</v>
      </c>
      <c r="F202" s="42">
        <f t="shared" si="88"/>
        <v>9.2592592592592587E-3</v>
      </c>
      <c r="G202" s="45">
        <v>1</v>
      </c>
      <c r="H202" s="42">
        <f t="shared" si="89"/>
        <v>6.6666666666666671E-3</v>
      </c>
      <c r="I202" s="45">
        <v>8</v>
      </c>
      <c r="J202" s="41">
        <f t="shared" si="90"/>
        <v>3.7037037037037035E-2</v>
      </c>
      <c r="K202" s="45">
        <v>6</v>
      </c>
      <c r="L202" s="41">
        <f t="shared" si="91"/>
        <v>0.04</v>
      </c>
      <c r="M202" s="45">
        <v>203</v>
      </c>
      <c r="N202" s="41">
        <f t="shared" si="92"/>
        <v>0.93981481481481477</v>
      </c>
      <c r="O202" s="45">
        <v>141</v>
      </c>
      <c r="P202" s="41">
        <f t="shared" si="93"/>
        <v>0.94</v>
      </c>
      <c r="Q202" s="45">
        <v>3</v>
      </c>
      <c r="R202" s="41">
        <f t="shared" si="94"/>
        <v>1.3888888888888888E-2</v>
      </c>
      <c r="S202" s="45">
        <v>2</v>
      </c>
      <c r="T202" s="41">
        <f t="shared" si="95"/>
        <v>1.3333333333333334E-2</v>
      </c>
      <c r="U202" s="45">
        <v>13</v>
      </c>
      <c r="V202" s="41">
        <f t="shared" si="96"/>
        <v>6.0185185185185182E-2</v>
      </c>
      <c r="W202" s="45">
        <v>12</v>
      </c>
      <c r="X202" s="41">
        <f t="shared" si="97"/>
        <v>0.08</v>
      </c>
      <c r="Y202" s="45">
        <v>28</v>
      </c>
      <c r="Z202" s="41">
        <f t="shared" si="98"/>
        <v>0.12962962962962962</v>
      </c>
      <c r="AA202" s="45">
        <v>27</v>
      </c>
      <c r="AB202" s="41">
        <f t="shared" si="99"/>
        <v>0.18</v>
      </c>
      <c r="AC202" s="45">
        <v>175</v>
      </c>
      <c r="AD202" s="41">
        <f t="shared" si="81"/>
        <v>0.81018518518518523</v>
      </c>
      <c r="AE202" s="45">
        <v>111</v>
      </c>
      <c r="AF202" s="41">
        <f t="shared" si="100"/>
        <v>0.74</v>
      </c>
      <c r="AG202" s="45">
        <v>2</v>
      </c>
      <c r="AH202" s="41">
        <f t="shared" si="82"/>
        <v>9.2592592592592587E-3</v>
      </c>
      <c r="AI202" s="45">
        <v>3</v>
      </c>
      <c r="AJ202" s="41">
        <f t="shared" si="101"/>
        <v>0.02</v>
      </c>
      <c r="AK202" s="45">
        <v>9</v>
      </c>
      <c r="AL202" s="41">
        <f t="shared" si="83"/>
        <v>4.1666666666666664E-2</v>
      </c>
      <c r="AM202" s="45">
        <v>6</v>
      </c>
      <c r="AN202" s="41">
        <f t="shared" si="102"/>
        <v>0.04</v>
      </c>
      <c r="AO202" s="45">
        <v>157</v>
      </c>
      <c r="AP202" s="41">
        <f t="shared" si="84"/>
        <v>0.72685185185185186</v>
      </c>
      <c r="AQ202" s="45">
        <v>103</v>
      </c>
      <c r="AR202" s="41">
        <f t="shared" si="103"/>
        <v>0.68666666666666665</v>
      </c>
      <c r="AS202" s="45">
        <v>29</v>
      </c>
      <c r="AT202" s="41">
        <f t="shared" si="85"/>
        <v>0.13425925925925927</v>
      </c>
      <c r="AU202" s="45">
        <v>25</v>
      </c>
      <c r="AV202" s="41">
        <f t="shared" si="104"/>
        <v>0.16666666666666666</v>
      </c>
      <c r="AW202" s="45">
        <v>14</v>
      </c>
      <c r="AX202" s="41">
        <f t="shared" si="86"/>
        <v>6.4814814814814811E-2</v>
      </c>
      <c r="AY202" s="45">
        <v>8</v>
      </c>
      <c r="AZ202" s="41">
        <f t="shared" si="105"/>
        <v>5.3333333333333337E-2</v>
      </c>
      <c r="BA202" s="45">
        <v>5</v>
      </c>
      <c r="BB202" s="41">
        <f t="shared" si="87"/>
        <v>2.3148148148148147E-2</v>
      </c>
      <c r="BC202" s="45">
        <v>5</v>
      </c>
      <c r="BD202" s="41">
        <f t="shared" si="106"/>
        <v>3.3333333333333333E-2</v>
      </c>
      <c r="BE202" s="45">
        <v>216</v>
      </c>
      <c r="BF202" s="45">
        <v>150</v>
      </c>
    </row>
    <row r="203" spans="1:58" ht="15.75" customHeight="1" x14ac:dyDescent="0.25">
      <c r="A203" s="44">
        <v>2023</v>
      </c>
      <c r="B203" s="39">
        <v>171110</v>
      </c>
      <c r="C203" s="37" t="str">
        <f>VLOOKUP(B203,procv!$A$2:$D$142,4,FALSE)</f>
        <v>Cerrado Tocantins Araguaia</v>
      </c>
      <c r="D203" s="37" t="s">
        <v>67</v>
      </c>
      <c r="E203" s="45">
        <v>2</v>
      </c>
      <c r="F203" s="42">
        <f t="shared" si="88"/>
        <v>1.2500000000000001E-2</v>
      </c>
      <c r="G203" s="45">
        <v>2</v>
      </c>
      <c r="H203" s="42">
        <f t="shared" si="89"/>
        <v>2.8169014084507043E-2</v>
      </c>
      <c r="I203" s="45">
        <v>4</v>
      </c>
      <c r="J203" s="41">
        <f t="shared" si="90"/>
        <v>2.5000000000000001E-2</v>
      </c>
      <c r="K203" s="45">
        <v>2</v>
      </c>
      <c r="L203" s="41">
        <f t="shared" si="91"/>
        <v>2.8169014084507043E-2</v>
      </c>
      <c r="M203" s="45">
        <v>141</v>
      </c>
      <c r="N203" s="41">
        <f t="shared" si="92"/>
        <v>0.88124999999999998</v>
      </c>
      <c r="O203" s="45">
        <v>64</v>
      </c>
      <c r="P203" s="41">
        <f t="shared" si="93"/>
        <v>0.90140845070422537</v>
      </c>
      <c r="Q203" s="45">
        <v>13</v>
      </c>
      <c r="R203" s="41">
        <f t="shared" si="94"/>
        <v>8.1250000000000003E-2</v>
      </c>
      <c r="S203" s="45">
        <v>3</v>
      </c>
      <c r="T203" s="41">
        <f t="shared" si="95"/>
        <v>4.2253521126760563E-2</v>
      </c>
      <c r="U203" s="45">
        <v>5</v>
      </c>
      <c r="V203" s="41">
        <f t="shared" si="96"/>
        <v>3.125E-2</v>
      </c>
      <c r="W203" s="45">
        <v>2</v>
      </c>
      <c r="X203" s="41">
        <f t="shared" si="97"/>
        <v>2.8169014084507043E-2</v>
      </c>
      <c r="Y203" s="45">
        <v>10</v>
      </c>
      <c r="Z203" s="41">
        <f t="shared" si="98"/>
        <v>6.25E-2</v>
      </c>
      <c r="AA203" s="45">
        <v>8</v>
      </c>
      <c r="AB203" s="41">
        <f t="shared" si="99"/>
        <v>0.11267605633802817</v>
      </c>
      <c r="AC203" s="45">
        <v>145</v>
      </c>
      <c r="AD203" s="41">
        <f t="shared" si="81"/>
        <v>0.90625</v>
      </c>
      <c r="AE203" s="45">
        <v>61</v>
      </c>
      <c r="AF203" s="41">
        <f t="shared" si="100"/>
        <v>0.85915492957746475</v>
      </c>
      <c r="AG203" s="45">
        <v>6</v>
      </c>
      <c r="AH203" s="41">
        <f t="shared" si="82"/>
        <v>3.7499999999999999E-2</v>
      </c>
      <c r="AI203" s="45">
        <v>7</v>
      </c>
      <c r="AJ203" s="41">
        <f t="shared" si="101"/>
        <v>9.8591549295774641E-2</v>
      </c>
      <c r="AK203" s="45">
        <v>2</v>
      </c>
      <c r="AL203" s="41">
        <f t="shared" si="83"/>
        <v>1.2500000000000001E-2</v>
      </c>
      <c r="AM203" s="45">
        <v>2</v>
      </c>
      <c r="AN203" s="41">
        <f t="shared" si="102"/>
        <v>2.8169014084507043E-2</v>
      </c>
      <c r="AO203" s="45">
        <v>107</v>
      </c>
      <c r="AP203" s="41">
        <f t="shared" si="84"/>
        <v>0.66874999999999996</v>
      </c>
      <c r="AQ203" s="45">
        <v>45</v>
      </c>
      <c r="AR203" s="41">
        <f t="shared" si="103"/>
        <v>0.63380281690140849</v>
      </c>
      <c r="AS203" s="45">
        <v>20</v>
      </c>
      <c r="AT203" s="41">
        <f t="shared" si="85"/>
        <v>0.125</v>
      </c>
      <c r="AU203" s="45">
        <v>10</v>
      </c>
      <c r="AV203" s="41">
        <f t="shared" si="104"/>
        <v>0.14084507042253522</v>
      </c>
      <c r="AW203" s="45">
        <v>15</v>
      </c>
      <c r="AX203" s="41">
        <f t="shared" si="86"/>
        <v>9.375E-2</v>
      </c>
      <c r="AY203" s="45">
        <v>5</v>
      </c>
      <c r="AZ203" s="41">
        <f t="shared" si="105"/>
        <v>7.0422535211267609E-2</v>
      </c>
      <c r="BA203" s="45">
        <v>10</v>
      </c>
      <c r="BB203" s="41">
        <f t="shared" si="87"/>
        <v>6.25E-2</v>
      </c>
      <c r="BC203" s="45">
        <v>2</v>
      </c>
      <c r="BD203" s="41">
        <f t="shared" si="106"/>
        <v>2.8169014084507043E-2</v>
      </c>
      <c r="BE203" s="45">
        <v>160</v>
      </c>
      <c r="BF203" s="45">
        <v>71</v>
      </c>
    </row>
    <row r="204" spans="1:58" ht="15.75" customHeight="1" x14ac:dyDescent="0.25">
      <c r="A204" s="44">
        <v>2023</v>
      </c>
      <c r="B204" s="39">
        <v>171150</v>
      </c>
      <c r="C204" s="37" t="str">
        <f>VLOOKUP(B204,procv!$A$2:$D$142,4,FALSE)</f>
        <v>Ilha do Bananal</v>
      </c>
      <c r="D204" s="37" t="s">
        <v>68</v>
      </c>
      <c r="E204" s="45">
        <v>2</v>
      </c>
      <c r="F204" s="42">
        <f t="shared" si="88"/>
        <v>1.0256410256410256E-2</v>
      </c>
      <c r="G204" s="45">
        <v>0</v>
      </c>
      <c r="H204" s="42">
        <f t="shared" si="89"/>
        <v>0</v>
      </c>
      <c r="I204" s="45">
        <v>4</v>
      </c>
      <c r="J204" s="41">
        <f t="shared" si="90"/>
        <v>2.0512820512820513E-2</v>
      </c>
      <c r="K204" s="45">
        <v>3</v>
      </c>
      <c r="L204" s="41">
        <f t="shared" si="91"/>
        <v>3.896103896103896E-2</v>
      </c>
      <c r="M204" s="45">
        <v>177</v>
      </c>
      <c r="N204" s="41">
        <f t="shared" si="92"/>
        <v>0.90769230769230769</v>
      </c>
      <c r="O204" s="45">
        <v>66</v>
      </c>
      <c r="P204" s="41">
        <f t="shared" si="93"/>
        <v>0.8571428571428571</v>
      </c>
      <c r="Q204" s="45">
        <v>12</v>
      </c>
      <c r="R204" s="41">
        <f t="shared" si="94"/>
        <v>6.1538461538461542E-2</v>
      </c>
      <c r="S204" s="45">
        <v>8</v>
      </c>
      <c r="T204" s="41">
        <f t="shared" si="95"/>
        <v>0.1038961038961039</v>
      </c>
      <c r="U204" s="45">
        <v>15</v>
      </c>
      <c r="V204" s="41">
        <f t="shared" si="96"/>
        <v>7.6923076923076927E-2</v>
      </c>
      <c r="W204" s="45">
        <v>8</v>
      </c>
      <c r="X204" s="41">
        <f t="shared" si="97"/>
        <v>0.1038961038961039</v>
      </c>
      <c r="Y204" s="45">
        <v>9</v>
      </c>
      <c r="Z204" s="41">
        <f t="shared" si="98"/>
        <v>4.6153846153846156E-2</v>
      </c>
      <c r="AA204" s="45">
        <v>7</v>
      </c>
      <c r="AB204" s="41">
        <f t="shared" si="99"/>
        <v>9.0909090909090912E-2</v>
      </c>
      <c r="AC204" s="45">
        <v>171</v>
      </c>
      <c r="AD204" s="41">
        <f t="shared" si="81"/>
        <v>0.87692307692307692</v>
      </c>
      <c r="AE204" s="45">
        <v>62</v>
      </c>
      <c r="AF204" s="41">
        <f t="shared" si="100"/>
        <v>0.80519480519480524</v>
      </c>
      <c r="AG204" s="45">
        <v>3</v>
      </c>
      <c r="AH204" s="41">
        <f t="shared" si="82"/>
        <v>1.5384615384615385E-2</v>
      </c>
      <c r="AI204" s="45">
        <v>1</v>
      </c>
      <c r="AJ204" s="41">
        <f t="shared" si="101"/>
        <v>1.2987012987012988E-2</v>
      </c>
      <c r="AK204" s="45">
        <v>13</v>
      </c>
      <c r="AL204" s="41">
        <f t="shared" si="83"/>
        <v>6.6666666666666666E-2</v>
      </c>
      <c r="AM204" s="45">
        <v>6</v>
      </c>
      <c r="AN204" s="41">
        <f t="shared" si="102"/>
        <v>7.792207792207792E-2</v>
      </c>
      <c r="AO204" s="45">
        <v>123</v>
      </c>
      <c r="AP204" s="41">
        <f t="shared" si="84"/>
        <v>0.63076923076923075</v>
      </c>
      <c r="AQ204" s="45">
        <v>48</v>
      </c>
      <c r="AR204" s="41">
        <f t="shared" si="103"/>
        <v>0.62337662337662336</v>
      </c>
      <c r="AS204" s="45">
        <v>34</v>
      </c>
      <c r="AT204" s="41">
        <f t="shared" si="85"/>
        <v>0.17435897435897435</v>
      </c>
      <c r="AU204" s="45">
        <v>12</v>
      </c>
      <c r="AV204" s="41">
        <f t="shared" si="104"/>
        <v>0.15584415584415584</v>
      </c>
      <c r="AW204" s="45">
        <v>11</v>
      </c>
      <c r="AX204" s="41">
        <f t="shared" si="86"/>
        <v>5.6410256410256411E-2</v>
      </c>
      <c r="AY204" s="45">
        <v>4</v>
      </c>
      <c r="AZ204" s="41">
        <f t="shared" si="105"/>
        <v>5.1948051948051951E-2</v>
      </c>
      <c r="BA204" s="45">
        <v>11</v>
      </c>
      <c r="BB204" s="41">
        <f t="shared" si="87"/>
        <v>5.6410256410256411E-2</v>
      </c>
      <c r="BC204" s="45">
        <v>6</v>
      </c>
      <c r="BD204" s="41">
        <f t="shared" si="106"/>
        <v>7.792207792207792E-2</v>
      </c>
      <c r="BE204" s="45">
        <v>195</v>
      </c>
      <c r="BF204" s="45">
        <v>77</v>
      </c>
    </row>
    <row r="205" spans="1:58" ht="15.75" customHeight="1" x14ac:dyDescent="0.25">
      <c r="A205" s="44">
        <v>2023</v>
      </c>
      <c r="B205" s="39">
        <v>171180</v>
      </c>
      <c r="C205" s="37" t="str">
        <f>VLOOKUP(B205,procv!$A$2:$D$142,4,FALSE)</f>
        <v>Cerrado Tocantins Araguaia</v>
      </c>
      <c r="D205" s="37" t="s">
        <v>69</v>
      </c>
      <c r="E205" s="45">
        <v>0</v>
      </c>
      <c r="F205" s="42">
        <f t="shared" si="88"/>
        <v>0</v>
      </c>
      <c r="G205" s="45">
        <v>0</v>
      </c>
      <c r="H205" s="42">
        <f t="shared" si="89"/>
        <v>0</v>
      </c>
      <c r="I205" s="45">
        <v>3</v>
      </c>
      <c r="J205" s="41">
        <f t="shared" si="90"/>
        <v>4.9180327868852458E-2</v>
      </c>
      <c r="K205" s="45">
        <v>3</v>
      </c>
      <c r="L205" s="41">
        <f t="shared" si="91"/>
        <v>5.4545454545454543E-2</v>
      </c>
      <c r="M205" s="45">
        <v>52</v>
      </c>
      <c r="N205" s="41">
        <f t="shared" si="92"/>
        <v>0.85245901639344257</v>
      </c>
      <c r="O205" s="45">
        <v>46</v>
      </c>
      <c r="P205" s="41">
        <f t="shared" si="93"/>
        <v>0.83636363636363631</v>
      </c>
      <c r="Q205" s="45">
        <v>6</v>
      </c>
      <c r="R205" s="41">
        <f t="shared" si="94"/>
        <v>9.8360655737704916E-2</v>
      </c>
      <c r="S205" s="45">
        <v>6</v>
      </c>
      <c r="T205" s="41">
        <f t="shared" si="95"/>
        <v>0.10909090909090909</v>
      </c>
      <c r="U205" s="45">
        <v>3</v>
      </c>
      <c r="V205" s="41">
        <f t="shared" si="96"/>
        <v>4.9180327868852458E-2</v>
      </c>
      <c r="W205" s="45">
        <v>3</v>
      </c>
      <c r="X205" s="41">
        <f t="shared" si="97"/>
        <v>5.4545454545454543E-2</v>
      </c>
      <c r="Y205" s="45">
        <v>7</v>
      </c>
      <c r="Z205" s="41">
        <f t="shared" si="98"/>
        <v>0.11475409836065574</v>
      </c>
      <c r="AA205" s="45">
        <v>8</v>
      </c>
      <c r="AB205" s="41">
        <f t="shared" si="99"/>
        <v>0.14545454545454545</v>
      </c>
      <c r="AC205" s="45">
        <v>51</v>
      </c>
      <c r="AD205" s="41">
        <f t="shared" si="81"/>
        <v>0.83606557377049184</v>
      </c>
      <c r="AE205" s="45">
        <v>44</v>
      </c>
      <c r="AF205" s="41">
        <f t="shared" si="100"/>
        <v>0.8</v>
      </c>
      <c r="AG205" s="45">
        <v>5</v>
      </c>
      <c r="AH205" s="41">
        <f t="shared" si="82"/>
        <v>8.1967213114754092E-2</v>
      </c>
      <c r="AI205" s="45">
        <v>5</v>
      </c>
      <c r="AJ205" s="41">
        <f t="shared" si="101"/>
        <v>9.0909090909090912E-2</v>
      </c>
      <c r="AK205" s="45">
        <v>2</v>
      </c>
      <c r="AL205" s="41">
        <f t="shared" si="83"/>
        <v>3.2786885245901641E-2</v>
      </c>
      <c r="AM205" s="45">
        <v>3</v>
      </c>
      <c r="AN205" s="41">
        <f t="shared" si="102"/>
        <v>5.4545454545454543E-2</v>
      </c>
      <c r="AO205" s="45">
        <v>36</v>
      </c>
      <c r="AP205" s="41">
        <f t="shared" si="84"/>
        <v>0.5901639344262295</v>
      </c>
      <c r="AQ205" s="45">
        <v>30</v>
      </c>
      <c r="AR205" s="41">
        <f t="shared" si="103"/>
        <v>0.54545454545454541</v>
      </c>
      <c r="AS205" s="45">
        <v>5</v>
      </c>
      <c r="AT205" s="41">
        <f t="shared" si="85"/>
        <v>8.1967213114754092E-2</v>
      </c>
      <c r="AU205" s="45">
        <v>4</v>
      </c>
      <c r="AV205" s="41">
        <f t="shared" si="104"/>
        <v>7.2727272727272724E-2</v>
      </c>
      <c r="AW205" s="45">
        <v>9</v>
      </c>
      <c r="AX205" s="41">
        <f t="shared" si="86"/>
        <v>0.14754098360655737</v>
      </c>
      <c r="AY205" s="45">
        <v>9</v>
      </c>
      <c r="AZ205" s="41">
        <f t="shared" si="105"/>
        <v>0.16363636363636364</v>
      </c>
      <c r="BA205" s="45">
        <v>4</v>
      </c>
      <c r="BB205" s="41">
        <f t="shared" si="87"/>
        <v>6.5573770491803282E-2</v>
      </c>
      <c r="BC205" s="45">
        <v>4</v>
      </c>
      <c r="BD205" s="41">
        <f t="shared" si="106"/>
        <v>7.2727272727272724E-2</v>
      </c>
      <c r="BE205" s="45">
        <v>61</v>
      </c>
      <c r="BF205" s="45">
        <v>55</v>
      </c>
    </row>
    <row r="206" spans="1:58" ht="15.75" customHeight="1" x14ac:dyDescent="0.25">
      <c r="A206" s="44">
        <v>2023</v>
      </c>
      <c r="B206" s="39">
        <v>171190</v>
      </c>
      <c r="C206" s="37" t="str">
        <f>VLOOKUP(B206,procv!$A$2:$D$142,4,FALSE)</f>
        <v>Cantão</v>
      </c>
      <c r="D206" s="37" t="s">
        <v>70</v>
      </c>
      <c r="E206" s="45">
        <v>7</v>
      </c>
      <c r="F206" s="42">
        <f t="shared" si="88"/>
        <v>9.6685082872928173E-3</v>
      </c>
      <c r="G206" s="45">
        <v>6</v>
      </c>
      <c r="H206" s="42">
        <f t="shared" si="89"/>
        <v>1.4851485148514851E-2</v>
      </c>
      <c r="I206" s="45">
        <v>18</v>
      </c>
      <c r="J206" s="41">
        <f t="shared" si="90"/>
        <v>2.4861878453038673E-2</v>
      </c>
      <c r="K206" s="45">
        <v>10</v>
      </c>
      <c r="L206" s="41">
        <f t="shared" si="91"/>
        <v>2.4752475247524754E-2</v>
      </c>
      <c r="M206" s="45">
        <v>665</v>
      </c>
      <c r="N206" s="41">
        <f t="shared" si="92"/>
        <v>0.91850828729281764</v>
      </c>
      <c r="O206" s="45">
        <v>371</v>
      </c>
      <c r="P206" s="41">
        <f t="shared" si="93"/>
        <v>0.91831683168316836</v>
      </c>
      <c r="Q206" s="45">
        <v>34</v>
      </c>
      <c r="R206" s="41">
        <f t="shared" si="94"/>
        <v>4.6961325966850827E-2</v>
      </c>
      <c r="S206" s="45">
        <v>17</v>
      </c>
      <c r="T206" s="41">
        <f t="shared" si="95"/>
        <v>4.2079207920792082E-2</v>
      </c>
      <c r="U206" s="45">
        <v>33</v>
      </c>
      <c r="V206" s="41">
        <f t="shared" si="96"/>
        <v>4.5580110497237571E-2</v>
      </c>
      <c r="W206" s="45">
        <v>34</v>
      </c>
      <c r="X206" s="41">
        <f t="shared" si="97"/>
        <v>8.4158415841584164E-2</v>
      </c>
      <c r="Y206" s="45">
        <v>94</v>
      </c>
      <c r="Z206" s="41">
        <f t="shared" si="98"/>
        <v>0.12983425414364641</v>
      </c>
      <c r="AA206" s="45">
        <v>62</v>
      </c>
      <c r="AB206" s="41">
        <f t="shared" si="99"/>
        <v>0.15346534653465346</v>
      </c>
      <c r="AC206" s="45">
        <v>597</v>
      </c>
      <c r="AD206" s="41">
        <f t="shared" si="81"/>
        <v>0.824585635359116</v>
      </c>
      <c r="AE206" s="45">
        <v>308</v>
      </c>
      <c r="AF206" s="41">
        <f t="shared" si="100"/>
        <v>0.76237623762376239</v>
      </c>
      <c r="AG206" s="45">
        <v>9</v>
      </c>
      <c r="AH206" s="41">
        <f t="shared" si="82"/>
        <v>1.2430939226519336E-2</v>
      </c>
      <c r="AI206" s="45">
        <v>9</v>
      </c>
      <c r="AJ206" s="41">
        <f t="shared" si="101"/>
        <v>2.2277227722772276E-2</v>
      </c>
      <c r="AK206" s="45">
        <v>10</v>
      </c>
      <c r="AL206" s="41">
        <f t="shared" si="83"/>
        <v>1.3812154696132596E-2</v>
      </c>
      <c r="AM206" s="45">
        <v>6</v>
      </c>
      <c r="AN206" s="41">
        <f t="shared" si="102"/>
        <v>1.4851485148514851E-2</v>
      </c>
      <c r="AO206" s="45">
        <v>454</v>
      </c>
      <c r="AP206" s="41">
        <f t="shared" si="84"/>
        <v>0.6270718232044199</v>
      </c>
      <c r="AQ206" s="45">
        <v>272</v>
      </c>
      <c r="AR206" s="41">
        <f t="shared" si="103"/>
        <v>0.67326732673267331</v>
      </c>
      <c r="AS206" s="45">
        <v>167</v>
      </c>
      <c r="AT206" s="41">
        <f t="shared" si="85"/>
        <v>0.23066298342541436</v>
      </c>
      <c r="AU206" s="45">
        <v>75</v>
      </c>
      <c r="AV206" s="41">
        <f t="shared" si="104"/>
        <v>0.18564356435643564</v>
      </c>
      <c r="AW206" s="45">
        <v>57</v>
      </c>
      <c r="AX206" s="41">
        <f t="shared" si="86"/>
        <v>7.8729281767955794E-2</v>
      </c>
      <c r="AY206" s="45">
        <v>23</v>
      </c>
      <c r="AZ206" s="41">
        <f t="shared" si="105"/>
        <v>5.6930693069306933E-2</v>
      </c>
      <c r="BA206" s="45">
        <v>27</v>
      </c>
      <c r="BB206" s="41">
        <f t="shared" si="87"/>
        <v>3.7292817679558013E-2</v>
      </c>
      <c r="BC206" s="45">
        <v>19</v>
      </c>
      <c r="BD206" s="41">
        <f t="shared" si="106"/>
        <v>4.702970297029703E-2</v>
      </c>
      <c r="BE206" s="45">
        <v>724</v>
      </c>
      <c r="BF206" s="45">
        <v>404</v>
      </c>
    </row>
    <row r="207" spans="1:58" ht="15.75" customHeight="1" x14ac:dyDescent="0.25">
      <c r="A207" s="44">
        <v>2023</v>
      </c>
      <c r="B207" s="39">
        <v>171195</v>
      </c>
      <c r="C207" s="37" t="str">
        <f>VLOOKUP(B207,procv!$A$2:$D$142,4,FALSE)</f>
        <v>Capim Dourado</v>
      </c>
      <c r="D207" s="37" t="s">
        <v>71</v>
      </c>
      <c r="E207" s="45">
        <v>2</v>
      </c>
      <c r="F207" s="42">
        <f t="shared" si="88"/>
        <v>5.7971014492753624E-3</v>
      </c>
      <c r="G207" s="45">
        <v>2</v>
      </c>
      <c r="H207" s="42">
        <f t="shared" si="89"/>
        <v>0.01</v>
      </c>
      <c r="I207" s="45">
        <v>15</v>
      </c>
      <c r="J207" s="41">
        <f t="shared" si="90"/>
        <v>4.3478260869565216E-2</v>
      </c>
      <c r="K207" s="45">
        <v>6</v>
      </c>
      <c r="L207" s="41">
        <f t="shared" si="91"/>
        <v>0.03</v>
      </c>
      <c r="M207" s="45">
        <v>314</v>
      </c>
      <c r="N207" s="41">
        <f t="shared" si="92"/>
        <v>0.91014492753623188</v>
      </c>
      <c r="O207" s="45">
        <v>187</v>
      </c>
      <c r="P207" s="41">
        <f t="shared" si="93"/>
        <v>0.93500000000000005</v>
      </c>
      <c r="Q207" s="45">
        <v>14</v>
      </c>
      <c r="R207" s="41">
        <f t="shared" si="94"/>
        <v>4.0579710144927533E-2</v>
      </c>
      <c r="S207" s="45">
        <v>5</v>
      </c>
      <c r="T207" s="41">
        <f t="shared" si="95"/>
        <v>2.5000000000000001E-2</v>
      </c>
      <c r="U207" s="45">
        <v>14</v>
      </c>
      <c r="V207" s="41">
        <f t="shared" si="96"/>
        <v>4.0579710144927533E-2</v>
      </c>
      <c r="W207" s="45">
        <v>9</v>
      </c>
      <c r="X207" s="41">
        <f t="shared" si="97"/>
        <v>4.4999999999999998E-2</v>
      </c>
      <c r="Y207" s="45">
        <v>37</v>
      </c>
      <c r="Z207" s="41">
        <f t="shared" si="98"/>
        <v>0.1072463768115942</v>
      </c>
      <c r="AA207" s="45">
        <v>27</v>
      </c>
      <c r="AB207" s="41">
        <f t="shared" si="99"/>
        <v>0.13500000000000001</v>
      </c>
      <c r="AC207" s="45">
        <v>294</v>
      </c>
      <c r="AD207" s="41">
        <f t="shared" si="81"/>
        <v>0.85217391304347823</v>
      </c>
      <c r="AE207" s="45">
        <v>164</v>
      </c>
      <c r="AF207" s="41">
        <f t="shared" si="100"/>
        <v>0.82</v>
      </c>
      <c r="AG207" s="45">
        <v>5</v>
      </c>
      <c r="AH207" s="41">
        <f t="shared" si="82"/>
        <v>1.4492753623188406E-2</v>
      </c>
      <c r="AI207" s="45">
        <v>7</v>
      </c>
      <c r="AJ207" s="41">
        <f t="shared" si="101"/>
        <v>3.5000000000000003E-2</v>
      </c>
      <c r="AK207" s="45">
        <v>18</v>
      </c>
      <c r="AL207" s="41">
        <f t="shared" si="83"/>
        <v>5.2173913043478258E-2</v>
      </c>
      <c r="AM207" s="45">
        <v>13</v>
      </c>
      <c r="AN207" s="41">
        <f t="shared" si="102"/>
        <v>6.5000000000000002E-2</v>
      </c>
      <c r="AO207" s="45">
        <v>216</v>
      </c>
      <c r="AP207" s="41">
        <f t="shared" si="84"/>
        <v>0.62608695652173918</v>
      </c>
      <c r="AQ207" s="45">
        <v>133</v>
      </c>
      <c r="AR207" s="41">
        <f t="shared" si="103"/>
        <v>0.66500000000000004</v>
      </c>
      <c r="AS207" s="45">
        <v>66</v>
      </c>
      <c r="AT207" s="41">
        <f t="shared" si="85"/>
        <v>0.19130434782608696</v>
      </c>
      <c r="AU207" s="45">
        <v>34</v>
      </c>
      <c r="AV207" s="41">
        <f t="shared" si="104"/>
        <v>0.17</v>
      </c>
      <c r="AW207" s="45">
        <v>31</v>
      </c>
      <c r="AX207" s="41">
        <f t="shared" si="86"/>
        <v>8.9855072463768115E-2</v>
      </c>
      <c r="AY207" s="45">
        <v>10</v>
      </c>
      <c r="AZ207" s="41">
        <f t="shared" si="105"/>
        <v>0.05</v>
      </c>
      <c r="BA207" s="45">
        <v>9</v>
      </c>
      <c r="BB207" s="41">
        <f t="shared" si="87"/>
        <v>2.6086956521739129E-2</v>
      </c>
      <c r="BC207" s="45">
        <v>3</v>
      </c>
      <c r="BD207" s="41">
        <f t="shared" si="106"/>
        <v>1.4999999999999999E-2</v>
      </c>
      <c r="BE207" s="45">
        <v>345</v>
      </c>
      <c r="BF207" s="45">
        <v>200</v>
      </c>
    </row>
    <row r="208" spans="1:58" ht="15.75" customHeight="1" x14ac:dyDescent="0.25">
      <c r="A208" s="44">
        <v>2023</v>
      </c>
      <c r="B208" s="39">
        <v>171200</v>
      </c>
      <c r="C208" s="37" t="str">
        <f>VLOOKUP(B208,procv!$A$2:$D$142,4,FALSE)</f>
        <v>Capim Dourado</v>
      </c>
      <c r="D208" s="37" t="s">
        <v>72</v>
      </c>
      <c r="E208" s="45">
        <v>0</v>
      </c>
      <c r="F208" s="42">
        <f t="shared" si="88"/>
        <v>0</v>
      </c>
      <c r="G208" s="45">
        <v>0</v>
      </c>
      <c r="H208" s="42">
        <f t="shared" si="89"/>
        <v>0</v>
      </c>
      <c r="I208" s="45">
        <v>3</v>
      </c>
      <c r="J208" s="41">
        <f t="shared" si="90"/>
        <v>2.8301886792452831E-2</v>
      </c>
      <c r="K208" s="45">
        <v>3</v>
      </c>
      <c r="L208" s="41">
        <f t="shared" si="91"/>
        <v>3.3333333333333333E-2</v>
      </c>
      <c r="M208" s="45">
        <v>96</v>
      </c>
      <c r="N208" s="41">
        <f t="shared" si="92"/>
        <v>0.90566037735849059</v>
      </c>
      <c r="O208" s="45">
        <v>83</v>
      </c>
      <c r="P208" s="41">
        <f t="shared" si="93"/>
        <v>0.92222222222222228</v>
      </c>
      <c r="Q208" s="45">
        <v>7</v>
      </c>
      <c r="R208" s="41">
        <f t="shared" si="94"/>
        <v>6.6037735849056603E-2</v>
      </c>
      <c r="S208" s="45">
        <v>4</v>
      </c>
      <c r="T208" s="41">
        <f t="shared" si="95"/>
        <v>4.4444444444444446E-2</v>
      </c>
      <c r="U208" s="45">
        <v>7</v>
      </c>
      <c r="V208" s="41">
        <f t="shared" si="96"/>
        <v>6.6037735849056603E-2</v>
      </c>
      <c r="W208" s="45">
        <v>6</v>
      </c>
      <c r="X208" s="41">
        <f t="shared" si="97"/>
        <v>6.6666666666666666E-2</v>
      </c>
      <c r="Y208" s="45">
        <v>10</v>
      </c>
      <c r="Z208" s="41">
        <f t="shared" si="98"/>
        <v>9.4339622641509441E-2</v>
      </c>
      <c r="AA208" s="45">
        <v>9</v>
      </c>
      <c r="AB208" s="41">
        <f t="shared" si="99"/>
        <v>0.1</v>
      </c>
      <c r="AC208" s="45">
        <v>89</v>
      </c>
      <c r="AD208" s="41">
        <f t="shared" si="81"/>
        <v>0.839622641509434</v>
      </c>
      <c r="AE208" s="45">
        <v>75</v>
      </c>
      <c r="AF208" s="41">
        <f t="shared" si="100"/>
        <v>0.83333333333333337</v>
      </c>
      <c r="AG208" s="45">
        <v>5</v>
      </c>
      <c r="AH208" s="41">
        <f t="shared" si="82"/>
        <v>4.716981132075472E-2</v>
      </c>
      <c r="AI208" s="45">
        <v>5</v>
      </c>
      <c r="AJ208" s="41">
        <f t="shared" si="101"/>
        <v>5.5555555555555552E-2</v>
      </c>
      <c r="AK208" s="45">
        <v>4</v>
      </c>
      <c r="AL208" s="41">
        <f t="shared" si="83"/>
        <v>3.7735849056603772E-2</v>
      </c>
      <c r="AM208" s="45">
        <v>4</v>
      </c>
      <c r="AN208" s="41">
        <f t="shared" si="102"/>
        <v>4.4444444444444446E-2</v>
      </c>
      <c r="AO208" s="45">
        <v>68</v>
      </c>
      <c r="AP208" s="41">
        <f t="shared" si="84"/>
        <v>0.64150943396226412</v>
      </c>
      <c r="AQ208" s="45">
        <v>59</v>
      </c>
      <c r="AR208" s="41">
        <f t="shared" si="103"/>
        <v>0.65555555555555556</v>
      </c>
      <c r="AS208" s="45">
        <v>18</v>
      </c>
      <c r="AT208" s="41">
        <f t="shared" si="85"/>
        <v>0.16981132075471697</v>
      </c>
      <c r="AU208" s="45">
        <v>14</v>
      </c>
      <c r="AV208" s="41">
        <f t="shared" si="104"/>
        <v>0.15555555555555556</v>
      </c>
      <c r="AW208" s="45">
        <v>7</v>
      </c>
      <c r="AX208" s="41">
        <f t="shared" si="86"/>
        <v>6.6037735849056603E-2</v>
      </c>
      <c r="AY208" s="45">
        <v>5</v>
      </c>
      <c r="AZ208" s="41">
        <f t="shared" si="105"/>
        <v>5.5555555555555552E-2</v>
      </c>
      <c r="BA208" s="45">
        <v>4</v>
      </c>
      <c r="BB208" s="41">
        <f t="shared" si="87"/>
        <v>3.7735849056603772E-2</v>
      </c>
      <c r="BC208" s="45">
        <v>3</v>
      </c>
      <c r="BD208" s="41">
        <f t="shared" si="106"/>
        <v>3.3333333333333333E-2</v>
      </c>
      <c r="BE208" s="45">
        <v>106</v>
      </c>
      <c r="BF208" s="45">
        <v>90</v>
      </c>
    </row>
    <row r="209" spans="1:58" ht="15.75" customHeight="1" x14ac:dyDescent="0.25">
      <c r="A209" s="44">
        <v>2023</v>
      </c>
      <c r="B209" s="39">
        <v>171215</v>
      </c>
      <c r="C209" s="37" t="str">
        <f>VLOOKUP(B209,procv!$A$2:$D$142,4,FALSE)</f>
        <v>Sudeste</v>
      </c>
      <c r="D209" s="37" t="s">
        <v>73</v>
      </c>
      <c r="E209" s="45">
        <v>0</v>
      </c>
      <c r="F209" s="42">
        <f t="shared" si="88"/>
        <v>0</v>
      </c>
      <c r="G209" s="45">
        <v>0</v>
      </c>
      <c r="H209" s="42">
        <f t="shared" si="89"/>
        <v>0</v>
      </c>
      <c r="I209" s="45">
        <v>1</v>
      </c>
      <c r="J209" s="41">
        <f t="shared" si="90"/>
        <v>8.0000000000000002E-3</v>
      </c>
      <c r="K209" s="45">
        <v>1</v>
      </c>
      <c r="L209" s="41">
        <f t="shared" si="91"/>
        <v>1.4084507042253521E-2</v>
      </c>
      <c r="M209" s="45">
        <v>118</v>
      </c>
      <c r="N209" s="41">
        <f t="shared" si="92"/>
        <v>0.94399999999999995</v>
      </c>
      <c r="O209" s="45">
        <v>67</v>
      </c>
      <c r="P209" s="41">
        <f t="shared" si="93"/>
        <v>0.94366197183098588</v>
      </c>
      <c r="Q209" s="45">
        <v>6</v>
      </c>
      <c r="R209" s="41">
        <f t="shared" si="94"/>
        <v>4.8000000000000001E-2</v>
      </c>
      <c r="S209" s="45">
        <v>3</v>
      </c>
      <c r="T209" s="41">
        <f t="shared" si="95"/>
        <v>4.2253521126760563E-2</v>
      </c>
      <c r="U209" s="45">
        <v>0</v>
      </c>
      <c r="V209" s="41">
        <f t="shared" si="96"/>
        <v>0</v>
      </c>
      <c r="W209" s="45">
        <v>0</v>
      </c>
      <c r="X209" s="41">
        <f t="shared" si="97"/>
        <v>0</v>
      </c>
      <c r="Y209" s="45">
        <v>6</v>
      </c>
      <c r="Z209" s="41">
        <f t="shared" si="98"/>
        <v>4.8000000000000001E-2</v>
      </c>
      <c r="AA209" s="45">
        <v>4</v>
      </c>
      <c r="AB209" s="41">
        <f t="shared" si="99"/>
        <v>5.6338028169014086E-2</v>
      </c>
      <c r="AC209" s="45">
        <v>119</v>
      </c>
      <c r="AD209" s="41">
        <f t="shared" si="81"/>
        <v>0.95199999999999996</v>
      </c>
      <c r="AE209" s="45">
        <v>67</v>
      </c>
      <c r="AF209" s="41">
        <f t="shared" si="100"/>
        <v>0.94366197183098588</v>
      </c>
      <c r="AG209" s="45">
        <v>1</v>
      </c>
      <c r="AH209" s="41">
        <f t="shared" si="82"/>
        <v>8.0000000000000002E-3</v>
      </c>
      <c r="AI209" s="45">
        <v>1</v>
      </c>
      <c r="AJ209" s="41">
        <f t="shared" si="101"/>
        <v>1.4084507042253521E-2</v>
      </c>
      <c r="AK209" s="45">
        <v>5</v>
      </c>
      <c r="AL209" s="41">
        <f t="shared" si="83"/>
        <v>0.04</v>
      </c>
      <c r="AM209" s="45">
        <v>4</v>
      </c>
      <c r="AN209" s="41">
        <f t="shared" si="102"/>
        <v>5.6338028169014086E-2</v>
      </c>
      <c r="AO209" s="45">
        <v>94</v>
      </c>
      <c r="AP209" s="41">
        <f t="shared" si="84"/>
        <v>0.752</v>
      </c>
      <c r="AQ209" s="45">
        <v>53</v>
      </c>
      <c r="AR209" s="41">
        <f t="shared" si="103"/>
        <v>0.74647887323943662</v>
      </c>
      <c r="AS209" s="45">
        <v>13</v>
      </c>
      <c r="AT209" s="41">
        <f t="shared" si="85"/>
        <v>0.104</v>
      </c>
      <c r="AU209" s="45">
        <v>8</v>
      </c>
      <c r="AV209" s="41">
        <f t="shared" si="104"/>
        <v>0.11267605633802817</v>
      </c>
      <c r="AW209" s="45">
        <v>10</v>
      </c>
      <c r="AX209" s="41">
        <f t="shared" si="86"/>
        <v>0.08</v>
      </c>
      <c r="AY209" s="45">
        <v>4</v>
      </c>
      <c r="AZ209" s="41">
        <f t="shared" si="105"/>
        <v>5.6338028169014086E-2</v>
      </c>
      <c r="BA209" s="45">
        <v>2</v>
      </c>
      <c r="BB209" s="41">
        <f t="shared" si="87"/>
        <v>1.6E-2</v>
      </c>
      <c r="BC209" s="45">
        <v>1</v>
      </c>
      <c r="BD209" s="41">
        <f t="shared" si="106"/>
        <v>1.4084507042253521E-2</v>
      </c>
      <c r="BE209" s="45">
        <v>125</v>
      </c>
      <c r="BF209" s="45">
        <v>71</v>
      </c>
    </row>
    <row r="210" spans="1:58" ht="15.75" customHeight="1" x14ac:dyDescent="0.25">
      <c r="A210" s="44">
        <v>2023</v>
      </c>
      <c r="B210" s="39">
        <v>171240</v>
      </c>
      <c r="C210" s="37" t="str">
        <f>VLOOKUP(B210,procv!$A$2:$D$142,4,FALSE)</f>
        <v>Capim Dourado</v>
      </c>
      <c r="D210" s="37" t="s">
        <v>74</v>
      </c>
      <c r="E210" s="45">
        <v>10</v>
      </c>
      <c r="F210" s="42">
        <f t="shared" si="88"/>
        <v>3.8610038610038609E-2</v>
      </c>
      <c r="G210" s="45">
        <v>7</v>
      </c>
      <c r="H210" s="42">
        <f t="shared" si="89"/>
        <v>4.8951048951048952E-2</v>
      </c>
      <c r="I210" s="45">
        <v>16</v>
      </c>
      <c r="J210" s="41">
        <f t="shared" si="90"/>
        <v>6.1776061776061778E-2</v>
      </c>
      <c r="K210" s="45">
        <v>11</v>
      </c>
      <c r="L210" s="41">
        <f t="shared" si="91"/>
        <v>7.6923076923076927E-2</v>
      </c>
      <c r="M210" s="45">
        <v>216</v>
      </c>
      <c r="N210" s="41">
        <f t="shared" si="92"/>
        <v>0.83397683397683398</v>
      </c>
      <c r="O210" s="45">
        <v>116</v>
      </c>
      <c r="P210" s="41">
        <f t="shared" si="93"/>
        <v>0.81118881118881114</v>
      </c>
      <c r="Q210" s="45">
        <v>17</v>
      </c>
      <c r="R210" s="41">
        <f t="shared" si="94"/>
        <v>6.5637065637065631E-2</v>
      </c>
      <c r="S210" s="45">
        <v>9</v>
      </c>
      <c r="T210" s="41">
        <f t="shared" si="95"/>
        <v>6.2937062937062943E-2</v>
      </c>
      <c r="U210" s="45">
        <v>31</v>
      </c>
      <c r="V210" s="41">
        <f t="shared" si="96"/>
        <v>0.11969111969111969</v>
      </c>
      <c r="W210" s="45">
        <v>22</v>
      </c>
      <c r="X210" s="41">
        <f t="shared" si="97"/>
        <v>0.15384615384615385</v>
      </c>
      <c r="Y210" s="45">
        <v>30</v>
      </c>
      <c r="Z210" s="41">
        <f t="shared" si="98"/>
        <v>0.11583011583011583</v>
      </c>
      <c r="AA210" s="45">
        <v>19</v>
      </c>
      <c r="AB210" s="41">
        <f t="shared" si="99"/>
        <v>0.13286713286713286</v>
      </c>
      <c r="AC210" s="45">
        <v>198</v>
      </c>
      <c r="AD210" s="41">
        <f t="shared" si="81"/>
        <v>0.76447876447876451</v>
      </c>
      <c r="AE210" s="45">
        <v>102</v>
      </c>
      <c r="AF210" s="41">
        <f t="shared" si="100"/>
        <v>0.71328671328671334</v>
      </c>
      <c r="AG210" s="45">
        <v>14</v>
      </c>
      <c r="AH210" s="41">
        <f t="shared" si="82"/>
        <v>5.4054054054054057E-2</v>
      </c>
      <c r="AI210" s="45">
        <v>8</v>
      </c>
      <c r="AJ210" s="41">
        <f t="shared" si="101"/>
        <v>5.5944055944055944E-2</v>
      </c>
      <c r="AK210" s="45">
        <v>10</v>
      </c>
      <c r="AL210" s="41">
        <f t="shared" si="83"/>
        <v>3.8610038610038609E-2</v>
      </c>
      <c r="AM210" s="45">
        <v>7</v>
      </c>
      <c r="AN210" s="41">
        <f t="shared" si="102"/>
        <v>4.8951048951048952E-2</v>
      </c>
      <c r="AO210" s="45">
        <v>138</v>
      </c>
      <c r="AP210" s="41">
        <f t="shared" si="84"/>
        <v>0.53281853281853286</v>
      </c>
      <c r="AQ210" s="45">
        <v>76</v>
      </c>
      <c r="AR210" s="41">
        <f t="shared" si="103"/>
        <v>0.53146853146853146</v>
      </c>
      <c r="AS210" s="45">
        <v>55</v>
      </c>
      <c r="AT210" s="41">
        <f t="shared" si="85"/>
        <v>0.21235521235521235</v>
      </c>
      <c r="AU210" s="45">
        <v>26</v>
      </c>
      <c r="AV210" s="41">
        <f t="shared" si="104"/>
        <v>0.18181818181818182</v>
      </c>
      <c r="AW210" s="45">
        <v>21</v>
      </c>
      <c r="AX210" s="41">
        <f t="shared" si="86"/>
        <v>8.1081081081081086E-2</v>
      </c>
      <c r="AY210" s="45">
        <v>13</v>
      </c>
      <c r="AZ210" s="41">
        <f t="shared" si="105"/>
        <v>9.0909090909090912E-2</v>
      </c>
      <c r="BA210" s="45">
        <v>21</v>
      </c>
      <c r="BB210" s="41">
        <f t="shared" si="87"/>
        <v>8.1081081081081086E-2</v>
      </c>
      <c r="BC210" s="45">
        <v>13</v>
      </c>
      <c r="BD210" s="41">
        <f t="shared" si="106"/>
        <v>9.0909090909090912E-2</v>
      </c>
      <c r="BE210" s="45">
        <v>259</v>
      </c>
      <c r="BF210" s="45">
        <v>143</v>
      </c>
    </row>
    <row r="211" spans="1:58" ht="15.75" customHeight="1" x14ac:dyDescent="0.25">
      <c r="A211" s="44">
        <v>2023</v>
      </c>
      <c r="B211" s="39">
        <v>171245</v>
      </c>
      <c r="C211" s="37" t="str">
        <f>VLOOKUP(B211,procv!$A$2:$D$142,4,FALSE)</f>
        <v>Bico do Papagaio</v>
      </c>
      <c r="D211" s="37" t="s">
        <v>75</v>
      </c>
      <c r="E211" s="45">
        <v>0</v>
      </c>
      <c r="F211" s="42">
        <f t="shared" si="88"/>
        <v>0</v>
      </c>
      <c r="G211" s="45">
        <v>0</v>
      </c>
      <c r="H211" s="42">
        <f t="shared" si="89"/>
        <v>0</v>
      </c>
      <c r="I211" s="45">
        <v>6</v>
      </c>
      <c r="J211" s="41">
        <f t="shared" si="90"/>
        <v>3.9215686274509803E-2</v>
      </c>
      <c r="K211" s="45">
        <v>3</v>
      </c>
      <c r="L211" s="41">
        <f t="shared" si="91"/>
        <v>0.04</v>
      </c>
      <c r="M211" s="45">
        <v>138</v>
      </c>
      <c r="N211" s="41">
        <f t="shared" si="92"/>
        <v>0.90196078431372551</v>
      </c>
      <c r="O211" s="45">
        <v>67</v>
      </c>
      <c r="P211" s="41">
        <f t="shared" si="93"/>
        <v>0.89333333333333331</v>
      </c>
      <c r="Q211" s="45">
        <v>9</v>
      </c>
      <c r="R211" s="41">
        <f t="shared" si="94"/>
        <v>5.8823529411764705E-2</v>
      </c>
      <c r="S211" s="45">
        <v>5</v>
      </c>
      <c r="T211" s="41">
        <f t="shared" si="95"/>
        <v>6.6666666666666666E-2</v>
      </c>
      <c r="U211" s="45">
        <v>5</v>
      </c>
      <c r="V211" s="41">
        <f t="shared" si="96"/>
        <v>3.2679738562091505E-2</v>
      </c>
      <c r="W211" s="45">
        <v>6</v>
      </c>
      <c r="X211" s="41">
        <f t="shared" si="97"/>
        <v>0.08</v>
      </c>
      <c r="Y211" s="45">
        <v>9</v>
      </c>
      <c r="Z211" s="41">
        <f t="shared" si="98"/>
        <v>5.8823529411764705E-2</v>
      </c>
      <c r="AA211" s="45">
        <v>2</v>
      </c>
      <c r="AB211" s="41">
        <f t="shared" si="99"/>
        <v>2.6666666666666668E-2</v>
      </c>
      <c r="AC211" s="45">
        <v>139</v>
      </c>
      <c r="AD211" s="41">
        <f t="shared" si="81"/>
        <v>0.90849673202614378</v>
      </c>
      <c r="AE211" s="45">
        <v>67</v>
      </c>
      <c r="AF211" s="41">
        <f t="shared" si="100"/>
        <v>0.89333333333333331</v>
      </c>
      <c r="AG211" s="45">
        <v>3</v>
      </c>
      <c r="AH211" s="41">
        <f t="shared" si="82"/>
        <v>1.9607843137254902E-2</v>
      </c>
      <c r="AI211" s="45">
        <v>6</v>
      </c>
      <c r="AJ211" s="41">
        <f t="shared" si="101"/>
        <v>0.08</v>
      </c>
      <c r="AK211" s="45">
        <v>10</v>
      </c>
      <c r="AL211" s="41">
        <f t="shared" si="83"/>
        <v>6.535947712418301E-2</v>
      </c>
      <c r="AM211" s="45">
        <v>3</v>
      </c>
      <c r="AN211" s="41">
        <f t="shared" si="102"/>
        <v>0.04</v>
      </c>
      <c r="AO211" s="45">
        <v>109</v>
      </c>
      <c r="AP211" s="41">
        <f t="shared" si="84"/>
        <v>0.71241830065359479</v>
      </c>
      <c r="AQ211" s="45">
        <v>51</v>
      </c>
      <c r="AR211" s="41">
        <f t="shared" si="103"/>
        <v>0.68</v>
      </c>
      <c r="AS211" s="45">
        <v>22</v>
      </c>
      <c r="AT211" s="41">
        <f t="shared" si="85"/>
        <v>0.1437908496732026</v>
      </c>
      <c r="AU211" s="45">
        <v>12</v>
      </c>
      <c r="AV211" s="41">
        <f t="shared" si="104"/>
        <v>0.16</v>
      </c>
      <c r="AW211" s="45">
        <v>7</v>
      </c>
      <c r="AX211" s="41">
        <f t="shared" si="86"/>
        <v>4.5751633986928102E-2</v>
      </c>
      <c r="AY211" s="45">
        <v>2</v>
      </c>
      <c r="AZ211" s="41">
        <f t="shared" si="105"/>
        <v>2.6666666666666668E-2</v>
      </c>
      <c r="BA211" s="45">
        <v>2</v>
      </c>
      <c r="BB211" s="41">
        <f t="shared" si="87"/>
        <v>1.3071895424836602E-2</v>
      </c>
      <c r="BC211" s="45">
        <v>1</v>
      </c>
      <c r="BD211" s="41">
        <f t="shared" si="106"/>
        <v>1.3333333333333334E-2</v>
      </c>
      <c r="BE211" s="45">
        <v>153</v>
      </c>
      <c r="BF211" s="45">
        <v>75</v>
      </c>
    </row>
    <row r="212" spans="1:58" ht="15.75" customHeight="1" x14ac:dyDescent="0.25">
      <c r="A212" s="44">
        <v>2023</v>
      </c>
      <c r="B212" s="39">
        <v>171250</v>
      </c>
      <c r="C212" s="37" t="str">
        <f>VLOOKUP(B212,procv!$A$2:$D$142,4,FALSE)</f>
        <v>Cantão</v>
      </c>
      <c r="D212" s="37" t="s">
        <v>76</v>
      </c>
      <c r="E212" s="45">
        <v>3</v>
      </c>
      <c r="F212" s="42">
        <f t="shared" si="88"/>
        <v>8.9020771513353119E-3</v>
      </c>
      <c r="G212" s="45">
        <v>1</v>
      </c>
      <c r="H212" s="42">
        <f t="shared" si="89"/>
        <v>8.6206896551724137E-3</v>
      </c>
      <c r="I212" s="45">
        <v>11</v>
      </c>
      <c r="J212" s="41">
        <f t="shared" si="90"/>
        <v>3.2640949554896145E-2</v>
      </c>
      <c r="K212" s="45">
        <v>6</v>
      </c>
      <c r="L212" s="41">
        <f t="shared" si="91"/>
        <v>5.1724137931034482E-2</v>
      </c>
      <c r="M212" s="45">
        <v>306</v>
      </c>
      <c r="N212" s="41">
        <f t="shared" si="92"/>
        <v>0.90801186943620182</v>
      </c>
      <c r="O212" s="45">
        <v>101</v>
      </c>
      <c r="P212" s="41">
        <f t="shared" si="93"/>
        <v>0.87068965517241381</v>
      </c>
      <c r="Q212" s="45">
        <v>17</v>
      </c>
      <c r="R212" s="41">
        <f t="shared" si="94"/>
        <v>5.0445103857566766E-2</v>
      </c>
      <c r="S212" s="45">
        <v>8</v>
      </c>
      <c r="T212" s="41">
        <f t="shared" si="95"/>
        <v>6.8965517241379309E-2</v>
      </c>
      <c r="U212" s="45">
        <v>12</v>
      </c>
      <c r="V212" s="41">
        <f t="shared" si="96"/>
        <v>3.5608308605341248E-2</v>
      </c>
      <c r="W212" s="45">
        <v>8</v>
      </c>
      <c r="X212" s="41">
        <f t="shared" si="97"/>
        <v>6.8965517241379309E-2</v>
      </c>
      <c r="Y212" s="45">
        <v>21</v>
      </c>
      <c r="Z212" s="41">
        <f t="shared" si="98"/>
        <v>6.2314540059347182E-2</v>
      </c>
      <c r="AA212" s="45">
        <v>10</v>
      </c>
      <c r="AB212" s="41">
        <f t="shared" si="99"/>
        <v>8.6206896551724144E-2</v>
      </c>
      <c r="AC212" s="45">
        <v>304</v>
      </c>
      <c r="AD212" s="41">
        <f t="shared" si="81"/>
        <v>0.90207715133531152</v>
      </c>
      <c r="AE212" s="45">
        <v>98</v>
      </c>
      <c r="AF212" s="41">
        <f t="shared" si="100"/>
        <v>0.84482758620689657</v>
      </c>
      <c r="AG212" s="45">
        <v>3</v>
      </c>
      <c r="AH212" s="41">
        <f t="shared" si="82"/>
        <v>8.9020771513353119E-3</v>
      </c>
      <c r="AI212" s="45">
        <v>3</v>
      </c>
      <c r="AJ212" s="41">
        <f t="shared" si="101"/>
        <v>2.5862068965517241E-2</v>
      </c>
      <c r="AK212" s="45">
        <v>12</v>
      </c>
      <c r="AL212" s="41">
        <f t="shared" si="83"/>
        <v>3.5608308605341248E-2</v>
      </c>
      <c r="AM212" s="45">
        <v>5</v>
      </c>
      <c r="AN212" s="41">
        <f t="shared" si="102"/>
        <v>4.3103448275862072E-2</v>
      </c>
      <c r="AO212" s="45">
        <v>231</v>
      </c>
      <c r="AP212" s="41">
        <f t="shared" si="84"/>
        <v>0.68545994065281901</v>
      </c>
      <c r="AQ212" s="45">
        <v>68</v>
      </c>
      <c r="AR212" s="41">
        <f t="shared" si="103"/>
        <v>0.58620689655172409</v>
      </c>
      <c r="AS212" s="45">
        <v>53</v>
      </c>
      <c r="AT212" s="41">
        <f t="shared" si="85"/>
        <v>0.15727002967359049</v>
      </c>
      <c r="AU212" s="45">
        <v>18</v>
      </c>
      <c r="AV212" s="41">
        <f t="shared" si="104"/>
        <v>0.15517241379310345</v>
      </c>
      <c r="AW212" s="45">
        <v>28</v>
      </c>
      <c r="AX212" s="41">
        <f t="shared" si="86"/>
        <v>8.3086053412462904E-2</v>
      </c>
      <c r="AY212" s="45">
        <v>10</v>
      </c>
      <c r="AZ212" s="41">
        <f t="shared" si="105"/>
        <v>8.6206896551724144E-2</v>
      </c>
      <c r="BA212" s="45">
        <v>10</v>
      </c>
      <c r="BB212" s="41">
        <f t="shared" si="87"/>
        <v>2.967359050445104E-2</v>
      </c>
      <c r="BC212" s="45">
        <v>12</v>
      </c>
      <c r="BD212" s="41">
        <f t="shared" si="106"/>
        <v>0.10344827586206896</v>
      </c>
      <c r="BE212" s="45">
        <v>337</v>
      </c>
      <c r="BF212" s="45">
        <v>116</v>
      </c>
    </row>
    <row r="213" spans="1:58" ht="15.75" customHeight="1" x14ac:dyDescent="0.25">
      <c r="A213" s="44">
        <v>2023</v>
      </c>
      <c r="B213" s="39">
        <v>171270</v>
      </c>
      <c r="C213" s="37" t="str">
        <f>VLOOKUP(B213,procv!$A$2:$D$142,4,FALSE)</f>
        <v>Amor Perfeito</v>
      </c>
      <c r="D213" s="37" t="s">
        <v>77</v>
      </c>
      <c r="E213" s="45">
        <v>3</v>
      </c>
      <c r="F213" s="42">
        <f t="shared" si="88"/>
        <v>1.4285714285714285E-2</v>
      </c>
      <c r="G213" s="45">
        <v>3</v>
      </c>
      <c r="H213" s="42">
        <f t="shared" si="89"/>
        <v>2.7522935779816515E-2</v>
      </c>
      <c r="I213" s="45">
        <v>8</v>
      </c>
      <c r="J213" s="41">
        <f t="shared" si="90"/>
        <v>3.8095238095238099E-2</v>
      </c>
      <c r="K213" s="45">
        <v>3</v>
      </c>
      <c r="L213" s="41">
        <f t="shared" si="91"/>
        <v>2.7522935779816515E-2</v>
      </c>
      <c r="M213" s="45">
        <v>190</v>
      </c>
      <c r="N213" s="41">
        <f t="shared" si="92"/>
        <v>0.90476190476190477</v>
      </c>
      <c r="O213" s="45">
        <v>91</v>
      </c>
      <c r="P213" s="41">
        <f t="shared" si="93"/>
        <v>0.83486238532110091</v>
      </c>
      <c r="Q213" s="45">
        <v>9</v>
      </c>
      <c r="R213" s="41">
        <f t="shared" si="94"/>
        <v>4.2857142857142858E-2</v>
      </c>
      <c r="S213" s="45">
        <v>12</v>
      </c>
      <c r="T213" s="41">
        <f t="shared" si="95"/>
        <v>0.11009174311926606</v>
      </c>
      <c r="U213" s="45">
        <v>23</v>
      </c>
      <c r="V213" s="41">
        <f t="shared" si="96"/>
        <v>0.10952380952380952</v>
      </c>
      <c r="W213" s="45">
        <v>8</v>
      </c>
      <c r="X213" s="41">
        <f t="shared" si="97"/>
        <v>7.3394495412844041E-2</v>
      </c>
      <c r="Y213" s="45">
        <v>31</v>
      </c>
      <c r="Z213" s="41">
        <f t="shared" si="98"/>
        <v>0.14761904761904762</v>
      </c>
      <c r="AA213" s="45">
        <v>16</v>
      </c>
      <c r="AB213" s="41">
        <f t="shared" si="99"/>
        <v>0.14678899082568808</v>
      </c>
      <c r="AC213" s="45">
        <v>156</v>
      </c>
      <c r="AD213" s="41">
        <f t="shared" si="81"/>
        <v>0.74285714285714288</v>
      </c>
      <c r="AE213" s="45">
        <v>85</v>
      </c>
      <c r="AF213" s="41">
        <f t="shared" si="100"/>
        <v>0.77981651376146788</v>
      </c>
      <c r="AG213" s="45">
        <v>9</v>
      </c>
      <c r="AH213" s="41">
        <f t="shared" si="82"/>
        <v>4.2857142857142858E-2</v>
      </c>
      <c r="AI213" s="45">
        <v>9</v>
      </c>
      <c r="AJ213" s="41">
        <f t="shared" si="101"/>
        <v>8.2568807339449546E-2</v>
      </c>
      <c r="AK213" s="45">
        <v>6</v>
      </c>
      <c r="AL213" s="41">
        <f t="shared" si="83"/>
        <v>2.8571428571428571E-2</v>
      </c>
      <c r="AM213" s="45">
        <v>7</v>
      </c>
      <c r="AN213" s="41">
        <f t="shared" si="102"/>
        <v>6.4220183486238536E-2</v>
      </c>
      <c r="AO213" s="45">
        <v>102</v>
      </c>
      <c r="AP213" s="41">
        <f t="shared" si="84"/>
        <v>0.48571428571428571</v>
      </c>
      <c r="AQ213" s="45">
        <v>48</v>
      </c>
      <c r="AR213" s="41">
        <f t="shared" si="103"/>
        <v>0.44036697247706424</v>
      </c>
      <c r="AS213" s="45">
        <v>49</v>
      </c>
      <c r="AT213" s="41">
        <f t="shared" si="85"/>
        <v>0.23333333333333334</v>
      </c>
      <c r="AU213" s="45">
        <v>21</v>
      </c>
      <c r="AV213" s="41">
        <f t="shared" si="104"/>
        <v>0.19266055045871561</v>
      </c>
      <c r="AW213" s="45">
        <v>31</v>
      </c>
      <c r="AX213" s="41">
        <f t="shared" si="86"/>
        <v>0.14761904761904762</v>
      </c>
      <c r="AY213" s="45">
        <v>14</v>
      </c>
      <c r="AZ213" s="41">
        <f t="shared" si="105"/>
        <v>0.12844036697247707</v>
      </c>
      <c r="BA213" s="45">
        <v>13</v>
      </c>
      <c r="BB213" s="41">
        <f t="shared" si="87"/>
        <v>6.1904761904761907E-2</v>
      </c>
      <c r="BC213" s="45">
        <v>10</v>
      </c>
      <c r="BD213" s="41">
        <f t="shared" si="106"/>
        <v>9.1743119266055051E-2</v>
      </c>
      <c r="BE213" s="45">
        <v>210</v>
      </c>
      <c r="BF213" s="45">
        <v>109</v>
      </c>
    </row>
    <row r="214" spans="1:58" ht="15.75" customHeight="1" x14ac:dyDescent="0.25">
      <c r="A214" s="44">
        <v>2023</v>
      </c>
      <c r="B214" s="39">
        <v>171280</v>
      </c>
      <c r="C214" s="37" t="str">
        <f>VLOOKUP(B214,procv!$A$2:$D$142,4,FALSE)</f>
        <v>Bico do Papagaio</v>
      </c>
      <c r="D214" s="37" t="s">
        <v>78</v>
      </c>
      <c r="E214" s="45">
        <v>1</v>
      </c>
      <c r="F214" s="42">
        <f t="shared" si="88"/>
        <v>3.663003663003663E-3</v>
      </c>
      <c r="G214" s="45">
        <v>0</v>
      </c>
      <c r="H214" s="42">
        <f t="shared" si="89"/>
        <v>0</v>
      </c>
      <c r="I214" s="45">
        <v>7</v>
      </c>
      <c r="J214" s="41">
        <f t="shared" si="90"/>
        <v>2.564102564102564E-2</v>
      </c>
      <c r="K214" s="45">
        <v>6</v>
      </c>
      <c r="L214" s="41">
        <f t="shared" si="91"/>
        <v>3.4090909090909088E-2</v>
      </c>
      <c r="M214" s="45">
        <v>262</v>
      </c>
      <c r="N214" s="41">
        <f t="shared" si="92"/>
        <v>0.95970695970695974</v>
      </c>
      <c r="O214" s="45">
        <v>162</v>
      </c>
      <c r="P214" s="41">
        <f t="shared" si="93"/>
        <v>0.92045454545454541</v>
      </c>
      <c r="Q214" s="45">
        <v>3</v>
      </c>
      <c r="R214" s="41">
        <f t="shared" si="94"/>
        <v>1.098901098901099E-2</v>
      </c>
      <c r="S214" s="45">
        <v>8</v>
      </c>
      <c r="T214" s="41">
        <f t="shared" si="95"/>
        <v>4.5454545454545456E-2</v>
      </c>
      <c r="U214" s="45">
        <v>9</v>
      </c>
      <c r="V214" s="41">
        <f t="shared" si="96"/>
        <v>3.2967032967032968E-2</v>
      </c>
      <c r="W214" s="45">
        <v>12</v>
      </c>
      <c r="X214" s="41">
        <f t="shared" si="97"/>
        <v>6.8181818181818177E-2</v>
      </c>
      <c r="Y214" s="45">
        <v>23</v>
      </c>
      <c r="Z214" s="41">
        <f t="shared" si="98"/>
        <v>8.4249084249084255E-2</v>
      </c>
      <c r="AA214" s="45">
        <v>15</v>
      </c>
      <c r="AB214" s="41">
        <f t="shared" si="99"/>
        <v>8.5227272727272721E-2</v>
      </c>
      <c r="AC214" s="45">
        <v>241</v>
      </c>
      <c r="AD214" s="41">
        <f t="shared" si="81"/>
        <v>0.88278388278388276</v>
      </c>
      <c r="AE214" s="45">
        <v>149</v>
      </c>
      <c r="AF214" s="41">
        <f t="shared" si="100"/>
        <v>0.84659090909090906</v>
      </c>
      <c r="AG214" s="45">
        <v>1</v>
      </c>
      <c r="AH214" s="41">
        <f t="shared" si="82"/>
        <v>3.663003663003663E-3</v>
      </c>
      <c r="AI214" s="45">
        <v>0</v>
      </c>
      <c r="AJ214" s="41">
        <f t="shared" si="101"/>
        <v>0</v>
      </c>
      <c r="AK214" s="45">
        <v>13</v>
      </c>
      <c r="AL214" s="41">
        <f t="shared" si="83"/>
        <v>4.7619047619047616E-2</v>
      </c>
      <c r="AM214" s="45">
        <v>10</v>
      </c>
      <c r="AN214" s="41">
        <f t="shared" si="102"/>
        <v>5.6818181818181816E-2</v>
      </c>
      <c r="AO214" s="45">
        <v>179</v>
      </c>
      <c r="AP214" s="41">
        <f t="shared" si="84"/>
        <v>0.65567765567765568</v>
      </c>
      <c r="AQ214" s="45">
        <v>122</v>
      </c>
      <c r="AR214" s="41">
        <f t="shared" si="103"/>
        <v>0.69318181818181823</v>
      </c>
      <c r="AS214" s="45">
        <v>57</v>
      </c>
      <c r="AT214" s="41">
        <f t="shared" si="85"/>
        <v>0.2087912087912088</v>
      </c>
      <c r="AU214" s="45">
        <v>25</v>
      </c>
      <c r="AV214" s="41">
        <f t="shared" si="104"/>
        <v>0.14204545454545456</v>
      </c>
      <c r="AW214" s="45">
        <v>16</v>
      </c>
      <c r="AX214" s="41">
        <f t="shared" si="86"/>
        <v>5.8608058608058608E-2</v>
      </c>
      <c r="AY214" s="45">
        <v>9</v>
      </c>
      <c r="AZ214" s="41">
        <f t="shared" si="105"/>
        <v>5.113636363636364E-2</v>
      </c>
      <c r="BA214" s="45">
        <v>7</v>
      </c>
      <c r="BB214" s="41">
        <f t="shared" si="87"/>
        <v>2.564102564102564E-2</v>
      </c>
      <c r="BC214" s="45">
        <v>10</v>
      </c>
      <c r="BD214" s="41">
        <f t="shared" si="106"/>
        <v>5.6818181818181816E-2</v>
      </c>
      <c r="BE214" s="45">
        <v>273</v>
      </c>
      <c r="BF214" s="45">
        <v>176</v>
      </c>
    </row>
    <row r="215" spans="1:58" ht="15.75" customHeight="1" x14ac:dyDescent="0.25">
      <c r="A215" s="44">
        <v>2023</v>
      </c>
      <c r="B215" s="39">
        <v>171320</v>
      </c>
      <c r="C215" s="37" t="str">
        <f>VLOOKUP(B215,procv!$A$2:$D$142,4,FALSE)</f>
        <v>Capim Dourado</v>
      </c>
      <c r="D215" s="37" t="s">
        <v>79</v>
      </c>
      <c r="E215" s="45">
        <v>10</v>
      </c>
      <c r="F215" s="42">
        <f t="shared" si="88"/>
        <v>1.0416666666666666E-2</v>
      </c>
      <c r="G215" s="45">
        <v>6</v>
      </c>
      <c r="H215" s="42">
        <f t="shared" si="89"/>
        <v>9.9502487562189053E-3</v>
      </c>
      <c r="I215" s="45">
        <v>24</v>
      </c>
      <c r="J215" s="41">
        <f t="shared" si="90"/>
        <v>2.5000000000000001E-2</v>
      </c>
      <c r="K215" s="45">
        <v>24</v>
      </c>
      <c r="L215" s="41">
        <f t="shared" si="91"/>
        <v>3.9800995024875621E-2</v>
      </c>
      <c r="M215" s="45">
        <v>883</v>
      </c>
      <c r="N215" s="41">
        <f t="shared" si="92"/>
        <v>0.91979166666666667</v>
      </c>
      <c r="O215" s="45">
        <v>552</v>
      </c>
      <c r="P215" s="41">
        <f t="shared" si="93"/>
        <v>0.91542288557213936</v>
      </c>
      <c r="Q215" s="45">
        <v>43</v>
      </c>
      <c r="R215" s="41">
        <f t="shared" si="94"/>
        <v>4.4791666666666667E-2</v>
      </c>
      <c r="S215" s="45">
        <v>21</v>
      </c>
      <c r="T215" s="41">
        <f t="shared" si="95"/>
        <v>3.482587064676617E-2</v>
      </c>
      <c r="U215" s="45">
        <v>53</v>
      </c>
      <c r="V215" s="41">
        <f t="shared" si="96"/>
        <v>5.5208333333333331E-2</v>
      </c>
      <c r="W215" s="45">
        <v>52</v>
      </c>
      <c r="X215" s="41">
        <f t="shared" si="97"/>
        <v>8.6235489220563843E-2</v>
      </c>
      <c r="Y215" s="45">
        <v>89</v>
      </c>
      <c r="Z215" s="41">
        <f t="shared" si="98"/>
        <v>9.2708333333333337E-2</v>
      </c>
      <c r="AA215" s="45">
        <v>69</v>
      </c>
      <c r="AB215" s="41">
        <f t="shared" si="99"/>
        <v>0.11442786069651742</v>
      </c>
      <c r="AC215" s="45">
        <v>818</v>
      </c>
      <c r="AD215" s="41">
        <f t="shared" si="81"/>
        <v>0.8520833333333333</v>
      </c>
      <c r="AE215" s="45">
        <v>482</v>
      </c>
      <c r="AF215" s="41">
        <f t="shared" si="100"/>
        <v>0.79933665008291876</v>
      </c>
      <c r="AG215" s="45">
        <v>41</v>
      </c>
      <c r="AH215" s="41">
        <f t="shared" si="82"/>
        <v>4.2708333333333334E-2</v>
      </c>
      <c r="AI215" s="45">
        <v>44</v>
      </c>
      <c r="AJ215" s="41">
        <f t="shared" si="101"/>
        <v>7.2968490878938641E-2</v>
      </c>
      <c r="AK215" s="45">
        <v>46</v>
      </c>
      <c r="AL215" s="41">
        <f t="shared" si="83"/>
        <v>4.791666666666667E-2</v>
      </c>
      <c r="AM215" s="45">
        <v>35</v>
      </c>
      <c r="AN215" s="41">
        <f t="shared" si="102"/>
        <v>5.8043117744610281E-2</v>
      </c>
      <c r="AO215" s="45">
        <v>626</v>
      </c>
      <c r="AP215" s="41">
        <f t="shared" si="84"/>
        <v>0.65208333333333335</v>
      </c>
      <c r="AQ215" s="45">
        <v>375</v>
      </c>
      <c r="AR215" s="41">
        <f t="shared" si="103"/>
        <v>0.62189054726368154</v>
      </c>
      <c r="AS215" s="45">
        <v>133</v>
      </c>
      <c r="AT215" s="41">
        <f t="shared" si="85"/>
        <v>0.13854166666666667</v>
      </c>
      <c r="AU215" s="45">
        <v>71</v>
      </c>
      <c r="AV215" s="41">
        <f t="shared" si="104"/>
        <v>0.11774461028192372</v>
      </c>
      <c r="AW215" s="45">
        <v>64</v>
      </c>
      <c r="AX215" s="41">
        <f t="shared" si="86"/>
        <v>6.6666666666666666E-2</v>
      </c>
      <c r="AY215" s="45">
        <v>41</v>
      </c>
      <c r="AZ215" s="41">
        <f t="shared" si="105"/>
        <v>6.7993366500829183E-2</v>
      </c>
      <c r="BA215" s="45">
        <v>50</v>
      </c>
      <c r="BB215" s="41">
        <f t="shared" si="87"/>
        <v>5.2083333333333336E-2</v>
      </c>
      <c r="BC215" s="45">
        <v>37</v>
      </c>
      <c r="BD215" s="41">
        <f t="shared" si="106"/>
        <v>6.1359867330016582E-2</v>
      </c>
      <c r="BE215" s="45">
        <v>960</v>
      </c>
      <c r="BF215" s="45">
        <v>603</v>
      </c>
    </row>
    <row r="216" spans="1:58" ht="15.75" customHeight="1" x14ac:dyDescent="0.25">
      <c r="A216" s="44">
        <v>2023</v>
      </c>
      <c r="B216" s="39">
        <v>171330</v>
      </c>
      <c r="C216" s="37" t="str">
        <f>VLOOKUP(B216,procv!$A$2:$D$142,4,FALSE)</f>
        <v>Capim Dourado</v>
      </c>
      <c r="D216" s="37" t="s">
        <v>80</v>
      </c>
      <c r="E216" s="45">
        <v>3</v>
      </c>
      <c r="F216" s="42">
        <f t="shared" si="88"/>
        <v>4.6728971962616819E-3</v>
      </c>
      <c r="G216" s="45">
        <v>3</v>
      </c>
      <c r="H216" s="42">
        <f t="shared" si="89"/>
        <v>6.8807339449541288E-3</v>
      </c>
      <c r="I216" s="45">
        <v>17</v>
      </c>
      <c r="J216" s="41">
        <f t="shared" si="90"/>
        <v>2.6479750778816199E-2</v>
      </c>
      <c r="K216" s="45">
        <v>12</v>
      </c>
      <c r="L216" s="41">
        <f t="shared" si="91"/>
        <v>2.7522935779816515E-2</v>
      </c>
      <c r="M216" s="45">
        <v>570</v>
      </c>
      <c r="N216" s="41">
        <f t="shared" si="92"/>
        <v>0.88785046728971961</v>
      </c>
      <c r="O216" s="45">
        <v>385</v>
      </c>
      <c r="P216" s="41">
        <f t="shared" si="93"/>
        <v>0.8830275229357798</v>
      </c>
      <c r="Q216" s="45">
        <v>52</v>
      </c>
      <c r="R216" s="41">
        <f t="shared" si="94"/>
        <v>8.0996884735202487E-2</v>
      </c>
      <c r="S216" s="45">
        <v>36</v>
      </c>
      <c r="T216" s="41">
        <f t="shared" si="95"/>
        <v>8.2568807339449546E-2</v>
      </c>
      <c r="U216" s="45">
        <v>30</v>
      </c>
      <c r="V216" s="41">
        <f t="shared" si="96"/>
        <v>4.6728971962616821E-2</v>
      </c>
      <c r="W216" s="45">
        <v>28</v>
      </c>
      <c r="X216" s="41">
        <f t="shared" si="97"/>
        <v>6.4220183486238536E-2</v>
      </c>
      <c r="Y216" s="45">
        <v>46</v>
      </c>
      <c r="Z216" s="41">
        <f t="shared" si="98"/>
        <v>7.1651090342679122E-2</v>
      </c>
      <c r="AA216" s="45">
        <v>32</v>
      </c>
      <c r="AB216" s="41">
        <f t="shared" si="99"/>
        <v>7.3394495412844041E-2</v>
      </c>
      <c r="AC216" s="45">
        <v>566</v>
      </c>
      <c r="AD216" s="41">
        <f t="shared" si="81"/>
        <v>0.88161993769470404</v>
      </c>
      <c r="AE216" s="45">
        <v>376</v>
      </c>
      <c r="AF216" s="41">
        <f t="shared" si="100"/>
        <v>0.86238532110091748</v>
      </c>
      <c r="AG216" s="45">
        <v>21</v>
      </c>
      <c r="AH216" s="41">
        <f t="shared" si="82"/>
        <v>3.2710280373831772E-2</v>
      </c>
      <c r="AI216" s="45">
        <v>16</v>
      </c>
      <c r="AJ216" s="41">
        <f t="shared" si="101"/>
        <v>3.669724770642202E-2</v>
      </c>
      <c r="AK216" s="45">
        <v>29</v>
      </c>
      <c r="AL216" s="41">
        <f t="shared" si="83"/>
        <v>4.5171339563862926E-2</v>
      </c>
      <c r="AM216" s="45">
        <v>29</v>
      </c>
      <c r="AN216" s="41">
        <f t="shared" si="102"/>
        <v>6.6513761467889912E-2</v>
      </c>
      <c r="AO216" s="45">
        <v>389</v>
      </c>
      <c r="AP216" s="41">
        <f t="shared" si="84"/>
        <v>0.60591900311526481</v>
      </c>
      <c r="AQ216" s="45">
        <v>258</v>
      </c>
      <c r="AR216" s="41">
        <f t="shared" si="103"/>
        <v>0.59174311926605505</v>
      </c>
      <c r="AS216" s="45">
        <v>113</v>
      </c>
      <c r="AT216" s="41">
        <f t="shared" si="85"/>
        <v>0.17601246105919002</v>
      </c>
      <c r="AU216" s="45">
        <v>70</v>
      </c>
      <c r="AV216" s="41">
        <f t="shared" si="104"/>
        <v>0.16055045871559634</v>
      </c>
      <c r="AW216" s="45">
        <v>50</v>
      </c>
      <c r="AX216" s="41">
        <f t="shared" si="86"/>
        <v>7.7881619937694699E-2</v>
      </c>
      <c r="AY216" s="45">
        <v>32</v>
      </c>
      <c r="AZ216" s="41">
        <f t="shared" si="105"/>
        <v>7.3394495412844041E-2</v>
      </c>
      <c r="BA216" s="45">
        <v>40</v>
      </c>
      <c r="BB216" s="41">
        <f t="shared" si="87"/>
        <v>6.2305295950155763E-2</v>
      </c>
      <c r="BC216" s="45">
        <v>31</v>
      </c>
      <c r="BD216" s="41">
        <f t="shared" si="106"/>
        <v>7.1100917431192664E-2</v>
      </c>
      <c r="BE216" s="45">
        <v>642</v>
      </c>
      <c r="BF216" s="45">
        <v>436</v>
      </c>
    </row>
    <row r="217" spans="1:58" ht="15.75" customHeight="1" x14ac:dyDescent="0.25">
      <c r="A217" s="44">
        <v>2023</v>
      </c>
      <c r="B217" s="39">
        <v>171360</v>
      </c>
      <c r="C217" s="37" t="str">
        <f>VLOOKUP(B217,procv!$A$2:$D$142,4,FALSE)</f>
        <v>Amor Perfeito</v>
      </c>
      <c r="D217" s="37" t="s">
        <v>81</v>
      </c>
      <c r="E217" s="45">
        <v>4</v>
      </c>
      <c r="F217" s="42">
        <f t="shared" si="88"/>
        <v>1.0309278350515464E-2</v>
      </c>
      <c r="G217" s="45">
        <v>3</v>
      </c>
      <c r="H217" s="42">
        <f t="shared" si="89"/>
        <v>1.2552301255230125E-2</v>
      </c>
      <c r="I217" s="45">
        <v>11</v>
      </c>
      <c r="J217" s="41">
        <f t="shared" si="90"/>
        <v>2.8350515463917526E-2</v>
      </c>
      <c r="K217" s="45">
        <v>10</v>
      </c>
      <c r="L217" s="41">
        <f t="shared" si="91"/>
        <v>4.1841004184100417E-2</v>
      </c>
      <c r="M217" s="45">
        <v>358</v>
      </c>
      <c r="N217" s="41">
        <f t="shared" si="92"/>
        <v>0.92268041237113407</v>
      </c>
      <c r="O217" s="45">
        <v>221</v>
      </c>
      <c r="P217" s="41">
        <f t="shared" si="93"/>
        <v>0.92468619246861927</v>
      </c>
      <c r="Q217" s="45">
        <v>15</v>
      </c>
      <c r="R217" s="41">
        <f t="shared" si="94"/>
        <v>3.8659793814432991E-2</v>
      </c>
      <c r="S217" s="45">
        <v>5</v>
      </c>
      <c r="T217" s="41">
        <f t="shared" si="95"/>
        <v>2.0920502092050208E-2</v>
      </c>
      <c r="U217" s="45">
        <v>19</v>
      </c>
      <c r="V217" s="41">
        <f t="shared" si="96"/>
        <v>4.8969072164948453E-2</v>
      </c>
      <c r="W217" s="45">
        <v>18</v>
      </c>
      <c r="X217" s="41">
        <f t="shared" si="97"/>
        <v>7.5313807531380755E-2</v>
      </c>
      <c r="Y217" s="45">
        <v>20</v>
      </c>
      <c r="Z217" s="41">
        <f t="shared" si="98"/>
        <v>5.1546391752577317E-2</v>
      </c>
      <c r="AA217" s="45">
        <v>14</v>
      </c>
      <c r="AB217" s="41">
        <f t="shared" si="99"/>
        <v>5.8577405857740586E-2</v>
      </c>
      <c r="AC217" s="45">
        <v>349</v>
      </c>
      <c r="AD217" s="41">
        <f t="shared" si="81"/>
        <v>0.89948453608247425</v>
      </c>
      <c r="AE217" s="45">
        <v>207</v>
      </c>
      <c r="AF217" s="41">
        <f t="shared" si="100"/>
        <v>0.86610878661087864</v>
      </c>
      <c r="AG217" s="45">
        <v>6</v>
      </c>
      <c r="AH217" s="41">
        <f t="shared" si="82"/>
        <v>1.5463917525773196E-2</v>
      </c>
      <c r="AI217" s="45">
        <v>6</v>
      </c>
      <c r="AJ217" s="41">
        <f t="shared" si="101"/>
        <v>2.5104602510460251E-2</v>
      </c>
      <c r="AK217" s="45">
        <v>11</v>
      </c>
      <c r="AL217" s="41">
        <f t="shared" si="83"/>
        <v>2.8350515463917526E-2</v>
      </c>
      <c r="AM217" s="45">
        <v>9</v>
      </c>
      <c r="AN217" s="41">
        <f t="shared" si="102"/>
        <v>3.7656903765690378E-2</v>
      </c>
      <c r="AO217" s="45">
        <v>298</v>
      </c>
      <c r="AP217" s="41">
        <f t="shared" si="84"/>
        <v>0.76804123711340211</v>
      </c>
      <c r="AQ217" s="45">
        <v>183</v>
      </c>
      <c r="AR217" s="41">
        <f t="shared" si="103"/>
        <v>0.76569037656903771</v>
      </c>
      <c r="AS217" s="45">
        <v>50</v>
      </c>
      <c r="AT217" s="41">
        <f t="shared" si="85"/>
        <v>0.12886597938144329</v>
      </c>
      <c r="AU217" s="45">
        <v>29</v>
      </c>
      <c r="AV217" s="41">
        <f t="shared" si="104"/>
        <v>0.12133891213389121</v>
      </c>
      <c r="AW217" s="45">
        <v>10</v>
      </c>
      <c r="AX217" s="41">
        <f t="shared" si="86"/>
        <v>2.5773195876288658E-2</v>
      </c>
      <c r="AY217" s="45">
        <v>4</v>
      </c>
      <c r="AZ217" s="41">
        <f t="shared" si="105"/>
        <v>1.6736401673640166E-2</v>
      </c>
      <c r="BA217" s="45">
        <v>13</v>
      </c>
      <c r="BB217" s="41">
        <f t="shared" si="87"/>
        <v>3.3505154639175257E-2</v>
      </c>
      <c r="BC217" s="45">
        <v>8</v>
      </c>
      <c r="BD217" s="41">
        <f t="shared" si="106"/>
        <v>3.3472803347280332E-2</v>
      </c>
      <c r="BE217" s="45">
        <v>388</v>
      </c>
      <c r="BF217" s="45">
        <v>239</v>
      </c>
    </row>
    <row r="218" spans="1:58" ht="15.75" customHeight="1" x14ac:dyDescent="0.25">
      <c r="A218" s="44">
        <v>2023</v>
      </c>
      <c r="B218" s="39">
        <v>171370</v>
      </c>
      <c r="C218" s="37" t="str">
        <f>VLOOKUP(B218,procv!$A$2:$D$142,4,FALSE)</f>
        <v>Cantão</v>
      </c>
      <c r="D218" s="37" t="s">
        <v>82</v>
      </c>
      <c r="E218" s="45">
        <v>2</v>
      </c>
      <c r="F218" s="42">
        <f t="shared" si="88"/>
        <v>1.4925373134328358E-2</v>
      </c>
      <c r="G218" s="45">
        <v>1</v>
      </c>
      <c r="H218" s="42">
        <f t="shared" si="89"/>
        <v>1.9230769230769232E-2</v>
      </c>
      <c r="I218" s="45">
        <v>2</v>
      </c>
      <c r="J218" s="41">
        <f t="shared" si="90"/>
        <v>1.4925373134328358E-2</v>
      </c>
      <c r="K218" s="45">
        <v>2</v>
      </c>
      <c r="L218" s="41">
        <f t="shared" si="91"/>
        <v>3.8461538461538464E-2</v>
      </c>
      <c r="M218" s="45">
        <v>124</v>
      </c>
      <c r="N218" s="41">
        <f t="shared" si="92"/>
        <v>0.92537313432835822</v>
      </c>
      <c r="O218" s="45">
        <v>46</v>
      </c>
      <c r="P218" s="41">
        <f t="shared" si="93"/>
        <v>0.88461538461538458</v>
      </c>
      <c r="Q218" s="45">
        <v>6</v>
      </c>
      <c r="R218" s="41">
        <f t="shared" si="94"/>
        <v>4.4776119402985072E-2</v>
      </c>
      <c r="S218" s="45">
        <v>3</v>
      </c>
      <c r="T218" s="41">
        <f t="shared" si="95"/>
        <v>5.7692307692307696E-2</v>
      </c>
      <c r="U218" s="45">
        <v>13</v>
      </c>
      <c r="V218" s="41">
        <f t="shared" si="96"/>
        <v>9.7014925373134331E-2</v>
      </c>
      <c r="W218" s="45">
        <v>5</v>
      </c>
      <c r="X218" s="41">
        <f t="shared" si="97"/>
        <v>9.6153846153846159E-2</v>
      </c>
      <c r="Y218" s="45">
        <v>7</v>
      </c>
      <c r="Z218" s="41">
        <f t="shared" si="98"/>
        <v>5.2238805970149252E-2</v>
      </c>
      <c r="AA218" s="45">
        <v>6</v>
      </c>
      <c r="AB218" s="41">
        <f t="shared" si="99"/>
        <v>0.11538461538461539</v>
      </c>
      <c r="AC218" s="45">
        <v>114</v>
      </c>
      <c r="AD218" s="41">
        <f t="shared" si="81"/>
        <v>0.85074626865671643</v>
      </c>
      <c r="AE218" s="45">
        <v>41</v>
      </c>
      <c r="AF218" s="41">
        <f t="shared" si="100"/>
        <v>0.78846153846153844</v>
      </c>
      <c r="AG218" s="45">
        <v>5</v>
      </c>
      <c r="AH218" s="41">
        <f t="shared" si="82"/>
        <v>3.7313432835820892E-2</v>
      </c>
      <c r="AI218" s="45">
        <v>3</v>
      </c>
      <c r="AJ218" s="41">
        <f t="shared" si="101"/>
        <v>5.7692307692307696E-2</v>
      </c>
      <c r="AK218" s="45">
        <v>5</v>
      </c>
      <c r="AL218" s="41">
        <f t="shared" si="83"/>
        <v>3.7313432835820892E-2</v>
      </c>
      <c r="AM218" s="45">
        <v>2</v>
      </c>
      <c r="AN218" s="41">
        <f t="shared" si="102"/>
        <v>3.8461538461538464E-2</v>
      </c>
      <c r="AO218" s="45">
        <v>81</v>
      </c>
      <c r="AP218" s="41">
        <f t="shared" si="84"/>
        <v>0.60447761194029848</v>
      </c>
      <c r="AQ218" s="45">
        <v>30</v>
      </c>
      <c r="AR218" s="41">
        <f t="shared" si="103"/>
        <v>0.57692307692307687</v>
      </c>
      <c r="AS218" s="45">
        <v>22</v>
      </c>
      <c r="AT218" s="41">
        <f t="shared" si="85"/>
        <v>0.16417910447761194</v>
      </c>
      <c r="AU218" s="45">
        <v>6</v>
      </c>
      <c r="AV218" s="41">
        <f t="shared" si="104"/>
        <v>0.11538461538461539</v>
      </c>
      <c r="AW218" s="45">
        <v>11</v>
      </c>
      <c r="AX218" s="41">
        <f t="shared" si="86"/>
        <v>8.2089552238805971E-2</v>
      </c>
      <c r="AY218" s="45">
        <v>5</v>
      </c>
      <c r="AZ218" s="41">
        <f t="shared" si="105"/>
        <v>9.6153846153846159E-2</v>
      </c>
      <c r="BA218" s="45">
        <v>10</v>
      </c>
      <c r="BB218" s="41">
        <f t="shared" si="87"/>
        <v>7.4626865671641784E-2</v>
      </c>
      <c r="BC218" s="45">
        <v>6</v>
      </c>
      <c r="BD218" s="41">
        <f t="shared" si="106"/>
        <v>0.11538461538461539</v>
      </c>
      <c r="BE218" s="45">
        <v>134</v>
      </c>
      <c r="BF218" s="45">
        <v>52</v>
      </c>
    </row>
    <row r="219" spans="1:58" ht="15.75" customHeight="1" x14ac:dyDescent="0.25">
      <c r="A219" s="44">
        <v>2023</v>
      </c>
      <c r="B219" s="39">
        <v>171395</v>
      </c>
      <c r="C219" s="37" t="str">
        <f>VLOOKUP(B219,procv!$A$2:$D$142,4,FALSE)</f>
        <v>Médio Norte Araguaia</v>
      </c>
      <c r="D219" s="37" t="s">
        <v>83</v>
      </c>
      <c r="E219" s="45">
        <v>1</v>
      </c>
      <c r="F219" s="42">
        <f t="shared" si="88"/>
        <v>3.4364261168384879E-3</v>
      </c>
      <c r="G219" s="45">
        <v>0</v>
      </c>
      <c r="H219" s="42">
        <f t="shared" si="89"/>
        <v>0</v>
      </c>
      <c r="I219" s="45">
        <v>12</v>
      </c>
      <c r="J219" s="41">
        <f t="shared" si="90"/>
        <v>4.1237113402061855E-2</v>
      </c>
      <c r="K219" s="45">
        <v>7</v>
      </c>
      <c r="L219" s="41">
        <f t="shared" si="91"/>
        <v>4.1666666666666664E-2</v>
      </c>
      <c r="M219" s="45">
        <v>258</v>
      </c>
      <c r="N219" s="41">
        <f t="shared" si="92"/>
        <v>0.88659793814432986</v>
      </c>
      <c r="O219" s="45">
        <v>150</v>
      </c>
      <c r="P219" s="41">
        <f t="shared" si="93"/>
        <v>0.8928571428571429</v>
      </c>
      <c r="Q219" s="45">
        <v>20</v>
      </c>
      <c r="R219" s="41">
        <f t="shared" si="94"/>
        <v>6.8728522336769765E-2</v>
      </c>
      <c r="S219" s="45">
        <v>11</v>
      </c>
      <c r="T219" s="41">
        <f t="shared" si="95"/>
        <v>6.5476190476190479E-2</v>
      </c>
      <c r="U219" s="45">
        <v>26</v>
      </c>
      <c r="V219" s="41">
        <f t="shared" si="96"/>
        <v>8.9347079037800689E-2</v>
      </c>
      <c r="W219" s="45">
        <v>25</v>
      </c>
      <c r="X219" s="41">
        <f t="shared" si="97"/>
        <v>0.14880952380952381</v>
      </c>
      <c r="Y219" s="45">
        <v>32</v>
      </c>
      <c r="Z219" s="41">
        <f t="shared" si="98"/>
        <v>0.10996563573883161</v>
      </c>
      <c r="AA219" s="45">
        <v>16</v>
      </c>
      <c r="AB219" s="41">
        <f t="shared" si="99"/>
        <v>9.5238095238095233E-2</v>
      </c>
      <c r="AC219" s="45">
        <v>233</v>
      </c>
      <c r="AD219" s="41">
        <f t="shared" si="81"/>
        <v>0.80068728522336774</v>
      </c>
      <c r="AE219" s="45">
        <v>127</v>
      </c>
      <c r="AF219" s="41">
        <f t="shared" si="100"/>
        <v>0.75595238095238093</v>
      </c>
      <c r="AG219" s="45">
        <v>7</v>
      </c>
      <c r="AH219" s="41">
        <f t="shared" si="82"/>
        <v>2.4054982817869417E-2</v>
      </c>
      <c r="AI219" s="45">
        <v>7</v>
      </c>
      <c r="AJ219" s="41">
        <f t="shared" si="101"/>
        <v>4.1666666666666664E-2</v>
      </c>
      <c r="AK219" s="45">
        <v>4</v>
      </c>
      <c r="AL219" s="41">
        <f t="shared" si="83"/>
        <v>1.3745704467353952E-2</v>
      </c>
      <c r="AM219" s="45">
        <v>4</v>
      </c>
      <c r="AN219" s="41">
        <f t="shared" si="102"/>
        <v>2.3809523809523808E-2</v>
      </c>
      <c r="AO219" s="45">
        <v>165</v>
      </c>
      <c r="AP219" s="41">
        <f t="shared" si="84"/>
        <v>0.5670103092783505</v>
      </c>
      <c r="AQ219" s="45">
        <v>94</v>
      </c>
      <c r="AR219" s="41">
        <f t="shared" si="103"/>
        <v>0.55952380952380953</v>
      </c>
      <c r="AS219" s="45">
        <v>66</v>
      </c>
      <c r="AT219" s="41">
        <f t="shared" si="85"/>
        <v>0.22680412371134021</v>
      </c>
      <c r="AU219" s="45">
        <v>32</v>
      </c>
      <c r="AV219" s="41">
        <f t="shared" si="104"/>
        <v>0.19047619047619047</v>
      </c>
      <c r="AW219" s="45">
        <v>30</v>
      </c>
      <c r="AX219" s="41">
        <f t="shared" si="86"/>
        <v>0.10309278350515463</v>
      </c>
      <c r="AY219" s="45">
        <v>14</v>
      </c>
      <c r="AZ219" s="41">
        <f t="shared" si="105"/>
        <v>8.3333333333333329E-2</v>
      </c>
      <c r="BA219" s="45">
        <v>19</v>
      </c>
      <c r="BB219" s="41">
        <f t="shared" si="87"/>
        <v>6.5292096219931275E-2</v>
      </c>
      <c r="BC219" s="45">
        <v>17</v>
      </c>
      <c r="BD219" s="41">
        <f t="shared" si="106"/>
        <v>0.10119047619047619</v>
      </c>
      <c r="BE219" s="45">
        <v>291</v>
      </c>
      <c r="BF219" s="45">
        <v>168</v>
      </c>
    </row>
    <row r="220" spans="1:58" ht="15.75" customHeight="1" x14ac:dyDescent="0.25">
      <c r="A220" s="44">
        <v>2023</v>
      </c>
      <c r="B220" s="39">
        <v>171420</v>
      </c>
      <c r="C220" s="37" t="str">
        <f>VLOOKUP(B220,procv!$A$2:$D$142,4,FALSE)</f>
        <v>Amor Perfeito</v>
      </c>
      <c r="D220" s="37" t="s">
        <v>84</v>
      </c>
      <c r="E220" s="45">
        <v>6</v>
      </c>
      <c r="F220" s="42">
        <f t="shared" si="88"/>
        <v>9.0497737556561094E-3</v>
      </c>
      <c r="G220" s="45">
        <v>5</v>
      </c>
      <c r="H220" s="42">
        <f t="shared" si="89"/>
        <v>1.5337423312883436E-2</v>
      </c>
      <c r="I220" s="45">
        <v>16</v>
      </c>
      <c r="J220" s="41">
        <f t="shared" si="90"/>
        <v>2.4132730015082957E-2</v>
      </c>
      <c r="K220" s="45">
        <v>6</v>
      </c>
      <c r="L220" s="41">
        <f t="shared" si="91"/>
        <v>1.8404907975460124E-2</v>
      </c>
      <c r="M220" s="45">
        <v>611</v>
      </c>
      <c r="N220" s="41">
        <f t="shared" si="92"/>
        <v>0.92156862745098034</v>
      </c>
      <c r="O220" s="45">
        <v>301</v>
      </c>
      <c r="P220" s="41">
        <f t="shared" si="93"/>
        <v>0.92331288343558282</v>
      </c>
      <c r="Q220" s="45">
        <v>30</v>
      </c>
      <c r="R220" s="41">
        <f t="shared" si="94"/>
        <v>4.5248868778280542E-2</v>
      </c>
      <c r="S220" s="45">
        <v>14</v>
      </c>
      <c r="T220" s="41">
        <f t="shared" si="95"/>
        <v>4.2944785276073622E-2</v>
      </c>
      <c r="U220" s="45">
        <v>36</v>
      </c>
      <c r="V220" s="41">
        <f t="shared" si="96"/>
        <v>5.4298642533936653E-2</v>
      </c>
      <c r="W220" s="45">
        <v>30</v>
      </c>
      <c r="X220" s="41">
        <f t="shared" si="97"/>
        <v>9.202453987730061E-2</v>
      </c>
      <c r="Y220" s="45">
        <v>61</v>
      </c>
      <c r="Z220" s="41">
        <f t="shared" si="98"/>
        <v>9.2006033182503777E-2</v>
      </c>
      <c r="AA220" s="45">
        <v>47</v>
      </c>
      <c r="AB220" s="41">
        <f t="shared" si="99"/>
        <v>0.14417177914110429</v>
      </c>
      <c r="AC220" s="45">
        <v>566</v>
      </c>
      <c r="AD220" s="41">
        <f t="shared" si="81"/>
        <v>0.85369532428355954</v>
      </c>
      <c r="AE220" s="45">
        <v>249</v>
      </c>
      <c r="AF220" s="41">
        <f t="shared" si="100"/>
        <v>0.76380368098159512</v>
      </c>
      <c r="AG220" s="45">
        <v>12</v>
      </c>
      <c r="AH220" s="41">
        <f t="shared" si="82"/>
        <v>1.8099547511312219E-2</v>
      </c>
      <c r="AI220" s="45">
        <v>10</v>
      </c>
      <c r="AJ220" s="41">
        <f t="shared" si="101"/>
        <v>3.0674846625766871E-2</v>
      </c>
      <c r="AK220" s="45">
        <v>17</v>
      </c>
      <c r="AL220" s="41">
        <f t="shared" si="83"/>
        <v>2.564102564102564E-2</v>
      </c>
      <c r="AM220" s="45">
        <v>12</v>
      </c>
      <c r="AN220" s="41">
        <f t="shared" si="102"/>
        <v>3.6809815950920248E-2</v>
      </c>
      <c r="AO220" s="45">
        <v>445</v>
      </c>
      <c r="AP220" s="41">
        <f t="shared" si="84"/>
        <v>0.67119155354449467</v>
      </c>
      <c r="AQ220" s="45">
        <v>206</v>
      </c>
      <c r="AR220" s="41">
        <f t="shared" si="103"/>
        <v>0.63190184049079756</v>
      </c>
      <c r="AS220" s="45">
        <v>107</v>
      </c>
      <c r="AT220" s="41">
        <f t="shared" si="85"/>
        <v>0.16138763197586728</v>
      </c>
      <c r="AU220" s="45">
        <v>54</v>
      </c>
      <c r="AV220" s="41">
        <f t="shared" si="104"/>
        <v>0.16564417177914109</v>
      </c>
      <c r="AW220" s="45">
        <v>52</v>
      </c>
      <c r="AX220" s="41">
        <f t="shared" si="86"/>
        <v>7.8431372549019607E-2</v>
      </c>
      <c r="AY220" s="45">
        <v>26</v>
      </c>
      <c r="AZ220" s="41">
        <f t="shared" si="105"/>
        <v>7.9754601226993863E-2</v>
      </c>
      <c r="BA220" s="45">
        <v>30</v>
      </c>
      <c r="BB220" s="41">
        <f t="shared" si="87"/>
        <v>4.5248868778280542E-2</v>
      </c>
      <c r="BC220" s="45">
        <v>18</v>
      </c>
      <c r="BD220" s="41">
        <f t="shared" si="106"/>
        <v>5.5214723926380369E-2</v>
      </c>
      <c r="BE220" s="45">
        <v>663</v>
      </c>
      <c r="BF220" s="45">
        <v>326</v>
      </c>
    </row>
    <row r="221" spans="1:58" ht="15.75" customHeight="1" x14ac:dyDescent="0.25">
      <c r="A221" s="44">
        <v>2023</v>
      </c>
      <c r="B221" s="39">
        <v>171430</v>
      </c>
      <c r="C221" s="37" t="str">
        <f>VLOOKUP(B221,procv!$A$2:$D$142,4,FALSE)</f>
        <v>Bico do Papagaio</v>
      </c>
      <c r="D221" s="37" t="s">
        <v>85</v>
      </c>
      <c r="E221" s="45">
        <v>1</v>
      </c>
      <c r="F221" s="42">
        <f t="shared" si="88"/>
        <v>3.7593984962406013E-3</v>
      </c>
      <c r="G221" s="45">
        <v>0</v>
      </c>
      <c r="H221" s="42">
        <f t="shared" si="89"/>
        <v>0</v>
      </c>
      <c r="I221" s="45">
        <v>7</v>
      </c>
      <c r="J221" s="41">
        <f t="shared" si="90"/>
        <v>2.6315789473684209E-2</v>
      </c>
      <c r="K221" s="45">
        <v>6</v>
      </c>
      <c r="L221" s="41">
        <f t="shared" si="91"/>
        <v>3.3149171270718231E-2</v>
      </c>
      <c r="M221" s="45">
        <v>249</v>
      </c>
      <c r="N221" s="41">
        <f t="shared" si="92"/>
        <v>0.93609022556390975</v>
      </c>
      <c r="O221" s="45">
        <v>168</v>
      </c>
      <c r="P221" s="41">
        <f t="shared" si="93"/>
        <v>0.92817679558011046</v>
      </c>
      <c r="Q221" s="45">
        <v>9</v>
      </c>
      <c r="R221" s="41">
        <f t="shared" si="94"/>
        <v>3.3834586466165412E-2</v>
      </c>
      <c r="S221" s="45">
        <v>7</v>
      </c>
      <c r="T221" s="41">
        <f t="shared" si="95"/>
        <v>3.8674033149171269E-2</v>
      </c>
      <c r="U221" s="45">
        <v>18</v>
      </c>
      <c r="V221" s="41">
        <f t="shared" si="96"/>
        <v>6.7669172932330823E-2</v>
      </c>
      <c r="W221" s="45">
        <v>11</v>
      </c>
      <c r="X221" s="41">
        <f t="shared" si="97"/>
        <v>6.0773480662983423E-2</v>
      </c>
      <c r="Y221" s="45">
        <v>26</v>
      </c>
      <c r="Z221" s="41">
        <f t="shared" si="98"/>
        <v>9.7744360902255634E-2</v>
      </c>
      <c r="AA221" s="45">
        <v>11</v>
      </c>
      <c r="AB221" s="41">
        <f t="shared" si="99"/>
        <v>6.0773480662983423E-2</v>
      </c>
      <c r="AC221" s="45">
        <v>222</v>
      </c>
      <c r="AD221" s="41">
        <f t="shared" si="81"/>
        <v>0.83458646616541354</v>
      </c>
      <c r="AE221" s="45">
        <v>159</v>
      </c>
      <c r="AF221" s="41">
        <f t="shared" si="100"/>
        <v>0.87845303867403313</v>
      </c>
      <c r="AG221" s="45">
        <v>4</v>
      </c>
      <c r="AH221" s="41">
        <f t="shared" si="82"/>
        <v>1.5037593984962405E-2</v>
      </c>
      <c r="AI221" s="45">
        <v>6</v>
      </c>
      <c r="AJ221" s="41">
        <f t="shared" si="101"/>
        <v>3.3149171270718231E-2</v>
      </c>
      <c r="AK221" s="45">
        <v>11</v>
      </c>
      <c r="AL221" s="41">
        <f t="shared" si="83"/>
        <v>4.1353383458646614E-2</v>
      </c>
      <c r="AM221" s="45">
        <v>17</v>
      </c>
      <c r="AN221" s="41">
        <f t="shared" si="102"/>
        <v>9.3922651933701654E-2</v>
      </c>
      <c r="AO221" s="45">
        <v>167</v>
      </c>
      <c r="AP221" s="41">
        <f t="shared" si="84"/>
        <v>0.6278195488721805</v>
      </c>
      <c r="AQ221" s="45">
        <v>119</v>
      </c>
      <c r="AR221" s="41">
        <f t="shared" si="103"/>
        <v>0.65745856353591159</v>
      </c>
      <c r="AS221" s="45">
        <v>53</v>
      </c>
      <c r="AT221" s="41">
        <f t="shared" si="85"/>
        <v>0.19924812030075187</v>
      </c>
      <c r="AU221" s="45">
        <v>26</v>
      </c>
      <c r="AV221" s="41">
        <f t="shared" si="104"/>
        <v>0.143646408839779</v>
      </c>
      <c r="AW221" s="45">
        <v>17</v>
      </c>
      <c r="AX221" s="41">
        <f t="shared" si="86"/>
        <v>6.3909774436090222E-2</v>
      </c>
      <c r="AY221" s="45">
        <v>4</v>
      </c>
      <c r="AZ221" s="41">
        <f t="shared" si="105"/>
        <v>2.2099447513812154E-2</v>
      </c>
      <c r="BA221" s="45">
        <v>14</v>
      </c>
      <c r="BB221" s="41">
        <f t="shared" si="87"/>
        <v>5.2631578947368418E-2</v>
      </c>
      <c r="BC221" s="45">
        <v>9</v>
      </c>
      <c r="BD221" s="41">
        <f t="shared" si="106"/>
        <v>4.9723756906077346E-2</v>
      </c>
      <c r="BE221" s="45">
        <v>266</v>
      </c>
      <c r="BF221" s="45">
        <v>181</v>
      </c>
    </row>
    <row r="222" spans="1:58" ht="15.75" customHeight="1" x14ac:dyDescent="0.25">
      <c r="A222" s="44">
        <v>2023</v>
      </c>
      <c r="B222" s="39">
        <v>171488</v>
      </c>
      <c r="C222" s="37" t="str">
        <f>VLOOKUP(B222,procv!$A$2:$D$142,4,FALSE)</f>
        <v>Médio Norte Araguaia</v>
      </c>
      <c r="D222" s="37" t="s">
        <v>86</v>
      </c>
      <c r="E222" s="45">
        <v>4</v>
      </c>
      <c r="F222" s="42">
        <f t="shared" si="88"/>
        <v>5.6258790436005627E-3</v>
      </c>
      <c r="G222" s="45">
        <v>4</v>
      </c>
      <c r="H222" s="42">
        <f t="shared" si="89"/>
        <v>1.1428571428571429E-2</v>
      </c>
      <c r="I222" s="45">
        <v>23</v>
      </c>
      <c r="J222" s="41">
        <f t="shared" si="90"/>
        <v>3.2348804500703238E-2</v>
      </c>
      <c r="K222" s="45">
        <v>14</v>
      </c>
      <c r="L222" s="41">
        <f t="shared" si="91"/>
        <v>0.04</v>
      </c>
      <c r="M222" s="45">
        <v>655</v>
      </c>
      <c r="N222" s="41">
        <f t="shared" si="92"/>
        <v>0.92123769338959216</v>
      </c>
      <c r="O222" s="45">
        <v>318</v>
      </c>
      <c r="P222" s="41">
        <f t="shared" si="93"/>
        <v>0.90857142857142859</v>
      </c>
      <c r="Q222" s="45">
        <v>29</v>
      </c>
      <c r="R222" s="41">
        <f t="shared" si="94"/>
        <v>4.0787623066104076E-2</v>
      </c>
      <c r="S222" s="45">
        <v>14</v>
      </c>
      <c r="T222" s="41">
        <f t="shared" si="95"/>
        <v>0.04</v>
      </c>
      <c r="U222" s="45">
        <v>39</v>
      </c>
      <c r="V222" s="41">
        <f t="shared" si="96"/>
        <v>5.4852320675105488E-2</v>
      </c>
      <c r="W222" s="45">
        <v>34</v>
      </c>
      <c r="X222" s="41">
        <f t="shared" si="97"/>
        <v>9.7142857142857142E-2</v>
      </c>
      <c r="Y222" s="45">
        <v>65</v>
      </c>
      <c r="Z222" s="41">
        <f t="shared" si="98"/>
        <v>9.1420534458509145E-2</v>
      </c>
      <c r="AA222" s="45">
        <v>37</v>
      </c>
      <c r="AB222" s="41">
        <f t="shared" si="99"/>
        <v>0.10571428571428572</v>
      </c>
      <c r="AC222" s="45">
        <v>607</v>
      </c>
      <c r="AD222" s="41">
        <f t="shared" si="81"/>
        <v>0.85372714486638535</v>
      </c>
      <c r="AE222" s="45">
        <v>279</v>
      </c>
      <c r="AF222" s="41">
        <f t="shared" si="100"/>
        <v>0.79714285714285715</v>
      </c>
      <c r="AG222" s="45">
        <v>16</v>
      </c>
      <c r="AH222" s="41">
        <f t="shared" si="82"/>
        <v>2.2503516174402251E-2</v>
      </c>
      <c r="AI222" s="45">
        <v>15</v>
      </c>
      <c r="AJ222" s="41">
        <f t="shared" si="101"/>
        <v>4.2857142857142858E-2</v>
      </c>
      <c r="AK222" s="45">
        <v>21</v>
      </c>
      <c r="AL222" s="41">
        <f t="shared" si="83"/>
        <v>2.9535864978902954E-2</v>
      </c>
      <c r="AM222" s="45">
        <v>22</v>
      </c>
      <c r="AN222" s="41">
        <f t="shared" si="102"/>
        <v>6.2857142857142861E-2</v>
      </c>
      <c r="AO222" s="45">
        <v>464</v>
      </c>
      <c r="AP222" s="41">
        <f t="shared" si="84"/>
        <v>0.65260196905766521</v>
      </c>
      <c r="AQ222" s="45">
        <v>195</v>
      </c>
      <c r="AR222" s="41">
        <f t="shared" si="103"/>
        <v>0.55714285714285716</v>
      </c>
      <c r="AS222" s="45">
        <v>117</v>
      </c>
      <c r="AT222" s="41">
        <f t="shared" si="85"/>
        <v>0.16455696202531644</v>
      </c>
      <c r="AU222" s="45">
        <v>62</v>
      </c>
      <c r="AV222" s="41">
        <f t="shared" si="104"/>
        <v>0.17714285714285713</v>
      </c>
      <c r="AW222" s="45">
        <v>58</v>
      </c>
      <c r="AX222" s="41">
        <f t="shared" si="86"/>
        <v>8.1575246132208151E-2</v>
      </c>
      <c r="AY222" s="45">
        <v>27</v>
      </c>
      <c r="AZ222" s="41">
        <f t="shared" si="105"/>
        <v>7.7142857142857138E-2</v>
      </c>
      <c r="BA222" s="45">
        <v>35</v>
      </c>
      <c r="BB222" s="41">
        <f t="shared" si="87"/>
        <v>4.9226441631504921E-2</v>
      </c>
      <c r="BC222" s="45">
        <v>29</v>
      </c>
      <c r="BD222" s="41">
        <f t="shared" si="106"/>
        <v>8.2857142857142851E-2</v>
      </c>
      <c r="BE222" s="45">
        <v>711</v>
      </c>
      <c r="BF222" s="45">
        <v>350</v>
      </c>
    </row>
    <row r="223" spans="1:58" ht="15.75" customHeight="1" x14ac:dyDescent="0.25">
      <c r="A223" s="44">
        <v>2023</v>
      </c>
      <c r="B223" s="39">
        <v>171500</v>
      </c>
      <c r="C223" s="37" t="str">
        <f>VLOOKUP(B223,procv!$A$2:$D$142,4,FALSE)</f>
        <v>Cantão</v>
      </c>
      <c r="D223" s="37" t="s">
        <v>87</v>
      </c>
      <c r="E223" s="45">
        <v>0</v>
      </c>
      <c r="F223" s="42">
        <f t="shared" si="88"/>
        <v>0</v>
      </c>
      <c r="G223" s="45">
        <v>0</v>
      </c>
      <c r="H223" s="42">
        <f t="shared" si="89"/>
        <v>0</v>
      </c>
      <c r="I223" s="45">
        <v>4</v>
      </c>
      <c r="J223" s="41">
        <f t="shared" si="90"/>
        <v>1.6528925619834711E-2</v>
      </c>
      <c r="K223" s="45">
        <v>2</v>
      </c>
      <c r="L223" s="41">
        <f t="shared" si="91"/>
        <v>1.5873015873015872E-2</v>
      </c>
      <c r="M223" s="45">
        <v>220</v>
      </c>
      <c r="N223" s="41">
        <f t="shared" si="92"/>
        <v>0.90909090909090906</v>
      </c>
      <c r="O223" s="45">
        <v>108</v>
      </c>
      <c r="P223" s="41">
        <f t="shared" si="93"/>
        <v>0.8571428571428571</v>
      </c>
      <c r="Q223" s="45">
        <v>18</v>
      </c>
      <c r="R223" s="41">
        <f t="shared" si="94"/>
        <v>7.43801652892562E-2</v>
      </c>
      <c r="S223" s="45">
        <v>16</v>
      </c>
      <c r="T223" s="41">
        <f t="shared" si="95"/>
        <v>0.12698412698412698</v>
      </c>
      <c r="U223" s="45">
        <v>13</v>
      </c>
      <c r="V223" s="41">
        <f t="shared" si="96"/>
        <v>5.3719008264462811E-2</v>
      </c>
      <c r="W223" s="45">
        <v>5</v>
      </c>
      <c r="X223" s="41">
        <f t="shared" si="97"/>
        <v>3.968253968253968E-2</v>
      </c>
      <c r="Y223" s="45">
        <v>27</v>
      </c>
      <c r="Z223" s="41">
        <f t="shared" si="98"/>
        <v>0.1115702479338843</v>
      </c>
      <c r="AA223" s="45">
        <v>11</v>
      </c>
      <c r="AB223" s="41">
        <f t="shared" si="99"/>
        <v>8.7301587301587297E-2</v>
      </c>
      <c r="AC223" s="45">
        <v>202</v>
      </c>
      <c r="AD223" s="41">
        <f t="shared" si="81"/>
        <v>0.83471074380165289</v>
      </c>
      <c r="AE223" s="45">
        <v>110</v>
      </c>
      <c r="AF223" s="41">
        <f t="shared" si="100"/>
        <v>0.87301587301587302</v>
      </c>
      <c r="AG223" s="45">
        <v>2</v>
      </c>
      <c r="AH223" s="41">
        <f t="shared" si="82"/>
        <v>8.2644628099173556E-3</v>
      </c>
      <c r="AI223" s="45">
        <v>2</v>
      </c>
      <c r="AJ223" s="41">
        <f t="shared" si="101"/>
        <v>1.5873015873015872E-2</v>
      </c>
      <c r="AK223" s="45">
        <v>4</v>
      </c>
      <c r="AL223" s="41">
        <f t="shared" si="83"/>
        <v>1.6528925619834711E-2</v>
      </c>
      <c r="AM223" s="45">
        <v>4</v>
      </c>
      <c r="AN223" s="41">
        <f t="shared" si="102"/>
        <v>3.1746031746031744E-2</v>
      </c>
      <c r="AO223" s="45">
        <v>144</v>
      </c>
      <c r="AP223" s="41">
        <f t="shared" si="84"/>
        <v>0.5950413223140496</v>
      </c>
      <c r="AQ223" s="45">
        <v>82</v>
      </c>
      <c r="AR223" s="41">
        <f t="shared" si="103"/>
        <v>0.65079365079365081</v>
      </c>
      <c r="AS223" s="45">
        <v>54</v>
      </c>
      <c r="AT223" s="41">
        <f t="shared" si="85"/>
        <v>0.2231404958677686</v>
      </c>
      <c r="AU223" s="45">
        <v>20</v>
      </c>
      <c r="AV223" s="41">
        <f t="shared" si="104"/>
        <v>0.15873015873015872</v>
      </c>
      <c r="AW223" s="45">
        <v>24</v>
      </c>
      <c r="AX223" s="41">
        <f t="shared" si="86"/>
        <v>9.9173553719008267E-2</v>
      </c>
      <c r="AY223" s="45">
        <v>10</v>
      </c>
      <c r="AZ223" s="41">
        <f t="shared" si="105"/>
        <v>7.9365079365079361E-2</v>
      </c>
      <c r="BA223" s="45">
        <v>14</v>
      </c>
      <c r="BB223" s="41">
        <f t="shared" si="87"/>
        <v>5.7851239669421489E-2</v>
      </c>
      <c r="BC223" s="45">
        <v>8</v>
      </c>
      <c r="BD223" s="41">
        <f t="shared" si="106"/>
        <v>6.3492063492063489E-2</v>
      </c>
      <c r="BE223" s="45">
        <v>242</v>
      </c>
      <c r="BF223" s="45">
        <v>126</v>
      </c>
    </row>
    <row r="224" spans="1:58" ht="15.75" customHeight="1" x14ac:dyDescent="0.25">
      <c r="A224" s="44">
        <v>2023</v>
      </c>
      <c r="B224" s="39">
        <v>171510</v>
      </c>
      <c r="C224" s="37" t="str">
        <f>VLOOKUP(B224,procv!$A$2:$D$142,4,FALSE)</f>
        <v>Capim Dourado</v>
      </c>
      <c r="D224" s="37" t="s">
        <v>88</v>
      </c>
      <c r="E224" s="45">
        <v>5</v>
      </c>
      <c r="F224" s="42">
        <f t="shared" si="88"/>
        <v>1.6339869281045753E-2</v>
      </c>
      <c r="G224" s="45">
        <v>5</v>
      </c>
      <c r="H224" s="42">
        <f t="shared" si="89"/>
        <v>3.0120481927710843E-2</v>
      </c>
      <c r="I224" s="45">
        <v>25</v>
      </c>
      <c r="J224" s="41">
        <f t="shared" si="90"/>
        <v>8.1699346405228759E-2</v>
      </c>
      <c r="K224" s="45">
        <v>14</v>
      </c>
      <c r="L224" s="41">
        <f t="shared" si="91"/>
        <v>8.4337349397590355E-2</v>
      </c>
      <c r="M224" s="45">
        <v>263</v>
      </c>
      <c r="N224" s="41">
        <f t="shared" si="92"/>
        <v>0.85947712418300659</v>
      </c>
      <c r="O224" s="45">
        <v>139</v>
      </c>
      <c r="P224" s="41">
        <f t="shared" si="93"/>
        <v>0.83734939759036142</v>
      </c>
      <c r="Q224" s="45">
        <v>13</v>
      </c>
      <c r="R224" s="41">
        <f t="shared" si="94"/>
        <v>4.2483660130718956E-2</v>
      </c>
      <c r="S224" s="45">
        <v>8</v>
      </c>
      <c r="T224" s="41">
        <f t="shared" si="95"/>
        <v>4.8192771084337352E-2</v>
      </c>
      <c r="U224" s="45">
        <v>11</v>
      </c>
      <c r="V224" s="41">
        <f t="shared" si="96"/>
        <v>3.5947712418300651E-2</v>
      </c>
      <c r="W224" s="45">
        <v>4</v>
      </c>
      <c r="X224" s="41">
        <f t="shared" si="97"/>
        <v>2.4096385542168676E-2</v>
      </c>
      <c r="Y224" s="45">
        <v>27</v>
      </c>
      <c r="Z224" s="41">
        <f t="shared" si="98"/>
        <v>8.8235294117647065E-2</v>
      </c>
      <c r="AA224" s="45">
        <v>12</v>
      </c>
      <c r="AB224" s="41">
        <f t="shared" si="99"/>
        <v>7.2289156626506021E-2</v>
      </c>
      <c r="AC224" s="45">
        <v>268</v>
      </c>
      <c r="AD224" s="41">
        <f t="shared" si="81"/>
        <v>0.87581699346405228</v>
      </c>
      <c r="AE224" s="45">
        <v>150</v>
      </c>
      <c r="AF224" s="41">
        <f t="shared" si="100"/>
        <v>0.90361445783132532</v>
      </c>
      <c r="AG224" s="45">
        <v>12</v>
      </c>
      <c r="AH224" s="41">
        <f t="shared" si="82"/>
        <v>3.9215686274509803E-2</v>
      </c>
      <c r="AI224" s="45">
        <v>11</v>
      </c>
      <c r="AJ224" s="41">
        <f t="shared" si="101"/>
        <v>6.6265060240963861E-2</v>
      </c>
      <c r="AK224" s="45">
        <v>18</v>
      </c>
      <c r="AL224" s="41">
        <f t="shared" si="83"/>
        <v>5.8823529411764705E-2</v>
      </c>
      <c r="AM224" s="45">
        <v>13</v>
      </c>
      <c r="AN224" s="41">
        <f t="shared" si="102"/>
        <v>7.8313253012048195E-2</v>
      </c>
      <c r="AO224" s="45">
        <v>202</v>
      </c>
      <c r="AP224" s="41">
        <f t="shared" si="84"/>
        <v>0.66013071895424835</v>
      </c>
      <c r="AQ224" s="45">
        <v>112</v>
      </c>
      <c r="AR224" s="41">
        <f t="shared" si="103"/>
        <v>0.67469879518072284</v>
      </c>
      <c r="AS224" s="45">
        <v>47</v>
      </c>
      <c r="AT224" s="41">
        <f t="shared" si="85"/>
        <v>0.15359477124183007</v>
      </c>
      <c r="AU224" s="45">
        <v>21</v>
      </c>
      <c r="AV224" s="41">
        <f t="shared" si="104"/>
        <v>0.12650602409638553</v>
      </c>
      <c r="AW224" s="45">
        <v>15</v>
      </c>
      <c r="AX224" s="41">
        <f t="shared" si="86"/>
        <v>4.9019607843137254E-2</v>
      </c>
      <c r="AY224" s="45">
        <v>3</v>
      </c>
      <c r="AZ224" s="41">
        <f t="shared" si="105"/>
        <v>1.8072289156626505E-2</v>
      </c>
      <c r="BA224" s="45">
        <v>12</v>
      </c>
      <c r="BB224" s="41">
        <f t="shared" si="87"/>
        <v>3.9215686274509803E-2</v>
      </c>
      <c r="BC224" s="45">
        <v>6</v>
      </c>
      <c r="BD224" s="41">
        <f t="shared" si="106"/>
        <v>3.614457831325301E-2</v>
      </c>
      <c r="BE224" s="45">
        <v>306</v>
      </c>
      <c r="BF224" s="45">
        <v>166</v>
      </c>
    </row>
    <row r="225" spans="1:58" ht="15.75" customHeight="1" x14ac:dyDescent="0.25">
      <c r="A225" s="44">
        <v>2023</v>
      </c>
      <c r="B225" s="39">
        <v>171515</v>
      </c>
      <c r="C225" s="37" t="str">
        <f>VLOOKUP(B225,procv!$A$2:$D$142,4,FALSE)</f>
        <v>Sudeste</v>
      </c>
      <c r="D225" s="37" t="s">
        <v>89</v>
      </c>
      <c r="E225" s="45">
        <v>1</v>
      </c>
      <c r="F225" s="42">
        <f t="shared" si="88"/>
        <v>1.098901098901099E-2</v>
      </c>
      <c r="G225" s="45">
        <v>1</v>
      </c>
      <c r="H225" s="42">
        <f t="shared" si="89"/>
        <v>1.9607843137254902E-2</v>
      </c>
      <c r="I225" s="45">
        <v>1</v>
      </c>
      <c r="J225" s="41">
        <f t="shared" si="90"/>
        <v>1.098901098901099E-2</v>
      </c>
      <c r="K225" s="45">
        <v>0</v>
      </c>
      <c r="L225" s="41">
        <f t="shared" si="91"/>
        <v>0</v>
      </c>
      <c r="M225" s="45">
        <v>86</v>
      </c>
      <c r="N225" s="41">
        <f t="shared" si="92"/>
        <v>0.94505494505494503</v>
      </c>
      <c r="O225" s="45">
        <v>44</v>
      </c>
      <c r="P225" s="41">
        <f t="shared" si="93"/>
        <v>0.86274509803921573</v>
      </c>
      <c r="Q225" s="45">
        <v>3</v>
      </c>
      <c r="R225" s="41">
        <f t="shared" si="94"/>
        <v>3.2967032967032968E-2</v>
      </c>
      <c r="S225" s="45">
        <v>6</v>
      </c>
      <c r="T225" s="41">
        <f t="shared" si="95"/>
        <v>0.11764705882352941</v>
      </c>
      <c r="U225" s="45">
        <v>0</v>
      </c>
      <c r="V225" s="41">
        <f t="shared" si="96"/>
        <v>0</v>
      </c>
      <c r="W225" s="45">
        <v>1</v>
      </c>
      <c r="X225" s="41">
        <f t="shared" si="97"/>
        <v>1.9607843137254902E-2</v>
      </c>
      <c r="Y225" s="45">
        <v>6</v>
      </c>
      <c r="Z225" s="41">
        <f t="shared" si="98"/>
        <v>6.5934065934065936E-2</v>
      </c>
      <c r="AA225" s="45">
        <v>6</v>
      </c>
      <c r="AB225" s="41">
        <f t="shared" si="99"/>
        <v>0.11764705882352941</v>
      </c>
      <c r="AC225" s="45">
        <v>85</v>
      </c>
      <c r="AD225" s="41">
        <f t="shared" si="81"/>
        <v>0.93406593406593408</v>
      </c>
      <c r="AE225" s="45">
        <v>44</v>
      </c>
      <c r="AF225" s="41">
        <f t="shared" si="100"/>
        <v>0.86274509803921573</v>
      </c>
      <c r="AG225" s="45">
        <v>5</v>
      </c>
      <c r="AH225" s="41">
        <f t="shared" si="82"/>
        <v>5.4945054945054944E-2</v>
      </c>
      <c r="AI225" s="45">
        <v>3</v>
      </c>
      <c r="AJ225" s="41">
        <f t="shared" si="101"/>
        <v>5.8823529411764705E-2</v>
      </c>
      <c r="AK225" s="45">
        <v>4</v>
      </c>
      <c r="AL225" s="41">
        <f t="shared" si="83"/>
        <v>4.3956043956043959E-2</v>
      </c>
      <c r="AM225" s="45">
        <v>3</v>
      </c>
      <c r="AN225" s="41">
        <f t="shared" si="102"/>
        <v>5.8823529411764705E-2</v>
      </c>
      <c r="AO225" s="45">
        <v>62</v>
      </c>
      <c r="AP225" s="41">
        <f t="shared" si="84"/>
        <v>0.68131868131868134</v>
      </c>
      <c r="AQ225" s="45">
        <v>34</v>
      </c>
      <c r="AR225" s="41">
        <f t="shared" si="103"/>
        <v>0.66666666666666663</v>
      </c>
      <c r="AS225" s="45">
        <v>12</v>
      </c>
      <c r="AT225" s="41">
        <f t="shared" si="85"/>
        <v>0.13186813186813187</v>
      </c>
      <c r="AU225" s="45">
        <v>4</v>
      </c>
      <c r="AV225" s="41">
        <f t="shared" si="104"/>
        <v>7.8431372549019607E-2</v>
      </c>
      <c r="AW225" s="45">
        <v>5</v>
      </c>
      <c r="AX225" s="41">
        <f t="shared" si="86"/>
        <v>5.4945054945054944E-2</v>
      </c>
      <c r="AY225" s="45">
        <v>1</v>
      </c>
      <c r="AZ225" s="41">
        <f t="shared" si="105"/>
        <v>1.9607843137254902E-2</v>
      </c>
      <c r="BA225" s="45">
        <v>3</v>
      </c>
      <c r="BB225" s="41">
        <f t="shared" si="87"/>
        <v>3.2967032967032968E-2</v>
      </c>
      <c r="BC225" s="45">
        <v>6</v>
      </c>
      <c r="BD225" s="41">
        <f t="shared" si="106"/>
        <v>0.11764705882352941</v>
      </c>
      <c r="BE225" s="45">
        <v>91</v>
      </c>
      <c r="BF225" s="45">
        <v>51</v>
      </c>
    </row>
    <row r="226" spans="1:58" ht="15.75" customHeight="1" x14ac:dyDescent="0.25">
      <c r="A226" s="44">
        <v>2023</v>
      </c>
      <c r="B226" s="39">
        <v>171525</v>
      </c>
      <c r="C226" s="37" t="str">
        <f>VLOOKUP(B226,procv!$A$2:$D$142,4,FALSE)</f>
        <v>Sudeste</v>
      </c>
      <c r="D226" s="37" t="s">
        <v>90</v>
      </c>
      <c r="E226" s="45">
        <v>1</v>
      </c>
      <c r="F226" s="42">
        <f t="shared" si="88"/>
        <v>0.01</v>
      </c>
      <c r="G226" s="45">
        <v>1</v>
      </c>
      <c r="H226" s="42">
        <f t="shared" si="89"/>
        <v>1.098901098901099E-2</v>
      </c>
      <c r="I226" s="45">
        <v>8</v>
      </c>
      <c r="J226" s="41">
        <f t="shared" si="90"/>
        <v>0.08</v>
      </c>
      <c r="K226" s="45">
        <v>8</v>
      </c>
      <c r="L226" s="41">
        <f t="shared" si="91"/>
        <v>8.7912087912087919E-2</v>
      </c>
      <c r="M226" s="45">
        <v>84</v>
      </c>
      <c r="N226" s="41">
        <f t="shared" si="92"/>
        <v>0.84</v>
      </c>
      <c r="O226" s="45">
        <v>76</v>
      </c>
      <c r="P226" s="41">
        <f t="shared" si="93"/>
        <v>0.8351648351648352</v>
      </c>
      <c r="Q226" s="45">
        <v>7</v>
      </c>
      <c r="R226" s="41">
        <f t="shared" si="94"/>
        <v>7.0000000000000007E-2</v>
      </c>
      <c r="S226" s="45">
        <v>6</v>
      </c>
      <c r="T226" s="41">
        <f t="shared" si="95"/>
        <v>6.5934065934065936E-2</v>
      </c>
      <c r="U226" s="45">
        <v>14</v>
      </c>
      <c r="V226" s="41">
        <f t="shared" si="96"/>
        <v>0.14000000000000001</v>
      </c>
      <c r="W226" s="45">
        <v>14</v>
      </c>
      <c r="X226" s="41">
        <f t="shared" si="97"/>
        <v>0.15384615384615385</v>
      </c>
      <c r="Y226" s="45">
        <v>12</v>
      </c>
      <c r="Z226" s="41">
        <f t="shared" si="98"/>
        <v>0.12</v>
      </c>
      <c r="AA226" s="45">
        <v>11</v>
      </c>
      <c r="AB226" s="41">
        <f t="shared" si="99"/>
        <v>0.12087912087912088</v>
      </c>
      <c r="AC226" s="45">
        <v>74</v>
      </c>
      <c r="AD226" s="41">
        <f t="shared" si="81"/>
        <v>0.74</v>
      </c>
      <c r="AE226" s="45">
        <v>66</v>
      </c>
      <c r="AF226" s="41">
        <f t="shared" si="100"/>
        <v>0.72527472527472525</v>
      </c>
      <c r="AG226" s="45">
        <v>8</v>
      </c>
      <c r="AH226" s="41">
        <f t="shared" si="82"/>
        <v>0.08</v>
      </c>
      <c r="AI226" s="45">
        <v>8</v>
      </c>
      <c r="AJ226" s="41">
        <f t="shared" si="101"/>
        <v>8.7912087912087919E-2</v>
      </c>
      <c r="AK226" s="45">
        <v>6</v>
      </c>
      <c r="AL226" s="41">
        <f t="shared" si="83"/>
        <v>0.06</v>
      </c>
      <c r="AM226" s="45">
        <v>6</v>
      </c>
      <c r="AN226" s="41">
        <f t="shared" si="102"/>
        <v>6.5934065934065936E-2</v>
      </c>
      <c r="AO226" s="45">
        <v>52</v>
      </c>
      <c r="AP226" s="41">
        <f t="shared" si="84"/>
        <v>0.52</v>
      </c>
      <c r="AQ226" s="45">
        <v>48</v>
      </c>
      <c r="AR226" s="41">
        <f t="shared" si="103"/>
        <v>0.52747252747252749</v>
      </c>
      <c r="AS226" s="45">
        <v>18</v>
      </c>
      <c r="AT226" s="41">
        <f t="shared" si="85"/>
        <v>0.18</v>
      </c>
      <c r="AU226" s="45">
        <v>15</v>
      </c>
      <c r="AV226" s="41">
        <f t="shared" si="104"/>
        <v>0.16483516483516483</v>
      </c>
      <c r="AW226" s="45">
        <v>9</v>
      </c>
      <c r="AX226" s="41">
        <f t="shared" si="86"/>
        <v>0.09</v>
      </c>
      <c r="AY226" s="45">
        <v>8</v>
      </c>
      <c r="AZ226" s="41">
        <f t="shared" si="105"/>
        <v>8.7912087912087919E-2</v>
      </c>
      <c r="BA226" s="45">
        <v>7</v>
      </c>
      <c r="BB226" s="41">
        <f t="shared" si="87"/>
        <v>7.0000000000000007E-2</v>
      </c>
      <c r="BC226" s="45">
        <v>6</v>
      </c>
      <c r="BD226" s="41">
        <f t="shared" si="106"/>
        <v>6.5934065934065936E-2</v>
      </c>
      <c r="BE226" s="45">
        <v>100</v>
      </c>
      <c r="BF226" s="45">
        <v>91</v>
      </c>
    </row>
    <row r="227" spans="1:58" ht="15.75" customHeight="1" x14ac:dyDescent="0.25">
      <c r="A227" s="44">
        <v>2023</v>
      </c>
      <c r="B227" s="39">
        <v>171550</v>
      </c>
      <c r="C227" s="37" t="str">
        <f>VLOOKUP(B227,procv!$A$2:$D$142,4,FALSE)</f>
        <v>Amor Perfeito</v>
      </c>
      <c r="D227" s="37" t="s">
        <v>91</v>
      </c>
      <c r="E227" s="45">
        <v>0</v>
      </c>
      <c r="F227" s="42">
        <f t="shared" si="88"/>
        <v>0</v>
      </c>
      <c r="G227" s="45">
        <v>0</v>
      </c>
      <c r="H227" s="42">
        <f t="shared" si="89"/>
        <v>0</v>
      </c>
      <c r="I227" s="45">
        <v>1</v>
      </c>
      <c r="J227" s="41">
        <f t="shared" si="90"/>
        <v>1.0309278350515464E-2</v>
      </c>
      <c r="K227" s="45">
        <v>0</v>
      </c>
      <c r="L227" s="41">
        <f t="shared" si="91"/>
        <v>0</v>
      </c>
      <c r="M227" s="45">
        <v>94</v>
      </c>
      <c r="N227" s="41">
        <f t="shared" si="92"/>
        <v>0.96907216494845361</v>
      </c>
      <c r="O227" s="45">
        <v>44</v>
      </c>
      <c r="P227" s="41">
        <f t="shared" si="93"/>
        <v>0.95652173913043481</v>
      </c>
      <c r="Q227" s="45">
        <v>2</v>
      </c>
      <c r="R227" s="41">
        <f t="shared" si="94"/>
        <v>2.0618556701030927E-2</v>
      </c>
      <c r="S227" s="45">
        <v>2</v>
      </c>
      <c r="T227" s="41">
        <f t="shared" si="95"/>
        <v>4.3478260869565216E-2</v>
      </c>
      <c r="U227" s="45">
        <v>2</v>
      </c>
      <c r="V227" s="41">
        <f t="shared" si="96"/>
        <v>2.0618556701030927E-2</v>
      </c>
      <c r="W227" s="45">
        <v>4</v>
      </c>
      <c r="X227" s="41">
        <f t="shared" si="97"/>
        <v>8.6956521739130432E-2</v>
      </c>
      <c r="Y227" s="45">
        <v>5</v>
      </c>
      <c r="Z227" s="41">
        <f t="shared" si="98"/>
        <v>5.1546391752577317E-2</v>
      </c>
      <c r="AA227" s="45">
        <v>5</v>
      </c>
      <c r="AB227" s="41">
        <f t="shared" si="99"/>
        <v>0.10869565217391304</v>
      </c>
      <c r="AC227" s="45">
        <v>90</v>
      </c>
      <c r="AD227" s="41">
        <f t="shared" si="81"/>
        <v>0.92783505154639179</v>
      </c>
      <c r="AE227" s="45">
        <v>37</v>
      </c>
      <c r="AF227" s="41">
        <f t="shared" si="100"/>
        <v>0.80434782608695654</v>
      </c>
      <c r="AG227" s="45">
        <v>0</v>
      </c>
      <c r="AH227" s="41">
        <f t="shared" si="82"/>
        <v>0</v>
      </c>
      <c r="AI227" s="45">
        <v>0</v>
      </c>
      <c r="AJ227" s="41">
        <f t="shared" si="101"/>
        <v>0</v>
      </c>
      <c r="AK227" s="45">
        <v>3</v>
      </c>
      <c r="AL227" s="41">
        <f t="shared" si="83"/>
        <v>3.0927835051546393E-2</v>
      </c>
      <c r="AM227" s="45">
        <v>3</v>
      </c>
      <c r="AN227" s="41">
        <f t="shared" si="102"/>
        <v>6.5217391304347824E-2</v>
      </c>
      <c r="AO227" s="45">
        <v>75</v>
      </c>
      <c r="AP227" s="41">
        <f t="shared" si="84"/>
        <v>0.77319587628865982</v>
      </c>
      <c r="AQ227" s="45">
        <v>28</v>
      </c>
      <c r="AR227" s="41">
        <f t="shared" si="103"/>
        <v>0.60869565217391308</v>
      </c>
      <c r="AS227" s="45">
        <v>12</v>
      </c>
      <c r="AT227" s="41">
        <f t="shared" si="85"/>
        <v>0.12371134020618557</v>
      </c>
      <c r="AU227" s="45">
        <v>9</v>
      </c>
      <c r="AV227" s="41">
        <f t="shared" si="104"/>
        <v>0.19565217391304349</v>
      </c>
      <c r="AW227" s="45">
        <v>5</v>
      </c>
      <c r="AX227" s="41">
        <f t="shared" si="86"/>
        <v>5.1546391752577317E-2</v>
      </c>
      <c r="AY227" s="45">
        <v>3</v>
      </c>
      <c r="AZ227" s="41">
        <f t="shared" si="105"/>
        <v>6.5217391304347824E-2</v>
      </c>
      <c r="BA227" s="45">
        <v>2</v>
      </c>
      <c r="BB227" s="41">
        <f t="shared" si="87"/>
        <v>2.0618556701030927E-2</v>
      </c>
      <c r="BC227" s="45">
        <v>3</v>
      </c>
      <c r="BD227" s="41">
        <f t="shared" si="106"/>
        <v>6.5217391304347824E-2</v>
      </c>
      <c r="BE227" s="45">
        <v>97</v>
      </c>
      <c r="BF227" s="45">
        <v>46</v>
      </c>
    </row>
    <row r="228" spans="1:58" ht="15.75" customHeight="1" x14ac:dyDescent="0.25">
      <c r="A228" s="44">
        <v>2023</v>
      </c>
      <c r="B228" s="39">
        <v>172100</v>
      </c>
      <c r="C228" s="37" t="str">
        <f>VLOOKUP(B228,procv!$A$2:$D$142,4,FALSE)</f>
        <v>Capim Dourado</v>
      </c>
      <c r="D228" s="37" t="s">
        <v>92</v>
      </c>
      <c r="E228" s="45">
        <v>100</v>
      </c>
      <c r="F228" s="42">
        <f t="shared" si="88"/>
        <v>8.0437580437580439E-3</v>
      </c>
      <c r="G228" s="45">
        <v>55</v>
      </c>
      <c r="H228" s="42">
        <f t="shared" si="89"/>
        <v>1.2929007992477669E-2</v>
      </c>
      <c r="I228" s="45">
        <v>338</v>
      </c>
      <c r="J228" s="41">
        <f t="shared" si="90"/>
        <v>2.7187902187902187E-2</v>
      </c>
      <c r="K228" s="45">
        <v>150</v>
      </c>
      <c r="L228" s="41">
        <f t="shared" si="91"/>
        <v>3.5260930888575459E-2</v>
      </c>
      <c r="M228" s="46">
        <v>11232</v>
      </c>
      <c r="N228" s="41">
        <f t="shared" si="92"/>
        <v>0.90347490347490345</v>
      </c>
      <c r="O228" s="46">
        <v>3739</v>
      </c>
      <c r="P228" s="41">
        <f t="shared" si="93"/>
        <v>0.87893747061589089</v>
      </c>
      <c r="Q228" s="45">
        <v>762</v>
      </c>
      <c r="R228" s="41">
        <f t="shared" si="94"/>
        <v>6.1293436293436296E-2</v>
      </c>
      <c r="S228" s="45">
        <v>310</v>
      </c>
      <c r="T228" s="41">
        <f t="shared" si="95"/>
        <v>7.2872590503055945E-2</v>
      </c>
      <c r="U228" s="45">
        <v>611</v>
      </c>
      <c r="V228" s="41">
        <f t="shared" si="96"/>
        <v>4.9147361647361644E-2</v>
      </c>
      <c r="W228" s="45">
        <v>456</v>
      </c>
      <c r="X228" s="41">
        <f t="shared" si="97"/>
        <v>0.10719322990126939</v>
      </c>
      <c r="Y228" s="45">
        <v>917</v>
      </c>
      <c r="Z228" s="41">
        <f t="shared" si="98"/>
        <v>7.3761261261261257E-2</v>
      </c>
      <c r="AA228" s="45">
        <v>452</v>
      </c>
      <c r="AB228" s="41">
        <f t="shared" si="99"/>
        <v>0.10625293841090738</v>
      </c>
      <c r="AC228" s="46">
        <v>10905</v>
      </c>
      <c r="AD228" s="41">
        <f t="shared" si="81"/>
        <v>0.87717181467181471</v>
      </c>
      <c r="AE228" s="46">
        <v>3348</v>
      </c>
      <c r="AF228" s="41">
        <f t="shared" si="100"/>
        <v>0.78702397743300423</v>
      </c>
      <c r="AG228" s="45">
        <v>254</v>
      </c>
      <c r="AH228" s="41">
        <f t="shared" si="82"/>
        <v>2.043114543114543E-2</v>
      </c>
      <c r="AI228" s="45">
        <v>216</v>
      </c>
      <c r="AJ228" s="41">
        <f t="shared" si="101"/>
        <v>5.0775740479548657E-2</v>
      </c>
      <c r="AK228" s="45">
        <v>339</v>
      </c>
      <c r="AL228" s="41">
        <f t="shared" si="83"/>
        <v>2.7268339768339769E-2</v>
      </c>
      <c r="AM228" s="45">
        <v>181</v>
      </c>
      <c r="AN228" s="41">
        <f t="shared" si="102"/>
        <v>4.2548189938881056E-2</v>
      </c>
      <c r="AO228" s="46">
        <v>7876</v>
      </c>
      <c r="AP228" s="41">
        <f t="shared" si="84"/>
        <v>0.63352638352638357</v>
      </c>
      <c r="AQ228" s="46">
        <v>2305</v>
      </c>
      <c r="AR228" s="41">
        <f t="shared" si="103"/>
        <v>0.54184297132110959</v>
      </c>
      <c r="AS228" s="46">
        <v>2299</v>
      </c>
      <c r="AT228" s="41">
        <f t="shared" si="85"/>
        <v>0.18492599742599741</v>
      </c>
      <c r="AU228" s="45">
        <v>754</v>
      </c>
      <c r="AV228" s="41">
        <f t="shared" si="104"/>
        <v>0.17724494593323931</v>
      </c>
      <c r="AW228" s="45">
        <v>964</v>
      </c>
      <c r="AX228" s="41">
        <f t="shared" si="86"/>
        <v>7.7541827541827535E-2</v>
      </c>
      <c r="AY228" s="45">
        <v>373</v>
      </c>
      <c r="AZ228" s="41">
        <f t="shared" si="105"/>
        <v>8.7682181476257642E-2</v>
      </c>
      <c r="BA228" s="45">
        <v>701</v>
      </c>
      <c r="BB228" s="41">
        <f t="shared" si="87"/>
        <v>5.638674388674389E-2</v>
      </c>
      <c r="BC228" s="45">
        <v>427</v>
      </c>
      <c r="BD228" s="41">
        <f t="shared" si="106"/>
        <v>0.1003761165961448</v>
      </c>
      <c r="BE228" s="46">
        <v>12432</v>
      </c>
      <c r="BF228" s="46">
        <v>4254</v>
      </c>
    </row>
    <row r="229" spans="1:58" ht="15.75" customHeight="1" x14ac:dyDescent="0.25">
      <c r="A229" s="44">
        <v>2023</v>
      </c>
      <c r="B229" s="39">
        <v>171570</v>
      </c>
      <c r="C229" s="37" t="str">
        <f>VLOOKUP(B229,procv!$A$2:$D$142,4,FALSE)</f>
        <v>Cerrado Tocantins Araguaia</v>
      </c>
      <c r="D229" s="37" t="s">
        <v>93</v>
      </c>
      <c r="E229" s="45">
        <v>1</v>
      </c>
      <c r="F229" s="42">
        <f t="shared" si="88"/>
        <v>2.8011204481792717E-3</v>
      </c>
      <c r="G229" s="45">
        <v>1</v>
      </c>
      <c r="H229" s="42">
        <f t="shared" si="89"/>
        <v>5.1813471502590676E-3</v>
      </c>
      <c r="I229" s="45">
        <v>14</v>
      </c>
      <c r="J229" s="41">
        <f t="shared" si="90"/>
        <v>3.9215686274509803E-2</v>
      </c>
      <c r="K229" s="45">
        <v>7</v>
      </c>
      <c r="L229" s="41">
        <f t="shared" si="91"/>
        <v>3.6269430051813469E-2</v>
      </c>
      <c r="M229" s="45">
        <v>326</v>
      </c>
      <c r="N229" s="41">
        <f t="shared" si="92"/>
        <v>0.91316526610644255</v>
      </c>
      <c r="O229" s="45">
        <v>180</v>
      </c>
      <c r="P229" s="41">
        <f t="shared" si="93"/>
        <v>0.93264248704663211</v>
      </c>
      <c r="Q229" s="45">
        <v>16</v>
      </c>
      <c r="R229" s="41">
        <f t="shared" si="94"/>
        <v>4.4817927170868348E-2</v>
      </c>
      <c r="S229" s="45">
        <v>5</v>
      </c>
      <c r="T229" s="41">
        <f t="shared" si="95"/>
        <v>2.5906735751295335E-2</v>
      </c>
      <c r="U229" s="45">
        <v>29</v>
      </c>
      <c r="V229" s="41">
        <f t="shared" si="96"/>
        <v>8.1232492997198882E-2</v>
      </c>
      <c r="W229" s="45">
        <v>13</v>
      </c>
      <c r="X229" s="41">
        <f t="shared" si="97"/>
        <v>6.7357512953367879E-2</v>
      </c>
      <c r="Y229" s="45">
        <v>40</v>
      </c>
      <c r="Z229" s="41">
        <f t="shared" si="98"/>
        <v>0.11204481792717087</v>
      </c>
      <c r="AA229" s="45">
        <v>15</v>
      </c>
      <c r="AB229" s="41">
        <f t="shared" si="99"/>
        <v>7.7720207253886009E-2</v>
      </c>
      <c r="AC229" s="45">
        <v>288</v>
      </c>
      <c r="AD229" s="41">
        <f t="shared" si="81"/>
        <v>0.80672268907563027</v>
      </c>
      <c r="AE229" s="45">
        <v>165</v>
      </c>
      <c r="AF229" s="41">
        <f t="shared" si="100"/>
        <v>0.85492227979274615</v>
      </c>
      <c r="AG229" s="45">
        <v>5</v>
      </c>
      <c r="AH229" s="41">
        <f t="shared" si="82"/>
        <v>1.4005602240896359E-2</v>
      </c>
      <c r="AI229" s="45">
        <v>9</v>
      </c>
      <c r="AJ229" s="41">
        <f t="shared" si="101"/>
        <v>4.6632124352331605E-2</v>
      </c>
      <c r="AK229" s="45">
        <v>12</v>
      </c>
      <c r="AL229" s="41">
        <f t="shared" si="83"/>
        <v>3.3613445378151259E-2</v>
      </c>
      <c r="AM229" s="45">
        <v>12</v>
      </c>
      <c r="AN229" s="41">
        <f t="shared" si="102"/>
        <v>6.2176165803108807E-2</v>
      </c>
      <c r="AO229" s="45">
        <v>191</v>
      </c>
      <c r="AP229" s="41">
        <f t="shared" si="84"/>
        <v>0.53501400560224088</v>
      </c>
      <c r="AQ229" s="45">
        <v>111</v>
      </c>
      <c r="AR229" s="41">
        <f t="shared" si="103"/>
        <v>0.57512953367875652</v>
      </c>
      <c r="AS229" s="45">
        <v>85</v>
      </c>
      <c r="AT229" s="41">
        <f t="shared" si="85"/>
        <v>0.23809523809523808</v>
      </c>
      <c r="AU229" s="45">
        <v>45</v>
      </c>
      <c r="AV229" s="41">
        <f t="shared" si="104"/>
        <v>0.23316062176165803</v>
      </c>
      <c r="AW229" s="45">
        <v>38</v>
      </c>
      <c r="AX229" s="41">
        <f t="shared" si="86"/>
        <v>0.10644257703081232</v>
      </c>
      <c r="AY229" s="45">
        <v>10</v>
      </c>
      <c r="AZ229" s="41">
        <f t="shared" si="105"/>
        <v>5.181347150259067E-2</v>
      </c>
      <c r="BA229" s="45">
        <v>26</v>
      </c>
      <c r="BB229" s="41">
        <f t="shared" si="87"/>
        <v>7.2829131652661069E-2</v>
      </c>
      <c r="BC229" s="45">
        <v>6</v>
      </c>
      <c r="BD229" s="41">
        <f t="shared" si="106"/>
        <v>3.1088082901554404E-2</v>
      </c>
      <c r="BE229" s="45">
        <v>357</v>
      </c>
      <c r="BF229" s="45">
        <v>193</v>
      </c>
    </row>
    <row r="230" spans="1:58" ht="15.75" customHeight="1" x14ac:dyDescent="0.25">
      <c r="A230" s="44">
        <v>2023</v>
      </c>
      <c r="B230" s="39">
        <v>171380</v>
      </c>
      <c r="C230" s="37" t="str">
        <f>VLOOKUP(B230,procv!$A$2:$D$142,4,FALSE)</f>
        <v>Bico do Papagaio</v>
      </c>
      <c r="D230" s="37" t="s">
        <v>94</v>
      </c>
      <c r="E230" s="45">
        <v>1</v>
      </c>
      <c r="F230" s="42">
        <f t="shared" si="88"/>
        <v>4.0650406504065045E-3</v>
      </c>
      <c r="G230" s="45">
        <v>1</v>
      </c>
      <c r="H230" s="42">
        <f t="shared" si="89"/>
        <v>4.0816326530612249E-3</v>
      </c>
      <c r="I230" s="45">
        <v>1</v>
      </c>
      <c r="J230" s="41">
        <f t="shared" si="90"/>
        <v>4.0650406504065045E-3</v>
      </c>
      <c r="K230" s="45">
        <v>0</v>
      </c>
      <c r="L230" s="41">
        <f t="shared" si="91"/>
        <v>0</v>
      </c>
      <c r="M230" s="45">
        <v>238</v>
      </c>
      <c r="N230" s="41">
        <f t="shared" si="92"/>
        <v>0.96747967479674801</v>
      </c>
      <c r="O230" s="45">
        <v>238</v>
      </c>
      <c r="P230" s="41">
        <f t="shared" si="93"/>
        <v>0.97142857142857142</v>
      </c>
      <c r="Q230" s="45">
        <v>6</v>
      </c>
      <c r="R230" s="41">
        <f t="shared" si="94"/>
        <v>2.4390243902439025E-2</v>
      </c>
      <c r="S230" s="45">
        <v>6</v>
      </c>
      <c r="T230" s="41">
        <f t="shared" si="95"/>
        <v>2.4489795918367346E-2</v>
      </c>
      <c r="U230" s="45">
        <v>13</v>
      </c>
      <c r="V230" s="41">
        <f t="shared" si="96"/>
        <v>5.2845528455284556E-2</v>
      </c>
      <c r="W230" s="45">
        <v>12</v>
      </c>
      <c r="X230" s="41">
        <f t="shared" si="97"/>
        <v>4.8979591836734691E-2</v>
      </c>
      <c r="Y230" s="45">
        <v>8</v>
      </c>
      <c r="Z230" s="41">
        <f t="shared" si="98"/>
        <v>3.2520325203252036E-2</v>
      </c>
      <c r="AA230" s="45">
        <v>4</v>
      </c>
      <c r="AB230" s="41">
        <f t="shared" si="99"/>
        <v>1.6326530612244899E-2</v>
      </c>
      <c r="AC230" s="45">
        <v>225</v>
      </c>
      <c r="AD230" s="41">
        <f t="shared" si="81"/>
        <v>0.91463414634146345</v>
      </c>
      <c r="AE230" s="45">
        <v>229</v>
      </c>
      <c r="AF230" s="41">
        <f t="shared" si="100"/>
        <v>0.9346938775510204</v>
      </c>
      <c r="AG230" s="45">
        <v>9</v>
      </c>
      <c r="AH230" s="41">
        <f t="shared" si="82"/>
        <v>3.6585365853658534E-2</v>
      </c>
      <c r="AI230" s="45">
        <v>10</v>
      </c>
      <c r="AJ230" s="41">
        <f t="shared" si="101"/>
        <v>4.0816326530612242E-2</v>
      </c>
      <c r="AK230" s="45">
        <v>18</v>
      </c>
      <c r="AL230" s="41">
        <f t="shared" si="83"/>
        <v>7.3170731707317069E-2</v>
      </c>
      <c r="AM230" s="45">
        <v>18</v>
      </c>
      <c r="AN230" s="41">
        <f t="shared" si="102"/>
        <v>7.3469387755102047E-2</v>
      </c>
      <c r="AO230" s="45">
        <v>181</v>
      </c>
      <c r="AP230" s="41">
        <f t="shared" si="84"/>
        <v>0.73577235772357719</v>
      </c>
      <c r="AQ230" s="45">
        <v>183</v>
      </c>
      <c r="AR230" s="41">
        <f t="shared" si="103"/>
        <v>0.74693877551020404</v>
      </c>
      <c r="AS230" s="45">
        <v>19</v>
      </c>
      <c r="AT230" s="41">
        <f t="shared" si="85"/>
        <v>7.7235772357723581E-2</v>
      </c>
      <c r="AU230" s="45">
        <v>18</v>
      </c>
      <c r="AV230" s="41">
        <f t="shared" si="104"/>
        <v>7.3469387755102047E-2</v>
      </c>
      <c r="AW230" s="45">
        <v>9</v>
      </c>
      <c r="AX230" s="41">
        <f t="shared" si="86"/>
        <v>3.6585365853658534E-2</v>
      </c>
      <c r="AY230" s="45">
        <v>6</v>
      </c>
      <c r="AZ230" s="41">
        <f t="shared" si="105"/>
        <v>2.4489795918367346E-2</v>
      </c>
      <c r="BA230" s="45">
        <v>10</v>
      </c>
      <c r="BB230" s="41">
        <f t="shared" si="87"/>
        <v>4.065040650406504E-2</v>
      </c>
      <c r="BC230" s="45">
        <v>10</v>
      </c>
      <c r="BD230" s="41">
        <f t="shared" si="106"/>
        <v>4.0816326530612242E-2</v>
      </c>
      <c r="BE230" s="45">
        <v>246</v>
      </c>
      <c r="BF230" s="45">
        <v>245</v>
      </c>
    </row>
    <row r="231" spans="1:58" ht="15.75" customHeight="1" x14ac:dyDescent="0.25">
      <c r="A231" s="44">
        <v>2023</v>
      </c>
      <c r="B231" s="39">
        <v>171575</v>
      </c>
      <c r="C231" s="37" t="str">
        <f>VLOOKUP(B231,procv!$A$2:$D$142,4,FALSE)</f>
        <v>Ilha do Bananal</v>
      </c>
      <c r="D231" s="37" t="s">
        <v>95</v>
      </c>
      <c r="E231" s="45">
        <v>3</v>
      </c>
      <c r="F231" s="42">
        <f t="shared" si="88"/>
        <v>6.0728744939271256E-3</v>
      </c>
      <c r="G231" s="45">
        <v>1</v>
      </c>
      <c r="H231" s="42">
        <f t="shared" si="89"/>
        <v>5.4054054054054057E-3</v>
      </c>
      <c r="I231" s="45">
        <v>7</v>
      </c>
      <c r="J231" s="41">
        <f t="shared" si="90"/>
        <v>1.417004048582996E-2</v>
      </c>
      <c r="K231" s="45">
        <v>3</v>
      </c>
      <c r="L231" s="41">
        <f t="shared" si="91"/>
        <v>1.6216216216216217E-2</v>
      </c>
      <c r="M231" s="45">
        <v>467</v>
      </c>
      <c r="N231" s="41">
        <f t="shared" si="92"/>
        <v>0.94534412955465585</v>
      </c>
      <c r="O231" s="45">
        <v>172</v>
      </c>
      <c r="P231" s="41">
        <f t="shared" si="93"/>
        <v>0.92972972972972978</v>
      </c>
      <c r="Q231" s="45">
        <v>17</v>
      </c>
      <c r="R231" s="41">
        <f t="shared" si="94"/>
        <v>3.4412955465587043E-2</v>
      </c>
      <c r="S231" s="45">
        <v>9</v>
      </c>
      <c r="T231" s="41">
        <f t="shared" si="95"/>
        <v>4.8648648648648651E-2</v>
      </c>
      <c r="U231" s="45">
        <v>7</v>
      </c>
      <c r="V231" s="41">
        <f t="shared" si="96"/>
        <v>1.417004048582996E-2</v>
      </c>
      <c r="W231" s="45">
        <v>5</v>
      </c>
      <c r="X231" s="41">
        <f t="shared" si="97"/>
        <v>2.7027027027027029E-2</v>
      </c>
      <c r="Y231" s="45">
        <v>28</v>
      </c>
      <c r="Z231" s="41">
        <f t="shared" si="98"/>
        <v>5.6680161943319839E-2</v>
      </c>
      <c r="AA231" s="45">
        <v>8</v>
      </c>
      <c r="AB231" s="41">
        <f t="shared" si="99"/>
        <v>4.3243243243243246E-2</v>
      </c>
      <c r="AC231" s="45">
        <v>459</v>
      </c>
      <c r="AD231" s="41">
        <f t="shared" si="81"/>
        <v>0.92914979757085026</v>
      </c>
      <c r="AE231" s="45">
        <v>172</v>
      </c>
      <c r="AF231" s="41">
        <f t="shared" si="100"/>
        <v>0.92972972972972978</v>
      </c>
      <c r="AG231" s="45">
        <v>15</v>
      </c>
      <c r="AH231" s="41">
        <f t="shared" si="82"/>
        <v>3.0364372469635626E-2</v>
      </c>
      <c r="AI231" s="45">
        <v>4</v>
      </c>
      <c r="AJ231" s="41">
        <f t="shared" si="101"/>
        <v>2.1621621621621623E-2</v>
      </c>
      <c r="AK231" s="45">
        <v>29</v>
      </c>
      <c r="AL231" s="41">
        <f t="shared" si="83"/>
        <v>5.8704453441295545E-2</v>
      </c>
      <c r="AM231" s="45">
        <v>14</v>
      </c>
      <c r="AN231" s="41">
        <f t="shared" si="102"/>
        <v>7.567567567567568E-2</v>
      </c>
      <c r="AO231" s="45">
        <v>328</v>
      </c>
      <c r="AP231" s="41">
        <f t="shared" si="84"/>
        <v>0.66396761133603244</v>
      </c>
      <c r="AQ231" s="45">
        <v>127</v>
      </c>
      <c r="AR231" s="41">
        <f t="shared" si="103"/>
        <v>0.68648648648648647</v>
      </c>
      <c r="AS231" s="45">
        <v>86</v>
      </c>
      <c r="AT231" s="41">
        <f t="shared" si="85"/>
        <v>0.17408906882591094</v>
      </c>
      <c r="AU231" s="45">
        <v>26</v>
      </c>
      <c r="AV231" s="41">
        <f t="shared" si="104"/>
        <v>0.14054054054054055</v>
      </c>
      <c r="AW231" s="45">
        <v>26</v>
      </c>
      <c r="AX231" s="41">
        <f t="shared" si="86"/>
        <v>5.2631578947368418E-2</v>
      </c>
      <c r="AY231" s="45">
        <v>7</v>
      </c>
      <c r="AZ231" s="41">
        <f t="shared" si="105"/>
        <v>3.783783783783784E-2</v>
      </c>
      <c r="BA231" s="45">
        <v>10</v>
      </c>
      <c r="BB231" s="41">
        <f t="shared" si="87"/>
        <v>2.0242914979757085E-2</v>
      </c>
      <c r="BC231" s="45">
        <v>7</v>
      </c>
      <c r="BD231" s="41">
        <f t="shared" si="106"/>
        <v>3.783783783783784E-2</v>
      </c>
      <c r="BE231" s="45">
        <v>494</v>
      </c>
      <c r="BF231" s="45">
        <v>185</v>
      </c>
    </row>
    <row r="232" spans="1:58" ht="15.75" customHeight="1" x14ac:dyDescent="0.25">
      <c r="A232" s="44">
        <v>2023</v>
      </c>
      <c r="B232" s="39">
        <v>171610</v>
      </c>
      <c r="C232" s="37" t="str">
        <f>VLOOKUP(B232,procv!$A$2:$D$142,4,FALSE)</f>
        <v>Cantão</v>
      </c>
      <c r="D232" s="37" t="s">
        <v>96</v>
      </c>
      <c r="E232" s="45">
        <v>4</v>
      </c>
      <c r="F232" s="42">
        <f t="shared" si="88"/>
        <v>1.8075011296882061E-3</v>
      </c>
      <c r="G232" s="45">
        <v>4</v>
      </c>
      <c r="H232" s="42">
        <f t="shared" si="89"/>
        <v>7.3394495412844041E-3</v>
      </c>
      <c r="I232" s="45">
        <v>42</v>
      </c>
      <c r="J232" s="41">
        <f t="shared" si="90"/>
        <v>1.8978761861726163E-2</v>
      </c>
      <c r="K232" s="45">
        <v>11</v>
      </c>
      <c r="L232" s="41">
        <f t="shared" si="91"/>
        <v>2.0183486238532111E-2</v>
      </c>
      <c r="M232" s="46">
        <v>2011</v>
      </c>
      <c r="N232" s="41">
        <f t="shared" si="92"/>
        <v>0.9087211929507456</v>
      </c>
      <c r="O232" s="45">
        <v>496</v>
      </c>
      <c r="P232" s="41">
        <f t="shared" si="93"/>
        <v>0.91009174311926611</v>
      </c>
      <c r="Q232" s="45">
        <v>156</v>
      </c>
      <c r="R232" s="41">
        <f t="shared" si="94"/>
        <v>7.0492544057840043E-2</v>
      </c>
      <c r="S232" s="45">
        <v>34</v>
      </c>
      <c r="T232" s="41">
        <f t="shared" si="95"/>
        <v>6.2385321100917435E-2</v>
      </c>
      <c r="U232" s="45">
        <v>38</v>
      </c>
      <c r="V232" s="41">
        <f t="shared" si="96"/>
        <v>1.7171260732037959E-2</v>
      </c>
      <c r="W232" s="45">
        <v>12</v>
      </c>
      <c r="X232" s="41">
        <f t="shared" si="97"/>
        <v>2.2018348623853212E-2</v>
      </c>
      <c r="Y232" s="45">
        <v>94</v>
      </c>
      <c r="Z232" s="41">
        <f t="shared" si="98"/>
        <v>4.2476276547672845E-2</v>
      </c>
      <c r="AA232" s="45">
        <v>31</v>
      </c>
      <c r="AB232" s="41">
        <f t="shared" si="99"/>
        <v>5.6880733944954132E-2</v>
      </c>
      <c r="AC232" s="46">
        <v>2081</v>
      </c>
      <c r="AD232" s="41">
        <f t="shared" si="81"/>
        <v>0.94035246272028916</v>
      </c>
      <c r="AE232" s="45">
        <v>502</v>
      </c>
      <c r="AF232" s="41">
        <f t="shared" si="100"/>
        <v>0.92110091743119271</v>
      </c>
      <c r="AG232" s="45">
        <v>45</v>
      </c>
      <c r="AH232" s="41">
        <f t="shared" si="82"/>
        <v>2.0334387708992319E-2</v>
      </c>
      <c r="AI232" s="45">
        <v>18</v>
      </c>
      <c r="AJ232" s="41">
        <f t="shared" si="101"/>
        <v>3.3027522935779818E-2</v>
      </c>
      <c r="AK232" s="45">
        <v>53</v>
      </c>
      <c r="AL232" s="41">
        <f t="shared" si="83"/>
        <v>2.394938996836873E-2</v>
      </c>
      <c r="AM232" s="45">
        <v>23</v>
      </c>
      <c r="AN232" s="41">
        <f t="shared" si="102"/>
        <v>4.2201834862385323E-2</v>
      </c>
      <c r="AO232" s="46">
        <v>1467</v>
      </c>
      <c r="AP232" s="41">
        <f t="shared" si="84"/>
        <v>0.66290103931314959</v>
      </c>
      <c r="AQ232" s="45">
        <v>394</v>
      </c>
      <c r="AR232" s="41">
        <f t="shared" si="103"/>
        <v>0.7229357798165138</v>
      </c>
      <c r="AS232" s="45">
        <v>396</v>
      </c>
      <c r="AT232" s="41">
        <f t="shared" si="85"/>
        <v>0.1789426118391324</v>
      </c>
      <c r="AU232" s="45">
        <v>59</v>
      </c>
      <c r="AV232" s="41">
        <f t="shared" si="104"/>
        <v>0.10825688073394496</v>
      </c>
      <c r="AW232" s="45">
        <v>156</v>
      </c>
      <c r="AX232" s="41">
        <f t="shared" si="86"/>
        <v>7.0492544057840043E-2</v>
      </c>
      <c r="AY232" s="45">
        <v>27</v>
      </c>
      <c r="AZ232" s="41">
        <f t="shared" si="105"/>
        <v>4.9541284403669728E-2</v>
      </c>
      <c r="BA232" s="45">
        <v>96</v>
      </c>
      <c r="BB232" s="41">
        <f t="shared" si="87"/>
        <v>4.3380027112516949E-2</v>
      </c>
      <c r="BC232" s="45">
        <v>24</v>
      </c>
      <c r="BD232" s="41">
        <f t="shared" si="106"/>
        <v>4.4036697247706424E-2</v>
      </c>
      <c r="BE232" s="46">
        <v>2213</v>
      </c>
      <c r="BF232" s="45">
        <v>545</v>
      </c>
    </row>
    <row r="233" spans="1:58" ht="15.75" customHeight="1" x14ac:dyDescent="0.25">
      <c r="A233" s="44">
        <v>2023</v>
      </c>
      <c r="B233" s="39">
        <v>171620</v>
      </c>
      <c r="C233" s="37" t="str">
        <f>VLOOKUP(B233,procv!$A$2:$D$142,4,FALSE)</f>
        <v>Sudeste</v>
      </c>
      <c r="D233" s="37" t="s">
        <v>97</v>
      </c>
      <c r="E233" s="45">
        <v>7</v>
      </c>
      <c r="F233" s="42">
        <f t="shared" si="88"/>
        <v>1.0638297872340425E-2</v>
      </c>
      <c r="G233" s="45">
        <v>5</v>
      </c>
      <c r="H233" s="42">
        <f t="shared" si="89"/>
        <v>1.8050541516245487E-2</v>
      </c>
      <c r="I233" s="45">
        <v>23</v>
      </c>
      <c r="J233" s="41">
        <f t="shared" si="90"/>
        <v>3.4954407294832825E-2</v>
      </c>
      <c r="K233" s="45">
        <v>16</v>
      </c>
      <c r="L233" s="41">
        <f t="shared" si="91"/>
        <v>5.7761732851985562E-2</v>
      </c>
      <c r="M233" s="45">
        <v>581</v>
      </c>
      <c r="N233" s="41">
        <f t="shared" si="92"/>
        <v>0.88297872340425532</v>
      </c>
      <c r="O233" s="45">
        <v>241</v>
      </c>
      <c r="P233" s="41">
        <f t="shared" si="93"/>
        <v>0.87003610108303253</v>
      </c>
      <c r="Q233" s="45">
        <v>47</v>
      </c>
      <c r="R233" s="41">
        <f t="shared" si="94"/>
        <v>7.1428571428571425E-2</v>
      </c>
      <c r="S233" s="45">
        <v>15</v>
      </c>
      <c r="T233" s="41">
        <f t="shared" si="95"/>
        <v>5.4151624548736461E-2</v>
      </c>
      <c r="U233" s="45">
        <v>35</v>
      </c>
      <c r="V233" s="41">
        <f t="shared" si="96"/>
        <v>5.3191489361702128E-2</v>
      </c>
      <c r="W233" s="45">
        <v>22</v>
      </c>
      <c r="X233" s="41">
        <f t="shared" si="97"/>
        <v>7.9422382671480149E-2</v>
      </c>
      <c r="Y233" s="45">
        <v>50</v>
      </c>
      <c r="Z233" s="41">
        <f t="shared" si="98"/>
        <v>7.598784194528875E-2</v>
      </c>
      <c r="AA233" s="45">
        <v>26</v>
      </c>
      <c r="AB233" s="41">
        <f t="shared" si="99"/>
        <v>9.3862815884476536E-2</v>
      </c>
      <c r="AC233" s="45">
        <v>573</v>
      </c>
      <c r="AD233" s="41">
        <f t="shared" si="81"/>
        <v>0.87082066869300911</v>
      </c>
      <c r="AE233" s="45">
        <v>229</v>
      </c>
      <c r="AF233" s="41">
        <f t="shared" si="100"/>
        <v>0.8267148014440433</v>
      </c>
      <c r="AG233" s="45">
        <v>30</v>
      </c>
      <c r="AH233" s="41">
        <f t="shared" si="82"/>
        <v>4.5592705167173252E-2</v>
      </c>
      <c r="AI233" s="45">
        <v>13</v>
      </c>
      <c r="AJ233" s="41">
        <f t="shared" si="101"/>
        <v>4.6931407942238268E-2</v>
      </c>
      <c r="AK233" s="45">
        <v>32</v>
      </c>
      <c r="AL233" s="41">
        <f t="shared" si="83"/>
        <v>4.8632218844984802E-2</v>
      </c>
      <c r="AM233" s="45">
        <v>20</v>
      </c>
      <c r="AN233" s="41">
        <f t="shared" si="102"/>
        <v>7.2202166064981949E-2</v>
      </c>
      <c r="AO233" s="45">
        <v>419</v>
      </c>
      <c r="AP233" s="41">
        <f t="shared" si="84"/>
        <v>0.63677811550151975</v>
      </c>
      <c r="AQ233" s="45">
        <v>167</v>
      </c>
      <c r="AR233" s="41">
        <f t="shared" si="103"/>
        <v>0.6028880866425993</v>
      </c>
      <c r="AS233" s="45">
        <v>83</v>
      </c>
      <c r="AT233" s="41">
        <f t="shared" si="85"/>
        <v>0.12613981762917933</v>
      </c>
      <c r="AU233" s="45">
        <v>36</v>
      </c>
      <c r="AV233" s="41">
        <f t="shared" si="104"/>
        <v>0.1299638989169675</v>
      </c>
      <c r="AW233" s="45">
        <v>47</v>
      </c>
      <c r="AX233" s="41">
        <f t="shared" si="86"/>
        <v>7.1428571428571425E-2</v>
      </c>
      <c r="AY233" s="45">
        <v>21</v>
      </c>
      <c r="AZ233" s="41">
        <f t="shared" si="105"/>
        <v>7.5812274368231042E-2</v>
      </c>
      <c r="BA233" s="45">
        <v>47</v>
      </c>
      <c r="BB233" s="41">
        <f t="shared" si="87"/>
        <v>7.1428571428571425E-2</v>
      </c>
      <c r="BC233" s="45">
        <v>20</v>
      </c>
      <c r="BD233" s="41">
        <f t="shared" si="106"/>
        <v>7.2202166064981949E-2</v>
      </c>
      <c r="BE233" s="45">
        <v>658</v>
      </c>
      <c r="BF233" s="45">
        <v>277</v>
      </c>
    </row>
    <row r="234" spans="1:58" ht="15.75" customHeight="1" x14ac:dyDescent="0.25">
      <c r="A234" s="44">
        <v>2023</v>
      </c>
      <c r="B234" s="39">
        <v>171630</v>
      </c>
      <c r="C234" s="37" t="str">
        <f>VLOOKUP(B234,procv!$A$2:$D$142,4,FALSE)</f>
        <v>Médio Norte Araguaia</v>
      </c>
      <c r="D234" s="37" t="s">
        <v>98</v>
      </c>
      <c r="E234" s="45">
        <v>2</v>
      </c>
      <c r="F234" s="42">
        <f t="shared" si="88"/>
        <v>1.020408163265306E-2</v>
      </c>
      <c r="G234" s="45">
        <v>1</v>
      </c>
      <c r="H234" s="42">
        <f t="shared" si="89"/>
        <v>8.5470085470085479E-3</v>
      </c>
      <c r="I234" s="45">
        <v>9</v>
      </c>
      <c r="J234" s="41">
        <f t="shared" si="90"/>
        <v>4.5918367346938778E-2</v>
      </c>
      <c r="K234" s="45">
        <v>7</v>
      </c>
      <c r="L234" s="41">
        <f t="shared" si="91"/>
        <v>5.9829059829059832E-2</v>
      </c>
      <c r="M234" s="45">
        <v>180</v>
      </c>
      <c r="N234" s="41">
        <f t="shared" si="92"/>
        <v>0.91836734693877553</v>
      </c>
      <c r="O234" s="45">
        <v>106</v>
      </c>
      <c r="P234" s="41">
        <f t="shared" si="93"/>
        <v>0.90598290598290598</v>
      </c>
      <c r="Q234" s="45">
        <v>5</v>
      </c>
      <c r="R234" s="41">
        <f t="shared" si="94"/>
        <v>2.5510204081632654E-2</v>
      </c>
      <c r="S234" s="45">
        <v>3</v>
      </c>
      <c r="T234" s="41">
        <f t="shared" si="95"/>
        <v>2.564102564102564E-2</v>
      </c>
      <c r="U234" s="45">
        <v>17</v>
      </c>
      <c r="V234" s="41">
        <f t="shared" si="96"/>
        <v>8.673469387755102E-2</v>
      </c>
      <c r="W234" s="45">
        <v>9</v>
      </c>
      <c r="X234" s="41">
        <f t="shared" si="97"/>
        <v>7.6923076923076927E-2</v>
      </c>
      <c r="Y234" s="45">
        <v>12</v>
      </c>
      <c r="Z234" s="41">
        <f t="shared" si="98"/>
        <v>6.1224489795918366E-2</v>
      </c>
      <c r="AA234" s="45">
        <v>11</v>
      </c>
      <c r="AB234" s="41">
        <f t="shared" si="99"/>
        <v>9.4017094017094016E-2</v>
      </c>
      <c r="AC234" s="45">
        <v>167</v>
      </c>
      <c r="AD234" s="41">
        <f t="shared" si="81"/>
        <v>0.85204081632653061</v>
      </c>
      <c r="AE234" s="45">
        <v>97</v>
      </c>
      <c r="AF234" s="41">
        <f t="shared" si="100"/>
        <v>0.82905982905982911</v>
      </c>
      <c r="AG234" s="45">
        <v>7</v>
      </c>
      <c r="AH234" s="41">
        <f t="shared" si="82"/>
        <v>3.5714285714285712E-2</v>
      </c>
      <c r="AI234" s="45">
        <v>1</v>
      </c>
      <c r="AJ234" s="41">
        <f t="shared" si="101"/>
        <v>8.5470085470085479E-3</v>
      </c>
      <c r="AK234" s="45">
        <v>9</v>
      </c>
      <c r="AL234" s="41">
        <f t="shared" si="83"/>
        <v>4.5918367346938778E-2</v>
      </c>
      <c r="AM234" s="45">
        <v>5</v>
      </c>
      <c r="AN234" s="41">
        <f t="shared" si="102"/>
        <v>4.2735042735042736E-2</v>
      </c>
      <c r="AO234" s="45">
        <v>140</v>
      </c>
      <c r="AP234" s="41">
        <f t="shared" si="84"/>
        <v>0.7142857142857143</v>
      </c>
      <c r="AQ234" s="45">
        <v>88</v>
      </c>
      <c r="AR234" s="41">
        <f t="shared" si="103"/>
        <v>0.75213675213675213</v>
      </c>
      <c r="AS234" s="45">
        <v>20</v>
      </c>
      <c r="AT234" s="41">
        <f t="shared" si="85"/>
        <v>0.10204081632653061</v>
      </c>
      <c r="AU234" s="45">
        <v>9</v>
      </c>
      <c r="AV234" s="41">
        <f t="shared" si="104"/>
        <v>7.6923076923076927E-2</v>
      </c>
      <c r="AW234" s="45">
        <v>12</v>
      </c>
      <c r="AX234" s="41">
        <f t="shared" si="86"/>
        <v>6.1224489795918366E-2</v>
      </c>
      <c r="AY234" s="45">
        <v>7</v>
      </c>
      <c r="AZ234" s="41">
        <f t="shared" si="105"/>
        <v>5.9829059829059832E-2</v>
      </c>
      <c r="BA234" s="45">
        <v>8</v>
      </c>
      <c r="BB234" s="41">
        <f t="shared" si="87"/>
        <v>4.0816326530612242E-2</v>
      </c>
      <c r="BC234" s="45">
        <v>7</v>
      </c>
      <c r="BD234" s="41">
        <f t="shared" si="106"/>
        <v>5.9829059829059832E-2</v>
      </c>
      <c r="BE234" s="45">
        <v>196</v>
      </c>
      <c r="BF234" s="45">
        <v>117</v>
      </c>
    </row>
    <row r="235" spans="1:58" ht="15.75" customHeight="1" x14ac:dyDescent="0.25">
      <c r="A235" s="44">
        <v>2023</v>
      </c>
      <c r="B235" s="39">
        <v>171650</v>
      </c>
      <c r="C235" s="37" t="str">
        <f>VLOOKUP(B235,procv!$A$2:$D$142,4,FALSE)</f>
        <v>Cerrado Tocantins Araguaia</v>
      </c>
      <c r="D235" s="37" t="s">
        <v>99</v>
      </c>
      <c r="E235" s="45">
        <v>5</v>
      </c>
      <c r="F235" s="42">
        <f t="shared" si="88"/>
        <v>5.8685446009389668E-3</v>
      </c>
      <c r="G235" s="45">
        <v>4</v>
      </c>
      <c r="H235" s="42">
        <f t="shared" si="89"/>
        <v>1.2232415902140673E-2</v>
      </c>
      <c r="I235" s="45">
        <v>16</v>
      </c>
      <c r="J235" s="41">
        <f t="shared" si="90"/>
        <v>1.8779342723004695E-2</v>
      </c>
      <c r="K235" s="45">
        <v>6</v>
      </c>
      <c r="L235" s="41">
        <f t="shared" si="91"/>
        <v>1.834862385321101E-2</v>
      </c>
      <c r="M235" s="45">
        <v>782</v>
      </c>
      <c r="N235" s="41">
        <f t="shared" si="92"/>
        <v>0.9178403755868545</v>
      </c>
      <c r="O235" s="45">
        <v>297</v>
      </c>
      <c r="P235" s="41">
        <f t="shared" si="93"/>
        <v>0.90825688073394495</v>
      </c>
      <c r="Q235" s="45">
        <v>49</v>
      </c>
      <c r="R235" s="41">
        <f t="shared" si="94"/>
        <v>5.7511737089201875E-2</v>
      </c>
      <c r="S235" s="45">
        <v>20</v>
      </c>
      <c r="T235" s="41">
        <f t="shared" si="95"/>
        <v>6.1162079510703363E-2</v>
      </c>
      <c r="U235" s="45">
        <v>65</v>
      </c>
      <c r="V235" s="41">
        <f t="shared" si="96"/>
        <v>7.6291079812206578E-2</v>
      </c>
      <c r="W235" s="45">
        <v>36</v>
      </c>
      <c r="X235" s="41">
        <f t="shared" si="97"/>
        <v>0.11009174311926606</v>
      </c>
      <c r="Y235" s="45">
        <v>109</v>
      </c>
      <c r="Z235" s="41">
        <f t="shared" si="98"/>
        <v>0.12793427230046947</v>
      </c>
      <c r="AA235" s="45">
        <v>56</v>
      </c>
      <c r="AB235" s="41">
        <f t="shared" si="99"/>
        <v>0.17125382262996941</v>
      </c>
      <c r="AC235" s="45">
        <v>678</v>
      </c>
      <c r="AD235" s="41">
        <f t="shared" si="81"/>
        <v>0.79577464788732399</v>
      </c>
      <c r="AE235" s="45">
        <v>235</v>
      </c>
      <c r="AF235" s="41">
        <f t="shared" si="100"/>
        <v>0.71865443425076447</v>
      </c>
      <c r="AG235" s="45">
        <v>13</v>
      </c>
      <c r="AH235" s="41">
        <f t="shared" si="82"/>
        <v>1.5258215962441314E-2</v>
      </c>
      <c r="AI235" s="45">
        <v>10</v>
      </c>
      <c r="AJ235" s="41">
        <f t="shared" si="101"/>
        <v>3.0581039755351681E-2</v>
      </c>
      <c r="AK235" s="45">
        <v>10</v>
      </c>
      <c r="AL235" s="41">
        <f t="shared" si="83"/>
        <v>1.1737089201877934E-2</v>
      </c>
      <c r="AM235" s="45">
        <v>6</v>
      </c>
      <c r="AN235" s="41">
        <f t="shared" si="102"/>
        <v>1.834862385321101E-2</v>
      </c>
      <c r="AO235" s="45">
        <v>465</v>
      </c>
      <c r="AP235" s="41">
        <f t="shared" si="84"/>
        <v>0.54577464788732399</v>
      </c>
      <c r="AQ235" s="45">
        <v>190</v>
      </c>
      <c r="AR235" s="41">
        <f t="shared" si="103"/>
        <v>0.58103975535168195</v>
      </c>
      <c r="AS235" s="45">
        <v>200</v>
      </c>
      <c r="AT235" s="41">
        <f t="shared" si="85"/>
        <v>0.23474178403755869</v>
      </c>
      <c r="AU235" s="45">
        <v>60</v>
      </c>
      <c r="AV235" s="41">
        <f t="shared" si="104"/>
        <v>0.1834862385321101</v>
      </c>
      <c r="AW235" s="45">
        <v>106</v>
      </c>
      <c r="AX235" s="41">
        <f t="shared" si="86"/>
        <v>0.12441314553990611</v>
      </c>
      <c r="AY235" s="45">
        <v>33</v>
      </c>
      <c r="AZ235" s="41">
        <f t="shared" si="105"/>
        <v>0.10091743119266056</v>
      </c>
      <c r="BA235" s="45">
        <v>58</v>
      </c>
      <c r="BB235" s="41">
        <f t="shared" si="87"/>
        <v>6.8075117370892016E-2</v>
      </c>
      <c r="BC235" s="45">
        <v>28</v>
      </c>
      <c r="BD235" s="41">
        <f t="shared" si="106"/>
        <v>8.5626911314984705E-2</v>
      </c>
      <c r="BE235" s="45">
        <v>852</v>
      </c>
      <c r="BF235" s="45">
        <v>327</v>
      </c>
    </row>
    <row r="236" spans="1:58" ht="15.75" customHeight="1" x14ac:dyDescent="0.25">
      <c r="A236" s="44">
        <v>2023</v>
      </c>
      <c r="B236" s="39">
        <v>171660</v>
      </c>
      <c r="C236" s="37" t="str">
        <f>VLOOKUP(B236,procv!$A$2:$D$142,4,FALSE)</f>
        <v>Ilha do Bananal</v>
      </c>
      <c r="D236" s="37" t="s">
        <v>100</v>
      </c>
      <c r="E236" s="45">
        <v>8</v>
      </c>
      <c r="F236" s="42">
        <f t="shared" si="88"/>
        <v>1.9002375296912115E-2</v>
      </c>
      <c r="G236" s="45">
        <v>2</v>
      </c>
      <c r="H236" s="42">
        <f t="shared" si="89"/>
        <v>9.5693779904306216E-3</v>
      </c>
      <c r="I236" s="45">
        <v>11</v>
      </c>
      <c r="J236" s="41">
        <f t="shared" si="90"/>
        <v>2.6128266033254157E-2</v>
      </c>
      <c r="K236" s="45">
        <v>5</v>
      </c>
      <c r="L236" s="41">
        <f t="shared" si="91"/>
        <v>2.3923444976076555E-2</v>
      </c>
      <c r="M236" s="45">
        <v>380</v>
      </c>
      <c r="N236" s="41">
        <f t="shared" si="92"/>
        <v>0.90261282660332542</v>
      </c>
      <c r="O236" s="45">
        <v>189</v>
      </c>
      <c r="P236" s="41">
        <f t="shared" si="93"/>
        <v>0.90430622009569372</v>
      </c>
      <c r="Q236" s="45">
        <v>22</v>
      </c>
      <c r="R236" s="41">
        <f t="shared" si="94"/>
        <v>5.2256532066508314E-2</v>
      </c>
      <c r="S236" s="45">
        <v>13</v>
      </c>
      <c r="T236" s="41">
        <f t="shared" si="95"/>
        <v>6.2200956937799042E-2</v>
      </c>
      <c r="U236" s="45">
        <v>17</v>
      </c>
      <c r="V236" s="41">
        <f t="shared" si="96"/>
        <v>4.0380047505938245E-2</v>
      </c>
      <c r="W236" s="45">
        <v>10</v>
      </c>
      <c r="X236" s="41">
        <f t="shared" si="97"/>
        <v>4.784688995215311E-2</v>
      </c>
      <c r="Y236" s="45">
        <v>38</v>
      </c>
      <c r="Z236" s="41">
        <f t="shared" si="98"/>
        <v>9.0261282660332537E-2</v>
      </c>
      <c r="AA236" s="45">
        <v>21</v>
      </c>
      <c r="AB236" s="41">
        <f t="shared" si="99"/>
        <v>0.10047846889952153</v>
      </c>
      <c r="AC236" s="45">
        <v>366</v>
      </c>
      <c r="AD236" s="41">
        <f t="shared" si="81"/>
        <v>0.86935866983372923</v>
      </c>
      <c r="AE236" s="45">
        <v>178</v>
      </c>
      <c r="AF236" s="41">
        <f t="shared" si="100"/>
        <v>0.85167464114832536</v>
      </c>
      <c r="AG236" s="45">
        <v>11</v>
      </c>
      <c r="AH236" s="41">
        <f t="shared" si="82"/>
        <v>2.6128266033254157E-2</v>
      </c>
      <c r="AI236" s="45">
        <v>7</v>
      </c>
      <c r="AJ236" s="41">
        <f t="shared" si="101"/>
        <v>3.3492822966507178E-2</v>
      </c>
      <c r="AK236" s="45">
        <v>17</v>
      </c>
      <c r="AL236" s="41">
        <f t="shared" si="83"/>
        <v>4.0380047505938245E-2</v>
      </c>
      <c r="AM236" s="45">
        <v>13</v>
      </c>
      <c r="AN236" s="41">
        <f t="shared" si="102"/>
        <v>6.2200956937799042E-2</v>
      </c>
      <c r="AO236" s="45">
        <v>245</v>
      </c>
      <c r="AP236" s="41">
        <f t="shared" si="84"/>
        <v>0.58194774346793354</v>
      </c>
      <c r="AQ236" s="45">
        <v>118</v>
      </c>
      <c r="AR236" s="41">
        <f t="shared" si="103"/>
        <v>0.56459330143540665</v>
      </c>
      <c r="AS236" s="45">
        <v>87</v>
      </c>
      <c r="AT236" s="41">
        <f t="shared" si="85"/>
        <v>0.20665083135391923</v>
      </c>
      <c r="AU236" s="45">
        <v>46</v>
      </c>
      <c r="AV236" s="41">
        <f t="shared" si="104"/>
        <v>0.22009569377990432</v>
      </c>
      <c r="AW236" s="45">
        <v>42</v>
      </c>
      <c r="AX236" s="41">
        <f t="shared" si="86"/>
        <v>9.9762470308788598E-2</v>
      </c>
      <c r="AY236" s="45">
        <v>15</v>
      </c>
      <c r="AZ236" s="41">
        <f t="shared" si="105"/>
        <v>7.1770334928229665E-2</v>
      </c>
      <c r="BA236" s="45">
        <v>19</v>
      </c>
      <c r="BB236" s="41">
        <f t="shared" si="87"/>
        <v>4.5130641330166268E-2</v>
      </c>
      <c r="BC236" s="45">
        <v>10</v>
      </c>
      <c r="BD236" s="41">
        <f t="shared" si="106"/>
        <v>4.784688995215311E-2</v>
      </c>
      <c r="BE236" s="45">
        <v>421</v>
      </c>
      <c r="BF236" s="45">
        <v>209</v>
      </c>
    </row>
    <row r="237" spans="1:58" ht="15.75" customHeight="1" x14ac:dyDescent="0.25">
      <c r="A237" s="44">
        <v>2023</v>
      </c>
      <c r="B237" s="39">
        <v>171665</v>
      </c>
      <c r="C237" s="37" t="str">
        <f>VLOOKUP(B237,procv!$A$2:$D$142,4,FALSE)</f>
        <v>Cerrado Tocantins Araguaia</v>
      </c>
      <c r="D237" s="37" t="s">
        <v>101</v>
      </c>
      <c r="E237" s="45">
        <v>2</v>
      </c>
      <c r="F237" s="42">
        <f t="shared" si="88"/>
        <v>7.2992700729927005E-3</v>
      </c>
      <c r="G237" s="45">
        <v>2</v>
      </c>
      <c r="H237" s="42">
        <f t="shared" si="89"/>
        <v>2.2222222222222223E-2</v>
      </c>
      <c r="I237" s="45">
        <v>4</v>
      </c>
      <c r="J237" s="41">
        <f t="shared" si="90"/>
        <v>1.4598540145985401E-2</v>
      </c>
      <c r="K237" s="45">
        <v>1</v>
      </c>
      <c r="L237" s="41">
        <f t="shared" si="91"/>
        <v>1.1111111111111112E-2</v>
      </c>
      <c r="M237" s="45">
        <v>255</v>
      </c>
      <c r="N237" s="41">
        <f t="shared" si="92"/>
        <v>0.93065693430656937</v>
      </c>
      <c r="O237" s="45">
        <v>82</v>
      </c>
      <c r="P237" s="41">
        <f t="shared" si="93"/>
        <v>0.91111111111111109</v>
      </c>
      <c r="Q237" s="45">
        <v>13</v>
      </c>
      <c r="R237" s="41">
        <f t="shared" si="94"/>
        <v>4.7445255474452552E-2</v>
      </c>
      <c r="S237" s="45">
        <v>5</v>
      </c>
      <c r="T237" s="41">
        <f t="shared" si="95"/>
        <v>5.5555555555555552E-2</v>
      </c>
      <c r="U237" s="45">
        <v>11</v>
      </c>
      <c r="V237" s="41">
        <f t="shared" si="96"/>
        <v>4.0145985401459854E-2</v>
      </c>
      <c r="W237" s="45">
        <v>7</v>
      </c>
      <c r="X237" s="41">
        <f t="shared" si="97"/>
        <v>7.7777777777777779E-2</v>
      </c>
      <c r="Y237" s="45">
        <v>15</v>
      </c>
      <c r="Z237" s="41">
        <f t="shared" si="98"/>
        <v>5.4744525547445258E-2</v>
      </c>
      <c r="AA237" s="45">
        <v>4</v>
      </c>
      <c r="AB237" s="41">
        <f t="shared" si="99"/>
        <v>4.4444444444444446E-2</v>
      </c>
      <c r="AC237" s="45">
        <v>248</v>
      </c>
      <c r="AD237" s="41">
        <f t="shared" si="81"/>
        <v>0.9051094890510949</v>
      </c>
      <c r="AE237" s="45">
        <v>79</v>
      </c>
      <c r="AF237" s="41">
        <f t="shared" si="100"/>
        <v>0.87777777777777777</v>
      </c>
      <c r="AG237" s="45">
        <v>4</v>
      </c>
      <c r="AH237" s="41">
        <f t="shared" si="82"/>
        <v>1.4598540145985401E-2</v>
      </c>
      <c r="AI237" s="45">
        <v>6</v>
      </c>
      <c r="AJ237" s="41">
        <f t="shared" si="101"/>
        <v>6.6666666666666666E-2</v>
      </c>
      <c r="AK237" s="45">
        <v>10</v>
      </c>
      <c r="AL237" s="41">
        <f t="shared" si="83"/>
        <v>3.6496350364963501E-2</v>
      </c>
      <c r="AM237" s="45">
        <v>4</v>
      </c>
      <c r="AN237" s="41">
        <f t="shared" si="102"/>
        <v>4.4444444444444446E-2</v>
      </c>
      <c r="AO237" s="45">
        <v>185</v>
      </c>
      <c r="AP237" s="41">
        <f t="shared" si="84"/>
        <v>0.67518248175182483</v>
      </c>
      <c r="AQ237" s="45">
        <v>51</v>
      </c>
      <c r="AR237" s="41">
        <f t="shared" si="103"/>
        <v>0.56666666666666665</v>
      </c>
      <c r="AS237" s="45">
        <v>42</v>
      </c>
      <c r="AT237" s="41">
        <f t="shared" si="85"/>
        <v>0.15328467153284672</v>
      </c>
      <c r="AU237" s="45">
        <v>13</v>
      </c>
      <c r="AV237" s="41">
        <f t="shared" si="104"/>
        <v>0.14444444444444443</v>
      </c>
      <c r="AW237" s="45">
        <v>17</v>
      </c>
      <c r="AX237" s="41">
        <f t="shared" si="86"/>
        <v>6.2043795620437957E-2</v>
      </c>
      <c r="AY237" s="45">
        <v>5</v>
      </c>
      <c r="AZ237" s="41">
        <f t="shared" si="105"/>
        <v>5.5555555555555552E-2</v>
      </c>
      <c r="BA237" s="45">
        <v>16</v>
      </c>
      <c r="BB237" s="41">
        <f t="shared" si="87"/>
        <v>5.8394160583941604E-2</v>
      </c>
      <c r="BC237" s="45">
        <v>11</v>
      </c>
      <c r="BD237" s="41">
        <f t="shared" si="106"/>
        <v>0.12222222222222222</v>
      </c>
      <c r="BE237" s="45">
        <v>274</v>
      </c>
      <c r="BF237" s="45">
        <v>90</v>
      </c>
    </row>
    <row r="238" spans="1:58" ht="15.75" customHeight="1" x14ac:dyDescent="0.25">
      <c r="A238" s="44">
        <v>2023</v>
      </c>
      <c r="B238" s="39">
        <v>171700</v>
      </c>
      <c r="C238" s="37" t="str">
        <f>VLOOKUP(B238,procv!$A$2:$D$142,4,FALSE)</f>
        <v>Amor Perfeito</v>
      </c>
      <c r="D238" s="37" t="s">
        <v>102</v>
      </c>
      <c r="E238" s="45">
        <v>4</v>
      </c>
      <c r="F238" s="42">
        <f t="shared" si="88"/>
        <v>1.5151515151515152E-2</v>
      </c>
      <c r="G238" s="45">
        <v>2</v>
      </c>
      <c r="H238" s="42">
        <f t="shared" si="89"/>
        <v>1.6393442622950821E-2</v>
      </c>
      <c r="I238" s="45">
        <v>8</v>
      </c>
      <c r="J238" s="41">
        <f t="shared" si="90"/>
        <v>3.0303030303030304E-2</v>
      </c>
      <c r="K238" s="45">
        <v>2</v>
      </c>
      <c r="L238" s="41">
        <f t="shared" si="91"/>
        <v>1.6393442622950821E-2</v>
      </c>
      <c r="M238" s="45">
        <v>242</v>
      </c>
      <c r="N238" s="41">
        <f t="shared" si="92"/>
        <v>0.91666666666666663</v>
      </c>
      <c r="O238" s="45">
        <v>113</v>
      </c>
      <c r="P238" s="41">
        <f t="shared" si="93"/>
        <v>0.92622950819672134</v>
      </c>
      <c r="Q238" s="45">
        <v>10</v>
      </c>
      <c r="R238" s="41">
        <f t="shared" si="94"/>
        <v>3.787878787878788E-2</v>
      </c>
      <c r="S238" s="45">
        <v>5</v>
      </c>
      <c r="T238" s="41">
        <f t="shared" si="95"/>
        <v>4.0983606557377046E-2</v>
      </c>
      <c r="U238" s="45">
        <v>14</v>
      </c>
      <c r="V238" s="41">
        <f t="shared" si="96"/>
        <v>5.3030303030303032E-2</v>
      </c>
      <c r="W238" s="45">
        <v>7</v>
      </c>
      <c r="X238" s="41">
        <f t="shared" si="97"/>
        <v>5.737704918032787E-2</v>
      </c>
      <c r="Y238" s="45">
        <v>16</v>
      </c>
      <c r="Z238" s="41">
        <f t="shared" si="98"/>
        <v>6.0606060606060608E-2</v>
      </c>
      <c r="AA238" s="45">
        <v>8</v>
      </c>
      <c r="AB238" s="41">
        <f t="shared" si="99"/>
        <v>6.5573770491803282E-2</v>
      </c>
      <c r="AC238" s="45">
        <v>234</v>
      </c>
      <c r="AD238" s="41">
        <f t="shared" si="81"/>
        <v>0.88636363636363635</v>
      </c>
      <c r="AE238" s="45">
        <v>107</v>
      </c>
      <c r="AF238" s="41">
        <f t="shared" si="100"/>
        <v>0.87704918032786883</v>
      </c>
      <c r="AG238" s="45">
        <v>5</v>
      </c>
      <c r="AH238" s="41">
        <f t="shared" si="82"/>
        <v>1.893939393939394E-2</v>
      </c>
      <c r="AI238" s="45">
        <v>7</v>
      </c>
      <c r="AJ238" s="41">
        <f t="shared" si="101"/>
        <v>5.737704918032787E-2</v>
      </c>
      <c r="AK238" s="45">
        <v>16</v>
      </c>
      <c r="AL238" s="41">
        <f t="shared" si="83"/>
        <v>6.0606060606060608E-2</v>
      </c>
      <c r="AM238" s="45">
        <v>10</v>
      </c>
      <c r="AN238" s="41">
        <f t="shared" si="102"/>
        <v>8.1967213114754092E-2</v>
      </c>
      <c r="AO238" s="45">
        <v>169</v>
      </c>
      <c r="AP238" s="41">
        <f t="shared" si="84"/>
        <v>0.64015151515151514</v>
      </c>
      <c r="AQ238" s="45">
        <v>70</v>
      </c>
      <c r="AR238" s="41">
        <f t="shared" si="103"/>
        <v>0.57377049180327866</v>
      </c>
      <c r="AS238" s="45">
        <v>52</v>
      </c>
      <c r="AT238" s="41">
        <f t="shared" si="85"/>
        <v>0.19696969696969696</v>
      </c>
      <c r="AU238" s="45">
        <v>22</v>
      </c>
      <c r="AV238" s="41">
        <f t="shared" si="104"/>
        <v>0.18032786885245902</v>
      </c>
      <c r="AW238" s="45">
        <v>16</v>
      </c>
      <c r="AX238" s="41">
        <f t="shared" si="86"/>
        <v>6.0606060606060608E-2</v>
      </c>
      <c r="AY238" s="45">
        <v>9</v>
      </c>
      <c r="AZ238" s="41">
        <f t="shared" si="105"/>
        <v>7.3770491803278687E-2</v>
      </c>
      <c r="BA238" s="45">
        <v>6</v>
      </c>
      <c r="BB238" s="41">
        <f t="shared" si="87"/>
        <v>2.2727272727272728E-2</v>
      </c>
      <c r="BC238" s="45">
        <v>4</v>
      </c>
      <c r="BD238" s="41">
        <f t="shared" si="106"/>
        <v>3.2786885245901641E-2</v>
      </c>
      <c r="BE238" s="45">
        <v>264</v>
      </c>
      <c r="BF238" s="45">
        <v>122</v>
      </c>
    </row>
    <row r="239" spans="1:58" ht="15.75" customHeight="1" x14ac:dyDescent="0.25">
      <c r="A239" s="44">
        <v>2023</v>
      </c>
      <c r="B239" s="39">
        <v>171720</v>
      </c>
      <c r="C239" s="37" t="str">
        <f>VLOOKUP(B239,procv!$A$2:$D$142,4,FALSE)</f>
        <v>Médio Norte Araguaia</v>
      </c>
      <c r="D239" s="37" t="s">
        <v>103</v>
      </c>
      <c r="E239" s="45">
        <v>3</v>
      </c>
      <c r="F239" s="42">
        <f t="shared" si="88"/>
        <v>2.2058823529411766E-2</v>
      </c>
      <c r="G239" s="45">
        <v>2</v>
      </c>
      <c r="H239" s="42">
        <f t="shared" si="89"/>
        <v>2.3809523809523808E-2</v>
      </c>
      <c r="I239" s="45">
        <v>0</v>
      </c>
      <c r="J239" s="41">
        <f t="shared" si="90"/>
        <v>0</v>
      </c>
      <c r="K239" s="45">
        <v>0</v>
      </c>
      <c r="L239" s="41">
        <f t="shared" si="91"/>
        <v>0</v>
      </c>
      <c r="M239" s="45">
        <v>123</v>
      </c>
      <c r="N239" s="41">
        <f t="shared" si="92"/>
        <v>0.90441176470588236</v>
      </c>
      <c r="O239" s="45">
        <v>76</v>
      </c>
      <c r="P239" s="41">
        <f t="shared" si="93"/>
        <v>0.90476190476190477</v>
      </c>
      <c r="Q239" s="45">
        <v>10</v>
      </c>
      <c r="R239" s="41">
        <f t="shared" si="94"/>
        <v>7.3529411764705885E-2</v>
      </c>
      <c r="S239" s="45">
        <v>6</v>
      </c>
      <c r="T239" s="41">
        <f t="shared" si="95"/>
        <v>7.1428571428571425E-2</v>
      </c>
      <c r="U239" s="45">
        <v>15</v>
      </c>
      <c r="V239" s="41">
        <f t="shared" si="96"/>
        <v>0.11029411764705882</v>
      </c>
      <c r="W239" s="45">
        <v>9</v>
      </c>
      <c r="X239" s="41">
        <f t="shared" si="97"/>
        <v>0.10714285714285714</v>
      </c>
      <c r="Y239" s="45">
        <v>9</v>
      </c>
      <c r="Z239" s="41">
        <f t="shared" si="98"/>
        <v>6.6176470588235295E-2</v>
      </c>
      <c r="AA239" s="45">
        <v>4</v>
      </c>
      <c r="AB239" s="41">
        <f t="shared" si="99"/>
        <v>4.7619047619047616E-2</v>
      </c>
      <c r="AC239" s="45">
        <v>112</v>
      </c>
      <c r="AD239" s="41">
        <f t="shared" si="81"/>
        <v>0.82352941176470584</v>
      </c>
      <c r="AE239" s="45">
        <v>71</v>
      </c>
      <c r="AF239" s="41">
        <f t="shared" si="100"/>
        <v>0.84523809523809523</v>
      </c>
      <c r="AG239" s="45">
        <v>6</v>
      </c>
      <c r="AH239" s="41">
        <f t="shared" si="82"/>
        <v>4.4117647058823532E-2</v>
      </c>
      <c r="AI239" s="45">
        <v>6</v>
      </c>
      <c r="AJ239" s="41">
        <f t="shared" si="101"/>
        <v>7.1428571428571425E-2</v>
      </c>
      <c r="AK239" s="45">
        <v>2</v>
      </c>
      <c r="AL239" s="41">
        <f t="shared" si="83"/>
        <v>1.4705882352941176E-2</v>
      </c>
      <c r="AM239" s="45">
        <v>2</v>
      </c>
      <c r="AN239" s="41">
        <f t="shared" si="102"/>
        <v>2.3809523809523808E-2</v>
      </c>
      <c r="AO239" s="45">
        <v>78</v>
      </c>
      <c r="AP239" s="41">
        <f t="shared" si="84"/>
        <v>0.57352941176470584</v>
      </c>
      <c r="AQ239" s="45">
        <v>48</v>
      </c>
      <c r="AR239" s="41">
        <f t="shared" si="103"/>
        <v>0.5714285714285714</v>
      </c>
      <c r="AS239" s="45">
        <v>24</v>
      </c>
      <c r="AT239" s="41">
        <f t="shared" si="85"/>
        <v>0.17647058823529413</v>
      </c>
      <c r="AU239" s="45">
        <v>11</v>
      </c>
      <c r="AV239" s="41">
        <f t="shared" si="104"/>
        <v>0.13095238095238096</v>
      </c>
      <c r="AW239" s="45">
        <v>10</v>
      </c>
      <c r="AX239" s="41">
        <f t="shared" si="86"/>
        <v>7.3529411764705885E-2</v>
      </c>
      <c r="AY239" s="45">
        <v>7</v>
      </c>
      <c r="AZ239" s="41">
        <f t="shared" si="105"/>
        <v>8.3333333333333329E-2</v>
      </c>
      <c r="BA239" s="45">
        <v>16</v>
      </c>
      <c r="BB239" s="41">
        <f t="shared" si="87"/>
        <v>0.11764705882352941</v>
      </c>
      <c r="BC239" s="45">
        <v>10</v>
      </c>
      <c r="BD239" s="41">
        <f t="shared" si="106"/>
        <v>0.11904761904761904</v>
      </c>
      <c r="BE239" s="45">
        <v>136</v>
      </c>
      <c r="BF239" s="45">
        <v>84</v>
      </c>
    </row>
    <row r="240" spans="1:58" ht="15.75" customHeight="1" x14ac:dyDescent="0.25">
      <c r="A240" s="44">
        <v>2023</v>
      </c>
      <c r="B240" s="39">
        <v>171750</v>
      </c>
      <c r="C240" s="37" t="str">
        <f>VLOOKUP(B240,procv!$A$2:$D$142,4,FALSE)</f>
        <v>Cantão</v>
      </c>
      <c r="D240" s="37" t="s">
        <v>104</v>
      </c>
      <c r="E240" s="45">
        <v>1</v>
      </c>
      <c r="F240" s="42">
        <f t="shared" si="88"/>
        <v>2.2522522522522522E-3</v>
      </c>
      <c r="G240" s="45">
        <v>1</v>
      </c>
      <c r="H240" s="42">
        <f t="shared" si="89"/>
        <v>5.1813471502590676E-3</v>
      </c>
      <c r="I240" s="45">
        <v>10</v>
      </c>
      <c r="J240" s="41">
        <f t="shared" si="90"/>
        <v>2.2522522522522521E-2</v>
      </c>
      <c r="K240" s="45">
        <v>7</v>
      </c>
      <c r="L240" s="41">
        <f t="shared" si="91"/>
        <v>3.6269430051813469E-2</v>
      </c>
      <c r="M240" s="45">
        <v>414</v>
      </c>
      <c r="N240" s="41">
        <f t="shared" si="92"/>
        <v>0.93243243243243246</v>
      </c>
      <c r="O240" s="45">
        <v>175</v>
      </c>
      <c r="P240" s="41">
        <f t="shared" si="93"/>
        <v>0.90673575129533679</v>
      </c>
      <c r="Q240" s="45">
        <v>19</v>
      </c>
      <c r="R240" s="41">
        <f t="shared" si="94"/>
        <v>4.2792792792792793E-2</v>
      </c>
      <c r="S240" s="45">
        <v>10</v>
      </c>
      <c r="T240" s="41">
        <f t="shared" si="95"/>
        <v>5.181347150259067E-2</v>
      </c>
      <c r="U240" s="45">
        <v>14</v>
      </c>
      <c r="V240" s="41">
        <f t="shared" si="96"/>
        <v>3.1531531531531529E-2</v>
      </c>
      <c r="W240" s="45">
        <v>8</v>
      </c>
      <c r="X240" s="41">
        <f t="shared" si="97"/>
        <v>4.145077720207254E-2</v>
      </c>
      <c r="Y240" s="45">
        <v>46</v>
      </c>
      <c r="Z240" s="41">
        <f t="shared" si="98"/>
        <v>0.1036036036036036</v>
      </c>
      <c r="AA240" s="45">
        <v>28</v>
      </c>
      <c r="AB240" s="41">
        <f t="shared" si="99"/>
        <v>0.14507772020725387</v>
      </c>
      <c r="AC240" s="45">
        <v>384</v>
      </c>
      <c r="AD240" s="41">
        <f t="shared" si="81"/>
        <v>0.86486486486486491</v>
      </c>
      <c r="AE240" s="45">
        <v>157</v>
      </c>
      <c r="AF240" s="41">
        <f t="shared" si="100"/>
        <v>0.81347150259067358</v>
      </c>
      <c r="AG240" s="45">
        <v>12</v>
      </c>
      <c r="AH240" s="41">
        <f t="shared" si="82"/>
        <v>2.7027027027027029E-2</v>
      </c>
      <c r="AI240" s="45">
        <v>10</v>
      </c>
      <c r="AJ240" s="41">
        <f t="shared" si="101"/>
        <v>5.181347150259067E-2</v>
      </c>
      <c r="AK240" s="45">
        <v>11</v>
      </c>
      <c r="AL240" s="41">
        <f t="shared" si="83"/>
        <v>2.4774774774774775E-2</v>
      </c>
      <c r="AM240" s="45">
        <v>9</v>
      </c>
      <c r="AN240" s="41">
        <f t="shared" si="102"/>
        <v>4.6632124352331605E-2</v>
      </c>
      <c r="AO240" s="45">
        <v>279</v>
      </c>
      <c r="AP240" s="41">
        <f t="shared" si="84"/>
        <v>0.6283783783783784</v>
      </c>
      <c r="AQ240" s="45">
        <v>122</v>
      </c>
      <c r="AR240" s="41">
        <f t="shared" si="103"/>
        <v>0.63212435233160624</v>
      </c>
      <c r="AS240" s="45">
        <v>91</v>
      </c>
      <c r="AT240" s="41">
        <f t="shared" si="85"/>
        <v>0.20495495495495494</v>
      </c>
      <c r="AU240" s="45">
        <v>28</v>
      </c>
      <c r="AV240" s="41">
        <f t="shared" si="104"/>
        <v>0.14507772020725387</v>
      </c>
      <c r="AW240" s="45">
        <v>33</v>
      </c>
      <c r="AX240" s="41">
        <f t="shared" si="86"/>
        <v>7.4324324324324328E-2</v>
      </c>
      <c r="AY240" s="45">
        <v>8</v>
      </c>
      <c r="AZ240" s="41">
        <f t="shared" si="105"/>
        <v>4.145077720207254E-2</v>
      </c>
      <c r="BA240" s="45">
        <v>18</v>
      </c>
      <c r="BB240" s="41">
        <f t="shared" si="87"/>
        <v>4.0540540540540543E-2</v>
      </c>
      <c r="BC240" s="45">
        <v>16</v>
      </c>
      <c r="BD240" s="41">
        <f t="shared" si="106"/>
        <v>8.2901554404145081E-2</v>
      </c>
      <c r="BE240" s="45">
        <v>444</v>
      </c>
      <c r="BF240" s="45">
        <v>193</v>
      </c>
    </row>
    <row r="241" spans="1:58" ht="15.75" customHeight="1" x14ac:dyDescent="0.25">
      <c r="A241" s="44">
        <v>2023</v>
      </c>
      <c r="B241" s="39">
        <v>171780</v>
      </c>
      <c r="C241" s="37" t="str">
        <f>VLOOKUP(B241,procv!$A$2:$D$142,4,FALSE)</f>
        <v>Sudeste</v>
      </c>
      <c r="D241" s="37" t="s">
        <v>105</v>
      </c>
      <c r="E241" s="45">
        <v>1</v>
      </c>
      <c r="F241" s="42">
        <f t="shared" si="88"/>
        <v>4.7846889952153108E-3</v>
      </c>
      <c r="G241" s="45">
        <v>1</v>
      </c>
      <c r="H241" s="42">
        <f t="shared" si="89"/>
        <v>6.7567567567567571E-3</v>
      </c>
      <c r="I241" s="45">
        <v>5</v>
      </c>
      <c r="J241" s="41">
        <f t="shared" si="90"/>
        <v>2.3923444976076555E-2</v>
      </c>
      <c r="K241" s="45">
        <v>3</v>
      </c>
      <c r="L241" s="41">
        <f t="shared" si="91"/>
        <v>2.0270270270270271E-2</v>
      </c>
      <c r="M241" s="45">
        <v>191</v>
      </c>
      <c r="N241" s="41">
        <f t="shared" si="92"/>
        <v>0.9138755980861244</v>
      </c>
      <c r="O241" s="45">
        <v>138</v>
      </c>
      <c r="P241" s="41">
        <f t="shared" si="93"/>
        <v>0.93243243243243246</v>
      </c>
      <c r="Q241" s="45">
        <v>12</v>
      </c>
      <c r="R241" s="41">
        <f t="shared" si="94"/>
        <v>5.7416267942583733E-2</v>
      </c>
      <c r="S241" s="45">
        <v>6</v>
      </c>
      <c r="T241" s="41">
        <f t="shared" si="95"/>
        <v>4.0540540540540543E-2</v>
      </c>
      <c r="U241" s="45">
        <v>4</v>
      </c>
      <c r="V241" s="41">
        <f t="shared" si="96"/>
        <v>1.9138755980861243E-2</v>
      </c>
      <c r="W241" s="45">
        <v>3</v>
      </c>
      <c r="X241" s="41">
        <f t="shared" si="97"/>
        <v>2.0270270270270271E-2</v>
      </c>
      <c r="Y241" s="45">
        <v>9</v>
      </c>
      <c r="Z241" s="41">
        <f t="shared" si="98"/>
        <v>4.3062200956937802E-2</v>
      </c>
      <c r="AA241" s="45">
        <v>8</v>
      </c>
      <c r="AB241" s="41">
        <f t="shared" si="99"/>
        <v>5.4054054054054057E-2</v>
      </c>
      <c r="AC241" s="45">
        <v>196</v>
      </c>
      <c r="AD241" s="41">
        <f t="shared" si="81"/>
        <v>0.93779904306220097</v>
      </c>
      <c r="AE241" s="45">
        <v>137</v>
      </c>
      <c r="AF241" s="41">
        <f t="shared" si="100"/>
        <v>0.92567567567567566</v>
      </c>
      <c r="AG241" s="45">
        <v>9</v>
      </c>
      <c r="AH241" s="41">
        <f t="shared" si="82"/>
        <v>4.3062200956937802E-2</v>
      </c>
      <c r="AI241" s="45">
        <v>7</v>
      </c>
      <c r="AJ241" s="41">
        <f t="shared" si="101"/>
        <v>4.72972972972973E-2</v>
      </c>
      <c r="AK241" s="45">
        <v>7</v>
      </c>
      <c r="AL241" s="41">
        <f t="shared" si="83"/>
        <v>3.3492822966507178E-2</v>
      </c>
      <c r="AM241" s="45">
        <v>8</v>
      </c>
      <c r="AN241" s="41">
        <f t="shared" si="102"/>
        <v>5.4054054054054057E-2</v>
      </c>
      <c r="AO241" s="45">
        <v>151</v>
      </c>
      <c r="AP241" s="41">
        <f t="shared" si="84"/>
        <v>0.72248803827751196</v>
      </c>
      <c r="AQ241" s="45">
        <v>112</v>
      </c>
      <c r="AR241" s="41">
        <f t="shared" si="103"/>
        <v>0.7567567567567568</v>
      </c>
      <c r="AS241" s="45">
        <v>29</v>
      </c>
      <c r="AT241" s="41">
        <f t="shared" si="85"/>
        <v>0.13875598086124402</v>
      </c>
      <c r="AU241" s="45">
        <v>11</v>
      </c>
      <c r="AV241" s="41">
        <f t="shared" si="104"/>
        <v>7.4324324324324328E-2</v>
      </c>
      <c r="AW241" s="45">
        <v>7</v>
      </c>
      <c r="AX241" s="41">
        <f t="shared" si="86"/>
        <v>3.3492822966507178E-2</v>
      </c>
      <c r="AY241" s="45">
        <v>5</v>
      </c>
      <c r="AZ241" s="41">
        <f t="shared" si="105"/>
        <v>3.3783783783783786E-2</v>
      </c>
      <c r="BA241" s="45">
        <v>6</v>
      </c>
      <c r="BB241" s="41">
        <f t="shared" si="87"/>
        <v>2.8708133971291867E-2</v>
      </c>
      <c r="BC241" s="45">
        <v>5</v>
      </c>
      <c r="BD241" s="41">
        <f t="shared" si="106"/>
        <v>3.3783783783783786E-2</v>
      </c>
      <c r="BE241" s="45">
        <v>209</v>
      </c>
      <c r="BF241" s="45">
        <v>148</v>
      </c>
    </row>
    <row r="242" spans="1:58" ht="15.75" customHeight="1" x14ac:dyDescent="0.25">
      <c r="A242" s="44">
        <v>2023</v>
      </c>
      <c r="B242" s="39">
        <v>171790</v>
      </c>
      <c r="C242" s="37" t="str">
        <f>VLOOKUP(B242,procv!$A$2:$D$142,4,FALSE)</f>
        <v>Amor Perfeito</v>
      </c>
      <c r="D242" s="37" t="s">
        <v>106</v>
      </c>
      <c r="E242" s="45">
        <v>5</v>
      </c>
      <c r="F242" s="42">
        <f t="shared" si="88"/>
        <v>1.2468827930174564E-2</v>
      </c>
      <c r="G242" s="45">
        <v>2</v>
      </c>
      <c r="H242" s="42">
        <f t="shared" si="89"/>
        <v>7.575757575757576E-3</v>
      </c>
      <c r="I242" s="45">
        <v>19</v>
      </c>
      <c r="J242" s="41">
        <f t="shared" si="90"/>
        <v>4.738154613466334E-2</v>
      </c>
      <c r="K242" s="45">
        <v>13</v>
      </c>
      <c r="L242" s="41">
        <f t="shared" si="91"/>
        <v>4.924242424242424E-2</v>
      </c>
      <c r="M242" s="45">
        <v>367</v>
      </c>
      <c r="N242" s="41">
        <f t="shared" si="92"/>
        <v>0.91521197007481292</v>
      </c>
      <c r="O242" s="45">
        <v>240</v>
      </c>
      <c r="P242" s="41">
        <f t="shared" si="93"/>
        <v>0.90909090909090906</v>
      </c>
      <c r="Q242" s="45">
        <v>10</v>
      </c>
      <c r="R242" s="41">
        <f t="shared" si="94"/>
        <v>2.4937655860349128E-2</v>
      </c>
      <c r="S242" s="45">
        <v>9</v>
      </c>
      <c r="T242" s="41">
        <f t="shared" si="95"/>
        <v>3.4090909090909088E-2</v>
      </c>
      <c r="U242" s="45">
        <v>9</v>
      </c>
      <c r="V242" s="41">
        <f t="shared" si="96"/>
        <v>2.2443890274314215E-2</v>
      </c>
      <c r="W242" s="45">
        <v>6</v>
      </c>
      <c r="X242" s="41">
        <f t="shared" si="97"/>
        <v>2.2727272727272728E-2</v>
      </c>
      <c r="Y242" s="45">
        <v>27</v>
      </c>
      <c r="Z242" s="41">
        <f t="shared" si="98"/>
        <v>6.7331670822942641E-2</v>
      </c>
      <c r="AA242" s="45">
        <v>21</v>
      </c>
      <c r="AB242" s="41">
        <f t="shared" si="99"/>
        <v>7.9545454545454544E-2</v>
      </c>
      <c r="AC242" s="45">
        <v>365</v>
      </c>
      <c r="AD242" s="41">
        <f t="shared" si="81"/>
        <v>0.91022443890274318</v>
      </c>
      <c r="AE242" s="45">
        <v>237</v>
      </c>
      <c r="AF242" s="41">
        <f t="shared" si="100"/>
        <v>0.89772727272727271</v>
      </c>
      <c r="AG242" s="45">
        <v>11</v>
      </c>
      <c r="AH242" s="41">
        <f t="shared" si="82"/>
        <v>2.7431421446384038E-2</v>
      </c>
      <c r="AI242" s="45">
        <v>7</v>
      </c>
      <c r="AJ242" s="41">
        <f t="shared" si="101"/>
        <v>2.6515151515151516E-2</v>
      </c>
      <c r="AK242" s="45">
        <v>27</v>
      </c>
      <c r="AL242" s="41">
        <f t="shared" si="83"/>
        <v>6.7331670822942641E-2</v>
      </c>
      <c r="AM242" s="45">
        <v>18</v>
      </c>
      <c r="AN242" s="41">
        <f t="shared" si="102"/>
        <v>6.8181818181818177E-2</v>
      </c>
      <c r="AO242" s="45">
        <v>288</v>
      </c>
      <c r="AP242" s="41">
        <f t="shared" si="84"/>
        <v>0.71820448877805487</v>
      </c>
      <c r="AQ242" s="45">
        <v>201</v>
      </c>
      <c r="AR242" s="41">
        <f t="shared" si="103"/>
        <v>0.76136363636363635</v>
      </c>
      <c r="AS242" s="45">
        <v>50</v>
      </c>
      <c r="AT242" s="41">
        <f t="shared" si="85"/>
        <v>0.12468827930174564</v>
      </c>
      <c r="AU242" s="45">
        <v>26</v>
      </c>
      <c r="AV242" s="41">
        <f t="shared" si="104"/>
        <v>9.8484848484848481E-2</v>
      </c>
      <c r="AW242" s="45">
        <v>11</v>
      </c>
      <c r="AX242" s="41">
        <f t="shared" si="86"/>
        <v>2.7431421446384038E-2</v>
      </c>
      <c r="AY242" s="45">
        <v>3</v>
      </c>
      <c r="AZ242" s="41">
        <f t="shared" si="105"/>
        <v>1.1363636363636364E-2</v>
      </c>
      <c r="BA242" s="45">
        <v>14</v>
      </c>
      <c r="BB242" s="41">
        <f t="shared" si="87"/>
        <v>3.4912718204488775E-2</v>
      </c>
      <c r="BC242" s="45">
        <v>9</v>
      </c>
      <c r="BD242" s="41">
        <f t="shared" si="106"/>
        <v>3.4090909090909088E-2</v>
      </c>
      <c r="BE242" s="45">
        <v>401</v>
      </c>
      <c r="BF242" s="45">
        <v>264</v>
      </c>
    </row>
    <row r="243" spans="1:58" ht="15.75" customHeight="1" x14ac:dyDescent="0.25">
      <c r="A243" s="44">
        <v>2023</v>
      </c>
      <c r="B243" s="39">
        <v>171800</v>
      </c>
      <c r="C243" s="37" t="str">
        <f>VLOOKUP(B243,procv!$A$2:$D$142,4,FALSE)</f>
        <v>Sudeste</v>
      </c>
      <c r="D243" s="37" t="s">
        <v>107</v>
      </c>
      <c r="E243" s="45">
        <v>1</v>
      </c>
      <c r="F243" s="42">
        <f t="shared" si="88"/>
        <v>5.434782608695652E-3</v>
      </c>
      <c r="G243" s="45">
        <v>0</v>
      </c>
      <c r="H243" s="42">
        <f t="shared" si="89"/>
        <v>0</v>
      </c>
      <c r="I243" s="45">
        <v>2</v>
      </c>
      <c r="J243" s="41">
        <f t="shared" si="90"/>
        <v>1.0869565217391304E-2</v>
      </c>
      <c r="K243" s="45">
        <v>0</v>
      </c>
      <c r="L243" s="41">
        <f t="shared" si="91"/>
        <v>0</v>
      </c>
      <c r="M243" s="45">
        <v>170</v>
      </c>
      <c r="N243" s="41">
        <f t="shared" si="92"/>
        <v>0.92391304347826086</v>
      </c>
      <c r="O243" s="45">
        <v>101</v>
      </c>
      <c r="P243" s="41">
        <f t="shared" si="93"/>
        <v>0.96190476190476193</v>
      </c>
      <c r="Q243" s="45">
        <v>11</v>
      </c>
      <c r="R243" s="41">
        <f t="shared" si="94"/>
        <v>5.9782608695652176E-2</v>
      </c>
      <c r="S243" s="45">
        <v>4</v>
      </c>
      <c r="T243" s="41">
        <f t="shared" si="95"/>
        <v>3.8095238095238099E-2</v>
      </c>
      <c r="U243" s="45">
        <v>9</v>
      </c>
      <c r="V243" s="41">
        <f t="shared" si="96"/>
        <v>4.8913043478260872E-2</v>
      </c>
      <c r="W243" s="45">
        <v>5</v>
      </c>
      <c r="X243" s="41">
        <f t="shared" si="97"/>
        <v>4.7619047619047616E-2</v>
      </c>
      <c r="Y243" s="45">
        <v>15</v>
      </c>
      <c r="Z243" s="41">
        <f t="shared" si="98"/>
        <v>8.1521739130434784E-2</v>
      </c>
      <c r="AA243" s="45">
        <v>6</v>
      </c>
      <c r="AB243" s="41">
        <f t="shared" si="99"/>
        <v>5.7142857142857141E-2</v>
      </c>
      <c r="AC243" s="45">
        <v>160</v>
      </c>
      <c r="AD243" s="41">
        <f t="shared" si="81"/>
        <v>0.86956521739130432</v>
      </c>
      <c r="AE243" s="45">
        <v>94</v>
      </c>
      <c r="AF243" s="41">
        <f t="shared" si="100"/>
        <v>0.89523809523809528</v>
      </c>
      <c r="AG243" s="45">
        <v>6</v>
      </c>
      <c r="AH243" s="41">
        <f t="shared" si="82"/>
        <v>3.2608695652173912E-2</v>
      </c>
      <c r="AI243" s="45">
        <v>4</v>
      </c>
      <c r="AJ243" s="41">
        <f t="shared" si="101"/>
        <v>3.8095238095238099E-2</v>
      </c>
      <c r="AK243" s="45">
        <v>8</v>
      </c>
      <c r="AL243" s="41">
        <f t="shared" si="83"/>
        <v>4.3478260869565216E-2</v>
      </c>
      <c r="AM243" s="45">
        <v>6</v>
      </c>
      <c r="AN243" s="41">
        <f t="shared" si="102"/>
        <v>5.7142857142857141E-2</v>
      </c>
      <c r="AO243" s="45">
        <v>122</v>
      </c>
      <c r="AP243" s="41">
        <f t="shared" si="84"/>
        <v>0.66304347826086951</v>
      </c>
      <c r="AQ243" s="45">
        <v>70</v>
      </c>
      <c r="AR243" s="41">
        <f t="shared" si="103"/>
        <v>0.66666666666666663</v>
      </c>
      <c r="AS243" s="45">
        <v>28</v>
      </c>
      <c r="AT243" s="41">
        <f t="shared" si="85"/>
        <v>0.15217391304347827</v>
      </c>
      <c r="AU243" s="45">
        <v>16</v>
      </c>
      <c r="AV243" s="41">
        <f t="shared" si="104"/>
        <v>0.15238095238095239</v>
      </c>
      <c r="AW243" s="45">
        <v>11</v>
      </c>
      <c r="AX243" s="41">
        <f t="shared" si="86"/>
        <v>5.9782608695652176E-2</v>
      </c>
      <c r="AY243" s="45">
        <v>3</v>
      </c>
      <c r="AZ243" s="41">
        <f t="shared" si="105"/>
        <v>2.8571428571428571E-2</v>
      </c>
      <c r="BA243" s="45">
        <v>9</v>
      </c>
      <c r="BB243" s="41">
        <f t="shared" si="87"/>
        <v>4.8913043478260872E-2</v>
      </c>
      <c r="BC243" s="45">
        <v>6</v>
      </c>
      <c r="BD243" s="41">
        <f t="shared" si="106"/>
        <v>5.7142857142857141E-2</v>
      </c>
      <c r="BE243" s="45">
        <v>184</v>
      </c>
      <c r="BF243" s="45">
        <v>105</v>
      </c>
    </row>
    <row r="244" spans="1:58" ht="15.75" customHeight="1" x14ac:dyDescent="0.25">
      <c r="A244" s="44">
        <v>2023</v>
      </c>
      <c r="B244" s="39">
        <v>171820</v>
      </c>
      <c r="C244" s="37" t="str">
        <f>VLOOKUP(B244,procv!$A$2:$D$142,4,FALSE)</f>
        <v>Amor Perfeito</v>
      </c>
      <c r="D244" s="37" t="s">
        <v>108</v>
      </c>
      <c r="E244" s="45">
        <v>20</v>
      </c>
      <c r="F244" s="42">
        <f t="shared" si="88"/>
        <v>5.5850321139346553E-3</v>
      </c>
      <c r="G244" s="45">
        <v>10</v>
      </c>
      <c r="H244" s="42">
        <f t="shared" si="89"/>
        <v>6.4308681672025723E-3</v>
      </c>
      <c r="I244" s="45">
        <v>95</v>
      </c>
      <c r="J244" s="41">
        <f t="shared" si="90"/>
        <v>2.6528902541189611E-2</v>
      </c>
      <c r="K244" s="45">
        <v>57</v>
      </c>
      <c r="L244" s="41">
        <f t="shared" si="91"/>
        <v>3.6655948553054665E-2</v>
      </c>
      <c r="M244" s="46">
        <v>3311</v>
      </c>
      <c r="N244" s="41">
        <f t="shared" si="92"/>
        <v>0.92460206646188214</v>
      </c>
      <c r="O244" s="46">
        <v>1440</v>
      </c>
      <c r="P244" s="41">
        <f t="shared" si="93"/>
        <v>0.92604501607717038</v>
      </c>
      <c r="Q244" s="45">
        <v>155</v>
      </c>
      <c r="R244" s="41">
        <f t="shared" si="94"/>
        <v>4.3283998882993578E-2</v>
      </c>
      <c r="S244" s="45">
        <v>48</v>
      </c>
      <c r="T244" s="41">
        <f t="shared" si="95"/>
        <v>3.0868167202572346E-2</v>
      </c>
      <c r="U244" s="45">
        <v>100</v>
      </c>
      <c r="V244" s="41">
        <f t="shared" si="96"/>
        <v>2.7925160569673275E-2</v>
      </c>
      <c r="W244" s="45">
        <v>73</v>
      </c>
      <c r="X244" s="41">
        <f t="shared" si="97"/>
        <v>4.694533762057878E-2</v>
      </c>
      <c r="Y244" s="45">
        <v>257</v>
      </c>
      <c r="Z244" s="41">
        <f t="shared" si="98"/>
        <v>7.1767662664060317E-2</v>
      </c>
      <c r="AA244" s="45">
        <v>150</v>
      </c>
      <c r="AB244" s="41">
        <f t="shared" si="99"/>
        <v>9.6463022508038579E-2</v>
      </c>
      <c r="AC244" s="46">
        <v>3224</v>
      </c>
      <c r="AD244" s="41">
        <f t="shared" si="81"/>
        <v>0.90030717676626637</v>
      </c>
      <c r="AE244" s="46">
        <v>1332</v>
      </c>
      <c r="AF244" s="41">
        <f t="shared" si="100"/>
        <v>0.85659163987138265</v>
      </c>
      <c r="AG244" s="45">
        <v>57</v>
      </c>
      <c r="AH244" s="41">
        <f t="shared" si="82"/>
        <v>1.5917341524713767E-2</v>
      </c>
      <c r="AI244" s="45">
        <v>48</v>
      </c>
      <c r="AJ244" s="41">
        <f t="shared" si="101"/>
        <v>3.0868167202572346E-2</v>
      </c>
      <c r="AK244" s="45">
        <v>115</v>
      </c>
      <c r="AL244" s="41">
        <f t="shared" si="83"/>
        <v>3.2113934655124264E-2</v>
      </c>
      <c r="AM244" s="45">
        <v>88</v>
      </c>
      <c r="AN244" s="41">
        <f t="shared" si="102"/>
        <v>5.6591639871382639E-2</v>
      </c>
      <c r="AO244" s="46">
        <v>2491</v>
      </c>
      <c r="AP244" s="41">
        <f t="shared" si="84"/>
        <v>0.69561574979056129</v>
      </c>
      <c r="AQ244" s="46">
        <v>1104</v>
      </c>
      <c r="AR244" s="41">
        <f t="shared" si="103"/>
        <v>0.70996784565916393</v>
      </c>
      <c r="AS244" s="45">
        <v>617</v>
      </c>
      <c r="AT244" s="41">
        <f t="shared" si="85"/>
        <v>0.17229824071488412</v>
      </c>
      <c r="AU244" s="45">
        <v>209</v>
      </c>
      <c r="AV244" s="41">
        <f t="shared" si="104"/>
        <v>0.13440514469453377</v>
      </c>
      <c r="AW244" s="45">
        <v>213</v>
      </c>
      <c r="AX244" s="41">
        <f t="shared" si="86"/>
        <v>5.9480592013404075E-2</v>
      </c>
      <c r="AY244" s="45">
        <v>65</v>
      </c>
      <c r="AZ244" s="41">
        <f t="shared" si="105"/>
        <v>4.1800643086816719E-2</v>
      </c>
      <c r="BA244" s="45">
        <v>88</v>
      </c>
      <c r="BB244" s="41">
        <f t="shared" si="87"/>
        <v>2.4574141301312483E-2</v>
      </c>
      <c r="BC244" s="45">
        <v>41</v>
      </c>
      <c r="BD244" s="41">
        <f t="shared" si="106"/>
        <v>2.6366559485530548E-2</v>
      </c>
      <c r="BE244" s="46">
        <v>3581</v>
      </c>
      <c r="BF244" s="46">
        <v>1555</v>
      </c>
    </row>
    <row r="245" spans="1:58" ht="15.75" customHeight="1" x14ac:dyDescent="0.25">
      <c r="A245" s="44">
        <v>2023</v>
      </c>
      <c r="B245" s="39">
        <v>171830</v>
      </c>
      <c r="C245" s="37" t="str">
        <f>VLOOKUP(B245,procv!$A$2:$D$142,4,FALSE)</f>
        <v>Bico do Papagaio</v>
      </c>
      <c r="D245" s="37" t="s">
        <v>109</v>
      </c>
      <c r="E245" s="45">
        <v>6</v>
      </c>
      <c r="F245" s="42">
        <f t="shared" si="88"/>
        <v>1.7595307917888565E-2</v>
      </c>
      <c r="G245" s="45">
        <v>5</v>
      </c>
      <c r="H245" s="42">
        <f t="shared" si="89"/>
        <v>2.4630541871921183E-2</v>
      </c>
      <c r="I245" s="45">
        <v>13</v>
      </c>
      <c r="J245" s="41">
        <f t="shared" si="90"/>
        <v>3.8123167155425221E-2</v>
      </c>
      <c r="K245" s="45">
        <v>12</v>
      </c>
      <c r="L245" s="41">
        <f t="shared" si="91"/>
        <v>5.9113300492610835E-2</v>
      </c>
      <c r="M245" s="45">
        <v>300</v>
      </c>
      <c r="N245" s="41">
        <f t="shared" si="92"/>
        <v>0.87976539589442815</v>
      </c>
      <c r="O245" s="45">
        <v>169</v>
      </c>
      <c r="P245" s="41">
        <f t="shared" si="93"/>
        <v>0.83251231527093594</v>
      </c>
      <c r="Q245" s="45">
        <v>22</v>
      </c>
      <c r="R245" s="41">
        <f t="shared" si="94"/>
        <v>6.4516129032258063E-2</v>
      </c>
      <c r="S245" s="45">
        <v>17</v>
      </c>
      <c r="T245" s="41">
        <f t="shared" si="95"/>
        <v>8.3743842364532015E-2</v>
      </c>
      <c r="U245" s="45">
        <v>24</v>
      </c>
      <c r="V245" s="41">
        <f t="shared" si="96"/>
        <v>7.0381231671554259E-2</v>
      </c>
      <c r="W245" s="45">
        <v>17</v>
      </c>
      <c r="X245" s="41">
        <f t="shared" si="97"/>
        <v>8.3743842364532015E-2</v>
      </c>
      <c r="Y245" s="45">
        <v>32</v>
      </c>
      <c r="Z245" s="41">
        <f t="shared" si="98"/>
        <v>9.3841642228739003E-2</v>
      </c>
      <c r="AA245" s="45">
        <v>20</v>
      </c>
      <c r="AB245" s="41">
        <f t="shared" si="99"/>
        <v>9.8522167487684734E-2</v>
      </c>
      <c r="AC245" s="45">
        <v>285</v>
      </c>
      <c r="AD245" s="41">
        <f t="shared" si="81"/>
        <v>0.83577712609970678</v>
      </c>
      <c r="AE245" s="45">
        <v>166</v>
      </c>
      <c r="AF245" s="41">
        <f t="shared" si="100"/>
        <v>0.81773399014778325</v>
      </c>
      <c r="AG245" s="45">
        <v>7</v>
      </c>
      <c r="AH245" s="41">
        <f t="shared" si="82"/>
        <v>2.0527859237536656E-2</v>
      </c>
      <c r="AI245" s="45">
        <v>9</v>
      </c>
      <c r="AJ245" s="41">
        <f t="shared" si="101"/>
        <v>4.4334975369458129E-2</v>
      </c>
      <c r="AK245" s="45">
        <v>15</v>
      </c>
      <c r="AL245" s="41">
        <f t="shared" si="83"/>
        <v>4.398826979472141E-2</v>
      </c>
      <c r="AM245" s="45">
        <v>15</v>
      </c>
      <c r="AN245" s="41">
        <f t="shared" si="102"/>
        <v>7.3891625615763554E-2</v>
      </c>
      <c r="AO245" s="45">
        <v>207</v>
      </c>
      <c r="AP245" s="41">
        <f t="shared" si="84"/>
        <v>0.60703812316715544</v>
      </c>
      <c r="AQ245" s="45">
        <v>119</v>
      </c>
      <c r="AR245" s="41">
        <f t="shared" si="103"/>
        <v>0.58620689655172409</v>
      </c>
      <c r="AS245" s="45">
        <v>66</v>
      </c>
      <c r="AT245" s="41">
        <f t="shared" si="85"/>
        <v>0.19354838709677419</v>
      </c>
      <c r="AU245" s="45">
        <v>30</v>
      </c>
      <c r="AV245" s="41">
        <f t="shared" si="104"/>
        <v>0.14778325123152711</v>
      </c>
      <c r="AW245" s="45">
        <v>24</v>
      </c>
      <c r="AX245" s="41">
        <f t="shared" si="86"/>
        <v>7.0381231671554259E-2</v>
      </c>
      <c r="AY245" s="45">
        <v>12</v>
      </c>
      <c r="AZ245" s="41">
        <f t="shared" si="105"/>
        <v>5.9113300492610835E-2</v>
      </c>
      <c r="BA245" s="45">
        <v>22</v>
      </c>
      <c r="BB245" s="41">
        <f t="shared" si="87"/>
        <v>6.4516129032258063E-2</v>
      </c>
      <c r="BC245" s="45">
        <v>18</v>
      </c>
      <c r="BD245" s="41">
        <f t="shared" si="106"/>
        <v>8.8669950738916259E-2</v>
      </c>
      <c r="BE245" s="45">
        <v>341</v>
      </c>
      <c r="BF245" s="45">
        <v>203</v>
      </c>
    </row>
    <row r="246" spans="1:58" ht="15.75" customHeight="1" x14ac:dyDescent="0.25">
      <c r="A246" s="44">
        <v>2023</v>
      </c>
      <c r="B246" s="39">
        <v>171840</v>
      </c>
      <c r="C246" s="37" t="str">
        <f>VLOOKUP(B246,procv!$A$2:$D$142,4,FALSE)</f>
        <v>Cerrado Tocantins Araguaia</v>
      </c>
      <c r="D246" s="37" t="s">
        <v>110</v>
      </c>
      <c r="E246" s="45">
        <v>0</v>
      </c>
      <c r="F246" s="42">
        <f t="shared" si="88"/>
        <v>0</v>
      </c>
      <c r="G246" s="45">
        <v>0</v>
      </c>
      <c r="H246" s="42">
        <f t="shared" si="89"/>
        <v>0</v>
      </c>
      <c r="I246" s="45">
        <v>5</v>
      </c>
      <c r="J246" s="41">
        <f t="shared" si="90"/>
        <v>2.9411764705882353E-2</v>
      </c>
      <c r="K246" s="45">
        <v>3</v>
      </c>
      <c r="L246" s="41">
        <f t="shared" si="91"/>
        <v>6.6666666666666666E-2</v>
      </c>
      <c r="M246" s="45">
        <v>159</v>
      </c>
      <c r="N246" s="41">
        <f t="shared" si="92"/>
        <v>0.93529411764705883</v>
      </c>
      <c r="O246" s="45">
        <v>41</v>
      </c>
      <c r="P246" s="41">
        <f t="shared" si="93"/>
        <v>0.91111111111111109</v>
      </c>
      <c r="Q246" s="45">
        <v>6</v>
      </c>
      <c r="R246" s="41">
        <f t="shared" si="94"/>
        <v>3.5294117647058823E-2</v>
      </c>
      <c r="S246" s="45">
        <v>1</v>
      </c>
      <c r="T246" s="41">
        <f t="shared" si="95"/>
        <v>2.2222222222222223E-2</v>
      </c>
      <c r="U246" s="45">
        <v>4</v>
      </c>
      <c r="V246" s="41">
        <f t="shared" si="96"/>
        <v>2.3529411764705882E-2</v>
      </c>
      <c r="W246" s="45">
        <v>0</v>
      </c>
      <c r="X246" s="41">
        <f t="shared" si="97"/>
        <v>0</v>
      </c>
      <c r="Y246" s="45">
        <v>14</v>
      </c>
      <c r="Z246" s="41">
        <f t="shared" si="98"/>
        <v>8.2352941176470587E-2</v>
      </c>
      <c r="AA246" s="45">
        <v>3</v>
      </c>
      <c r="AB246" s="41">
        <f t="shared" si="99"/>
        <v>6.6666666666666666E-2</v>
      </c>
      <c r="AC246" s="45">
        <v>152</v>
      </c>
      <c r="AD246" s="41">
        <f t="shared" si="81"/>
        <v>0.89411764705882357</v>
      </c>
      <c r="AE246" s="45">
        <v>42</v>
      </c>
      <c r="AF246" s="41">
        <f t="shared" si="100"/>
        <v>0.93333333333333335</v>
      </c>
      <c r="AG246" s="45">
        <v>0</v>
      </c>
      <c r="AH246" s="41">
        <f t="shared" si="82"/>
        <v>0</v>
      </c>
      <c r="AI246" s="45">
        <v>1</v>
      </c>
      <c r="AJ246" s="41">
        <f t="shared" si="101"/>
        <v>2.2222222222222223E-2</v>
      </c>
      <c r="AK246" s="45">
        <v>1</v>
      </c>
      <c r="AL246" s="41">
        <f t="shared" si="83"/>
        <v>5.8823529411764705E-3</v>
      </c>
      <c r="AM246" s="45">
        <v>2</v>
      </c>
      <c r="AN246" s="41">
        <f t="shared" si="102"/>
        <v>4.4444444444444446E-2</v>
      </c>
      <c r="AO246" s="45">
        <v>112</v>
      </c>
      <c r="AP246" s="41">
        <f t="shared" si="84"/>
        <v>0.6588235294117647</v>
      </c>
      <c r="AQ246" s="45">
        <v>29</v>
      </c>
      <c r="AR246" s="41">
        <f t="shared" si="103"/>
        <v>0.64444444444444449</v>
      </c>
      <c r="AS246" s="45">
        <v>41</v>
      </c>
      <c r="AT246" s="41">
        <f t="shared" si="85"/>
        <v>0.2411764705882353</v>
      </c>
      <c r="AU246" s="45">
        <v>10</v>
      </c>
      <c r="AV246" s="41">
        <f t="shared" si="104"/>
        <v>0.22222222222222221</v>
      </c>
      <c r="AW246" s="45">
        <v>11</v>
      </c>
      <c r="AX246" s="41">
        <f t="shared" si="86"/>
        <v>6.4705882352941183E-2</v>
      </c>
      <c r="AY246" s="45">
        <v>2</v>
      </c>
      <c r="AZ246" s="41">
        <f t="shared" si="105"/>
        <v>4.4444444444444446E-2</v>
      </c>
      <c r="BA246" s="45">
        <v>5</v>
      </c>
      <c r="BB246" s="41">
        <f t="shared" si="87"/>
        <v>2.9411764705882353E-2</v>
      </c>
      <c r="BC246" s="45">
        <v>1</v>
      </c>
      <c r="BD246" s="41">
        <f t="shared" si="106"/>
        <v>2.2222222222222223E-2</v>
      </c>
      <c r="BE246" s="45">
        <v>170</v>
      </c>
      <c r="BF246" s="45">
        <v>45</v>
      </c>
    </row>
    <row r="247" spans="1:58" ht="15.75" customHeight="1" x14ac:dyDescent="0.25">
      <c r="A247" s="44">
        <v>2023</v>
      </c>
      <c r="B247" s="39">
        <v>171845</v>
      </c>
      <c r="C247" s="37" t="str">
        <f>VLOOKUP(B247,procv!$A$2:$D$142,4,FALSE)</f>
        <v>Cantão</v>
      </c>
      <c r="D247" s="37" t="s">
        <v>111</v>
      </c>
      <c r="E247" s="45">
        <v>0</v>
      </c>
      <c r="F247" s="42">
        <f t="shared" si="88"/>
        <v>0</v>
      </c>
      <c r="G247" s="45">
        <v>0</v>
      </c>
      <c r="H247" s="42">
        <f t="shared" si="89"/>
        <v>0</v>
      </c>
      <c r="I247" s="45">
        <v>2</v>
      </c>
      <c r="J247" s="41">
        <f t="shared" si="90"/>
        <v>1.2048192771084338E-2</v>
      </c>
      <c r="K247" s="45">
        <v>0</v>
      </c>
      <c r="L247" s="41">
        <f t="shared" si="91"/>
        <v>0</v>
      </c>
      <c r="M247" s="45">
        <v>151</v>
      </c>
      <c r="N247" s="41">
        <f t="shared" si="92"/>
        <v>0.90963855421686746</v>
      </c>
      <c r="O247" s="45">
        <v>99</v>
      </c>
      <c r="P247" s="41">
        <f t="shared" si="93"/>
        <v>0.92523364485981308</v>
      </c>
      <c r="Q247" s="45">
        <v>13</v>
      </c>
      <c r="R247" s="41">
        <f t="shared" si="94"/>
        <v>7.8313253012048195E-2</v>
      </c>
      <c r="S247" s="45">
        <v>8</v>
      </c>
      <c r="T247" s="41">
        <f t="shared" si="95"/>
        <v>7.476635514018691E-2</v>
      </c>
      <c r="U247" s="45">
        <v>5</v>
      </c>
      <c r="V247" s="41">
        <f t="shared" si="96"/>
        <v>3.0120481927710843E-2</v>
      </c>
      <c r="W247" s="45">
        <v>4</v>
      </c>
      <c r="X247" s="41">
        <f t="shared" si="97"/>
        <v>3.7383177570093455E-2</v>
      </c>
      <c r="Y247" s="45">
        <v>11</v>
      </c>
      <c r="Z247" s="41">
        <f t="shared" si="98"/>
        <v>6.6265060240963861E-2</v>
      </c>
      <c r="AA247" s="45">
        <v>8</v>
      </c>
      <c r="AB247" s="41">
        <f t="shared" si="99"/>
        <v>7.476635514018691E-2</v>
      </c>
      <c r="AC247" s="45">
        <v>150</v>
      </c>
      <c r="AD247" s="41">
        <f t="shared" si="81"/>
        <v>0.90361445783132532</v>
      </c>
      <c r="AE247" s="45">
        <v>95</v>
      </c>
      <c r="AF247" s="41">
        <f t="shared" si="100"/>
        <v>0.88785046728971961</v>
      </c>
      <c r="AG247" s="45">
        <v>3</v>
      </c>
      <c r="AH247" s="41">
        <f t="shared" si="82"/>
        <v>1.8072289156626505E-2</v>
      </c>
      <c r="AI247" s="45">
        <v>4</v>
      </c>
      <c r="AJ247" s="41">
        <f t="shared" si="101"/>
        <v>3.7383177570093455E-2</v>
      </c>
      <c r="AK247" s="45">
        <v>5</v>
      </c>
      <c r="AL247" s="41">
        <f t="shared" si="83"/>
        <v>3.0120481927710843E-2</v>
      </c>
      <c r="AM247" s="45">
        <v>6</v>
      </c>
      <c r="AN247" s="41">
        <f t="shared" si="102"/>
        <v>5.6074766355140186E-2</v>
      </c>
      <c r="AO247" s="45">
        <v>111</v>
      </c>
      <c r="AP247" s="41">
        <f t="shared" si="84"/>
        <v>0.66867469879518071</v>
      </c>
      <c r="AQ247" s="45">
        <v>70</v>
      </c>
      <c r="AR247" s="41">
        <f t="shared" si="103"/>
        <v>0.65420560747663548</v>
      </c>
      <c r="AS247" s="45">
        <v>23</v>
      </c>
      <c r="AT247" s="41">
        <f t="shared" si="85"/>
        <v>0.13855421686746988</v>
      </c>
      <c r="AU247" s="45">
        <v>9</v>
      </c>
      <c r="AV247" s="41">
        <f t="shared" si="104"/>
        <v>8.4112149532710276E-2</v>
      </c>
      <c r="AW247" s="45">
        <v>11</v>
      </c>
      <c r="AX247" s="41">
        <f t="shared" si="86"/>
        <v>6.6265060240963861E-2</v>
      </c>
      <c r="AY247" s="45">
        <v>8</v>
      </c>
      <c r="AZ247" s="41">
        <f t="shared" si="105"/>
        <v>7.476635514018691E-2</v>
      </c>
      <c r="BA247" s="45">
        <v>13</v>
      </c>
      <c r="BB247" s="41">
        <f t="shared" si="87"/>
        <v>7.8313253012048195E-2</v>
      </c>
      <c r="BC247" s="45">
        <v>10</v>
      </c>
      <c r="BD247" s="41">
        <f t="shared" si="106"/>
        <v>9.3457943925233641E-2</v>
      </c>
      <c r="BE247" s="45">
        <v>166</v>
      </c>
      <c r="BF247" s="45">
        <v>107</v>
      </c>
    </row>
    <row r="248" spans="1:58" ht="15.75" customHeight="1" x14ac:dyDescent="0.25">
      <c r="A248" s="44">
        <v>2023</v>
      </c>
      <c r="B248" s="39">
        <v>171850</v>
      </c>
      <c r="C248" s="37" t="str">
        <f>VLOOKUP(B248,procv!$A$2:$D$142,4,FALSE)</f>
        <v>Cerrado Tocantins Araguaia</v>
      </c>
      <c r="D248" s="37" t="s">
        <v>112</v>
      </c>
      <c r="E248" s="45">
        <v>5</v>
      </c>
      <c r="F248" s="42">
        <f t="shared" si="88"/>
        <v>1.7064846416382253E-2</v>
      </c>
      <c r="G248" s="45">
        <v>6</v>
      </c>
      <c r="H248" s="42">
        <f t="shared" si="89"/>
        <v>0.03</v>
      </c>
      <c r="I248" s="45">
        <v>8</v>
      </c>
      <c r="J248" s="41">
        <f t="shared" si="90"/>
        <v>2.7303754266211604E-2</v>
      </c>
      <c r="K248" s="45">
        <v>4</v>
      </c>
      <c r="L248" s="41">
        <f t="shared" si="91"/>
        <v>0.02</v>
      </c>
      <c r="M248" s="45">
        <v>264</v>
      </c>
      <c r="N248" s="41">
        <f t="shared" si="92"/>
        <v>0.90102389078498291</v>
      </c>
      <c r="O248" s="45">
        <v>178</v>
      </c>
      <c r="P248" s="41">
        <f t="shared" si="93"/>
        <v>0.89</v>
      </c>
      <c r="Q248" s="45">
        <v>16</v>
      </c>
      <c r="R248" s="41">
        <f t="shared" si="94"/>
        <v>5.4607508532423209E-2</v>
      </c>
      <c r="S248" s="45">
        <v>12</v>
      </c>
      <c r="T248" s="41">
        <f t="shared" si="95"/>
        <v>0.06</v>
      </c>
      <c r="U248" s="45">
        <v>15</v>
      </c>
      <c r="V248" s="41">
        <f t="shared" si="96"/>
        <v>5.1194539249146756E-2</v>
      </c>
      <c r="W248" s="45">
        <v>16</v>
      </c>
      <c r="X248" s="41">
        <f t="shared" si="97"/>
        <v>0.08</v>
      </c>
      <c r="Y248" s="45">
        <v>40</v>
      </c>
      <c r="Z248" s="41">
        <f t="shared" si="98"/>
        <v>0.13651877133105803</v>
      </c>
      <c r="AA248" s="45">
        <v>31</v>
      </c>
      <c r="AB248" s="41">
        <f t="shared" si="99"/>
        <v>0.155</v>
      </c>
      <c r="AC248" s="45">
        <v>238</v>
      </c>
      <c r="AD248" s="41">
        <f t="shared" si="81"/>
        <v>0.8122866894197952</v>
      </c>
      <c r="AE248" s="45">
        <v>153</v>
      </c>
      <c r="AF248" s="41">
        <f t="shared" si="100"/>
        <v>0.76500000000000001</v>
      </c>
      <c r="AG248" s="45">
        <v>9</v>
      </c>
      <c r="AH248" s="41">
        <f t="shared" si="82"/>
        <v>3.0716723549488054E-2</v>
      </c>
      <c r="AI248" s="45">
        <v>9</v>
      </c>
      <c r="AJ248" s="41">
        <f t="shared" si="101"/>
        <v>4.4999999999999998E-2</v>
      </c>
      <c r="AK248" s="45">
        <v>6</v>
      </c>
      <c r="AL248" s="41">
        <f t="shared" si="83"/>
        <v>2.0477815699658702E-2</v>
      </c>
      <c r="AM248" s="45">
        <v>4</v>
      </c>
      <c r="AN248" s="41">
        <f t="shared" si="102"/>
        <v>0.02</v>
      </c>
      <c r="AO248" s="45">
        <v>182</v>
      </c>
      <c r="AP248" s="41">
        <f t="shared" si="84"/>
        <v>0.62116040955631402</v>
      </c>
      <c r="AQ248" s="45">
        <v>118</v>
      </c>
      <c r="AR248" s="41">
        <f t="shared" si="103"/>
        <v>0.59</v>
      </c>
      <c r="AS248" s="45">
        <v>62</v>
      </c>
      <c r="AT248" s="41">
        <f t="shared" si="85"/>
        <v>0.21160409556313994</v>
      </c>
      <c r="AU248" s="45">
        <v>42</v>
      </c>
      <c r="AV248" s="41">
        <f t="shared" si="104"/>
        <v>0.21</v>
      </c>
      <c r="AW248" s="45">
        <v>19</v>
      </c>
      <c r="AX248" s="41">
        <f t="shared" si="86"/>
        <v>6.4846416382252553E-2</v>
      </c>
      <c r="AY248" s="45">
        <v>14</v>
      </c>
      <c r="AZ248" s="41">
        <f t="shared" si="105"/>
        <v>7.0000000000000007E-2</v>
      </c>
      <c r="BA248" s="45">
        <v>15</v>
      </c>
      <c r="BB248" s="41">
        <f t="shared" si="87"/>
        <v>5.1194539249146756E-2</v>
      </c>
      <c r="BC248" s="45">
        <v>13</v>
      </c>
      <c r="BD248" s="41">
        <f t="shared" si="106"/>
        <v>6.5000000000000002E-2</v>
      </c>
      <c r="BE248" s="45">
        <v>293</v>
      </c>
      <c r="BF248" s="45">
        <v>200</v>
      </c>
    </row>
    <row r="249" spans="1:58" ht="15.75" customHeight="1" x14ac:dyDescent="0.25">
      <c r="A249" s="44">
        <v>2023</v>
      </c>
      <c r="B249" s="39">
        <v>171855</v>
      </c>
      <c r="C249" s="37" t="str">
        <f>VLOOKUP(B249,procv!$A$2:$D$142,4,FALSE)</f>
        <v>Bico do Papagaio</v>
      </c>
      <c r="D249" s="37" t="s">
        <v>113</v>
      </c>
      <c r="E249" s="45">
        <v>2</v>
      </c>
      <c r="F249" s="42">
        <f t="shared" si="88"/>
        <v>6.1349693251533744E-3</v>
      </c>
      <c r="G249" s="45">
        <v>3</v>
      </c>
      <c r="H249" s="42">
        <f t="shared" si="89"/>
        <v>1.507537688442211E-2</v>
      </c>
      <c r="I249" s="45">
        <v>10</v>
      </c>
      <c r="J249" s="41">
        <f t="shared" si="90"/>
        <v>3.0674846625766871E-2</v>
      </c>
      <c r="K249" s="45">
        <v>4</v>
      </c>
      <c r="L249" s="41">
        <f t="shared" si="91"/>
        <v>2.0100502512562814E-2</v>
      </c>
      <c r="M249" s="45">
        <v>290</v>
      </c>
      <c r="N249" s="41">
        <f t="shared" si="92"/>
        <v>0.88957055214723924</v>
      </c>
      <c r="O249" s="45">
        <v>172</v>
      </c>
      <c r="P249" s="41">
        <f t="shared" si="93"/>
        <v>0.86432160804020097</v>
      </c>
      <c r="Q249" s="45">
        <v>24</v>
      </c>
      <c r="R249" s="41">
        <f t="shared" si="94"/>
        <v>7.3619631901840496E-2</v>
      </c>
      <c r="S249" s="45">
        <v>20</v>
      </c>
      <c r="T249" s="41">
        <f t="shared" si="95"/>
        <v>0.10050251256281408</v>
      </c>
      <c r="U249" s="45">
        <v>9</v>
      </c>
      <c r="V249" s="41">
        <f t="shared" si="96"/>
        <v>2.7607361963190184E-2</v>
      </c>
      <c r="W249" s="45">
        <v>9</v>
      </c>
      <c r="X249" s="41">
        <f t="shared" si="97"/>
        <v>4.5226130653266333E-2</v>
      </c>
      <c r="Y249" s="45">
        <v>27</v>
      </c>
      <c r="Z249" s="41">
        <f t="shared" si="98"/>
        <v>8.2822085889570546E-2</v>
      </c>
      <c r="AA249" s="45">
        <v>13</v>
      </c>
      <c r="AB249" s="41">
        <f t="shared" si="99"/>
        <v>6.5326633165829151E-2</v>
      </c>
      <c r="AC249" s="45">
        <v>290</v>
      </c>
      <c r="AD249" s="41">
        <f t="shared" si="81"/>
        <v>0.88957055214723924</v>
      </c>
      <c r="AE249" s="45">
        <v>177</v>
      </c>
      <c r="AF249" s="41">
        <f t="shared" si="100"/>
        <v>0.88944723618090449</v>
      </c>
      <c r="AG249" s="45">
        <v>6</v>
      </c>
      <c r="AH249" s="41">
        <f t="shared" si="82"/>
        <v>1.8404907975460124E-2</v>
      </c>
      <c r="AI249" s="45">
        <v>7</v>
      </c>
      <c r="AJ249" s="41">
        <f t="shared" si="101"/>
        <v>3.5175879396984924E-2</v>
      </c>
      <c r="AK249" s="45">
        <v>20</v>
      </c>
      <c r="AL249" s="41">
        <f t="shared" si="83"/>
        <v>6.1349693251533742E-2</v>
      </c>
      <c r="AM249" s="45">
        <v>18</v>
      </c>
      <c r="AN249" s="41">
        <f t="shared" si="102"/>
        <v>9.0452261306532666E-2</v>
      </c>
      <c r="AO249" s="45">
        <v>210</v>
      </c>
      <c r="AP249" s="41">
        <f t="shared" si="84"/>
        <v>0.64417177914110424</v>
      </c>
      <c r="AQ249" s="45">
        <v>124</v>
      </c>
      <c r="AR249" s="41">
        <f t="shared" si="103"/>
        <v>0.62311557788944727</v>
      </c>
      <c r="AS249" s="45">
        <v>50</v>
      </c>
      <c r="AT249" s="41">
        <f t="shared" si="85"/>
        <v>0.15337423312883436</v>
      </c>
      <c r="AU249" s="45">
        <v>24</v>
      </c>
      <c r="AV249" s="41">
        <f t="shared" si="104"/>
        <v>0.12060301507537688</v>
      </c>
      <c r="AW249" s="45">
        <v>18</v>
      </c>
      <c r="AX249" s="41">
        <f t="shared" si="86"/>
        <v>5.5214723926380369E-2</v>
      </c>
      <c r="AY249" s="45">
        <v>8</v>
      </c>
      <c r="AZ249" s="41">
        <f t="shared" si="105"/>
        <v>4.0201005025125629E-2</v>
      </c>
      <c r="BA249" s="45">
        <v>22</v>
      </c>
      <c r="BB249" s="41">
        <f t="shared" si="87"/>
        <v>6.7484662576687116E-2</v>
      </c>
      <c r="BC249" s="45">
        <v>18</v>
      </c>
      <c r="BD249" s="41">
        <f t="shared" si="106"/>
        <v>9.0452261306532666E-2</v>
      </c>
      <c r="BE249" s="45">
        <v>326</v>
      </c>
      <c r="BF249" s="45">
        <v>199</v>
      </c>
    </row>
    <row r="250" spans="1:58" ht="15.75" customHeight="1" x14ac:dyDescent="0.25">
      <c r="A250" s="44">
        <v>2023</v>
      </c>
      <c r="B250" s="39">
        <v>171865</v>
      </c>
      <c r="C250" s="37" t="str">
        <f>VLOOKUP(B250,procv!$A$2:$D$142,4,FALSE)</f>
        <v>Sudeste</v>
      </c>
      <c r="D250" s="37" t="s">
        <v>114</v>
      </c>
      <c r="E250" s="45">
        <v>0</v>
      </c>
      <c r="F250" s="42">
        <f t="shared" si="88"/>
        <v>0</v>
      </c>
      <c r="G250" s="45">
        <v>0</v>
      </c>
      <c r="H250" s="42">
        <f t="shared" si="89"/>
        <v>0</v>
      </c>
      <c r="I250" s="45">
        <v>3</v>
      </c>
      <c r="J250" s="41">
        <f t="shared" si="90"/>
        <v>1.8749999999999999E-2</v>
      </c>
      <c r="K250" s="45">
        <v>3</v>
      </c>
      <c r="L250" s="41">
        <f t="shared" si="91"/>
        <v>3.8461538461538464E-2</v>
      </c>
      <c r="M250" s="45">
        <v>148</v>
      </c>
      <c r="N250" s="41">
        <f t="shared" si="92"/>
        <v>0.92500000000000004</v>
      </c>
      <c r="O250" s="45">
        <v>69</v>
      </c>
      <c r="P250" s="41">
        <f t="shared" si="93"/>
        <v>0.88461538461538458</v>
      </c>
      <c r="Q250" s="45">
        <v>9</v>
      </c>
      <c r="R250" s="41">
        <f t="shared" si="94"/>
        <v>5.6250000000000001E-2</v>
      </c>
      <c r="S250" s="45">
        <v>6</v>
      </c>
      <c r="T250" s="41">
        <f t="shared" si="95"/>
        <v>7.6923076923076927E-2</v>
      </c>
      <c r="U250" s="45">
        <v>9</v>
      </c>
      <c r="V250" s="41">
        <f t="shared" si="96"/>
        <v>5.6250000000000001E-2</v>
      </c>
      <c r="W250" s="45">
        <v>8</v>
      </c>
      <c r="X250" s="41">
        <f t="shared" si="97"/>
        <v>0.10256410256410256</v>
      </c>
      <c r="Y250" s="45">
        <v>8</v>
      </c>
      <c r="Z250" s="41">
        <f t="shared" si="98"/>
        <v>0.05</v>
      </c>
      <c r="AA250" s="45">
        <v>5</v>
      </c>
      <c r="AB250" s="41">
        <f t="shared" si="99"/>
        <v>6.4102564102564097E-2</v>
      </c>
      <c r="AC250" s="45">
        <v>143</v>
      </c>
      <c r="AD250" s="41">
        <f t="shared" si="81"/>
        <v>0.89375000000000004</v>
      </c>
      <c r="AE250" s="45">
        <v>65</v>
      </c>
      <c r="AF250" s="41">
        <f t="shared" si="100"/>
        <v>0.83333333333333337</v>
      </c>
      <c r="AG250" s="45">
        <v>2</v>
      </c>
      <c r="AH250" s="41">
        <f t="shared" si="82"/>
        <v>1.2500000000000001E-2</v>
      </c>
      <c r="AI250" s="45">
        <v>3</v>
      </c>
      <c r="AJ250" s="41">
        <f t="shared" si="101"/>
        <v>3.8461538461538464E-2</v>
      </c>
      <c r="AK250" s="45">
        <v>6</v>
      </c>
      <c r="AL250" s="41">
        <f t="shared" si="83"/>
        <v>3.7499999999999999E-2</v>
      </c>
      <c r="AM250" s="45">
        <v>5</v>
      </c>
      <c r="AN250" s="41">
        <f t="shared" si="102"/>
        <v>6.4102564102564097E-2</v>
      </c>
      <c r="AO250" s="45">
        <v>115</v>
      </c>
      <c r="AP250" s="41">
        <f t="shared" si="84"/>
        <v>0.71875</v>
      </c>
      <c r="AQ250" s="45">
        <v>52</v>
      </c>
      <c r="AR250" s="41">
        <f t="shared" si="103"/>
        <v>0.66666666666666663</v>
      </c>
      <c r="AS250" s="45">
        <v>18</v>
      </c>
      <c r="AT250" s="41">
        <f t="shared" si="85"/>
        <v>0.1125</v>
      </c>
      <c r="AU250" s="45">
        <v>6</v>
      </c>
      <c r="AV250" s="41">
        <f t="shared" si="104"/>
        <v>7.6923076923076927E-2</v>
      </c>
      <c r="AW250" s="45">
        <v>11</v>
      </c>
      <c r="AX250" s="41">
        <f t="shared" si="86"/>
        <v>6.8750000000000006E-2</v>
      </c>
      <c r="AY250" s="45">
        <v>5</v>
      </c>
      <c r="AZ250" s="41">
        <f t="shared" si="105"/>
        <v>6.4102564102564097E-2</v>
      </c>
      <c r="BA250" s="45">
        <v>8</v>
      </c>
      <c r="BB250" s="41">
        <f t="shared" si="87"/>
        <v>0.05</v>
      </c>
      <c r="BC250" s="45">
        <v>7</v>
      </c>
      <c r="BD250" s="41">
        <f t="shared" si="106"/>
        <v>8.9743589743589744E-2</v>
      </c>
      <c r="BE250" s="45">
        <v>160</v>
      </c>
      <c r="BF250" s="45">
        <v>78</v>
      </c>
    </row>
    <row r="251" spans="1:58" ht="15.75" customHeight="1" x14ac:dyDescent="0.25">
      <c r="A251" s="44">
        <v>2023</v>
      </c>
      <c r="B251" s="39">
        <v>171870</v>
      </c>
      <c r="C251" s="37" t="str">
        <f>VLOOKUP(B251,procv!$A$2:$D$142,4,FALSE)</f>
        <v>Capim Dourado</v>
      </c>
      <c r="D251" s="37" t="s">
        <v>115</v>
      </c>
      <c r="E251" s="45">
        <v>2</v>
      </c>
      <c r="F251" s="42">
        <f t="shared" si="88"/>
        <v>1.0752688172043012E-2</v>
      </c>
      <c r="G251" s="45">
        <v>2</v>
      </c>
      <c r="H251" s="42">
        <f t="shared" si="89"/>
        <v>1.7241379310344827E-2</v>
      </c>
      <c r="I251" s="45">
        <v>6</v>
      </c>
      <c r="J251" s="41">
        <f t="shared" si="90"/>
        <v>3.2258064516129031E-2</v>
      </c>
      <c r="K251" s="45">
        <v>5</v>
      </c>
      <c r="L251" s="41">
        <f t="shared" si="91"/>
        <v>4.3103448275862072E-2</v>
      </c>
      <c r="M251" s="45">
        <v>170</v>
      </c>
      <c r="N251" s="41">
        <f t="shared" si="92"/>
        <v>0.91397849462365588</v>
      </c>
      <c r="O251" s="45">
        <v>106</v>
      </c>
      <c r="P251" s="41">
        <f t="shared" si="93"/>
        <v>0.91379310344827591</v>
      </c>
      <c r="Q251" s="45">
        <v>8</v>
      </c>
      <c r="R251" s="41">
        <f t="shared" si="94"/>
        <v>4.3010752688172046E-2</v>
      </c>
      <c r="S251" s="45">
        <v>3</v>
      </c>
      <c r="T251" s="41">
        <f t="shared" si="95"/>
        <v>2.5862068965517241E-2</v>
      </c>
      <c r="U251" s="45">
        <v>10</v>
      </c>
      <c r="V251" s="41">
        <f t="shared" si="96"/>
        <v>5.3763440860215055E-2</v>
      </c>
      <c r="W251" s="45">
        <v>10</v>
      </c>
      <c r="X251" s="41">
        <f t="shared" si="97"/>
        <v>8.6206896551724144E-2</v>
      </c>
      <c r="Y251" s="45">
        <v>13</v>
      </c>
      <c r="Z251" s="41">
        <f t="shared" si="98"/>
        <v>6.9892473118279563E-2</v>
      </c>
      <c r="AA251" s="45">
        <v>9</v>
      </c>
      <c r="AB251" s="41">
        <f t="shared" si="99"/>
        <v>7.7586206896551727E-2</v>
      </c>
      <c r="AC251" s="45">
        <v>163</v>
      </c>
      <c r="AD251" s="41">
        <f t="shared" si="81"/>
        <v>0.87634408602150538</v>
      </c>
      <c r="AE251" s="45">
        <v>97</v>
      </c>
      <c r="AF251" s="41">
        <f t="shared" si="100"/>
        <v>0.83620689655172409</v>
      </c>
      <c r="AG251" s="45">
        <v>4</v>
      </c>
      <c r="AH251" s="41">
        <f t="shared" si="82"/>
        <v>2.1505376344086023E-2</v>
      </c>
      <c r="AI251" s="45">
        <v>6</v>
      </c>
      <c r="AJ251" s="41">
        <f t="shared" si="101"/>
        <v>5.1724137931034482E-2</v>
      </c>
      <c r="AK251" s="45">
        <v>6</v>
      </c>
      <c r="AL251" s="41">
        <f t="shared" si="83"/>
        <v>3.2258064516129031E-2</v>
      </c>
      <c r="AM251" s="45">
        <v>6</v>
      </c>
      <c r="AN251" s="41">
        <f t="shared" si="102"/>
        <v>5.1724137931034482E-2</v>
      </c>
      <c r="AO251" s="45">
        <v>127</v>
      </c>
      <c r="AP251" s="41">
        <f t="shared" si="84"/>
        <v>0.68279569892473113</v>
      </c>
      <c r="AQ251" s="45">
        <v>73</v>
      </c>
      <c r="AR251" s="41">
        <f t="shared" si="103"/>
        <v>0.62931034482758619</v>
      </c>
      <c r="AS251" s="45">
        <v>30</v>
      </c>
      <c r="AT251" s="41">
        <f t="shared" si="85"/>
        <v>0.16129032258064516</v>
      </c>
      <c r="AU251" s="45">
        <v>16</v>
      </c>
      <c r="AV251" s="41">
        <f t="shared" si="104"/>
        <v>0.13793103448275862</v>
      </c>
      <c r="AW251" s="45">
        <v>9</v>
      </c>
      <c r="AX251" s="41">
        <f t="shared" si="86"/>
        <v>4.8387096774193547E-2</v>
      </c>
      <c r="AY251" s="45">
        <v>7</v>
      </c>
      <c r="AZ251" s="41">
        <f t="shared" si="105"/>
        <v>6.0344827586206899E-2</v>
      </c>
      <c r="BA251" s="45">
        <v>10</v>
      </c>
      <c r="BB251" s="41">
        <f t="shared" si="87"/>
        <v>5.3763440860215055E-2</v>
      </c>
      <c r="BC251" s="45">
        <v>8</v>
      </c>
      <c r="BD251" s="41">
        <f t="shared" si="106"/>
        <v>6.8965517241379309E-2</v>
      </c>
      <c r="BE251" s="45">
        <v>186</v>
      </c>
      <c r="BF251" s="45">
        <v>116</v>
      </c>
    </row>
    <row r="252" spans="1:58" ht="15.75" customHeight="1" x14ac:dyDescent="0.25">
      <c r="A252" s="44">
        <v>2023</v>
      </c>
      <c r="B252" s="39">
        <v>171875</v>
      </c>
      <c r="C252" s="37" t="str">
        <f>VLOOKUP(B252,procv!$A$2:$D$142,4,FALSE)</f>
        <v>Capim Dourado</v>
      </c>
      <c r="D252" s="37" t="s">
        <v>116</v>
      </c>
      <c r="E252" s="45">
        <v>4</v>
      </c>
      <c r="F252" s="42">
        <f t="shared" si="88"/>
        <v>1.0282776349614395E-2</v>
      </c>
      <c r="G252" s="45">
        <v>4</v>
      </c>
      <c r="H252" s="42">
        <f t="shared" si="89"/>
        <v>1.444043321299639E-2</v>
      </c>
      <c r="I252" s="45">
        <v>22</v>
      </c>
      <c r="J252" s="41">
        <f t="shared" si="90"/>
        <v>5.6555269922879174E-2</v>
      </c>
      <c r="K252" s="45">
        <v>19</v>
      </c>
      <c r="L252" s="41">
        <f t="shared" si="91"/>
        <v>6.8592057761732855E-2</v>
      </c>
      <c r="M252" s="45">
        <v>352</v>
      </c>
      <c r="N252" s="41">
        <f t="shared" si="92"/>
        <v>0.90488431876606679</v>
      </c>
      <c r="O252" s="45">
        <v>246</v>
      </c>
      <c r="P252" s="41">
        <f t="shared" si="93"/>
        <v>0.88808664259927794</v>
      </c>
      <c r="Q252" s="45">
        <v>11</v>
      </c>
      <c r="R252" s="41">
        <f t="shared" si="94"/>
        <v>2.8277634961439587E-2</v>
      </c>
      <c r="S252" s="45">
        <v>8</v>
      </c>
      <c r="T252" s="41">
        <f t="shared" si="95"/>
        <v>2.8880866425992781E-2</v>
      </c>
      <c r="U252" s="45">
        <v>37</v>
      </c>
      <c r="V252" s="41">
        <f t="shared" si="96"/>
        <v>9.5115681233933158E-2</v>
      </c>
      <c r="W252" s="45">
        <v>22</v>
      </c>
      <c r="X252" s="41">
        <f t="shared" si="97"/>
        <v>7.9422382671480149E-2</v>
      </c>
      <c r="Y252" s="45">
        <v>45</v>
      </c>
      <c r="Z252" s="41">
        <f t="shared" si="98"/>
        <v>0.11568123393316196</v>
      </c>
      <c r="AA252" s="45">
        <v>30</v>
      </c>
      <c r="AB252" s="41">
        <f t="shared" si="99"/>
        <v>0.10830324909747292</v>
      </c>
      <c r="AC252" s="45">
        <v>307</v>
      </c>
      <c r="AD252" s="41">
        <f t="shared" si="81"/>
        <v>0.78920308483290491</v>
      </c>
      <c r="AE252" s="45">
        <v>225</v>
      </c>
      <c r="AF252" s="41">
        <f t="shared" si="100"/>
        <v>0.81227436823104693</v>
      </c>
      <c r="AG252" s="45">
        <v>12</v>
      </c>
      <c r="AH252" s="41">
        <f t="shared" si="82"/>
        <v>3.0848329048843187E-2</v>
      </c>
      <c r="AI252" s="45">
        <v>16</v>
      </c>
      <c r="AJ252" s="41">
        <f t="shared" si="101"/>
        <v>5.7761732851985562E-2</v>
      </c>
      <c r="AK252" s="45">
        <v>20</v>
      </c>
      <c r="AL252" s="41">
        <f t="shared" si="83"/>
        <v>5.1413881748071981E-2</v>
      </c>
      <c r="AM252" s="45">
        <v>21</v>
      </c>
      <c r="AN252" s="41">
        <f t="shared" si="102"/>
        <v>7.5812274368231042E-2</v>
      </c>
      <c r="AO252" s="45">
        <v>243</v>
      </c>
      <c r="AP252" s="41">
        <f t="shared" si="84"/>
        <v>0.62467866323907451</v>
      </c>
      <c r="AQ252" s="45">
        <v>177</v>
      </c>
      <c r="AR252" s="41">
        <f t="shared" si="103"/>
        <v>0.63898916967509023</v>
      </c>
      <c r="AS252" s="45">
        <v>71</v>
      </c>
      <c r="AT252" s="41">
        <f t="shared" si="85"/>
        <v>0.18251928020565553</v>
      </c>
      <c r="AU252" s="45">
        <v>32</v>
      </c>
      <c r="AV252" s="41">
        <f t="shared" si="104"/>
        <v>0.11552346570397112</v>
      </c>
      <c r="AW252" s="45">
        <v>27</v>
      </c>
      <c r="AX252" s="41">
        <f t="shared" si="86"/>
        <v>6.9408740359897178E-2</v>
      </c>
      <c r="AY252" s="45">
        <v>17</v>
      </c>
      <c r="AZ252" s="41">
        <f t="shared" si="105"/>
        <v>6.1371841155234655E-2</v>
      </c>
      <c r="BA252" s="45">
        <v>16</v>
      </c>
      <c r="BB252" s="41">
        <f t="shared" si="87"/>
        <v>4.1131105398457581E-2</v>
      </c>
      <c r="BC252" s="45">
        <v>14</v>
      </c>
      <c r="BD252" s="41">
        <f t="shared" si="106"/>
        <v>5.0541516245487361E-2</v>
      </c>
      <c r="BE252" s="45">
        <v>389</v>
      </c>
      <c r="BF252" s="45">
        <v>277</v>
      </c>
    </row>
    <row r="253" spans="1:58" ht="15.75" customHeight="1" x14ac:dyDescent="0.25">
      <c r="A253" s="44">
        <v>2023</v>
      </c>
      <c r="B253" s="39">
        <v>171880</v>
      </c>
      <c r="C253" s="37" t="str">
        <f>VLOOKUP(B253,procv!$A$2:$D$142,4,FALSE)</f>
        <v>Bico do Papagaio</v>
      </c>
      <c r="D253" s="37" t="s">
        <v>117</v>
      </c>
      <c r="E253" s="45">
        <v>5</v>
      </c>
      <c r="F253" s="42">
        <f t="shared" si="88"/>
        <v>1.0940919037199124E-2</v>
      </c>
      <c r="G253" s="45">
        <v>4</v>
      </c>
      <c r="H253" s="42">
        <f t="shared" si="89"/>
        <v>1.3157894736842105E-2</v>
      </c>
      <c r="I253" s="45">
        <v>20</v>
      </c>
      <c r="J253" s="41">
        <f t="shared" si="90"/>
        <v>4.3763676148796497E-2</v>
      </c>
      <c r="K253" s="45">
        <v>16</v>
      </c>
      <c r="L253" s="41">
        <f t="shared" si="91"/>
        <v>5.2631578947368418E-2</v>
      </c>
      <c r="M253" s="45">
        <v>412</v>
      </c>
      <c r="N253" s="41">
        <f t="shared" si="92"/>
        <v>0.90153172866520792</v>
      </c>
      <c r="O253" s="45">
        <v>271</v>
      </c>
      <c r="P253" s="41">
        <f t="shared" si="93"/>
        <v>0.89144736842105265</v>
      </c>
      <c r="Q253" s="45">
        <v>20</v>
      </c>
      <c r="R253" s="41">
        <f t="shared" si="94"/>
        <v>4.3763676148796497E-2</v>
      </c>
      <c r="S253" s="45">
        <v>13</v>
      </c>
      <c r="T253" s="41">
        <f t="shared" si="95"/>
        <v>4.2763157894736843E-2</v>
      </c>
      <c r="U253" s="45">
        <v>33</v>
      </c>
      <c r="V253" s="41">
        <f t="shared" si="96"/>
        <v>7.2210065645514229E-2</v>
      </c>
      <c r="W253" s="45">
        <v>27</v>
      </c>
      <c r="X253" s="41">
        <f t="shared" si="97"/>
        <v>8.8815789473684209E-2</v>
      </c>
      <c r="Y253" s="45">
        <v>34</v>
      </c>
      <c r="Z253" s="41">
        <f t="shared" si="98"/>
        <v>7.4398249452954049E-2</v>
      </c>
      <c r="AA253" s="45">
        <v>27</v>
      </c>
      <c r="AB253" s="41">
        <f t="shared" si="99"/>
        <v>8.8815789473684209E-2</v>
      </c>
      <c r="AC253" s="45">
        <v>390</v>
      </c>
      <c r="AD253" s="41">
        <f t="shared" si="81"/>
        <v>0.85339168490153172</v>
      </c>
      <c r="AE253" s="45">
        <v>250</v>
      </c>
      <c r="AF253" s="41">
        <f t="shared" si="100"/>
        <v>0.82236842105263153</v>
      </c>
      <c r="AG253" s="45">
        <v>14</v>
      </c>
      <c r="AH253" s="41">
        <f t="shared" si="82"/>
        <v>3.0634573304157548E-2</v>
      </c>
      <c r="AI253" s="45">
        <v>16</v>
      </c>
      <c r="AJ253" s="41">
        <f t="shared" si="101"/>
        <v>5.2631578947368418E-2</v>
      </c>
      <c r="AK253" s="45">
        <v>28</v>
      </c>
      <c r="AL253" s="41">
        <f t="shared" si="83"/>
        <v>6.1269146608315096E-2</v>
      </c>
      <c r="AM253" s="45">
        <v>21</v>
      </c>
      <c r="AN253" s="41">
        <f t="shared" si="102"/>
        <v>6.9078947368421059E-2</v>
      </c>
      <c r="AO253" s="45">
        <v>292</v>
      </c>
      <c r="AP253" s="41">
        <f t="shared" si="84"/>
        <v>0.6389496717724289</v>
      </c>
      <c r="AQ253" s="45">
        <v>197</v>
      </c>
      <c r="AR253" s="41">
        <f t="shared" si="103"/>
        <v>0.64802631578947367</v>
      </c>
      <c r="AS253" s="45">
        <v>71</v>
      </c>
      <c r="AT253" s="41">
        <f t="shared" si="85"/>
        <v>0.15536105032822758</v>
      </c>
      <c r="AU253" s="45">
        <v>31</v>
      </c>
      <c r="AV253" s="41">
        <f t="shared" si="104"/>
        <v>0.10197368421052631</v>
      </c>
      <c r="AW253" s="45">
        <v>34</v>
      </c>
      <c r="AX253" s="41">
        <f t="shared" si="86"/>
        <v>7.4398249452954049E-2</v>
      </c>
      <c r="AY253" s="45">
        <v>28</v>
      </c>
      <c r="AZ253" s="41">
        <f t="shared" si="105"/>
        <v>9.2105263157894732E-2</v>
      </c>
      <c r="BA253" s="45">
        <v>18</v>
      </c>
      <c r="BB253" s="41">
        <f t="shared" si="87"/>
        <v>3.9387308533916851E-2</v>
      </c>
      <c r="BC253" s="45">
        <v>11</v>
      </c>
      <c r="BD253" s="41">
        <f t="shared" si="106"/>
        <v>3.6184210526315791E-2</v>
      </c>
      <c r="BE253" s="45">
        <v>457</v>
      </c>
      <c r="BF253" s="45">
        <v>304</v>
      </c>
    </row>
    <row r="254" spans="1:58" ht="15.75" customHeight="1" x14ac:dyDescent="0.25">
      <c r="A254" s="44">
        <v>2023</v>
      </c>
      <c r="B254" s="39">
        <v>171884</v>
      </c>
      <c r="C254" s="37" t="str">
        <f>VLOOKUP(B254,procv!$A$2:$D$142,4,FALSE)</f>
        <v>Ilha do Bananal</v>
      </c>
      <c r="D254" s="37" t="s">
        <v>118</v>
      </c>
      <c r="E254" s="45">
        <v>2</v>
      </c>
      <c r="F254" s="42">
        <f t="shared" si="88"/>
        <v>7.8431372549019607E-3</v>
      </c>
      <c r="G254" s="45">
        <v>2</v>
      </c>
      <c r="H254" s="42">
        <f t="shared" si="89"/>
        <v>1.2048192771084338E-2</v>
      </c>
      <c r="I254" s="45">
        <v>6</v>
      </c>
      <c r="J254" s="41">
        <f t="shared" si="90"/>
        <v>2.3529411764705882E-2</v>
      </c>
      <c r="K254" s="45">
        <v>4</v>
      </c>
      <c r="L254" s="41">
        <f t="shared" si="91"/>
        <v>2.4096385542168676E-2</v>
      </c>
      <c r="M254" s="45">
        <v>230</v>
      </c>
      <c r="N254" s="41">
        <f t="shared" si="92"/>
        <v>0.90196078431372551</v>
      </c>
      <c r="O254" s="45">
        <v>145</v>
      </c>
      <c r="P254" s="41">
        <f t="shared" si="93"/>
        <v>0.87349397590361444</v>
      </c>
      <c r="Q254" s="45">
        <v>17</v>
      </c>
      <c r="R254" s="41">
        <f t="shared" si="94"/>
        <v>6.6666666666666666E-2</v>
      </c>
      <c r="S254" s="45">
        <v>15</v>
      </c>
      <c r="T254" s="41">
        <f t="shared" si="95"/>
        <v>9.036144578313253E-2</v>
      </c>
      <c r="U254" s="45">
        <v>9</v>
      </c>
      <c r="V254" s="41">
        <f t="shared" si="96"/>
        <v>3.5294117647058823E-2</v>
      </c>
      <c r="W254" s="45">
        <v>8</v>
      </c>
      <c r="X254" s="41">
        <f t="shared" si="97"/>
        <v>4.8192771084337352E-2</v>
      </c>
      <c r="Y254" s="45">
        <v>21</v>
      </c>
      <c r="Z254" s="41">
        <f t="shared" si="98"/>
        <v>8.2352941176470587E-2</v>
      </c>
      <c r="AA254" s="45">
        <v>17</v>
      </c>
      <c r="AB254" s="41">
        <f t="shared" si="99"/>
        <v>0.10240963855421686</v>
      </c>
      <c r="AC254" s="45">
        <v>225</v>
      </c>
      <c r="AD254" s="41">
        <f t="shared" si="81"/>
        <v>0.88235294117647056</v>
      </c>
      <c r="AE254" s="45">
        <v>141</v>
      </c>
      <c r="AF254" s="41">
        <f t="shared" si="100"/>
        <v>0.8493975903614458</v>
      </c>
      <c r="AG254" s="45">
        <v>9</v>
      </c>
      <c r="AH254" s="41">
        <f t="shared" si="82"/>
        <v>3.5294117647058823E-2</v>
      </c>
      <c r="AI254" s="45">
        <v>8</v>
      </c>
      <c r="AJ254" s="41">
        <f t="shared" si="101"/>
        <v>4.8192771084337352E-2</v>
      </c>
      <c r="AK254" s="45">
        <v>9</v>
      </c>
      <c r="AL254" s="41">
        <f t="shared" si="83"/>
        <v>3.5294117647058823E-2</v>
      </c>
      <c r="AM254" s="45">
        <v>4</v>
      </c>
      <c r="AN254" s="41">
        <f t="shared" si="102"/>
        <v>2.4096385542168676E-2</v>
      </c>
      <c r="AO254" s="45">
        <v>170</v>
      </c>
      <c r="AP254" s="41">
        <f t="shared" si="84"/>
        <v>0.66666666666666663</v>
      </c>
      <c r="AQ254" s="45">
        <v>111</v>
      </c>
      <c r="AR254" s="41">
        <f t="shared" si="103"/>
        <v>0.66867469879518071</v>
      </c>
      <c r="AS254" s="45">
        <v>42</v>
      </c>
      <c r="AT254" s="41">
        <f t="shared" si="85"/>
        <v>0.16470588235294117</v>
      </c>
      <c r="AU254" s="45">
        <v>26</v>
      </c>
      <c r="AV254" s="41">
        <f t="shared" si="104"/>
        <v>0.15662650602409639</v>
      </c>
      <c r="AW254" s="45">
        <v>15</v>
      </c>
      <c r="AX254" s="41">
        <f t="shared" si="86"/>
        <v>5.8823529411764705E-2</v>
      </c>
      <c r="AY254" s="45">
        <v>10</v>
      </c>
      <c r="AZ254" s="41">
        <f t="shared" si="105"/>
        <v>6.0240963855421686E-2</v>
      </c>
      <c r="BA254" s="45">
        <v>10</v>
      </c>
      <c r="BB254" s="41">
        <f t="shared" si="87"/>
        <v>3.9215686274509803E-2</v>
      </c>
      <c r="BC254" s="45">
        <v>7</v>
      </c>
      <c r="BD254" s="41">
        <f t="shared" si="106"/>
        <v>4.2168674698795178E-2</v>
      </c>
      <c r="BE254" s="45">
        <v>255</v>
      </c>
      <c r="BF254" s="45">
        <v>166</v>
      </c>
    </row>
    <row r="255" spans="1:58" ht="15.75" customHeight="1" x14ac:dyDescent="0.25">
      <c r="A255" s="44">
        <v>2023</v>
      </c>
      <c r="B255" s="39">
        <v>171886</v>
      </c>
      <c r="C255" s="37" t="str">
        <f>VLOOKUP(B255,procv!$A$2:$D$142,4,FALSE)</f>
        <v>Médio Norte Araguaia</v>
      </c>
      <c r="D255" s="37" t="s">
        <v>119</v>
      </c>
      <c r="E255" s="45">
        <v>7</v>
      </c>
      <c r="F255" s="42">
        <f t="shared" si="88"/>
        <v>1.2727272727272728E-2</v>
      </c>
      <c r="G255" s="45">
        <v>5</v>
      </c>
      <c r="H255" s="42">
        <f t="shared" si="89"/>
        <v>1.7006802721088437E-2</v>
      </c>
      <c r="I255" s="45">
        <v>16</v>
      </c>
      <c r="J255" s="41">
        <f t="shared" si="90"/>
        <v>2.9090909090909091E-2</v>
      </c>
      <c r="K255" s="45">
        <v>10</v>
      </c>
      <c r="L255" s="41">
        <f t="shared" si="91"/>
        <v>3.4013605442176874E-2</v>
      </c>
      <c r="M255" s="45">
        <v>504</v>
      </c>
      <c r="N255" s="41">
        <f t="shared" si="92"/>
        <v>0.91636363636363638</v>
      </c>
      <c r="O255" s="45">
        <v>263</v>
      </c>
      <c r="P255" s="41">
        <f t="shared" si="93"/>
        <v>0.89455782312925169</v>
      </c>
      <c r="Q255" s="45">
        <v>23</v>
      </c>
      <c r="R255" s="41">
        <f t="shared" si="94"/>
        <v>4.1818181818181817E-2</v>
      </c>
      <c r="S255" s="45">
        <v>16</v>
      </c>
      <c r="T255" s="41">
        <f t="shared" si="95"/>
        <v>5.4421768707482991E-2</v>
      </c>
      <c r="U255" s="45">
        <v>52</v>
      </c>
      <c r="V255" s="41">
        <f t="shared" si="96"/>
        <v>9.4545454545454544E-2</v>
      </c>
      <c r="W255" s="45">
        <v>48</v>
      </c>
      <c r="X255" s="41">
        <f t="shared" si="97"/>
        <v>0.16326530612244897</v>
      </c>
      <c r="Y255" s="45">
        <v>45</v>
      </c>
      <c r="Z255" s="41">
        <f t="shared" si="98"/>
        <v>8.1818181818181818E-2</v>
      </c>
      <c r="AA255" s="45">
        <v>27</v>
      </c>
      <c r="AB255" s="41">
        <f t="shared" si="99"/>
        <v>9.1836734693877556E-2</v>
      </c>
      <c r="AC255" s="45">
        <v>453</v>
      </c>
      <c r="AD255" s="41">
        <f t="shared" si="81"/>
        <v>0.82363636363636361</v>
      </c>
      <c r="AE255" s="45">
        <v>219</v>
      </c>
      <c r="AF255" s="41">
        <f t="shared" si="100"/>
        <v>0.74489795918367352</v>
      </c>
      <c r="AG255" s="45">
        <v>11</v>
      </c>
      <c r="AH255" s="41">
        <f t="shared" si="82"/>
        <v>0.02</v>
      </c>
      <c r="AI255" s="45">
        <v>5</v>
      </c>
      <c r="AJ255" s="41">
        <f t="shared" si="101"/>
        <v>1.7006802721088437E-2</v>
      </c>
      <c r="AK255" s="45">
        <v>12</v>
      </c>
      <c r="AL255" s="41">
        <f t="shared" si="83"/>
        <v>2.181818181818182E-2</v>
      </c>
      <c r="AM255" s="45">
        <v>12</v>
      </c>
      <c r="AN255" s="41">
        <f t="shared" si="102"/>
        <v>4.0816326530612242E-2</v>
      </c>
      <c r="AO255" s="45">
        <v>329</v>
      </c>
      <c r="AP255" s="41">
        <f t="shared" si="84"/>
        <v>0.59818181818181815</v>
      </c>
      <c r="AQ255" s="45">
        <v>166</v>
      </c>
      <c r="AR255" s="41">
        <f t="shared" si="103"/>
        <v>0.56462585034013602</v>
      </c>
      <c r="AS255" s="45">
        <v>100</v>
      </c>
      <c r="AT255" s="41">
        <f t="shared" si="85"/>
        <v>0.18181818181818182</v>
      </c>
      <c r="AU255" s="45">
        <v>40</v>
      </c>
      <c r="AV255" s="41">
        <f t="shared" si="104"/>
        <v>0.1360544217687075</v>
      </c>
      <c r="AW255" s="45">
        <v>52</v>
      </c>
      <c r="AX255" s="41">
        <f t="shared" si="86"/>
        <v>9.4545454545454544E-2</v>
      </c>
      <c r="AY255" s="45">
        <v>31</v>
      </c>
      <c r="AZ255" s="41">
        <f t="shared" si="105"/>
        <v>0.10544217687074831</v>
      </c>
      <c r="BA255" s="45">
        <v>46</v>
      </c>
      <c r="BB255" s="41">
        <f t="shared" si="87"/>
        <v>8.3636363636363634E-2</v>
      </c>
      <c r="BC255" s="45">
        <v>40</v>
      </c>
      <c r="BD255" s="41">
        <f t="shared" si="106"/>
        <v>0.1360544217687075</v>
      </c>
      <c r="BE255" s="45">
        <v>550</v>
      </c>
      <c r="BF255" s="45">
        <v>294</v>
      </c>
    </row>
    <row r="256" spans="1:58" ht="15.75" customHeight="1" x14ac:dyDescent="0.25">
      <c r="A256" s="44">
        <v>2023</v>
      </c>
      <c r="B256" s="39">
        <v>171888</v>
      </c>
      <c r="C256" s="37" t="str">
        <f>VLOOKUP(B256,procv!$A$2:$D$142,4,FALSE)</f>
        <v>Cerrado Tocantins Araguaia</v>
      </c>
      <c r="D256" s="37" t="s">
        <v>120</v>
      </c>
      <c r="E256" s="45">
        <v>1</v>
      </c>
      <c r="F256" s="42">
        <f t="shared" si="88"/>
        <v>5.1282051282051282E-3</v>
      </c>
      <c r="G256" s="45">
        <v>1</v>
      </c>
      <c r="H256" s="42">
        <f t="shared" si="89"/>
        <v>2.3255813953488372E-2</v>
      </c>
      <c r="I256" s="45">
        <v>4</v>
      </c>
      <c r="J256" s="41">
        <f t="shared" si="90"/>
        <v>2.0512820512820513E-2</v>
      </c>
      <c r="K256" s="45">
        <v>1</v>
      </c>
      <c r="L256" s="41">
        <f t="shared" si="91"/>
        <v>2.3255813953488372E-2</v>
      </c>
      <c r="M256" s="45">
        <v>182</v>
      </c>
      <c r="N256" s="41">
        <f t="shared" si="92"/>
        <v>0.93333333333333335</v>
      </c>
      <c r="O256" s="45">
        <v>39</v>
      </c>
      <c r="P256" s="41">
        <f t="shared" si="93"/>
        <v>0.90697674418604646</v>
      </c>
      <c r="Q256" s="45">
        <v>8</v>
      </c>
      <c r="R256" s="41">
        <f t="shared" si="94"/>
        <v>4.1025641025641026E-2</v>
      </c>
      <c r="S256" s="45">
        <v>2</v>
      </c>
      <c r="T256" s="41">
        <f t="shared" si="95"/>
        <v>4.6511627906976744E-2</v>
      </c>
      <c r="U256" s="45">
        <v>12</v>
      </c>
      <c r="V256" s="41">
        <f t="shared" si="96"/>
        <v>6.1538461538461542E-2</v>
      </c>
      <c r="W256" s="45">
        <v>7</v>
      </c>
      <c r="X256" s="41">
        <f t="shared" si="97"/>
        <v>0.16279069767441862</v>
      </c>
      <c r="Y256" s="45">
        <v>21</v>
      </c>
      <c r="Z256" s="41">
        <f t="shared" si="98"/>
        <v>0.1076923076923077</v>
      </c>
      <c r="AA256" s="45">
        <v>8</v>
      </c>
      <c r="AB256" s="41">
        <f t="shared" si="99"/>
        <v>0.18604651162790697</v>
      </c>
      <c r="AC256" s="45">
        <v>161</v>
      </c>
      <c r="AD256" s="41">
        <f t="shared" ref="AD256:AD287" si="107">IFERROR(AC256/$BE256,0)</f>
        <v>0.82564102564102559</v>
      </c>
      <c r="AE256" s="45">
        <v>26</v>
      </c>
      <c r="AF256" s="41">
        <f t="shared" si="100"/>
        <v>0.60465116279069764</v>
      </c>
      <c r="AG256" s="45">
        <v>5</v>
      </c>
      <c r="AH256" s="41">
        <f t="shared" ref="AH256:AH287" si="108">IFERROR(AG256/$BE256,0)</f>
        <v>2.564102564102564E-2</v>
      </c>
      <c r="AI256" s="45">
        <v>4</v>
      </c>
      <c r="AJ256" s="41">
        <f t="shared" si="101"/>
        <v>9.3023255813953487E-2</v>
      </c>
      <c r="AK256" s="45">
        <v>3</v>
      </c>
      <c r="AL256" s="41">
        <f t="shared" ref="AL256:AL287" si="109">IFERROR(AK256/$BE256,0)</f>
        <v>1.5384615384615385E-2</v>
      </c>
      <c r="AM256" s="45">
        <v>1</v>
      </c>
      <c r="AN256" s="41">
        <f t="shared" si="102"/>
        <v>2.3255813953488372E-2</v>
      </c>
      <c r="AO256" s="45">
        <v>122</v>
      </c>
      <c r="AP256" s="41">
        <f t="shared" ref="AP256:AP287" si="110">IFERROR(AO256/$BE256,0)</f>
        <v>0.62564102564102564</v>
      </c>
      <c r="AQ256" s="45">
        <v>27</v>
      </c>
      <c r="AR256" s="41">
        <f t="shared" si="103"/>
        <v>0.62790697674418605</v>
      </c>
      <c r="AS256" s="45">
        <v>39</v>
      </c>
      <c r="AT256" s="41">
        <f t="shared" ref="AT256:AT287" si="111">IFERROR(AS256/$BE256,0)</f>
        <v>0.2</v>
      </c>
      <c r="AU256" s="45">
        <v>7</v>
      </c>
      <c r="AV256" s="41">
        <f t="shared" si="104"/>
        <v>0.16279069767441862</v>
      </c>
      <c r="AW256" s="45">
        <v>16</v>
      </c>
      <c r="AX256" s="41">
        <f t="shared" ref="AX256:AX287" si="112">IFERROR(AW256/$BE256,0)</f>
        <v>8.2051282051282051E-2</v>
      </c>
      <c r="AY256" s="45">
        <v>1</v>
      </c>
      <c r="AZ256" s="41">
        <f t="shared" si="105"/>
        <v>2.3255813953488372E-2</v>
      </c>
      <c r="BA256" s="45">
        <v>10</v>
      </c>
      <c r="BB256" s="41">
        <f t="shared" ref="BB256:BB287" si="113">IFERROR(BA256/$BE256,0)</f>
        <v>5.128205128205128E-2</v>
      </c>
      <c r="BC256" s="45">
        <v>3</v>
      </c>
      <c r="BD256" s="41">
        <f t="shared" si="106"/>
        <v>6.9767441860465115E-2</v>
      </c>
      <c r="BE256" s="45">
        <v>195</v>
      </c>
      <c r="BF256" s="45">
        <v>43</v>
      </c>
    </row>
    <row r="257" spans="1:58" ht="15.75" customHeight="1" x14ac:dyDescent="0.25">
      <c r="A257" s="44">
        <v>2023</v>
      </c>
      <c r="B257" s="39">
        <v>171889</v>
      </c>
      <c r="C257" s="37" t="str">
        <f>VLOOKUP(B257,procv!$A$2:$D$142,4,FALSE)</f>
        <v>Ilha do Bananal</v>
      </c>
      <c r="D257" s="37" t="s">
        <v>121</v>
      </c>
      <c r="E257" s="45">
        <v>2</v>
      </c>
      <c r="F257" s="42">
        <f t="shared" si="88"/>
        <v>1.5748031496062992E-2</v>
      </c>
      <c r="G257" s="45">
        <v>0</v>
      </c>
      <c r="H257" s="42">
        <f t="shared" si="89"/>
        <v>0</v>
      </c>
      <c r="I257" s="45">
        <v>5</v>
      </c>
      <c r="J257" s="41">
        <f t="shared" si="90"/>
        <v>3.937007874015748E-2</v>
      </c>
      <c r="K257" s="45">
        <v>2</v>
      </c>
      <c r="L257" s="41">
        <f t="shared" si="91"/>
        <v>5.5555555555555552E-2</v>
      </c>
      <c r="M257" s="45">
        <v>114</v>
      </c>
      <c r="N257" s="41">
        <f t="shared" si="92"/>
        <v>0.89763779527559051</v>
      </c>
      <c r="O257" s="45">
        <v>31</v>
      </c>
      <c r="P257" s="41">
        <f t="shared" si="93"/>
        <v>0.86111111111111116</v>
      </c>
      <c r="Q257" s="45">
        <v>6</v>
      </c>
      <c r="R257" s="41">
        <f t="shared" si="94"/>
        <v>4.7244094488188976E-2</v>
      </c>
      <c r="S257" s="45">
        <v>3</v>
      </c>
      <c r="T257" s="41">
        <f t="shared" si="95"/>
        <v>8.3333333333333329E-2</v>
      </c>
      <c r="U257" s="45">
        <v>3</v>
      </c>
      <c r="V257" s="41">
        <f t="shared" si="96"/>
        <v>2.3622047244094488E-2</v>
      </c>
      <c r="W257" s="45">
        <v>0</v>
      </c>
      <c r="X257" s="41">
        <f t="shared" si="97"/>
        <v>0</v>
      </c>
      <c r="Y257" s="45">
        <v>10</v>
      </c>
      <c r="Z257" s="41">
        <f t="shared" si="98"/>
        <v>7.874015748031496E-2</v>
      </c>
      <c r="AA257" s="45">
        <v>2</v>
      </c>
      <c r="AB257" s="41">
        <f t="shared" si="99"/>
        <v>5.5555555555555552E-2</v>
      </c>
      <c r="AC257" s="45">
        <v>114</v>
      </c>
      <c r="AD257" s="41">
        <f t="shared" si="107"/>
        <v>0.89763779527559051</v>
      </c>
      <c r="AE257" s="45">
        <v>34</v>
      </c>
      <c r="AF257" s="41">
        <f t="shared" si="100"/>
        <v>0.94444444444444442</v>
      </c>
      <c r="AG257" s="45">
        <v>6</v>
      </c>
      <c r="AH257" s="41">
        <f t="shared" si="108"/>
        <v>4.7244094488188976E-2</v>
      </c>
      <c r="AI257" s="45">
        <v>4</v>
      </c>
      <c r="AJ257" s="41">
        <f t="shared" si="101"/>
        <v>0.1111111111111111</v>
      </c>
      <c r="AK257" s="45">
        <v>6</v>
      </c>
      <c r="AL257" s="41">
        <f t="shared" si="109"/>
        <v>4.7244094488188976E-2</v>
      </c>
      <c r="AM257" s="45">
        <v>3</v>
      </c>
      <c r="AN257" s="41">
        <f t="shared" si="102"/>
        <v>8.3333333333333329E-2</v>
      </c>
      <c r="AO257" s="45">
        <v>83</v>
      </c>
      <c r="AP257" s="41">
        <f t="shared" si="110"/>
        <v>0.65354330708661412</v>
      </c>
      <c r="AQ257" s="45">
        <v>23</v>
      </c>
      <c r="AR257" s="41">
        <f t="shared" si="103"/>
        <v>0.63888888888888884</v>
      </c>
      <c r="AS257" s="45">
        <v>21</v>
      </c>
      <c r="AT257" s="41">
        <f t="shared" si="111"/>
        <v>0.16535433070866143</v>
      </c>
      <c r="AU257" s="45">
        <v>0</v>
      </c>
      <c r="AV257" s="41">
        <f t="shared" si="104"/>
        <v>0</v>
      </c>
      <c r="AW257" s="45">
        <v>9</v>
      </c>
      <c r="AX257" s="41">
        <f t="shared" si="112"/>
        <v>7.0866141732283464E-2</v>
      </c>
      <c r="AY257" s="45">
        <v>4</v>
      </c>
      <c r="AZ257" s="41">
        <f t="shared" si="105"/>
        <v>0.1111111111111111</v>
      </c>
      <c r="BA257" s="45">
        <v>2</v>
      </c>
      <c r="BB257" s="41">
        <f t="shared" si="113"/>
        <v>1.5748031496062992E-2</v>
      </c>
      <c r="BC257" s="45">
        <v>2</v>
      </c>
      <c r="BD257" s="41">
        <f t="shared" si="106"/>
        <v>5.5555555555555552E-2</v>
      </c>
      <c r="BE257" s="45">
        <v>127</v>
      </c>
      <c r="BF257" s="45">
        <v>36</v>
      </c>
    </row>
    <row r="258" spans="1:58" ht="15.75" customHeight="1" x14ac:dyDescent="0.25">
      <c r="A258" s="44">
        <v>2023</v>
      </c>
      <c r="B258" s="39">
        <v>171890</v>
      </c>
      <c r="C258" s="37" t="str">
        <f>VLOOKUP(B258,procv!$A$2:$D$142,4,FALSE)</f>
        <v>Amor Perfeito</v>
      </c>
      <c r="D258" s="37" t="s">
        <v>122</v>
      </c>
      <c r="E258" s="45">
        <v>2</v>
      </c>
      <c r="F258" s="42">
        <f t="shared" ref="F258:F321" si="114">IFERROR(E258/$BE258,0)</f>
        <v>7.6923076923076927E-3</v>
      </c>
      <c r="G258" s="45">
        <v>2</v>
      </c>
      <c r="H258" s="42">
        <f t="shared" ref="H258:H321" si="115">IFERROR(G258/$BF258,0)</f>
        <v>8.6956521739130436E-3</v>
      </c>
      <c r="I258" s="45">
        <v>14</v>
      </c>
      <c r="J258" s="41">
        <f t="shared" ref="J258:J321" si="116">IFERROR(I258/$BE258,0)</f>
        <v>5.3846153846153849E-2</v>
      </c>
      <c r="K258" s="45">
        <v>13</v>
      </c>
      <c r="L258" s="41">
        <f t="shared" ref="L258:L321" si="117">IFERROR(K258/$BF258,0)</f>
        <v>5.6521739130434782E-2</v>
      </c>
      <c r="M258" s="45">
        <v>229</v>
      </c>
      <c r="N258" s="41">
        <f t="shared" ref="N258:N321" si="118">IFERROR(M258/$BE258,0)</f>
        <v>0.88076923076923075</v>
      </c>
      <c r="O258" s="45">
        <v>202</v>
      </c>
      <c r="P258" s="41">
        <f t="shared" ref="P258:P321" si="119">IFERROR(O258/$BF258,0)</f>
        <v>0.87826086956521743</v>
      </c>
      <c r="Q258" s="45">
        <v>15</v>
      </c>
      <c r="R258" s="41">
        <f t="shared" ref="R258:R321" si="120">IFERROR(Q258/$BE258,0)</f>
        <v>5.7692307692307696E-2</v>
      </c>
      <c r="S258" s="45">
        <v>13</v>
      </c>
      <c r="T258" s="41">
        <f t="shared" ref="T258:T321" si="121">IFERROR(S258/$BF258,0)</f>
        <v>5.6521739130434782E-2</v>
      </c>
      <c r="U258" s="45">
        <v>59</v>
      </c>
      <c r="V258" s="41">
        <f t="shared" ref="V258:V321" si="122">IFERROR(U258/$BE258,0)</f>
        <v>0.22692307692307692</v>
      </c>
      <c r="W258" s="45">
        <v>61</v>
      </c>
      <c r="X258" s="41">
        <f t="shared" ref="X258:X321" si="123">IFERROR(W258/$BF258,0)</f>
        <v>0.26521739130434785</v>
      </c>
      <c r="Y258" s="45">
        <v>22</v>
      </c>
      <c r="Z258" s="41">
        <f t="shared" ref="Z258:Z321" si="124">IFERROR(Y258/$BE258,0)</f>
        <v>8.461538461538462E-2</v>
      </c>
      <c r="AA258" s="45">
        <v>22</v>
      </c>
      <c r="AB258" s="41">
        <f t="shared" ref="AB258:AB321" si="125">IFERROR(AA258/$BF258,0)</f>
        <v>9.5652173913043481E-2</v>
      </c>
      <c r="AC258" s="45">
        <v>179</v>
      </c>
      <c r="AD258" s="41">
        <f t="shared" si="107"/>
        <v>0.68846153846153846</v>
      </c>
      <c r="AE258" s="45">
        <v>147</v>
      </c>
      <c r="AF258" s="41">
        <f t="shared" ref="AF258:AF321" si="126">IFERROR(AE258/$BF258,0)</f>
        <v>0.63913043478260867</v>
      </c>
      <c r="AG258" s="45">
        <v>13</v>
      </c>
      <c r="AH258" s="41">
        <f t="shared" si="108"/>
        <v>0.05</v>
      </c>
      <c r="AI258" s="45">
        <v>14</v>
      </c>
      <c r="AJ258" s="41">
        <f t="shared" ref="AJ258:AJ321" si="127">IFERROR(AI258/$BF258,0)</f>
        <v>6.0869565217391307E-2</v>
      </c>
      <c r="AK258" s="45">
        <v>12</v>
      </c>
      <c r="AL258" s="41">
        <f t="shared" si="109"/>
        <v>4.6153846153846156E-2</v>
      </c>
      <c r="AM258" s="45">
        <v>11</v>
      </c>
      <c r="AN258" s="41">
        <f t="shared" ref="AN258:AN321" si="128">IFERROR(AM258/$BF258,0)</f>
        <v>4.7826086956521741E-2</v>
      </c>
      <c r="AO258" s="45">
        <v>130</v>
      </c>
      <c r="AP258" s="41">
        <f t="shared" si="110"/>
        <v>0.5</v>
      </c>
      <c r="AQ258" s="45">
        <v>107</v>
      </c>
      <c r="AR258" s="41">
        <f t="shared" ref="AR258:AR321" si="129">IFERROR(AQ258/$BF258,0)</f>
        <v>0.4652173913043478</v>
      </c>
      <c r="AS258" s="45">
        <v>32</v>
      </c>
      <c r="AT258" s="41">
        <f t="shared" si="111"/>
        <v>0.12307692307692308</v>
      </c>
      <c r="AU258" s="45">
        <v>26</v>
      </c>
      <c r="AV258" s="41">
        <f t="shared" ref="AV258:AV321" si="130">IFERROR(AU258/$BF258,0)</f>
        <v>0.11304347826086956</v>
      </c>
      <c r="AW258" s="45">
        <v>18</v>
      </c>
      <c r="AX258" s="41">
        <f t="shared" si="112"/>
        <v>6.9230769230769235E-2</v>
      </c>
      <c r="AY258" s="45">
        <v>17</v>
      </c>
      <c r="AZ258" s="41">
        <f t="shared" ref="AZ258:AZ321" si="131">IFERROR(AY258/$BF258,0)</f>
        <v>7.3913043478260873E-2</v>
      </c>
      <c r="BA258" s="45">
        <v>55</v>
      </c>
      <c r="BB258" s="41">
        <f t="shared" si="113"/>
        <v>0.21153846153846154</v>
      </c>
      <c r="BC258" s="45">
        <v>55</v>
      </c>
      <c r="BD258" s="41">
        <f t="shared" ref="BD258:BD321" si="132">IFERROR(BC258/$BF258,0)</f>
        <v>0.2391304347826087</v>
      </c>
      <c r="BE258" s="45">
        <v>260</v>
      </c>
      <c r="BF258" s="45">
        <v>230</v>
      </c>
    </row>
    <row r="259" spans="1:58" ht="15.75" customHeight="1" x14ac:dyDescent="0.25">
      <c r="A259" s="44">
        <v>2023</v>
      </c>
      <c r="B259" s="39">
        <v>171900</v>
      </c>
      <c r="C259" s="37" t="str">
        <f>VLOOKUP(B259,procv!$A$2:$D$142,4,FALSE)</f>
        <v>Capim Dourado</v>
      </c>
      <c r="D259" s="37" t="s">
        <v>123</v>
      </c>
      <c r="E259" s="45">
        <v>2</v>
      </c>
      <c r="F259" s="42">
        <f t="shared" si="114"/>
        <v>5.8139534883720929E-3</v>
      </c>
      <c r="G259" s="45">
        <v>2</v>
      </c>
      <c r="H259" s="42">
        <f t="shared" si="115"/>
        <v>1.2658227848101266E-2</v>
      </c>
      <c r="I259" s="45">
        <v>5</v>
      </c>
      <c r="J259" s="41">
        <f t="shared" si="116"/>
        <v>1.4534883720930232E-2</v>
      </c>
      <c r="K259" s="45">
        <v>2</v>
      </c>
      <c r="L259" s="41">
        <f t="shared" si="117"/>
        <v>1.2658227848101266E-2</v>
      </c>
      <c r="M259" s="45">
        <v>321</v>
      </c>
      <c r="N259" s="41">
        <f t="shared" si="118"/>
        <v>0.93313953488372092</v>
      </c>
      <c r="O259" s="45">
        <v>149</v>
      </c>
      <c r="P259" s="41">
        <f t="shared" si="119"/>
        <v>0.94303797468354433</v>
      </c>
      <c r="Q259" s="45">
        <v>16</v>
      </c>
      <c r="R259" s="41">
        <f t="shared" si="120"/>
        <v>4.6511627906976744E-2</v>
      </c>
      <c r="S259" s="45">
        <v>5</v>
      </c>
      <c r="T259" s="41">
        <f t="shared" si="121"/>
        <v>3.1645569620253167E-2</v>
      </c>
      <c r="U259" s="45">
        <v>9</v>
      </c>
      <c r="V259" s="41">
        <f t="shared" si="122"/>
        <v>2.616279069767442E-2</v>
      </c>
      <c r="W259" s="45">
        <v>12</v>
      </c>
      <c r="X259" s="41">
        <f t="shared" si="123"/>
        <v>7.5949367088607597E-2</v>
      </c>
      <c r="Y259" s="45">
        <v>35</v>
      </c>
      <c r="Z259" s="41">
        <f t="shared" si="124"/>
        <v>0.10174418604651163</v>
      </c>
      <c r="AA259" s="45">
        <v>19</v>
      </c>
      <c r="AB259" s="41">
        <f t="shared" si="125"/>
        <v>0.12025316455696203</v>
      </c>
      <c r="AC259" s="45">
        <v>300</v>
      </c>
      <c r="AD259" s="41">
        <f t="shared" si="107"/>
        <v>0.87209302325581395</v>
      </c>
      <c r="AE259" s="45">
        <v>127</v>
      </c>
      <c r="AF259" s="41">
        <f t="shared" si="126"/>
        <v>0.80379746835443033</v>
      </c>
      <c r="AG259" s="45">
        <v>3</v>
      </c>
      <c r="AH259" s="41">
        <f t="shared" si="108"/>
        <v>8.7209302325581394E-3</v>
      </c>
      <c r="AI259" s="45">
        <v>2</v>
      </c>
      <c r="AJ259" s="41">
        <f t="shared" si="127"/>
        <v>1.2658227848101266E-2</v>
      </c>
      <c r="AK259" s="45">
        <v>6</v>
      </c>
      <c r="AL259" s="41">
        <f t="shared" si="109"/>
        <v>1.7441860465116279E-2</v>
      </c>
      <c r="AM259" s="45">
        <v>5</v>
      </c>
      <c r="AN259" s="41">
        <f t="shared" si="128"/>
        <v>3.1645569620253167E-2</v>
      </c>
      <c r="AO259" s="45">
        <v>212</v>
      </c>
      <c r="AP259" s="41">
        <f t="shared" si="110"/>
        <v>0.61627906976744184</v>
      </c>
      <c r="AQ259" s="45">
        <v>105</v>
      </c>
      <c r="AR259" s="41">
        <f t="shared" si="129"/>
        <v>0.66455696202531644</v>
      </c>
      <c r="AS259" s="45">
        <v>77</v>
      </c>
      <c r="AT259" s="41">
        <f t="shared" si="111"/>
        <v>0.22383720930232559</v>
      </c>
      <c r="AU259" s="45">
        <v>31</v>
      </c>
      <c r="AV259" s="41">
        <f t="shared" si="130"/>
        <v>0.19620253164556961</v>
      </c>
      <c r="AW259" s="45">
        <v>35</v>
      </c>
      <c r="AX259" s="41">
        <f t="shared" si="112"/>
        <v>0.10174418604651163</v>
      </c>
      <c r="AY259" s="45">
        <v>11</v>
      </c>
      <c r="AZ259" s="41">
        <f t="shared" si="131"/>
        <v>6.9620253164556958E-2</v>
      </c>
      <c r="BA259" s="45">
        <v>11</v>
      </c>
      <c r="BB259" s="41">
        <f t="shared" si="113"/>
        <v>3.1976744186046513E-2</v>
      </c>
      <c r="BC259" s="45">
        <v>4</v>
      </c>
      <c r="BD259" s="41">
        <f t="shared" si="132"/>
        <v>2.5316455696202531E-2</v>
      </c>
      <c r="BE259" s="45">
        <v>344</v>
      </c>
      <c r="BF259" s="45">
        <v>158</v>
      </c>
    </row>
    <row r="260" spans="1:58" ht="15.75" customHeight="1" x14ac:dyDescent="0.25">
      <c r="A260" s="44">
        <v>2023</v>
      </c>
      <c r="B260" s="39">
        <v>172000</v>
      </c>
      <c r="C260" s="37" t="str">
        <f>VLOOKUP(B260,procv!$A$2:$D$142,4,FALSE)</f>
        <v>Bico do Papagaio</v>
      </c>
      <c r="D260" s="37" t="s">
        <v>124</v>
      </c>
      <c r="E260" s="45">
        <v>0</v>
      </c>
      <c r="F260" s="42">
        <f t="shared" si="114"/>
        <v>0</v>
      </c>
      <c r="G260" s="45">
        <v>0</v>
      </c>
      <c r="H260" s="42">
        <f t="shared" si="115"/>
        <v>0</v>
      </c>
      <c r="I260" s="45">
        <v>7</v>
      </c>
      <c r="J260" s="41">
        <f t="shared" si="116"/>
        <v>4.0697674418604654E-2</v>
      </c>
      <c r="K260" s="45">
        <v>3</v>
      </c>
      <c r="L260" s="41">
        <f t="shared" si="117"/>
        <v>6.5217391304347824E-2</v>
      </c>
      <c r="M260" s="45">
        <v>157</v>
      </c>
      <c r="N260" s="41">
        <f t="shared" si="118"/>
        <v>0.91279069767441856</v>
      </c>
      <c r="O260" s="45">
        <v>41</v>
      </c>
      <c r="P260" s="41">
        <f t="shared" si="119"/>
        <v>0.89130434782608692</v>
      </c>
      <c r="Q260" s="45">
        <v>8</v>
      </c>
      <c r="R260" s="41">
        <f t="shared" si="120"/>
        <v>4.6511627906976744E-2</v>
      </c>
      <c r="S260" s="45">
        <v>2</v>
      </c>
      <c r="T260" s="41">
        <f t="shared" si="121"/>
        <v>4.3478260869565216E-2</v>
      </c>
      <c r="U260" s="45">
        <v>8</v>
      </c>
      <c r="V260" s="41">
        <f t="shared" si="122"/>
        <v>4.6511627906976744E-2</v>
      </c>
      <c r="W260" s="45">
        <v>2</v>
      </c>
      <c r="X260" s="41">
        <f t="shared" si="123"/>
        <v>4.3478260869565216E-2</v>
      </c>
      <c r="Y260" s="45">
        <v>21</v>
      </c>
      <c r="Z260" s="41">
        <f t="shared" si="124"/>
        <v>0.12209302325581395</v>
      </c>
      <c r="AA260" s="45">
        <v>2</v>
      </c>
      <c r="AB260" s="41">
        <f t="shared" si="125"/>
        <v>4.3478260869565216E-2</v>
      </c>
      <c r="AC260" s="45">
        <v>143</v>
      </c>
      <c r="AD260" s="41">
        <f t="shared" si="107"/>
        <v>0.83139534883720934</v>
      </c>
      <c r="AE260" s="45">
        <v>42</v>
      </c>
      <c r="AF260" s="41">
        <f t="shared" si="126"/>
        <v>0.91304347826086951</v>
      </c>
      <c r="AG260" s="45">
        <v>2</v>
      </c>
      <c r="AH260" s="41">
        <f t="shared" si="108"/>
        <v>1.1627906976744186E-2</v>
      </c>
      <c r="AI260" s="45">
        <v>1</v>
      </c>
      <c r="AJ260" s="41">
        <f t="shared" si="127"/>
        <v>2.1739130434782608E-2</v>
      </c>
      <c r="AK260" s="45">
        <v>3</v>
      </c>
      <c r="AL260" s="41">
        <f t="shared" si="109"/>
        <v>1.7441860465116279E-2</v>
      </c>
      <c r="AM260" s="45">
        <v>2</v>
      </c>
      <c r="AN260" s="41">
        <f t="shared" si="128"/>
        <v>4.3478260869565216E-2</v>
      </c>
      <c r="AO260" s="45">
        <v>106</v>
      </c>
      <c r="AP260" s="41">
        <f t="shared" si="110"/>
        <v>0.61627906976744184</v>
      </c>
      <c r="AQ260" s="45">
        <v>31</v>
      </c>
      <c r="AR260" s="41">
        <f t="shared" si="129"/>
        <v>0.67391304347826086</v>
      </c>
      <c r="AS260" s="45">
        <v>40</v>
      </c>
      <c r="AT260" s="41">
        <f t="shared" si="111"/>
        <v>0.23255813953488372</v>
      </c>
      <c r="AU260" s="45">
        <v>7</v>
      </c>
      <c r="AV260" s="41">
        <f t="shared" si="130"/>
        <v>0.15217391304347827</v>
      </c>
      <c r="AW260" s="45">
        <v>13</v>
      </c>
      <c r="AX260" s="41">
        <f t="shared" si="112"/>
        <v>7.5581395348837205E-2</v>
      </c>
      <c r="AY260" s="45">
        <v>2</v>
      </c>
      <c r="AZ260" s="41">
        <f t="shared" si="131"/>
        <v>4.3478260869565216E-2</v>
      </c>
      <c r="BA260" s="45">
        <v>8</v>
      </c>
      <c r="BB260" s="41">
        <f t="shared" si="113"/>
        <v>4.6511627906976744E-2</v>
      </c>
      <c r="BC260" s="45">
        <v>3</v>
      </c>
      <c r="BD260" s="41">
        <f t="shared" si="132"/>
        <v>6.5217391304347824E-2</v>
      </c>
      <c r="BE260" s="45">
        <v>172</v>
      </c>
      <c r="BF260" s="45">
        <v>46</v>
      </c>
    </row>
    <row r="261" spans="1:58" ht="15.75" customHeight="1" x14ac:dyDescent="0.25">
      <c r="A261" s="44">
        <v>2023</v>
      </c>
      <c r="B261" s="39">
        <v>172010</v>
      </c>
      <c r="C261" s="37" t="str">
        <f>VLOOKUP(B261,procv!$A$2:$D$142,4,FALSE)</f>
        <v>Bico do Papagaio</v>
      </c>
      <c r="D261" s="37" t="s">
        <v>125</v>
      </c>
      <c r="E261" s="45">
        <v>3</v>
      </c>
      <c r="F261" s="42">
        <f t="shared" si="114"/>
        <v>7.4999999999999997E-3</v>
      </c>
      <c r="G261" s="45">
        <v>2</v>
      </c>
      <c r="H261" s="42">
        <f t="shared" si="115"/>
        <v>1.1904761904761904E-2</v>
      </c>
      <c r="I261" s="45">
        <v>7</v>
      </c>
      <c r="J261" s="41">
        <f t="shared" si="116"/>
        <v>1.7500000000000002E-2</v>
      </c>
      <c r="K261" s="45">
        <v>8</v>
      </c>
      <c r="L261" s="41">
        <f t="shared" si="117"/>
        <v>4.7619047619047616E-2</v>
      </c>
      <c r="M261" s="45">
        <v>378</v>
      </c>
      <c r="N261" s="41">
        <f t="shared" si="118"/>
        <v>0.94499999999999995</v>
      </c>
      <c r="O261" s="45">
        <v>152</v>
      </c>
      <c r="P261" s="41">
        <f t="shared" si="119"/>
        <v>0.90476190476190477</v>
      </c>
      <c r="Q261" s="45">
        <v>12</v>
      </c>
      <c r="R261" s="41">
        <f t="shared" si="120"/>
        <v>0.03</v>
      </c>
      <c r="S261" s="45">
        <v>6</v>
      </c>
      <c r="T261" s="41">
        <f t="shared" si="121"/>
        <v>3.5714285714285712E-2</v>
      </c>
      <c r="U261" s="45">
        <v>32</v>
      </c>
      <c r="V261" s="41">
        <f t="shared" si="122"/>
        <v>0.08</v>
      </c>
      <c r="W261" s="45">
        <v>21</v>
      </c>
      <c r="X261" s="41">
        <f t="shared" si="123"/>
        <v>0.125</v>
      </c>
      <c r="Y261" s="45">
        <v>38</v>
      </c>
      <c r="Z261" s="41">
        <f t="shared" si="124"/>
        <v>9.5000000000000001E-2</v>
      </c>
      <c r="AA261" s="45">
        <v>22</v>
      </c>
      <c r="AB261" s="41">
        <f t="shared" si="125"/>
        <v>0.13095238095238096</v>
      </c>
      <c r="AC261" s="45">
        <v>330</v>
      </c>
      <c r="AD261" s="41">
        <f t="shared" si="107"/>
        <v>0.82499999999999996</v>
      </c>
      <c r="AE261" s="45">
        <v>125</v>
      </c>
      <c r="AF261" s="41">
        <f t="shared" si="126"/>
        <v>0.74404761904761907</v>
      </c>
      <c r="AG261" s="45">
        <v>10</v>
      </c>
      <c r="AH261" s="41">
        <f t="shared" si="108"/>
        <v>2.5000000000000001E-2</v>
      </c>
      <c r="AI261" s="45">
        <v>8</v>
      </c>
      <c r="AJ261" s="41">
        <f t="shared" si="127"/>
        <v>4.7619047619047616E-2</v>
      </c>
      <c r="AK261" s="45">
        <v>16</v>
      </c>
      <c r="AL261" s="41">
        <f t="shared" si="109"/>
        <v>0.04</v>
      </c>
      <c r="AM261" s="45">
        <v>10</v>
      </c>
      <c r="AN261" s="41">
        <f t="shared" si="128"/>
        <v>5.9523809523809521E-2</v>
      </c>
      <c r="AO261" s="45">
        <v>245</v>
      </c>
      <c r="AP261" s="41">
        <f t="shared" si="110"/>
        <v>0.61250000000000004</v>
      </c>
      <c r="AQ261" s="45">
        <v>99</v>
      </c>
      <c r="AR261" s="41">
        <f t="shared" si="129"/>
        <v>0.5892857142857143</v>
      </c>
      <c r="AS261" s="45">
        <v>81</v>
      </c>
      <c r="AT261" s="41">
        <f t="shared" si="111"/>
        <v>0.20250000000000001</v>
      </c>
      <c r="AU261" s="45">
        <v>24</v>
      </c>
      <c r="AV261" s="41">
        <f t="shared" si="130"/>
        <v>0.14285714285714285</v>
      </c>
      <c r="AW261" s="45">
        <v>32</v>
      </c>
      <c r="AX261" s="41">
        <f t="shared" si="112"/>
        <v>0.08</v>
      </c>
      <c r="AY261" s="45">
        <v>9</v>
      </c>
      <c r="AZ261" s="41">
        <f t="shared" si="131"/>
        <v>5.3571428571428568E-2</v>
      </c>
      <c r="BA261" s="45">
        <v>16</v>
      </c>
      <c r="BB261" s="41">
        <f t="shared" si="113"/>
        <v>0.04</v>
      </c>
      <c r="BC261" s="45">
        <v>18</v>
      </c>
      <c r="BD261" s="41">
        <f t="shared" si="132"/>
        <v>0.10714285714285714</v>
      </c>
      <c r="BE261" s="45">
        <v>400</v>
      </c>
      <c r="BF261" s="45">
        <v>168</v>
      </c>
    </row>
    <row r="262" spans="1:58" ht="15.75" customHeight="1" x14ac:dyDescent="0.25">
      <c r="A262" s="44">
        <v>2023</v>
      </c>
      <c r="B262" s="39">
        <v>172015</v>
      </c>
      <c r="C262" s="37" t="str">
        <f>VLOOKUP(B262,procv!$A$2:$D$142,4,FALSE)</f>
        <v>Capim Dourado</v>
      </c>
      <c r="D262" s="37" t="s">
        <v>126</v>
      </c>
      <c r="E262" s="45">
        <v>0</v>
      </c>
      <c r="F262" s="42">
        <f t="shared" si="114"/>
        <v>0</v>
      </c>
      <c r="G262" s="45">
        <v>0</v>
      </c>
      <c r="H262" s="42">
        <f t="shared" si="115"/>
        <v>0</v>
      </c>
      <c r="I262" s="45">
        <v>9</v>
      </c>
      <c r="J262" s="41">
        <f t="shared" si="116"/>
        <v>6.2937062937062943E-2</v>
      </c>
      <c r="K262" s="45">
        <v>3</v>
      </c>
      <c r="L262" s="41">
        <f t="shared" si="117"/>
        <v>5.0847457627118647E-2</v>
      </c>
      <c r="M262" s="45">
        <v>130</v>
      </c>
      <c r="N262" s="41">
        <f t="shared" si="118"/>
        <v>0.90909090909090906</v>
      </c>
      <c r="O262" s="45">
        <v>56</v>
      </c>
      <c r="P262" s="41">
        <f t="shared" si="119"/>
        <v>0.94915254237288138</v>
      </c>
      <c r="Q262" s="45">
        <v>4</v>
      </c>
      <c r="R262" s="41">
        <f t="shared" si="120"/>
        <v>2.7972027972027972E-2</v>
      </c>
      <c r="S262" s="45">
        <v>0</v>
      </c>
      <c r="T262" s="41">
        <f t="shared" si="121"/>
        <v>0</v>
      </c>
      <c r="U262" s="45">
        <v>8</v>
      </c>
      <c r="V262" s="41">
        <f t="shared" si="122"/>
        <v>5.5944055944055944E-2</v>
      </c>
      <c r="W262" s="45">
        <v>4</v>
      </c>
      <c r="X262" s="41">
        <f t="shared" si="123"/>
        <v>6.7796610169491525E-2</v>
      </c>
      <c r="Y262" s="45">
        <v>13</v>
      </c>
      <c r="Z262" s="41">
        <f t="shared" si="124"/>
        <v>9.0909090909090912E-2</v>
      </c>
      <c r="AA262" s="45">
        <v>5</v>
      </c>
      <c r="AB262" s="41">
        <f t="shared" si="125"/>
        <v>8.4745762711864403E-2</v>
      </c>
      <c r="AC262" s="45">
        <v>122</v>
      </c>
      <c r="AD262" s="41">
        <f t="shared" si="107"/>
        <v>0.85314685314685312</v>
      </c>
      <c r="AE262" s="45">
        <v>50</v>
      </c>
      <c r="AF262" s="41">
        <f t="shared" si="126"/>
        <v>0.84745762711864403</v>
      </c>
      <c r="AG262" s="45">
        <v>4</v>
      </c>
      <c r="AH262" s="41">
        <f t="shared" si="108"/>
        <v>2.7972027972027972E-2</v>
      </c>
      <c r="AI262" s="45">
        <v>2</v>
      </c>
      <c r="AJ262" s="41">
        <f t="shared" si="127"/>
        <v>3.3898305084745763E-2</v>
      </c>
      <c r="AK262" s="45">
        <v>2</v>
      </c>
      <c r="AL262" s="41">
        <f t="shared" si="109"/>
        <v>1.3986013986013986E-2</v>
      </c>
      <c r="AM262" s="45">
        <v>3</v>
      </c>
      <c r="AN262" s="41">
        <f t="shared" si="128"/>
        <v>5.0847457627118647E-2</v>
      </c>
      <c r="AO262" s="45">
        <v>105</v>
      </c>
      <c r="AP262" s="41">
        <f t="shared" si="110"/>
        <v>0.73426573426573427</v>
      </c>
      <c r="AQ262" s="45">
        <v>45</v>
      </c>
      <c r="AR262" s="41">
        <f t="shared" si="129"/>
        <v>0.76271186440677963</v>
      </c>
      <c r="AS262" s="45">
        <v>15</v>
      </c>
      <c r="AT262" s="41">
        <f t="shared" si="111"/>
        <v>0.1048951048951049</v>
      </c>
      <c r="AU262" s="45">
        <v>7</v>
      </c>
      <c r="AV262" s="41">
        <f t="shared" si="130"/>
        <v>0.11864406779661017</v>
      </c>
      <c r="AW262" s="45">
        <v>12</v>
      </c>
      <c r="AX262" s="41">
        <f t="shared" si="112"/>
        <v>8.3916083916083919E-2</v>
      </c>
      <c r="AY262" s="45">
        <v>1</v>
      </c>
      <c r="AZ262" s="41">
        <f t="shared" si="131"/>
        <v>1.6949152542372881E-2</v>
      </c>
      <c r="BA262" s="45">
        <v>5</v>
      </c>
      <c r="BB262" s="41">
        <f t="shared" si="113"/>
        <v>3.4965034965034968E-2</v>
      </c>
      <c r="BC262" s="45">
        <v>1</v>
      </c>
      <c r="BD262" s="41">
        <f t="shared" si="132"/>
        <v>1.6949152542372881E-2</v>
      </c>
      <c r="BE262" s="45">
        <v>143</v>
      </c>
      <c r="BF262" s="45">
        <v>59</v>
      </c>
    </row>
    <row r="263" spans="1:58" ht="15.75" customHeight="1" x14ac:dyDescent="0.25">
      <c r="A263" s="44">
        <v>2023</v>
      </c>
      <c r="B263" s="39">
        <v>172020</v>
      </c>
      <c r="C263" s="37" t="str">
        <f>VLOOKUP(B263,procv!$A$2:$D$142,4,FALSE)</f>
        <v>Bico do Papagaio</v>
      </c>
      <c r="D263" s="37" t="s">
        <v>127</v>
      </c>
      <c r="E263" s="45">
        <v>7</v>
      </c>
      <c r="F263" s="42">
        <f t="shared" si="114"/>
        <v>6.91699604743083E-3</v>
      </c>
      <c r="G263" s="45">
        <v>6</v>
      </c>
      <c r="H263" s="42">
        <f t="shared" si="115"/>
        <v>8.9686098654708519E-3</v>
      </c>
      <c r="I263" s="45">
        <v>39</v>
      </c>
      <c r="J263" s="41">
        <f t="shared" si="116"/>
        <v>3.8537549407114624E-2</v>
      </c>
      <c r="K263" s="45">
        <v>23</v>
      </c>
      <c r="L263" s="41">
        <f t="shared" si="117"/>
        <v>3.4379671150971597E-2</v>
      </c>
      <c r="M263" s="45">
        <v>932</v>
      </c>
      <c r="N263" s="41">
        <f t="shared" si="118"/>
        <v>0.92094861660079053</v>
      </c>
      <c r="O263" s="45">
        <v>618</v>
      </c>
      <c r="P263" s="41">
        <f t="shared" si="119"/>
        <v>0.92376681614349776</v>
      </c>
      <c r="Q263" s="45">
        <v>34</v>
      </c>
      <c r="R263" s="41">
        <f t="shared" si="120"/>
        <v>3.3596837944664032E-2</v>
      </c>
      <c r="S263" s="45">
        <v>22</v>
      </c>
      <c r="T263" s="41">
        <f t="shared" si="121"/>
        <v>3.2884902840059793E-2</v>
      </c>
      <c r="U263" s="45">
        <v>50</v>
      </c>
      <c r="V263" s="41">
        <f t="shared" si="122"/>
        <v>4.9407114624505928E-2</v>
      </c>
      <c r="W263" s="45">
        <v>39</v>
      </c>
      <c r="X263" s="41">
        <f t="shared" si="123"/>
        <v>5.829596412556054E-2</v>
      </c>
      <c r="Y263" s="45">
        <v>83</v>
      </c>
      <c r="Z263" s="41">
        <f t="shared" si="124"/>
        <v>8.201581027667984E-2</v>
      </c>
      <c r="AA263" s="45">
        <v>54</v>
      </c>
      <c r="AB263" s="41">
        <f t="shared" si="125"/>
        <v>8.0717488789237665E-2</v>
      </c>
      <c r="AC263" s="45">
        <v>879</v>
      </c>
      <c r="AD263" s="41">
        <f t="shared" si="107"/>
        <v>0.86857707509881421</v>
      </c>
      <c r="AE263" s="45">
        <v>576</v>
      </c>
      <c r="AF263" s="41">
        <f t="shared" si="126"/>
        <v>0.86098654708520184</v>
      </c>
      <c r="AG263" s="45">
        <v>29</v>
      </c>
      <c r="AH263" s="41">
        <f t="shared" si="108"/>
        <v>2.865612648221344E-2</v>
      </c>
      <c r="AI263" s="45">
        <v>21</v>
      </c>
      <c r="AJ263" s="41">
        <f t="shared" si="127"/>
        <v>3.1390134529147982E-2</v>
      </c>
      <c r="AK263" s="45">
        <v>31</v>
      </c>
      <c r="AL263" s="41">
        <f t="shared" si="109"/>
        <v>3.0632411067193676E-2</v>
      </c>
      <c r="AM263" s="45">
        <v>27</v>
      </c>
      <c r="AN263" s="41">
        <f t="shared" si="128"/>
        <v>4.0358744394618833E-2</v>
      </c>
      <c r="AO263" s="45">
        <v>704</v>
      </c>
      <c r="AP263" s="41">
        <f t="shared" si="110"/>
        <v>0.69565217391304346</v>
      </c>
      <c r="AQ263" s="45">
        <v>494</v>
      </c>
      <c r="AR263" s="41">
        <f t="shared" si="129"/>
        <v>0.73841554559043343</v>
      </c>
      <c r="AS263" s="45">
        <v>144</v>
      </c>
      <c r="AT263" s="41">
        <f t="shared" si="111"/>
        <v>0.14229249011857709</v>
      </c>
      <c r="AU263" s="45">
        <v>73</v>
      </c>
      <c r="AV263" s="41">
        <f t="shared" si="130"/>
        <v>0.10911808669656203</v>
      </c>
      <c r="AW263" s="45">
        <v>57</v>
      </c>
      <c r="AX263" s="41">
        <f t="shared" si="112"/>
        <v>5.632411067193676E-2</v>
      </c>
      <c r="AY263" s="45">
        <v>27</v>
      </c>
      <c r="AZ263" s="41">
        <f t="shared" si="131"/>
        <v>4.0358744394618833E-2</v>
      </c>
      <c r="BA263" s="45">
        <v>47</v>
      </c>
      <c r="BB263" s="41">
        <f t="shared" si="113"/>
        <v>4.6442687747035576E-2</v>
      </c>
      <c r="BC263" s="45">
        <v>27</v>
      </c>
      <c r="BD263" s="41">
        <f t="shared" si="132"/>
        <v>4.0358744394618833E-2</v>
      </c>
      <c r="BE263" s="46">
        <v>1012</v>
      </c>
      <c r="BF263" s="45">
        <v>669</v>
      </c>
    </row>
    <row r="264" spans="1:58" ht="15.75" customHeight="1" x14ac:dyDescent="0.25">
      <c r="A264" s="44">
        <v>2023</v>
      </c>
      <c r="B264" s="39">
        <v>172025</v>
      </c>
      <c r="C264" s="37" t="str">
        <f>VLOOKUP(B264,procv!$A$2:$D$142,4,FALSE)</f>
        <v>Ilha do Bananal</v>
      </c>
      <c r="D264" s="37" t="s">
        <v>128</v>
      </c>
      <c r="E264" s="45">
        <v>2</v>
      </c>
      <c r="F264" s="42">
        <f t="shared" si="114"/>
        <v>1.092896174863388E-2</v>
      </c>
      <c r="G264" s="45">
        <v>1</v>
      </c>
      <c r="H264" s="42">
        <f t="shared" si="115"/>
        <v>8.771929824561403E-3</v>
      </c>
      <c r="I264" s="45">
        <v>8</v>
      </c>
      <c r="J264" s="41">
        <f t="shared" si="116"/>
        <v>4.3715846994535519E-2</v>
      </c>
      <c r="K264" s="45">
        <v>4</v>
      </c>
      <c r="L264" s="41">
        <f t="shared" si="117"/>
        <v>3.5087719298245612E-2</v>
      </c>
      <c r="M264" s="45">
        <v>169</v>
      </c>
      <c r="N264" s="41">
        <f t="shared" si="118"/>
        <v>0.92349726775956287</v>
      </c>
      <c r="O264" s="45">
        <v>103</v>
      </c>
      <c r="P264" s="41">
        <f t="shared" si="119"/>
        <v>0.90350877192982459</v>
      </c>
      <c r="Q264" s="45">
        <v>4</v>
      </c>
      <c r="R264" s="41">
        <f t="shared" si="120"/>
        <v>2.185792349726776E-2</v>
      </c>
      <c r="S264" s="45">
        <v>6</v>
      </c>
      <c r="T264" s="41">
        <f t="shared" si="121"/>
        <v>5.2631578947368418E-2</v>
      </c>
      <c r="U264" s="45">
        <v>12</v>
      </c>
      <c r="V264" s="41">
        <f t="shared" si="122"/>
        <v>6.5573770491803282E-2</v>
      </c>
      <c r="W264" s="45">
        <v>9</v>
      </c>
      <c r="X264" s="41">
        <f t="shared" si="123"/>
        <v>7.8947368421052627E-2</v>
      </c>
      <c r="Y264" s="45">
        <v>12</v>
      </c>
      <c r="Z264" s="41">
        <f t="shared" si="124"/>
        <v>6.5573770491803282E-2</v>
      </c>
      <c r="AA264" s="45">
        <v>6</v>
      </c>
      <c r="AB264" s="41">
        <f t="shared" si="125"/>
        <v>5.2631578947368418E-2</v>
      </c>
      <c r="AC264" s="45">
        <v>159</v>
      </c>
      <c r="AD264" s="41">
        <f t="shared" si="107"/>
        <v>0.86885245901639341</v>
      </c>
      <c r="AE264" s="45">
        <v>99</v>
      </c>
      <c r="AF264" s="41">
        <f t="shared" si="126"/>
        <v>0.86842105263157898</v>
      </c>
      <c r="AG264" s="45">
        <v>1</v>
      </c>
      <c r="AH264" s="41">
        <f t="shared" si="108"/>
        <v>5.4644808743169399E-3</v>
      </c>
      <c r="AI264" s="45">
        <v>2</v>
      </c>
      <c r="AJ264" s="41">
        <f t="shared" si="127"/>
        <v>1.7543859649122806E-2</v>
      </c>
      <c r="AK264" s="45">
        <v>5</v>
      </c>
      <c r="AL264" s="41">
        <f t="shared" si="109"/>
        <v>2.7322404371584699E-2</v>
      </c>
      <c r="AM264" s="45">
        <v>6</v>
      </c>
      <c r="AN264" s="41">
        <f t="shared" si="128"/>
        <v>5.2631578947368418E-2</v>
      </c>
      <c r="AO264" s="45">
        <v>119</v>
      </c>
      <c r="AP264" s="41">
        <f t="shared" si="110"/>
        <v>0.65027322404371579</v>
      </c>
      <c r="AQ264" s="45">
        <v>73</v>
      </c>
      <c r="AR264" s="41">
        <f t="shared" si="129"/>
        <v>0.64035087719298245</v>
      </c>
      <c r="AS264" s="45">
        <v>41</v>
      </c>
      <c r="AT264" s="41">
        <f t="shared" si="111"/>
        <v>0.22404371584699453</v>
      </c>
      <c r="AU264" s="45">
        <v>22</v>
      </c>
      <c r="AV264" s="41">
        <f t="shared" si="130"/>
        <v>0.19298245614035087</v>
      </c>
      <c r="AW264" s="45">
        <v>12</v>
      </c>
      <c r="AX264" s="41">
        <f t="shared" si="112"/>
        <v>6.5573770491803282E-2</v>
      </c>
      <c r="AY264" s="45">
        <v>4</v>
      </c>
      <c r="AZ264" s="41">
        <f t="shared" si="131"/>
        <v>3.5087719298245612E-2</v>
      </c>
      <c r="BA264" s="45">
        <v>5</v>
      </c>
      <c r="BB264" s="41">
        <f t="shared" si="113"/>
        <v>2.7322404371584699E-2</v>
      </c>
      <c r="BC264" s="45">
        <v>7</v>
      </c>
      <c r="BD264" s="41">
        <f t="shared" si="132"/>
        <v>6.1403508771929821E-2</v>
      </c>
      <c r="BE264" s="45">
        <v>183</v>
      </c>
      <c r="BF264" s="45">
        <v>114</v>
      </c>
    </row>
    <row r="265" spans="1:58" ht="15.75" customHeight="1" x14ac:dyDescent="0.25">
      <c r="A265" s="44">
        <v>2023</v>
      </c>
      <c r="B265" s="39">
        <v>172030</v>
      </c>
      <c r="C265" s="37" t="str">
        <f>VLOOKUP(B265,procv!$A$2:$D$142,4,FALSE)</f>
        <v>Bico do Papagaio</v>
      </c>
      <c r="D265" s="37" t="s">
        <v>129</v>
      </c>
      <c r="E265" s="45">
        <v>4</v>
      </c>
      <c r="F265" s="42">
        <f t="shared" si="114"/>
        <v>1.7699115044247787E-2</v>
      </c>
      <c r="G265" s="45">
        <v>4</v>
      </c>
      <c r="H265" s="42">
        <f t="shared" si="115"/>
        <v>2.1505376344086023E-2</v>
      </c>
      <c r="I265" s="45">
        <v>9</v>
      </c>
      <c r="J265" s="41">
        <f t="shared" si="116"/>
        <v>3.9823008849557522E-2</v>
      </c>
      <c r="K265" s="45">
        <v>8</v>
      </c>
      <c r="L265" s="41">
        <f t="shared" si="117"/>
        <v>4.3010752688172046E-2</v>
      </c>
      <c r="M265" s="45">
        <v>203</v>
      </c>
      <c r="N265" s="41">
        <f t="shared" si="118"/>
        <v>0.89823008849557517</v>
      </c>
      <c r="O265" s="45">
        <v>167</v>
      </c>
      <c r="P265" s="41">
        <f t="shared" si="119"/>
        <v>0.89784946236559138</v>
      </c>
      <c r="Q265" s="45">
        <v>10</v>
      </c>
      <c r="R265" s="41">
        <f t="shared" si="120"/>
        <v>4.4247787610619468E-2</v>
      </c>
      <c r="S265" s="45">
        <v>7</v>
      </c>
      <c r="T265" s="41">
        <f t="shared" si="121"/>
        <v>3.7634408602150539E-2</v>
      </c>
      <c r="U265" s="45">
        <v>19</v>
      </c>
      <c r="V265" s="41">
        <f t="shared" si="122"/>
        <v>8.4070796460176997E-2</v>
      </c>
      <c r="W265" s="45">
        <v>20</v>
      </c>
      <c r="X265" s="41">
        <f t="shared" si="123"/>
        <v>0.10752688172043011</v>
      </c>
      <c r="Y265" s="45">
        <v>19</v>
      </c>
      <c r="Z265" s="41">
        <f t="shared" si="124"/>
        <v>8.4070796460176997E-2</v>
      </c>
      <c r="AA265" s="45">
        <v>19</v>
      </c>
      <c r="AB265" s="41">
        <f t="shared" si="125"/>
        <v>0.10215053763440861</v>
      </c>
      <c r="AC265" s="45">
        <v>188</v>
      </c>
      <c r="AD265" s="41">
        <f t="shared" si="107"/>
        <v>0.83185840707964598</v>
      </c>
      <c r="AE265" s="45">
        <v>147</v>
      </c>
      <c r="AF265" s="41">
        <f t="shared" si="126"/>
        <v>0.79032258064516125</v>
      </c>
      <c r="AG265" s="45">
        <v>9</v>
      </c>
      <c r="AH265" s="41">
        <f t="shared" si="108"/>
        <v>3.9823008849557522E-2</v>
      </c>
      <c r="AI265" s="45">
        <v>8</v>
      </c>
      <c r="AJ265" s="41">
        <f t="shared" si="127"/>
        <v>4.3010752688172046E-2</v>
      </c>
      <c r="AK265" s="45">
        <v>15</v>
      </c>
      <c r="AL265" s="41">
        <f t="shared" si="109"/>
        <v>6.637168141592921E-2</v>
      </c>
      <c r="AM265" s="45">
        <v>14</v>
      </c>
      <c r="AN265" s="41">
        <f t="shared" si="128"/>
        <v>7.5268817204301078E-2</v>
      </c>
      <c r="AO265" s="45">
        <v>156</v>
      </c>
      <c r="AP265" s="41">
        <f t="shared" si="110"/>
        <v>0.69026548672566368</v>
      </c>
      <c r="AQ265" s="45">
        <v>129</v>
      </c>
      <c r="AR265" s="41">
        <f t="shared" si="129"/>
        <v>0.69354838709677424</v>
      </c>
      <c r="AS265" s="45">
        <v>24</v>
      </c>
      <c r="AT265" s="41">
        <f t="shared" si="111"/>
        <v>0.10619469026548672</v>
      </c>
      <c r="AU265" s="45">
        <v>18</v>
      </c>
      <c r="AV265" s="41">
        <f t="shared" si="130"/>
        <v>9.6774193548387094E-2</v>
      </c>
      <c r="AW265" s="45">
        <v>9</v>
      </c>
      <c r="AX265" s="41">
        <f t="shared" si="112"/>
        <v>3.9823008849557522E-2</v>
      </c>
      <c r="AY265" s="45">
        <v>8</v>
      </c>
      <c r="AZ265" s="41">
        <f t="shared" si="131"/>
        <v>4.3010752688172046E-2</v>
      </c>
      <c r="BA265" s="45">
        <v>13</v>
      </c>
      <c r="BB265" s="41">
        <f t="shared" si="113"/>
        <v>5.7522123893805309E-2</v>
      </c>
      <c r="BC265" s="45">
        <v>9</v>
      </c>
      <c r="BD265" s="41">
        <f t="shared" si="132"/>
        <v>4.8387096774193547E-2</v>
      </c>
      <c r="BE265" s="45">
        <v>226</v>
      </c>
      <c r="BF265" s="45">
        <v>186</v>
      </c>
    </row>
    <row r="266" spans="1:58" ht="15.75" customHeight="1" x14ac:dyDescent="0.25">
      <c r="A266" s="44">
        <v>2023</v>
      </c>
      <c r="B266" s="39">
        <v>172049</v>
      </c>
      <c r="C266" s="37" t="str">
        <f>VLOOKUP(B266,procv!$A$2:$D$142,4,FALSE)</f>
        <v>Ilha do Bananal</v>
      </c>
      <c r="D266" s="37" t="s">
        <v>130</v>
      </c>
      <c r="E266" s="45">
        <v>4</v>
      </c>
      <c r="F266" s="42">
        <f t="shared" si="114"/>
        <v>1.8518518518518517E-2</v>
      </c>
      <c r="G266" s="45">
        <v>3</v>
      </c>
      <c r="H266" s="42">
        <f t="shared" si="115"/>
        <v>2.7777777777777776E-2</v>
      </c>
      <c r="I266" s="45">
        <v>6</v>
      </c>
      <c r="J266" s="41">
        <f t="shared" si="116"/>
        <v>2.7777777777777776E-2</v>
      </c>
      <c r="K266" s="45">
        <v>6</v>
      </c>
      <c r="L266" s="41">
        <f t="shared" si="117"/>
        <v>5.5555555555555552E-2</v>
      </c>
      <c r="M266" s="45">
        <v>192</v>
      </c>
      <c r="N266" s="41">
        <f t="shared" si="118"/>
        <v>0.88888888888888884</v>
      </c>
      <c r="O266" s="45">
        <v>89</v>
      </c>
      <c r="P266" s="41">
        <f t="shared" si="119"/>
        <v>0.82407407407407407</v>
      </c>
      <c r="Q266" s="45">
        <v>14</v>
      </c>
      <c r="R266" s="41">
        <f t="shared" si="120"/>
        <v>6.4814814814814811E-2</v>
      </c>
      <c r="S266" s="45">
        <v>10</v>
      </c>
      <c r="T266" s="41">
        <f t="shared" si="121"/>
        <v>9.2592592592592587E-2</v>
      </c>
      <c r="U266" s="45">
        <v>16</v>
      </c>
      <c r="V266" s="41">
        <f t="shared" si="122"/>
        <v>7.407407407407407E-2</v>
      </c>
      <c r="W266" s="45">
        <v>18</v>
      </c>
      <c r="X266" s="41">
        <f t="shared" si="123"/>
        <v>0.16666666666666666</v>
      </c>
      <c r="Y266" s="45">
        <v>19</v>
      </c>
      <c r="Z266" s="41">
        <f t="shared" si="124"/>
        <v>8.7962962962962965E-2</v>
      </c>
      <c r="AA266" s="45">
        <v>15</v>
      </c>
      <c r="AB266" s="41">
        <f t="shared" si="125"/>
        <v>0.1388888888888889</v>
      </c>
      <c r="AC266" s="45">
        <v>181</v>
      </c>
      <c r="AD266" s="41">
        <f t="shared" si="107"/>
        <v>0.83796296296296291</v>
      </c>
      <c r="AE266" s="45">
        <v>75</v>
      </c>
      <c r="AF266" s="41">
        <f t="shared" si="126"/>
        <v>0.69444444444444442</v>
      </c>
      <c r="AG266" s="45">
        <v>5</v>
      </c>
      <c r="AH266" s="41">
        <f t="shared" si="108"/>
        <v>2.3148148148148147E-2</v>
      </c>
      <c r="AI266" s="45">
        <v>3</v>
      </c>
      <c r="AJ266" s="41">
        <f t="shared" si="127"/>
        <v>2.7777777777777776E-2</v>
      </c>
      <c r="AK266" s="45">
        <v>9</v>
      </c>
      <c r="AL266" s="41">
        <f t="shared" si="109"/>
        <v>4.1666666666666664E-2</v>
      </c>
      <c r="AM266" s="45">
        <v>3</v>
      </c>
      <c r="AN266" s="41">
        <f t="shared" si="128"/>
        <v>2.7777777777777776E-2</v>
      </c>
      <c r="AO266" s="45">
        <v>122</v>
      </c>
      <c r="AP266" s="41">
        <f t="shared" si="110"/>
        <v>0.56481481481481477</v>
      </c>
      <c r="AQ266" s="45">
        <v>53</v>
      </c>
      <c r="AR266" s="41">
        <f t="shared" si="129"/>
        <v>0.49074074074074076</v>
      </c>
      <c r="AS266" s="45">
        <v>35</v>
      </c>
      <c r="AT266" s="41">
        <f t="shared" si="111"/>
        <v>0.16203703703703703</v>
      </c>
      <c r="AU266" s="45">
        <v>13</v>
      </c>
      <c r="AV266" s="41">
        <f t="shared" si="130"/>
        <v>0.12037037037037036</v>
      </c>
      <c r="AW266" s="45">
        <v>28</v>
      </c>
      <c r="AX266" s="41">
        <f t="shared" si="112"/>
        <v>0.12962962962962962</v>
      </c>
      <c r="AY266" s="45">
        <v>17</v>
      </c>
      <c r="AZ266" s="41">
        <f t="shared" si="131"/>
        <v>0.15740740740740741</v>
      </c>
      <c r="BA266" s="45">
        <v>17</v>
      </c>
      <c r="BB266" s="41">
        <f t="shared" si="113"/>
        <v>7.8703703703703706E-2</v>
      </c>
      <c r="BC266" s="45">
        <v>19</v>
      </c>
      <c r="BD266" s="41">
        <f t="shared" si="132"/>
        <v>0.17592592592592593</v>
      </c>
      <c r="BE266" s="45">
        <v>216</v>
      </c>
      <c r="BF266" s="45">
        <v>108</v>
      </c>
    </row>
    <row r="267" spans="1:58" ht="15.75" customHeight="1" x14ac:dyDescent="0.25">
      <c r="A267" s="44">
        <v>2023</v>
      </c>
      <c r="B267" s="39">
        <v>172065</v>
      </c>
      <c r="C267" s="37" t="str">
        <f>VLOOKUP(B267,procv!$A$2:$D$142,4,FALSE)</f>
        <v>Amor Perfeito</v>
      </c>
      <c r="D267" s="37" t="s">
        <v>131</v>
      </c>
      <c r="E267" s="45">
        <v>3</v>
      </c>
      <c r="F267" s="42">
        <f t="shared" si="114"/>
        <v>7.2815533980582527E-3</v>
      </c>
      <c r="G267" s="45">
        <v>4</v>
      </c>
      <c r="H267" s="42">
        <f t="shared" si="115"/>
        <v>1.9704433497536946E-2</v>
      </c>
      <c r="I267" s="45">
        <v>13</v>
      </c>
      <c r="J267" s="41">
        <f t="shared" si="116"/>
        <v>3.1553398058252427E-2</v>
      </c>
      <c r="K267" s="45">
        <v>11</v>
      </c>
      <c r="L267" s="41">
        <f t="shared" si="117"/>
        <v>5.4187192118226604E-2</v>
      </c>
      <c r="M267" s="45">
        <v>374</v>
      </c>
      <c r="N267" s="41">
        <f t="shared" si="118"/>
        <v>0.90776699029126218</v>
      </c>
      <c r="O267" s="45">
        <v>178</v>
      </c>
      <c r="P267" s="41">
        <f t="shared" si="119"/>
        <v>0.87684729064039413</v>
      </c>
      <c r="Q267" s="45">
        <v>22</v>
      </c>
      <c r="R267" s="41">
        <f t="shared" si="120"/>
        <v>5.3398058252427182E-2</v>
      </c>
      <c r="S267" s="45">
        <v>10</v>
      </c>
      <c r="T267" s="41">
        <f t="shared" si="121"/>
        <v>4.9261083743842367E-2</v>
      </c>
      <c r="U267" s="45">
        <v>33</v>
      </c>
      <c r="V267" s="41">
        <f t="shared" si="122"/>
        <v>8.0097087378640783E-2</v>
      </c>
      <c r="W267" s="45">
        <v>15</v>
      </c>
      <c r="X267" s="41">
        <f t="shared" si="123"/>
        <v>7.3891625615763554E-2</v>
      </c>
      <c r="Y267" s="45">
        <v>45</v>
      </c>
      <c r="Z267" s="41">
        <f t="shared" si="124"/>
        <v>0.10922330097087378</v>
      </c>
      <c r="AA267" s="45">
        <v>23</v>
      </c>
      <c r="AB267" s="41">
        <f t="shared" si="125"/>
        <v>0.11330049261083744</v>
      </c>
      <c r="AC267" s="45">
        <v>334</v>
      </c>
      <c r="AD267" s="41">
        <f t="shared" si="107"/>
        <v>0.81067961165048541</v>
      </c>
      <c r="AE267" s="45">
        <v>165</v>
      </c>
      <c r="AF267" s="41">
        <f t="shared" si="126"/>
        <v>0.81280788177339902</v>
      </c>
      <c r="AG267" s="45">
        <v>11</v>
      </c>
      <c r="AH267" s="41">
        <f t="shared" si="108"/>
        <v>2.6699029126213591E-2</v>
      </c>
      <c r="AI267" s="45">
        <v>11</v>
      </c>
      <c r="AJ267" s="41">
        <f t="shared" si="127"/>
        <v>5.4187192118226604E-2</v>
      </c>
      <c r="AK267" s="45">
        <v>10</v>
      </c>
      <c r="AL267" s="41">
        <f t="shared" si="109"/>
        <v>2.4271844660194174E-2</v>
      </c>
      <c r="AM267" s="45">
        <v>10</v>
      </c>
      <c r="AN267" s="41">
        <f t="shared" si="128"/>
        <v>4.9261083743842367E-2</v>
      </c>
      <c r="AO267" s="45">
        <v>232</v>
      </c>
      <c r="AP267" s="41">
        <f t="shared" si="110"/>
        <v>0.56310679611650483</v>
      </c>
      <c r="AQ267" s="45">
        <v>117</v>
      </c>
      <c r="AR267" s="41">
        <f t="shared" si="129"/>
        <v>0.57635467980295563</v>
      </c>
      <c r="AS267" s="45">
        <v>72</v>
      </c>
      <c r="AT267" s="41">
        <f t="shared" si="111"/>
        <v>0.17475728155339806</v>
      </c>
      <c r="AU267" s="45">
        <v>23</v>
      </c>
      <c r="AV267" s="41">
        <f t="shared" si="130"/>
        <v>0.11330049261083744</v>
      </c>
      <c r="AW267" s="45">
        <v>54</v>
      </c>
      <c r="AX267" s="41">
        <f t="shared" si="112"/>
        <v>0.13106796116504854</v>
      </c>
      <c r="AY267" s="45">
        <v>25</v>
      </c>
      <c r="AZ267" s="41">
        <f t="shared" si="131"/>
        <v>0.12315270935960591</v>
      </c>
      <c r="BA267" s="45">
        <v>33</v>
      </c>
      <c r="BB267" s="41">
        <f t="shared" si="113"/>
        <v>8.0097087378640783E-2</v>
      </c>
      <c r="BC267" s="45">
        <v>17</v>
      </c>
      <c r="BD267" s="41">
        <f t="shared" si="132"/>
        <v>8.3743842364532015E-2</v>
      </c>
      <c r="BE267" s="45">
        <v>412</v>
      </c>
      <c r="BF267" s="45">
        <v>203</v>
      </c>
    </row>
    <row r="268" spans="1:58" ht="15.75" customHeight="1" x14ac:dyDescent="0.25">
      <c r="A268" s="44">
        <v>2023</v>
      </c>
      <c r="B268" s="39">
        <v>172080</v>
      </c>
      <c r="C268" s="37" t="str">
        <f>VLOOKUP(B268,procv!$A$2:$D$142,4,FALSE)</f>
        <v>Bico do Papagaio</v>
      </c>
      <c r="D268" s="37" t="s">
        <v>132</v>
      </c>
      <c r="E268" s="45">
        <v>3</v>
      </c>
      <c r="F268" s="42">
        <f t="shared" si="114"/>
        <v>3.8265306122448979E-3</v>
      </c>
      <c r="G268" s="45">
        <v>4</v>
      </c>
      <c r="H268" s="42">
        <f t="shared" si="115"/>
        <v>8.5470085470085479E-3</v>
      </c>
      <c r="I268" s="45">
        <v>33</v>
      </c>
      <c r="J268" s="41">
        <f t="shared" si="116"/>
        <v>4.2091836734693876E-2</v>
      </c>
      <c r="K268" s="45">
        <v>13</v>
      </c>
      <c r="L268" s="41">
        <f t="shared" si="117"/>
        <v>2.7777777777777776E-2</v>
      </c>
      <c r="M268" s="45">
        <v>713</v>
      </c>
      <c r="N268" s="41">
        <f t="shared" si="118"/>
        <v>0.90943877551020413</v>
      </c>
      <c r="O268" s="45">
        <v>428</v>
      </c>
      <c r="P268" s="41">
        <f t="shared" si="119"/>
        <v>0.9145299145299145</v>
      </c>
      <c r="Q268" s="45">
        <v>35</v>
      </c>
      <c r="R268" s="41">
        <f t="shared" si="120"/>
        <v>4.4642857142857144E-2</v>
      </c>
      <c r="S268" s="45">
        <v>23</v>
      </c>
      <c r="T268" s="41">
        <f t="shared" si="121"/>
        <v>4.9145299145299144E-2</v>
      </c>
      <c r="U268" s="45">
        <v>47</v>
      </c>
      <c r="V268" s="41">
        <f t="shared" si="122"/>
        <v>5.9948979591836732E-2</v>
      </c>
      <c r="W268" s="45">
        <v>52</v>
      </c>
      <c r="X268" s="41">
        <f t="shared" si="123"/>
        <v>0.1111111111111111</v>
      </c>
      <c r="Y268" s="45">
        <v>65</v>
      </c>
      <c r="Z268" s="41">
        <f t="shared" si="124"/>
        <v>8.2908163265306117E-2</v>
      </c>
      <c r="AA268" s="45">
        <v>51</v>
      </c>
      <c r="AB268" s="41">
        <f t="shared" si="125"/>
        <v>0.10897435897435898</v>
      </c>
      <c r="AC268" s="45">
        <v>672</v>
      </c>
      <c r="AD268" s="41">
        <f t="shared" si="107"/>
        <v>0.8571428571428571</v>
      </c>
      <c r="AE268" s="45">
        <v>365</v>
      </c>
      <c r="AF268" s="41">
        <f t="shared" si="126"/>
        <v>0.77991452991452992</v>
      </c>
      <c r="AG268" s="45">
        <v>18</v>
      </c>
      <c r="AH268" s="41">
        <f t="shared" si="108"/>
        <v>2.2959183673469389E-2</v>
      </c>
      <c r="AI268" s="45">
        <v>12</v>
      </c>
      <c r="AJ268" s="41">
        <f t="shared" si="127"/>
        <v>2.564102564102564E-2</v>
      </c>
      <c r="AK268" s="45">
        <v>29</v>
      </c>
      <c r="AL268" s="41">
        <f t="shared" si="109"/>
        <v>3.6989795918367346E-2</v>
      </c>
      <c r="AM268" s="45">
        <v>21</v>
      </c>
      <c r="AN268" s="41">
        <f t="shared" si="128"/>
        <v>4.4871794871794872E-2</v>
      </c>
      <c r="AO268" s="45">
        <v>526</v>
      </c>
      <c r="AP268" s="41">
        <f t="shared" si="110"/>
        <v>0.67091836734693877</v>
      </c>
      <c r="AQ268" s="45">
        <v>287</v>
      </c>
      <c r="AR268" s="41">
        <f t="shared" si="129"/>
        <v>0.61324786324786329</v>
      </c>
      <c r="AS268" s="45">
        <v>118</v>
      </c>
      <c r="AT268" s="41">
        <f t="shared" si="111"/>
        <v>0.15051020408163265</v>
      </c>
      <c r="AU268" s="45">
        <v>73</v>
      </c>
      <c r="AV268" s="41">
        <f t="shared" si="130"/>
        <v>0.15598290598290598</v>
      </c>
      <c r="AW268" s="45">
        <v>52</v>
      </c>
      <c r="AX268" s="41">
        <f t="shared" si="112"/>
        <v>6.6326530612244902E-2</v>
      </c>
      <c r="AY268" s="45">
        <v>38</v>
      </c>
      <c r="AZ268" s="41">
        <f t="shared" si="131"/>
        <v>8.11965811965812E-2</v>
      </c>
      <c r="BA268" s="45">
        <v>41</v>
      </c>
      <c r="BB268" s="41">
        <f t="shared" si="113"/>
        <v>5.2295918367346941E-2</v>
      </c>
      <c r="BC268" s="45">
        <v>37</v>
      </c>
      <c r="BD268" s="41">
        <f t="shared" si="132"/>
        <v>7.9059829059829057E-2</v>
      </c>
      <c r="BE268" s="45">
        <v>784</v>
      </c>
      <c r="BF268" s="45">
        <v>468</v>
      </c>
    </row>
    <row r="269" spans="1:58" ht="15.75" customHeight="1" x14ac:dyDescent="0.25">
      <c r="A269" s="44">
        <v>2023</v>
      </c>
      <c r="B269" s="39">
        <v>172085</v>
      </c>
      <c r="C269" s="37" t="str">
        <f>VLOOKUP(B269,procv!$A$2:$D$142,4,FALSE)</f>
        <v>Ilha do Bananal</v>
      </c>
      <c r="D269" s="37" t="s">
        <v>133</v>
      </c>
      <c r="E269" s="45">
        <v>2</v>
      </c>
      <c r="F269" s="42">
        <f t="shared" si="114"/>
        <v>1.9417475728155338E-2</v>
      </c>
      <c r="G269" s="45">
        <v>3</v>
      </c>
      <c r="H269" s="42">
        <f t="shared" si="115"/>
        <v>6.25E-2</v>
      </c>
      <c r="I269" s="45">
        <v>2</v>
      </c>
      <c r="J269" s="41">
        <f t="shared" si="116"/>
        <v>1.9417475728155338E-2</v>
      </c>
      <c r="K269" s="45">
        <v>1</v>
      </c>
      <c r="L269" s="41">
        <f t="shared" si="117"/>
        <v>2.0833333333333332E-2</v>
      </c>
      <c r="M269" s="45">
        <v>91</v>
      </c>
      <c r="N269" s="41">
        <f t="shared" si="118"/>
        <v>0.88349514563106801</v>
      </c>
      <c r="O269" s="45">
        <v>38</v>
      </c>
      <c r="P269" s="41">
        <f t="shared" si="119"/>
        <v>0.79166666666666663</v>
      </c>
      <c r="Q269" s="45">
        <v>8</v>
      </c>
      <c r="R269" s="41">
        <f t="shared" si="120"/>
        <v>7.7669902912621352E-2</v>
      </c>
      <c r="S269" s="45">
        <v>6</v>
      </c>
      <c r="T269" s="41">
        <f t="shared" si="121"/>
        <v>0.125</v>
      </c>
      <c r="U269" s="45">
        <v>7</v>
      </c>
      <c r="V269" s="41">
        <f t="shared" si="122"/>
        <v>6.7961165048543687E-2</v>
      </c>
      <c r="W269" s="45">
        <v>2</v>
      </c>
      <c r="X269" s="41">
        <f t="shared" si="123"/>
        <v>4.1666666666666664E-2</v>
      </c>
      <c r="Y269" s="45">
        <v>6</v>
      </c>
      <c r="Z269" s="41">
        <f t="shared" si="124"/>
        <v>5.8252427184466021E-2</v>
      </c>
      <c r="AA269" s="45">
        <v>4</v>
      </c>
      <c r="AB269" s="41">
        <f t="shared" si="125"/>
        <v>8.3333333333333329E-2</v>
      </c>
      <c r="AC269" s="45">
        <v>90</v>
      </c>
      <c r="AD269" s="41">
        <f t="shared" si="107"/>
        <v>0.87378640776699024</v>
      </c>
      <c r="AE269" s="45">
        <v>42</v>
      </c>
      <c r="AF269" s="41">
        <f t="shared" si="126"/>
        <v>0.875</v>
      </c>
      <c r="AG269" s="45">
        <v>2</v>
      </c>
      <c r="AH269" s="41">
        <f t="shared" si="108"/>
        <v>1.9417475728155338E-2</v>
      </c>
      <c r="AI269" s="45">
        <v>1</v>
      </c>
      <c r="AJ269" s="41">
        <f t="shared" si="127"/>
        <v>2.0833333333333332E-2</v>
      </c>
      <c r="AK269" s="45">
        <v>4</v>
      </c>
      <c r="AL269" s="41">
        <f t="shared" si="109"/>
        <v>3.8834951456310676E-2</v>
      </c>
      <c r="AM269" s="45">
        <v>6</v>
      </c>
      <c r="AN269" s="41">
        <f t="shared" si="128"/>
        <v>0.125</v>
      </c>
      <c r="AO269" s="45">
        <v>63</v>
      </c>
      <c r="AP269" s="41">
        <f t="shared" si="110"/>
        <v>0.61165048543689315</v>
      </c>
      <c r="AQ269" s="45">
        <v>32</v>
      </c>
      <c r="AR269" s="41">
        <f t="shared" si="129"/>
        <v>0.66666666666666663</v>
      </c>
      <c r="AS269" s="45">
        <v>20</v>
      </c>
      <c r="AT269" s="41">
        <f t="shared" si="111"/>
        <v>0.1941747572815534</v>
      </c>
      <c r="AU269" s="45">
        <v>4</v>
      </c>
      <c r="AV269" s="41">
        <f t="shared" si="130"/>
        <v>8.3333333333333329E-2</v>
      </c>
      <c r="AW269" s="45">
        <v>9</v>
      </c>
      <c r="AX269" s="41">
        <f t="shared" si="112"/>
        <v>8.7378640776699032E-2</v>
      </c>
      <c r="AY269" s="45">
        <v>3</v>
      </c>
      <c r="AZ269" s="41">
        <f t="shared" si="131"/>
        <v>6.25E-2</v>
      </c>
      <c r="BA269" s="45">
        <v>5</v>
      </c>
      <c r="BB269" s="41">
        <f t="shared" si="113"/>
        <v>4.8543689320388349E-2</v>
      </c>
      <c r="BC269" s="45">
        <v>2</v>
      </c>
      <c r="BD269" s="41">
        <f t="shared" si="132"/>
        <v>4.1666666666666664E-2</v>
      </c>
      <c r="BE269" s="45">
        <v>103</v>
      </c>
      <c r="BF269" s="45">
        <v>48</v>
      </c>
    </row>
    <row r="270" spans="1:58" ht="15.75" customHeight="1" x14ac:dyDescent="0.25">
      <c r="A270" s="44">
        <v>2023</v>
      </c>
      <c r="B270" s="39">
        <v>170825</v>
      </c>
      <c r="C270" s="37" t="str">
        <f>VLOOKUP(B270,procv!$A$2:$D$142,4,FALSE)</f>
        <v>Capim Dourado</v>
      </c>
      <c r="D270" s="37" t="s">
        <v>134</v>
      </c>
      <c r="E270" s="45">
        <v>2</v>
      </c>
      <c r="F270" s="42">
        <f t="shared" si="114"/>
        <v>1.5625E-2</v>
      </c>
      <c r="G270" s="45">
        <v>1</v>
      </c>
      <c r="H270" s="42">
        <f t="shared" si="115"/>
        <v>9.2592592592592587E-3</v>
      </c>
      <c r="I270" s="45">
        <v>2</v>
      </c>
      <c r="J270" s="41">
        <f t="shared" si="116"/>
        <v>1.5625E-2</v>
      </c>
      <c r="K270" s="45">
        <v>2</v>
      </c>
      <c r="L270" s="41">
        <f t="shared" si="117"/>
        <v>1.8518518518518517E-2</v>
      </c>
      <c r="M270" s="45">
        <v>119</v>
      </c>
      <c r="N270" s="41">
        <f t="shared" si="118"/>
        <v>0.9296875</v>
      </c>
      <c r="O270" s="45">
        <v>100</v>
      </c>
      <c r="P270" s="41">
        <f t="shared" si="119"/>
        <v>0.92592592592592593</v>
      </c>
      <c r="Q270" s="45">
        <v>5</v>
      </c>
      <c r="R270" s="41">
        <f t="shared" si="120"/>
        <v>3.90625E-2</v>
      </c>
      <c r="S270" s="45">
        <v>5</v>
      </c>
      <c r="T270" s="41">
        <f t="shared" si="121"/>
        <v>4.6296296296296294E-2</v>
      </c>
      <c r="U270" s="45">
        <v>7</v>
      </c>
      <c r="V270" s="41">
        <f t="shared" si="122"/>
        <v>5.46875E-2</v>
      </c>
      <c r="W270" s="45">
        <v>8</v>
      </c>
      <c r="X270" s="41">
        <f t="shared" si="123"/>
        <v>7.407407407407407E-2</v>
      </c>
      <c r="Y270" s="45">
        <v>6</v>
      </c>
      <c r="Z270" s="41">
        <f t="shared" si="124"/>
        <v>4.6875E-2</v>
      </c>
      <c r="AA270" s="45">
        <v>5</v>
      </c>
      <c r="AB270" s="41">
        <f t="shared" si="125"/>
        <v>4.6296296296296294E-2</v>
      </c>
      <c r="AC270" s="45">
        <v>115</v>
      </c>
      <c r="AD270" s="41">
        <f t="shared" si="107"/>
        <v>0.8984375</v>
      </c>
      <c r="AE270" s="45">
        <v>95</v>
      </c>
      <c r="AF270" s="41">
        <f t="shared" si="126"/>
        <v>0.87962962962962965</v>
      </c>
      <c r="AG270" s="45">
        <v>4</v>
      </c>
      <c r="AH270" s="41">
        <f t="shared" si="108"/>
        <v>3.125E-2</v>
      </c>
      <c r="AI270" s="45">
        <v>2</v>
      </c>
      <c r="AJ270" s="41">
        <f t="shared" si="127"/>
        <v>1.8518518518518517E-2</v>
      </c>
      <c r="AK270" s="45">
        <v>5</v>
      </c>
      <c r="AL270" s="41">
        <f t="shared" si="109"/>
        <v>3.90625E-2</v>
      </c>
      <c r="AM270" s="45">
        <v>5</v>
      </c>
      <c r="AN270" s="41">
        <f t="shared" si="128"/>
        <v>4.6296296296296294E-2</v>
      </c>
      <c r="AO270" s="45">
        <v>91</v>
      </c>
      <c r="AP270" s="41">
        <f t="shared" si="110"/>
        <v>0.7109375</v>
      </c>
      <c r="AQ270" s="45">
        <v>74</v>
      </c>
      <c r="AR270" s="41">
        <f t="shared" si="129"/>
        <v>0.68518518518518523</v>
      </c>
      <c r="AS270" s="45">
        <v>17</v>
      </c>
      <c r="AT270" s="41">
        <f t="shared" si="111"/>
        <v>0.1328125</v>
      </c>
      <c r="AU270" s="45">
        <v>15</v>
      </c>
      <c r="AV270" s="41">
        <f t="shared" si="130"/>
        <v>0.1388888888888889</v>
      </c>
      <c r="AW270" s="45">
        <v>7</v>
      </c>
      <c r="AX270" s="41">
        <f t="shared" si="112"/>
        <v>5.46875E-2</v>
      </c>
      <c r="AY270" s="45">
        <v>8</v>
      </c>
      <c r="AZ270" s="41">
        <f t="shared" si="131"/>
        <v>7.407407407407407E-2</v>
      </c>
      <c r="BA270" s="45">
        <v>4</v>
      </c>
      <c r="BB270" s="41">
        <f t="shared" si="113"/>
        <v>3.125E-2</v>
      </c>
      <c r="BC270" s="45">
        <v>4</v>
      </c>
      <c r="BD270" s="41">
        <f t="shared" si="132"/>
        <v>3.7037037037037035E-2</v>
      </c>
      <c r="BE270" s="45">
        <v>128</v>
      </c>
      <c r="BF270" s="45">
        <v>108</v>
      </c>
    </row>
    <row r="271" spans="1:58" ht="15.75" customHeight="1" x14ac:dyDescent="0.25">
      <c r="A271" s="44">
        <v>2023</v>
      </c>
      <c r="B271" s="39">
        <v>172090</v>
      </c>
      <c r="C271" s="37" t="str">
        <f>VLOOKUP(B271,procv!$A$2:$D$142,4,FALSE)</f>
        <v>Sudeste</v>
      </c>
      <c r="D271" s="37" t="s">
        <v>135</v>
      </c>
      <c r="E271" s="45">
        <v>9</v>
      </c>
      <c r="F271" s="42">
        <f t="shared" si="114"/>
        <v>1.0368663594470046E-2</v>
      </c>
      <c r="G271" s="45">
        <v>6</v>
      </c>
      <c r="H271" s="42">
        <f t="shared" si="115"/>
        <v>9.1743119266055051E-3</v>
      </c>
      <c r="I271" s="45">
        <v>24</v>
      </c>
      <c r="J271" s="41">
        <f t="shared" si="116"/>
        <v>2.7649769585253458E-2</v>
      </c>
      <c r="K271" s="45">
        <v>23</v>
      </c>
      <c r="L271" s="41">
        <f t="shared" si="117"/>
        <v>3.5168195718654434E-2</v>
      </c>
      <c r="M271" s="45">
        <v>790</v>
      </c>
      <c r="N271" s="41">
        <f t="shared" si="118"/>
        <v>0.91013824884792627</v>
      </c>
      <c r="O271" s="45">
        <v>594</v>
      </c>
      <c r="P271" s="41">
        <f t="shared" si="119"/>
        <v>0.90825688073394495</v>
      </c>
      <c r="Q271" s="45">
        <v>45</v>
      </c>
      <c r="R271" s="41">
        <f t="shared" si="120"/>
        <v>5.1843317972350228E-2</v>
      </c>
      <c r="S271" s="45">
        <v>31</v>
      </c>
      <c r="T271" s="41">
        <f t="shared" si="121"/>
        <v>4.7400611620795105E-2</v>
      </c>
      <c r="U271" s="45">
        <v>47</v>
      </c>
      <c r="V271" s="41">
        <f t="shared" si="122"/>
        <v>5.414746543778802E-2</v>
      </c>
      <c r="W271" s="45">
        <v>42</v>
      </c>
      <c r="X271" s="41">
        <f t="shared" si="123"/>
        <v>6.4220183486238536E-2</v>
      </c>
      <c r="Y271" s="45">
        <v>83</v>
      </c>
      <c r="Z271" s="41">
        <f t="shared" si="124"/>
        <v>9.5622119815668205E-2</v>
      </c>
      <c r="AA271" s="45">
        <v>53</v>
      </c>
      <c r="AB271" s="41">
        <f t="shared" si="125"/>
        <v>8.1039755351681952E-2</v>
      </c>
      <c r="AC271" s="45">
        <v>738</v>
      </c>
      <c r="AD271" s="41">
        <f t="shared" si="107"/>
        <v>0.85023041474654382</v>
      </c>
      <c r="AE271" s="45">
        <v>559</v>
      </c>
      <c r="AF271" s="41">
        <f t="shared" si="126"/>
        <v>0.85474006116207946</v>
      </c>
      <c r="AG271" s="45">
        <v>25</v>
      </c>
      <c r="AH271" s="41">
        <f t="shared" si="108"/>
        <v>2.880184331797235E-2</v>
      </c>
      <c r="AI271" s="45">
        <v>32</v>
      </c>
      <c r="AJ271" s="41">
        <f t="shared" si="127"/>
        <v>4.8929663608562692E-2</v>
      </c>
      <c r="AK271" s="45">
        <v>24</v>
      </c>
      <c r="AL271" s="41">
        <f t="shared" si="109"/>
        <v>2.7649769585253458E-2</v>
      </c>
      <c r="AM271" s="45">
        <v>24</v>
      </c>
      <c r="AN271" s="41">
        <f t="shared" si="128"/>
        <v>3.669724770642202E-2</v>
      </c>
      <c r="AO271" s="45">
        <v>528</v>
      </c>
      <c r="AP271" s="41">
        <f t="shared" si="110"/>
        <v>0.60829493087557607</v>
      </c>
      <c r="AQ271" s="45">
        <v>416</v>
      </c>
      <c r="AR271" s="41">
        <f t="shared" si="129"/>
        <v>0.63608562691131498</v>
      </c>
      <c r="AS271" s="45">
        <v>146</v>
      </c>
      <c r="AT271" s="41">
        <f t="shared" si="111"/>
        <v>0.16820276497695852</v>
      </c>
      <c r="AU271" s="45">
        <v>89</v>
      </c>
      <c r="AV271" s="41">
        <f t="shared" si="130"/>
        <v>0.13608562691131498</v>
      </c>
      <c r="AW271" s="45">
        <v>77</v>
      </c>
      <c r="AX271" s="41">
        <f t="shared" si="112"/>
        <v>8.8709677419354843E-2</v>
      </c>
      <c r="AY271" s="45">
        <v>46</v>
      </c>
      <c r="AZ271" s="41">
        <f t="shared" si="131"/>
        <v>7.0336391437308868E-2</v>
      </c>
      <c r="BA271" s="45">
        <v>68</v>
      </c>
      <c r="BB271" s="41">
        <f t="shared" si="113"/>
        <v>7.8341013824884786E-2</v>
      </c>
      <c r="BC271" s="45">
        <v>47</v>
      </c>
      <c r="BD271" s="41">
        <f t="shared" si="132"/>
        <v>7.1865443425076447E-2</v>
      </c>
      <c r="BE271" s="45">
        <v>868</v>
      </c>
      <c r="BF271" s="45">
        <v>654</v>
      </c>
    </row>
    <row r="272" spans="1:58" ht="15.75" customHeight="1" x14ac:dyDescent="0.25">
      <c r="A272" s="44">
        <v>2023</v>
      </c>
      <c r="B272" s="39">
        <v>172093</v>
      </c>
      <c r="C272" s="37" t="str">
        <f>VLOOKUP(B272,procv!$A$2:$D$142,4,FALSE)</f>
        <v>Sudeste</v>
      </c>
      <c r="D272" s="37" t="s">
        <v>136</v>
      </c>
      <c r="E272" s="45">
        <v>0</v>
      </c>
      <c r="F272" s="42">
        <f t="shared" si="114"/>
        <v>0</v>
      </c>
      <c r="G272" s="45">
        <v>0</v>
      </c>
      <c r="H272" s="42">
        <f t="shared" si="115"/>
        <v>0</v>
      </c>
      <c r="I272" s="45">
        <v>3</v>
      </c>
      <c r="J272" s="41">
        <f t="shared" si="116"/>
        <v>3.7974683544303799E-2</v>
      </c>
      <c r="K272" s="45">
        <v>3</v>
      </c>
      <c r="L272" s="41">
        <f t="shared" si="117"/>
        <v>5.4545454545454543E-2</v>
      </c>
      <c r="M272" s="45">
        <v>69</v>
      </c>
      <c r="N272" s="41">
        <f t="shared" si="118"/>
        <v>0.87341772151898733</v>
      </c>
      <c r="O272" s="45">
        <v>46</v>
      </c>
      <c r="P272" s="41">
        <f t="shared" si="119"/>
        <v>0.83636363636363631</v>
      </c>
      <c r="Q272" s="45">
        <v>7</v>
      </c>
      <c r="R272" s="41">
        <f t="shared" si="120"/>
        <v>8.8607594936708861E-2</v>
      </c>
      <c r="S272" s="45">
        <v>6</v>
      </c>
      <c r="T272" s="41">
        <f t="shared" si="121"/>
        <v>0.10909090909090909</v>
      </c>
      <c r="U272" s="45">
        <v>1</v>
      </c>
      <c r="V272" s="41">
        <f t="shared" si="122"/>
        <v>1.2658227848101266E-2</v>
      </c>
      <c r="W272" s="45">
        <v>0</v>
      </c>
      <c r="X272" s="41">
        <f t="shared" si="123"/>
        <v>0</v>
      </c>
      <c r="Y272" s="45">
        <v>2</v>
      </c>
      <c r="Z272" s="41">
        <f t="shared" si="124"/>
        <v>2.5316455696202531E-2</v>
      </c>
      <c r="AA272" s="45">
        <v>0</v>
      </c>
      <c r="AB272" s="41">
        <f t="shared" si="125"/>
        <v>0</v>
      </c>
      <c r="AC272" s="45">
        <v>76</v>
      </c>
      <c r="AD272" s="41">
        <f t="shared" si="107"/>
        <v>0.96202531645569622</v>
      </c>
      <c r="AE272" s="45">
        <v>55</v>
      </c>
      <c r="AF272" s="41">
        <f t="shared" si="126"/>
        <v>1</v>
      </c>
      <c r="AG272" s="45">
        <v>2</v>
      </c>
      <c r="AH272" s="41">
        <f t="shared" si="108"/>
        <v>2.5316455696202531E-2</v>
      </c>
      <c r="AI272" s="45">
        <v>0</v>
      </c>
      <c r="AJ272" s="41">
        <f t="shared" si="127"/>
        <v>0</v>
      </c>
      <c r="AK272" s="45">
        <v>7</v>
      </c>
      <c r="AL272" s="41">
        <f t="shared" si="109"/>
        <v>8.8607594936708861E-2</v>
      </c>
      <c r="AM272" s="45">
        <v>6</v>
      </c>
      <c r="AN272" s="41">
        <f t="shared" si="128"/>
        <v>0.10909090909090909</v>
      </c>
      <c r="AO272" s="45">
        <v>48</v>
      </c>
      <c r="AP272" s="41">
        <f t="shared" si="110"/>
        <v>0.60759493670886078</v>
      </c>
      <c r="AQ272" s="45">
        <v>34</v>
      </c>
      <c r="AR272" s="41">
        <f t="shared" si="129"/>
        <v>0.61818181818181817</v>
      </c>
      <c r="AS272" s="45">
        <v>15</v>
      </c>
      <c r="AT272" s="41">
        <f t="shared" si="111"/>
        <v>0.189873417721519</v>
      </c>
      <c r="AU272" s="45">
        <v>9</v>
      </c>
      <c r="AV272" s="41">
        <f t="shared" si="130"/>
        <v>0.16363636363636364</v>
      </c>
      <c r="AW272" s="45">
        <v>4</v>
      </c>
      <c r="AX272" s="41">
        <f t="shared" si="112"/>
        <v>5.0632911392405063E-2</v>
      </c>
      <c r="AY272" s="45">
        <v>4</v>
      </c>
      <c r="AZ272" s="41">
        <f t="shared" si="131"/>
        <v>7.2727272727272724E-2</v>
      </c>
      <c r="BA272" s="45">
        <v>3</v>
      </c>
      <c r="BB272" s="41">
        <f t="shared" si="113"/>
        <v>3.7974683544303799E-2</v>
      </c>
      <c r="BC272" s="45">
        <v>2</v>
      </c>
      <c r="BD272" s="41">
        <f t="shared" si="132"/>
        <v>3.6363636363636362E-2</v>
      </c>
      <c r="BE272" s="45">
        <v>79</v>
      </c>
      <c r="BF272" s="45">
        <v>55</v>
      </c>
    </row>
    <row r="273" spans="1:58" ht="15.75" customHeight="1" x14ac:dyDescent="0.25">
      <c r="A273" s="44">
        <v>2023</v>
      </c>
      <c r="B273" s="39">
        <v>172097</v>
      </c>
      <c r="C273" s="37" t="str">
        <f>VLOOKUP(B273,procv!$A$2:$D$142,4,FALSE)</f>
        <v>Ilha do Bananal</v>
      </c>
      <c r="D273" s="37" t="s">
        <v>137</v>
      </c>
      <c r="E273" s="45">
        <v>0</v>
      </c>
      <c r="F273" s="42">
        <f t="shared" si="114"/>
        <v>0</v>
      </c>
      <c r="G273" s="45">
        <v>0</v>
      </c>
      <c r="H273" s="42">
        <f t="shared" si="115"/>
        <v>0</v>
      </c>
      <c r="I273" s="45">
        <v>5</v>
      </c>
      <c r="J273" s="41">
        <f t="shared" si="116"/>
        <v>2.9585798816568046E-2</v>
      </c>
      <c r="K273" s="45">
        <v>2</v>
      </c>
      <c r="L273" s="41">
        <f t="shared" si="117"/>
        <v>2.6315789473684209E-2</v>
      </c>
      <c r="M273" s="45">
        <v>155</v>
      </c>
      <c r="N273" s="41">
        <f t="shared" si="118"/>
        <v>0.91715976331360949</v>
      </c>
      <c r="O273" s="45">
        <v>69</v>
      </c>
      <c r="P273" s="41">
        <f t="shared" si="119"/>
        <v>0.90789473684210531</v>
      </c>
      <c r="Q273" s="45">
        <v>9</v>
      </c>
      <c r="R273" s="41">
        <f t="shared" si="120"/>
        <v>5.3254437869822487E-2</v>
      </c>
      <c r="S273" s="45">
        <v>5</v>
      </c>
      <c r="T273" s="41">
        <f t="shared" si="121"/>
        <v>6.5789473684210523E-2</v>
      </c>
      <c r="U273" s="45">
        <v>9</v>
      </c>
      <c r="V273" s="41">
        <f t="shared" si="122"/>
        <v>5.3254437869822487E-2</v>
      </c>
      <c r="W273" s="45">
        <v>5</v>
      </c>
      <c r="X273" s="41">
        <f t="shared" si="123"/>
        <v>6.5789473684210523E-2</v>
      </c>
      <c r="Y273" s="45">
        <v>17</v>
      </c>
      <c r="Z273" s="41">
        <f t="shared" si="124"/>
        <v>0.10059171597633136</v>
      </c>
      <c r="AA273" s="45">
        <v>12</v>
      </c>
      <c r="AB273" s="41">
        <f t="shared" si="125"/>
        <v>0.15789473684210525</v>
      </c>
      <c r="AC273" s="45">
        <v>143</v>
      </c>
      <c r="AD273" s="41">
        <f t="shared" si="107"/>
        <v>0.84615384615384615</v>
      </c>
      <c r="AE273" s="45">
        <v>59</v>
      </c>
      <c r="AF273" s="41">
        <f t="shared" si="126"/>
        <v>0.77631578947368418</v>
      </c>
      <c r="AG273" s="45">
        <v>2</v>
      </c>
      <c r="AH273" s="41">
        <f t="shared" si="108"/>
        <v>1.1834319526627219E-2</v>
      </c>
      <c r="AI273" s="45">
        <v>0</v>
      </c>
      <c r="AJ273" s="41">
        <f t="shared" si="127"/>
        <v>0</v>
      </c>
      <c r="AK273" s="45">
        <v>6</v>
      </c>
      <c r="AL273" s="41">
        <f t="shared" si="109"/>
        <v>3.5502958579881658E-2</v>
      </c>
      <c r="AM273" s="45">
        <v>3</v>
      </c>
      <c r="AN273" s="41">
        <f t="shared" si="128"/>
        <v>3.9473684210526314E-2</v>
      </c>
      <c r="AO273" s="45">
        <v>95</v>
      </c>
      <c r="AP273" s="41">
        <f t="shared" si="110"/>
        <v>0.56213017751479288</v>
      </c>
      <c r="AQ273" s="45">
        <v>41</v>
      </c>
      <c r="AR273" s="41">
        <f t="shared" si="129"/>
        <v>0.53947368421052633</v>
      </c>
      <c r="AS273" s="45">
        <v>35</v>
      </c>
      <c r="AT273" s="41">
        <f t="shared" si="111"/>
        <v>0.20710059171597633</v>
      </c>
      <c r="AU273" s="45">
        <v>18</v>
      </c>
      <c r="AV273" s="41">
        <f t="shared" si="130"/>
        <v>0.23684210526315788</v>
      </c>
      <c r="AW273" s="45">
        <v>19</v>
      </c>
      <c r="AX273" s="41">
        <f t="shared" si="112"/>
        <v>0.11242603550295859</v>
      </c>
      <c r="AY273" s="45">
        <v>9</v>
      </c>
      <c r="AZ273" s="41">
        <f t="shared" si="131"/>
        <v>0.11842105263157894</v>
      </c>
      <c r="BA273" s="45">
        <v>12</v>
      </c>
      <c r="BB273" s="41">
        <f t="shared" si="113"/>
        <v>7.1005917159763315E-2</v>
      </c>
      <c r="BC273" s="45">
        <v>5</v>
      </c>
      <c r="BD273" s="41">
        <f t="shared" si="132"/>
        <v>6.5789473684210523E-2</v>
      </c>
      <c r="BE273" s="45">
        <v>169</v>
      </c>
      <c r="BF273" s="45">
        <v>76</v>
      </c>
    </row>
    <row r="274" spans="1:58" ht="15.75" customHeight="1" x14ac:dyDescent="0.25">
      <c r="A274" s="44">
        <v>2023</v>
      </c>
      <c r="B274" s="39">
        <v>172110</v>
      </c>
      <c r="C274" s="37" t="str">
        <f>VLOOKUP(B274,procv!$A$2:$D$142,4,FALSE)</f>
        <v>Capim Dourado</v>
      </c>
      <c r="D274" s="37" t="s">
        <v>138</v>
      </c>
      <c r="E274" s="45">
        <v>6</v>
      </c>
      <c r="F274" s="42">
        <f t="shared" si="114"/>
        <v>7.8843626806833107E-3</v>
      </c>
      <c r="G274" s="45">
        <v>8</v>
      </c>
      <c r="H274" s="42">
        <f t="shared" si="115"/>
        <v>1.3071895424836602E-2</v>
      </c>
      <c r="I274" s="45">
        <v>27</v>
      </c>
      <c r="J274" s="41">
        <f t="shared" si="116"/>
        <v>3.5479632063074903E-2</v>
      </c>
      <c r="K274" s="45">
        <v>26</v>
      </c>
      <c r="L274" s="41">
        <f t="shared" si="117"/>
        <v>4.2483660130718956E-2</v>
      </c>
      <c r="M274" s="45">
        <v>706</v>
      </c>
      <c r="N274" s="41">
        <f t="shared" si="118"/>
        <v>0.92772667542706966</v>
      </c>
      <c r="O274" s="45">
        <v>560</v>
      </c>
      <c r="P274" s="41">
        <f t="shared" si="119"/>
        <v>0.91503267973856206</v>
      </c>
      <c r="Q274" s="45">
        <v>22</v>
      </c>
      <c r="R274" s="41">
        <f t="shared" si="120"/>
        <v>2.8909329829172142E-2</v>
      </c>
      <c r="S274" s="45">
        <v>18</v>
      </c>
      <c r="T274" s="41">
        <f t="shared" si="121"/>
        <v>2.9411764705882353E-2</v>
      </c>
      <c r="U274" s="45">
        <v>34</v>
      </c>
      <c r="V274" s="41">
        <f t="shared" si="122"/>
        <v>4.4678055190538767E-2</v>
      </c>
      <c r="W274" s="45">
        <v>34</v>
      </c>
      <c r="X274" s="41">
        <f t="shared" si="123"/>
        <v>5.5555555555555552E-2</v>
      </c>
      <c r="Y274" s="45">
        <v>68</v>
      </c>
      <c r="Z274" s="41">
        <f t="shared" si="124"/>
        <v>8.9356110381077533E-2</v>
      </c>
      <c r="AA274" s="45">
        <v>59</v>
      </c>
      <c r="AB274" s="41">
        <f t="shared" si="125"/>
        <v>9.6405228758169939E-2</v>
      </c>
      <c r="AC274" s="45">
        <v>659</v>
      </c>
      <c r="AD274" s="41">
        <f t="shared" si="107"/>
        <v>0.86596583442838371</v>
      </c>
      <c r="AE274" s="45">
        <v>519</v>
      </c>
      <c r="AF274" s="41">
        <f t="shared" si="126"/>
        <v>0.84803921568627449</v>
      </c>
      <c r="AG274" s="45">
        <v>33</v>
      </c>
      <c r="AH274" s="41">
        <f t="shared" si="108"/>
        <v>4.3363994743758211E-2</v>
      </c>
      <c r="AI274" s="45">
        <v>42</v>
      </c>
      <c r="AJ274" s="41">
        <f t="shared" si="127"/>
        <v>6.8627450980392163E-2</v>
      </c>
      <c r="AK274" s="45">
        <v>26</v>
      </c>
      <c r="AL274" s="41">
        <f t="shared" si="109"/>
        <v>3.4165571616294348E-2</v>
      </c>
      <c r="AM274" s="45">
        <v>25</v>
      </c>
      <c r="AN274" s="41">
        <f t="shared" si="128"/>
        <v>4.084967320261438E-2</v>
      </c>
      <c r="AO274" s="45">
        <v>484</v>
      </c>
      <c r="AP274" s="41">
        <f t="shared" si="110"/>
        <v>0.63600525624178716</v>
      </c>
      <c r="AQ274" s="45">
        <v>376</v>
      </c>
      <c r="AR274" s="41">
        <f t="shared" si="129"/>
        <v>0.6143790849673203</v>
      </c>
      <c r="AS274" s="45">
        <v>140</v>
      </c>
      <c r="AT274" s="41">
        <f t="shared" si="111"/>
        <v>0.18396846254927726</v>
      </c>
      <c r="AU274" s="45">
        <v>108</v>
      </c>
      <c r="AV274" s="41">
        <f t="shared" si="130"/>
        <v>0.17647058823529413</v>
      </c>
      <c r="AW274" s="45">
        <v>57</v>
      </c>
      <c r="AX274" s="41">
        <f t="shared" si="112"/>
        <v>7.4901445466491454E-2</v>
      </c>
      <c r="AY274" s="45">
        <v>40</v>
      </c>
      <c r="AZ274" s="41">
        <f t="shared" si="131"/>
        <v>6.535947712418301E-2</v>
      </c>
      <c r="BA274" s="45">
        <v>21</v>
      </c>
      <c r="BB274" s="41">
        <f t="shared" si="113"/>
        <v>2.7595269382391589E-2</v>
      </c>
      <c r="BC274" s="45">
        <v>21</v>
      </c>
      <c r="BD274" s="41">
        <f t="shared" si="132"/>
        <v>3.4313725490196081E-2</v>
      </c>
      <c r="BE274" s="45">
        <v>761</v>
      </c>
      <c r="BF274" s="45">
        <v>612</v>
      </c>
    </row>
    <row r="275" spans="1:58" ht="15.75" customHeight="1" x14ac:dyDescent="0.25">
      <c r="A275" s="44">
        <v>2023</v>
      </c>
      <c r="B275" s="39">
        <v>172120</v>
      </c>
      <c r="C275" s="37" t="str">
        <f>VLOOKUP(B275,procv!$A$2:$D$142,4,FALSE)</f>
        <v>Bico do Papagaio</v>
      </c>
      <c r="D275" s="37" t="s">
        <v>139</v>
      </c>
      <c r="E275" s="45">
        <v>17</v>
      </c>
      <c r="F275" s="42">
        <f t="shared" si="114"/>
        <v>1.3821138211382113E-2</v>
      </c>
      <c r="G275" s="45">
        <v>14</v>
      </c>
      <c r="H275" s="42">
        <f t="shared" si="115"/>
        <v>1.5217391304347827E-2</v>
      </c>
      <c r="I275" s="45">
        <v>53</v>
      </c>
      <c r="J275" s="41">
        <f t="shared" si="116"/>
        <v>4.3089430894308944E-2</v>
      </c>
      <c r="K275" s="45">
        <v>44</v>
      </c>
      <c r="L275" s="41">
        <f t="shared" si="117"/>
        <v>4.7826086956521741E-2</v>
      </c>
      <c r="M275" s="46">
        <v>1112</v>
      </c>
      <c r="N275" s="41">
        <f t="shared" si="118"/>
        <v>0.90406504065040649</v>
      </c>
      <c r="O275" s="45">
        <v>824</v>
      </c>
      <c r="P275" s="41">
        <f t="shared" si="119"/>
        <v>0.89565217391304353</v>
      </c>
      <c r="Q275" s="45">
        <v>48</v>
      </c>
      <c r="R275" s="41">
        <f t="shared" si="120"/>
        <v>3.9024390243902439E-2</v>
      </c>
      <c r="S275" s="45">
        <v>38</v>
      </c>
      <c r="T275" s="41">
        <f t="shared" si="121"/>
        <v>4.1304347826086954E-2</v>
      </c>
      <c r="U275" s="45">
        <v>111</v>
      </c>
      <c r="V275" s="41">
        <f t="shared" si="122"/>
        <v>9.0243902439024387E-2</v>
      </c>
      <c r="W275" s="45">
        <v>90</v>
      </c>
      <c r="X275" s="41">
        <f t="shared" si="123"/>
        <v>9.7826086956521743E-2</v>
      </c>
      <c r="Y275" s="45">
        <v>125</v>
      </c>
      <c r="Z275" s="41">
        <f t="shared" si="124"/>
        <v>0.1016260162601626</v>
      </c>
      <c r="AA275" s="45">
        <v>103</v>
      </c>
      <c r="AB275" s="41">
        <f t="shared" si="125"/>
        <v>0.11195652173913044</v>
      </c>
      <c r="AC275" s="45">
        <v>994</v>
      </c>
      <c r="AD275" s="41">
        <f t="shared" si="107"/>
        <v>0.80813008130081299</v>
      </c>
      <c r="AE275" s="45">
        <v>727</v>
      </c>
      <c r="AF275" s="41">
        <f t="shared" si="126"/>
        <v>0.79021739130434787</v>
      </c>
      <c r="AG275" s="45">
        <v>53</v>
      </c>
      <c r="AH275" s="41">
        <f t="shared" si="108"/>
        <v>4.3089430894308944E-2</v>
      </c>
      <c r="AI275" s="45">
        <v>48</v>
      </c>
      <c r="AJ275" s="41">
        <f t="shared" si="127"/>
        <v>5.2173913043478258E-2</v>
      </c>
      <c r="AK275" s="45">
        <v>53</v>
      </c>
      <c r="AL275" s="41">
        <f t="shared" si="109"/>
        <v>4.3089430894308944E-2</v>
      </c>
      <c r="AM275" s="45">
        <v>49</v>
      </c>
      <c r="AN275" s="41">
        <f t="shared" si="128"/>
        <v>5.3260869565217389E-2</v>
      </c>
      <c r="AO275" s="45">
        <v>800</v>
      </c>
      <c r="AP275" s="41">
        <f t="shared" si="110"/>
        <v>0.65040650406504064</v>
      </c>
      <c r="AQ275" s="45">
        <v>592</v>
      </c>
      <c r="AR275" s="41">
        <f t="shared" si="129"/>
        <v>0.64347826086956517</v>
      </c>
      <c r="AS275" s="45">
        <v>168</v>
      </c>
      <c r="AT275" s="41">
        <f t="shared" si="111"/>
        <v>0.13658536585365855</v>
      </c>
      <c r="AU275" s="45">
        <v>121</v>
      </c>
      <c r="AV275" s="41">
        <f t="shared" si="130"/>
        <v>0.13152173913043477</v>
      </c>
      <c r="AW275" s="45">
        <v>86</v>
      </c>
      <c r="AX275" s="41">
        <f t="shared" si="112"/>
        <v>6.9918699186991867E-2</v>
      </c>
      <c r="AY275" s="45">
        <v>58</v>
      </c>
      <c r="AZ275" s="41">
        <f t="shared" si="131"/>
        <v>6.3043478260869562E-2</v>
      </c>
      <c r="BA275" s="45">
        <v>70</v>
      </c>
      <c r="BB275" s="41">
        <f t="shared" si="113"/>
        <v>5.6910569105691054E-2</v>
      </c>
      <c r="BC275" s="45">
        <v>52</v>
      </c>
      <c r="BD275" s="41">
        <f t="shared" si="132"/>
        <v>5.6521739130434782E-2</v>
      </c>
      <c r="BE275" s="46">
        <v>1230</v>
      </c>
      <c r="BF275" s="45">
        <v>920</v>
      </c>
    </row>
    <row r="276" spans="1:58" ht="15.75" customHeight="1" x14ac:dyDescent="0.25">
      <c r="A276" s="44">
        <v>2023</v>
      </c>
      <c r="B276" s="39">
        <v>172125</v>
      </c>
      <c r="C276" s="37" t="str">
        <f>VLOOKUP(B276,procv!$A$2:$D$142,4,FALSE)</f>
        <v>Cerrado Tocantins Araguaia</v>
      </c>
      <c r="D276" s="37" t="s">
        <v>140</v>
      </c>
      <c r="E276" s="45">
        <v>2</v>
      </c>
      <c r="F276" s="42">
        <f t="shared" si="114"/>
        <v>1.4598540145985401E-2</v>
      </c>
      <c r="G276" s="45">
        <v>1</v>
      </c>
      <c r="H276" s="42">
        <f t="shared" si="115"/>
        <v>1.6129032258064516E-2</v>
      </c>
      <c r="I276" s="45">
        <v>4</v>
      </c>
      <c r="J276" s="41">
        <f t="shared" si="116"/>
        <v>2.9197080291970802E-2</v>
      </c>
      <c r="K276" s="45">
        <v>4</v>
      </c>
      <c r="L276" s="41">
        <f t="shared" si="117"/>
        <v>6.4516129032258063E-2</v>
      </c>
      <c r="M276" s="45">
        <v>127</v>
      </c>
      <c r="N276" s="41">
        <f t="shared" si="118"/>
        <v>0.92700729927007297</v>
      </c>
      <c r="O276" s="45">
        <v>54</v>
      </c>
      <c r="P276" s="41">
        <f t="shared" si="119"/>
        <v>0.87096774193548387</v>
      </c>
      <c r="Q276" s="45">
        <v>4</v>
      </c>
      <c r="R276" s="41">
        <f t="shared" si="120"/>
        <v>2.9197080291970802E-2</v>
      </c>
      <c r="S276" s="45">
        <v>3</v>
      </c>
      <c r="T276" s="41">
        <f t="shared" si="121"/>
        <v>4.8387096774193547E-2</v>
      </c>
      <c r="U276" s="45">
        <v>3</v>
      </c>
      <c r="V276" s="41">
        <f t="shared" si="122"/>
        <v>2.1897810218978103E-2</v>
      </c>
      <c r="W276" s="45">
        <v>2</v>
      </c>
      <c r="X276" s="41">
        <f t="shared" si="123"/>
        <v>3.2258064516129031E-2</v>
      </c>
      <c r="Y276" s="45">
        <v>9</v>
      </c>
      <c r="Z276" s="41">
        <f t="shared" si="124"/>
        <v>6.569343065693431E-2</v>
      </c>
      <c r="AA276" s="45">
        <v>7</v>
      </c>
      <c r="AB276" s="41">
        <f t="shared" si="125"/>
        <v>0.11290322580645161</v>
      </c>
      <c r="AC276" s="45">
        <v>125</v>
      </c>
      <c r="AD276" s="41">
        <f t="shared" si="107"/>
        <v>0.91240875912408759</v>
      </c>
      <c r="AE276" s="45">
        <v>53</v>
      </c>
      <c r="AF276" s="41">
        <f t="shared" si="126"/>
        <v>0.85483870967741937</v>
      </c>
      <c r="AG276" s="45">
        <v>6</v>
      </c>
      <c r="AH276" s="41">
        <f t="shared" si="108"/>
        <v>4.3795620437956206E-2</v>
      </c>
      <c r="AI276" s="45">
        <v>7</v>
      </c>
      <c r="AJ276" s="41">
        <f t="shared" si="127"/>
        <v>0.11290322580645161</v>
      </c>
      <c r="AK276" s="45">
        <v>4</v>
      </c>
      <c r="AL276" s="41">
        <f t="shared" si="109"/>
        <v>2.9197080291970802E-2</v>
      </c>
      <c r="AM276" s="45">
        <v>0</v>
      </c>
      <c r="AN276" s="41">
        <f t="shared" si="128"/>
        <v>0</v>
      </c>
      <c r="AO276" s="45">
        <v>94</v>
      </c>
      <c r="AP276" s="41">
        <f t="shared" si="110"/>
        <v>0.68613138686131392</v>
      </c>
      <c r="AQ276" s="45">
        <v>36</v>
      </c>
      <c r="AR276" s="41">
        <f t="shared" si="129"/>
        <v>0.58064516129032262</v>
      </c>
      <c r="AS276" s="45">
        <v>26</v>
      </c>
      <c r="AT276" s="41">
        <f t="shared" si="111"/>
        <v>0.18978102189781021</v>
      </c>
      <c r="AU276" s="45">
        <v>14</v>
      </c>
      <c r="AV276" s="41">
        <f t="shared" si="130"/>
        <v>0.22580645161290322</v>
      </c>
      <c r="AW276" s="45">
        <v>4</v>
      </c>
      <c r="AX276" s="41">
        <f t="shared" si="112"/>
        <v>2.9197080291970802E-2</v>
      </c>
      <c r="AY276" s="45">
        <v>3</v>
      </c>
      <c r="AZ276" s="41">
        <f t="shared" si="131"/>
        <v>4.8387096774193547E-2</v>
      </c>
      <c r="BA276" s="45">
        <v>3</v>
      </c>
      <c r="BB276" s="41">
        <f t="shared" si="113"/>
        <v>2.1897810218978103E-2</v>
      </c>
      <c r="BC276" s="45">
        <v>2</v>
      </c>
      <c r="BD276" s="41">
        <f t="shared" si="132"/>
        <v>3.2258064516129031E-2</v>
      </c>
      <c r="BE276" s="45">
        <v>137</v>
      </c>
      <c r="BF276" s="45">
        <v>62</v>
      </c>
    </row>
    <row r="277" spans="1:58" ht="15.75" customHeight="1" x14ac:dyDescent="0.25">
      <c r="A277" s="44">
        <v>2023</v>
      </c>
      <c r="B277" s="39">
        <v>172130</v>
      </c>
      <c r="C277" s="37" t="str">
        <f>VLOOKUP(B277,procv!$A$2:$D$142,4,FALSE)</f>
        <v>Cerrado Tocantins Araguaia</v>
      </c>
      <c r="D277" s="37" t="s">
        <v>141</v>
      </c>
      <c r="E277" s="45">
        <v>0</v>
      </c>
      <c r="F277" s="42">
        <f t="shared" si="114"/>
        <v>0</v>
      </c>
      <c r="G277" s="45">
        <v>0</v>
      </c>
      <c r="H277" s="42">
        <f t="shared" si="115"/>
        <v>0</v>
      </c>
      <c r="I277" s="45">
        <v>0</v>
      </c>
      <c r="J277" s="41">
        <f t="shared" si="116"/>
        <v>0</v>
      </c>
      <c r="K277" s="45">
        <v>0</v>
      </c>
      <c r="L277" s="41">
        <f t="shared" si="117"/>
        <v>0</v>
      </c>
      <c r="M277" s="45">
        <v>52</v>
      </c>
      <c r="N277" s="41">
        <f t="shared" si="118"/>
        <v>0.9285714285714286</v>
      </c>
      <c r="O277" s="45">
        <v>20</v>
      </c>
      <c r="P277" s="41">
        <f t="shared" si="119"/>
        <v>0.90909090909090906</v>
      </c>
      <c r="Q277" s="45">
        <v>4</v>
      </c>
      <c r="R277" s="41">
        <f t="shared" si="120"/>
        <v>7.1428571428571425E-2</v>
      </c>
      <c r="S277" s="45">
        <v>2</v>
      </c>
      <c r="T277" s="41">
        <f t="shared" si="121"/>
        <v>9.0909090909090912E-2</v>
      </c>
      <c r="U277" s="45">
        <v>0</v>
      </c>
      <c r="V277" s="41">
        <f t="shared" si="122"/>
        <v>0</v>
      </c>
      <c r="W277" s="45">
        <v>0</v>
      </c>
      <c r="X277" s="41">
        <f t="shared" si="123"/>
        <v>0</v>
      </c>
      <c r="Y277" s="45">
        <v>2</v>
      </c>
      <c r="Z277" s="41">
        <f t="shared" si="124"/>
        <v>3.5714285714285712E-2</v>
      </c>
      <c r="AA277" s="45">
        <v>1</v>
      </c>
      <c r="AB277" s="41">
        <f t="shared" si="125"/>
        <v>4.5454545454545456E-2</v>
      </c>
      <c r="AC277" s="45">
        <v>54</v>
      </c>
      <c r="AD277" s="41">
        <f t="shared" si="107"/>
        <v>0.9642857142857143</v>
      </c>
      <c r="AE277" s="45">
        <v>21</v>
      </c>
      <c r="AF277" s="41">
        <f t="shared" si="126"/>
        <v>0.95454545454545459</v>
      </c>
      <c r="AG277" s="45">
        <v>0</v>
      </c>
      <c r="AH277" s="41">
        <f t="shared" si="108"/>
        <v>0</v>
      </c>
      <c r="AI277" s="45">
        <v>0</v>
      </c>
      <c r="AJ277" s="41">
        <f t="shared" si="127"/>
        <v>0</v>
      </c>
      <c r="AK277" s="45">
        <v>2</v>
      </c>
      <c r="AL277" s="41">
        <f t="shared" si="109"/>
        <v>3.5714285714285712E-2</v>
      </c>
      <c r="AM277" s="45">
        <v>1</v>
      </c>
      <c r="AN277" s="41">
        <f t="shared" si="128"/>
        <v>4.5454545454545456E-2</v>
      </c>
      <c r="AO277" s="45">
        <v>40</v>
      </c>
      <c r="AP277" s="41">
        <f t="shared" si="110"/>
        <v>0.7142857142857143</v>
      </c>
      <c r="AQ277" s="45">
        <v>15</v>
      </c>
      <c r="AR277" s="41">
        <f t="shared" si="129"/>
        <v>0.68181818181818177</v>
      </c>
      <c r="AS277" s="45">
        <v>9</v>
      </c>
      <c r="AT277" s="41">
        <f t="shared" si="111"/>
        <v>0.16071428571428573</v>
      </c>
      <c r="AU277" s="45">
        <v>4</v>
      </c>
      <c r="AV277" s="41">
        <f t="shared" si="130"/>
        <v>0.18181818181818182</v>
      </c>
      <c r="AW277" s="45">
        <v>3</v>
      </c>
      <c r="AX277" s="41">
        <f t="shared" si="112"/>
        <v>5.3571428571428568E-2</v>
      </c>
      <c r="AY277" s="45">
        <v>0</v>
      </c>
      <c r="AZ277" s="41">
        <f t="shared" si="131"/>
        <v>0</v>
      </c>
      <c r="BA277" s="45">
        <v>2</v>
      </c>
      <c r="BB277" s="41">
        <f t="shared" si="113"/>
        <v>3.5714285714285712E-2</v>
      </c>
      <c r="BC277" s="45">
        <v>2</v>
      </c>
      <c r="BD277" s="41">
        <f t="shared" si="132"/>
        <v>9.0909090909090912E-2</v>
      </c>
      <c r="BE277" s="45">
        <v>56</v>
      </c>
      <c r="BF277" s="45">
        <v>22</v>
      </c>
    </row>
    <row r="278" spans="1:58" ht="15.75" customHeight="1" x14ac:dyDescent="0.25">
      <c r="A278" s="44">
        <v>2023</v>
      </c>
      <c r="B278" s="39">
        <v>172208</v>
      </c>
      <c r="C278" s="37" t="str">
        <f>VLOOKUP(B278,procv!$A$2:$D$142,4,FALSE)</f>
        <v>Médio Norte Araguaia</v>
      </c>
      <c r="D278" s="37" t="s">
        <v>142</v>
      </c>
      <c r="E278" s="45">
        <v>3</v>
      </c>
      <c r="F278" s="42">
        <f t="shared" si="114"/>
        <v>5.016722408026756E-3</v>
      </c>
      <c r="G278" s="45">
        <v>1</v>
      </c>
      <c r="H278" s="42">
        <f t="shared" si="115"/>
        <v>3.1545741324921135E-3</v>
      </c>
      <c r="I278" s="45">
        <v>15</v>
      </c>
      <c r="J278" s="41">
        <f t="shared" si="116"/>
        <v>2.508361204013378E-2</v>
      </c>
      <c r="K278" s="45">
        <v>8</v>
      </c>
      <c r="L278" s="41">
        <f t="shared" si="117"/>
        <v>2.5236593059936908E-2</v>
      </c>
      <c r="M278" s="45">
        <v>543</v>
      </c>
      <c r="N278" s="41">
        <f t="shared" si="118"/>
        <v>0.90802675585284276</v>
      </c>
      <c r="O278" s="45">
        <v>289</v>
      </c>
      <c r="P278" s="41">
        <f t="shared" si="119"/>
        <v>0.91167192429022081</v>
      </c>
      <c r="Q278" s="45">
        <v>37</v>
      </c>
      <c r="R278" s="41">
        <f t="shared" si="120"/>
        <v>6.1872909698996656E-2</v>
      </c>
      <c r="S278" s="45">
        <v>19</v>
      </c>
      <c r="T278" s="41">
        <f t="shared" si="121"/>
        <v>5.993690851735016E-2</v>
      </c>
      <c r="U278" s="45">
        <v>33</v>
      </c>
      <c r="V278" s="41">
        <f t="shared" si="122"/>
        <v>5.5183946488294312E-2</v>
      </c>
      <c r="W278" s="45">
        <v>15</v>
      </c>
      <c r="X278" s="41">
        <f t="shared" si="123"/>
        <v>4.7318611987381701E-2</v>
      </c>
      <c r="Y278" s="45">
        <v>45</v>
      </c>
      <c r="Z278" s="41">
        <f t="shared" si="124"/>
        <v>7.5250836120401343E-2</v>
      </c>
      <c r="AA278" s="45">
        <v>19</v>
      </c>
      <c r="AB278" s="41">
        <f t="shared" si="125"/>
        <v>5.993690851735016E-2</v>
      </c>
      <c r="AC278" s="45">
        <v>520</v>
      </c>
      <c r="AD278" s="41">
        <f t="shared" si="107"/>
        <v>0.86956521739130432</v>
      </c>
      <c r="AE278" s="45">
        <v>283</v>
      </c>
      <c r="AF278" s="41">
        <f t="shared" si="126"/>
        <v>0.89274447949526814</v>
      </c>
      <c r="AG278" s="45">
        <v>10</v>
      </c>
      <c r="AH278" s="41">
        <f t="shared" si="108"/>
        <v>1.6722408026755852E-2</v>
      </c>
      <c r="AI278" s="45">
        <v>5</v>
      </c>
      <c r="AJ278" s="41">
        <f t="shared" si="127"/>
        <v>1.5772870662460567E-2</v>
      </c>
      <c r="AK278" s="45">
        <v>15</v>
      </c>
      <c r="AL278" s="41">
        <f t="shared" si="109"/>
        <v>2.508361204013378E-2</v>
      </c>
      <c r="AM278" s="45">
        <v>12</v>
      </c>
      <c r="AN278" s="41">
        <f t="shared" si="128"/>
        <v>3.7854889589905363E-2</v>
      </c>
      <c r="AO278" s="45">
        <v>340</v>
      </c>
      <c r="AP278" s="41">
        <f t="shared" si="110"/>
        <v>0.56856187290969895</v>
      </c>
      <c r="AQ278" s="45">
        <v>187</v>
      </c>
      <c r="AR278" s="41">
        <f t="shared" si="129"/>
        <v>0.58990536277602523</v>
      </c>
      <c r="AS278" s="45">
        <v>151</v>
      </c>
      <c r="AT278" s="41">
        <f t="shared" si="111"/>
        <v>0.25250836120401338</v>
      </c>
      <c r="AU278" s="45">
        <v>68</v>
      </c>
      <c r="AV278" s="41">
        <f t="shared" si="130"/>
        <v>0.21451104100946372</v>
      </c>
      <c r="AW278" s="45">
        <v>48</v>
      </c>
      <c r="AX278" s="41">
        <f t="shared" si="112"/>
        <v>8.0267558528428096E-2</v>
      </c>
      <c r="AY278" s="45">
        <v>27</v>
      </c>
      <c r="AZ278" s="41">
        <f t="shared" si="131"/>
        <v>8.5173501577287064E-2</v>
      </c>
      <c r="BA278" s="45">
        <v>34</v>
      </c>
      <c r="BB278" s="41">
        <f t="shared" si="113"/>
        <v>5.6856187290969896E-2</v>
      </c>
      <c r="BC278" s="45">
        <v>18</v>
      </c>
      <c r="BD278" s="41">
        <f t="shared" si="132"/>
        <v>5.6782334384858045E-2</v>
      </c>
      <c r="BE278" s="45">
        <v>598</v>
      </c>
      <c r="BF278" s="45">
        <v>317</v>
      </c>
    </row>
    <row r="279" spans="1:58" ht="15.75" customHeight="1" x14ac:dyDescent="0.25">
      <c r="A279" s="44">
        <v>2023</v>
      </c>
      <c r="B279" s="39">
        <v>172210</v>
      </c>
      <c r="C279" s="37" t="str">
        <f>VLOOKUP(B279,procv!$A$2:$D$142,4,FALSE)</f>
        <v>Médio Norte Araguaia</v>
      </c>
      <c r="D279" s="37" t="s">
        <v>143</v>
      </c>
      <c r="E279" s="45">
        <v>3</v>
      </c>
      <c r="F279" s="42">
        <f t="shared" si="114"/>
        <v>4.9019607843137254E-3</v>
      </c>
      <c r="G279" s="45">
        <v>2</v>
      </c>
      <c r="H279" s="42">
        <f t="shared" si="115"/>
        <v>5.1413881748071976E-3</v>
      </c>
      <c r="I279" s="45">
        <v>19</v>
      </c>
      <c r="J279" s="41">
        <f t="shared" si="116"/>
        <v>3.1045751633986929E-2</v>
      </c>
      <c r="K279" s="45">
        <v>9</v>
      </c>
      <c r="L279" s="41">
        <f t="shared" si="117"/>
        <v>2.313624678663239E-2</v>
      </c>
      <c r="M279" s="45">
        <v>563</v>
      </c>
      <c r="N279" s="41">
        <f t="shared" si="118"/>
        <v>0.91993464052287577</v>
      </c>
      <c r="O279" s="45">
        <v>359</v>
      </c>
      <c r="P279" s="41">
        <f t="shared" si="119"/>
        <v>0.92287917737789205</v>
      </c>
      <c r="Q279" s="45">
        <v>27</v>
      </c>
      <c r="R279" s="41">
        <f t="shared" si="120"/>
        <v>4.4117647058823532E-2</v>
      </c>
      <c r="S279" s="45">
        <v>19</v>
      </c>
      <c r="T279" s="41">
        <f t="shared" si="121"/>
        <v>4.8843187660668377E-2</v>
      </c>
      <c r="U279" s="45">
        <v>39</v>
      </c>
      <c r="V279" s="41">
        <f t="shared" si="122"/>
        <v>6.3725490196078427E-2</v>
      </c>
      <c r="W279" s="45">
        <v>25</v>
      </c>
      <c r="X279" s="41">
        <f t="shared" si="123"/>
        <v>6.4267352185089971E-2</v>
      </c>
      <c r="Y279" s="45">
        <v>48</v>
      </c>
      <c r="Z279" s="41">
        <f t="shared" si="124"/>
        <v>7.8431372549019607E-2</v>
      </c>
      <c r="AA279" s="45">
        <v>31</v>
      </c>
      <c r="AB279" s="41">
        <f t="shared" si="125"/>
        <v>7.9691516709511565E-2</v>
      </c>
      <c r="AC279" s="45">
        <v>525</v>
      </c>
      <c r="AD279" s="41">
        <f t="shared" si="107"/>
        <v>0.85784313725490191</v>
      </c>
      <c r="AE279" s="45">
        <v>333</v>
      </c>
      <c r="AF279" s="41">
        <f t="shared" si="126"/>
        <v>0.85604113110539848</v>
      </c>
      <c r="AG279" s="45">
        <v>14</v>
      </c>
      <c r="AH279" s="41">
        <f t="shared" si="108"/>
        <v>2.2875816993464051E-2</v>
      </c>
      <c r="AI279" s="45">
        <v>9</v>
      </c>
      <c r="AJ279" s="41">
        <f t="shared" si="127"/>
        <v>2.313624678663239E-2</v>
      </c>
      <c r="AK279" s="45">
        <v>22</v>
      </c>
      <c r="AL279" s="41">
        <f t="shared" si="109"/>
        <v>3.5947712418300651E-2</v>
      </c>
      <c r="AM279" s="45">
        <v>18</v>
      </c>
      <c r="AN279" s="41">
        <f t="shared" si="128"/>
        <v>4.6272493573264781E-2</v>
      </c>
      <c r="AO279" s="45">
        <v>420</v>
      </c>
      <c r="AP279" s="41">
        <f t="shared" si="110"/>
        <v>0.68627450980392157</v>
      </c>
      <c r="AQ279" s="45">
        <v>271</v>
      </c>
      <c r="AR279" s="41">
        <f t="shared" si="129"/>
        <v>0.69665809768637532</v>
      </c>
      <c r="AS279" s="45">
        <v>86</v>
      </c>
      <c r="AT279" s="41">
        <f t="shared" si="111"/>
        <v>0.14052287581699346</v>
      </c>
      <c r="AU279" s="45">
        <v>55</v>
      </c>
      <c r="AV279" s="41">
        <f t="shared" si="130"/>
        <v>0.14138817480719795</v>
      </c>
      <c r="AW279" s="45">
        <v>41</v>
      </c>
      <c r="AX279" s="41">
        <f t="shared" si="112"/>
        <v>6.699346405228758E-2</v>
      </c>
      <c r="AY279" s="45">
        <v>19</v>
      </c>
      <c r="AZ279" s="41">
        <f t="shared" si="131"/>
        <v>4.8843187660668377E-2</v>
      </c>
      <c r="BA279" s="45">
        <v>29</v>
      </c>
      <c r="BB279" s="41">
        <f t="shared" si="113"/>
        <v>4.7385620915032678E-2</v>
      </c>
      <c r="BC279" s="45">
        <v>17</v>
      </c>
      <c r="BD279" s="41">
        <f t="shared" si="132"/>
        <v>4.3701799485861184E-2</v>
      </c>
      <c r="BE279" s="45">
        <v>612</v>
      </c>
      <c r="BF279" s="45">
        <v>389</v>
      </c>
    </row>
    <row r="280" spans="1:58" ht="15.75" customHeight="1" x14ac:dyDescent="0.25">
      <c r="A280" s="44">
        <v>2022</v>
      </c>
      <c r="B280" s="39">
        <v>170025</v>
      </c>
      <c r="C280" s="37" t="str">
        <f>VLOOKUP(B280,procv!$A$2:$D$142,4,FALSE)</f>
        <v>Cantão</v>
      </c>
      <c r="D280" s="37" t="s">
        <v>5</v>
      </c>
      <c r="E280" s="21">
        <v>1</v>
      </c>
      <c r="F280" s="42">
        <f t="shared" si="114"/>
        <v>5.8139534883720929E-3</v>
      </c>
      <c r="G280" s="21">
        <v>0</v>
      </c>
      <c r="H280" s="42">
        <f t="shared" si="115"/>
        <v>0</v>
      </c>
      <c r="I280" s="21">
        <v>6</v>
      </c>
      <c r="J280" s="41">
        <f t="shared" si="116"/>
        <v>3.4883720930232558E-2</v>
      </c>
      <c r="K280" s="21">
        <v>5</v>
      </c>
      <c r="L280" s="41">
        <f t="shared" si="117"/>
        <v>6.9444444444444448E-2</v>
      </c>
      <c r="M280" s="21">
        <v>159</v>
      </c>
      <c r="N280" s="41">
        <f t="shared" si="118"/>
        <v>0.92441860465116277</v>
      </c>
      <c r="O280" s="21">
        <v>66</v>
      </c>
      <c r="P280" s="41">
        <f t="shared" si="119"/>
        <v>0.91666666666666663</v>
      </c>
      <c r="Q280" s="21">
        <v>6</v>
      </c>
      <c r="R280" s="41">
        <f t="shared" si="120"/>
        <v>3.4883720930232558E-2</v>
      </c>
      <c r="S280" s="21">
        <v>1</v>
      </c>
      <c r="T280" s="41">
        <f t="shared" si="121"/>
        <v>1.3888888888888888E-2</v>
      </c>
      <c r="U280" s="21">
        <v>2</v>
      </c>
      <c r="V280" s="41">
        <f t="shared" si="122"/>
        <v>1.1627906976744186E-2</v>
      </c>
      <c r="W280" s="21">
        <v>2</v>
      </c>
      <c r="X280" s="41">
        <f t="shared" si="123"/>
        <v>2.7777777777777776E-2</v>
      </c>
      <c r="Y280" s="21">
        <v>11</v>
      </c>
      <c r="Z280" s="41">
        <f t="shared" si="124"/>
        <v>6.3953488372093026E-2</v>
      </c>
      <c r="AA280" s="21">
        <v>10</v>
      </c>
      <c r="AB280" s="41">
        <f t="shared" si="125"/>
        <v>0.1388888888888889</v>
      </c>
      <c r="AC280" s="21">
        <v>159</v>
      </c>
      <c r="AD280" s="41">
        <f t="shared" si="107"/>
        <v>0.92441860465116277</v>
      </c>
      <c r="AE280" s="21">
        <v>60</v>
      </c>
      <c r="AF280" s="41">
        <f t="shared" si="126"/>
        <v>0.83333333333333337</v>
      </c>
      <c r="AG280" s="21">
        <v>3</v>
      </c>
      <c r="AH280" s="41">
        <f t="shared" si="108"/>
        <v>1.7441860465116279E-2</v>
      </c>
      <c r="AI280" s="21">
        <v>3</v>
      </c>
      <c r="AJ280" s="41">
        <f t="shared" si="127"/>
        <v>4.1666666666666664E-2</v>
      </c>
      <c r="AK280" s="21">
        <v>8</v>
      </c>
      <c r="AL280" s="41">
        <f t="shared" si="109"/>
        <v>4.6511627906976744E-2</v>
      </c>
      <c r="AM280" s="21">
        <v>3</v>
      </c>
      <c r="AN280" s="41">
        <f t="shared" si="128"/>
        <v>4.1666666666666664E-2</v>
      </c>
      <c r="AO280" s="21">
        <v>127</v>
      </c>
      <c r="AP280" s="41">
        <f t="shared" si="110"/>
        <v>0.73837209302325579</v>
      </c>
      <c r="AQ280" s="21">
        <v>53</v>
      </c>
      <c r="AR280" s="41">
        <f t="shared" si="129"/>
        <v>0.73611111111111116</v>
      </c>
      <c r="AS280" s="21">
        <v>22</v>
      </c>
      <c r="AT280" s="41">
        <f t="shared" si="111"/>
        <v>0.12790697674418605</v>
      </c>
      <c r="AU280" s="21">
        <v>7</v>
      </c>
      <c r="AV280" s="41">
        <f t="shared" si="130"/>
        <v>9.7222222222222224E-2</v>
      </c>
      <c r="AW280" s="21">
        <v>9</v>
      </c>
      <c r="AX280" s="41">
        <f t="shared" si="112"/>
        <v>5.232558139534884E-2</v>
      </c>
      <c r="AY280" s="21">
        <v>3</v>
      </c>
      <c r="AZ280" s="41">
        <f t="shared" si="131"/>
        <v>4.1666666666666664E-2</v>
      </c>
      <c r="BA280" s="21">
        <v>3</v>
      </c>
      <c r="BB280" s="41">
        <f t="shared" si="113"/>
        <v>1.7441860465116279E-2</v>
      </c>
      <c r="BC280" s="21">
        <v>3</v>
      </c>
      <c r="BD280" s="41">
        <f t="shared" si="132"/>
        <v>4.1666666666666664E-2</v>
      </c>
      <c r="BE280" s="21">
        <v>172</v>
      </c>
      <c r="BF280" s="21">
        <v>72</v>
      </c>
    </row>
    <row r="281" spans="1:58" ht="15.75" customHeight="1" x14ac:dyDescent="0.25">
      <c r="A281" s="44">
        <v>2022</v>
      </c>
      <c r="B281" s="39">
        <v>170030</v>
      </c>
      <c r="C281" s="37" t="str">
        <f>VLOOKUP(B281,procv!$A$2:$D$142,4,FALSE)</f>
        <v>Bico do Papagaio</v>
      </c>
      <c r="D281" s="37" t="s">
        <v>6</v>
      </c>
      <c r="E281" s="21">
        <v>4</v>
      </c>
      <c r="F281" s="42">
        <f t="shared" si="114"/>
        <v>1.4760147601476014E-2</v>
      </c>
      <c r="G281" s="21">
        <v>2</v>
      </c>
      <c r="H281" s="42">
        <f t="shared" si="115"/>
        <v>1.2987012987012988E-2</v>
      </c>
      <c r="I281" s="21">
        <v>6</v>
      </c>
      <c r="J281" s="41">
        <f t="shared" si="116"/>
        <v>2.2140221402214021E-2</v>
      </c>
      <c r="K281" s="21">
        <v>7</v>
      </c>
      <c r="L281" s="41">
        <f t="shared" si="117"/>
        <v>4.5454545454545456E-2</v>
      </c>
      <c r="M281" s="21">
        <v>244</v>
      </c>
      <c r="N281" s="41">
        <f t="shared" si="118"/>
        <v>0.90036900369003692</v>
      </c>
      <c r="O281" s="21">
        <v>139</v>
      </c>
      <c r="P281" s="41">
        <f t="shared" si="119"/>
        <v>0.90259740259740262</v>
      </c>
      <c r="Q281" s="21">
        <v>17</v>
      </c>
      <c r="R281" s="41">
        <f t="shared" si="120"/>
        <v>6.273062730627306E-2</v>
      </c>
      <c r="S281" s="21">
        <v>6</v>
      </c>
      <c r="T281" s="41">
        <f t="shared" si="121"/>
        <v>3.896103896103896E-2</v>
      </c>
      <c r="U281" s="21">
        <v>23</v>
      </c>
      <c r="V281" s="41">
        <f t="shared" si="122"/>
        <v>8.4870848708487087E-2</v>
      </c>
      <c r="W281" s="21">
        <v>13</v>
      </c>
      <c r="X281" s="41">
        <f t="shared" si="123"/>
        <v>8.4415584415584416E-2</v>
      </c>
      <c r="Y281" s="21">
        <v>28</v>
      </c>
      <c r="Z281" s="41">
        <f t="shared" si="124"/>
        <v>0.10332103321033211</v>
      </c>
      <c r="AA281" s="21">
        <v>17</v>
      </c>
      <c r="AB281" s="41">
        <f t="shared" si="125"/>
        <v>0.11038961038961038</v>
      </c>
      <c r="AC281" s="21">
        <v>220</v>
      </c>
      <c r="AD281" s="41">
        <f t="shared" si="107"/>
        <v>0.81180811808118081</v>
      </c>
      <c r="AE281" s="21">
        <v>124</v>
      </c>
      <c r="AF281" s="41">
        <f t="shared" si="126"/>
        <v>0.80519480519480524</v>
      </c>
      <c r="AG281" s="21">
        <v>6</v>
      </c>
      <c r="AH281" s="41">
        <f t="shared" si="108"/>
        <v>2.2140221402214021E-2</v>
      </c>
      <c r="AI281" s="21">
        <v>6</v>
      </c>
      <c r="AJ281" s="41">
        <f t="shared" si="127"/>
        <v>3.896103896103896E-2</v>
      </c>
      <c r="AK281" s="21">
        <v>10</v>
      </c>
      <c r="AL281" s="41">
        <f t="shared" si="109"/>
        <v>3.6900369003690037E-2</v>
      </c>
      <c r="AM281" s="21">
        <v>8</v>
      </c>
      <c r="AN281" s="41">
        <f t="shared" si="128"/>
        <v>5.1948051948051951E-2</v>
      </c>
      <c r="AO281" s="21">
        <v>174</v>
      </c>
      <c r="AP281" s="41">
        <f t="shared" si="110"/>
        <v>0.64206642066420661</v>
      </c>
      <c r="AQ281" s="21">
        <v>104</v>
      </c>
      <c r="AR281" s="41">
        <f t="shared" si="129"/>
        <v>0.67532467532467533</v>
      </c>
      <c r="AS281" s="21">
        <v>39</v>
      </c>
      <c r="AT281" s="41">
        <f t="shared" si="111"/>
        <v>0.14391143911439114</v>
      </c>
      <c r="AU281" s="21">
        <v>18</v>
      </c>
      <c r="AV281" s="41">
        <f t="shared" si="130"/>
        <v>0.11688311688311688</v>
      </c>
      <c r="AW281" s="21">
        <v>21</v>
      </c>
      <c r="AX281" s="41">
        <f t="shared" si="112"/>
        <v>7.7490774907749083E-2</v>
      </c>
      <c r="AY281" s="21">
        <v>9</v>
      </c>
      <c r="AZ281" s="41">
        <f t="shared" si="131"/>
        <v>5.844155844155844E-2</v>
      </c>
      <c r="BA281" s="21">
        <v>21</v>
      </c>
      <c r="BB281" s="41">
        <f t="shared" si="113"/>
        <v>7.7490774907749083E-2</v>
      </c>
      <c r="BC281" s="21">
        <v>9</v>
      </c>
      <c r="BD281" s="41">
        <f t="shared" si="132"/>
        <v>5.844155844155844E-2</v>
      </c>
      <c r="BE281" s="21">
        <v>271</v>
      </c>
      <c r="BF281" s="21">
        <v>154</v>
      </c>
    </row>
    <row r="282" spans="1:58" ht="15.75" customHeight="1" x14ac:dyDescent="0.25">
      <c r="A282" s="44">
        <v>2022</v>
      </c>
      <c r="B282" s="39">
        <v>170035</v>
      </c>
      <c r="C282" s="37" t="str">
        <f>VLOOKUP(B282,procv!$A$2:$D$142,4,FALSE)</f>
        <v>Ilha do Bananal</v>
      </c>
      <c r="D282" s="37" t="s">
        <v>7</v>
      </c>
      <c r="E282" s="21">
        <v>1</v>
      </c>
      <c r="F282" s="42">
        <f t="shared" si="114"/>
        <v>3.134796238244514E-3</v>
      </c>
      <c r="G282" s="21">
        <v>1</v>
      </c>
      <c r="H282" s="42">
        <f t="shared" si="115"/>
        <v>6.7114093959731542E-3</v>
      </c>
      <c r="I282" s="21">
        <v>9</v>
      </c>
      <c r="J282" s="41">
        <f t="shared" si="116"/>
        <v>2.8213166144200628E-2</v>
      </c>
      <c r="K282" s="21">
        <v>4</v>
      </c>
      <c r="L282" s="41">
        <f t="shared" si="117"/>
        <v>2.6845637583892617E-2</v>
      </c>
      <c r="M282" s="21">
        <v>271</v>
      </c>
      <c r="N282" s="41">
        <f t="shared" si="118"/>
        <v>0.84952978056426331</v>
      </c>
      <c r="O282" s="21">
        <v>120</v>
      </c>
      <c r="P282" s="41">
        <f t="shared" si="119"/>
        <v>0.80536912751677847</v>
      </c>
      <c r="Q282" s="21">
        <v>38</v>
      </c>
      <c r="R282" s="41">
        <f t="shared" si="120"/>
        <v>0.11912225705329153</v>
      </c>
      <c r="S282" s="21">
        <v>24</v>
      </c>
      <c r="T282" s="41">
        <f t="shared" si="121"/>
        <v>0.16107382550335569</v>
      </c>
      <c r="U282" s="21">
        <v>20</v>
      </c>
      <c r="V282" s="41">
        <f t="shared" si="122"/>
        <v>6.2695924764890276E-2</v>
      </c>
      <c r="W282" s="21">
        <v>12</v>
      </c>
      <c r="X282" s="41">
        <f t="shared" si="123"/>
        <v>8.0536912751677847E-2</v>
      </c>
      <c r="Y282" s="21">
        <v>22</v>
      </c>
      <c r="Z282" s="41">
        <f t="shared" si="124"/>
        <v>6.8965517241379309E-2</v>
      </c>
      <c r="AA282" s="21">
        <v>18</v>
      </c>
      <c r="AB282" s="41">
        <f t="shared" si="125"/>
        <v>0.12080536912751678</v>
      </c>
      <c r="AC282" s="21">
        <v>277</v>
      </c>
      <c r="AD282" s="41">
        <f t="shared" si="107"/>
        <v>0.86833855799373039</v>
      </c>
      <c r="AE282" s="21">
        <v>119</v>
      </c>
      <c r="AF282" s="41">
        <f t="shared" si="126"/>
        <v>0.79865771812080533</v>
      </c>
      <c r="AG282" s="21">
        <v>9</v>
      </c>
      <c r="AH282" s="41">
        <f t="shared" si="108"/>
        <v>2.8213166144200628E-2</v>
      </c>
      <c r="AI282" s="21">
        <v>5</v>
      </c>
      <c r="AJ282" s="41">
        <f t="shared" si="127"/>
        <v>3.3557046979865772E-2</v>
      </c>
      <c r="AK282" s="21">
        <v>10</v>
      </c>
      <c r="AL282" s="41">
        <f t="shared" si="109"/>
        <v>3.1347962382445138E-2</v>
      </c>
      <c r="AM282" s="21">
        <v>6</v>
      </c>
      <c r="AN282" s="41">
        <f t="shared" si="128"/>
        <v>4.0268456375838924E-2</v>
      </c>
      <c r="AO282" s="21">
        <v>180</v>
      </c>
      <c r="AP282" s="41">
        <f t="shared" si="110"/>
        <v>0.56426332288401249</v>
      </c>
      <c r="AQ282" s="21">
        <v>80</v>
      </c>
      <c r="AR282" s="41">
        <f t="shared" si="129"/>
        <v>0.53691275167785235</v>
      </c>
      <c r="AS282" s="21">
        <v>56</v>
      </c>
      <c r="AT282" s="41">
        <f t="shared" si="111"/>
        <v>0.17554858934169279</v>
      </c>
      <c r="AU282" s="21">
        <v>25</v>
      </c>
      <c r="AV282" s="41">
        <f t="shared" si="130"/>
        <v>0.16778523489932887</v>
      </c>
      <c r="AW282" s="21">
        <v>37</v>
      </c>
      <c r="AX282" s="41">
        <f t="shared" si="112"/>
        <v>0.11598746081504702</v>
      </c>
      <c r="AY282" s="21">
        <v>15</v>
      </c>
      <c r="AZ282" s="41">
        <f t="shared" si="131"/>
        <v>0.10067114093959731</v>
      </c>
      <c r="BA282" s="21">
        <v>27</v>
      </c>
      <c r="BB282" s="41">
        <f t="shared" si="113"/>
        <v>8.4639498432601878E-2</v>
      </c>
      <c r="BC282" s="21">
        <v>18</v>
      </c>
      <c r="BD282" s="41">
        <f t="shared" si="132"/>
        <v>0.12080536912751678</v>
      </c>
      <c r="BE282" s="21">
        <v>319</v>
      </c>
      <c r="BF282" s="21">
        <v>149</v>
      </c>
    </row>
    <row r="283" spans="1:58" ht="15.75" customHeight="1" x14ac:dyDescent="0.25">
      <c r="A283" s="44">
        <v>2022</v>
      </c>
      <c r="B283" s="39">
        <v>170040</v>
      </c>
      <c r="C283" s="37" t="str">
        <f>VLOOKUP(B283,procv!$A$2:$D$142,4,FALSE)</f>
        <v>Sudeste</v>
      </c>
      <c r="D283" s="37" t="s">
        <v>8</v>
      </c>
      <c r="E283" s="21">
        <v>3</v>
      </c>
      <c r="F283" s="42">
        <f t="shared" si="114"/>
        <v>7.1090047393364926E-3</v>
      </c>
      <c r="G283" s="21">
        <v>1</v>
      </c>
      <c r="H283" s="42">
        <f t="shared" si="115"/>
        <v>4.830917874396135E-3</v>
      </c>
      <c r="I283" s="21">
        <v>15</v>
      </c>
      <c r="J283" s="41">
        <f t="shared" si="116"/>
        <v>3.5545023696682464E-2</v>
      </c>
      <c r="K283" s="21">
        <v>4</v>
      </c>
      <c r="L283" s="41">
        <f t="shared" si="117"/>
        <v>1.932367149758454E-2</v>
      </c>
      <c r="M283" s="21">
        <v>380</v>
      </c>
      <c r="N283" s="41">
        <f t="shared" si="118"/>
        <v>0.90047393364928907</v>
      </c>
      <c r="O283" s="21">
        <v>185</v>
      </c>
      <c r="P283" s="41">
        <f t="shared" si="119"/>
        <v>0.893719806763285</v>
      </c>
      <c r="Q283" s="21">
        <v>24</v>
      </c>
      <c r="R283" s="41">
        <f t="shared" si="120"/>
        <v>5.6872037914691941E-2</v>
      </c>
      <c r="S283" s="21">
        <v>17</v>
      </c>
      <c r="T283" s="41">
        <f t="shared" si="121"/>
        <v>8.2125603864734303E-2</v>
      </c>
      <c r="U283" s="21">
        <v>28</v>
      </c>
      <c r="V283" s="41">
        <f t="shared" si="122"/>
        <v>6.6350710900473939E-2</v>
      </c>
      <c r="W283" s="21">
        <v>16</v>
      </c>
      <c r="X283" s="41">
        <f t="shared" si="123"/>
        <v>7.7294685990338161E-2</v>
      </c>
      <c r="Y283" s="21">
        <v>48</v>
      </c>
      <c r="Z283" s="41">
        <f t="shared" si="124"/>
        <v>0.11374407582938388</v>
      </c>
      <c r="AA283" s="21">
        <v>20</v>
      </c>
      <c r="AB283" s="41">
        <f t="shared" si="125"/>
        <v>9.6618357487922704E-2</v>
      </c>
      <c r="AC283" s="21">
        <v>346</v>
      </c>
      <c r="AD283" s="41">
        <f t="shared" si="107"/>
        <v>0.81990521327014221</v>
      </c>
      <c r="AE283" s="21">
        <v>171</v>
      </c>
      <c r="AF283" s="41">
        <f t="shared" si="126"/>
        <v>0.82608695652173914</v>
      </c>
      <c r="AG283" s="21">
        <v>4</v>
      </c>
      <c r="AH283" s="41">
        <f t="shared" si="108"/>
        <v>9.4786729857819912E-3</v>
      </c>
      <c r="AI283" s="21">
        <v>4</v>
      </c>
      <c r="AJ283" s="41">
        <f t="shared" si="127"/>
        <v>1.932367149758454E-2</v>
      </c>
      <c r="AK283" s="21">
        <v>10</v>
      </c>
      <c r="AL283" s="41">
        <f t="shared" si="109"/>
        <v>2.3696682464454975E-2</v>
      </c>
      <c r="AM283" s="21">
        <v>6</v>
      </c>
      <c r="AN283" s="41">
        <f t="shared" si="128"/>
        <v>2.8985507246376812E-2</v>
      </c>
      <c r="AO283" s="21">
        <v>276</v>
      </c>
      <c r="AP283" s="41">
        <f t="shared" si="110"/>
        <v>0.65402843601895733</v>
      </c>
      <c r="AQ283" s="21">
        <v>133</v>
      </c>
      <c r="AR283" s="41">
        <f t="shared" si="129"/>
        <v>0.64251207729468596</v>
      </c>
      <c r="AS283" s="21">
        <v>61</v>
      </c>
      <c r="AT283" s="41">
        <f t="shared" si="111"/>
        <v>0.14454976303317535</v>
      </c>
      <c r="AU283" s="21">
        <v>22</v>
      </c>
      <c r="AV283" s="41">
        <f t="shared" si="130"/>
        <v>0.10628019323671498</v>
      </c>
      <c r="AW283" s="21">
        <v>42</v>
      </c>
      <c r="AX283" s="41">
        <f t="shared" si="112"/>
        <v>9.9526066350710901E-2</v>
      </c>
      <c r="AY283" s="21">
        <v>23</v>
      </c>
      <c r="AZ283" s="41">
        <f t="shared" si="131"/>
        <v>0.1111111111111111</v>
      </c>
      <c r="BA283" s="21">
        <v>29</v>
      </c>
      <c r="BB283" s="41">
        <f t="shared" si="113"/>
        <v>6.8720379146919433E-2</v>
      </c>
      <c r="BC283" s="21">
        <v>19</v>
      </c>
      <c r="BD283" s="41">
        <f t="shared" si="132"/>
        <v>9.1787439613526575E-2</v>
      </c>
      <c r="BE283" s="21">
        <v>422</v>
      </c>
      <c r="BF283" s="21">
        <v>207</v>
      </c>
    </row>
    <row r="284" spans="1:58" ht="15.75" customHeight="1" x14ac:dyDescent="0.25">
      <c r="A284" s="44">
        <v>2022</v>
      </c>
      <c r="B284" s="39">
        <v>170070</v>
      </c>
      <c r="C284" s="37" t="str">
        <f>VLOOKUP(B284,procv!$A$2:$D$142,4,FALSE)</f>
        <v>Ilha do Bananal</v>
      </c>
      <c r="D284" s="37" t="s">
        <v>9</v>
      </c>
      <c r="E284" s="21">
        <v>2</v>
      </c>
      <c r="F284" s="42">
        <f t="shared" si="114"/>
        <v>5.3191489361702126E-3</v>
      </c>
      <c r="G284" s="21">
        <v>3</v>
      </c>
      <c r="H284" s="42">
        <f t="shared" si="115"/>
        <v>1.0067114093959731E-2</v>
      </c>
      <c r="I284" s="21">
        <v>4</v>
      </c>
      <c r="J284" s="41">
        <f t="shared" si="116"/>
        <v>1.0638297872340425E-2</v>
      </c>
      <c r="K284" s="21">
        <v>4</v>
      </c>
      <c r="L284" s="41">
        <f t="shared" si="117"/>
        <v>1.3422818791946308E-2</v>
      </c>
      <c r="M284" s="21">
        <v>339</v>
      </c>
      <c r="N284" s="41">
        <f t="shared" si="118"/>
        <v>0.90159574468085102</v>
      </c>
      <c r="O284" s="21">
        <v>265</v>
      </c>
      <c r="P284" s="41">
        <f t="shared" si="119"/>
        <v>0.88926174496644295</v>
      </c>
      <c r="Q284" s="21">
        <v>31</v>
      </c>
      <c r="R284" s="41">
        <f t="shared" si="120"/>
        <v>8.2446808510638292E-2</v>
      </c>
      <c r="S284" s="21">
        <v>26</v>
      </c>
      <c r="T284" s="41">
        <f t="shared" si="121"/>
        <v>8.7248322147651006E-2</v>
      </c>
      <c r="U284" s="21">
        <v>15</v>
      </c>
      <c r="V284" s="41">
        <f t="shared" si="122"/>
        <v>3.9893617021276598E-2</v>
      </c>
      <c r="W284" s="21">
        <v>8</v>
      </c>
      <c r="X284" s="41">
        <f t="shared" si="123"/>
        <v>2.6845637583892617E-2</v>
      </c>
      <c r="Y284" s="21">
        <v>30</v>
      </c>
      <c r="Z284" s="41">
        <f t="shared" si="124"/>
        <v>7.9787234042553196E-2</v>
      </c>
      <c r="AA284" s="21">
        <v>21</v>
      </c>
      <c r="AB284" s="41">
        <f t="shared" si="125"/>
        <v>7.0469798657718116E-2</v>
      </c>
      <c r="AC284" s="21">
        <v>331</v>
      </c>
      <c r="AD284" s="41">
        <f t="shared" si="107"/>
        <v>0.88031914893617025</v>
      </c>
      <c r="AE284" s="21">
        <v>269</v>
      </c>
      <c r="AF284" s="41">
        <f t="shared" si="126"/>
        <v>0.90268456375838924</v>
      </c>
      <c r="AG284" s="21">
        <v>12</v>
      </c>
      <c r="AH284" s="41">
        <f t="shared" si="108"/>
        <v>3.1914893617021274E-2</v>
      </c>
      <c r="AI284" s="21">
        <v>10</v>
      </c>
      <c r="AJ284" s="41">
        <f t="shared" si="127"/>
        <v>3.3557046979865772E-2</v>
      </c>
      <c r="AK284" s="21">
        <v>15</v>
      </c>
      <c r="AL284" s="41">
        <f t="shared" si="109"/>
        <v>3.9893617021276598E-2</v>
      </c>
      <c r="AM284" s="21">
        <v>12</v>
      </c>
      <c r="AN284" s="41">
        <f t="shared" si="128"/>
        <v>4.0268456375838924E-2</v>
      </c>
      <c r="AO284" s="21">
        <v>187</v>
      </c>
      <c r="AP284" s="41">
        <f t="shared" si="110"/>
        <v>0.49734042553191488</v>
      </c>
      <c r="AQ284" s="21">
        <v>151</v>
      </c>
      <c r="AR284" s="41">
        <f t="shared" si="129"/>
        <v>0.50671140939597314</v>
      </c>
      <c r="AS284" s="21">
        <v>78</v>
      </c>
      <c r="AT284" s="41">
        <f t="shared" si="111"/>
        <v>0.20744680851063829</v>
      </c>
      <c r="AU284" s="21">
        <v>64</v>
      </c>
      <c r="AV284" s="41">
        <f t="shared" si="130"/>
        <v>0.21476510067114093</v>
      </c>
      <c r="AW284" s="21">
        <v>53</v>
      </c>
      <c r="AX284" s="41">
        <f t="shared" si="112"/>
        <v>0.14095744680851063</v>
      </c>
      <c r="AY284" s="21">
        <v>32</v>
      </c>
      <c r="AZ284" s="41">
        <f t="shared" si="131"/>
        <v>0.10738255033557047</v>
      </c>
      <c r="BA284" s="21">
        <v>31</v>
      </c>
      <c r="BB284" s="41">
        <f t="shared" si="113"/>
        <v>8.2446808510638292E-2</v>
      </c>
      <c r="BC284" s="21">
        <v>29</v>
      </c>
      <c r="BD284" s="41">
        <f t="shared" si="132"/>
        <v>9.7315436241610737E-2</v>
      </c>
      <c r="BE284" s="21">
        <v>376</v>
      </c>
      <c r="BF284" s="21">
        <v>298</v>
      </c>
    </row>
    <row r="285" spans="1:58" ht="15.75" customHeight="1" x14ac:dyDescent="0.25">
      <c r="A285" s="44">
        <v>2022</v>
      </c>
      <c r="B285" s="39">
        <v>170100</v>
      </c>
      <c r="C285" s="37" t="str">
        <f>VLOOKUP(B285,procv!$A$2:$D$142,4,FALSE)</f>
        <v>Bico do Papagaio</v>
      </c>
      <c r="D285" s="37" t="s">
        <v>10</v>
      </c>
      <c r="E285" s="21">
        <v>5</v>
      </c>
      <c r="F285" s="42">
        <f t="shared" si="114"/>
        <v>9.1240875912408752E-3</v>
      </c>
      <c r="G285" s="21">
        <v>4</v>
      </c>
      <c r="H285" s="42">
        <f t="shared" si="115"/>
        <v>1.0638297872340425E-2</v>
      </c>
      <c r="I285" s="21">
        <v>13</v>
      </c>
      <c r="J285" s="41">
        <f t="shared" si="116"/>
        <v>2.3722627737226276E-2</v>
      </c>
      <c r="K285" s="21">
        <v>8</v>
      </c>
      <c r="L285" s="41">
        <f t="shared" si="117"/>
        <v>2.1276595744680851E-2</v>
      </c>
      <c r="M285" s="21">
        <v>499</v>
      </c>
      <c r="N285" s="41">
        <f t="shared" si="118"/>
        <v>0.91058394160583944</v>
      </c>
      <c r="O285" s="21">
        <v>340</v>
      </c>
      <c r="P285" s="41">
        <f t="shared" si="119"/>
        <v>0.9042553191489362</v>
      </c>
      <c r="Q285" s="21">
        <v>31</v>
      </c>
      <c r="R285" s="41">
        <f t="shared" si="120"/>
        <v>5.6569343065693431E-2</v>
      </c>
      <c r="S285" s="21">
        <v>24</v>
      </c>
      <c r="T285" s="41">
        <f t="shared" si="121"/>
        <v>6.3829787234042548E-2</v>
      </c>
      <c r="U285" s="21">
        <v>32</v>
      </c>
      <c r="V285" s="41">
        <f t="shared" si="122"/>
        <v>5.8394160583941604E-2</v>
      </c>
      <c r="W285" s="21">
        <v>23</v>
      </c>
      <c r="X285" s="41">
        <f t="shared" si="123"/>
        <v>6.1170212765957445E-2</v>
      </c>
      <c r="Y285" s="21">
        <v>45</v>
      </c>
      <c r="Z285" s="41">
        <f t="shared" si="124"/>
        <v>8.211678832116788E-2</v>
      </c>
      <c r="AA285" s="21">
        <v>37</v>
      </c>
      <c r="AB285" s="41">
        <f t="shared" si="125"/>
        <v>9.8404255319148939E-2</v>
      </c>
      <c r="AC285" s="21">
        <v>471</v>
      </c>
      <c r="AD285" s="41">
        <f t="shared" si="107"/>
        <v>0.85948905109489049</v>
      </c>
      <c r="AE285" s="21">
        <v>316</v>
      </c>
      <c r="AF285" s="41">
        <f t="shared" si="126"/>
        <v>0.84042553191489366</v>
      </c>
      <c r="AG285" s="21">
        <v>16</v>
      </c>
      <c r="AH285" s="41">
        <f t="shared" si="108"/>
        <v>2.9197080291970802E-2</v>
      </c>
      <c r="AI285" s="21">
        <v>17</v>
      </c>
      <c r="AJ285" s="41">
        <f t="shared" si="127"/>
        <v>4.5212765957446811E-2</v>
      </c>
      <c r="AK285" s="21">
        <v>31</v>
      </c>
      <c r="AL285" s="41">
        <f t="shared" si="109"/>
        <v>5.6569343065693431E-2</v>
      </c>
      <c r="AM285" s="21">
        <v>29</v>
      </c>
      <c r="AN285" s="41">
        <f t="shared" si="128"/>
        <v>7.7127659574468085E-2</v>
      </c>
      <c r="AO285" s="21">
        <v>350</v>
      </c>
      <c r="AP285" s="41">
        <f t="shared" si="110"/>
        <v>0.63868613138686137</v>
      </c>
      <c r="AQ285" s="21">
        <v>230</v>
      </c>
      <c r="AR285" s="41">
        <f t="shared" si="129"/>
        <v>0.61170212765957444</v>
      </c>
      <c r="AS285" s="21">
        <v>86</v>
      </c>
      <c r="AT285" s="41">
        <f t="shared" si="111"/>
        <v>0.15693430656934307</v>
      </c>
      <c r="AU285" s="21">
        <v>53</v>
      </c>
      <c r="AV285" s="41">
        <f t="shared" si="130"/>
        <v>0.14095744680851063</v>
      </c>
      <c r="AW285" s="21">
        <v>37</v>
      </c>
      <c r="AX285" s="41">
        <f t="shared" si="112"/>
        <v>6.7518248175182483E-2</v>
      </c>
      <c r="AY285" s="21">
        <v>22</v>
      </c>
      <c r="AZ285" s="41">
        <f t="shared" si="131"/>
        <v>5.8510638297872342E-2</v>
      </c>
      <c r="BA285" s="21">
        <v>28</v>
      </c>
      <c r="BB285" s="41">
        <f t="shared" si="113"/>
        <v>5.1094890510948905E-2</v>
      </c>
      <c r="BC285" s="21">
        <v>25</v>
      </c>
      <c r="BD285" s="41">
        <f t="shared" si="132"/>
        <v>6.6489361702127658E-2</v>
      </c>
      <c r="BE285" s="21">
        <v>548</v>
      </c>
      <c r="BF285" s="21">
        <v>376</v>
      </c>
    </row>
    <row r="286" spans="1:58" ht="15.75" customHeight="1" x14ac:dyDescent="0.25">
      <c r="A286" s="44">
        <v>2022</v>
      </c>
      <c r="B286" s="39">
        <v>170105</v>
      </c>
      <c r="C286" s="37" t="str">
        <f>VLOOKUP(B286,procv!$A$2:$D$142,4,FALSE)</f>
        <v>Bico do Papagaio</v>
      </c>
      <c r="D286" s="37" t="s">
        <v>11</v>
      </c>
      <c r="E286" s="21">
        <v>1</v>
      </c>
      <c r="F286" s="42">
        <f t="shared" si="114"/>
        <v>4.7619047619047623E-3</v>
      </c>
      <c r="G286" s="21">
        <v>1</v>
      </c>
      <c r="H286" s="42">
        <f t="shared" si="115"/>
        <v>1.282051282051282E-2</v>
      </c>
      <c r="I286" s="21">
        <v>6</v>
      </c>
      <c r="J286" s="41">
        <f t="shared" si="116"/>
        <v>2.8571428571428571E-2</v>
      </c>
      <c r="K286" s="21">
        <v>3</v>
      </c>
      <c r="L286" s="41">
        <f t="shared" si="117"/>
        <v>3.8461538461538464E-2</v>
      </c>
      <c r="M286" s="21">
        <v>189</v>
      </c>
      <c r="N286" s="41">
        <f t="shared" si="118"/>
        <v>0.9</v>
      </c>
      <c r="O286" s="21">
        <v>69</v>
      </c>
      <c r="P286" s="41">
        <f t="shared" si="119"/>
        <v>0.88461538461538458</v>
      </c>
      <c r="Q286" s="21">
        <v>14</v>
      </c>
      <c r="R286" s="41">
        <f t="shared" si="120"/>
        <v>6.6666666666666666E-2</v>
      </c>
      <c r="S286" s="21">
        <v>5</v>
      </c>
      <c r="T286" s="41">
        <f t="shared" si="121"/>
        <v>6.4102564102564097E-2</v>
      </c>
      <c r="U286" s="21">
        <v>15</v>
      </c>
      <c r="V286" s="41">
        <f t="shared" si="122"/>
        <v>7.1428571428571425E-2</v>
      </c>
      <c r="W286" s="21">
        <v>4</v>
      </c>
      <c r="X286" s="41">
        <f t="shared" si="123"/>
        <v>5.128205128205128E-2</v>
      </c>
      <c r="Y286" s="21">
        <v>9</v>
      </c>
      <c r="Z286" s="41">
        <f t="shared" si="124"/>
        <v>4.2857142857142858E-2</v>
      </c>
      <c r="AA286" s="21">
        <v>8</v>
      </c>
      <c r="AB286" s="41">
        <f t="shared" si="125"/>
        <v>0.10256410256410256</v>
      </c>
      <c r="AC286" s="21">
        <v>186</v>
      </c>
      <c r="AD286" s="41">
        <f t="shared" si="107"/>
        <v>0.88571428571428568</v>
      </c>
      <c r="AE286" s="21">
        <v>66</v>
      </c>
      <c r="AF286" s="41">
        <f t="shared" si="126"/>
        <v>0.84615384615384615</v>
      </c>
      <c r="AG286" s="21">
        <v>6</v>
      </c>
      <c r="AH286" s="41">
        <f t="shared" si="108"/>
        <v>2.8571428571428571E-2</v>
      </c>
      <c r="AI286" s="21">
        <v>4</v>
      </c>
      <c r="AJ286" s="41">
        <f t="shared" si="127"/>
        <v>5.128205128205128E-2</v>
      </c>
      <c r="AK286" s="21">
        <v>9</v>
      </c>
      <c r="AL286" s="41">
        <f t="shared" si="109"/>
        <v>4.2857142857142858E-2</v>
      </c>
      <c r="AM286" s="21">
        <v>5</v>
      </c>
      <c r="AN286" s="41">
        <f t="shared" si="128"/>
        <v>6.4102564102564097E-2</v>
      </c>
      <c r="AO286" s="21">
        <v>137</v>
      </c>
      <c r="AP286" s="41">
        <f t="shared" si="110"/>
        <v>0.65238095238095239</v>
      </c>
      <c r="AQ286" s="21">
        <v>42</v>
      </c>
      <c r="AR286" s="41">
        <f t="shared" si="129"/>
        <v>0.53846153846153844</v>
      </c>
      <c r="AS286" s="21">
        <v>29</v>
      </c>
      <c r="AT286" s="41">
        <f t="shared" si="111"/>
        <v>0.1380952380952381</v>
      </c>
      <c r="AU286" s="21">
        <v>13</v>
      </c>
      <c r="AV286" s="41">
        <f t="shared" si="130"/>
        <v>0.16666666666666666</v>
      </c>
      <c r="AW286" s="21">
        <v>11</v>
      </c>
      <c r="AX286" s="41">
        <f t="shared" si="112"/>
        <v>5.2380952380952382E-2</v>
      </c>
      <c r="AY286" s="21">
        <v>5</v>
      </c>
      <c r="AZ286" s="41">
        <f t="shared" si="131"/>
        <v>6.4102564102564097E-2</v>
      </c>
      <c r="BA286" s="21">
        <v>18</v>
      </c>
      <c r="BB286" s="41">
        <f t="shared" si="113"/>
        <v>8.5714285714285715E-2</v>
      </c>
      <c r="BC286" s="21">
        <v>9</v>
      </c>
      <c r="BD286" s="41">
        <f t="shared" si="132"/>
        <v>0.11538461538461539</v>
      </c>
      <c r="BE286" s="21">
        <v>210</v>
      </c>
      <c r="BF286" s="21">
        <v>78</v>
      </c>
    </row>
    <row r="287" spans="1:58" ht="15.75" customHeight="1" x14ac:dyDescent="0.25">
      <c r="A287" s="44">
        <v>2022</v>
      </c>
      <c r="B287" s="39">
        <v>170110</v>
      </c>
      <c r="C287" s="37" t="str">
        <f>VLOOKUP(B287,procv!$A$2:$D$142,4,FALSE)</f>
        <v>Capim Dourado</v>
      </c>
      <c r="D287" s="37" t="s">
        <v>12</v>
      </c>
      <c r="E287" s="21">
        <v>0</v>
      </c>
      <c r="F287" s="42">
        <f t="shared" si="114"/>
        <v>0</v>
      </c>
      <c r="G287" s="21">
        <v>0</v>
      </c>
      <c r="H287" s="42">
        <f t="shared" si="115"/>
        <v>0</v>
      </c>
      <c r="I287" s="21">
        <v>8</v>
      </c>
      <c r="J287" s="41">
        <f t="shared" si="116"/>
        <v>2.8368794326241134E-2</v>
      </c>
      <c r="K287" s="21">
        <v>8</v>
      </c>
      <c r="L287" s="41">
        <f t="shared" si="117"/>
        <v>4.7058823529411764E-2</v>
      </c>
      <c r="M287" s="21">
        <v>263</v>
      </c>
      <c r="N287" s="41">
        <f t="shared" si="118"/>
        <v>0.93262411347517726</v>
      </c>
      <c r="O287" s="21">
        <v>155</v>
      </c>
      <c r="P287" s="41">
        <f t="shared" si="119"/>
        <v>0.91176470588235292</v>
      </c>
      <c r="Q287" s="21">
        <v>11</v>
      </c>
      <c r="R287" s="41">
        <f t="shared" si="120"/>
        <v>3.9007092198581561E-2</v>
      </c>
      <c r="S287" s="21">
        <v>7</v>
      </c>
      <c r="T287" s="41">
        <f t="shared" si="121"/>
        <v>4.1176470588235294E-2</v>
      </c>
      <c r="U287" s="21">
        <v>14</v>
      </c>
      <c r="V287" s="41">
        <f t="shared" si="122"/>
        <v>4.9645390070921988E-2</v>
      </c>
      <c r="W287" s="21">
        <v>9</v>
      </c>
      <c r="X287" s="41">
        <f t="shared" si="123"/>
        <v>5.2941176470588235E-2</v>
      </c>
      <c r="Y287" s="21">
        <v>20</v>
      </c>
      <c r="Z287" s="41">
        <f t="shared" si="124"/>
        <v>7.0921985815602842E-2</v>
      </c>
      <c r="AA287" s="21">
        <v>13</v>
      </c>
      <c r="AB287" s="41">
        <f t="shared" si="125"/>
        <v>7.6470588235294124E-2</v>
      </c>
      <c r="AC287" s="21">
        <v>248</v>
      </c>
      <c r="AD287" s="41">
        <f t="shared" si="107"/>
        <v>0.87943262411347523</v>
      </c>
      <c r="AE287" s="21">
        <v>148</v>
      </c>
      <c r="AF287" s="41">
        <f t="shared" si="126"/>
        <v>0.87058823529411766</v>
      </c>
      <c r="AG287" s="21">
        <v>10</v>
      </c>
      <c r="AH287" s="41">
        <f t="shared" si="108"/>
        <v>3.5460992907801421E-2</v>
      </c>
      <c r="AI287" s="21">
        <v>10</v>
      </c>
      <c r="AJ287" s="41">
        <f t="shared" si="127"/>
        <v>5.8823529411764705E-2</v>
      </c>
      <c r="AK287" s="21">
        <v>13</v>
      </c>
      <c r="AL287" s="41">
        <f t="shared" si="109"/>
        <v>4.6099290780141841E-2</v>
      </c>
      <c r="AM287" s="21">
        <v>12</v>
      </c>
      <c r="AN287" s="41">
        <f t="shared" si="128"/>
        <v>7.0588235294117646E-2</v>
      </c>
      <c r="AO287" s="21">
        <v>193</v>
      </c>
      <c r="AP287" s="41">
        <f t="shared" si="110"/>
        <v>0.68439716312056742</v>
      </c>
      <c r="AQ287" s="21">
        <v>109</v>
      </c>
      <c r="AR287" s="41">
        <f t="shared" si="129"/>
        <v>0.64117647058823535</v>
      </c>
      <c r="AS287" s="21">
        <v>40</v>
      </c>
      <c r="AT287" s="41">
        <f t="shared" si="111"/>
        <v>0.14184397163120568</v>
      </c>
      <c r="AU287" s="21">
        <v>27</v>
      </c>
      <c r="AV287" s="41">
        <f t="shared" si="130"/>
        <v>0.1588235294117647</v>
      </c>
      <c r="AW287" s="21">
        <v>11</v>
      </c>
      <c r="AX287" s="41">
        <f t="shared" si="112"/>
        <v>3.9007092198581561E-2</v>
      </c>
      <c r="AY287" s="21">
        <v>3</v>
      </c>
      <c r="AZ287" s="41">
        <f t="shared" si="131"/>
        <v>1.7647058823529412E-2</v>
      </c>
      <c r="BA287" s="21">
        <v>15</v>
      </c>
      <c r="BB287" s="41">
        <f t="shared" si="113"/>
        <v>5.3191489361702128E-2</v>
      </c>
      <c r="BC287" s="21">
        <v>9</v>
      </c>
      <c r="BD287" s="41">
        <f t="shared" si="132"/>
        <v>5.2941176470588235E-2</v>
      </c>
      <c r="BE287" s="21">
        <v>282</v>
      </c>
      <c r="BF287" s="21">
        <v>170</v>
      </c>
    </row>
    <row r="288" spans="1:58" ht="15.75" customHeight="1" x14ac:dyDescent="0.25">
      <c r="A288" s="44">
        <v>2022</v>
      </c>
      <c r="B288" s="39">
        <v>170130</v>
      </c>
      <c r="C288" s="37" t="str">
        <f>VLOOKUP(B288,procv!$A$2:$D$142,4,FALSE)</f>
        <v>Médio Norte Araguaia</v>
      </c>
      <c r="D288" s="37" t="s">
        <v>13</v>
      </c>
      <c r="E288" s="21">
        <v>2</v>
      </c>
      <c r="F288" s="42">
        <f t="shared" si="114"/>
        <v>5.8309037900874635E-3</v>
      </c>
      <c r="G288" s="21">
        <v>1</v>
      </c>
      <c r="H288" s="42">
        <f t="shared" si="115"/>
        <v>7.1428571428571426E-3</v>
      </c>
      <c r="I288" s="21">
        <v>6</v>
      </c>
      <c r="J288" s="41">
        <f t="shared" si="116"/>
        <v>1.7492711370262391E-2</v>
      </c>
      <c r="K288" s="21">
        <v>3</v>
      </c>
      <c r="L288" s="41">
        <f t="shared" si="117"/>
        <v>2.1428571428571429E-2</v>
      </c>
      <c r="M288" s="21">
        <v>311</v>
      </c>
      <c r="N288" s="41">
        <f t="shared" si="118"/>
        <v>0.90670553935860054</v>
      </c>
      <c r="O288" s="21">
        <v>124</v>
      </c>
      <c r="P288" s="41">
        <f t="shared" si="119"/>
        <v>0.88571428571428568</v>
      </c>
      <c r="Q288" s="21">
        <v>24</v>
      </c>
      <c r="R288" s="41">
        <f t="shared" si="120"/>
        <v>6.9970845481049565E-2</v>
      </c>
      <c r="S288" s="21">
        <v>12</v>
      </c>
      <c r="T288" s="41">
        <f t="shared" si="121"/>
        <v>8.5714285714285715E-2</v>
      </c>
      <c r="U288" s="21">
        <v>18</v>
      </c>
      <c r="V288" s="41">
        <f t="shared" si="122"/>
        <v>5.2478134110787174E-2</v>
      </c>
      <c r="W288" s="21">
        <v>7</v>
      </c>
      <c r="X288" s="41">
        <f t="shared" si="123"/>
        <v>0.05</v>
      </c>
      <c r="Y288" s="21">
        <v>13</v>
      </c>
      <c r="Z288" s="41">
        <f t="shared" si="124"/>
        <v>3.7900874635568516E-2</v>
      </c>
      <c r="AA288" s="21">
        <v>8</v>
      </c>
      <c r="AB288" s="41">
        <f t="shared" si="125"/>
        <v>5.7142857142857141E-2</v>
      </c>
      <c r="AC288" s="21">
        <v>312</v>
      </c>
      <c r="AD288" s="41">
        <f t="shared" ref="AD288:AD316" si="133">IFERROR(AC288/$BE288,0)</f>
        <v>0.90962099125364426</v>
      </c>
      <c r="AE288" s="21">
        <v>125</v>
      </c>
      <c r="AF288" s="41">
        <f t="shared" si="126"/>
        <v>0.8928571428571429</v>
      </c>
      <c r="AG288" s="21">
        <v>21</v>
      </c>
      <c r="AH288" s="41">
        <f t="shared" ref="AH288:AH316" si="134">IFERROR(AG288/$BE288,0)</f>
        <v>6.1224489795918366E-2</v>
      </c>
      <c r="AI288" s="21">
        <v>5</v>
      </c>
      <c r="AJ288" s="41">
        <f t="shared" si="127"/>
        <v>3.5714285714285712E-2</v>
      </c>
      <c r="AK288" s="21">
        <v>6</v>
      </c>
      <c r="AL288" s="41">
        <f t="shared" ref="AL288:AL316" si="135">IFERROR(AK288/$BE288,0)</f>
        <v>1.7492711370262391E-2</v>
      </c>
      <c r="AM288" s="21">
        <v>3</v>
      </c>
      <c r="AN288" s="41">
        <f t="shared" si="128"/>
        <v>2.1428571428571429E-2</v>
      </c>
      <c r="AO288" s="21">
        <v>210</v>
      </c>
      <c r="AP288" s="41">
        <f t="shared" ref="AP288:AP316" si="136">IFERROR(AO288/$BE288,0)</f>
        <v>0.61224489795918369</v>
      </c>
      <c r="AQ288" s="21">
        <v>89</v>
      </c>
      <c r="AR288" s="41">
        <f t="shared" si="129"/>
        <v>0.63571428571428568</v>
      </c>
      <c r="AS288" s="21">
        <v>60</v>
      </c>
      <c r="AT288" s="41">
        <f t="shared" ref="AT288:AT316" si="137">IFERROR(AS288/$BE288,0)</f>
        <v>0.1749271137026239</v>
      </c>
      <c r="AU288" s="21">
        <v>19</v>
      </c>
      <c r="AV288" s="41">
        <f t="shared" si="130"/>
        <v>0.1357142857142857</v>
      </c>
      <c r="AW288" s="21">
        <v>23</v>
      </c>
      <c r="AX288" s="41">
        <f t="shared" ref="AX288:AX316" si="138">IFERROR(AW288/$BE288,0)</f>
        <v>6.7055393586005832E-2</v>
      </c>
      <c r="AY288" s="21">
        <v>11</v>
      </c>
      <c r="AZ288" s="41">
        <f t="shared" si="131"/>
        <v>7.857142857142857E-2</v>
      </c>
      <c r="BA288" s="21">
        <v>23</v>
      </c>
      <c r="BB288" s="41">
        <f t="shared" ref="BB288:BB316" si="139">IFERROR(BA288/$BE288,0)</f>
        <v>6.7055393586005832E-2</v>
      </c>
      <c r="BC288" s="21">
        <v>13</v>
      </c>
      <c r="BD288" s="41">
        <f t="shared" si="132"/>
        <v>9.285714285714286E-2</v>
      </c>
      <c r="BE288" s="21">
        <v>343</v>
      </c>
      <c r="BF288" s="21">
        <v>140</v>
      </c>
    </row>
    <row r="289" spans="1:58" ht="15.75" customHeight="1" x14ac:dyDescent="0.25">
      <c r="A289" s="44">
        <v>2022</v>
      </c>
      <c r="B289" s="39">
        <v>170190</v>
      </c>
      <c r="C289" s="37" t="str">
        <f>VLOOKUP(B289,procv!$A$2:$D$142,4,FALSE)</f>
        <v>Cantão</v>
      </c>
      <c r="D289" s="37" t="s">
        <v>14</v>
      </c>
      <c r="E289" s="21">
        <v>0</v>
      </c>
      <c r="F289" s="42">
        <f t="shared" si="114"/>
        <v>0</v>
      </c>
      <c r="G289" s="21">
        <v>0</v>
      </c>
      <c r="H289" s="42">
        <f t="shared" si="115"/>
        <v>0</v>
      </c>
      <c r="I289" s="21">
        <v>5</v>
      </c>
      <c r="J289" s="41">
        <f t="shared" si="116"/>
        <v>1.2594458438287154E-2</v>
      </c>
      <c r="K289" s="21">
        <v>5</v>
      </c>
      <c r="L289" s="41">
        <f t="shared" si="117"/>
        <v>2.1186440677966101E-2</v>
      </c>
      <c r="M289" s="21">
        <v>369</v>
      </c>
      <c r="N289" s="41">
        <f t="shared" si="118"/>
        <v>0.92947103274559195</v>
      </c>
      <c r="O289" s="21">
        <v>219</v>
      </c>
      <c r="P289" s="41">
        <f t="shared" si="119"/>
        <v>0.92796610169491522</v>
      </c>
      <c r="Q289" s="21">
        <v>23</v>
      </c>
      <c r="R289" s="41">
        <f t="shared" si="120"/>
        <v>5.793450881612091E-2</v>
      </c>
      <c r="S289" s="21">
        <v>12</v>
      </c>
      <c r="T289" s="41">
        <f t="shared" si="121"/>
        <v>5.0847457627118647E-2</v>
      </c>
      <c r="U289" s="21">
        <v>23</v>
      </c>
      <c r="V289" s="41">
        <f t="shared" si="122"/>
        <v>5.793450881612091E-2</v>
      </c>
      <c r="W289" s="21">
        <v>23</v>
      </c>
      <c r="X289" s="41">
        <f t="shared" si="123"/>
        <v>9.7457627118644072E-2</v>
      </c>
      <c r="Y289" s="21">
        <v>37</v>
      </c>
      <c r="Z289" s="41">
        <f t="shared" si="124"/>
        <v>9.3198992443324941E-2</v>
      </c>
      <c r="AA289" s="21">
        <v>31</v>
      </c>
      <c r="AB289" s="41">
        <f t="shared" si="125"/>
        <v>0.13135593220338984</v>
      </c>
      <c r="AC289" s="21">
        <v>337</v>
      </c>
      <c r="AD289" s="41">
        <f t="shared" si="133"/>
        <v>0.8488664987405542</v>
      </c>
      <c r="AE289" s="21">
        <v>182</v>
      </c>
      <c r="AF289" s="41">
        <f t="shared" si="126"/>
        <v>0.77118644067796616</v>
      </c>
      <c r="AG289" s="21">
        <v>8</v>
      </c>
      <c r="AH289" s="41">
        <f t="shared" si="134"/>
        <v>2.0151133501259445E-2</v>
      </c>
      <c r="AI289" s="21">
        <v>7</v>
      </c>
      <c r="AJ289" s="41">
        <f t="shared" si="127"/>
        <v>2.9661016949152543E-2</v>
      </c>
      <c r="AK289" s="21">
        <v>9</v>
      </c>
      <c r="AL289" s="41">
        <f t="shared" si="135"/>
        <v>2.2670025188916875E-2</v>
      </c>
      <c r="AM289" s="21">
        <v>6</v>
      </c>
      <c r="AN289" s="41">
        <f t="shared" si="128"/>
        <v>2.5423728813559324E-2</v>
      </c>
      <c r="AO289" s="21">
        <v>249</v>
      </c>
      <c r="AP289" s="41">
        <f t="shared" si="136"/>
        <v>0.62720403022670024</v>
      </c>
      <c r="AQ289" s="21">
        <v>141</v>
      </c>
      <c r="AR289" s="41">
        <f t="shared" si="129"/>
        <v>0.59745762711864403</v>
      </c>
      <c r="AS289" s="21">
        <v>71</v>
      </c>
      <c r="AT289" s="41">
        <f t="shared" si="137"/>
        <v>0.17884130982367757</v>
      </c>
      <c r="AU289" s="21">
        <v>41</v>
      </c>
      <c r="AV289" s="41">
        <f t="shared" si="130"/>
        <v>0.17372881355932204</v>
      </c>
      <c r="AW289" s="21">
        <v>36</v>
      </c>
      <c r="AX289" s="41">
        <f t="shared" si="138"/>
        <v>9.06801007556675E-2</v>
      </c>
      <c r="AY289" s="21">
        <v>20</v>
      </c>
      <c r="AZ289" s="41">
        <f t="shared" si="131"/>
        <v>8.4745762711864403E-2</v>
      </c>
      <c r="BA289" s="21">
        <v>24</v>
      </c>
      <c r="BB289" s="41">
        <f t="shared" si="139"/>
        <v>6.0453400503778336E-2</v>
      </c>
      <c r="BC289" s="21">
        <v>21</v>
      </c>
      <c r="BD289" s="41">
        <f t="shared" si="132"/>
        <v>8.8983050847457626E-2</v>
      </c>
      <c r="BE289" s="21">
        <v>397</v>
      </c>
      <c r="BF289" s="21">
        <v>236</v>
      </c>
    </row>
    <row r="290" spans="1:58" ht="15.75" customHeight="1" x14ac:dyDescent="0.25">
      <c r="A290" s="44">
        <v>2022</v>
      </c>
      <c r="B290" s="39">
        <v>170200</v>
      </c>
      <c r="C290" s="37" t="str">
        <f>VLOOKUP(B290,procv!$A$2:$D$142,4,FALSE)</f>
        <v>Ilha do Bananal</v>
      </c>
      <c r="D290" s="37" t="s">
        <v>15</v>
      </c>
      <c r="E290" s="21">
        <v>3</v>
      </c>
      <c r="F290" s="42">
        <f t="shared" si="114"/>
        <v>6.8493150684931503E-3</v>
      </c>
      <c r="G290" s="21">
        <v>1</v>
      </c>
      <c r="H290" s="42">
        <f t="shared" si="115"/>
        <v>5.0000000000000001E-3</v>
      </c>
      <c r="I290" s="21">
        <v>5</v>
      </c>
      <c r="J290" s="41">
        <f t="shared" si="116"/>
        <v>1.1415525114155251E-2</v>
      </c>
      <c r="K290" s="21">
        <v>4</v>
      </c>
      <c r="L290" s="41">
        <f t="shared" si="117"/>
        <v>0.02</v>
      </c>
      <c r="M290" s="21">
        <v>403</v>
      </c>
      <c r="N290" s="41">
        <f t="shared" si="118"/>
        <v>0.92009132420091322</v>
      </c>
      <c r="O290" s="21">
        <v>188</v>
      </c>
      <c r="P290" s="41">
        <f t="shared" si="119"/>
        <v>0.94</v>
      </c>
      <c r="Q290" s="21">
        <v>27</v>
      </c>
      <c r="R290" s="41">
        <f t="shared" si="120"/>
        <v>6.1643835616438353E-2</v>
      </c>
      <c r="S290" s="21">
        <v>7</v>
      </c>
      <c r="T290" s="41">
        <f t="shared" si="121"/>
        <v>3.5000000000000003E-2</v>
      </c>
      <c r="U290" s="21">
        <v>15</v>
      </c>
      <c r="V290" s="41">
        <f t="shared" si="122"/>
        <v>3.4246575342465752E-2</v>
      </c>
      <c r="W290" s="21">
        <v>8</v>
      </c>
      <c r="X290" s="41">
        <f t="shared" si="123"/>
        <v>0.04</v>
      </c>
      <c r="Y290" s="21">
        <v>28</v>
      </c>
      <c r="Z290" s="41">
        <f t="shared" si="124"/>
        <v>6.3926940639269403E-2</v>
      </c>
      <c r="AA290" s="21">
        <v>14</v>
      </c>
      <c r="AB290" s="41">
        <f t="shared" si="125"/>
        <v>7.0000000000000007E-2</v>
      </c>
      <c r="AC290" s="21">
        <v>395</v>
      </c>
      <c r="AD290" s="41">
        <f t="shared" si="133"/>
        <v>0.90182648401826482</v>
      </c>
      <c r="AE290" s="21">
        <v>178</v>
      </c>
      <c r="AF290" s="41">
        <f t="shared" si="126"/>
        <v>0.89</v>
      </c>
      <c r="AG290" s="21">
        <v>4</v>
      </c>
      <c r="AH290" s="41">
        <f t="shared" si="134"/>
        <v>9.1324200913242004E-3</v>
      </c>
      <c r="AI290" s="21">
        <v>2</v>
      </c>
      <c r="AJ290" s="41">
        <f t="shared" si="127"/>
        <v>0.01</v>
      </c>
      <c r="AK290" s="21">
        <v>9</v>
      </c>
      <c r="AL290" s="41">
        <f t="shared" si="135"/>
        <v>2.0547945205479451E-2</v>
      </c>
      <c r="AM290" s="21">
        <v>3</v>
      </c>
      <c r="AN290" s="41">
        <f t="shared" si="128"/>
        <v>1.4999999999999999E-2</v>
      </c>
      <c r="AO290" s="21">
        <v>263</v>
      </c>
      <c r="AP290" s="41">
        <f t="shared" si="136"/>
        <v>0.6004566210045662</v>
      </c>
      <c r="AQ290" s="21">
        <v>142</v>
      </c>
      <c r="AR290" s="41">
        <f t="shared" si="129"/>
        <v>0.71</v>
      </c>
      <c r="AS290" s="21">
        <v>96</v>
      </c>
      <c r="AT290" s="41">
        <f t="shared" si="137"/>
        <v>0.21917808219178081</v>
      </c>
      <c r="AU290" s="21">
        <v>31</v>
      </c>
      <c r="AV290" s="41">
        <f t="shared" si="130"/>
        <v>0.155</v>
      </c>
      <c r="AW290" s="21">
        <v>42</v>
      </c>
      <c r="AX290" s="41">
        <f t="shared" si="138"/>
        <v>9.5890410958904104E-2</v>
      </c>
      <c r="AY290" s="21">
        <v>16</v>
      </c>
      <c r="AZ290" s="41">
        <f t="shared" si="131"/>
        <v>0.08</v>
      </c>
      <c r="BA290" s="21">
        <v>24</v>
      </c>
      <c r="BB290" s="41">
        <f t="shared" si="139"/>
        <v>5.4794520547945202E-2</v>
      </c>
      <c r="BC290" s="21">
        <v>6</v>
      </c>
      <c r="BD290" s="41">
        <f t="shared" si="132"/>
        <v>0.03</v>
      </c>
      <c r="BE290" s="21">
        <v>438</v>
      </c>
      <c r="BF290" s="21">
        <v>200</v>
      </c>
    </row>
    <row r="291" spans="1:58" ht="15.75" customHeight="1" x14ac:dyDescent="0.25">
      <c r="A291" s="44">
        <v>2022</v>
      </c>
      <c r="B291" s="39">
        <v>170210</v>
      </c>
      <c r="C291" s="37" t="str">
        <f>VLOOKUP(B291,procv!$A$2:$D$142,4,FALSE)</f>
        <v>Médio Norte Araguaia</v>
      </c>
      <c r="D291" s="37" t="s">
        <v>16</v>
      </c>
      <c r="E291" s="21">
        <v>66</v>
      </c>
      <c r="F291" s="42">
        <f t="shared" si="114"/>
        <v>8.7521548866198121E-3</v>
      </c>
      <c r="G291" s="21">
        <v>4</v>
      </c>
      <c r="H291" s="42">
        <f t="shared" si="115"/>
        <v>1.0282776349614395E-3</v>
      </c>
      <c r="I291" s="21">
        <v>142</v>
      </c>
      <c r="J291" s="41">
        <f t="shared" si="116"/>
        <v>1.8830393846969898E-2</v>
      </c>
      <c r="K291" s="21">
        <v>35</v>
      </c>
      <c r="L291" s="41">
        <f t="shared" si="117"/>
        <v>8.9974293059125968E-3</v>
      </c>
      <c r="M291" s="20">
        <v>7012</v>
      </c>
      <c r="N291" s="41">
        <f t="shared" si="118"/>
        <v>0.92985015249966851</v>
      </c>
      <c r="O291" s="20">
        <v>3803</v>
      </c>
      <c r="P291" s="41">
        <f t="shared" si="119"/>
        <v>0.97763496143958872</v>
      </c>
      <c r="Q291" s="21">
        <v>321</v>
      </c>
      <c r="R291" s="41">
        <f t="shared" si="120"/>
        <v>4.2567298766741812E-2</v>
      </c>
      <c r="S291" s="21">
        <v>48</v>
      </c>
      <c r="T291" s="41">
        <f t="shared" si="121"/>
        <v>1.2339331619537276E-2</v>
      </c>
      <c r="U291" s="21">
        <v>177</v>
      </c>
      <c r="V291" s="41">
        <f t="shared" si="122"/>
        <v>2.3471688105025857E-2</v>
      </c>
      <c r="W291" s="21">
        <v>22</v>
      </c>
      <c r="X291" s="41">
        <f t="shared" si="123"/>
        <v>5.6555269922879178E-3</v>
      </c>
      <c r="Y291" s="21">
        <v>332</v>
      </c>
      <c r="Z291" s="41">
        <f t="shared" si="124"/>
        <v>4.4025991247845113E-2</v>
      </c>
      <c r="AA291" s="21">
        <v>85</v>
      </c>
      <c r="AB291" s="41">
        <f t="shared" si="125"/>
        <v>2.1850899742930592E-2</v>
      </c>
      <c r="AC291" s="20">
        <v>7032</v>
      </c>
      <c r="AD291" s="41">
        <f t="shared" si="133"/>
        <v>0.93250232064712901</v>
      </c>
      <c r="AE291" s="20">
        <v>3783</v>
      </c>
      <c r="AF291" s="41">
        <f t="shared" si="126"/>
        <v>0.97249357326478147</v>
      </c>
      <c r="AG291" s="21">
        <v>172</v>
      </c>
      <c r="AH291" s="41">
        <f t="shared" si="134"/>
        <v>2.2808646068160722E-2</v>
      </c>
      <c r="AI291" s="21">
        <v>100</v>
      </c>
      <c r="AJ291" s="41">
        <f t="shared" si="127"/>
        <v>2.570694087403599E-2</v>
      </c>
      <c r="AK291" s="21">
        <v>289</v>
      </c>
      <c r="AL291" s="41">
        <f t="shared" si="135"/>
        <v>3.8323829730804934E-2</v>
      </c>
      <c r="AM291" s="21">
        <v>177</v>
      </c>
      <c r="AN291" s="41">
        <f t="shared" si="128"/>
        <v>4.5501285347043702E-2</v>
      </c>
      <c r="AO291" s="20">
        <v>5628</v>
      </c>
      <c r="AP291" s="41">
        <f t="shared" si="136"/>
        <v>0.74632011669539844</v>
      </c>
      <c r="AQ291" s="20">
        <v>3399</v>
      </c>
      <c r="AR291" s="41">
        <f t="shared" si="129"/>
        <v>0.87377892030848325</v>
      </c>
      <c r="AS291" s="21">
        <v>891</v>
      </c>
      <c r="AT291" s="41">
        <f t="shared" si="137"/>
        <v>0.11815409096936746</v>
      </c>
      <c r="AU291" s="21">
        <v>158</v>
      </c>
      <c r="AV291" s="41">
        <f t="shared" si="130"/>
        <v>4.0616966580976861E-2</v>
      </c>
      <c r="AW291" s="21">
        <v>375</v>
      </c>
      <c r="AX291" s="41">
        <f t="shared" si="138"/>
        <v>4.9728152764885292E-2</v>
      </c>
      <c r="AY291" s="21">
        <v>41</v>
      </c>
      <c r="AZ291" s="41">
        <f t="shared" si="131"/>
        <v>1.0539845758354757E-2</v>
      </c>
      <c r="BA291" s="21">
        <v>186</v>
      </c>
      <c r="BB291" s="41">
        <f t="shared" si="139"/>
        <v>2.4665163771383107E-2</v>
      </c>
      <c r="BC291" s="21">
        <v>15</v>
      </c>
      <c r="BD291" s="41">
        <f t="shared" si="132"/>
        <v>3.8560411311053984E-3</v>
      </c>
      <c r="BE291" s="20">
        <v>7541</v>
      </c>
      <c r="BF291" s="20">
        <v>3890</v>
      </c>
    </row>
    <row r="292" spans="1:58" ht="15.75" customHeight="1" x14ac:dyDescent="0.25">
      <c r="A292" s="44">
        <v>2022</v>
      </c>
      <c r="B292" s="39">
        <v>170215</v>
      </c>
      <c r="C292" s="37" t="str">
        <f>VLOOKUP(B292,procv!$A$2:$D$142,4,FALSE)</f>
        <v>Médio Norte Araguaia</v>
      </c>
      <c r="D292" s="37" t="s">
        <v>17</v>
      </c>
      <c r="E292" s="21">
        <v>3</v>
      </c>
      <c r="F292" s="42">
        <f t="shared" si="114"/>
        <v>9.5238095238095247E-3</v>
      </c>
      <c r="G292" s="21">
        <v>2</v>
      </c>
      <c r="H292" s="42">
        <f t="shared" si="115"/>
        <v>1.2345679012345678E-2</v>
      </c>
      <c r="I292" s="21">
        <v>10</v>
      </c>
      <c r="J292" s="41">
        <f t="shared" si="116"/>
        <v>3.1746031746031744E-2</v>
      </c>
      <c r="K292" s="21">
        <v>3</v>
      </c>
      <c r="L292" s="41">
        <f t="shared" si="117"/>
        <v>1.8518518518518517E-2</v>
      </c>
      <c r="M292" s="21">
        <v>286</v>
      </c>
      <c r="N292" s="41">
        <f t="shared" si="118"/>
        <v>0.90793650793650793</v>
      </c>
      <c r="O292" s="21">
        <v>150</v>
      </c>
      <c r="P292" s="41">
        <f t="shared" si="119"/>
        <v>0.92592592592592593</v>
      </c>
      <c r="Q292" s="21">
        <v>16</v>
      </c>
      <c r="R292" s="41">
        <f t="shared" si="120"/>
        <v>5.0793650793650794E-2</v>
      </c>
      <c r="S292" s="21">
        <v>7</v>
      </c>
      <c r="T292" s="41">
        <f t="shared" si="121"/>
        <v>4.3209876543209874E-2</v>
      </c>
      <c r="U292" s="21">
        <v>16</v>
      </c>
      <c r="V292" s="41">
        <f t="shared" si="122"/>
        <v>5.0793650793650794E-2</v>
      </c>
      <c r="W292" s="21">
        <v>4</v>
      </c>
      <c r="X292" s="41">
        <f t="shared" si="123"/>
        <v>2.4691358024691357E-2</v>
      </c>
      <c r="Y292" s="21">
        <v>47</v>
      </c>
      <c r="Z292" s="41">
        <f t="shared" si="124"/>
        <v>0.1492063492063492</v>
      </c>
      <c r="AA292" s="21">
        <v>22</v>
      </c>
      <c r="AB292" s="41">
        <f t="shared" si="125"/>
        <v>0.13580246913580246</v>
      </c>
      <c r="AC292" s="21">
        <v>252</v>
      </c>
      <c r="AD292" s="41">
        <f t="shared" si="133"/>
        <v>0.8</v>
      </c>
      <c r="AE292" s="21">
        <v>136</v>
      </c>
      <c r="AF292" s="41">
        <f t="shared" si="126"/>
        <v>0.83950617283950613</v>
      </c>
      <c r="AG292" s="21">
        <v>11</v>
      </c>
      <c r="AH292" s="41">
        <f t="shared" si="134"/>
        <v>3.4920634920634921E-2</v>
      </c>
      <c r="AI292" s="21">
        <v>4</v>
      </c>
      <c r="AJ292" s="41">
        <f t="shared" si="127"/>
        <v>2.4691358024691357E-2</v>
      </c>
      <c r="AK292" s="21">
        <v>15</v>
      </c>
      <c r="AL292" s="41">
        <f t="shared" si="135"/>
        <v>4.7619047619047616E-2</v>
      </c>
      <c r="AM292" s="21">
        <v>10</v>
      </c>
      <c r="AN292" s="41">
        <f t="shared" si="128"/>
        <v>6.1728395061728392E-2</v>
      </c>
      <c r="AO292" s="21">
        <v>193</v>
      </c>
      <c r="AP292" s="41">
        <f t="shared" si="136"/>
        <v>0.61269841269841274</v>
      </c>
      <c r="AQ292" s="21">
        <v>114</v>
      </c>
      <c r="AR292" s="41">
        <f t="shared" si="129"/>
        <v>0.70370370370370372</v>
      </c>
      <c r="AS292" s="21">
        <v>57</v>
      </c>
      <c r="AT292" s="41">
        <f t="shared" si="137"/>
        <v>0.18095238095238095</v>
      </c>
      <c r="AU292" s="21">
        <v>17</v>
      </c>
      <c r="AV292" s="41">
        <f t="shared" si="130"/>
        <v>0.10493827160493827</v>
      </c>
      <c r="AW292" s="21">
        <v>26</v>
      </c>
      <c r="AX292" s="41">
        <f t="shared" si="138"/>
        <v>8.2539682539682538E-2</v>
      </c>
      <c r="AY292" s="21">
        <v>10</v>
      </c>
      <c r="AZ292" s="41">
        <f t="shared" si="131"/>
        <v>6.1728395061728392E-2</v>
      </c>
      <c r="BA292" s="21">
        <v>13</v>
      </c>
      <c r="BB292" s="41">
        <f t="shared" si="139"/>
        <v>4.1269841269841269E-2</v>
      </c>
      <c r="BC292" s="21">
        <v>7</v>
      </c>
      <c r="BD292" s="41">
        <f t="shared" si="132"/>
        <v>4.3209876543209874E-2</v>
      </c>
      <c r="BE292" s="21">
        <v>315</v>
      </c>
      <c r="BF292" s="21">
        <v>162</v>
      </c>
    </row>
    <row r="293" spans="1:58" ht="15.75" customHeight="1" x14ac:dyDescent="0.25">
      <c r="A293" s="44">
        <v>2022</v>
      </c>
      <c r="B293" s="39">
        <v>170220</v>
      </c>
      <c r="C293" s="37" t="str">
        <f>VLOOKUP(B293,procv!$A$2:$D$142,4,FALSE)</f>
        <v>Bico do Papagaio</v>
      </c>
      <c r="D293" s="37" t="s">
        <v>18</v>
      </c>
      <c r="E293" s="21">
        <v>17</v>
      </c>
      <c r="F293" s="42">
        <f t="shared" si="114"/>
        <v>8.8449531737773146E-3</v>
      </c>
      <c r="G293" s="21">
        <v>13</v>
      </c>
      <c r="H293" s="42">
        <f t="shared" si="115"/>
        <v>1.4223194748358862E-2</v>
      </c>
      <c r="I293" s="21">
        <v>75</v>
      </c>
      <c r="J293" s="41">
        <f t="shared" si="116"/>
        <v>3.9021852237252859E-2</v>
      </c>
      <c r="K293" s="21">
        <v>44</v>
      </c>
      <c r="L293" s="41">
        <f t="shared" si="117"/>
        <v>4.8140043763676151E-2</v>
      </c>
      <c r="M293" s="20">
        <v>1718</v>
      </c>
      <c r="N293" s="41">
        <f t="shared" si="118"/>
        <v>0.89386056191467222</v>
      </c>
      <c r="O293" s="21">
        <v>802</v>
      </c>
      <c r="P293" s="41">
        <f t="shared" si="119"/>
        <v>0.87746170678336977</v>
      </c>
      <c r="Q293" s="21">
        <v>112</v>
      </c>
      <c r="R293" s="41">
        <f t="shared" si="120"/>
        <v>5.8272632674297609E-2</v>
      </c>
      <c r="S293" s="21">
        <v>55</v>
      </c>
      <c r="T293" s="41">
        <f t="shared" si="121"/>
        <v>6.0175054704595186E-2</v>
      </c>
      <c r="U293" s="21">
        <v>132</v>
      </c>
      <c r="V293" s="41">
        <f t="shared" si="122"/>
        <v>6.8678459937565037E-2</v>
      </c>
      <c r="W293" s="21">
        <v>79</v>
      </c>
      <c r="X293" s="41">
        <f t="shared" si="123"/>
        <v>8.6433260393873085E-2</v>
      </c>
      <c r="Y293" s="21">
        <v>166</v>
      </c>
      <c r="Z293" s="41">
        <f t="shared" si="124"/>
        <v>8.6368366285119666E-2</v>
      </c>
      <c r="AA293" s="21">
        <v>82</v>
      </c>
      <c r="AB293" s="41">
        <f t="shared" si="125"/>
        <v>8.9715536105032828E-2</v>
      </c>
      <c r="AC293" s="20">
        <v>1624</v>
      </c>
      <c r="AD293" s="41">
        <f t="shared" si="133"/>
        <v>0.84495317377731527</v>
      </c>
      <c r="AE293" s="21">
        <v>753</v>
      </c>
      <c r="AF293" s="41">
        <f t="shared" si="126"/>
        <v>0.82385120350109409</v>
      </c>
      <c r="AG293" s="21">
        <v>71</v>
      </c>
      <c r="AH293" s="41">
        <f t="shared" si="134"/>
        <v>3.6940686784599379E-2</v>
      </c>
      <c r="AI293" s="21">
        <v>54</v>
      </c>
      <c r="AJ293" s="41">
        <f t="shared" si="127"/>
        <v>5.9080962800875277E-2</v>
      </c>
      <c r="AK293" s="21">
        <v>107</v>
      </c>
      <c r="AL293" s="41">
        <f t="shared" si="135"/>
        <v>5.5671175858480748E-2</v>
      </c>
      <c r="AM293" s="21">
        <v>71</v>
      </c>
      <c r="AN293" s="41">
        <f t="shared" si="128"/>
        <v>7.7680525164113792E-2</v>
      </c>
      <c r="AO293" s="20">
        <v>1209</v>
      </c>
      <c r="AP293" s="41">
        <f t="shared" si="136"/>
        <v>0.62903225806451613</v>
      </c>
      <c r="AQ293" s="21">
        <v>563</v>
      </c>
      <c r="AR293" s="41">
        <f t="shared" si="129"/>
        <v>0.61597374179431075</v>
      </c>
      <c r="AS293" s="21">
        <v>249</v>
      </c>
      <c r="AT293" s="41">
        <f t="shared" si="137"/>
        <v>0.12955254942767949</v>
      </c>
      <c r="AU293" s="21">
        <v>87</v>
      </c>
      <c r="AV293" s="41">
        <f t="shared" si="130"/>
        <v>9.5185995623632391E-2</v>
      </c>
      <c r="AW293" s="21">
        <v>162</v>
      </c>
      <c r="AX293" s="41">
        <f t="shared" si="138"/>
        <v>8.4287200832466186E-2</v>
      </c>
      <c r="AY293" s="21">
        <v>72</v>
      </c>
      <c r="AZ293" s="41">
        <f t="shared" si="131"/>
        <v>7.8774617067833702E-2</v>
      </c>
      <c r="BA293" s="21">
        <v>124</v>
      </c>
      <c r="BB293" s="41">
        <f t="shared" si="139"/>
        <v>6.4516129032258063E-2</v>
      </c>
      <c r="BC293" s="21">
        <v>67</v>
      </c>
      <c r="BD293" s="41">
        <f t="shared" si="132"/>
        <v>7.3304157549234139E-2</v>
      </c>
      <c r="BE293" s="20">
        <v>1922</v>
      </c>
      <c r="BF293" s="21">
        <v>914</v>
      </c>
    </row>
    <row r="294" spans="1:58" ht="15.75" customHeight="1" x14ac:dyDescent="0.25">
      <c r="A294" s="44">
        <v>2022</v>
      </c>
      <c r="B294" s="39">
        <v>170230</v>
      </c>
      <c r="C294" s="37" t="str">
        <f>VLOOKUP(B294,procv!$A$2:$D$142,4,FALSE)</f>
        <v>Cerrado Tocantins Araguaia</v>
      </c>
      <c r="D294" s="37" t="s">
        <v>19</v>
      </c>
      <c r="E294" s="21">
        <v>2</v>
      </c>
      <c r="F294" s="42">
        <f t="shared" si="114"/>
        <v>1.1428571428571429E-2</v>
      </c>
      <c r="G294" s="21">
        <v>1</v>
      </c>
      <c r="H294" s="42">
        <f t="shared" si="115"/>
        <v>8.0000000000000002E-3</v>
      </c>
      <c r="I294" s="21">
        <v>4</v>
      </c>
      <c r="J294" s="41">
        <f t="shared" si="116"/>
        <v>2.2857142857142857E-2</v>
      </c>
      <c r="K294" s="21">
        <v>3</v>
      </c>
      <c r="L294" s="41">
        <f t="shared" si="117"/>
        <v>2.4E-2</v>
      </c>
      <c r="M294" s="21">
        <v>154</v>
      </c>
      <c r="N294" s="41">
        <f t="shared" si="118"/>
        <v>0.88</v>
      </c>
      <c r="O294" s="21">
        <v>111</v>
      </c>
      <c r="P294" s="41">
        <f t="shared" si="119"/>
        <v>0.88800000000000001</v>
      </c>
      <c r="Q294" s="21">
        <v>15</v>
      </c>
      <c r="R294" s="41">
        <f t="shared" si="120"/>
        <v>8.5714285714285715E-2</v>
      </c>
      <c r="S294" s="21">
        <v>10</v>
      </c>
      <c r="T294" s="41">
        <f t="shared" si="121"/>
        <v>0.08</v>
      </c>
      <c r="U294" s="21">
        <v>7</v>
      </c>
      <c r="V294" s="41">
        <f t="shared" si="122"/>
        <v>0.04</v>
      </c>
      <c r="W294" s="21">
        <v>5</v>
      </c>
      <c r="X294" s="41">
        <f t="shared" si="123"/>
        <v>0.04</v>
      </c>
      <c r="Y294" s="21">
        <v>8</v>
      </c>
      <c r="Z294" s="41">
        <f t="shared" si="124"/>
        <v>4.5714285714285714E-2</v>
      </c>
      <c r="AA294" s="21">
        <v>7</v>
      </c>
      <c r="AB294" s="41">
        <f t="shared" si="125"/>
        <v>5.6000000000000001E-2</v>
      </c>
      <c r="AC294" s="21">
        <v>160</v>
      </c>
      <c r="AD294" s="41">
        <f t="shared" si="133"/>
        <v>0.91428571428571426</v>
      </c>
      <c r="AE294" s="21">
        <v>113</v>
      </c>
      <c r="AF294" s="41">
        <f t="shared" si="126"/>
        <v>0.90400000000000003</v>
      </c>
      <c r="AG294" s="21">
        <v>6</v>
      </c>
      <c r="AH294" s="41">
        <f t="shared" si="134"/>
        <v>3.4285714285714287E-2</v>
      </c>
      <c r="AI294" s="21">
        <v>5</v>
      </c>
      <c r="AJ294" s="41">
        <f t="shared" si="127"/>
        <v>0.04</v>
      </c>
      <c r="AK294" s="21">
        <v>10</v>
      </c>
      <c r="AL294" s="41">
        <f t="shared" si="135"/>
        <v>5.7142857142857141E-2</v>
      </c>
      <c r="AM294" s="21">
        <v>9</v>
      </c>
      <c r="AN294" s="41">
        <f t="shared" si="128"/>
        <v>7.1999999999999995E-2</v>
      </c>
      <c r="AO294" s="21">
        <v>113</v>
      </c>
      <c r="AP294" s="41">
        <f t="shared" si="136"/>
        <v>0.64571428571428569</v>
      </c>
      <c r="AQ294" s="21">
        <v>80</v>
      </c>
      <c r="AR294" s="41">
        <f t="shared" si="129"/>
        <v>0.64</v>
      </c>
      <c r="AS294" s="21">
        <v>25</v>
      </c>
      <c r="AT294" s="41">
        <f t="shared" si="137"/>
        <v>0.14285714285714285</v>
      </c>
      <c r="AU294" s="21">
        <v>13</v>
      </c>
      <c r="AV294" s="41">
        <f t="shared" si="130"/>
        <v>0.104</v>
      </c>
      <c r="AW294" s="21">
        <v>11</v>
      </c>
      <c r="AX294" s="41">
        <f t="shared" si="138"/>
        <v>6.2857142857142861E-2</v>
      </c>
      <c r="AY294" s="21">
        <v>9</v>
      </c>
      <c r="AZ294" s="41">
        <f t="shared" si="131"/>
        <v>7.1999999999999995E-2</v>
      </c>
      <c r="BA294" s="21">
        <v>10</v>
      </c>
      <c r="BB294" s="41">
        <f t="shared" si="139"/>
        <v>5.7142857142857141E-2</v>
      </c>
      <c r="BC294" s="21">
        <v>9</v>
      </c>
      <c r="BD294" s="41">
        <f t="shared" si="132"/>
        <v>7.1999999999999995E-2</v>
      </c>
      <c r="BE294" s="21">
        <v>175</v>
      </c>
      <c r="BF294" s="21">
        <v>125</v>
      </c>
    </row>
    <row r="295" spans="1:58" ht="15.75" customHeight="1" x14ac:dyDescent="0.25">
      <c r="A295" s="44">
        <v>2022</v>
      </c>
      <c r="B295" s="39">
        <v>170240</v>
      </c>
      <c r="C295" s="37" t="str">
        <f>VLOOKUP(B295,procv!$A$2:$D$142,4,FALSE)</f>
        <v>Sudeste</v>
      </c>
      <c r="D295" s="37" t="s">
        <v>20</v>
      </c>
      <c r="E295" s="21">
        <v>6</v>
      </c>
      <c r="F295" s="42">
        <f t="shared" si="114"/>
        <v>1.054481546572935E-2</v>
      </c>
      <c r="G295" s="21">
        <v>4</v>
      </c>
      <c r="H295" s="42">
        <f t="shared" si="115"/>
        <v>9.6618357487922701E-3</v>
      </c>
      <c r="I295" s="21">
        <v>16</v>
      </c>
      <c r="J295" s="41">
        <f t="shared" si="116"/>
        <v>2.8119507908611598E-2</v>
      </c>
      <c r="K295" s="21">
        <v>14</v>
      </c>
      <c r="L295" s="41">
        <f t="shared" si="117"/>
        <v>3.3816425120772944E-2</v>
      </c>
      <c r="M295" s="21">
        <v>506</v>
      </c>
      <c r="N295" s="41">
        <f t="shared" si="118"/>
        <v>0.88927943760984185</v>
      </c>
      <c r="O295" s="21">
        <v>368</v>
      </c>
      <c r="P295" s="41">
        <f t="shared" si="119"/>
        <v>0.88888888888888884</v>
      </c>
      <c r="Q295" s="21">
        <v>41</v>
      </c>
      <c r="R295" s="41">
        <f t="shared" si="120"/>
        <v>7.2056239015817217E-2</v>
      </c>
      <c r="S295" s="21">
        <v>28</v>
      </c>
      <c r="T295" s="41">
        <f t="shared" si="121"/>
        <v>6.7632850241545889E-2</v>
      </c>
      <c r="U295" s="21">
        <v>46</v>
      </c>
      <c r="V295" s="41">
        <f t="shared" si="122"/>
        <v>8.0843585237258347E-2</v>
      </c>
      <c r="W295" s="21">
        <v>38</v>
      </c>
      <c r="X295" s="41">
        <f t="shared" si="123"/>
        <v>9.1787439613526575E-2</v>
      </c>
      <c r="Y295" s="21">
        <v>67</v>
      </c>
      <c r="Z295" s="41">
        <f t="shared" si="124"/>
        <v>0.11775043936731107</v>
      </c>
      <c r="AA295" s="21">
        <v>49</v>
      </c>
      <c r="AB295" s="41">
        <f t="shared" si="125"/>
        <v>0.11835748792270531</v>
      </c>
      <c r="AC295" s="21">
        <v>456</v>
      </c>
      <c r="AD295" s="41">
        <f t="shared" si="133"/>
        <v>0.80140597539543057</v>
      </c>
      <c r="AE295" s="21">
        <v>327</v>
      </c>
      <c r="AF295" s="41">
        <f t="shared" si="126"/>
        <v>0.78985507246376807</v>
      </c>
      <c r="AG295" s="21">
        <v>18</v>
      </c>
      <c r="AH295" s="41">
        <f t="shared" si="134"/>
        <v>3.163444639718805E-2</v>
      </c>
      <c r="AI295" s="21">
        <v>21</v>
      </c>
      <c r="AJ295" s="41">
        <f t="shared" si="127"/>
        <v>5.0724637681159424E-2</v>
      </c>
      <c r="AK295" s="21">
        <v>22</v>
      </c>
      <c r="AL295" s="41">
        <f t="shared" si="135"/>
        <v>3.8664323374340948E-2</v>
      </c>
      <c r="AM295" s="21">
        <v>20</v>
      </c>
      <c r="AN295" s="41">
        <f t="shared" si="128"/>
        <v>4.8309178743961352E-2</v>
      </c>
      <c r="AO295" s="21">
        <v>336</v>
      </c>
      <c r="AP295" s="41">
        <f t="shared" si="136"/>
        <v>0.59050966608084354</v>
      </c>
      <c r="AQ295" s="21">
        <v>230</v>
      </c>
      <c r="AR295" s="41">
        <f t="shared" si="129"/>
        <v>0.55555555555555558</v>
      </c>
      <c r="AS295" s="21">
        <v>96</v>
      </c>
      <c r="AT295" s="41">
        <f t="shared" si="137"/>
        <v>0.1687170474516696</v>
      </c>
      <c r="AU295" s="21">
        <v>61</v>
      </c>
      <c r="AV295" s="41">
        <f t="shared" si="130"/>
        <v>0.14734299516908211</v>
      </c>
      <c r="AW295" s="21">
        <v>39</v>
      </c>
      <c r="AX295" s="41">
        <f t="shared" si="138"/>
        <v>6.8541300527240778E-2</v>
      </c>
      <c r="AY295" s="21">
        <v>35</v>
      </c>
      <c r="AZ295" s="41">
        <f t="shared" si="131"/>
        <v>8.4541062801932368E-2</v>
      </c>
      <c r="BA295" s="21">
        <v>58</v>
      </c>
      <c r="BB295" s="41">
        <f t="shared" si="139"/>
        <v>0.10193321616871705</v>
      </c>
      <c r="BC295" s="21">
        <v>47</v>
      </c>
      <c r="BD295" s="41">
        <f t="shared" si="132"/>
        <v>0.11352657004830918</v>
      </c>
      <c r="BE295" s="21">
        <v>569</v>
      </c>
      <c r="BF295" s="21">
        <v>414</v>
      </c>
    </row>
    <row r="296" spans="1:58" ht="15.75" customHeight="1" x14ac:dyDescent="0.25">
      <c r="A296" s="44">
        <v>2022</v>
      </c>
      <c r="B296" s="39">
        <v>170255</v>
      </c>
      <c r="C296" s="37" t="str">
        <f>VLOOKUP(B296,procv!$A$2:$D$142,4,FALSE)</f>
        <v>Bico do Papagaio</v>
      </c>
      <c r="D296" s="37" t="s">
        <v>21</v>
      </c>
      <c r="E296" s="21">
        <v>3</v>
      </c>
      <c r="F296" s="42">
        <f t="shared" si="114"/>
        <v>2.9154518950437317E-3</v>
      </c>
      <c r="G296" s="21">
        <v>0</v>
      </c>
      <c r="H296" s="42">
        <f t="shared" si="115"/>
        <v>0</v>
      </c>
      <c r="I296" s="21">
        <v>36</v>
      </c>
      <c r="J296" s="41">
        <f t="shared" si="116"/>
        <v>3.4985422740524783E-2</v>
      </c>
      <c r="K296" s="21">
        <v>24</v>
      </c>
      <c r="L296" s="41">
        <f t="shared" si="117"/>
        <v>4.4692737430167599E-2</v>
      </c>
      <c r="M296" s="21">
        <v>935</v>
      </c>
      <c r="N296" s="41">
        <f t="shared" si="118"/>
        <v>0.90864917395529643</v>
      </c>
      <c r="O296" s="21">
        <v>490</v>
      </c>
      <c r="P296" s="41">
        <f t="shared" si="119"/>
        <v>0.91247672253258849</v>
      </c>
      <c r="Q296" s="21">
        <v>55</v>
      </c>
      <c r="R296" s="41">
        <f t="shared" si="120"/>
        <v>5.3449951409135082E-2</v>
      </c>
      <c r="S296" s="21">
        <v>23</v>
      </c>
      <c r="T296" s="41">
        <f t="shared" si="121"/>
        <v>4.2830540037243951E-2</v>
      </c>
      <c r="U296" s="21">
        <v>50</v>
      </c>
      <c r="V296" s="41">
        <f t="shared" si="122"/>
        <v>4.8590864917395532E-2</v>
      </c>
      <c r="W296" s="21">
        <v>27</v>
      </c>
      <c r="X296" s="41">
        <f t="shared" si="123"/>
        <v>5.027932960893855E-2</v>
      </c>
      <c r="Y296" s="21">
        <v>78</v>
      </c>
      <c r="Z296" s="41">
        <f t="shared" si="124"/>
        <v>7.5801749271137031E-2</v>
      </c>
      <c r="AA296" s="21">
        <v>48</v>
      </c>
      <c r="AB296" s="41">
        <f t="shared" si="125"/>
        <v>8.9385474860335198E-2</v>
      </c>
      <c r="AC296" s="21">
        <v>901</v>
      </c>
      <c r="AD296" s="41">
        <f t="shared" si="133"/>
        <v>0.87560738581146746</v>
      </c>
      <c r="AE296" s="21">
        <v>462</v>
      </c>
      <c r="AF296" s="41">
        <f t="shared" si="126"/>
        <v>0.86033519553072624</v>
      </c>
      <c r="AG296" s="21">
        <v>22</v>
      </c>
      <c r="AH296" s="41">
        <f t="shared" si="134"/>
        <v>2.1379980563654033E-2</v>
      </c>
      <c r="AI296" s="21">
        <v>18</v>
      </c>
      <c r="AJ296" s="41">
        <f t="shared" si="127"/>
        <v>3.3519553072625698E-2</v>
      </c>
      <c r="AK296" s="21">
        <v>44</v>
      </c>
      <c r="AL296" s="41">
        <f t="shared" si="135"/>
        <v>4.2759961127308066E-2</v>
      </c>
      <c r="AM296" s="21">
        <v>29</v>
      </c>
      <c r="AN296" s="41">
        <f t="shared" si="128"/>
        <v>5.4003724394785846E-2</v>
      </c>
      <c r="AO296" s="21">
        <v>708</v>
      </c>
      <c r="AP296" s="41">
        <f t="shared" si="136"/>
        <v>0.68804664723032072</v>
      </c>
      <c r="AQ296" s="21">
        <v>392</v>
      </c>
      <c r="AR296" s="41">
        <f t="shared" si="129"/>
        <v>0.72998137802607077</v>
      </c>
      <c r="AS296" s="21">
        <v>146</v>
      </c>
      <c r="AT296" s="41">
        <f t="shared" si="137"/>
        <v>0.14188532555879493</v>
      </c>
      <c r="AU296" s="21">
        <v>62</v>
      </c>
      <c r="AV296" s="41">
        <f t="shared" si="130"/>
        <v>0.1154562383612663</v>
      </c>
      <c r="AW296" s="21">
        <v>63</v>
      </c>
      <c r="AX296" s="41">
        <f t="shared" si="138"/>
        <v>6.1224489795918366E-2</v>
      </c>
      <c r="AY296" s="21">
        <v>15</v>
      </c>
      <c r="AZ296" s="41">
        <f t="shared" si="131"/>
        <v>2.7932960893854747E-2</v>
      </c>
      <c r="BA296" s="21">
        <v>46</v>
      </c>
      <c r="BB296" s="41">
        <f t="shared" si="139"/>
        <v>4.470359572400389E-2</v>
      </c>
      <c r="BC296" s="21">
        <v>21</v>
      </c>
      <c r="BD296" s="41">
        <f t="shared" si="132"/>
        <v>3.9106145251396648E-2</v>
      </c>
      <c r="BE296" s="20">
        <v>1029</v>
      </c>
      <c r="BF296" s="21">
        <v>537</v>
      </c>
    </row>
    <row r="297" spans="1:58" ht="15.75" customHeight="1" x14ac:dyDescent="0.25">
      <c r="A297" s="44">
        <v>2022</v>
      </c>
      <c r="B297" s="39">
        <v>170270</v>
      </c>
      <c r="C297" s="37" t="str">
        <f>VLOOKUP(B297,procv!$A$2:$D$142,4,FALSE)</f>
        <v>Sudeste</v>
      </c>
      <c r="D297" s="37" t="s">
        <v>22</v>
      </c>
      <c r="E297" s="21">
        <v>1</v>
      </c>
      <c r="F297" s="42">
        <f t="shared" si="114"/>
        <v>6.5359477124183009E-3</v>
      </c>
      <c r="G297" s="21">
        <v>0</v>
      </c>
      <c r="H297" s="42">
        <f t="shared" si="115"/>
        <v>0</v>
      </c>
      <c r="I297" s="21">
        <v>3</v>
      </c>
      <c r="J297" s="41">
        <f t="shared" si="116"/>
        <v>1.9607843137254902E-2</v>
      </c>
      <c r="K297" s="21">
        <v>2</v>
      </c>
      <c r="L297" s="41">
        <f t="shared" si="117"/>
        <v>2.564102564102564E-2</v>
      </c>
      <c r="M297" s="21">
        <v>142</v>
      </c>
      <c r="N297" s="41">
        <f t="shared" si="118"/>
        <v>0.92810457516339873</v>
      </c>
      <c r="O297" s="21">
        <v>72</v>
      </c>
      <c r="P297" s="41">
        <f t="shared" si="119"/>
        <v>0.92307692307692313</v>
      </c>
      <c r="Q297" s="21">
        <v>7</v>
      </c>
      <c r="R297" s="41">
        <f t="shared" si="120"/>
        <v>4.5751633986928102E-2</v>
      </c>
      <c r="S297" s="21">
        <v>4</v>
      </c>
      <c r="T297" s="41">
        <f t="shared" si="121"/>
        <v>5.128205128205128E-2</v>
      </c>
      <c r="U297" s="21">
        <v>5</v>
      </c>
      <c r="V297" s="41">
        <f t="shared" si="122"/>
        <v>3.2679738562091505E-2</v>
      </c>
      <c r="W297" s="21">
        <v>2</v>
      </c>
      <c r="X297" s="41">
        <f t="shared" si="123"/>
        <v>2.564102564102564E-2</v>
      </c>
      <c r="Y297" s="21">
        <v>2</v>
      </c>
      <c r="Z297" s="41">
        <f t="shared" si="124"/>
        <v>1.3071895424836602E-2</v>
      </c>
      <c r="AA297" s="21">
        <v>0</v>
      </c>
      <c r="AB297" s="41">
        <f t="shared" si="125"/>
        <v>0</v>
      </c>
      <c r="AC297" s="21">
        <v>146</v>
      </c>
      <c r="AD297" s="41">
        <f t="shared" si="133"/>
        <v>0.95424836601307195</v>
      </c>
      <c r="AE297" s="21">
        <v>76</v>
      </c>
      <c r="AF297" s="41">
        <f t="shared" si="126"/>
        <v>0.97435897435897434</v>
      </c>
      <c r="AG297" s="21">
        <v>8</v>
      </c>
      <c r="AH297" s="41">
        <f t="shared" si="134"/>
        <v>5.2287581699346407E-2</v>
      </c>
      <c r="AI297" s="21">
        <v>6</v>
      </c>
      <c r="AJ297" s="41">
        <f t="shared" si="127"/>
        <v>7.6923076923076927E-2</v>
      </c>
      <c r="AK297" s="21">
        <v>10</v>
      </c>
      <c r="AL297" s="41">
        <f t="shared" si="135"/>
        <v>6.535947712418301E-2</v>
      </c>
      <c r="AM297" s="21">
        <v>4</v>
      </c>
      <c r="AN297" s="41">
        <f t="shared" si="128"/>
        <v>5.128205128205128E-2</v>
      </c>
      <c r="AO297" s="21">
        <v>103</v>
      </c>
      <c r="AP297" s="41">
        <f t="shared" si="136"/>
        <v>0.67320261437908502</v>
      </c>
      <c r="AQ297" s="21">
        <v>56</v>
      </c>
      <c r="AR297" s="41">
        <f t="shared" si="129"/>
        <v>0.71794871794871795</v>
      </c>
      <c r="AS297" s="21">
        <v>19</v>
      </c>
      <c r="AT297" s="41">
        <f t="shared" si="137"/>
        <v>0.12418300653594772</v>
      </c>
      <c r="AU297" s="21">
        <v>8</v>
      </c>
      <c r="AV297" s="41">
        <f t="shared" si="130"/>
        <v>0.10256410256410256</v>
      </c>
      <c r="AW297" s="21">
        <v>8</v>
      </c>
      <c r="AX297" s="41">
        <f t="shared" si="138"/>
        <v>5.2287581699346407E-2</v>
      </c>
      <c r="AY297" s="21">
        <v>2</v>
      </c>
      <c r="AZ297" s="41">
        <f t="shared" si="131"/>
        <v>2.564102564102564E-2</v>
      </c>
      <c r="BA297" s="21">
        <v>5</v>
      </c>
      <c r="BB297" s="41">
        <f t="shared" si="139"/>
        <v>3.2679738562091505E-2</v>
      </c>
      <c r="BC297" s="21">
        <v>2</v>
      </c>
      <c r="BD297" s="41">
        <f t="shared" si="132"/>
        <v>2.564102564102564E-2</v>
      </c>
      <c r="BE297" s="21">
        <v>153</v>
      </c>
      <c r="BF297" s="21">
        <v>78</v>
      </c>
    </row>
    <row r="298" spans="1:58" ht="15.75" customHeight="1" x14ac:dyDescent="0.25">
      <c r="A298" s="44">
        <v>2022</v>
      </c>
      <c r="B298" s="39">
        <v>170290</v>
      </c>
      <c r="C298" s="37" t="str">
        <f>VLOOKUP(B298,procv!$A$2:$D$142,4,FALSE)</f>
        <v>Bico do Papagaio</v>
      </c>
      <c r="D298" s="37" t="s">
        <v>23</v>
      </c>
      <c r="E298" s="21">
        <v>6</v>
      </c>
      <c r="F298" s="42">
        <f t="shared" si="114"/>
        <v>1.1834319526627219E-2</v>
      </c>
      <c r="G298" s="21">
        <v>3</v>
      </c>
      <c r="H298" s="42">
        <f t="shared" si="115"/>
        <v>6.8027210884353739E-3</v>
      </c>
      <c r="I298" s="21">
        <v>16</v>
      </c>
      <c r="J298" s="41">
        <f t="shared" si="116"/>
        <v>3.1558185404339252E-2</v>
      </c>
      <c r="K298" s="21">
        <v>14</v>
      </c>
      <c r="L298" s="41">
        <f t="shared" si="117"/>
        <v>3.1746031746031744E-2</v>
      </c>
      <c r="M298" s="21">
        <v>452</v>
      </c>
      <c r="N298" s="41">
        <f t="shared" si="118"/>
        <v>0.89151873767258383</v>
      </c>
      <c r="O298" s="21">
        <v>393</v>
      </c>
      <c r="P298" s="41">
        <f t="shared" si="119"/>
        <v>0.891156462585034</v>
      </c>
      <c r="Q298" s="21">
        <v>33</v>
      </c>
      <c r="R298" s="41">
        <f t="shared" si="120"/>
        <v>6.5088757396449703E-2</v>
      </c>
      <c r="S298" s="21">
        <v>31</v>
      </c>
      <c r="T298" s="41">
        <f t="shared" si="121"/>
        <v>7.029478458049887E-2</v>
      </c>
      <c r="U298" s="21">
        <v>42</v>
      </c>
      <c r="V298" s="41">
        <f t="shared" si="122"/>
        <v>8.2840236686390539E-2</v>
      </c>
      <c r="W298" s="21">
        <v>34</v>
      </c>
      <c r="X298" s="41">
        <f t="shared" si="123"/>
        <v>7.7097505668934238E-2</v>
      </c>
      <c r="Y298" s="21">
        <v>49</v>
      </c>
      <c r="Z298" s="41">
        <f t="shared" si="124"/>
        <v>9.6646942800788949E-2</v>
      </c>
      <c r="AA298" s="21">
        <v>43</v>
      </c>
      <c r="AB298" s="41">
        <f t="shared" si="125"/>
        <v>9.7505668934240369E-2</v>
      </c>
      <c r="AC298" s="21">
        <v>416</v>
      </c>
      <c r="AD298" s="41">
        <f t="shared" si="133"/>
        <v>0.82051282051282048</v>
      </c>
      <c r="AE298" s="21">
        <v>364</v>
      </c>
      <c r="AF298" s="41">
        <f t="shared" si="126"/>
        <v>0.82539682539682535</v>
      </c>
      <c r="AG298" s="21">
        <v>33</v>
      </c>
      <c r="AH298" s="41">
        <f t="shared" si="134"/>
        <v>6.5088757396449703E-2</v>
      </c>
      <c r="AI298" s="21">
        <v>30</v>
      </c>
      <c r="AJ298" s="41">
        <f t="shared" si="127"/>
        <v>6.8027210884353748E-2</v>
      </c>
      <c r="AK298" s="21">
        <v>20</v>
      </c>
      <c r="AL298" s="41">
        <f t="shared" si="135"/>
        <v>3.9447731755424063E-2</v>
      </c>
      <c r="AM298" s="21">
        <v>19</v>
      </c>
      <c r="AN298" s="41">
        <f t="shared" si="128"/>
        <v>4.3083900226757371E-2</v>
      </c>
      <c r="AO298" s="21">
        <v>302</v>
      </c>
      <c r="AP298" s="41">
        <f t="shared" si="136"/>
        <v>0.5956607495069034</v>
      </c>
      <c r="AQ298" s="21">
        <v>260</v>
      </c>
      <c r="AR298" s="41">
        <f t="shared" si="129"/>
        <v>0.58956916099773238</v>
      </c>
      <c r="AS298" s="21">
        <v>81</v>
      </c>
      <c r="AT298" s="41">
        <f t="shared" si="137"/>
        <v>0.15976331360946747</v>
      </c>
      <c r="AU298" s="21">
        <v>72</v>
      </c>
      <c r="AV298" s="41">
        <f t="shared" si="130"/>
        <v>0.16326530612244897</v>
      </c>
      <c r="AW298" s="21">
        <v>37</v>
      </c>
      <c r="AX298" s="41">
        <f t="shared" si="138"/>
        <v>7.2978303747534515E-2</v>
      </c>
      <c r="AY298" s="21">
        <v>31</v>
      </c>
      <c r="AZ298" s="41">
        <f t="shared" si="131"/>
        <v>7.029478458049887E-2</v>
      </c>
      <c r="BA298" s="21">
        <v>34</v>
      </c>
      <c r="BB298" s="41">
        <f t="shared" si="139"/>
        <v>6.7061143984220903E-2</v>
      </c>
      <c r="BC298" s="21">
        <v>29</v>
      </c>
      <c r="BD298" s="41">
        <f t="shared" si="132"/>
        <v>6.5759637188208611E-2</v>
      </c>
      <c r="BE298" s="21">
        <v>507</v>
      </c>
      <c r="BF298" s="21">
        <v>441</v>
      </c>
    </row>
    <row r="299" spans="1:58" ht="15.75" customHeight="1" x14ac:dyDescent="0.25">
      <c r="A299" s="44">
        <v>2022</v>
      </c>
      <c r="B299" s="39">
        <v>170300</v>
      </c>
      <c r="C299" s="37" t="str">
        <f>VLOOKUP(B299,procv!$A$2:$D$142,4,FALSE)</f>
        <v>Médio Norte Araguaia</v>
      </c>
      <c r="D299" s="37" t="s">
        <v>24</v>
      </c>
      <c r="E299" s="21">
        <v>31</v>
      </c>
      <c r="F299" s="42">
        <f t="shared" si="114"/>
        <v>6.623931623931624E-2</v>
      </c>
      <c r="G299" s="21">
        <v>35</v>
      </c>
      <c r="H299" s="42">
        <f t="shared" si="115"/>
        <v>0.12323943661971831</v>
      </c>
      <c r="I299" s="21">
        <v>17</v>
      </c>
      <c r="J299" s="41">
        <f t="shared" si="116"/>
        <v>3.6324786324786328E-2</v>
      </c>
      <c r="K299" s="21">
        <v>20</v>
      </c>
      <c r="L299" s="41">
        <f t="shared" si="117"/>
        <v>7.0422535211267609E-2</v>
      </c>
      <c r="M299" s="21">
        <v>401</v>
      </c>
      <c r="N299" s="41">
        <f t="shared" si="118"/>
        <v>0.85683760683760679</v>
      </c>
      <c r="O299" s="21">
        <v>215</v>
      </c>
      <c r="P299" s="41">
        <f t="shared" si="119"/>
        <v>0.75704225352112675</v>
      </c>
      <c r="Q299" s="21">
        <v>19</v>
      </c>
      <c r="R299" s="41">
        <f t="shared" si="120"/>
        <v>4.05982905982906E-2</v>
      </c>
      <c r="S299" s="21">
        <v>14</v>
      </c>
      <c r="T299" s="41">
        <f t="shared" si="121"/>
        <v>4.9295774647887321E-2</v>
      </c>
      <c r="U299" s="21">
        <v>34</v>
      </c>
      <c r="V299" s="41">
        <f t="shared" si="122"/>
        <v>7.2649572649572655E-2</v>
      </c>
      <c r="W299" s="21">
        <v>29</v>
      </c>
      <c r="X299" s="41">
        <f t="shared" si="123"/>
        <v>0.10211267605633803</v>
      </c>
      <c r="Y299" s="21">
        <v>49</v>
      </c>
      <c r="Z299" s="41">
        <f t="shared" si="124"/>
        <v>0.1047008547008547</v>
      </c>
      <c r="AA299" s="21">
        <v>31</v>
      </c>
      <c r="AB299" s="41">
        <f t="shared" si="125"/>
        <v>0.10915492957746478</v>
      </c>
      <c r="AC299" s="21">
        <v>385</v>
      </c>
      <c r="AD299" s="41">
        <f t="shared" si="133"/>
        <v>0.82264957264957261</v>
      </c>
      <c r="AE299" s="21">
        <v>224</v>
      </c>
      <c r="AF299" s="41">
        <f t="shared" si="126"/>
        <v>0.78873239436619713</v>
      </c>
      <c r="AG299" s="21">
        <v>52</v>
      </c>
      <c r="AH299" s="41">
        <f t="shared" si="134"/>
        <v>0.1111111111111111</v>
      </c>
      <c r="AI299" s="21">
        <v>48</v>
      </c>
      <c r="AJ299" s="41">
        <f t="shared" si="127"/>
        <v>0.16901408450704225</v>
      </c>
      <c r="AK299" s="21">
        <v>21</v>
      </c>
      <c r="AL299" s="41">
        <f t="shared" si="135"/>
        <v>4.4871794871794872E-2</v>
      </c>
      <c r="AM299" s="21">
        <v>20</v>
      </c>
      <c r="AN299" s="41">
        <f t="shared" si="128"/>
        <v>7.0422535211267609E-2</v>
      </c>
      <c r="AO299" s="21">
        <v>262</v>
      </c>
      <c r="AP299" s="41">
        <f t="shared" si="136"/>
        <v>0.55982905982905984</v>
      </c>
      <c r="AQ299" s="21">
        <v>155</v>
      </c>
      <c r="AR299" s="41">
        <f t="shared" si="129"/>
        <v>0.54577464788732399</v>
      </c>
      <c r="AS299" s="21">
        <v>72</v>
      </c>
      <c r="AT299" s="41">
        <f t="shared" si="137"/>
        <v>0.15384615384615385</v>
      </c>
      <c r="AU299" s="21">
        <v>31</v>
      </c>
      <c r="AV299" s="41">
        <f t="shared" si="130"/>
        <v>0.10915492957746478</v>
      </c>
      <c r="AW299" s="21">
        <v>36</v>
      </c>
      <c r="AX299" s="41">
        <f t="shared" si="138"/>
        <v>7.6923076923076927E-2</v>
      </c>
      <c r="AY299" s="21">
        <v>13</v>
      </c>
      <c r="AZ299" s="41">
        <f t="shared" si="131"/>
        <v>4.5774647887323945E-2</v>
      </c>
      <c r="BA299" s="21">
        <v>25</v>
      </c>
      <c r="BB299" s="41">
        <f t="shared" si="139"/>
        <v>5.3418803418803416E-2</v>
      </c>
      <c r="BC299" s="21">
        <v>17</v>
      </c>
      <c r="BD299" s="41">
        <f t="shared" si="132"/>
        <v>5.9859154929577461E-2</v>
      </c>
      <c r="BE299" s="21">
        <v>468</v>
      </c>
      <c r="BF299" s="21">
        <v>284</v>
      </c>
    </row>
    <row r="300" spans="1:58" ht="15.75" customHeight="1" x14ac:dyDescent="0.25">
      <c r="A300" s="44">
        <v>2022</v>
      </c>
      <c r="B300" s="39">
        <v>170305</v>
      </c>
      <c r="C300" s="37" t="str">
        <f>VLOOKUP(B300,procv!$A$2:$D$142,4,FALSE)</f>
        <v>Cerrado Tocantins Araguaia</v>
      </c>
      <c r="D300" s="37" t="s">
        <v>25</v>
      </c>
      <c r="E300" s="21">
        <v>2</v>
      </c>
      <c r="F300" s="42">
        <f t="shared" si="114"/>
        <v>8.8888888888888889E-3</v>
      </c>
      <c r="G300" s="21">
        <v>1</v>
      </c>
      <c r="H300" s="42">
        <f t="shared" si="115"/>
        <v>8.6206896551724137E-3</v>
      </c>
      <c r="I300" s="21">
        <v>3</v>
      </c>
      <c r="J300" s="41">
        <f t="shared" si="116"/>
        <v>1.3333333333333334E-2</v>
      </c>
      <c r="K300" s="21">
        <v>3</v>
      </c>
      <c r="L300" s="41">
        <f t="shared" si="117"/>
        <v>2.5862068965517241E-2</v>
      </c>
      <c r="M300" s="21">
        <v>199</v>
      </c>
      <c r="N300" s="41">
        <f t="shared" si="118"/>
        <v>0.88444444444444448</v>
      </c>
      <c r="O300" s="21">
        <v>102</v>
      </c>
      <c r="P300" s="41">
        <f t="shared" si="119"/>
        <v>0.87931034482758619</v>
      </c>
      <c r="Q300" s="21">
        <v>21</v>
      </c>
      <c r="R300" s="41">
        <f t="shared" si="120"/>
        <v>9.3333333333333338E-2</v>
      </c>
      <c r="S300" s="21">
        <v>10</v>
      </c>
      <c r="T300" s="41">
        <f t="shared" si="121"/>
        <v>8.6206896551724144E-2</v>
      </c>
      <c r="U300" s="21">
        <v>10</v>
      </c>
      <c r="V300" s="41">
        <f t="shared" si="122"/>
        <v>4.4444444444444446E-2</v>
      </c>
      <c r="W300" s="21">
        <v>6</v>
      </c>
      <c r="X300" s="41">
        <f t="shared" si="123"/>
        <v>5.1724137931034482E-2</v>
      </c>
      <c r="Y300" s="21">
        <v>10</v>
      </c>
      <c r="Z300" s="41">
        <f t="shared" si="124"/>
        <v>4.4444444444444446E-2</v>
      </c>
      <c r="AA300" s="21">
        <v>8</v>
      </c>
      <c r="AB300" s="41">
        <f t="shared" si="125"/>
        <v>6.8965517241379309E-2</v>
      </c>
      <c r="AC300" s="21">
        <v>205</v>
      </c>
      <c r="AD300" s="41">
        <f t="shared" si="133"/>
        <v>0.91111111111111109</v>
      </c>
      <c r="AE300" s="21">
        <v>102</v>
      </c>
      <c r="AF300" s="41">
        <f t="shared" si="126"/>
        <v>0.87931034482758619</v>
      </c>
      <c r="AG300" s="21">
        <v>7</v>
      </c>
      <c r="AH300" s="41">
        <f t="shared" si="134"/>
        <v>3.111111111111111E-2</v>
      </c>
      <c r="AI300" s="21">
        <v>6</v>
      </c>
      <c r="AJ300" s="41">
        <f t="shared" si="127"/>
        <v>5.1724137931034482E-2</v>
      </c>
      <c r="AK300" s="21">
        <v>5</v>
      </c>
      <c r="AL300" s="41">
        <f t="shared" si="135"/>
        <v>2.2222222222222223E-2</v>
      </c>
      <c r="AM300" s="21">
        <v>6</v>
      </c>
      <c r="AN300" s="41">
        <f t="shared" si="128"/>
        <v>5.1724137931034482E-2</v>
      </c>
      <c r="AO300" s="21">
        <v>127</v>
      </c>
      <c r="AP300" s="41">
        <f t="shared" si="136"/>
        <v>0.56444444444444442</v>
      </c>
      <c r="AQ300" s="21">
        <v>60</v>
      </c>
      <c r="AR300" s="41">
        <f t="shared" si="129"/>
        <v>0.51724137931034486</v>
      </c>
      <c r="AS300" s="21">
        <v>49</v>
      </c>
      <c r="AT300" s="41">
        <f t="shared" si="137"/>
        <v>0.21777777777777776</v>
      </c>
      <c r="AU300" s="21">
        <v>24</v>
      </c>
      <c r="AV300" s="41">
        <f t="shared" si="130"/>
        <v>0.20689655172413793</v>
      </c>
      <c r="AW300" s="21">
        <v>23</v>
      </c>
      <c r="AX300" s="41">
        <f t="shared" si="138"/>
        <v>0.10222222222222223</v>
      </c>
      <c r="AY300" s="21">
        <v>11</v>
      </c>
      <c r="AZ300" s="41">
        <f t="shared" si="131"/>
        <v>9.4827586206896547E-2</v>
      </c>
      <c r="BA300" s="21">
        <v>14</v>
      </c>
      <c r="BB300" s="41">
        <f t="shared" si="139"/>
        <v>6.222222222222222E-2</v>
      </c>
      <c r="BC300" s="21">
        <v>9</v>
      </c>
      <c r="BD300" s="41">
        <f t="shared" si="132"/>
        <v>7.7586206896551727E-2</v>
      </c>
      <c r="BE300" s="21">
        <v>225</v>
      </c>
      <c r="BF300" s="21">
        <v>116</v>
      </c>
    </row>
    <row r="301" spans="1:58" ht="15.75" customHeight="1" x14ac:dyDescent="0.25">
      <c r="A301" s="44">
        <v>2022</v>
      </c>
      <c r="B301" s="39">
        <v>170307</v>
      </c>
      <c r="C301" s="37" t="str">
        <f>VLOOKUP(B301,procv!$A$2:$D$142,4,FALSE)</f>
        <v>Médio Norte Araguaia</v>
      </c>
      <c r="D301" s="37" t="s">
        <v>26</v>
      </c>
      <c r="E301" s="21">
        <v>2</v>
      </c>
      <c r="F301" s="42">
        <f t="shared" si="114"/>
        <v>5.4495912806539508E-3</v>
      </c>
      <c r="G301" s="21">
        <v>0</v>
      </c>
      <c r="H301" s="42">
        <f t="shared" si="115"/>
        <v>0</v>
      </c>
      <c r="I301" s="21">
        <v>11</v>
      </c>
      <c r="J301" s="41">
        <f t="shared" si="116"/>
        <v>2.9972752043596729E-2</v>
      </c>
      <c r="K301" s="21">
        <v>4</v>
      </c>
      <c r="L301" s="41">
        <f t="shared" si="117"/>
        <v>2.4096385542168676E-2</v>
      </c>
      <c r="M301" s="21">
        <v>339</v>
      </c>
      <c r="N301" s="41">
        <f t="shared" si="118"/>
        <v>0.92370572207084467</v>
      </c>
      <c r="O301" s="21">
        <v>157</v>
      </c>
      <c r="P301" s="41">
        <f t="shared" si="119"/>
        <v>0.94578313253012047</v>
      </c>
      <c r="Q301" s="21">
        <v>15</v>
      </c>
      <c r="R301" s="41">
        <f t="shared" si="120"/>
        <v>4.0871934604904632E-2</v>
      </c>
      <c r="S301" s="21">
        <v>5</v>
      </c>
      <c r="T301" s="41">
        <f t="shared" si="121"/>
        <v>3.0120481927710843E-2</v>
      </c>
      <c r="U301" s="21">
        <v>12</v>
      </c>
      <c r="V301" s="41">
        <f t="shared" si="122"/>
        <v>3.2697547683923703E-2</v>
      </c>
      <c r="W301" s="21">
        <v>9</v>
      </c>
      <c r="X301" s="41">
        <f t="shared" si="123"/>
        <v>5.4216867469879519E-2</v>
      </c>
      <c r="Y301" s="21">
        <v>38</v>
      </c>
      <c r="Z301" s="41">
        <f t="shared" si="124"/>
        <v>0.10354223433242507</v>
      </c>
      <c r="AA301" s="21">
        <v>24</v>
      </c>
      <c r="AB301" s="41">
        <f t="shared" si="125"/>
        <v>0.14457831325301204</v>
      </c>
      <c r="AC301" s="21">
        <v>317</v>
      </c>
      <c r="AD301" s="41">
        <f t="shared" si="133"/>
        <v>0.86376021798365121</v>
      </c>
      <c r="AE301" s="21">
        <v>133</v>
      </c>
      <c r="AF301" s="41">
        <f t="shared" si="126"/>
        <v>0.8012048192771084</v>
      </c>
      <c r="AG301" s="21">
        <v>8</v>
      </c>
      <c r="AH301" s="41">
        <f t="shared" si="134"/>
        <v>2.1798365122615803E-2</v>
      </c>
      <c r="AI301" s="21">
        <v>4</v>
      </c>
      <c r="AJ301" s="41">
        <f t="shared" si="127"/>
        <v>2.4096385542168676E-2</v>
      </c>
      <c r="AK301" s="21">
        <v>14</v>
      </c>
      <c r="AL301" s="41">
        <f t="shared" si="135"/>
        <v>3.8147138964577658E-2</v>
      </c>
      <c r="AM301" s="21">
        <v>11</v>
      </c>
      <c r="AN301" s="41">
        <f t="shared" si="128"/>
        <v>6.6265060240963861E-2</v>
      </c>
      <c r="AO301" s="21">
        <v>262</v>
      </c>
      <c r="AP301" s="41">
        <f t="shared" si="136"/>
        <v>0.71389645776566757</v>
      </c>
      <c r="AQ301" s="21">
        <v>114</v>
      </c>
      <c r="AR301" s="41">
        <f t="shared" si="129"/>
        <v>0.68674698795180722</v>
      </c>
      <c r="AS301" s="21">
        <v>58</v>
      </c>
      <c r="AT301" s="41">
        <f t="shared" si="137"/>
        <v>0.15803814713896458</v>
      </c>
      <c r="AU301" s="21">
        <v>25</v>
      </c>
      <c r="AV301" s="41">
        <f t="shared" si="130"/>
        <v>0.15060240963855423</v>
      </c>
      <c r="AW301" s="21">
        <v>16</v>
      </c>
      <c r="AX301" s="41">
        <f t="shared" si="138"/>
        <v>4.3596730245231606E-2</v>
      </c>
      <c r="AY301" s="21">
        <v>6</v>
      </c>
      <c r="AZ301" s="41">
        <f t="shared" si="131"/>
        <v>3.614457831325301E-2</v>
      </c>
      <c r="BA301" s="21">
        <v>9</v>
      </c>
      <c r="BB301" s="41">
        <f t="shared" si="139"/>
        <v>2.4523160762942781E-2</v>
      </c>
      <c r="BC301" s="21">
        <v>6</v>
      </c>
      <c r="BD301" s="41">
        <f t="shared" si="132"/>
        <v>3.614457831325301E-2</v>
      </c>
      <c r="BE301" s="21">
        <v>367</v>
      </c>
      <c r="BF301" s="21">
        <v>166</v>
      </c>
    </row>
    <row r="302" spans="1:58" ht="15.75" customHeight="1" x14ac:dyDescent="0.25">
      <c r="A302" s="44">
        <v>2022</v>
      </c>
      <c r="B302" s="39">
        <v>170310</v>
      </c>
      <c r="C302" s="37" t="str">
        <f>VLOOKUP(B302,procv!$A$2:$D$142,4,FALSE)</f>
        <v>Cantão</v>
      </c>
      <c r="D302" s="37" t="s">
        <v>27</v>
      </c>
      <c r="E302" s="21">
        <v>2</v>
      </c>
      <c r="F302" s="42">
        <f t="shared" si="114"/>
        <v>8.8888888888888889E-3</v>
      </c>
      <c r="G302" s="21">
        <v>1</v>
      </c>
      <c r="H302" s="42">
        <f t="shared" si="115"/>
        <v>6.6225165562913907E-3</v>
      </c>
      <c r="I302" s="21">
        <v>8</v>
      </c>
      <c r="J302" s="41">
        <f t="shared" si="116"/>
        <v>3.5555555555555556E-2</v>
      </c>
      <c r="K302" s="21">
        <v>6</v>
      </c>
      <c r="L302" s="41">
        <f t="shared" si="117"/>
        <v>3.9735099337748346E-2</v>
      </c>
      <c r="M302" s="21">
        <v>198</v>
      </c>
      <c r="N302" s="41">
        <f t="shared" si="118"/>
        <v>0.88</v>
      </c>
      <c r="O302" s="21">
        <v>132</v>
      </c>
      <c r="P302" s="41">
        <f t="shared" si="119"/>
        <v>0.8741721854304636</v>
      </c>
      <c r="Q302" s="21">
        <v>17</v>
      </c>
      <c r="R302" s="41">
        <f t="shared" si="120"/>
        <v>7.5555555555555556E-2</v>
      </c>
      <c r="S302" s="21">
        <v>12</v>
      </c>
      <c r="T302" s="41">
        <f t="shared" si="121"/>
        <v>7.9470198675496692E-2</v>
      </c>
      <c r="U302" s="21">
        <v>18</v>
      </c>
      <c r="V302" s="41">
        <f t="shared" si="122"/>
        <v>0.08</v>
      </c>
      <c r="W302" s="21">
        <v>11</v>
      </c>
      <c r="X302" s="41">
        <f t="shared" si="123"/>
        <v>7.2847682119205295E-2</v>
      </c>
      <c r="Y302" s="21">
        <v>22</v>
      </c>
      <c r="Z302" s="41">
        <f t="shared" si="124"/>
        <v>9.7777777777777783E-2</v>
      </c>
      <c r="AA302" s="21">
        <v>16</v>
      </c>
      <c r="AB302" s="41">
        <f t="shared" si="125"/>
        <v>0.10596026490066225</v>
      </c>
      <c r="AC302" s="21">
        <v>185</v>
      </c>
      <c r="AD302" s="41">
        <f t="shared" si="133"/>
        <v>0.82222222222222219</v>
      </c>
      <c r="AE302" s="21">
        <v>124</v>
      </c>
      <c r="AF302" s="41">
        <f t="shared" si="126"/>
        <v>0.82119205298013243</v>
      </c>
      <c r="AG302" s="21">
        <v>16</v>
      </c>
      <c r="AH302" s="41">
        <f t="shared" si="134"/>
        <v>7.1111111111111111E-2</v>
      </c>
      <c r="AI302" s="21">
        <v>13</v>
      </c>
      <c r="AJ302" s="41">
        <f t="shared" si="127"/>
        <v>8.6092715231788075E-2</v>
      </c>
      <c r="AK302" s="21">
        <v>15</v>
      </c>
      <c r="AL302" s="41">
        <f t="shared" si="135"/>
        <v>6.6666666666666666E-2</v>
      </c>
      <c r="AM302" s="21">
        <v>13</v>
      </c>
      <c r="AN302" s="41">
        <f t="shared" si="128"/>
        <v>8.6092715231788075E-2</v>
      </c>
      <c r="AO302" s="21">
        <v>117</v>
      </c>
      <c r="AP302" s="41">
        <f t="shared" si="136"/>
        <v>0.52</v>
      </c>
      <c r="AQ302" s="21">
        <v>73</v>
      </c>
      <c r="AR302" s="41">
        <f t="shared" si="129"/>
        <v>0.48344370860927155</v>
      </c>
      <c r="AS302" s="21">
        <v>39</v>
      </c>
      <c r="AT302" s="41">
        <f t="shared" si="137"/>
        <v>0.17333333333333334</v>
      </c>
      <c r="AU302" s="21">
        <v>27</v>
      </c>
      <c r="AV302" s="41">
        <f t="shared" si="130"/>
        <v>0.17880794701986755</v>
      </c>
      <c r="AW302" s="21">
        <v>23</v>
      </c>
      <c r="AX302" s="41">
        <f t="shared" si="138"/>
        <v>0.10222222222222223</v>
      </c>
      <c r="AY302" s="21">
        <v>13</v>
      </c>
      <c r="AZ302" s="41">
        <f t="shared" si="131"/>
        <v>8.6092715231788075E-2</v>
      </c>
      <c r="BA302" s="21">
        <v>15</v>
      </c>
      <c r="BB302" s="41">
        <f t="shared" si="139"/>
        <v>6.6666666666666666E-2</v>
      </c>
      <c r="BC302" s="21">
        <v>12</v>
      </c>
      <c r="BD302" s="41">
        <f t="shared" si="132"/>
        <v>7.9470198675496692E-2</v>
      </c>
      <c r="BE302" s="21">
        <v>225</v>
      </c>
      <c r="BF302" s="21">
        <v>151</v>
      </c>
    </row>
    <row r="303" spans="1:58" ht="15.75" customHeight="1" x14ac:dyDescent="0.25">
      <c r="A303" s="44">
        <v>2022</v>
      </c>
      <c r="B303" s="39">
        <v>170320</v>
      </c>
      <c r="C303" s="37" t="str">
        <f>VLOOKUP(B303,procv!$A$2:$D$142,4,FALSE)</f>
        <v>Cerrado Tocantins Araguaia</v>
      </c>
      <c r="D303" s="37" t="s">
        <v>28</v>
      </c>
      <c r="E303" s="21">
        <v>1</v>
      </c>
      <c r="F303" s="42">
        <f t="shared" si="114"/>
        <v>6.41025641025641E-3</v>
      </c>
      <c r="G303" s="21">
        <v>1</v>
      </c>
      <c r="H303" s="42">
        <f t="shared" si="115"/>
        <v>8.2644628099173556E-3</v>
      </c>
      <c r="I303" s="21">
        <v>7</v>
      </c>
      <c r="J303" s="41">
        <f t="shared" si="116"/>
        <v>4.4871794871794872E-2</v>
      </c>
      <c r="K303" s="21">
        <v>7</v>
      </c>
      <c r="L303" s="41">
        <f t="shared" si="117"/>
        <v>5.7851239669421489E-2</v>
      </c>
      <c r="M303" s="21">
        <v>137</v>
      </c>
      <c r="N303" s="41">
        <f t="shared" si="118"/>
        <v>0.87820512820512819</v>
      </c>
      <c r="O303" s="21">
        <v>106</v>
      </c>
      <c r="P303" s="41">
        <f t="shared" si="119"/>
        <v>0.87603305785123964</v>
      </c>
      <c r="Q303" s="21">
        <v>11</v>
      </c>
      <c r="R303" s="41">
        <f t="shared" si="120"/>
        <v>7.0512820512820512E-2</v>
      </c>
      <c r="S303" s="21">
        <v>7</v>
      </c>
      <c r="T303" s="41">
        <f t="shared" si="121"/>
        <v>5.7851239669421489E-2</v>
      </c>
      <c r="U303" s="21">
        <v>3</v>
      </c>
      <c r="V303" s="41">
        <f t="shared" si="122"/>
        <v>1.9230769230769232E-2</v>
      </c>
      <c r="W303" s="21">
        <v>7</v>
      </c>
      <c r="X303" s="41">
        <f t="shared" si="123"/>
        <v>5.7851239669421489E-2</v>
      </c>
      <c r="Y303" s="21">
        <v>9</v>
      </c>
      <c r="Z303" s="41">
        <f t="shared" si="124"/>
        <v>5.7692307692307696E-2</v>
      </c>
      <c r="AA303" s="21">
        <v>10</v>
      </c>
      <c r="AB303" s="41">
        <f t="shared" si="125"/>
        <v>8.2644628099173556E-2</v>
      </c>
      <c r="AC303" s="21">
        <v>144</v>
      </c>
      <c r="AD303" s="41">
        <f t="shared" si="133"/>
        <v>0.92307692307692313</v>
      </c>
      <c r="AE303" s="21">
        <v>104</v>
      </c>
      <c r="AF303" s="41">
        <f t="shared" si="126"/>
        <v>0.85950413223140498</v>
      </c>
      <c r="AG303" s="21">
        <v>10</v>
      </c>
      <c r="AH303" s="41">
        <f t="shared" si="134"/>
        <v>6.4102564102564097E-2</v>
      </c>
      <c r="AI303" s="21">
        <v>7</v>
      </c>
      <c r="AJ303" s="41">
        <f t="shared" si="127"/>
        <v>5.7851239669421489E-2</v>
      </c>
      <c r="AK303" s="21">
        <v>7</v>
      </c>
      <c r="AL303" s="41">
        <f t="shared" si="135"/>
        <v>4.4871794871794872E-2</v>
      </c>
      <c r="AM303" s="21">
        <v>7</v>
      </c>
      <c r="AN303" s="41">
        <f t="shared" si="128"/>
        <v>5.7851239669421489E-2</v>
      </c>
      <c r="AO303" s="21">
        <v>108</v>
      </c>
      <c r="AP303" s="41">
        <f t="shared" si="136"/>
        <v>0.69230769230769229</v>
      </c>
      <c r="AQ303" s="21">
        <v>78</v>
      </c>
      <c r="AR303" s="41">
        <f t="shared" si="129"/>
        <v>0.64462809917355368</v>
      </c>
      <c r="AS303" s="21">
        <v>15</v>
      </c>
      <c r="AT303" s="41">
        <f t="shared" si="137"/>
        <v>9.6153846153846159E-2</v>
      </c>
      <c r="AU303" s="21">
        <v>12</v>
      </c>
      <c r="AV303" s="41">
        <f t="shared" si="130"/>
        <v>9.9173553719008267E-2</v>
      </c>
      <c r="AW303" s="21">
        <v>8</v>
      </c>
      <c r="AX303" s="41">
        <f t="shared" si="138"/>
        <v>5.128205128205128E-2</v>
      </c>
      <c r="AY303" s="21">
        <v>8</v>
      </c>
      <c r="AZ303" s="41">
        <f t="shared" si="131"/>
        <v>6.6115702479338845E-2</v>
      </c>
      <c r="BA303" s="21">
        <v>8</v>
      </c>
      <c r="BB303" s="41">
        <f t="shared" si="139"/>
        <v>5.128205128205128E-2</v>
      </c>
      <c r="BC303" s="21">
        <v>9</v>
      </c>
      <c r="BD303" s="41">
        <f t="shared" si="132"/>
        <v>7.43801652892562E-2</v>
      </c>
      <c r="BE303" s="21">
        <v>156</v>
      </c>
      <c r="BF303" s="21">
        <v>121</v>
      </c>
    </row>
    <row r="304" spans="1:58" ht="15.75" customHeight="1" x14ac:dyDescent="0.25">
      <c r="A304" s="44">
        <v>2022</v>
      </c>
      <c r="B304" s="39">
        <v>170330</v>
      </c>
      <c r="C304" s="37" t="str">
        <f>VLOOKUP(B304,procv!$A$2:$D$142,4,FALSE)</f>
        <v>Cerrado Tocantins Araguaia</v>
      </c>
      <c r="D304" s="37" t="s">
        <v>29</v>
      </c>
      <c r="E304" s="21">
        <v>0</v>
      </c>
      <c r="F304" s="42">
        <f t="shared" si="114"/>
        <v>0</v>
      </c>
      <c r="G304" s="21">
        <v>0</v>
      </c>
      <c r="H304" s="42">
        <f t="shared" si="115"/>
        <v>0</v>
      </c>
      <c r="I304" s="21">
        <v>11</v>
      </c>
      <c r="J304" s="41">
        <f t="shared" si="116"/>
        <v>0.04</v>
      </c>
      <c r="K304" s="21">
        <v>5</v>
      </c>
      <c r="L304" s="41">
        <f t="shared" si="117"/>
        <v>4.4247787610619468E-2</v>
      </c>
      <c r="M304" s="21">
        <v>256</v>
      </c>
      <c r="N304" s="41">
        <f t="shared" si="118"/>
        <v>0.93090909090909091</v>
      </c>
      <c r="O304" s="21">
        <v>103</v>
      </c>
      <c r="P304" s="41">
        <f t="shared" si="119"/>
        <v>0.91150442477876104</v>
      </c>
      <c r="Q304" s="21">
        <v>8</v>
      </c>
      <c r="R304" s="41">
        <f t="shared" si="120"/>
        <v>2.9090909090909091E-2</v>
      </c>
      <c r="S304" s="21">
        <v>5</v>
      </c>
      <c r="T304" s="41">
        <f t="shared" si="121"/>
        <v>4.4247787610619468E-2</v>
      </c>
      <c r="U304" s="21">
        <v>12</v>
      </c>
      <c r="V304" s="41">
        <f t="shared" si="122"/>
        <v>4.363636363636364E-2</v>
      </c>
      <c r="W304" s="21">
        <v>2</v>
      </c>
      <c r="X304" s="41">
        <f t="shared" si="123"/>
        <v>1.7699115044247787E-2</v>
      </c>
      <c r="Y304" s="21">
        <v>22</v>
      </c>
      <c r="Z304" s="41">
        <f t="shared" si="124"/>
        <v>0.08</v>
      </c>
      <c r="AA304" s="21">
        <v>4</v>
      </c>
      <c r="AB304" s="41">
        <f t="shared" si="125"/>
        <v>3.5398230088495575E-2</v>
      </c>
      <c r="AC304" s="21">
        <v>241</v>
      </c>
      <c r="AD304" s="41">
        <f t="shared" si="133"/>
        <v>0.87636363636363634</v>
      </c>
      <c r="AE304" s="21">
        <v>107</v>
      </c>
      <c r="AF304" s="41">
        <f t="shared" si="126"/>
        <v>0.94690265486725667</v>
      </c>
      <c r="AG304" s="21">
        <v>6</v>
      </c>
      <c r="AH304" s="41">
        <f t="shared" si="134"/>
        <v>2.181818181818182E-2</v>
      </c>
      <c r="AI304" s="21">
        <v>3</v>
      </c>
      <c r="AJ304" s="41">
        <f t="shared" si="127"/>
        <v>2.6548672566371681E-2</v>
      </c>
      <c r="AK304" s="21">
        <v>12</v>
      </c>
      <c r="AL304" s="41">
        <f t="shared" si="135"/>
        <v>4.363636363636364E-2</v>
      </c>
      <c r="AM304" s="21">
        <v>11</v>
      </c>
      <c r="AN304" s="41">
        <f t="shared" si="128"/>
        <v>9.7345132743362831E-2</v>
      </c>
      <c r="AO304" s="21">
        <v>186</v>
      </c>
      <c r="AP304" s="41">
        <f t="shared" si="136"/>
        <v>0.67636363636363639</v>
      </c>
      <c r="AQ304" s="21">
        <v>77</v>
      </c>
      <c r="AR304" s="41">
        <f t="shared" si="129"/>
        <v>0.68141592920353977</v>
      </c>
      <c r="AS304" s="21">
        <v>47</v>
      </c>
      <c r="AT304" s="41">
        <f t="shared" si="137"/>
        <v>0.1709090909090909</v>
      </c>
      <c r="AU304" s="21">
        <v>15</v>
      </c>
      <c r="AV304" s="41">
        <f t="shared" si="130"/>
        <v>0.13274336283185842</v>
      </c>
      <c r="AW304" s="21">
        <v>19</v>
      </c>
      <c r="AX304" s="41">
        <f t="shared" si="138"/>
        <v>6.9090909090909092E-2</v>
      </c>
      <c r="AY304" s="21">
        <v>5</v>
      </c>
      <c r="AZ304" s="41">
        <f t="shared" si="131"/>
        <v>4.4247787610619468E-2</v>
      </c>
      <c r="BA304" s="21">
        <v>5</v>
      </c>
      <c r="BB304" s="41">
        <f t="shared" si="139"/>
        <v>1.8181818181818181E-2</v>
      </c>
      <c r="BC304" s="21">
        <v>2</v>
      </c>
      <c r="BD304" s="41">
        <f t="shared" si="132"/>
        <v>1.7699115044247787E-2</v>
      </c>
      <c r="BE304" s="21">
        <v>275</v>
      </c>
      <c r="BF304" s="21">
        <v>113</v>
      </c>
    </row>
    <row r="305" spans="1:58" ht="15.75" customHeight="1" x14ac:dyDescent="0.25">
      <c r="A305" s="44">
        <v>2022</v>
      </c>
      <c r="B305" s="39">
        <v>170360</v>
      </c>
      <c r="C305" s="37" t="str">
        <f>VLOOKUP(B305,procv!$A$2:$D$142,4,FALSE)</f>
        <v>Cerrado Tocantins Araguaia</v>
      </c>
      <c r="D305" s="37" t="s">
        <v>30</v>
      </c>
      <c r="E305" s="21">
        <v>0</v>
      </c>
      <c r="F305" s="42">
        <f t="shared" si="114"/>
        <v>0</v>
      </c>
      <c r="G305" s="21">
        <v>0</v>
      </c>
      <c r="H305" s="42">
        <f t="shared" si="115"/>
        <v>0</v>
      </c>
      <c r="I305" s="21">
        <v>5</v>
      </c>
      <c r="J305" s="41">
        <f t="shared" si="116"/>
        <v>3.8167938931297711E-2</v>
      </c>
      <c r="K305" s="21">
        <v>1</v>
      </c>
      <c r="L305" s="41">
        <f t="shared" si="117"/>
        <v>1.5873015873015872E-2</v>
      </c>
      <c r="M305" s="21">
        <v>121</v>
      </c>
      <c r="N305" s="41">
        <f t="shared" si="118"/>
        <v>0.92366412213740456</v>
      </c>
      <c r="O305" s="21">
        <v>60</v>
      </c>
      <c r="P305" s="41">
        <f t="shared" si="119"/>
        <v>0.95238095238095233</v>
      </c>
      <c r="Q305" s="21">
        <v>5</v>
      </c>
      <c r="R305" s="41">
        <f t="shared" si="120"/>
        <v>3.8167938931297711E-2</v>
      </c>
      <c r="S305" s="21">
        <v>2</v>
      </c>
      <c r="T305" s="41">
        <f t="shared" si="121"/>
        <v>3.1746031746031744E-2</v>
      </c>
      <c r="U305" s="21">
        <v>16</v>
      </c>
      <c r="V305" s="41">
        <f t="shared" si="122"/>
        <v>0.12213740458015267</v>
      </c>
      <c r="W305" s="21">
        <v>5</v>
      </c>
      <c r="X305" s="41">
        <f t="shared" si="123"/>
        <v>7.9365079365079361E-2</v>
      </c>
      <c r="Y305" s="21">
        <v>10</v>
      </c>
      <c r="Z305" s="41">
        <f t="shared" si="124"/>
        <v>7.6335877862595422E-2</v>
      </c>
      <c r="AA305" s="21">
        <v>7</v>
      </c>
      <c r="AB305" s="41">
        <f t="shared" si="125"/>
        <v>0.1111111111111111</v>
      </c>
      <c r="AC305" s="21">
        <v>105</v>
      </c>
      <c r="AD305" s="41">
        <f t="shared" si="133"/>
        <v>0.80152671755725191</v>
      </c>
      <c r="AE305" s="21">
        <v>51</v>
      </c>
      <c r="AF305" s="41">
        <f t="shared" si="126"/>
        <v>0.80952380952380953</v>
      </c>
      <c r="AG305" s="21">
        <v>0</v>
      </c>
      <c r="AH305" s="41">
        <f t="shared" si="134"/>
        <v>0</v>
      </c>
      <c r="AI305" s="21">
        <v>0</v>
      </c>
      <c r="AJ305" s="41">
        <f t="shared" si="127"/>
        <v>0</v>
      </c>
      <c r="AK305" s="21">
        <v>6</v>
      </c>
      <c r="AL305" s="41">
        <f t="shared" si="135"/>
        <v>4.5801526717557252E-2</v>
      </c>
      <c r="AM305" s="21">
        <v>5</v>
      </c>
      <c r="AN305" s="41">
        <f t="shared" si="128"/>
        <v>7.9365079365079361E-2</v>
      </c>
      <c r="AO305" s="21">
        <v>74</v>
      </c>
      <c r="AP305" s="41">
        <f t="shared" si="136"/>
        <v>0.56488549618320616</v>
      </c>
      <c r="AQ305" s="21">
        <v>40</v>
      </c>
      <c r="AR305" s="41">
        <f t="shared" si="129"/>
        <v>0.63492063492063489</v>
      </c>
      <c r="AS305" s="21">
        <v>28</v>
      </c>
      <c r="AT305" s="41">
        <f t="shared" si="137"/>
        <v>0.21374045801526717</v>
      </c>
      <c r="AU305" s="21">
        <v>13</v>
      </c>
      <c r="AV305" s="41">
        <f t="shared" si="130"/>
        <v>0.20634920634920634</v>
      </c>
      <c r="AW305" s="21">
        <v>6</v>
      </c>
      <c r="AX305" s="41">
        <f t="shared" si="138"/>
        <v>4.5801526717557252E-2</v>
      </c>
      <c r="AY305" s="21">
        <v>2</v>
      </c>
      <c r="AZ305" s="41">
        <f t="shared" si="131"/>
        <v>3.1746031746031744E-2</v>
      </c>
      <c r="BA305" s="21">
        <v>17</v>
      </c>
      <c r="BB305" s="41">
        <f t="shared" si="139"/>
        <v>0.12977099236641221</v>
      </c>
      <c r="BC305" s="21">
        <v>3</v>
      </c>
      <c r="BD305" s="41">
        <f t="shared" si="132"/>
        <v>4.7619047619047616E-2</v>
      </c>
      <c r="BE305" s="21">
        <v>131</v>
      </c>
      <c r="BF305" s="21">
        <v>63</v>
      </c>
    </row>
    <row r="306" spans="1:58" ht="15.75" customHeight="1" x14ac:dyDescent="0.25">
      <c r="A306" s="44">
        <v>2022</v>
      </c>
      <c r="B306" s="39">
        <v>170370</v>
      </c>
      <c r="C306" s="37" t="str">
        <f>VLOOKUP(B306,procv!$A$2:$D$142,4,FALSE)</f>
        <v>Amor Perfeito</v>
      </c>
      <c r="D306" s="37" t="s">
        <v>31</v>
      </c>
      <c r="E306" s="21">
        <v>4</v>
      </c>
      <c r="F306" s="42">
        <f t="shared" si="114"/>
        <v>1.4598540145985401E-2</v>
      </c>
      <c r="G306" s="21">
        <v>3</v>
      </c>
      <c r="H306" s="42">
        <f t="shared" si="115"/>
        <v>2.3622047244094488E-2</v>
      </c>
      <c r="I306" s="21">
        <v>7</v>
      </c>
      <c r="J306" s="41">
        <f t="shared" si="116"/>
        <v>2.5547445255474453E-2</v>
      </c>
      <c r="K306" s="21">
        <v>4</v>
      </c>
      <c r="L306" s="41">
        <f t="shared" si="117"/>
        <v>3.1496062992125984E-2</v>
      </c>
      <c r="M306" s="21">
        <v>251</v>
      </c>
      <c r="N306" s="41">
        <f t="shared" si="118"/>
        <v>0.91605839416058399</v>
      </c>
      <c r="O306" s="21">
        <v>114</v>
      </c>
      <c r="P306" s="41">
        <f t="shared" si="119"/>
        <v>0.89763779527559051</v>
      </c>
      <c r="Q306" s="21">
        <v>12</v>
      </c>
      <c r="R306" s="41">
        <f t="shared" si="120"/>
        <v>4.3795620437956206E-2</v>
      </c>
      <c r="S306" s="21">
        <v>6</v>
      </c>
      <c r="T306" s="41">
        <f t="shared" si="121"/>
        <v>4.7244094488188976E-2</v>
      </c>
      <c r="U306" s="21">
        <v>21</v>
      </c>
      <c r="V306" s="41">
        <f t="shared" si="122"/>
        <v>7.6642335766423361E-2</v>
      </c>
      <c r="W306" s="21">
        <v>12</v>
      </c>
      <c r="X306" s="41">
        <f t="shared" si="123"/>
        <v>9.4488188976377951E-2</v>
      </c>
      <c r="Y306" s="21">
        <v>22</v>
      </c>
      <c r="Z306" s="41">
        <f t="shared" si="124"/>
        <v>8.0291970802919707E-2</v>
      </c>
      <c r="AA306" s="21">
        <v>6</v>
      </c>
      <c r="AB306" s="41">
        <f t="shared" si="125"/>
        <v>4.7244094488188976E-2</v>
      </c>
      <c r="AC306" s="21">
        <v>231</v>
      </c>
      <c r="AD306" s="41">
        <f t="shared" si="133"/>
        <v>0.84306569343065696</v>
      </c>
      <c r="AE306" s="21">
        <v>109</v>
      </c>
      <c r="AF306" s="41">
        <f t="shared" si="126"/>
        <v>0.8582677165354331</v>
      </c>
      <c r="AG306" s="21">
        <v>8</v>
      </c>
      <c r="AH306" s="41">
        <f t="shared" si="134"/>
        <v>2.9197080291970802E-2</v>
      </c>
      <c r="AI306" s="21">
        <v>7</v>
      </c>
      <c r="AJ306" s="41">
        <f t="shared" si="127"/>
        <v>5.5118110236220472E-2</v>
      </c>
      <c r="AK306" s="21">
        <v>12</v>
      </c>
      <c r="AL306" s="41">
        <f t="shared" si="135"/>
        <v>4.3795620437956206E-2</v>
      </c>
      <c r="AM306" s="21">
        <v>9</v>
      </c>
      <c r="AN306" s="41">
        <f t="shared" si="128"/>
        <v>7.0866141732283464E-2</v>
      </c>
      <c r="AO306" s="21">
        <v>161</v>
      </c>
      <c r="AP306" s="41">
        <f t="shared" si="136"/>
        <v>0.58759124087591241</v>
      </c>
      <c r="AQ306" s="21">
        <v>82</v>
      </c>
      <c r="AR306" s="41">
        <f t="shared" si="129"/>
        <v>0.64566929133858264</v>
      </c>
      <c r="AS306" s="21">
        <v>46</v>
      </c>
      <c r="AT306" s="41">
        <f t="shared" si="137"/>
        <v>0.16788321167883211</v>
      </c>
      <c r="AU306" s="21">
        <v>11</v>
      </c>
      <c r="AV306" s="41">
        <f t="shared" si="130"/>
        <v>8.6614173228346455E-2</v>
      </c>
      <c r="AW306" s="21">
        <v>28</v>
      </c>
      <c r="AX306" s="41">
        <f t="shared" si="138"/>
        <v>0.10218978102189781</v>
      </c>
      <c r="AY306" s="21">
        <v>8</v>
      </c>
      <c r="AZ306" s="41">
        <f t="shared" si="131"/>
        <v>6.2992125984251968E-2</v>
      </c>
      <c r="BA306" s="21">
        <v>19</v>
      </c>
      <c r="BB306" s="41">
        <f t="shared" si="139"/>
        <v>6.9343065693430656E-2</v>
      </c>
      <c r="BC306" s="21">
        <v>10</v>
      </c>
      <c r="BD306" s="41">
        <f t="shared" si="132"/>
        <v>7.874015748031496E-2</v>
      </c>
      <c r="BE306" s="21">
        <v>274</v>
      </c>
      <c r="BF306" s="21">
        <v>127</v>
      </c>
    </row>
    <row r="307" spans="1:58" ht="15.75" customHeight="1" x14ac:dyDescent="0.25">
      <c r="A307" s="44">
        <v>2022</v>
      </c>
      <c r="B307" s="39">
        <v>170380</v>
      </c>
      <c r="C307" s="37" t="str">
        <f>VLOOKUP(B307,procv!$A$2:$D$142,4,FALSE)</f>
        <v>Bico do Papagaio</v>
      </c>
      <c r="D307" s="37" t="s">
        <v>32</v>
      </c>
      <c r="E307" s="21">
        <v>6</v>
      </c>
      <c r="F307" s="42">
        <f t="shared" si="114"/>
        <v>9.2449922958397542E-3</v>
      </c>
      <c r="G307" s="21">
        <v>3</v>
      </c>
      <c r="H307" s="42">
        <f t="shared" si="115"/>
        <v>1.0273972602739725E-2</v>
      </c>
      <c r="I307" s="21">
        <v>18</v>
      </c>
      <c r="J307" s="41">
        <f t="shared" si="116"/>
        <v>2.7734976887519261E-2</v>
      </c>
      <c r="K307" s="21">
        <v>13</v>
      </c>
      <c r="L307" s="41">
        <f t="shared" si="117"/>
        <v>4.4520547945205477E-2</v>
      </c>
      <c r="M307" s="21">
        <v>601</v>
      </c>
      <c r="N307" s="41">
        <f t="shared" si="118"/>
        <v>0.92604006163328201</v>
      </c>
      <c r="O307" s="21">
        <v>262</v>
      </c>
      <c r="P307" s="41">
        <f t="shared" si="119"/>
        <v>0.89726027397260277</v>
      </c>
      <c r="Q307" s="21">
        <v>24</v>
      </c>
      <c r="R307" s="41">
        <f t="shared" si="120"/>
        <v>3.6979969183359017E-2</v>
      </c>
      <c r="S307" s="21">
        <v>14</v>
      </c>
      <c r="T307" s="41">
        <f t="shared" si="121"/>
        <v>4.7945205479452052E-2</v>
      </c>
      <c r="U307" s="21">
        <v>42</v>
      </c>
      <c r="V307" s="41">
        <f t="shared" si="122"/>
        <v>6.4714946070878271E-2</v>
      </c>
      <c r="W307" s="21">
        <v>30</v>
      </c>
      <c r="X307" s="41">
        <f t="shared" si="123"/>
        <v>0.10273972602739725</v>
      </c>
      <c r="Y307" s="21">
        <v>49</v>
      </c>
      <c r="Z307" s="41">
        <f t="shared" si="124"/>
        <v>7.5500770416024654E-2</v>
      </c>
      <c r="AA307" s="21">
        <v>25</v>
      </c>
      <c r="AB307" s="41">
        <f t="shared" si="125"/>
        <v>8.5616438356164379E-2</v>
      </c>
      <c r="AC307" s="21">
        <v>558</v>
      </c>
      <c r="AD307" s="41">
        <f t="shared" si="133"/>
        <v>0.8597842835130971</v>
      </c>
      <c r="AE307" s="21">
        <v>237</v>
      </c>
      <c r="AF307" s="41">
        <f t="shared" si="126"/>
        <v>0.81164383561643838</v>
      </c>
      <c r="AG307" s="21">
        <v>16</v>
      </c>
      <c r="AH307" s="41">
        <f t="shared" si="134"/>
        <v>2.465331278890601E-2</v>
      </c>
      <c r="AI307" s="21">
        <v>14</v>
      </c>
      <c r="AJ307" s="41">
        <f t="shared" si="127"/>
        <v>4.7945205479452052E-2</v>
      </c>
      <c r="AK307" s="21">
        <v>12</v>
      </c>
      <c r="AL307" s="41">
        <f t="shared" si="135"/>
        <v>1.8489984591679508E-2</v>
      </c>
      <c r="AM307" s="21">
        <v>13</v>
      </c>
      <c r="AN307" s="41">
        <f t="shared" si="128"/>
        <v>4.4520547945205477E-2</v>
      </c>
      <c r="AO307" s="21">
        <v>406</v>
      </c>
      <c r="AP307" s="41">
        <f t="shared" si="136"/>
        <v>0.62557781201848994</v>
      </c>
      <c r="AQ307" s="21">
        <v>174</v>
      </c>
      <c r="AR307" s="41">
        <f t="shared" si="129"/>
        <v>0.59589041095890416</v>
      </c>
      <c r="AS307" s="21">
        <v>121</v>
      </c>
      <c r="AT307" s="41">
        <f t="shared" si="137"/>
        <v>0.1864406779661017</v>
      </c>
      <c r="AU307" s="21">
        <v>45</v>
      </c>
      <c r="AV307" s="41">
        <f t="shared" si="130"/>
        <v>0.1541095890410959</v>
      </c>
      <c r="AW307" s="21">
        <v>64</v>
      </c>
      <c r="AX307" s="41">
        <f t="shared" si="138"/>
        <v>9.861325115562404E-2</v>
      </c>
      <c r="AY307" s="21">
        <v>26</v>
      </c>
      <c r="AZ307" s="41">
        <f t="shared" si="131"/>
        <v>8.9041095890410954E-2</v>
      </c>
      <c r="BA307" s="21">
        <v>30</v>
      </c>
      <c r="BB307" s="41">
        <f t="shared" si="139"/>
        <v>4.6224961479198766E-2</v>
      </c>
      <c r="BC307" s="21">
        <v>20</v>
      </c>
      <c r="BD307" s="41">
        <f t="shared" si="132"/>
        <v>6.8493150684931503E-2</v>
      </c>
      <c r="BE307" s="21">
        <v>649</v>
      </c>
      <c r="BF307" s="21">
        <v>292</v>
      </c>
    </row>
    <row r="308" spans="1:58" ht="15.75" customHeight="1" x14ac:dyDescent="0.25">
      <c r="A308" s="44">
        <v>2022</v>
      </c>
      <c r="B308" s="39">
        <v>170382</v>
      </c>
      <c r="C308" s="37" t="str">
        <f>VLOOKUP(B308,procv!$A$2:$D$142,4,FALSE)</f>
        <v>Bico do Papagaio</v>
      </c>
      <c r="D308" s="37" t="s">
        <v>33</v>
      </c>
      <c r="E308" s="21">
        <v>2</v>
      </c>
      <c r="F308" s="42">
        <f t="shared" si="114"/>
        <v>1.6528925619834711E-2</v>
      </c>
      <c r="G308" s="21">
        <v>2</v>
      </c>
      <c r="H308" s="42">
        <f t="shared" si="115"/>
        <v>0.02</v>
      </c>
      <c r="I308" s="21">
        <v>1</v>
      </c>
      <c r="J308" s="41">
        <f t="shared" si="116"/>
        <v>8.2644628099173556E-3</v>
      </c>
      <c r="K308" s="21">
        <v>0</v>
      </c>
      <c r="L308" s="41">
        <f t="shared" si="117"/>
        <v>0</v>
      </c>
      <c r="M308" s="21">
        <v>111</v>
      </c>
      <c r="N308" s="41">
        <f t="shared" si="118"/>
        <v>0.9173553719008265</v>
      </c>
      <c r="O308" s="21">
        <v>92</v>
      </c>
      <c r="P308" s="41">
        <f t="shared" si="119"/>
        <v>0.92</v>
      </c>
      <c r="Q308" s="21">
        <v>7</v>
      </c>
      <c r="R308" s="41">
        <f t="shared" si="120"/>
        <v>5.7851239669421489E-2</v>
      </c>
      <c r="S308" s="21">
        <v>6</v>
      </c>
      <c r="T308" s="41">
        <f t="shared" si="121"/>
        <v>0.06</v>
      </c>
      <c r="U308" s="21">
        <v>12</v>
      </c>
      <c r="V308" s="41">
        <f t="shared" si="122"/>
        <v>9.9173553719008267E-2</v>
      </c>
      <c r="W308" s="21">
        <v>11</v>
      </c>
      <c r="X308" s="41">
        <f t="shared" si="123"/>
        <v>0.11</v>
      </c>
      <c r="Y308" s="21">
        <v>17</v>
      </c>
      <c r="Z308" s="41">
        <f t="shared" si="124"/>
        <v>0.14049586776859505</v>
      </c>
      <c r="AA308" s="21">
        <v>13</v>
      </c>
      <c r="AB308" s="41">
        <f t="shared" si="125"/>
        <v>0.13</v>
      </c>
      <c r="AC308" s="21">
        <v>92</v>
      </c>
      <c r="AD308" s="41">
        <f t="shared" si="133"/>
        <v>0.76033057851239672</v>
      </c>
      <c r="AE308" s="21">
        <v>76</v>
      </c>
      <c r="AF308" s="41">
        <f t="shared" si="126"/>
        <v>0.76</v>
      </c>
      <c r="AG308" s="21">
        <v>3</v>
      </c>
      <c r="AH308" s="41">
        <f t="shared" si="134"/>
        <v>2.4793388429752067E-2</v>
      </c>
      <c r="AI308" s="21">
        <v>4</v>
      </c>
      <c r="AJ308" s="41">
        <f t="shared" si="127"/>
        <v>0.04</v>
      </c>
      <c r="AK308" s="21">
        <v>5</v>
      </c>
      <c r="AL308" s="41">
        <f t="shared" si="135"/>
        <v>4.1322314049586778E-2</v>
      </c>
      <c r="AM308" s="21">
        <v>6</v>
      </c>
      <c r="AN308" s="41">
        <f t="shared" si="128"/>
        <v>0.06</v>
      </c>
      <c r="AO308" s="21">
        <v>70</v>
      </c>
      <c r="AP308" s="41">
        <f t="shared" si="136"/>
        <v>0.57851239669421484</v>
      </c>
      <c r="AQ308" s="21">
        <v>54</v>
      </c>
      <c r="AR308" s="41">
        <f t="shared" si="129"/>
        <v>0.54</v>
      </c>
      <c r="AS308" s="21">
        <v>21</v>
      </c>
      <c r="AT308" s="41">
        <f t="shared" si="137"/>
        <v>0.17355371900826447</v>
      </c>
      <c r="AU308" s="21">
        <v>19</v>
      </c>
      <c r="AV308" s="41">
        <f t="shared" si="130"/>
        <v>0.19</v>
      </c>
      <c r="AW308" s="21">
        <v>11</v>
      </c>
      <c r="AX308" s="41">
        <f t="shared" si="138"/>
        <v>9.0909090909090912E-2</v>
      </c>
      <c r="AY308" s="21">
        <v>10</v>
      </c>
      <c r="AZ308" s="41">
        <f t="shared" si="131"/>
        <v>0.1</v>
      </c>
      <c r="BA308" s="21">
        <v>11</v>
      </c>
      <c r="BB308" s="41">
        <f t="shared" si="139"/>
        <v>9.0909090909090912E-2</v>
      </c>
      <c r="BC308" s="21">
        <v>7</v>
      </c>
      <c r="BD308" s="41">
        <f t="shared" si="132"/>
        <v>7.0000000000000007E-2</v>
      </c>
      <c r="BE308" s="21">
        <v>121</v>
      </c>
      <c r="BF308" s="21">
        <v>100</v>
      </c>
    </row>
    <row r="309" spans="1:58" ht="15.75" customHeight="1" x14ac:dyDescent="0.25">
      <c r="A309" s="44">
        <v>2022</v>
      </c>
      <c r="B309" s="39">
        <v>170384</v>
      </c>
      <c r="C309" s="37" t="str">
        <f>VLOOKUP(B309,procv!$A$2:$D$142,4,FALSE)</f>
        <v>Médio Norte Araguaia</v>
      </c>
      <c r="D309" s="37" t="s">
        <v>34</v>
      </c>
      <c r="E309" s="21">
        <v>9</v>
      </c>
      <c r="F309" s="42">
        <f t="shared" si="114"/>
        <v>1.171875E-2</v>
      </c>
      <c r="G309" s="21">
        <v>4</v>
      </c>
      <c r="H309" s="42">
        <f t="shared" si="115"/>
        <v>1.0638297872340425E-2</v>
      </c>
      <c r="I309" s="21">
        <v>27</v>
      </c>
      <c r="J309" s="41">
        <f t="shared" si="116"/>
        <v>3.515625E-2</v>
      </c>
      <c r="K309" s="21">
        <v>16</v>
      </c>
      <c r="L309" s="41">
        <f t="shared" si="117"/>
        <v>4.2553191489361701E-2</v>
      </c>
      <c r="M309" s="21">
        <v>716</v>
      </c>
      <c r="N309" s="41">
        <f t="shared" si="118"/>
        <v>0.93229166666666663</v>
      </c>
      <c r="O309" s="21">
        <v>349</v>
      </c>
      <c r="P309" s="41">
        <f t="shared" si="119"/>
        <v>0.92819148936170215</v>
      </c>
      <c r="Q309" s="21">
        <v>16</v>
      </c>
      <c r="R309" s="41">
        <f t="shared" si="120"/>
        <v>2.0833333333333332E-2</v>
      </c>
      <c r="S309" s="21">
        <v>7</v>
      </c>
      <c r="T309" s="41">
        <f t="shared" si="121"/>
        <v>1.8617021276595744E-2</v>
      </c>
      <c r="U309" s="21">
        <v>21</v>
      </c>
      <c r="V309" s="41">
        <f t="shared" si="122"/>
        <v>2.734375E-2</v>
      </c>
      <c r="W309" s="21">
        <v>14</v>
      </c>
      <c r="X309" s="41">
        <f t="shared" si="123"/>
        <v>3.7234042553191488E-2</v>
      </c>
      <c r="Y309" s="21">
        <v>45</v>
      </c>
      <c r="Z309" s="41">
        <f t="shared" si="124"/>
        <v>5.859375E-2</v>
      </c>
      <c r="AA309" s="21">
        <v>30</v>
      </c>
      <c r="AB309" s="41">
        <f t="shared" si="125"/>
        <v>7.9787234042553196E-2</v>
      </c>
      <c r="AC309" s="21">
        <v>702</v>
      </c>
      <c r="AD309" s="41">
        <f t="shared" si="133"/>
        <v>0.9140625</v>
      </c>
      <c r="AE309" s="21">
        <v>332</v>
      </c>
      <c r="AF309" s="41">
        <f t="shared" si="126"/>
        <v>0.88297872340425532</v>
      </c>
      <c r="AG309" s="21">
        <v>11</v>
      </c>
      <c r="AH309" s="41">
        <f t="shared" si="134"/>
        <v>1.4322916666666666E-2</v>
      </c>
      <c r="AI309" s="21">
        <v>9</v>
      </c>
      <c r="AJ309" s="41">
        <f t="shared" si="127"/>
        <v>2.3936170212765957E-2</v>
      </c>
      <c r="AK309" s="21">
        <v>18</v>
      </c>
      <c r="AL309" s="41">
        <f t="shared" si="135"/>
        <v>2.34375E-2</v>
      </c>
      <c r="AM309" s="21">
        <v>10</v>
      </c>
      <c r="AN309" s="41">
        <f t="shared" si="128"/>
        <v>2.6595744680851064E-2</v>
      </c>
      <c r="AO309" s="21">
        <v>576</v>
      </c>
      <c r="AP309" s="41">
        <f t="shared" si="136"/>
        <v>0.75</v>
      </c>
      <c r="AQ309" s="21">
        <v>284</v>
      </c>
      <c r="AR309" s="41">
        <f t="shared" si="129"/>
        <v>0.75531914893617025</v>
      </c>
      <c r="AS309" s="21">
        <v>125</v>
      </c>
      <c r="AT309" s="41">
        <f t="shared" si="137"/>
        <v>0.16276041666666666</v>
      </c>
      <c r="AU309" s="21">
        <v>49</v>
      </c>
      <c r="AV309" s="41">
        <f t="shared" si="130"/>
        <v>0.13031914893617022</v>
      </c>
      <c r="AW309" s="21">
        <v>24</v>
      </c>
      <c r="AX309" s="41">
        <f t="shared" si="138"/>
        <v>3.125E-2</v>
      </c>
      <c r="AY309" s="21">
        <v>18</v>
      </c>
      <c r="AZ309" s="41">
        <f t="shared" si="131"/>
        <v>4.7872340425531915E-2</v>
      </c>
      <c r="BA309" s="21">
        <v>14</v>
      </c>
      <c r="BB309" s="41">
        <f t="shared" si="139"/>
        <v>1.8229166666666668E-2</v>
      </c>
      <c r="BC309" s="21">
        <v>6</v>
      </c>
      <c r="BD309" s="41">
        <f t="shared" si="132"/>
        <v>1.5957446808510637E-2</v>
      </c>
      <c r="BE309" s="21">
        <v>768</v>
      </c>
      <c r="BF309" s="21">
        <v>376</v>
      </c>
    </row>
    <row r="310" spans="1:58" ht="15.75" customHeight="1" x14ac:dyDescent="0.25">
      <c r="A310" s="44">
        <v>2022</v>
      </c>
      <c r="B310" s="39">
        <v>170386</v>
      </c>
      <c r="C310" s="37" t="str">
        <f>VLOOKUP(B310,procv!$A$2:$D$142,4,FALSE)</f>
        <v>Ilha do Bananal</v>
      </c>
      <c r="D310" s="37" t="s">
        <v>35</v>
      </c>
      <c r="E310" s="21">
        <v>1</v>
      </c>
      <c r="F310" s="42">
        <f t="shared" si="114"/>
        <v>4.11522633744856E-3</v>
      </c>
      <c r="G310" s="21">
        <v>0</v>
      </c>
      <c r="H310" s="42">
        <f t="shared" si="115"/>
        <v>0</v>
      </c>
      <c r="I310" s="21">
        <v>2</v>
      </c>
      <c r="J310" s="41">
        <f t="shared" si="116"/>
        <v>8.23045267489712E-3</v>
      </c>
      <c r="K310" s="21">
        <v>2</v>
      </c>
      <c r="L310" s="41">
        <f t="shared" si="117"/>
        <v>1.6666666666666666E-2</v>
      </c>
      <c r="M310" s="21">
        <v>229</v>
      </c>
      <c r="N310" s="41">
        <f t="shared" si="118"/>
        <v>0.9423868312757202</v>
      </c>
      <c r="O310" s="21">
        <v>115</v>
      </c>
      <c r="P310" s="41">
        <f t="shared" si="119"/>
        <v>0.95833333333333337</v>
      </c>
      <c r="Q310" s="21">
        <v>11</v>
      </c>
      <c r="R310" s="41">
        <f t="shared" si="120"/>
        <v>4.5267489711934158E-2</v>
      </c>
      <c r="S310" s="21">
        <v>3</v>
      </c>
      <c r="T310" s="41">
        <f t="shared" si="121"/>
        <v>2.5000000000000001E-2</v>
      </c>
      <c r="U310" s="21">
        <v>11</v>
      </c>
      <c r="V310" s="41">
        <f t="shared" si="122"/>
        <v>4.5267489711934158E-2</v>
      </c>
      <c r="W310" s="21">
        <v>10</v>
      </c>
      <c r="X310" s="41">
        <f t="shared" si="123"/>
        <v>8.3333333333333329E-2</v>
      </c>
      <c r="Y310" s="21">
        <v>12</v>
      </c>
      <c r="Z310" s="41">
        <f t="shared" si="124"/>
        <v>4.9382716049382713E-2</v>
      </c>
      <c r="AA310" s="21">
        <v>10</v>
      </c>
      <c r="AB310" s="41">
        <f t="shared" si="125"/>
        <v>8.3333333333333329E-2</v>
      </c>
      <c r="AC310" s="21">
        <v>220</v>
      </c>
      <c r="AD310" s="41">
        <f t="shared" si="133"/>
        <v>0.90534979423868311</v>
      </c>
      <c r="AE310" s="21">
        <v>100</v>
      </c>
      <c r="AF310" s="41">
        <f t="shared" si="126"/>
        <v>0.83333333333333337</v>
      </c>
      <c r="AG310" s="21">
        <v>1</v>
      </c>
      <c r="AH310" s="41">
        <f t="shared" si="134"/>
        <v>4.11522633744856E-3</v>
      </c>
      <c r="AI310" s="21">
        <v>1</v>
      </c>
      <c r="AJ310" s="41">
        <f t="shared" si="127"/>
        <v>8.3333333333333332E-3</v>
      </c>
      <c r="AK310" s="21">
        <v>7</v>
      </c>
      <c r="AL310" s="41">
        <f t="shared" si="135"/>
        <v>2.8806584362139918E-2</v>
      </c>
      <c r="AM310" s="21">
        <v>5</v>
      </c>
      <c r="AN310" s="41">
        <f t="shared" si="128"/>
        <v>4.1666666666666664E-2</v>
      </c>
      <c r="AO310" s="21">
        <v>144</v>
      </c>
      <c r="AP310" s="41">
        <f t="shared" si="136"/>
        <v>0.59259259259259256</v>
      </c>
      <c r="AQ310" s="21">
        <v>67</v>
      </c>
      <c r="AR310" s="41">
        <f t="shared" si="129"/>
        <v>0.55833333333333335</v>
      </c>
      <c r="AS310" s="21">
        <v>59</v>
      </c>
      <c r="AT310" s="41">
        <f t="shared" si="137"/>
        <v>0.24279835390946503</v>
      </c>
      <c r="AU310" s="21">
        <v>27</v>
      </c>
      <c r="AV310" s="41">
        <f t="shared" si="130"/>
        <v>0.22500000000000001</v>
      </c>
      <c r="AW310" s="21">
        <v>20</v>
      </c>
      <c r="AX310" s="41">
        <f t="shared" si="138"/>
        <v>8.2304526748971193E-2</v>
      </c>
      <c r="AY310" s="21">
        <v>14</v>
      </c>
      <c r="AZ310" s="41">
        <f t="shared" si="131"/>
        <v>0.11666666666666667</v>
      </c>
      <c r="BA310" s="21">
        <v>12</v>
      </c>
      <c r="BB310" s="41">
        <f t="shared" si="139"/>
        <v>4.9382716049382713E-2</v>
      </c>
      <c r="BC310" s="21">
        <v>6</v>
      </c>
      <c r="BD310" s="41">
        <f t="shared" si="132"/>
        <v>0.05</v>
      </c>
      <c r="BE310" s="21">
        <v>243</v>
      </c>
      <c r="BF310" s="21">
        <v>120</v>
      </c>
    </row>
    <row r="311" spans="1:58" ht="15.75" customHeight="1" x14ac:dyDescent="0.25">
      <c r="A311" s="44">
        <v>2022</v>
      </c>
      <c r="B311" s="39">
        <v>170388</v>
      </c>
      <c r="C311" s="37" t="str">
        <f>VLOOKUP(B311,procv!$A$2:$D$142,4,FALSE)</f>
        <v>Médio Norte Araguaia</v>
      </c>
      <c r="D311" s="37" t="s">
        <v>36</v>
      </c>
      <c r="E311" s="21">
        <v>2</v>
      </c>
      <c r="F311" s="42">
        <f t="shared" si="114"/>
        <v>9.9502487562189053E-3</v>
      </c>
      <c r="G311" s="21">
        <v>0</v>
      </c>
      <c r="H311" s="42">
        <f t="shared" si="115"/>
        <v>0</v>
      </c>
      <c r="I311" s="21">
        <v>8</v>
      </c>
      <c r="J311" s="41">
        <f t="shared" si="116"/>
        <v>3.9800995024875621E-2</v>
      </c>
      <c r="K311" s="21">
        <v>9</v>
      </c>
      <c r="L311" s="41">
        <f t="shared" si="117"/>
        <v>8.1081081081081086E-2</v>
      </c>
      <c r="M311" s="21">
        <v>181</v>
      </c>
      <c r="N311" s="41">
        <f t="shared" si="118"/>
        <v>0.90049751243781095</v>
      </c>
      <c r="O311" s="21">
        <v>98</v>
      </c>
      <c r="P311" s="41">
        <f t="shared" si="119"/>
        <v>0.88288288288288286</v>
      </c>
      <c r="Q311" s="21">
        <v>10</v>
      </c>
      <c r="R311" s="41">
        <f t="shared" si="120"/>
        <v>4.975124378109453E-2</v>
      </c>
      <c r="S311" s="21">
        <v>4</v>
      </c>
      <c r="T311" s="41">
        <f t="shared" si="121"/>
        <v>3.6036036036036036E-2</v>
      </c>
      <c r="U311" s="21">
        <v>12</v>
      </c>
      <c r="V311" s="41">
        <f t="shared" si="122"/>
        <v>5.9701492537313432E-2</v>
      </c>
      <c r="W311" s="21">
        <v>9</v>
      </c>
      <c r="X311" s="41">
        <f t="shared" si="123"/>
        <v>8.1081081081081086E-2</v>
      </c>
      <c r="Y311" s="21">
        <v>22</v>
      </c>
      <c r="Z311" s="41">
        <f t="shared" si="124"/>
        <v>0.10945273631840796</v>
      </c>
      <c r="AA311" s="21">
        <v>17</v>
      </c>
      <c r="AB311" s="41">
        <f t="shared" si="125"/>
        <v>0.15315315315315314</v>
      </c>
      <c r="AC311" s="21">
        <v>167</v>
      </c>
      <c r="AD311" s="41">
        <f t="shared" si="133"/>
        <v>0.8308457711442786</v>
      </c>
      <c r="AE311" s="21">
        <v>85</v>
      </c>
      <c r="AF311" s="41">
        <f t="shared" si="126"/>
        <v>0.76576576576576572</v>
      </c>
      <c r="AG311" s="21">
        <v>5</v>
      </c>
      <c r="AH311" s="41">
        <f t="shared" si="134"/>
        <v>2.4875621890547265E-2</v>
      </c>
      <c r="AI311" s="21">
        <v>2</v>
      </c>
      <c r="AJ311" s="41">
        <f t="shared" si="127"/>
        <v>1.8018018018018018E-2</v>
      </c>
      <c r="AK311" s="21">
        <v>5</v>
      </c>
      <c r="AL311" s="41">
        <f t="shared" si="135"/>
        <v>2.4875621890547265E-2</v>
      </c>
      <c r="AM311" s="21">
        <v>4</v>
      </c>
      <c r="AN311" s="41">
        <f t="shared" si="128"/>
        <v>3.6036036036036036E-2</v>
      </c>
      <c r="AO311" s="21">
        <v>129</v>
      </c>
      <c r="AP311" s="41">
        <f t="shared" si="136"/>
        <v>0.64179104477611937</v>
      </c>
      <c r="AQ311" s="21">
        <v>72</v>
      </c>
      <c r="AR311" s="41">
        <f t="shared" si="129"/>
        <v>0.64864864864864868</v>
      </c>
      <c r="AS311" s="21">
        <v>34</v>
      </c>
      <c r="AT311" s="41">
        <f t="shared" si="137"/>
        <v>0.1691542288557214</v>
      </c>
      <c r="AU311" s="21">
        <v>23</v>
      </c>
      <c r="AV311" s="41">
        <f t="shared" si="130"/>
        <v>0.2072072072072072</v>
      </c>
      <c r="AW311" s="21">
        <v>16</v>
      </c>
      <c r="AX311" s="41">
        <f t="shared" si="138"/>
        <v>7.9601990049751242E-2</v>
      </c>
      <c r="AY311" s="21">
        <v>6</v>
      </c>
      <c r="AZ311" s="41">
        <f t="shared" si="131"/>
        <v>5.4054054054054057E-2</v>
      </c>
      <c r="BA311" s="21">
        <v>12</v>
      </c>
      <c r="BB311" s="41">
        <f t="shared" si="139"/>
        <v>5.9701492537313432E-2</v>
      </c>
      <c r="BC311" s="21">
        <v>4</v>
      </c>
      <c r="BD311" s="41">
        <f t="shared" si="132"/>
        <v>3.6036036036036036E-2</v>
      </c>
      <c r="BE311" s="21">
        <v>201</v>
      </c>
      <c r="BF311" s="21">
        <v>111</v>
      </c>
    </row>
    <row r="312" spans="1:58" ht="15.75" customHeight="1" x14ac:dyDescent="0.25">
      <c r="A312" s="44">
        <v>2022</v>
      </c>
      <c r="B312" s="39">
        <v>170389</v>
      </c>
      <c r="C312" s="37" t="str">
        <f>VLOOKUP(B312,procv!$A$2:$D$142,4,FALSE)</f>
        <v>Bico do Papagaio</v>
      </c>
      <c r="D312" s="37" t="s">
        <v>37</v>
      </c>
      <c r="E312" s="21">
        <v>2</v>
      </c>
      <c r="F312" s="42">
        <f t="shared" si="114"/>
        <v>7.9051383399209481E-3</v>
      </c>
      <c r="G312" s="21">
        <v>1</v>
      </c>
      <c r="H312" s="42">
        <f t="shared" si="115"/>
        <v>5.434782608695652E-3</v>
      </c>
      <c r="I312" s="21">
        <v>5</v>
      </c>
      <c r="J312" s="41">
        <f t="shared" si="116"/>
        <v>1.9762845849802372E-2</v>
      </c>
      <c r="K312" s="21">
        <v>4</v>
      </c>
      <c r="L312" s="41">
        <f t="shared" si="117"/>
        <v>2.1739130434782608E-2</v>
      </c>
      <c r="M312" s="21">
        <v>224</v>
      </c>
      <c r="N312" s="41">
        <f t="shared" si="118"/>
        <v>0.88537549407114624</v>
      </c>
      <c r="O312" s="21">
        <v>164</v>
      </c>
      <c r="P312" s="41">
        <f t="shared" si="119"/>
        <v>0.89130434782608692</v>
      </c>
      <c r="Q312" s="21">
        <v>22</v>
      </c>
      <c r="R312" s="41">
        <f t="shared" si="120"/>
        <v>8.6956521739130432E-2</v>
      </c>
      <c r="S312" s="21">
        <v>15</v>
      </c>
      <c r="T312" s="41">
        <f t="shared" si="121"/>
        <v>8.1521739130434784E-2</v>
      </c>
      <c r="U312" s="21">
        <v>10</v>
      </c>
      <c r="V312" s="41">
        <f t="shared" si="122"/>
        <v>3.9525691699604744E-2</v>
      </c>
      <c r="W312" s="21">
        <v>9</v>
      </c>
      <c r="X312" s="41">
        <f t="shared" si="123"/>
        <v>4.8913043478260872E-2</v>
      </c>
      <c r="Y312" s="21">
        <v>18</v>
      </c>
      <c r="Z312" s="41">
        <f t="shared" si="124"/>
        <v>7.1146245059288543E-2</v>
      </c>
      <c r="AA312" s="21">
        <v>13</v>
      </c>
      <c r="AB312" s="41">
        <f t="shared" si="125"/>
        <v>7.0652173913043473E-2</v>
      </c>
      <c r="AC312" s="21">
        <v>225</v>
      </c>
      <c r="AD312" s="41">
        <f t="shared" si="133"/>
        <v>0.88932806324110669</v>
      </c>
      <c r="AE312" s="21">
        <v>162</v>
      </c>
      <c r="AF312" s="41">
        <f t="shared" si="126"/>
        <v>0.88043478260869568</v>
      </c>
      <c r="AG312" s="21">
        <v>11</v>
      </c>
      <c r="AH312" s="41">
        <f t="shared" si="134"/>
        <v>4.3478260869565216E-2</v>
      </c>
      <c r="AI312" s="21">
        <v>9</v>
      </c>
      <c r="AJ312" s="41">
        <f t="shared" si="127"/>
        <v>4.8913043478260872E-2</v>
      </c>
      <c r="AK312" s="21">
        <v>4</v>
      </c>
      <c r="AL312" s="41">
        <f t="shared" si="135"/>
        <v>1.5810276679841896E-2</v>
      </c>
      <c r="AM312" s="21">
        <v>4</v>
      </c>
      <c r="AN312" s="41">
        <f t="shared" si="128"/>
        <v>2.1739130434782608E-2</v>
      </c>
      <c r="AO312" s="21">
        <v>155</v>
      </c>
      <c r="AP312" s="41">
        <f t="shared" si="136"/>
        <v>0.61264822134387353</v>
      </c>
      <c r="AQ312" s="21">
        <v>112</v>
      </c>
      <c r="AR312" s="41">
        <f t="shared" si="129"/>
        <v>0.60869565217391308</v>
      </c>
      <c r="AS312" s="21">
        <v>43</v>
      </c>
      <c r="AT312" s="41">
        <f t="shared" si="137"/>
        <v>0.16996047430830039</v>
      </c>
      <c r="AU312" s="21">
        <v>31</v>
      </c>
      <c r="AV312" s="41">
        <f t="shared" si="130"/>
        <v>0.16847826086956522</v>
      </c>
      <c r="AW312" s="21">
        <v>26</v>
      </c>
      <c r="AX312" s="41">
        <f t="shared" si="138"/>
        <v>0.10276679841897234</v>
      </c>
      <c r="AY312" s="21">
        <v>19</v>
      </c>
      <c r="AZ312" s="41">
        <f t="shared" si="131"/>
        <v>0.10326086956521739</v>
      </c>
      <c r="BA312" s="21">
        <v>14</v>
      </c>
      <c r="BB312" s="41">
        <f t="shared" si="139"/>
        <v>5.533596837944664E-2</v>
      </c>
      <c r="BC312" s="21">
        <v>9</v>
      </c>
      <c r="BD312" s="41">
        <f t="shared" si="132"/>
        <v>4.8913043478260872E-2</v>
      </c>
      <c r="BE312" s="21">
        <v>253</v>
      </c>
      <c r="BF312" s="21">
        <v>184</v>
      </c>
    </row>
    <row r="313" spans="1:58" ht="15.75" customHeight="1" x14ac:dyDescent="0.25">
      <c r="A313" s="44">
        <v>2022</v>
      </c>
      <c r="B313" s="39">
        <v>170390</v>
      </c>
      <c r="C313" s="37" t="str">
        <f>VLOOKUP(B313,procv!$A$2:$D$142,4,FALSE)</f>
        <v>Cantão</v>
      </c>
      <c r="D313" s="37" t="s">
        <v>38</v>
      </c>
      <c r="E313" s="21">
        <v>8</v>
      </c>
      <c r="F313" s="42">
        <f t="shared" si="114"/>
        <v>2.5316455696202531E-2</v>
      </c>
      <c r="G313" s="21">
        <v>8</v>
      </c>
      <c r="H313" s="42">
        <f t="shared" si="115"/>
        <v>3.4782608695652174E-2</v>
      </c>
      <c r="I313" s="21">
        <v>13</v>
      </c>
      <c r="J313" s="41">
        <f t="shared" si="116"/>
        <v>4.1139240506329111E-2</v>
      </c>
      <c r="K313" s="21">
        <v>8</v>
      </c>
      <c r="L313" s="41">
        <f t="shared" si="117"/>
        <v>3.4782608695652174E-2</v>
      </c>
      <c r="M313" s="21">
        <v>266</v>
      </c>
      <c r="N313" s="41">
        <f t="shared" si="118"/>
        <v>0.84177215189873422</v>
      </c>
      <c r="O313" s="21">
        <v>190</v>
      </c>
      <c r="P313" s="41">
        <f t="shared" si="119"/>
        <v>0.82608695652173914</v>
      </c>
      <c r="Q313" s="21">
        <v>29</v>
      </c>
      <c r="R313" s="41">
        <f t="shared" si="120"/>
        <v>9.1772151898734181E-2</v>
      </c>
      <c r="S313" s="21">
        <v>24</v>
      </c>
      <c r="T313" s="41">
        <f t="shared" si="121"/>
        <v>0.10434782608695652</v>
      </c>
      <c r="U313" s="21">
        <v>28</v>
      </c>
      <c r="V313" s="41">
        <f t="shared" si="122"/>
        <v>8.8607594936708861E-2</v>
      </c>
      <c r="W313" s="21">
        <v>19</v>
      </c>
      <c r="X313" s="41">
        <f t="shared" si="123"/>
        <v>8.2608695652173908E-2</v>
      </c>
      <c r="Y313" s="21">
        <v>25</v>
      </c>
      <c r="Z313" s="41">
        <f t="shared" si="124"/>
        <v>7.9113924050632917E-2</v>
      </c>
      <c r="AA313" s="21">
        <v>17</v>
      </c>
      <c r="AB313" s="41">
        <f t="shared" si="125"/>
        <v>7.3913043478260873E-2</v>
      </c>
      <c r="AC313" s="21">
        <v>263</v>
      </c>
      <c r="AD313" s="41">
        <f t="shared" si="133"/>
        <v>0.83227848101265822</v>
      </c>
      <c r="AE313" s="21">
        <v>194</v>
      </c>
      <c r="AF313" s="41">
        <f t="shared" si="126"/>
        <v>0.84347826086956523</v>
      </c>
      <c r="AG313" s="21">
        <v>18</v>
      </c>
      <c r="AH313" s="41">
        <f t="shared" si="134"/>
        <v>5.6962025316455694E-2</v>
      </c>
      <c r="AI313" s="21">
        <v>15</v>
      </c>
      <c r="AJ313" s="41">
        <f t="shared" si="127"/>
        <v>6.5217391304347824E-2</v>
      </c>
      <c r="AK313" s="21">
        <v>10</v>
      </c>
      <c r="AL313" s="41">
        <f t="shared" si="135"/>
        <v>3.1645569620253167E-2</v>
      </c>
      <c r="AM313" s="21">
        <v>9</v>
      </c>
      <c r="AN313" s="41">
        <f t="shared" si="128"/>
        <v>3.9130434782608699E-2</v>
      </c>
      <c r="AO313" s="21">
        <v>163</v>
      </c>
      <c r="AP313" s="41">
        <f t="shared" si="136"/>
        <v>0.51582278481012656</v>
      </c>
      <c r="AQ313" s="21">
        <v>124</v>
      </c>
      <c r="AR313" s="41">
        <f t="shared" si="129"/>
        <v>0.53913043478260869</v>
      </c>
      <c r="AS313" s="21">
        <v>61</v>
      </c>
      <c r="AT313" s="41">
        <f t="shared" si="137"/>
        <v>0.19303797468354431</v>
      </c>
      <c r="AU313" s="21">
        <v>34</v>
      </c>
      <c r="AV313" s="41">
        <f t="shared" si="130"/>
        <v>0.14782608695652175</v>
      </c>
      <c r="AW313" s="21">
        <v>27</v>
      </c>
      <c r="AX313" s="41">
        <f t="shared" si="138"/>
        <v>8.5443037974683542E-2</v>
      </c>
      <c r="AY313" s="21">
        <v>21</v>
      </c>
      <c r="AZ313" s="41">
        <f t="shared" si="131"/>
        <v>9.1304347826086957E-2</v>
      </c>
      <c r="BA313" s="21">
        <v>37</v>
      </c>
      <c r="BB313" s="41">
        <f t="shared" si="139"/>
        <v>0.11708860759493671</v>
      </c>
      <c r="BC313" s="21">
        <v>27</v>
      </c>
      <c r="BD313" s="41">
        <f t="shared" si="132"/>
        <v>0.11739130434782609</v>
      </c>
      <c r="BE313" s="21">
        <v>316</v>
      </c>
      <c r="BF313" s="21">
        <v>230</v>
      </c>
    </row>
    <row r="314" spans="1:58" ht="15.75" customHeight="1" x14ac:dyDescent="0.25">
      <c r="A314" s="44">
        <v>2022</v>
      </c>
      <c r="B314" s="39">
        <v>170410</v>
      </c>
      <c r="C314" s="37" t="str">
        <f>VLOOKUP(B314,procv!$A$2:$D$142,4,FALSE)</f>
        <v>Cerrado Tocantins Araguaia</v>
      </c>
      <c r="D314" s="37" t="s">
        <v>39</v>
      </c>
      <c r="E314" s="21">
        <v>2</v>
      </c>
      <c r="F314" s="42">
        <f t="shared" si="114"/>
        <v>1.6666666666666666E-2</v>
      </c>
      <c r="G314" s="21">
        <v>1</v>
      </c>
      <c r="H314" s="42">
        <f t="shared" si="115"/>
        <v>1.3157894736842105E-2</v>
      </c>
      <c r="I314" s="21">
        <v>2</v>
      </c>
      <c r="J314" s="41">
        <f t="shared" si="116"/>
        <v>1.6666666666666666E-2</v>
      </c>
      <c r="K314" s="21">
        <v>1</v>
      </c>
      <c r="L314" s="41">
        <f t="shared" si="117"/>
        <v>1.3157894736842105E-2</v>
      </c>
      <c r="M314" s="21">
        <v>111</v>
      </c>
      <c r="N314" s="41">
        <f t="shared" si="118"/>
        <v>0.92500000000000004</v>
      </c>
      <c r="O314" s="21">
        <v>71</v>
      </c>
      <c r="P314" s="41">
        <f t="shared" si="119"/>
        <v>0.93421052631578949</v>
      </c>
      <c r="Q314" s="21">
        <v>5</v>
      </c>
      <c r="R314" s="41">
        <f t="shared" si="120"/>
        <v>4.1666666666666664E-2</v>
      </c>
      <c r="S314" s="21">
        <v>3</v>
      </c>
      <c r="T314" s="41">
        <f t="shared" si="121"/>
        <v>3.9473684210526314E-2</v>
      </c>
      <c r="U314" s="21">
        <v>7</v>
      </c>
      <c r="V314" s="41">
        <f t="shared" si="122"/>
        <v>5.8333333333333334E-2</v>
      </c>
      <c r="W314" s="21">
        <v>3</v>
      </c>
      <c r="X314" s="41">
        <f t="shared" si="123"/>
        <v>3.9473684210526314E-2</v>
      </c>
      <c r="Y314" s="21">
        <v>28</v>
      </c>
      <c r="Z314" s="41">
        <f t="shared" si="124"/>
        <v>0.23333333333333334</v>
      </c>
      <c r="AA314" s="21">
        <v>23</v>
      </c>
      <c r="AB314" s="41">
        <f t="shared" si="125"/>
        <v>0.30263157894736842</v>
      </c>
      <c r="AC314" s="21">
        <v>85</v>
      </c>
      <c r="AD314" s="41">
        <f t="shared" si="133"/>
        <v>0.70833333333333337</v>
      </c>
      <c r="AE314" s="21">
        <v>50</v>
      </c>
      <c r="AF314" s="41">
        <f t="shared" si="126"/>
        <v>0.65789473684210531</v>
      </c>
      <c r="AG314" s="21">
        <v>7</v>
      </c>
      <c r="AH314" s="41">
        <f t="shared" si="134"/>
        <v>5.8333333333333334E-2</v>
      </c>
      <c r="AI314" s="21">
        <v>4</v>
      </c>
      <c r="AJ314" s="41">
        <f t="shared" si="127"/>
        <v>5.2631578947368418E-2</v>
      </c>
      <c r="AK314" s="21">
        <v>2</v>
      </c>
      <c r="AL314" s="41">
        <f t="shared" si="135"/>
        <v>1.6666666666666666E-2</v>
      </c>
      <c r="AM314" s="21">
        <v>2</v>
      </c>
      <c r="AN314" s="41">
        <f t="shared" si="128"/>
        <v>2.6315789473684209E-2</v>
      </c>
      <c r="AO314" s="21">
        <v>73</v>
      </c>
      <c r="AP314" s="41">
        <f t="shared" si="136"/>
        <v>0.60833333333333328</v>
      </c>
      <c r="AQ314" s="21">
        <v>46</v>
      </c>
      <c r="AR314" s="41">
        <f t="shared" si="129"/>
        <v>0.60526315789473684</v>
      </c>
      <c r="AS314" s="21">
        <v>23</v>
      </c>
      <c r="AT314" s="41">
        <f t="shared" si="137"/>
        <v>0.19166666666666668</v>
      </c>
      <c r="AU314" s="21">
        <v>14</v>
      </c>
      <c r="AV314" s="41">
        <f t="shared" si="130"/>
        <v>0.18421052631578946</v>
      </c>
      <c r="AW314" s="21">
        <v>8</v>
      </c>
      <c r="AX314" s="41">
        <f t="shared" si="138"/>
        <v>6.6666666666666666E-2</v>
      </c>
      <c r="AY314" s="21">
        <v>4</v>
      </c>
      <c r="AZ314" s="41">
        <f t="shared" si="131"/>
        <v>5.2631578947368418E-2</v>
      </c>
      <c r="BA314" s="21">
        <v>7</v>
      </c>
      <c r="BB314" s="41">
        <f t="shared" si="139"/>
        <v>5.8333333333333334E-2</v>
      </c>
      <c r="BC314" s="21">
        <v>6</v>
      </c>
      <c r="BD314" s="41">
        <f t="shared" si="132"/>
        <v>7.8947368421052627E-2</v>
      </c>
      <c r="BE314" s="21">
        <v>120</v>
      </c>
      <c r="BF314" s="21">
        <v>76</v>
      </c>
    </row>
    <row r="315" spans="1:58" ht="15.75" customHeight="1" x14ac:dyDescent="0.25">
      <c r="A315" s="44">
        <v>2022</v>
      </c>
      <c r="B315" s="39">
        <v>170510</v>
      </c>
      <c r="C315" s="37" t="str">
        <f>VLOOKUP(B315,procv!$A$2:$D$142,4,FALSE)</f>
        <v>Amor Perfeito</v>
      </c>
      <c r="D315" s="37" t="s">
        <v>40</v>
      </c>
      <c r="E315" s="21">
        <v>1</v>
      </c>
      <c r="F315" s="42">
        <f t="shared" si="114"/>
        <v>4.1666666666666666E-3</v>
      </c>
      <c r="G315" s="21">
        <v>3</v>
      </c>
      <c r="H315" s="42">
        <f t="shared" si="115"/>
        <v>2.1582733812949641E-2</v>
      </c>
      <c r="I315" s="21">
        <v>2</v>
      </c>
      <c r="J315" s="41">
        <f t="shared" si="116"/>
        <v>8.3333333333333332E-3</v>
      </c>
      <c r="K315" s="21">
        <v>1</v>
      </c>
      <c r="L315" s="41">
        <f t="shared" si="117"/>
        <v>7.1942446043165471E-3</v>
      </c>
      <c r="M315" s="21">
        <v>224</v>
      </c>
      <c r="N315" s="41">
        <f t="shared" si="118"/>
        <v>0.93333333333333335</v>
      </c>
      <c r="O315" s="21">
        <v>123</v>
      </c>
      <c r="P315" s="41">
        <f t="shared" si="119"/>
        <v>0.8848920863309353</v>
      </c>
      <c r="Q315" s="21">
        <v>13</v>
      </c>
      <c r="R315" s="41">
        <f t="shared" si="120"/>
        <v>5.4166666666666669E-2</v>
      </c>
      <c r="S315" s="21">
        <v>12</v>
      </c>
      <c r="T315" s="41">
        <f t="shared" si="121"/>
        <v>8.6330935251798566E-2</v>
      </c>
      <c r="U315" s="21">
        <v>8</v>
      </c>
      <c r="V315" s="41">
        <f t="shared" si="122"/>
        <v>3.3333333333333333E-2</v>
      </c>
      <c r="W315" s="21">
        <v>10</v>
      </c>
      <c r="X315" s="41">
        <f t="shared" si="123"/>
        <v>7.1942446043165464E-2</v>
      </c>
      <c r="Y315" s="21">
        <v>6</v>
      </c>
      <c r="Z315" s="41">
        <f t="shared" si="124"/>
        <v>2.5000000000000001E-2</v>
      </c>
      <c r="AA315" s="21">
        <v>5</v>
      </c>
      <c r="AB315" s="41">
        <f t="shared" si="125"/>
        <v>3.5971223021582732E-2</v>
      </c>
      <c r="AC315" s="21">
        <v>226</v>
      </c>
      <c r="AD315" s="41">
        <f t="shared" si="133"/>
        <v>0.94166666666666665</v>
      </c>
      <c r="AE315" s="21">
        <v>124</v>
      </c>
      <c r="AF315" s="41">
        <f t="shared" si="126"/>
        <v>0.8920863309352518</v>
      </c>
      <c r="AG315" s="21">
        <v>4</v>
      </c>
      <c r="AH315" s="41">
        <f t="shared" si="134"/>
        <v>1.6666666666666666E-2</v>
      </c>
      <c r="AI315" s="21">
        <v>5</v>
      </c>
      <c r="AJ315" s="41">
        <f t="shared" si="127"/>
        <v>3.5971223021582732E-2</v>
      </c>
      <c r="AK315" s="21">
        <v>13</v>
      </c>
      <c r="AL315" s="41">
        <f t="shared" si="135"/>
        <v>5.4166666666666669E-2</v>
      </c>
      <c r="AM315" s="21">
        <v>11</v>
      </c>
      <c r="AN315" s="41">
        <f t="shared" si="128"/>
        <v>7.9136690647482008E-2</v>
      </c>
      <c r="AO315" s="21">
        <v>164</v>
      </c>
      <c r="AP315" s="41">
        <f t="shared" si="136"/>
        <v>0.68333333333333335</v>
      </c>
      <c r="AQ315" s="21">
        <v>89</v>
      </c>
      <c r="AR315" s="41">
        <f t="shared" si="129"/>
        <v>0.64028776978417268</v>
      </c>
      <c r="AS315" s="21">
        <v>29</v>
      </c>
      <c r="AT315" s="41">
        <f t="shared" si="137"/>
        <v>0.12083333333333333</v>
      </c>
      <c r="AU315" s="21">
        <v>10</v>
      </c>
      <c r="AV315" s="41">
        <f t="shared" si="130"/>
        <v>7.1942446043165464E-2</v>
      </c>
      <c r="AW315" s="21">
        <v>19</v>
      </c>
      <c r="AX315" s="41">
        <f t="shared" si="138"/>
        <v>7.9166666666666663E-2</v>
      </c>
      <c r="AY315" s="21">
        <v>12</v>
      </c>
      <c r="AZ315" s="41">
        <f t="shared" si="131"/>
        <v>8.6330935251798566E-2</v>
      </c>
      <c r="BA315" s="21">
        <v>11</v>
      </c>
      <c r="BB315" s="41">
        <f t="shared" si="139"/>
        <v>4.583333333333333E-2</v>
      </c>
      <c r="BC315" s="21">
        <v>12</v>
      </c>
      <c r="BD315" s="41">
        <f t="shared" si="132"/>
        <v>8.6330935251798566E-2</v>
      </c>
      <c r="BE315" s="21">
        <v>240</v>
      </c>
      <c r="BF315" s="21">
        <v>139</v>
      </c>
    </row>
    <row r="316" spans="1:58" ht="15.75" customHeight="1" x14ac:dyDescent="0.25">
      <c r="A316" s="44">
        <v>2022</v>
      </c>
      <c r="B316" s="39">
        <v>170460</v>
      </c>
      <c r="C316" s="37" t="str">
        <f>VLOOKUP(B316,procv!$A$2:$D$142,4,FALSE)</f>
        <v>Cantão</v>
      </c>
      <c r="D316" s="37" t="s">
        <v>41</v>
      </c>
      <c r="E316" s="21">
        <v>0</v>
      </c>
      <c r="F316" s="42">
        <f t="shared" si="114"/>
        <v>0</v>
      </c>
      <c r="G316" s="21">
        <v>1</v>
      </c>
      <c r="H316" s="42">
        <f t="shared" si="115"/>
        <v>1.2195121951219513E-2</v>
      </c>
      <c r="I316" s="21">
        <v>1</v>
      </c>
      <c r="J316" s="41">
        <f t="shared" si="116"/>
        <v>7.0422535211267607E-3</v>
      </c>
      <c r="K316" s="21">
        <v>1</v>
      </c>
      <c r="L316" s="41">
        <f t="shared" si="117"/>
        <v>1.2195121951219513E-2</v>
      </c>
      <c r="M316" s="21">
        <v>136</v>
      </c>
      <c r="N316" s="41">
        <f t="shared" si="118"/>
        <v>0.95774647887323938</v>
      </c>
      <c r="O316" s="21">
        <v>77</v>
      </c>
      <c r="P316" s="41">
        <f t="shared" si="119"/>
        <v>0.93902439024390238</v>
      </c>
      <c r="Q316" s="21">
        <v>5</v>
      </c>
      <c r="R316" s="41">
        <f t="shared" si="120"/>
        <v>3.5211267605633804E-2</v>
      </c>
      <c r="S316" s="21">
        <v>3</v>
      </c>
      <c r="T316" s="41">
        <f t="shared" si="121"/>
        <v>3.6585365853658534E-2</v>
      </c>
      <c r="U316" s="21">
        <v>8</v>
      </c>
      <c r="V316" s="41">
        <f t="shared" si="122"/>
        <v>5.6338028169014086E-2</v>
      </c>
      <c r="W316" s="21">
        <v>10</v>
      </c>
      <c r="X316" s="41">
        <f t="shared" si="123"/>
        <v>0.12195121951219512</v>
      </c>
      <c r="Y316" s="21">
        <v>5</v>
      </c>
      <c r="Z316" s="41">
        <f t="shared" si="124"/>
        <v>3.5211267605633804E-2</v>
      </c>
      <c r="AA316" s="21">
        <v>4</v>
      </c>
      <c r="AB316" s="41">
        <f t="shared" si="125"/>
        <v>4.878048780487805E-2</v>
      </c>
      <c r="AC316" s="21">
        <v>129</v>
      </c>
      <c r="AD316" s="41">
        <f t="shared" si="133"/>
        <v>0.90845070422535212</v>
      </c>
      <c r="AE316" s="21">
        <v>68</v>
      </c>
      <c r="AF316" s="41">
        <f t="shared" si="126"/>
        <v>0.82926829268292679</v>
      </c>
      <c r="AG316" s="21">
        <v>3</v>
      </c>
      <c r="AH316" s="41">
        <f t="shared" si="134"/>
        <v>2.1126760563380281E-2</v>
      </c>
      <c r="AI316" s="21">
        <v>4</v>
      </c>
      <c r="AJ316" s="41">
        <f t="shared" si="127"/>
        <v>4.878048780487805E-2</v>
      </c>
      <c r="AK316" s="21">
        <v>6</v>
      </c>
      <c r="AL316" s="41">
        <f t="shared" si="135"/>
        <v>4.2253521126760563E-2</v>
      </c>
      <c r="AM316" s="21">
        <v>5</v>
      </c>
      <c r="AN316" s="41">
        <f t="shared" si="128"/>
        <v>6.097560975609756E-2</v>
      </c>
      <c r="AO316" s="21">
        <v>97</v>
      </c>
      <c r="AP316" s="41">
        <f t="shared" si="136"/>
        <v>0.68309859154929575</v>
      </c>
      <c r="AQ316" s="21">
        <v>51</v>
      </c>
      <c r="AR316" s="41">
        <f t="shared" si="129"/>
        <v>0.62195121951219512</v>
      </c>
      <c r="AS316" s="21">
        <v>19</v>
      </c>
      <c r="AT316" s="41">
        <f t="shared" si="137"/>
        <v>0.13380281690140844</v>
      </c>
      <c r="AU316" s="21">
        <v>9</v>
      </c>
      <c r="AV316" s="41">
        <f t="shared" si="130"/>
        <v>0.10975609756097561</v>
      </c>
      <c r="AW316" s="21">
        <v>9</v>
      </c>
      <c r="AX316" s="41">
        <f t="shared" si="138"/>
        <v>6.3380281690140844E-2</v>
      </c>
      <c r="AY316" s="21">
        <v>6</v>
      </c>
      <c r="AZ316" s="41">
        <f t="shared" si="131"/>
        <v>7.3170731707317069E-2</v>
      </c>
      <c r="BA316" s="21">
        <v>8</v>
      </c>
      <c r="BB316" s="41">
        <f t="shared" si="139"/>
        <v>5.6338028169014086E-2</v>
      </c>
      <c r="BC316" s="21">
        <v>7</v>
      </c>
      <c r="BD316" s="41">
        <f t="shared" si="132"/>
        <v>8.5365853658536592E-2</v>
      </c>
      <c r="BE316" s="21">
        <v>142</v>
      </c>
      <c r="BF316" s="21">
        <v>82</v>
      </c>
    </row>
    <row r="317" spans="1:58" ht="15.75" customHeight="1" x14ac:dyDescent="0.25">
      <c r="A317" s="44">
        <v>2022</v>
      </c>
      <c r="B317" s="39">
        <v>170550</v>
      </c>
      <c r="C317" s="37" t="str">
        <f>VLOOKUP(B317,procv!$A$2:$D$142,4,FALSE)</f>
        <v>Cerrado Tocantins Araguaia</v>
      </c>
      <c r="D317" s="37" t="s">
        <v>42</v>
      </c>
      <c r="E317" s="21">
        <v>16</v>
      </c>
      <c r="F317" s="42">
        <f t="shared" si="114"/>
        <v>1.4705882352941176E-2</v>
      </c>
      <c r="G317" s="21">
        <v>13</v>
      </c>
      <c r="H317" s="42">
        <f t="shared" si="115"/>
        <v>2.1346469622331693E-2</v>
      </c>
      <c r="I317" s="21">
        <v>21</v>
      </c>
      <c r="J317" s="41">
        <f t="shared" si="116"/>
        <v>1.9301470588235295E-2</v>
      </c>
      <c r="K317" s="21">
        <v>16</v>
      </c>
      <c r="L317" s="41">
        <f t="shared" si="117"/>
        <v>2.6272577996715927E-2</v>
      </c>
      <c r="M317" s="21">
        <v>985</v>
      </c>
      <c r="N317" s="41">
        <f t="shared" si="118"/>
        <v>0.90533088235294112</v>
      </c>
      <c r="O317" s="21">
        <v>542</v>
      </c>
      <c r="P317" s="41">
        <f t="shared" si="119"/>
        <v>0.88998357963875208</v>
      </c>
      <c r="Q317" s="21">
        <v>66</v>
      </c>
      <c r="R317" s="41">
        <f t="shared" si="120"/>
        <v>6.0661764705882353E-2</v>
      </c>
      <c r="S317" s="21">
        <v>38</v>
      </c>
      <c r="T317" s="41">
        <f t="shared" si="121"/>
        <v>6.2397372742200329E-2</v>
      </c>
      <c r="U317" s="21">
        <v>53</v>
      </c>
      <c r="V317" s="41">
        <f t="shared" si="122"/>
        <v>4.8713235294117647E-2</v>
      </c>
      <c r="W317" s="21">
        <v>40</v>
      </c>
      <c r="X317" s="41">
        <f t="shared" si="123"/>
        <v>6.5681444991789822E-2</v>
      </c>
      <c r="Y317" s="21">
        <v>79</v>
      </c>
      <c r="Z317" s="41">
        <f t="shared" si="124"/>
        <v>7.2610294117647065E-2</v>
      </c>
      <c r="AA317" s="21">
        <v>59</v>
      </c>
      <c r="AB317" s="41">
        <f t="shared" si="125"/>
        <v>9.688013136288999E-2</v>
      </c>
      <c r="AC317" s="21">
        <v>957</v>
      </c>
      <c r="AD317" s="41">
        <f t="shared" ref="AD317:AD380" si="140">IFERROR(AC317/$BE317,0)</f>
        <v>0.87959558823529416</v>
      </c>
      <c r="AE317" s="21">
        <v>511</v>
      </c>
      <c r="AF317" s="41">
        <f t="shared" si="126"/>
        <v>0.83908045977011492</v>
      </c>
      <c r="AG317" s="21">
        <v>41</v>
      </c>
      <c r="AH317" s="41">
        <f t="shared" ref="AH317:AH380" si="141">IFERROR(AG317/$BE317,0)</f>
        <v>3.7683823529411763E-2</v>
      </c>
      <c r="AI317" s="21">
        <v>33</v>
      </c>
      <c r="AJ317" s="41">
        <f t="shared" si="127"/>
        <v>5.4187192118226604E-2</v>
      </c>
      <c r="AK317" s="21">
        <v>38</v>
      </c>
      <c r="AL317" s="41">
        <f t="shared" ref="AL317:AL380" si="142">IFERROR(AK317/$BE317,0)</f>
        <v>3.4926470588235295E-2</v>
      </c>
      <c r="AM317" s="21">
        <v>28</v>
      </c>
      <c r="AN317" s="41">
        <f t="shared" si="128"/>
        <v>4.5977011494252873E-2</v>
      </c>
      <c r="AO317" s="21">
        <v>708</v>
      </c>
      <c r="AP317" s="41">
        <f t="shared" ref="AP317:AP380" si="143">IFERROR(AO317/$BE317,0)</f>
        <v>0.65073529411764708</v>
      </c>
      <c r="AQ317" s="21">
        <v>400</v>
      </c>
      <c r="AR317" s="41">
        <f t="shared" si="129"/>
        <v>0.65681444991789817</v>
      </c>
      <c r="AS317" s="21">
        <v>168</v>
      </c>
      <c r="AT317" s="41">
        <f t="shared" ref="AT317:AT380" si="144">IFERROR(AS317/$BE317,0)</f>
        <v>0.15441176470588236</v>
      </c>
      <c r="AU317" s="21">
        <v>72</v>
      </c>
      <c r="AV317" s="41">
        <f t="shared" si="130"/>
        <v>0.11822660098522167</v>
      </c>
      <c r="AW317" s="21">
        <v>72</v>
      </c>
      <c r="AX317" s="41">
        <f t="shared" ref="AX317:AX380" si="145">IFERROR(AW317/$BE317,0)</f>
        <v>6.6176470588235295E-2</v>
      </c>
      <c r="AY317" s="21">
        <v>35</v>
      </c>
      <c r="AZ317" s="41">
        <f t="shared" si="131"/>
        <v>5.7471264367816091E-2</v>
      </c>
      <c r="BA317" s="21">
        <v>62</v>
      </c>
      <c r="BB317" s="41">
        <f t="shared" ref="BB317:BB380" si="146">IFERROR(BA317/$BE317,0)</f>
        <v>5.6985294117647058E-2</v>
      </c>
      <c r="BC317" s="21">
        <v>42</v>
      </c>
      <c r="BD317" s="41">
        <f t="shared" si="132"/>
        <v>6.8965517241379309E-2</v>
      </c>
      <c r="BE317" s="20">
        <v>1088</v>
      </c>
      <c r="BF317" s="21">
        <v>609</v>
      </c>
    </row>
    <row r="318" spans="1:58" ht="15.75" customHeight="1" x14ac:dyDescent="0.25">
      <c r="A318" s="44">
        <v>2022</v>
      </c>
      <c r="B318" s="39">
        <v>171670</v>
      </c>
      <c r="C318" s="37" t="str">
        <f>VLOOKUP(B318,procv!$A$2:$D$142,4,FALSE)</f>
        <v>Cerrado Tocantins Araguaia</v>
      </c>
      <c r="D318" s="37" t="s">
        <v>43</v>
      </c>
      <c r="E318" s="21">
        <v>3</v>
      </c>
      <c r="F318" s="42">
        <f t="shared" si="114"/>
        <v>1.0238907849829351E-2</v>
      </c>
      <c r="G318" s="21">
        <v>2</v>
      </c>
      <c r="H318" s="42">
        <f t="shared" si="115"/>
        <v>1.3422818791946308E-2</v>
      </c>
      <c r="I318" s="21">
        <v>5</v>
      </c>
      <c r="J318" s="41">
        <f t="shared" si="116"/>
        <v>1.7064846416382253E-2</v>
      </c>
      <c r="K318" s="21">
        <v>2</v>
      </c>
      <c r="L318" s="41">
        <f t="shared" si="117"/>
        <v>1.3422818791946308E-2</v>
      </c>
      <c r="M318" s="21">
        <v>271</v>
      </c>
      <c r="N318" s="41">
        <f t="shared" si="118"/>
        <v>0.92491467576791808</v>
      </c>
      <c r="O318" s="21">
        <v>135</v>
      </c>
      <c r="P318" s="41">
        <f t="shared" si="119"/>
        <v>0.90604026845637586</v>
      </c>
      <c r="Q318" s="21">
        <v>14</v>
      </c>
      <c r="R318" s="41">
        <f t="shared" si="120"/>
        <v>4.778156996587031E-2</v>
      </c>
      <c r="S318" s="21">
        <v>10</v>
      </c>
      <c r="T318" s="41">
        <f t="shared" si="121"/>
        <v>6.7114093959731544E-2</v>
      </c>
      <c r="U318" s="21">
        <v>10</v>
      </c>
      <c r="V318" s="41">
        <f t="shared" si="122"/>
        <v>3.4129692832764506E-2</v>
      </c>
      <c r="W318" s="21">
        <v>7</v>
      </c>
      <c r="X318" s="41">
        <f t="shared" si="123"/>
        <v>4.6979865771812082E-2</v>
      </c>
      <c r="Y318" s="21">
        <v>16</v>
      </c>
      <c r="Z318" s="41">
        <f t="shared" si="124"/>
        <v>5.4607508532423209E-2</v>
      </c>
      <c r="AA318" s="21">
        <v>6</v>
      </c>
      <c r="AB318" s="41">
        <f t="shared" si="125"/>
        <v>4.0268456375838924E-2</v>
      </c>
      <c r="AC318" s="21">
        <v>267</v>
      </c>
      <c r="AD318" s="41">
        <f t="shared" si="140"/>
        <v>0.9112627986348123</v>
      </c>
      <c r="AE318" s="21">
        <v>136</v>
      </c>
      <c r="AF318" s="41">
        <f t="shared" si="126"/>
        <v>0.91275167785234901</v>
      </c>
      <c r="AG318" s="21">
        <v>6</v>
      </c>
      <c r="AH318" s="41">
        <f t="shared" si="141"/>
        <v>2.0477815699658702E-2</v>
      </c>
      <c r="AI318" s="21">
        <v>3</v>
      </c>
      <c r="AJ318" s="41">
        <f t="shared" si="127"/>
        <v>2.0134228187919462E-2</v>
      </c>
      <c r="AK318" s="21">
        <v>16</v>
      </c>
      <c r="AL318" s="41">
        <f t="shared" si="142"/>
        <v>5.4607508532423209E-2</v>
      </c>
      <c r="AM318" s="21">
        <v>11</v>
      </c>
      <c r="AN318" s="41">
        <f t="shared" si="128"/>
        <v>7.3825503355704702E-2</v>
      </c>
      <c r="AO318" s="21">
        <v>201</v>
      </c>
      <c r="AP318" s="41">
        <f t="shared" si="143"/>
        <v>0.68600682593856654</v>
      </c>
      <c r="AQ318" s="21">
        <v>101</v>
      </c>
      <c r="AR318" s="41">
        <f t="shared" si="129"/>
        <v>0.67785234899328861</v>
      </c>
      <c r="AS318" s="21">
        <v>37</v>
      </c>
      <c r="AT318" s="41">
        <f t="shared" si="144"/>
        <v>0.12627986348122866</v>
      </c>
      <c r="AU318" s="21">
        <v>18</v>
      </c>
      <c r="AV318" s="41">
        <f t="shared" si="130"/>
        <v>0.12080536912751678</v>
      </c>
      <c r="AW318" s="21">
        <v>17</v>
      </c>
      <c r="AX318" s="41">
        <f t="shared" si="145"/>
        <v>5.8020477815699661E-2</v>
      </c>
      <c r="AY318" s="21">
        <v>8</v>
      </c>
      <c r="AZ318" s="41">
        <f t="shared" si="131"/>
        <v>5.3691275167785234E-2</v>
      </c>
      <c r="BA318" s="21">
        <v>16</v>
      </c>
      <c r="BB318" s="41">
        <f t="shared" si="146"/>
        <v>5.4607508532423209E-2</v>
      </c>
      <c r="BC318" s="21">
        <v>8</v>
      </c>
      <c r="BD318" s="41">
        <f t="shared" si="132"/>
        <v>5.3691275167785234E-2</v>
      </c>
      <c r="BE318" s="21">
        <v>293</v>
      </c>
      <c r="BF318" s="21">
        <v>149</v>
      </c>
    </row>
    <row r="319" spans="1:58" ht="15.75" customHeight="1" x14ac:dyDescent="0.25">
      <c r="A319" s="44">
        <v>2022</v>
      </c>
      <c r="B319" s="39">
        <v>170555</v>
      </c>
      <c r="C319" s="37" t="str">
        <f>VLOOKUP(B319,procv!$A$2:$D$142,4,FALSE)</f>
        <v>Sudeste</v>
      </c>
      <c r="D319" s="37" t="s">
        <v>44</v>
      </c>
      <c r="E319" s="21">
        <v>4</v>
      </c>
      <c r="F319" s="42">
        <f t="shared" si="114"/>
        <v>1.3071895424836602E-2</v>
      </c>
      <c r="G319" s="21">
        <v>3</v>
      </c>
      <c r="H319" s="42">
        <f t="shared" si="115"/>
        <v>1.9108280254777069E-2</v>
      </c>
      <c r="I319" s="21">
        <v>8</v>
      </c>
      <c r="J319" s="41">
        <f t="shared" si="116"/>
        <v>2.6143790849673203E-2</v>
      </c>
      <c r="K319" s="21">
        <v>7</v>
      </c>
      <c r="L319" s="41">
        <f t="shared" si="117"/>
        <v>4.4585987261146494E-2</v>
      </c>
      <c r="M319" s="21">
        <v>280</v>
      </c>
      <c r="N319" s="41">
        <f t="shared" si="118"/>
        <v>0.91503267973856206</v>
      </c>
      <c r="O319" s="21">
        <v>140</v>
      </c>
      <c r="P319" s="41">
        <f t="shared" si="119"/>
        <v>0.89171974522292996</v>
      </c>
      <c r="Q319" s="21">
        <v>14</v>
      </c>
      <c r="R319" s="41">
        <f t="shared" si="120"/>
        <v>4.5751633986928102E-2</v>
      </c>
      <c r="S319" s="21">
        <v>7</v>
      </c>
      <c r="T319" s="41">
        <f t="shared" si="121"/>
        <v>4.4585987261146494E-2</v>
      </c>
      <c r="U319" s="21">
        <v>5</v>
      </c>
      <c r="V319" s="41">
        <f t="shared" si="122"/>
        <v>1.6339869281045753E-2</v>
      </c>
      <c r="W319" s="21">
        <v>3</v>
      </c>
      <c r="X319" s="41">
        <f t="shared" si="123"/>
        <v>1.9108280254777069E-2</v>
      </c>
      <c r="Y319" s="21">
        <v>15</v>
      </c>
      <c r="Z319" s="41">
        <f t="shared" si="124"/>
        <v>4.9019607843137254E-2</v>
      </c>
      <c r="AA319" s="21">
        <v>13</v>
      </c>
      <c r="AB319" s="41">
        <f t="shared" si="125"/>
        <v>8.2802547770700632E-2</v>
      </c>
      <c r="AC319" s="21">
        <v>286</v>
      </c>
      <c r="AD319" s="41">
        <f t="shared" si="140"/>
        <v>0.934640522875817</v>
      </c>
      <c r="AE319" s="21">
        <v>141</v>
      </c>
      <c r="AF319" s="41">
        <f t="shared" si="126"/>
        <v>0.89808917197452232</v>
      </c>
      <c r="AG319" s="21">
        <v>21</v>
      </c>
      <c r="AH319" s="41">
        <f t="shared" si="141"/>
        <v>6.8627450980392163E-2</v>
      </c>
      <c r="AI319" s="21">
        <v>17</v>
      </c>
      <c r="AJ319" s="41">
        <f t="shared" si="127"/>
        <v>0.10828025477707007</v>
      </c>
      <c r="AK319" s="21">
        <v>13</v>
      </c>
      <c r="AL319" s="41">
        <f t="shared" si="142"/>
        <v>4.2483660130718956E-2</v>
      </c>
      <c r="AM319" s="21">
        <v>7</v>
      </c>
      <c r="AN319" s="41">
        <f t="shared" si="128"/>
        <v>4.4585987261146494E-2</v>
      </c>
      <c r="AO319" s="21">
        <v>213</v>
      </c>
      <c r="AP319" s="41">
        <f t="shared" si="143"/>
        <v>0.69607843137254899</v>
      </c>
      <c r="AQ319" s="21">
        <v>110</v>
      </c>
      <c r="AR319" s="41">
        <f t="shared" si="129"/>
        <v>0.70063694267515919</v>
      </c>
      <c r="AS319" s="21">
        <v>42</v>
      </c>
      <c r="AT319" s="41">
        <f t="shared" si="144"/>
        <v>0.13725490196078433</v>
      </c>
      <c r="AU319" s="21">
        <v>14</v>
      </c>
      <c r="AV319" s="41">
        <f t="shared" si="130"/>
        <v>8.9171974522292988E-2</v>
      </c>
      <c r="AW319" s="21">
        <v>10</v>
      </c>
      <c r="AX319" s="41">
        <f t="shared" si="145"/>
        <v>3.2679738562091505E-2</v>
      </c>
      <c r="AY319" s="21">
        <v>5</v>
      </c>
      <c r="AZ319" s="41">
        <f t="shared" si="131"/>
        <v>3.1847133757961783E-2</v>
      </c>
      <c r="BA319" s="21">
        <v>7</v>
      </c>
      <c r="BB319" s="41">
        <f t="shared" si="146"/>
        <v>2.2875816993464051E-2</v>
      </c>
      <c r="BC319" s="21">
        <v>4</v>
      </c>
      <c r="BD319" s="41">
        <f t="shared" si="132"/>
        <v>2.5477707006369428E-2</v>
      </c>
      <c r="BE319" s="21">
        <v>306</v>
      </c>
      <c r="BF319" s="21">
        <v>157</v>
      </c>
    </row>
    <row r="320" spans="1:58" ht="15.75" customHeight="1" x14ac:dyDescent="0.25">
      <c r="A320" s="44">
        <v>2022</v>
      </c>
      <c r="B320" s="39">
        <v>170560</v>
      </c>
      <c r="C320" s="37" t="str">
        <f>VLOOKUP(B320,procv!$A$2:$D$142,4,FALSE)</f>
        <v>Sudeste</v>
      </c>
      <c r="D320" s="37" t="s">
        <v>45</v>
      </c>
      <c r="E320" s="21">
        <v>2</v>
      </c>
      <c r="F320" s="42">
        <f t="shared" si="114"/>
        <v>6.6445182724252493E-3</v>
      </c>
      <c r="G320" s="21">
        <v>2</v>
      </c>
      <c r="H320" s="42">
        <f t="shared" si="115"/>
        <v>1.0256410256410256E-2</v>
      </c>
      <c r="I320" s="21">
        <v>13</v>
      </c>
      <c r="J320" s="41">
        <f t="shared" si="116"/>
        <v>4.3189368770764118E-2</v>
      </c>
      <c r="K320" s="21">
        <v>8</v>
      </c>
      <c r="L320" s="41">
        <f t="shared" si="117"/>
        <v>4.1025641025641026E-2</v>
      </c>
      <c r="M320" s="21">
        <v>266</v>
      </c>
      <c r="N320" s="41">
        <f t="shared" si="118"/>
        <v>0.88372093023255816</v>
      </c>
      <c r="O320" s="21">
        <v>171</v>
      </c>
      <c r="P320" s="41">
        <f t="shared" si="119"/>
        <v>0.87692307692307692</v>
      </c>
      <c r="Q320" s="21">
        <v>20</v>
      </c>
      <c r="R320" s="41">
        <f t="shared" si="120"/>
        <v>6.6445182724252497E-2</v>
      </c>
      <c r="S320" s="21">
        <v>14</v>
      </c>
      <c r="T320" s="41">
        <f t="shared" si="121"/>
        <v>7.179487179487179E-2</v>
      </c>
      <c r="U320" s="21">
        <v>57</v>
      </c>
      <c r="V320" s="41">
        <f t="shared" si="122"/>
        <v>0.18936877076411959</v>
      </c>
      <c r="W320" s="21">
        <v>55</v>
      </c>
      <c r="X320" s="41">
        <f t="shared" si="123"/>
        <v>0.28205128205128205</v>
      </c>
      <c r="Y320" s="21">
        <v>38</v>
      </c>
      <c r="Z320" s="41">
        <f t="shared" si="124"/>
        <v>0.12624584717607973</v>
      </c>
      <c r="AA320" s="21">
        <v>27</v>
      </c>
      <c r="AB320" s="41">
        <f t="shared" si="125"/>
        <v>0.13846153846153847</v>
      </c>
      <c r="AC320" s="21">
        <v>206</v>
      </c>
      <c r="AD320" s="41">
        <f t="shared" si="140"/>
        <v>0.68438538205980071</v>
      </c>
      <c r="AE320" s="21">
        <v>113</v>
      </c>
      <c r="AF320" s="41">
        <f t="shared" si="126"/>
        <v>0.57948717948717954</v>
      </c>
      <c r="AG320" s="21">
        <v>1</v>
      </c>
      <c r="AH320" s="41">
        <f t="shared" si="141"/>
        <v>3.3222591362126247E-3</v>
      </c>
      <c r="AI320" s="21">
        <v>1</v>
      </c>
      <c r="AJ320" s="41">
        <f t="shared" si="127"/>
        <v>5.1282051282051282E-3</v>
      </c>
      <c r="AK320" s="21">
        <v>11</v>
      </c>
      <c r="AL320" s="41">
        <f t="shared" si="142"/>
        <v>3.6544850498338874E-2</v>
      </c>
      <c r="AM320" s="21">
        <v>5</v>
      </c>
      <c r="AN320" s="41">
        <f t="shared" si="128"/>
        <v>2.564102564102564E-2</v>
      </c>
      <c r="AO320" s="21">
        <v>159</v>
      </c>
      <c r="AP320" s="41">
        <f t="shared" si="143"/>
        <v>0.52823920265780733</v>
      </c>
      <c r="AQ320" s="21">
        <v>99</v>
      </c>
      <c r="AR320" s="41">
        <f t="shared" si="129"/>
        <v>0.50769230769230766</v>
      </c>
      <c r="AS320" s="21">
        <v>55</v>
      </c>
      <c r="AT320" s="41">
        <f t="shared" si="144"/>
        <v>0.18272425249169436</v>
      </c>
      <c r="AU320" s="21">
        <v>34</v>
      </c>
      <c r="AV320" s="41">
        <f t="shared" si="130"/>
        <v>0.17435897435897435</v>
      </c>
      <c r="AW320" s="21">
        <v>40</v>
      </c>
      <c r="AX320" s="41">
        <f t="shared" si="145"/>
        <v>0.13289036544850499</v>
      </c>
      <c r="AY320" s="21">
        <v>26</v>
      </c>
      <c r="AZ320" s="41">
        <f t="shared" si="131"/>
        <v>0.13333333333333333</v>
      </c>
      <c r="BA320" s="21">
        <v>35</v>
      </c>
      <c r="BB320" s="41">
        <f t="shared" si="146"/>
        <v>0.11627906976744186</v>
      </c>
      <c r="BC320" s="21">
        <v>30</v>
      </c>
      <c r="BD320" s="41">
        <f t="shared" si="132"/>
        <v>0.15384615384615385</v>
      </c>
      <c r="BE320" s="21">
        <v>301</v>
      </c>
      <c r="BF320" s="21">
        <v>195</v>
      </c>
    </row>
    <row r="321" spans="1:58" ht="15.75" customHeight="1" x14ac:dyDescent="0.25">
      <c r="A321" s="44">
        <v>2022</v>
      </c>
      <c r="B321" s="39">
        <v>170600</v>
      </c>
      <c r="C321" s="37" t="str">
        <f>VLOOKUP(B321,procv!$A$2:$D$142,4,FALSE)</f>
        <v>Cerrado Tocantins Araguaia</v>
      </c>
      <c r="D321" s="37" t="s">
        <v>46</v>
      </c>
      <c r="E321" s="21">
        <v>4</v>
      </c>
      <c r="F321" s="42">
        <f t="shared" si="114"/>
        <v>1.5748031496062992E-2</v>
      </c>
      <c r="G321" s="21">
        <v>2</v>
      </c>
      <c r="H321" s="42">
        <f t="shared" si="115"/>
        <v>1.4285714285714285E-2</v>
      </c>
      <c r="I321" s="21">
        <v>11</v>
      </c>
      <c r="J321" s="41">
        <f t="shared" si="116"/>
        <v>4.3307086614173228E-2</v>
      </c>
      <c r="K321" s="21">
        <v>5</v>
      </c>
      <c r="L321" s="41">
        <f t="shared" si="117"/>
        <v>3.5714285714285712E-2</v>
      </c>
      <c r="M321" s="21">
        <v>225</v>
      </c>
      <c r="N321" s="41">
        <f t="shared" si="118"/>
        <v>0.88582677165354329</v>
      </c>
      <c r="O321" s="21">
        <v>125</v>
      </c>
      <c r="P321" s="41">
        <f t="shared" si="119"/>
        <v>0.8928571428571429</v>
      </c>
      <c r="Q321" s="21">
        <v>14</v>
      </c>
      <c r="R321" s="41">
        <f t="shared" si="120"/>
        <v>5.5118110236220472E-2</v>
      </c>
      <c r="S321" s="21">
        <v>8</v>
      </c>
      <c r="T321" s="41">
        <f t="shared" si="121"/>
        <v>5.7142857142857141E-2</v>
      </c>
      <c r="U321" s="21">
        <v>24</v>
      </c>
      <c r="V321" s="41">
        <f t="shared" si="122"/>
        <v>9.4488188976377951E-2</v>
      </c>
      <c r="W321" s="21">
        <v>11</v>
      </c>
      <c r="X321" s="41">
        <f t="shared" si="123"/>
        <v>7.857142857142857E-2</v>
      </c>
      <c r="Y321" s="21">
        <v>19</v>
      </c>
      <c r="Z321" s="41">
        <f t="shared" si="124"/>
        <v>7.4803149606299218E-2</v>
      </c>
      <c r="AA321" s="21">
        <v>12</v>
      </c>
      <c r="AB321" s="41">
        <f t="shared" si="125"/>
        <v>8.5714285714285715E-2</v>
      </c>
      <c r="AC321" s="21">
        <v>211</v>
      </c>
      <c r="AD321" s="41">
        <f t="shared" si="140"/>
        <v>0.8307086614173228</v>
      </c>
      <c r="AE321" s="21">
        <v>117</v>
      </c>
      <c r="AF321" s="41">
        <f t="shared" si="126"/>
        <v>0.83571428571428574</v>
      </c>
      <c r="AG321" s="21">
        <v>10</v>
      </c>
      <c r="AH321" s="41">
        <f t="shared" si="141"/>
        <v>3.937007874015748E-2</v>
      </c>
      <c r="AI321" s="21">
        <v>9</v>
      </c>
      <c r="AJ321" s="41">
        <f t="shared" si="127"/>
        <v>6.4285714285714279E-2</v>
      </c>
      <c r="AK321" s="21">
        <v>14</v>
      </c>
      <c r="AL321" s="41">
        <f t="shared" si="142"/>
        <v>5.5118110236220472E-2</v>
      </c>
      <c r="AM321" s="21">
        <v>3</v>
      </c>
      <c r="AN321" s="41">
        <f t="shared" si="128"/>
        <v>2.1428571428571429E-2</v>
      </c>
      <c r="AO321" s="21">
        <v>156</v>
      </c>
      <c r="AP321" s="41">
        <f t="shared" si="143"/>
        <v>0.61417322834645671</v>
      </c>
      <c r="AQ321" s="21">
        <v>85</v>
      </c>
      <c r="AR321" s="41">
        <f t="shared" si="129"/>
        <v>0.6071428571428571</v>
      </c>
      <c r="AS321" s="21">
        <v>32</v>
      </c>
      <c r="AT321" s="41">
        <f t="shared" si="144"/>
        <v>0.12598425196850394</v>
      </c>
      <c r="AU321" s="21">
        <v>22</v>
      </c>
      <c r="AV321" s="41">
        <f t="shared" si="130"/>
        <v>0.15714285714285714</v>
      </c>
      <c r="AW321" s="21">
        <v>21</v>
      </c>
      <c r="AX321" s="41">
        <f t="shared" si="145"/>
        <v>8.2677165354330714E-2</v>
      </c>
      <c r="AY321" s="21">
        <v>9</v>
      </c>
      <c r="AZ321" s="41">
        <f t="shared" si="131"/>
        <v>6.4285714285714279E-2</v>
      </c>
      <c r="BA321" s="21">
        <v>21</v>
      </c>
      <c r="BB321" s="41">
        <f t="shared" si="146"/>
        <v>8.2677165354330714E-2</v>
      </c>
      <c r="BC321" s="21">
        <v>12</v>
      </c>
      <c r="BD321" s="41">
        <f t="shared" si="132"/>
        <v>8.5714285714285715E-2</v>
      </c>
      <c r="BE321" s="21">
        <v>254</v>
      </c>
      <c r="BF321" s="21">
        <v>140</v>
      </c>
    </row>
    <row r="322" spans="1:58" ht="15.75" customHeight="1" x14ac:dyDescent="0.25">
      <c r="A322" s="44">
        <v>2022</v>
      </c>
      <c r="B322" s="39">
        <v>170610</v>
      </c>
      <c r="C322" s="37" t="str">
        <f>VLOOKUP(B322,procv!$A$2:$D$142,4,FALSE)</f>
        <v>Cantão</v>
      </c>
      <c r="D322" s="37" t="s">
        <v>47</v>
      </c>
      <c r="E322" s="21">
        <v>6</v>
      </c>
      <c r="F322" s="42">
        <f t="shared" ref="F322:F385" si="147">IFERROR(E322/$BE322,0)</f>
        <v>1.6042780748663103E-2</v>
      </c>
      <c r="G322" s="21">
        <v>3</v>
      </c>
      <c r="H322" s="42">
        <f t="shared" ref="H322:H385" si="148">IFERROR(G322/$BF322,0)</f>
        <v>2.6785714285714284E-2</v>
      </c>
      <c r="I322" s="21">
        <v>12</v>
      </c>
      <c r="J322" s="41">
        <f t="shared" ref="J322:J385" si="149">IFERROR(I322/$BE322,0)</f>
        <v>3.2085561497326207E-2</v>
      </c>
      <c r="K322" s="21">
        <v>5</v>
      </c>
      <c r="L322" s="41">
        <f t="shared" ref="L322:L385" si="150">IFERROR(K322/$BF322,0)</f>
        <v>4.4642857142857144E-2</v>
      </c>
      <c r="M322" s="21">
        <v>332</v>
      </c>
      <c r="N322" s="41">
        <f t="shared" ref="N322:N385" si="151">IFERROR(M322/$BE322,0)</f>
        <v>0.88770053475935828</v>
      </c>
      <c r="O322" s="21">
        <v>96</v>
      </c>
      <c r="P322" s="41">
        <f t="shared" ref="P322:P385" si="152">IFERROR(O322/$BF322,0)</f>
        <v>0.8571428571428571</v>
      </c>
      <c r="Q322" s="21">
        <v>24</v>
      </c>
      <c r="R322" s="41">
        <f t="shared" ref="R322:R385" si="153">IFERROR(Q322/$BE322,0)</f>
        <v>6.4171122994652413E-2</v>
      </c>
      <c r="S322" s="21">
        <v>8</v>
      </c>
      <c r="T322" s="41">
        <f t="shared" ref="T322:T385" si="154">IFERROR(S322/$BF322,0)</f>
        <v>7.1428571428571425E-2</v>
      </c>
      <c r="U322" s="21">
        <v>11</v>
      </c>
      <c r="V322" s="41">
        <f t="shared" ref="V322:V385" si="155">IFERROR(U322/$BE322,0)</f>
        <v>2.9411764705882353E-2</v>
      </c>
      <c r="W322" s="21">
        <v>3</v>
      </c>
      <c r="X322" s="41">
        <f t="shared" ref="X322:X385" si="156">IFERROR(W322/$BF322,0)</f>
        <v>2.6785714285714284E-2</v>
      </c>
      <c r="Y322" s="21">
        <v>19</v>
      </c>
      <c r="Z322" s="41">
        <f t="shared" ref="Z322:Z385" si="157">IFERROR(Y322/$BE322,0)</f>
        <v>5.0802139037433157E-2</v>
      </c>
      <c r="AA322" s="21">
        <v>8</v>
      </c>
      <c r="AB322" s="41">
        <f t="shared" ref="AB322:AB385" si="158">IFERROR(AA322/$BF322,0)</f>
        <v>7.1428571428571425E-2</v>
      </c>
      <c r="AC322" s="21">
        <v>344</v>
      </c>
      <c r="AD322" s="41">
        <f t="shared" si="140"/>
        <v>0.9197860962566845</v>
      </c>
      <c r="AE322" s="21">
        <v>101</v>
      </c>
      <c r="AF322" s="41">
        <f t="shared" ref="AF322:AF385" si="159">IFERROR(AE322/$BF322,0)</f>
        <v>0.9017857142857143</v>
      </c>
      <c r="AG322" s="21">
        <v>14</v>
      </c>
      <c r="AH322" s="41">
        <f t="shared" si="141"/>
        <v>3.7433155080213901E-2</v>
      </c>
      <c r="AI322" s="21">
        <v>11</v>
      </c>
      <c r="AJ322" s="41">
        <f t="shared" ref="AJ322:AJ385" si="160">IFERROR(AI322/$BF322,0)</f>
        <v>9.8214285714285712E-2</v>
      </c>
      <c r="AK322" s="21">
        <v>18</v>
      </c>
      <c r="AL322" s="41">
        <f t="shared" si="142"/>
        <v>4.8128342245989303E-2</v>
      </c>
      <c r="AM322" s="21">
        <v>6</v>
      </c>
      <c r="AN322" s="41">
        <f t="shared" ref="AN322:AN385" si="161">IFERROR(AM322/$BF322,0)</f>
        <v>5.3571428571428568E-2</v>
      </c>
      <c r="AO322" s="21">
        <v>230</v>
      </c>
      <c r="AP322" s="41">
        <f t="shared" si="143"/>
        <v>0.61497326203208558</v>
      </c>
      <c r="AQ322" s="21">
        <v>66</v>
      </c>
      <c r="AR322" s="41">
        <f t="shared" ref="AR322:AR385" si="162">IFERROR(AQ322/$BF322,0)</f>
        <v>0.5892857142857143</v>
      </c>
      <c r="AS322" s="21">
        <v>73</v>
      </c>
      <c r="AT322" s="41">
        <f t="shared" si="144"/>
        <v>0.19518716577540107</v>
      </c>
      <c r="AU322" s="21">
        <v>16</v>
      </c>
      <c r="AV322" s="41">
        <f t="shared" ref="AV322:AV385" si="163">IFERROR(AU322/$BF322,0)</f>
        <v>0.14285714285714285</v>
      </c>
      <c r="AW322" s="21">
        <v>20</v>
      </c>
      <c r="AX322" s="41">
        <f t="shared" si="145"/>
        <v>5.3475935828877004E-2</v>
      </c>
      <c r="AY322" s="21">
        <v>7</v>
      </c>
      <c r="AZ322" s="41">
        <f t="shared" ref="AZ322:AZ385" si="164">IFERROR(AY322/$BF322,0)</f>
        <v>6.25E-2</v>
      </c>
      <c r="BA322" s="21">
        <v>19</v>
      </c>
      <c r="BB322" s="41">
        <f t="shared" si="146"/>
        <v>5.0802139037433157E-2</v>
      </c>
      <c r="BC322" s="21">
        <v>6</v>
      </c>
      <c r="BD322" s="41">
        <f t="shared" ref="BD322:BD385" si="165">IFERROR(BC322/$BF322,0)</f>
        <v>5.3571428571428568E-2</v>
      </c>
      <c r="BE322" s="21">
        <v>374</v>
      </c>
      <c r="BF322" s="21">
        <v>112</v>
      </c>
    </row>
    <row r="323" spans="1:58" ht="15.75" customHeight="1" x14ac:dyDescent="0.25">
      <c r="A323" s="44">
        <v>2022</v>
      </c>
      <c r="B323" s="39">
        <v>170625</v>
      </c>
      <c r="C323" s="37" t="str">
        <f>VLOOKUP(B323,procv!$A$2:$D$142,4,FALSE)</f>
        <v>Ilha do Bananal</v>
      </c>
      <c r="D323" s="37" t="s">
        <v>48</v>
      </c>
      <c r="E323" s="21">
        <v>0</v>
      </c>
      <c r="F323" s="42">
        <f t="shared" si="147"/>
        <v>0</v>
      </c>
      <c r="G323" s="21">
        <v>0</v>
      </c>
      <c r="H323" s="42">
        <f t="shared" si="148"/>
        <v>0</v>
      </c>
      <c r="I323" s="21">
        <v>1</v>
      </c>
      <c r="J323" s="41">
        <f t="shared" si="149"/>
        <v>1.1764705882352941E-2</v>
      </c>
      <c r="K323" s="21">
        <v>0</v>
      </c>
      <c r="L323" s="41">
        <f t="shared" si="150"/>
        <v>0</v>
      </c>
      <c r="M323" s="21">
        <v>74</v>
      </c>
      <c r="N323" s="41">
        <f t="shared" si="151"/>
        <v>0.87058823529411766</v>
      </c>
      <c r="O323" s="21">
        <v>20</v>
      </c>
      <c r="P323" s="41">
        <f t="shared" si="152"/>
        <v>0.76923076923076927</v>
      </c>
      <c r="Q323" s="21">
        <v>10</v>
      </c>
      <c r="R323" s="41">
        <f t="shared" si="153"/>
        <v>0.11764705882352941</v>
      </c>
      <c r="S323" s="21">
        <v>6</v>
      </c>
      <c r="T323" s="41">
        <f t="shared" si="154"/>
        <v>0.23076923076923078</v>
      </c>
      <c r="U323" s="21">
        <v>5</v>
      </c>
      <c r="V323" s="41">
        <f t="shared" si="155"/>
        <v>5.8823529411764705E-2</v>
      </c>
      <c r="W323" s="21">
        <v>3</v>
      </c>
      <c r="X323" s="41">
        <f t="shared" si="156"/>
        <v>0.11538461538461539</v>
      </c>
      <c r="Y323" s="21">
        <v>8</v>
      </c>
      <c r="Z323" s="41">
        <f t="shared" si="157"/>
        <v>9.4117647058823528E-2</v>
      </c>
      <c r="AA323" s="21">
        <v>5</v>
      </c>
      <c r="AB323" s="41">
        <f t="shared" si="158"/>
        <v>0.19230769230769232</v>
      </c>
      <c r="AC323" s="21">
        <v>72</v>
      </c>
      <c r="AD323" s="41">
        <f t="shared" si="140"/>
        <v>0.84705882352941175</v>
      </c>
      <c r="AE323" s="21">
        <v>18</v>
      </c>
      <c r="AF323" s="41">
        <f t="shared" si="159"/>
        <v>0.69230769230769229</v>
      </c>
      <c r="AG323" s="21">
        <v>1</v>
      </c>
      <c r="AH323" s="41">
        <f t="shared" si="141"/>
        <v>1.1764705882352941E-2</v>
      </c>
      <c r="AI323" s="21">
        <v>1</v>
      </c>
      <c r="AJ323" s="41">
        <f t="shared" si="160"/>
        <v>3.8461538461538464E-2</v>
      </c>
      <c r="AK323" s="21">
        <v>0</v>
      </c>
      <c r="AL323" s="41">
        <f t="shared" si="142"/>
        <v>0</v>
      </c>
      <c r="AM323" s="21">
        <v>0</v>
      </c>
      <c r="AN323" s="41">
        <f t="shared" si="161"/>
        <v>0</v>
      </c>
      <c r="AO323" s="21">
        <v>44</v>
      </c>
      <c r="AP323" s="41">
        <f t="shared" si="143"/>
        <v>0.51764705882352946</v>
      </c>
      <c r="AQ323" s="21">
        <v>15</v>
      </c>
      <c r="AR323" s="41">
        <f t="shared" si="162"/>
        <v>0.57692307692307687</v>
      </c>
      <c r="AS323" s="21">
        <v>20</v>
      </c>
      <c r="AT323" s="41">
        <f t="shared" si="144"/>
        <v>0.23529411764705882</v>
      </c>
      <c r="AU323" s="21">
        <v>1</v>
      </c>
      <c r="AV323" s="41">
        <f t="shared" si="163"/>
        <v>3.8461538461538464E-2</v>
      </c>
      <c r="AW323" s="21">
        <v>15</v>
      </c>
      <c r="AX323" s="41">
        <f t="shared" si="145"/>
        <v>0.17647058823529413</v>
      </c>
      <c r="AY323" s="21">
        <v>5</v>
      </c>
      <c r="AZ323" s="41">
        <f t="shared" si="164"/>
        <v>0.19230769230769232</v>
      </c>
      <c r="BA323" s="21">
        <v>5</v>
      </c>
      <c r="BB323" s="41">
        <f t="shared" si="146"/>
        <v>5.8823529411764705E-2</v>
      </c>
      <c r="BC323" s="21">
        <v>4</v>
      </c>
      <c r="BD323" s="41">
        <f t="shared" si="165"/>
        <v>0.15384615384615385</v>
      </c>
      <c r="BE323" s="21">
        <v>85</v>
      </c>
      <c r="BF323" s="21">
        <v>26</v>
      </c>
    </row>
    <row r="324" spans="1:58" ht="15.75" customHeight="1" x14ac:dyDescent="0.25">
      <c r="A324" s="44">
        <v>2022</v>
      </c>
      <c r="B324" s="39">
        <v>170650</v>
      </c>
      <c r="C324" s="37" t="str">
        <f>VLOOKUP(B324,procv!$A$2:$D$142,4,FALSE)</f>
        <v>Médio Norte Araguaia</v>
      </c>
      <c r="D324" s="37" t="s">
        <v>49</v>
      </c>
      <c r="E324" s="21">
        <v>2</v>
      </c>
      <c r="F324" s="42">
        <f t="shared" si="147"/>
        <v>1.3245033112582781E-2</v>
      </c>
      <c r="G324" s="21">
        <v>2</v>
      </c>
      <c r="H324" s="42">
        <f t="shared" si="148"/>
        <v>1.8867924528301886E-2</v>
      </c>
      <c r="I324" s="21">
        <v>7</v>
      </c>
      <c r="J324" s="41">
        <f t="shared" si="149"/>
        <v>4.6357615894039736E-2</v>
      </c>
      <c r="K324" s="21">
        <v>6</v>
      </c>
      <c r="L324" s="41">
        <f t="shared" si="150"/>
        <v>5.6603773584905662E-2</v>
      </c>
      <c r="M324" s="21">
        <v>136</v>
      </c>
      <c r="N324" s="41">
        <f t="shared" si="151"/>
        <v>0.90066225165562919</v>
      </c>
      <c r="O324" s="21">
        <v>93</v>
      </c>
      <c r="P324" s="41">
        <f t="shared" si="152"/>
        <v>0.87735849056603776</v>
      </c>
      <c r="Q324" s="21">
        <v>6</v>
      </c>
      <c r="R324" s="41">
        <f t="shared" si="153"/>
        <v>3.9735099337748346E-2</v>
      </c>
      <c r="S324" s="21">
        <v>5</v>
      </c>
      <c r="T324" s="41">
        <f t="shared" si="154"/>
        <v>4.716981132075472E-2</v>
      </c>
      <c r="U324" s="21">
        <v>6</v>
      </c>
      <c r="V324" s="41">
        <f t="shared" si="155"/>
        <v>3.9735099337748346E-2</v>
      </c>
      <c r="W324" s="21">
        <v>5</v>
      </c>
      <c r="X324" s="41">
        <f t="shared" si="156"/>
        <v>4.716981132075472E-2</v>
      </c>
      <c r="Y324" s="21">
        <v>6</v>
      </c>
      <c r="Z324" s="41">
        <f t="shared" si="157"/>
        <v>3.9735099337748346E-2</v>
      </c>
      <c r="AA324" s="21">
        <v>6</v>
      </c>
      <c r="AB324" s="41">
        <f t="shared" si="158"/>
        <v>5.6603773584905662E-2</v>
      </c>
      <c r="AC324" s="21">
        <v>139</v>
      </c>
      <c r="AD324" s="41">
        <f t="shared" si="140"/>
        <v>0.92052980132450335</v>
      </c>
      <c r="AE324" s="21">
        <v>95</v>
      </c>
      <c r="AF324" s="41">
        <f t="shared" si="159"/>
        <v>0.89622641509433965</v>
      </c>
      <c r="AG324" s="21">
        <v>4</v>
      </c>
      <c r="AH324" s="41">
        <f t="shared" si="141"/>
        <v>2.6490066225165563E-2</v>
      </c>
      <c r="AI324" s="21">
        <v>4</v>
      </c>
      <c r="AJ324" s="41">
        <f t="shared" si="160"/>
        <v>3.7735849056603772E-2</v>
      </c>
      <c r="AK324" s="21">
        <v>9</v>
      </c>
      <c r="AL324" s="41">
        <f t="shared" si="142"/>
        <v>5.9602649006622516E-2</v>
      </c>
      <c r="AM324" s="21">
        <v>8</v>
      </c>
      <c r="AN324" s="41">
        <f t="shared" si="161"/>
        <v>7.5471698113207544E-2</v>
      </c>
      <c r="AO324" s="21">
        <v>103</v>
      </c>
      <c r="AP324" s="41">
        <f t="shared" si="143"/>
        <v>0.68211920529801329</v>
      </c>
      <c r="AQ324" s="21">
        <v>67</v>
      </c>
      <c r="AR324" s="41">
        <f t="shared" si="162"/>
        <v>0.63207547169811318</v>
      </c>
      <c r="AS324" s="21">
        <v>24</v>
      </c>
      <c r="AT324" s="41">
        <f t="shared" si="144"/>
        <v>0.15894039735099338</v>
      </c>
      <c r="AU324" s="21">
        <v>17</v>
      </c>
      <c r="AV324" s="41">
        <f t="shared" si="163"/>
        <v>0.16037735849056603</v>
      </c>
      <c r="AW324" s="21">
        <v>7</v>
      </c>
      <c r="AX324" s="41">
        <f t="shared" si="145"/>
        <v>4.6357615894039736E-2</v>
      </c>
      <c r="AY324" s="21">
        <v>6</v>
      </c>
      <c r="AZ324" s="41">
        <f t="shared" si="164"/>
        <v>5.6603773584905662E-2</v>
      </c>
      <c r="BA324" s="21">
        <v>4</v>
      </c>
      <c r="BB324" s="41">
        <f t="shared" si="146"/>
        <v>2.6490066225165563E-2</v>
      </c>
      <c r="BC324" s="21">
        <v>4</v>
      </c>
      <c r="BD324" s="41">
        <f t="shared" si="165"/>
        <v>3.7735849056603772E-2</v>
      </c>
      <c r="BE324" s="21">
        <v>151</v>
      </c>
      <c r="BF324" s="21">
        <v>106</v>
      </c>
    </row>
    <row r="325" spans="1:58" ht="15.75" customHeight="1" x14ac:dyDescent="0.25">
      <c r="A325" s="44">
        <v>2022</v>
      </c>
      <c r="B325" s="39">
        <v>170700</v>
      </c>
      <c r="C325" s="37" t="str">
        <f>VLOOKUP(B325,procv!$A$2:$D$142,4,FALSE)</f>
        <v>Sudeste</v>
      </c>
      <c r="D325" s="37" t="s">
        <v>50</v>
      </c>
      <c r="E325" s="21">
        <v>8</v>
      </c>
      <c r="F325" s="42">
        <f t="shared" si="147"/>
        <v>7.1684587813620072E-3</v>
      </c>
      <c r="G325" s="21">
        <v>4</v>
      </c>
      <c r="H325" s="42">
        <f t="shared" si="148"/>
        <v>1.0526315789473684E-2</v>
      </c>
      <c r="I325" s="21">
        <v>42</v>
      </c>
      <c r="J325" s="41">
        <f t="shared" si="149"/>
        <v>3.7634408602150539E-2</v>
      </c>
      <c r="K325" s="21">
        <v>17</v>
      </c>
      <c r="L325" s="41">
        <f t="shared" si="150"/>
        <v>4.4736842105263158E-2</v>
      </c>
      <c r="M325" s="20">
        <v>1020</v>
      </c>
      <c r="N325" s="41">
        <f t="shared" si="151"/>
        <v>0.91397849462365588</v>
      </c>
      <c r="O325" s="21">
        <v>340</v>
      </c>
      <c r="P325" s="41">
        <f t="shared" si="152"/>
        <v>0.89473684210526316</v>
      </c>
      <c r="Q325" s="21">
        <v>46</v>
      </c>
      <c r="R325" s="41">
        <f t="shared" si="153"/>
        <v>4.1218637992831542E-2</v>
      </c>
      <c r="S325" s="21">
        <v>19</v>
      </c>
      <c r="T325" s="41">
        <f t="shared" si="154"/>
        <v>0.05</v>
      </c>
      <c r="U325" s="21">
        <v>41</v>
      </c>
      <c r="V325" s="41">
        <f t="shared" si="155"/>
        <v>3.6738351254480286E-2</v>
      </c>
      <c r="W325" s="21">
        <v>21</v>
      </c>
      <c r="X325" s="41">
        <f t="shared" si="156"/>
        <v>5.526315789473684E-2</v>
      </c>
      <c r="Y325" s="21">
        <v>78</v>
      </c>
      <c r="Z325" s="41">
        <f t="shared" si="157"/>
        <v>6.9892473118279563E-2</v>
      </c>
      <c r="AA325" s="21">
        <v>43</v>
      </c>
      <c r="AB325" s="41">
        <f t="shared" si="158"/>
        <v>0.11315789473684211</v>
      </c>
      <c r="AC325" s="21">
        <v>997</v>
      </c>
      <c r="AD325" s="41">
        <f t="shared" si="140"/>
        <v>0.89336917562724016</v>
      </c>
      <c r="AE325" s="21">
        <v>316</v>
      </c>
      <c r="AF325" s="41">
        <f t="shared" si="159"/>
        <v>0.83157894736842108</v>
      </c>
      <c r="AG325" s="21">
        <v>29</v>
      </c>
      <c r="AH325" s="41">
        <f t="shared" si="141"/>
        <v>2.5985663082437275E-2</v>
      </c>
      <c r="AI325" s="21">
        <v>22</v>
      </c>
      <c r="AJ325" s="41">
        <f t="shared" si="160"/>
        <v>5.7894736842105263E-2</v>
      </c>
      <c r="AK325" s="21">
        <v>47</v>
      </c>
      <c r="AL325" s="41">
        <f t="shared" si="142"/>
        <v>4.2114695340501794E-2</v>
      </c>
      <c r="AM325" s="21">
        <v>19</v>
      </c>
      <c r="AN325" s="41">
        <f t="shared" si="161"/>
        <v>0.05</v>
      </c>
      <c r="AO325" s="21">
        <v>789</v>
      </c>
      <c r="AP325" s="41">
        <f t="shared" si="143"/>
        <v>0.706989247311828</v>
      </c>
      <c r="AQ325" s="21">
        <v>248</v>
      </c>
      <c r="AR325" s="41">
        <f t="shared" si="162"/>
        <v>0.65263157894736845</v>
      </c>
      <c r="AS325" s="21">
        <v>156</v>
      </c>
      <c r="AT325" s="41">
        <f t="shared" si="144"/>
        <v>0.13978494623655913</v>
      </c>
      <c r="AU325" s="21">
        <v>47</v>
      </c>
      <c r="AV325" s="41">
        <f t="shared" si="163"/>
        <v>0.12368421052631579</v>
      </c>
      <c r="AW325" s="21">
        <v>57</v>
      </c>
      <c r="AX325" s="41">
        <f t="shared" si="145"/>
        <v>5.1075268817204304E-2</v>
      </c>
      <c r="AY325" s="21">
        <v>23</v>
      </c>
      <c r="AZ325" s="41">
        <f t="shared" si="164"/>
        <v>6.0526315789473685E-2</v>
      </c>
      <c r="BA325" s="21">
        <v>38</v>
      </c>
      <c r="BB325" s="41">
        <f t="shared" si="146"/>
        <v>3.4050179211469536E-2</v>
      </c>
      <c r="BC325" s="21">
        <v>21</v>
      </c>
      <c r="BD325" s="41">
        <f t="shared" si="165"/>
        <v>5.526315789473684E-2</v>
      </c>
      <c r="BE325" s="20">
        <v>1116</v>
      </c>
      <c r="BF325" s="21">
        <v>380</v>
      </c>
    </row>
    <row r="326" spans="1:58" ht="15.75" customHeight="1" x14ac:dyDescent="0.25">
      <c r="A326" s="44">
        <v>2022</v>
      </c>
      <c r="B326" s="39">
        <v>170710</v>
      </c>
      <c r="C326" s="37" t="str">
        <f>VLOOKUP(B326,procv!$A$2:$D$142,4,FALSE)</f>
        <v>Cantão</v>
      </c>
      <c r="D326" s="37" t="s">
        <v>51</v>
      </c>
      <c r="E326" s="21">
        <v>6</v>
      </c>
      <c r="F326" s="42">
        <f t="shared" si="147"/>
        <v>1.4184397163120567E-2</v>
      </c>
      <c r="G326" s="21">
        <v>4</v>
      </c>
      <c r="H326" s="42">
        <f t="shared" si="148"/>
        <v>1.9607843137254902E-2</v>
      </c>
      <c r="I326" s="21">
        <v>16</v>
      </c>
      <c r="J326" s="41">
        <f t="shared" si="149"/>
        <v>3.7825059101654845E-2</v>
      </c>
      <c r="K326" s="21">
        <v>8</v>
      </c>
      <c r="L326" s="41">
        <f t="shared" si="150"/>
        <v>3.9215686274509803E-2</v>
      </c>
      <c r="M326" s="21">
        <v>375</v>
      </c>
      <c r="N326" s="41">
        <f t="shared" si="151"/>
        <v>0.88652482269503541</v>
      </c>
      <c r="O326" s="21">
        <v>183</v>
      </c>
      <c r="P326" s="41">
        <f t="shared" si="152"/>
        <v>0.8970588235294118</v>
      </c>
      <c r="Q326" s="21">
        <v>26</v>
      </c>
      <c r="R326" s="41">
        <f t="shared" si="153"/>
        <v>6.1465721040189124E-2</v>
      </c>
      <c r="S326" s="21">
        <v>9</v>
      </c>
      <c r="T326" s="41">
        <f t="shared" si="154"/>
        <v>4.4117647058823532E-2</v>
      </c>
      <c r="U326" s="21">
        <v>22</v>
      </c>
      <c r="V326" s="41">
        <f t="shared" si="155"/>
        <v>5.2009456264775412E-2</v>
      </c>
      <c r="W326" s="21">
        <v>17</v>
      </c>
      <c r="X326" s="41">
        <f t="shared" si="156"/>
        <v>8.3333333333333329E-2</v>
      </c>
      <c r="Y326" s="21">
        <v>25</v>
      </c>
      <c r="Z326" s="41">
        <f t="shared" si="157"/>
        <v>5.9101654846335699E-2</v>
      </c>
      <c r="AA326" s="21">
        <v>13</v>
      </c>
      <c r="AB326" s="41">
        <f t="shared" si="158"/>
        <v>6.3725490196078427E-2</v>
      </c>
      <c r="AC326" s="21">
        <v>376</v>
      </c>
      <c r="AD326" s="41">
        <f t="shared" si="140"/>
        <v>0.88888888888888884</v>
      </c>
      <c r="AE326" s="21">
        <v>174</v>
      </c>
      <c r="AF326" s="41">
        <f t="shared" si="159"/>
        <v>0.8529411764705882</v>
      </c>
      <c r="AG326" s="21">
        <v>18</v>
      </c>
      <c r="AH326" s="41">
        <f t="shared" si="141"/>
        <v>4.2553191489361701E-2</v>
      </c>
      <c r="AI326" s="21">
        <v>16</v>
      </c>
      <c r="AJ326" s="41">
        <f t="shared" si="160"/>
        <v>7.8431372549019607E-2</v>
      </c>
      <c r="AK326" s="21">
        <v>11</v>
      </c>
      <c r="AL326" s="41">
        <f t="shared" si="142"/>
        <v>2.6004728132387706E-2</v>
      </c>
      <c r="AM326" s="21">
        <v>8</v>
      </c>
      <c r="AN326" s="41">
        <f t="shared" si="161"/>
        <v>3.9215686274509803E-2</v>
      </c>
      <c r="AO326" s="21">
        <v>272</v>
      </c>
      <c r="AP326" s="41">
        <f t="shared" si="143"/>
        <v>0.64302600472813243</v>
      </c>
      <c r="AQ326" s="21">
        <v>127</v>
      </c>
      <c r="AR326" s="41">
        <f t="shared" si="162"/>
        <v>0.62254901960784315</v>
      </c>
      <c r="AS326" s="21">
        <v>70</v>
      </c>
      <c r="AT326" s="41">
        <f t="shared" si="144"/>
        <v>0.16548463356973994</v>
      </c>
      <c r="AU326" s="21">
        <v>27</v>
      </c>
      <c r="AV326" s="41">
        <f t="shared" si="163"/>
        <v>0.13235294117647059</v>
      </c>
      <c r="AW326" s="21">
        <v>30</v>
      </c>
      <c r="AX326" s="41">
        <f t="shared" si="145"/>
        <v>7.0921985815602842E-2</v>
      </c>
      <c r="AY326" s="21">
        <v>11</v>
      </c>
      <c r="AZ326" s="41">
        <f t="shared" si="164"/>
        <v>5.3921568627450983E-2</v>
      </c>
      <c r="BA326" s="21">
        <v>22</v>
      </c>
      <c r="BB326" s="41">
        <f t="shared" si="146"/>
        <v>5.2009456264775412E-2</v>
      </c>
      <c r="BC326" s="21">
        <v>15</v>
      </c>
      <c r="BD326" s="41">
        <f t="shared" si="165"/>
        <v>7.3529411764705885E-2</v>
      </c>
      <c r="BE326" s="21">
        <v>423</v>
      </c>
      <c r="BF326" s="21">
        <v>204</v>
      </c>
    </row>
    <row r="327" spans="1:58" ht="15.75" customHeight="1" x14ac:dyDescent="0.25">
      <c r="A327" s="44">
        <v>2022</v>
      </c>
      <c r="B327" s="39">
        <v>170720</v>
      </c>
      <c r="C327" s="37" t="str">
        <f>VLOOKUP(B327,procv!$A$2:$D$142,4,FALSE)</f>
        <v>Cantão</v>
      </c>
      <c r="D327" s="37" t="s">
        <v>52</v>
      </c>
      <c r="E327" s="21">
        <v>6</v>
      </c>
      <c r="F327" s="42">
        <f t="shared" si="147"/>
        <v>1.662049861495845E-2</v>
      </c>
      <c r="G327" s="21">
        <v>2</v>
      </c>
      <c r="H327" s="42">
        <f t="shared" si="148"/>
        <v>9.0497737556561094E-3</v>
      </c>
      <c r="I327" s="21">
        <v>12</v>
      </c>
      <c r="J327" s="41">
        <f t="shared" si="149"/>
        <v>3.3240997229916899E-2</v>
      </c>
      <c r="K327" s="21">
        <v>6</v>
      </c>
      <c r="L327" s="41">
        <f t="shared" si="150"/>
        <v>2.7149321266968326E-2</v>
      </c>
      <c r="M327" s="21">
        <v>320</v>
      </c>
      <c r="N327" s="41">
        <f t="shared" si="151"/>
        <v>0.88642659279778391</v>
      </c>
      <c r="O327" s="21">
        <v>195</v>
      </c>
      <c r="P327" s="41">
        <f t="shared" si="152"/>
        <v>0.88235294117647056</v>
      </c>
      <c r="Q327" s="21">
        <v>23</v>
      </c>
      <c r="R327" s="41">
        <f t="shared" si="153"/>
        <v>6.3711911357340723E-2</v>
      </c>
      <c r="S327" s="21">
        <v>18</v>
      </c>
      <c r="T327" s="41">
        <f t="shared" si="154"/>
        <v>8.1447963800904979E-2</v>
      </c>
      <c r="U327" s="21">
        <v>15</v>
      </c>
      <c r="V327" s="41">
        <f t="shared" si="155"/>
        <v>4.1551246537396121E-2</v>
      </c>
      <c r="W327" s="21">
        <v>8</v>
      </c>
      <c r="X327" s="41">
        <f t="shared" si="156"/>
        <v>3.6199095022624438E-2</v>
      </c>
      <c r="Y327" s="21">
        <v>18</v>
      </c>
      <c r="Z327" s="41">
        <f t="shared" si="157"/>
        <v>4.9861495844875349E-2</v>
      </c>
      <c r="AA327" s="21">
        <v>10</v>
      </c>
      <c r="AB327" s="41">
        <f t="shared" si="158"/>
        <v>4.5248868778280542E-2</v>
      </c>
      <c r="AC327" s="21">
        <v>328</v>
      </c>
      <c r="AD327" s="41">
        <f t="shared" si="140"/>
        <v>0.90858725761772852</v>
      </c>
      <c r="AE327" s="21">
        <v>203</v>
      </c>
      <c r="AF327" s="41">
        <f t="shared" si="159"/>
        <v>0.91855203619909498</v>
      </c>
      <c r="AG327" s="21">
        <v>11</v>
      </c>
      <c r="AH327" s="41">
        <f t="shared" si="141"/>
        <v>3.0470914127423823E-2</v>
      </c>
      <c r="AI327" s="21">
        <v>8</v>
      </c>
      <c r="AJ327" s="41">
        <f t="shared" si="160"/>
        <v>3.6199095022624438E-2</v>
      </c>
      <c r="AK327" s="21">
        <v>7</v>
      </c>
      <c r="AL327" s="41">
        <f t="shared" si="142"/>
        <v>1.9390581717451522E-2</v>
      </c>
      <c r="AM327" s="21">
        <v>4</v>
      </c>
      <c r="AN327" s="41">
        <f t="shared" si="161"/>
        <v>1.8099547511312219E-2</v>
      </c>
      <c r="AO327" s="21">
        <v>215</v>
      </c>
      <c r="AP327" s="41">
        <f t="shared" si="143"/>
        <v>0.59556786703601106</v>
      </c>
      <c r="AQ327" s="21">
        <v>141</v>
      </c>
      <c r="AR327" s="41">
        <f t="shared" si="162"/>
        <v>0.63800904977375561</v>
      </c>
      <c r="AS327" s="21">
        <v>74</v>
      </c>
      <c r="AT327" s="41">
        <f t="shared" si="144"/>
        <v>0.20498614958448755</v>
      </c>
      <c r="AU327" s="21">
        <v>36</v>
      </c>
      <c r="AV327" s="41">
        <f t="shared" si="163"/>
        <v>0.16289592760180996</v>
      </c>
      <c r="AW327" s="21">
        <v>38</v>
      </c>
      <c r="AX327" s="41">
        <f t="shared" si="145"/>
        <v>0.10526315789473684</v>
      </c>
      <c r="AY327" s="21">
        <v>18</v>
      </c>
      <c r="AZ327" s="41">
        <f t="shared" si="164"/>
        <v>8.1447963800904979E-2</v>
      </c>
      <c r="BA327" s="21">
        <v>16</v>
      </c>
      <c r="BB327" s="41">
        <f t="shared" si="146"/>
        <v>4.4321329639889197E-2</v>
      </c>
      <c r="BC327" s="21">
        <v>14</v>
      </c>
      <c r="BD327" s="41">
        <f t="shared" si="165"/>
        <v>6.3348416289592757E-2</v>
      </c>
      <c r="BE327" s="21">
        <v>361</v>
      </c>
      <c r="BF327" s="21">
        <v>221</v>
      </c>
    </row>
    <row r="328" spans="1:58" ht="15.75" customHeight="1" x14ac:dyDescent="0.25">
      <c r="A328" s="44">
        <v>2022</v>
      </c>
      <c r="B328" s="39">
        <v>170730</v>
      </c>
      <c r="C328" s="37" t="str">
        <f>VLOOKUP(B328,procv!$A$2:$D$142,4,FALSE)</f>
        <v>Ilha do Bananal</v>
      </c>
      <c r="D328" s="37" t="s">
        <v>53</v>
      </c>
      <c r="E328" s="21">
        <v>0</v>
      </c>
      <c r="F328" s="42">
        <f t="shared" si="147"/>
        <v>0</v>
      </c>
      <c r="G328" s="21">
        <v>0</v>
      </c>
      <c r="H328" s="42">
        <f t="shared" si="148"/>
        <v>0</v>
      </c>
      <c r="I328" s="21">
        <v>4</v>
      </c>
      <c r="J328" s="41">
        <f t="shared" si="149"/>
        <v>1.9801980198019802E-2</v>
      </c>
      <c r="K328" s="21">
        <v>2</v>
      </c>
      <c r="L328" s="41">
        <f t="shared" si="150"/>
        <v>1.9801980198019802E-2</v>
      </c>
      <c r="M328" s="21">
        <v>188</v>
      </c>
      <c r="N328" s="41">
        <f t="shared" si="151"/>
        <v>0.93069306930693074</v>
      </c>
      <c r="O328" s="21">
        <v>94</v>
      </c>
      <c r="P328" s="41">
        <f t="shared" si="152"/>
        <v>0.93069306930693074</v>
      </c>
      <c r="Q328" s="21">
        <v>10</v>
      </c>
      <c r="R328" s="41">
        <f t="shared" si="153"/>
        <v>4.9504950495049507E-2</v>
      </c>
      <c r="S328" s="21">
        <v>5</v>
      </c>
      <c r="T328" s="41">
        <f t="shared" si="154"/>
        <v>4.9504950495049507E-2</v>
      </c>
      <c r="U328" s="21">
        <v>6</v>
      </c>
      <c r="V328" s="41">
        <f t="shared" si="155"/>
        <v>2.9702970297029702E-2</v>
      </c>
      <c r="W328" s="21">
        <v>3</v>
      </c>
      <c r="X328" s="41">
        <f t="shared" si="156"/>
        <v>2.9702970297029702E-2</v>
      </c>
      <c r="Y328" s="21">
        <v>9</v>
      </c>
      <c r="Z328" s="41">
        <f t="shared" si="157"/>
        <v>4.4554455445544552E-2</v>
      </c>
      <c r="AA328" s="21">
        <v>7</v>
      </c>
      <c r="AB328" s="41">
        <f t="shared" si="158"/>
        <v>6.9306930693069313E-2</v>
      </c>
      <c r="AC328" s="21">
        <v>187</v>
      </c>
      <c r="AD328" s="41">
        <f t="shared" si="140"/>
        <v>0.92574257425742579</v>
      </c>
      <c r="AE328" s="21">
        <v>91</v>
      </c>
      <c r="AF328" s="41">
        <f t="shared" si="159"/>
        <v>0.90099009900990101</v>
      </c>
      <c r="AG328" s="21">
        <v>4</v>
      </c>
      <c r="AH328" s="41">
        <f t="shared" si="141"/>
        <v>1.9801980198019802E-2</v>
      </c>
      <c r="AI328" s="21">
        <v>3</v>
      </c>
      <c r="AJ328" s="41">
        <f t="shared" si="160"/>
        <v>2.9702970297029702E-2</v>
      </c>
      <c r="AK328" s="21">
        <v>12</v>
      </c>
      <c r="AL328" s="41">
        <f t="shared" si="142"/>
        <v>5.9405940594059403E-2</v>
      </c>
      <c r="AM328" s="21">
        <v>8</v>
      </c>
      <c r="AN328" s="41">
        <f t="shared" si="161"/>
        <v>7.9207920792079209E-2</v>
      </c>
      <c r="AO328" s="21">
        <v>132</v>
      </c>
      <c r="AP328" s="41">
        <f t="shared" si="143"/>
        <v>0.65346534653465349</v>
      </c>
      <c r="AQ328" s="21">
        <v>67</v>
      </c>
      <c r="AR328" s="41">
        <f t="shared" si="162"/>
        <v>0.6633663366336634</v>
      </c>
      <c r="AS328" s="21">
        <v>36</v>
      </c>
      <c r="AT328" s="41">
        <f t="shared" si="144"/>
        <v>0.17821782178217821</v>
      </c>
      <c r="AU328" s="21">
        <v>15</v>
      </c>
      <c r="AV328" s="41">
        <f t="shared" si="163"/>
        <v>0.14851485148514851</v>
      </c>
      <c r="AW328" s="21">
        <v>7</v>
      </c>
      <c r="AX328" s="41">
        <f t="shared" si="145"/>
        <v>3.4653465346534656E-2</v>
      </c>
      <c r="AY328" s="21">
        <v>2</v>
      </c>
      <c r="AZ328" s="41">
        <f t="shared" si="164"/>
        <v>1.9801980198019802E-2</v>
      </c>
      <c r="BA328" s="21">
        <v>11</v>
      </c>
      <c r="BB328" s="41">
        <f t="shared" si="146"/>
        <v>5.4455445544554455E-2</v>
      </c>
      <c r="BC328" s="21">
        <v>6</v>
      </c>
      <c r="BD328" s="41">
        <f t="shared" si="165"/>
        <v>5.9405940594059403E-2</v>
      </c>
      <c r="BE328" s="21">
        <v>202</v>
      </c>
      <c r="BF328" s="21">
        <v>101</v>
      </c>
    </row>
    <row r="329" spans="1:58" ht="15.75" customHeight="1" x14ac:dyDescent="0.25">
      <c r="A329" s="44">
        <v>2022</v>
      </c>
      <c r="B329" s="39">
        <v>170740</v>
      </c>
      <c r="C329" s="37" t="str">
        <f>VLOOKUP(B329,procv!$A$2:$D$142,4,FALSE)</f>
        <v>Bico do Papagaio</v>
      </c>
      <c r="D329" s="37" t="s">
        <v>54</v>
      </c>
      <c r="E329" s="21">
        <v>7</v>
      </c>
      <c r="F329" s="42">
        <f t="shared" si="147"/>
        <v>1.0115606936416185E-2</v>
      </c>
      <c r="G329" s="21">
        <v>12</v>
      </c>
      <c r="H329" s="42">
        <f t="shared" si="148"/>
        <v>2.8503562945368172E-2</v>
      </c>
      <c r="I329" s="21">
        <v>31</v>
      </c>
      <c r="J329" s="41">
        <f t="shared" si="149"/>
        <v>4.4797687861271675E-2</v>
      </c>
      <c r="K329" s="21">
        <v>18</v>
      </c>
      <c r="L329" s="41">
        <f t="shared" si="150"/>
        <v>4.2755344418052253E-2</v>
      </c>
      <c r="M329" s="21">
        <v>618</v>
      </c>
      <c r="N329" s="41">
        <f t="shared" si="151"/>
        <v>0.89306358381502893</v>
      </c>
      <c r="O329" s="21">
        <v>369</v>
      </c>
      <c r="P329" s="41">
        <f t="shared" si="152"/>
        <v>0.87648456057007129</v>
      </c>
      <c r="Q329" s="21">
        <v>36</v>
      </c>
      <c r="R329" s="41">
        <f t="shared" si="153"/>
        <v>5.2023121387283239E-2</v>
      </c>
      <c r="S329" s="21">
        <v>22</v>
      </c>
      <c r="T329" s="41">
        <f t="shared" si="154"/>
        <v>5.2256532066508314E-2</v>
      </c>
      <c r="U329" s="21">
        <v>32</v>
      </c>
      <c r="V329" s="41">
        <f t="shared" si="155"/>
        <v>4.6242774566473986E-2</v>
      </c>
      <c r="W329" s="21">
        <v>27</v>
      </c>
      <c r="X329" s="41">
        <f t="shared" si="156"/>
        <v>6.413301662707839E-2</v>
      </c>
      <c r="Y329" s="21">
        <v>53</v>
      </c>
      <c r="Z329" s="41">
        <f t="shared" si="157"/>
        <v>7.6589595375722547E-2</v>
      </c>
      <c r="AA329" s="21">
        <v>34</v>
      </c>
      <c r="AB329" s="41">
        <f t="shared" si="158"/>
        <v>8.076009501187649E-2</v>
      </c>
      <c r="AC329" s="21">
        <v>607</v>
      </c>
      <c r="AD329" s="41">
        <f t="shared" si="140"/>
        <v>0.87716763005780352</v>
      </c>
      <c r="AE329" s="21">
        <v>360</v>
      </c>
      <c r="AF329" s="41">
        <f t="shared" si="159"/>
        <v>0.85510688836104509</v>
      </c>
      <c r="AG329" s="21">
        <v>31</v>
      </c>
      <c r="AH329" s="41">
        <f t="shared" si="141"/>
        <v>4.4797687861271675E-2</v>
      </c>
      <c r="AI329" s="21">
        <v>36</v>
      </c>
      <c r="AJ329" s="41">
        <f t="shared" si="160"/>
        <v>8.5510688836104506E-2</v>
      </c>
      <c r="AK329" s="21">
        <v>36</v>
      </c>
      <c r="AL329" s="41">
        <f t="shared" si="142"/>
        <v>5.2023121387283239E-2</v>
      </c>
      <c r="AM329" s="21">
        <v>28</v>
      </c>
      <c r="AN329" s="41">
        <f t="shared" si="161"/>
        <v>6.6508313539192399E-2</v>
      </c>
      <c r="AO329" s="21">
        <v>466</v>
      </c>
      <c r="AP329" s="41">
        <f t="shared" si="143"/>
        <v>0.67341040462427748</v>
      </c>
      <c r="AQ329" s="21">
        <v>271</v>
      </c>
      <c r="AR329" s="41">
        <f t="shared" si="162"/>
        <v>0.6437054631828979</v>
      </c>
      <c r="AS329" s="21">
        <v>96</v>
      </c>
      <c r="AT329" s="41">
        <f t="shared" si="144"/>
        <v>0.13872832369942195</v>
      </c>
      <c r="AU329" s="21">
        <v>44</v>
      </c>
      <c r="AV329" s="41">
        <f t="shared" si="163"/>
        <v>0.10451306413301663</v>
      </c>
      <c r="AW329" s="21">
        <v>42</v>
      </c>
      <c r="AX329" s="41">
        <f t="shared" si="145"/>
        <v>6.0693641618497107E-2</v>
      </c>
      <c r="AY329" s="21">
        <v>27</v>
      </c>
      <c r="AZ329" s="41">
        <f t="shared" si="164"/>
        <v>6.413301662707839E-2</v>
      </c>
      <c r="BA329" s="21">
        <v>21</v>
      </c>
      <c r="BB329" s="41">
        <f t="shared" si="146"/>
        <v>3.0346820809248554E-2</v>
      </c>
      <c r="BC329" s="21">
        <v>15</v>
      </c>
      <c r="BD329" s="41">
        <f t="shared" si="165"/>
        <v>3.5629453681710214E-2</v>
      </c>
      <c r="BE329" s="21">
        <v>692</v>
      </c>
      <c r="BF329" s="21">
        <v>421</v>
      </c>
    </row>
    <row r="330" spans="1:58" ht="15.75" customHeight="1" x14ac:dyDescent="0.25">
      <c r="A330" s="44">
        <v>2022</v>
      </c>
      <c r="B330" s="39">
        <v>170755</v>
      </c>
      <c r="C330" s="37" t="str">
        <f>VLOOKUP(B330,procv!$A$2:$D$142,4,FALSE)</f>
        <v>Amor Perfeito</v>
      </c>
      <c r="D330" s="37" t="s">
        <v>55</v>
      </c>
      <c r="E330" s="21">
        <v>0</v>
      </c>
      <c r="F330" s="42">
        <f t="shared" si="147"/>
        <v>0</v>
      </c>
      <c r="G330" s="21">
        <v>0</v>
      </c>
      <c r="H330" s="42">
        <f t="shared" si="148"/>
        <v>0</v>
      </c>
      <c r="I330" s="21">
        <v>0</v>
      </c>
      <c r="J330" s="41">
        <f t="shared" si="149"/>
        <v>0</v>
      </c>
      <c r="K330" s="21">
        <v>0</v>
      </c>
      <c r="L330" s="41">
        <f t="shared" si="150"/>
        <v>0</v>
      </c>
      <c r="M330" s="21">
        <v>185</v>
      </c>
      <c r="N330" s="41">
        <f t="shared" si="151"/>
        <v>0.96858638743455494</v>
      </c>
      <c r="O330" s="21">
        <v>105</v>
      </c>
      <c r="P330" s="41">
        <f t="shared" si="152"/>
        <v>0.97222222222222221</v>
      </c>
      <c r="Q330" s="21">
        <v>6</v>
      </c>
      <c r="R330" s="41">
        <f t="shared" si="153"/>
        <v>3.1413612565445025E-2</v>
      </c>
      <c r="S330" s="21">
        <v>3</v>
      </c>
      <c r="T330" s="41">
        <f t="shared" si="154"/>
        <v>2.7777777777777776E-2</v>
      </c>
      <c r="U330" s="21">
        <v>4</v>
      </c>
      <c r="V330" s="41">
        <f t="shared" si="155"/>
        <v>2.0942408376963352E-2</v>
      </c>
      <c r="W330" s="21">
        <v>2</v>
      </c>
      <c r="X330" s="41">
        <f t="shared" si="156"/>
        <v>1.8518518518518517E-2</v>
      </c>
      <c r="Y330" s="21">
        <v>21</v>
      </c>
      <c r="Z330" s="41">
        <f t="shared" si="157"/>
        <v>0.1099476439790576</v>
      </c>
      <c r="AA330" s="21">
        <v>17</v>
      </c>
      <c r="AB330" s="41">
        <f t="shared" si="158"/>
        <v>0.15740740740740741</v>
      </c>
      <c r="AC330" s="21">
        <v>166</v>
      </c>
      <c r="AD330" s="41">
        <f t="shared" si="140"/>
        <v>0.86910994764397909</v>
      </c>
      <c r="AE330" s="21">
        <v>89</v>
      </c>
      <c r="AF330" s="41">
        <f t="shared" si="159"/>
        <v>0.82407407407407407</v>
      </c>
      <c r="AG330" s="21">
        <v>2</v>
      </c>
      <c r="AH330" s="41">
        <f t="shared" si="141"/>
        <v>1.0471204188481676E-2</v>
      </c>
      <c r="AI330" s="21">
        <v>2</v>
      </c>
      <c r="AJ330" s="41">
        <f t="shared" si="160"/>
        <v>1.8518518518518517E-2</v>
      </c>
      <c r="AK330" s="21">
        <v>3</v>
      </c>
      <c r="AL330" s="41">
        <f t="shared" si="142"/>
        <v>1.5706806282722512E-2</v>
      </c>
      <c r="AM330" s="21">
        <v>2</v>
      </c>
      <c r="AN330" s="41">
        <f t="shared" si="161"/>
        <v>1.8518518518518517E-2</v>
      </c>
      <c r="AO330" s="21">
        <v>119</v>
      </c>
      <c r="AP330" s="41">
        <f t="shared" si="143"/>
        <v>0.62303664921465973</v>
      </c>
      <c r="AQ330" s="21">
        <v>69</v>
      </c>
      <c r="AR330" s="41">
        <f t="shared" si="162"/>
        <v>0.63888888888888884</v>
      </c>
      <c r="AS330" s="21">
        <v>45</v>
      </c>
      <c r="AT330" s="41">
        <f t="shared" si="144"/>
        <v>0.2356020942408377</v>
      </c>
      <c r="AU330" s="21">
        <v>24</v>
      </c>
      <c r="AV330" s="41">
        <f t="shared" si="163"/>
        <v>0.22222222222222221</v>
      </c>
      <c r="AW330" s="21">
        <v>15</v>
      </c>
      <c r="AX330" s="41">
        <f t="shared" si="145"/>
        <v>7.8534031413612565E-2</v>
      </c>
      <c r="AY330" s="21">
        <v>7</v>
      </c>
      <c r="AZ330" s="41">
        <f t="shared" si="164"/>
        <v>6.4814814814814811E-2</v>
      </c>
      <c r="BA330" s="21">
        <v>7</v>
      </c>
      <c r="BB330" s="41">
        <f t="shared" si="146"/>
        <v>3.6649214659685861E-2</v>
      </c>
      <c r="BC330" s="21">
        <v>4</v>
      </c>
      <c r="BD330" s="41">
        <f t="shared" si="165"/>
        <v>3.7037037037037035E-2</v>
      </c>
      <c r="BE330" s="21">
        <v>191</v>
      </c>
      <c r="BF330" s="21">
        <v>108</v>
      </c>
    </row>
    <row r="331" spans="1:58" ht="15.75" customHeight="1" x14ac:dyDescent="0.25">
      <c r="A331" s="44">
        <v>2022</v>
      </c>
      <c r="B331" s="39">
        <v>170765</v>
      </c>
      <c r="C331" s="37" t="str">
        <f>VLOOKUP(B331,procv!$A$2:$D$142,4,FALSE)</f>
        <v>Ilha do Bananal</v>
      </c>
      <c r="D331" s="37" t="s">
        <v>56</v>
      </c>
      <c r="E331" s="21">
        <v>0</v>
      </c>
      <c r="F331" s="42">
        <f t="shared" si="147"/>
        <v>0</v>
      </c>
      <c r="G331" s="21">
        <v>0</v>
      </c>
      <c r="H331" s="42">
        <f t="shared" si="148"/>
        <v>0</v>
      </c>
      <c r="I331" s="21">
        <v>9</v>
      </c>
      <c r="J331" s="41">
        <f t="shared" si="149"/>
        <v>2.9801324503311258E-2</v>
      </c>
      <c r="K331" s="21">
        <v>3</v>
      </c>
      <c r="L331" s="41">
        <f t="shared" si="150"/>
        <v>2.6548672566371681E-2</v>
      </c>
      <c r="M331" s="21">
        <v>265</v>
      </c>
      <c r="N331" s="41">
        <f t="shared" si="151"/>
        <v>0.87748344370860931</v>
      </c>
      <c r="O331" s="21">
        <v>102</v>
      </c>
      <c r="P331" s="41">
        <f t="shared" si="152"/>
        <v>0.90265486725663713</v>
      </c>
      <c r="Q331" s="21">
        <v>28</v>
      </c>
      <c r="R331" s="41">
        <f t="shared" si="153"/>
        <v>9.2715231788079472E-2</v>
      </c>
      <c r="S331" s="21">
        <v>8</v>
      </c>
      <c r="T331" s="41">
        <f t="shared" si="154"/>
        <v>7.0796460176991149E-2</v>
      </c>
      <c r="U331" s="21">
        <v>13</v>
      </c>
      <c r="V331" s="41">
        <f t="shared" si="155"/>
        <v>4.3046357615894038E-2</v>
      </c>
      <c r="W331" s="21">
        <v>7</v>
      </c>
      <c r="X331" s="41">
        <f t="shared" si="156"/>
        <v>6.1946902654867256E-2</v>
      </c>
      <c r="Y331" s="21">
        <v>23</v>
      </c>
      <c r="Z331" s="41">
        <f t="shared" si="157"/>
        <v>7.6158940397350994E-2</v>
      </c>
      <c r="AA331" s="21">
        <v>7</v>
      </c>
      <c r="AB331" s="41">
        <f t="shared" si="158"/>
        <v>6.1946902654867256E-2</v>
      </c>
      <c r="AC331" s="21">
        <v>266</v>
      </c>
      <c r="AD331" s="41">
        <f t="shared" si="140"/>
        <v>0.88079470198675491</v>
      </c>
      <c r="AE331" s="21">
        <v>99</v>
      </c>
      <c r="AF331" s="41">
        <f t="shared" si="159"/>
        <v>0.87610619469026552</v>
      </c>
      <c r="AG331" s="21">
        <v>2</v>
      </c>
      <c r="AH331" s="41">
        <f t="shared" si="141"/>
        <v>6.6225165562913907E-3</v>
      </c>
      <c r="AI331" s="21">
        <v>2</v>
      </c>
      <c r="AJ331" s="41">
        <f t="shared" si="160"/>
        <v>1.7699115044247787E-2</v>
      </c>
      <c r="AK331" s="21">
        <v>6</v>
      </c>
      <c r="AL331" s="41">
        <f t="shared" si="142"/>
        <v>1.9867549668874173E-2</v>
      </c>
      <c r="AM331" s="21">
        <v>6</v>
      </c>
      <c r="AN331" s="41">
        <f t="shared" si="161"/>
        <v>5.3097345132743362E-2</v>
      </c>
      <c r="AO331" s="21">
        <v>184</v>
      </c>
      <c r="AP331" s="41">
        <f t="shared" si="143"/>
        <v>0.60927152317880795</v>
      </c>
      <c r="AQ331" s="21">
        <v>76</v>
      </c>
      <c r="AR331" s="41">
        <f t="shared" si="162"/>
        <v>0.67256637168141598</v>
      </c>
      <c r="AS331" s="21">
        <v>57</v>
      </c>
      <c r="AT331" s="41">
        <f t="shared" si="144"/>
        <v>0.18874172185430463</v>
      </c>
      <c r="AU331" s="21">
        <v>17</v>
      </c>
      <c r="AV331" s="41">
        <f t="shared" si="163"/>
        <v>0.15044247787610621</v>
      </c>
      <c r="AW331" s="21">
        <v>29</v>
      </c>
      <c r="AX331" s="41">
        <f t="shared" si="145"/>
        <v>9.602649006622517E-2</v>
      </c>
      <c r="AY331" s="21">
        <v>3</v>
      </c>
      <c r="AZ331" s="41">
        <f t="shared" si="164"/>
        <v>2.6548672566371681E-2</v>
      </c>
      <c r="BA331" s="21">
        <v>24</v>
      </c>
      <c r="BB331" s="41">
        <f t="shared" si="146"/>
        <v>7.9470198675496692E-2</v>
      </c>
      <c r="BC331" s="21">
        <v>9</v>
      </c>
      <c r="BD331" s="41">
        <f t="shared" si="165"/>
        <v>7.9646017699115043E-2</v>
      </c>
      <c r="BE331" s="21">
        <v>302</v>
      </c>
      <c r="BF331" s="21">
        <v>113</v>
      </c>
    </row>
    <row r="332" spans="1:58" ht="15.75" customHeight="1" x14ac:dyDescent="0.25">
      <c r="A332" s="44">
        <v>2022</v>
      </c>
      <c r="B332" s="39">
        <v>170770</v>
      </c>
      <c r="C332" s="37" t="str">
        <f>VLOOKUP(B332,procv!$A$2:$D$142,4,FALSE)</f>
        <v>Médio Norte Araguaia</v>
      </c>
      <c r="D332" s="37" t="s">
        <v>57</v>
      </c>
      <c r="E332" s="21">
        <v>2</v>
      </c>
      <c r="F332" s="42">
        <f t="shared" si="147"/>
        <v>4.0322580645161289E-3</v>
      </c>
      <c r="G332" s="21">
        <v>2</v>
      </c>
      <c r="H332" s="42">
        <f t="shared" si="148"/>
        <v>6.3291139240506328E-3</v>
      </c>
      <c r="I332" s="21">
        <v>9</v>
      </c>
      <c r="J332" s="41">
        <f t="shared" si="149"/>
        <v>1.8145161290322582E-2</v>
      </c>
      <c r="K332" s="21">
        <v>12</v>
      </c>
      <c r="L332" s="41">
        <f t="shared" si="150"/>
        <v>3.7974683544303799E-2</v>
      </c>
      <c r="M332" s="21">
        <v>469</v>
      </c>
      <c r="N332" s="41">
        <f t="shared" si="151"/>
        <v>0.94556451612903225</v>
      </c>
      <c r="O332" s="21">
        <v>289</v>
      </c>
      <c r="P332" s="41">
        <f t="shared" si="152"/>
        <v>0.91455696202531644</v>
      </c>
      <c r="Q332" s="21">
        <v>16</v>
      </c>
      <c r="R332" s="41">
        <f t="shared" si="153"/>
        <v>3.2258064516129031E-2</v>
      </c>
      <c r="S332" s="21">
        <v>13</v>
      </c>
      <c r="T332" s="41">
        <f t="shared" si="154"/>
        <v>4.1139240506329111E-2</v>
      </c>
      <c r="U332" s="21">
        <v>26</v>
      </c>
      <c r="V332" s="41">
        <f t="shared" si="155"/>
        <v>5.2419354838709679E-2</v>
      </c>
      <c r="W332" s="21">
        <v>20</v>
      </c>
      <c r="X332" s="41">
        <f t="shared" si="156"/>
        <v>6.3291139240506333E-2</v>
      </c>
      <c r="Y332" s="21">
        <v>44</v>
      </c>
      <c r="Z332" s="41">
        <f t="shared" si="157"/>
        <v>8.8709677419354843E-2</v>
      </c>
      <c r="AA332" s="21">
        <v>38</v>
      </c>
      <c r="AB332" s="41">
        <f t="shared" si="158"/>
        <v>0.12025316455696203</v>
      </c>
      <c r="AC332" s="21">
        <v>426</v>
      </c>
      <c r="AD332" s="41">
        <f t="shared" si="140"/>
        <v>0.8588709677419355</v>
      </c>
      <c r="AE332" s="21">
        <v>258</v>
      </c>
      <c r="AF332" s="41">
        <f t="shared" si="159"/>
        <v>0.81645569620253167</v>
      </c>
      <c r="AG332" s="21">
        <v>6</v>
      </c>
      <c r="AH332" s="41">
        <f t="shared" si="141"/>
        <v>1.2096774193548387E-2</v>
      </c>
      <c r="AI332" s="21">
        <v>3</v>
      </c>
      <c r="AJ332" s="41">
        <f t="shared" si="160"/>
        <v>9.4936708860759497E-3</v>
      </c>
      <c r="AK332" s="21">
        <v>9</v>
      </c>
      <c r="AL332" s="41">
        <f t="shared" si="142"/>
        <v>1.8145161290322582E-2</v>
      </c>
      <c r="AM332" s="21">
        <v>9</v>
      </c>
      <c r="AN332" s="41">
        <f t="shared" si="161"/>
        <v>2.8481012658227847E-2</v>
      </c>
      <c r="AO332" s="21">
        <v>345</v>
      </c>
      <c r="AP332" s="41">
        <f t="shared" si="143"/>
        <v>0.69556451612903225</v>
      </c>
      <c r="AQ332" s="21">
        <v>225</v>
      </c>
      <c r="AR332" s="41">
        <f t="shared" si="162"/>
        <v>0.71202531645569622</v>
      </c>
      <c r="AS332" s="21">
        <v>84</v>
      </c>
      <c r="AT332" s="41">
        <f t="shared" si="144"/>
        <v>0.16935483870967741</v>
      </c>
      <c r="AU332" s="21">
        <v>45</v>
      </c>
      <c r="AV332" s="41">
        <f t="shared" si="163"/>
        <v>0.14240506329113925</v>
      </c>
      <c r="AW332" s="21">
        <v>26</v>
      </c>
      <c r="AX332" s="41">
        <f t="shared" si="145"/>
        <v>5.2419354838709679E-2</v>
      </c>
      <c r="AY332" s="21">
        <v>10</v>
      </c>
      <c r="AZ332" s="41">
        <f t="shared" si="164"/>
        <v>3.1645569620253167E-2</v>
      </c>
      <c r="BA332" s="21">
        <v>26</v>
      </c>
      <c r="BB332" s="41">
        <f t="shared" si="146"/>
        <v>5.2419354838709679E-2</v>
      </c>
      <c r="BC332" s="21">
        <v>24</v>
      </c>
      <c r="BD332" s="41">
        <f t="shared" si="165"/>
        <v>7.5949367088607597E-2</v>
      </c>
      <c r="BE332" s="21">
        <v>496</v>
      </c>
      <c r="BF332" s="21">
        <v>316</v>
      </c>
    </row>
    <row r="333" spans="1:58" ht="15.75" customHeight="1" x14ac:dyDescent="0.25">
      <c r="A333" s="44">
        <v>2022</v>
      </c>
      <c r="B333" s="39">
        <v>170820</v>
      </c>
      <c r="C333" s="37" t="str">
        <f>VLOOKUP(B333,procv!$A$2:$D$142,4,FALSE)</f>
        <v>Ilha do Bananal</v>
      </c>
      <c r="D333" s="37" t="s">
        <v>58</v>
      </c>
      <c r="E333" s="21">
        <v>2</v>
      </c>
      <c r="F333" s="42">
        <f t="shared" si="147"/>
        <v>3.3557046979865771E-3</v>
      </c>
      <c r="G333" s="21">
        <v>1</v>
      </c>
      <c r="H333" s="42">
        <f t="shared" si="148"/>
        <v>1.9342359767891683E-3</v>
      </c>
      <c r="I333" s="21">
        <v>16</v>
      </c>
      <c r="J333" s="41">
        <f t="shared" si="149"/>
        <v>2.6845637583892617E-2</v>
      </c>
      <c r="K333" s="21">
        <v>13</v>
      </c>
      <c r="L333" s="41">
        <f t="shared" si="150"/>
        <v>2.5145067698259187E-2</v>
      </c>
      <c r="M333" s="21">
        <v>527</v>
      </c>
      <c r="N333" s="41">
        <f t="shared" si="151"/>
        <v>0.88422818791946312</v>
      </c>
      <c r="O333" s="21">
        <v>457</v>
      </c>
      <c r="P333" s="41">
        <f t="shared" si="152"/>
        <v>0.88394584139264987</v>
      </c>
      <c r="Q333" s="21">
        <v>51</v>
      </c>
      <c r="R333" s="41">
        <f t="shared" si="153"/>
        <v>8.557046979865772E-2</v>
      </c>
      <c r="S333" s="21">
        <v>46</v>
      </c>
      <c r="T333" s="41">
        <f t="shared" si="154"/>
        <v>8.8974854932301742E-2</v>
      </c>
      <c r="U333" s="21">
        <v>22</v>
      </c>
      <c r="V333" s="41">
        <f t="shared" si="155"/>
        <v>3.6912751677852351E-2</v>
      </c>
      <c r="W333" s="21">
        <v>16</v>
      </c>
      <c r="X333" s="41">
        <f t="shared" si="156"/>
        <v>3.0947775628626693E-2</v>
      </c>
      <c r="Y333" s="21">
        <v>43</v>
      </c>
      <c r="Z333" s="41">
        <f t="shared" si="157"/>
        <v>7.2147651006711416E-2</v>
      </c>
      <c r="AA333" s="21">
        <v>37</v>
      </c>
      <c r="AB333" s="41">
        <f t="shared" si="158"/>
        <v>7.1566731141199227E-2</v>
      </c>
      <c r="AC333" s="21">
        <v>531</v>
      </c>
      <c r="AD333" s="41">
        <f t="shared" si="140"/>
        <v>0.89093959731543626</v>
      </c>
      <c r="AE333" s="21">
        <v>464</v>
      </c>
      <c r="AF333" s="41">
        <f t="shared" si="159"/>
        <v>0.89748549323017413</v>
      </c>
      <c r="AG333" s="21">
        <v>31</v>
      </c>
      <c r="AH333" s="41">
        <f t="shared" si="141"/>
        <v>5.2013422818791948E-2</v>
      </c>
      <c r="AI333" s="21">
        <v>29</v>
      </c>
      <c r="AJ333" s="41">
        <f t="shared" si="160"/>
        <v>5.6092843326885883E-2</v>
      </c>
      <c r="AK333" s="21">
        <v>21</v>
      </c>
      <c r="AL333" s="41">
        <f t="shared" si="142"/>
        <v>3.5234899328859058E-2</v>
      </c>
      <c r="AM333" s="21">
        <v>20</v>
      </c>
      <c r="AN333" s="41">
        <f t="shared" si="161"/>
        <v>3.8684719535783368E-2</v>
      </c>
      <c r="AO333" s="21">
        <v>384</v>
      </c>
      <c r="AP333" s="41">
        <f t="shared" si="143"/>
        <v>0.64429530201342278</v>
      </c>
      <c r="AQ333" s="21">
        <v>341</v>
      </c>
      <c r="AR333" s="41">
        <f t="shared" si="162"/>
        <v>0.65957446808510634</v>
      </c>
      <c r="AS333" s="21">
        <v>91</v>
      </c>
      <c r="AT333" s="41">
        <f t="shared" si="144"/>
        <v>0.15268456375838926</v>
      </c>
      <c r="AU333" s="21">
        <v>67</v>
      </c>
      <c r="AV333" s="41">
        <f t="shared" si="163"/>
        <v>0.12959381044487428</v>
      </c>
      <c r="AW333" s="21">
        <v>39</v>
      </c>
      <c r="AX333" s="41">
        <f t="shared" si="145"/>
        <v>6.5436241610738258E-2</v>
      </c>
      <c r="AY333" s="21">
        <v>33</v>
      </c>
      <c r="AZ333" s="41">
        <f t="shared" si="164"/>
        <v>6.3829787234042548E-2</v>
      </c>
      <c r="BA333" s="21">
        <v>30</v>
      </c>
      <c r="BB333" s="41">
        <f t="shared" si="146"/>
        <v>5.0335570469798654E-2</v>
      </c>
      <c r="BC333" s="21">
        <v>27</v>
      </c>
      <c r="BD333" s="41">
        <f t="shared" si="165"/>
        <v>5.2224371373307543E-2</v>
      </c>
      <c r="BE333" s="21">
        <v>596</v>
      </c>
      <c r="BF333" s="21">
        <v>517</v>
      </c>
    </row>
    <row r="334" spans="1:58" ht="15.75" customHeight="1" x14ac:dyDescent="0.25">
      <c r="A334" s="44">
        <v>2022</v>
      </c>
      <c r="B334" s="39">
        <v>170830</v>
      </c>
      <c r="C334" s="37" t="str">
        <f>VLOOKUP(B334,procv!$A$2:$D$142,4,FALSE)</f>
        <v>Cerrado Tocantins Araguaia</v>
      </c>
      <c r="D334" s="37" t="s">
        <v>59</v>
      </c>
      <c r="E334" s="21">
        <v>1</v>
      </c>
      <c r="F334" s="42">
        <f t="shared" si="147"/>
        <v>4.5248868778280547E-3</v>
      </c>
      <c r="G334" s="21">
        <v>0</v>
      </c>
      <c r="H334" s="42">
        <f t="shared" si="148"/>
        <v>0</v>
      </c>
      <c r="I334" s="21">
        <v>7</v>
      </c>
      <c r="J334" s="41">
        <f t="shared" si="149"/>
        <v>3.1674208144796379E-2</v>
      </c>
      <c r="K334" s="21">
        <v>4</v>
      </c>
      <c r="L334" s="41">
        <f t="shared" si="150"/>
        <v>2.8169014084507043E-2</v>
      </c>
      <c r="M334" s="21">
        <v>193</v>
      </c>
      <c r="N334" s="41">
        <f t="shared" si="151"/>
        <v>0.87330316742081449</v>
      </c>
      <c r="O334" s="21">
        <v>124</v>
      </c>
      <c r="P334" s="41">
        <f t="shared" si="152"/>
        <v>0.87323943661971826</v>
      </c>
      <c r="Q334" s="21">
        <v>20</v>
      </c>
      <c r="R334" s="41">
        <f t="shared" si="153"/>
        <v>9.0497737556561084E-2</v>
      </c>
      <c r="S334" s="21">
        <v>14</v>
      </c>
      <c r="T334" s="41">
        <f t="shared" si="154"/>
        <v>9.8591549295774641E-2</v>
      </c>
      <c r="U334" s="21">
        <v>15</v>
      </c>
      <c r="V334" s="41">
        <f t="shared" si="155"/>
        <v>6.7873303167420809E-2</v>
      </c>
      <c r="W334" s="21">
        <v>13</v>
      </c>
      <c r="X334" s="41">
        <f t="shared" si="156"/>
        <v>9.154929577464789E-2</v>
      </c>
      <c r="Y334" s="21">
        <v>19</v>
      </c>
      <c r="Z334" s="41">
        <f t="shared" si="157"/>
        <v>8.5972850678733032E-2</v>
      </c>
      <c r="AA334" s="21">
        <v>18</v>
      </c>
      <c r="AB334" s="41">
        <f t="shared" si="158"/>
        <v>0.12676056338028169</v>
      </c>
      <c r="AC334" s="21">
        <v>187</v>
      </c>
      <c r="AD334" s="41">
        <f t="shared" si="140"/>
        <v>0.84615384615384615</v>
      </c>
      <c r="AE334" s="21">
        <v>111</v>
      </c>
      <c r="AF334" s="41">
        <f t="shared" si="159"/>
        <v>0.78169014084507038</v>
      </c>
      <c r="AG334" s="21">
        <v>9</v>
      </c>
      <c r="AH334" s="41">
        <f t="shared" si="141"/>
        <v>4.072398190045249E-2</v>
      </c>
      <c r="AI334" s="21">
        <v>9</v>
      </c>
      <c r="AJ334" s="41">
        <f t="shared" si="160"/>
        <v>6.3380281690140844E-2</v>
      </c>
      <c r="AK334" s="21">
        <v>8</v>
      </c>
      <c r="AL334" s="41">
        <f t="shared" si="142"/>
        <v>3.6199095022624438E-2</v>
      </c>
      <c r="AM334" s="21">
        <v>8</v>
      </c>
      <c r="AN334" s="41">
        <f t="shared" si="161"/>
        <v>5.6338028169014086E-2</v>
      </c>
      <c r="AO334" s="21">
        <v>124</v>
      </c>
      <c r="AP334" s="41">
        <f t="shared" si="143"/>
        <v>0.56108597285067874</v>
      </c>
      <c r="AQ334" s="21">
        <v>70</v>
      </c>
      <c r="AR334" s="41">
        <f t="shared" si="162"/>
        <v>0.49295774647887325</v>
      </c>
      <c r="AS334" s="21">
        <v>38</v>
      </c>
      <c r="AT334" s="41">
        <f t="shared" si="144"/>
        <v>0.17194570135746606</v>
      </c>
      <c r="AU334" s="21">
        <v>25</v>
      </c>
      <c r="AV334" s="41">
        <f t="shared" si="163"/>
        <v>0.176056338028169</v>
      </c>
      <c r="AW334" s="21">
        <v>25</v>
      </c>
      <c r="AX334" s="41">
        <f t="shared" si="145"/>
        <v>0.11312217194570136</v>
      </c>
      <c r="AY334" s="21">
        <v>15</v>
      </c>
      <c r="AZ334" s="41">
        <f t="shared" si="164"/>
        <v>0.10563380281690141</v>
      </c>
      <c r="BA334" s="21">
        <v>17</v>
      </c>
      <c r="BB334" s="41">
        <f t="shared" si="146"/>
        <v>7.6923076923076927E-2</v>
      </c>
      <c r="BC334" s="21">
        <v>15</v>
      </c>
      <c r="BD334" s="41">
        <f t="shared" si="165"/>
        <v>0.10563380281690141</v>
      </c>
      <c r="BE334" s="21">
        <v>221</v>
      </c>
      <c r="BF334" s="21">
        <v>142</v>
      </c>
    </row>
    <row r="335" spans="1:58" ht="15.75" customHeight="1" x14ac:dyDescent="0.25">
      <c r="A335" s="44">
        <v>2022</v>
      </c>
      <c r="B335" s="39">
        <v>170900</v>
      </c>
      <c r="C335" s="37" t="str">
        <f>VLOOKUP(B335,procv!$A$2:$D$142,4,FALSE)</f>
        <v>Médio Norte Araguaia</v>
      </c>
      <c r="D335" s="37" t="s">
        <v>60</v>
      </c>
      <c r="E335" s="21">
        <v>5</v>
      </c>
      <c r="F335" s="42">
        <f t="shared" si="147"/>
        <v>0.01</v>
      </c>
      <c r="G335" s="21">
        <v>4</v>
      </c>
      <c r="H335" s="42">
        <f t="shared" si="148"/>
        <v>1.444043321299639E-2</v>
      </c>
      <c r="I335" s="21">
        <v>16</v>
      </c>
      <c r="J335" s="41">
        <f t="shared" si="149"/>
        <v>3.2000000000000001E-2</v>
      </c>
      <c r="K335" s="21">
        <v>13</v>
      </c>
      <c r="L335" s="41">
        <f t="shared" si="150"/>
        <v>4.6931407942238268E-2</v>
      </c>
      <c r="M335" s="21">
        <v>445</v>
      </c>
      <c r="N335" s="41">
        <f t="shared" si="151"/>
        <v>0.89</v>
      </c>
      <c r="O335" s="21">
        <v>240</v>
      </c>
      <c r="P335" s="41">
        <f t="shared" si="152"/>
        <v>0.86642599277978338</v>
      </c>
      <c r="Q335" s="21">
        <v>34</v>
      </c>
      <c r="R335" s="41">
        <f t="shared" si="153"/>
        <v>6.8000000000000005E-2</v>
      </c>
      <c r="S335" s="21">
        <v>20</v>
      </c>
      <c r="T335" s="41">
        <f t="shared" si="154"/>
        <v>7.2202166064981949E-2</v>
      </c>
      <c r="U335" s="21">
        <v>19</v>
      </c>
      <c r="V335" s="41">
        <f t="shared" si="155"/>
        <v>3.7999999999999999E-2</v>
      </c>
      <c r="W335" s="21">
        <v>15</v>
      </c>
      <c r="X335" s="41">
        <f t="shared" si="156"/>
        <v>5.4151624548736461E-2</v>
      </c>
      <c r="Y335" s="21">
        <v>44</v>
      </c>
      <c r="Z335" s="41">
        <f t="shared" si="157"/>
        <v>8.7999999999999995E-2</v>
      </c>
      <c r="AA335" s="21">
        <v>31</v>
      </c>
      <c r="AB335" s="41">
        <f t="shared" si="158"/>
        <v>0.11191335740072202</v>
      </c>
      <c r="AC335" s="21">
        <v>437</v>
      </c>
      <c r="AD335" s="41">
        <f t="shared" si="140"/>
        <v>0.874</v>
      </c>
      <c r="AE335" s="21">
        <v>231</v>
      </c>
      <c r="AF335" s="41">
        <f t="shared" si="159"/>
        <v>0.83393501805054149</v>
      </c>
      <c r="AG335" s="21">
        <v>17</v>
      </c>
      <c r="AH335" s="41">
        <f t="shared" si="141"/>
        <v>3.4000000000000002E-2</v>
      </c>
      <c r="AI335" s="21">
        <v>13</v>
      </c>
      <c r="AJ335" s="41">
        <f t="shared" si="160"/>
        <v>4.6931407942238268E-2</v>
      </c>
      <c r="AK335" s="21">
        <v>11</v>
      </c>
      <c r="AL335" s="41">
        <f t="shared" si="142"/>
        <v>2.1999999999999999E-2</v>
      </c>
      <c r="AM335" s="21">
        <v>8</v>
      </c>
      <c r="AN335" s="41">
        <f t="shared" si="161"/>
        <v>2.8880866425992781E-2</v>
      </c>
      <c r="AO335" s="21">
        <v>336</v>
      </c>
      <c r="AP335" s="41">
        <f t="shared" si="143"/>
        <v>0.67200000000000004</v>
      </c>
      <c r="AQ335" s="21">
        <v>191</v>
      </c>
      <c r="AR335" s="41">
        <f t="shared" si="162"/>
        <v>0.68953068592057765</v>
      </c>
      <c r="AS335" s="21">
        <v>80</v>
      </c>
      <c r="AT335" s="41">
        <f t="shared" si="144"/>
        <v>0.16</v>
      </c>
      <c r="AU335" s="21">
        <v>36</v>
      </c>
      <c r="AV335" s="41">
        <f t="shared" si="163"/>
        <v>0.1299638989169675</v>
      </c>
      <c r="AW335" s="21">
        <v>35</v>
      </c>
      <c r="AX335" s="41">
        <f t="shared" si="145"/>
        <v>7.0000000000000007E-2</v>
      </c>
      <c r="AY335" s="21">
        <v>13</v>
      </c>
      <c r="AZ335" s="41">
        <f t="shared" si="164"/>
        <v>4.6931407942238268E-2</v>
      </c>
      <c r="BA335" s="21">
        <v>21</v>
      </c>
      <c r="BB335" s="41">
        <f t="shared" si="146"/>
        <v>4.2000000000000003E-2</v>
      </c>
      <c r="BC335" s="21">
        <v>16</v>
      </c>
      <c r="BD335" s="41">
        <f t="shared" si="165"/>
        <v>5.7761732851985562E-2</v>
      </c>
      <c r="BE335" s="21">
        <v>500</v>
      </c>
      <c r="BF335" s="21">
        <v>277</v>
      </c>
    </row>
    <row r="336" spans="1:58" ht="15.75" customHeight="1" x14ac:dyDescent="0.25">
      <c r="A336" s="44">
        <v>2022</v>
      </c>
      <c r="B336" s="39">
        <v>170930</v>
      </c>
      <c r="C336" s="37" t="str">
        <f>VLOOKUP(B336,procv!$A$2:$D$142,4,FALSE)</f>
        <v>Cerrado Tocantins Araguaia</v>
      </c>
      <c r="D336" s="37" t="s">
        <v>61</v>
      </c>
      <c r="E336" s="21">
        <v>10</v>
      </c>
      <c r="F336" s="42">
        <f t="shared" si="147"/>
        <v>1.0822510822510822E-2</v>
      </c>
      <c r="G336" s="21">
        <v>3</v>
      </c>
      <c r="H336" s="42">
        <f t="shared" si="148"/>
        <v>9.4936708860759497E-3</v>
      </c>
      <c r="I336" s="21">
        <v>24</v>
      </c>
      <c r="J336" s="41">
        <f t="shared" si="149"/>
        <v>2.5974025974025976E-2</v>
      </c>
      <c r="K336" s="21">
        <v>18</v>
      </c>
      <c r="L336" s="41">
        <f t="shared" si="150"/>
        <v>5.6962025316455694E-2</v>
      </c>
      <c r="M336" s="21">
        <v>824</v>
      </c>
      <c r="N336" s="41">
        <f t="shared" si="151"/>
        <v>0.89177489177489178</v>
      </c>
      <c r="O336" s="21">
        <v>273</v>
      </c>
      <c r="P336" s="41">
        <f t="shared" si="152"/>
        <v>0.86392405063291144</v>
      </c>
      <c r="Q336" s="21">
        <v>66</v>
      </c>
      <c r="R336" s="41">
        <f t="shared" si="153"/>
        <v>7.1428571428571425E-2</v>
      </c>
      <c r="S336" s="21">
        <v>22</v>
      </c>
      <c r="T336" s="41">
        <f t="shared" si="154"/>
        <v>6.9620253164556958E-2</v>
      </c>
      <c r="U336" s="21">
        <v>47</v>
      </c>
      <c r="V336" s="41">
        <f t="shared" si="155"/>
        <v>5.0865800865800864E-2</v>
      </c>
      <c r="W336" s="21">
        <v>30</v>
      </c>
      <c r="X336" s="41">
        <f t="shared" si="156"/>
        <v>9.49367088607595E-2</v>
      </c>
      <c r="Y336" s="21">
        <v>63</v>
      </c>
      <c r="Z336" s="41">
        <f t="shared" si="157"/>
        <v>6.8181818181818177E-2</v>
      </c>
      <c r="AA336" s="21">
        <v>26</v>
      </c>
      <c r="AB336" s="41">
        <f t="shared" si="158"/>
        <v>8.2278481012658222E-2</v>
      </c>
      <c r="AC336" s="21">
        <v>814</v>
      </c>
      <c r="AD336" s="41">
        <f t="shared" si="140"/>
        <v>0.88095238095238093</v>
      </c>
      <c r="AE336" s="21">
        <v>260</v>
      </c>
      <c r="AF336" s="41">
        <f t="shared" si="159"/>
        <v>0.82278481012658233</v>
      </c>
      <c r="AG336" s="21">
        <v>15</v>
      </c>
      <c r="AH336" s="41">
        <f t="shared" si="141"/>
        <v>1.6233766233766232E-2</v>
      </c>
      <c r="AI336" s="21">
        <v>10</v>
      </c>
      <c r="AJ336" s="41">
        <f t="shared" si="160"/>
        <v>3.1645569620253167E-2</v>
      </c>
      <c r="AK336" s="21">
        <v>16</v>
      </c>
      <c r="AL336" s="41">
        <f t="shared" si="142"/>
        <v>1.7316017316017316E-2</v>
      </c>
      <c r="AM336" s="21">
        <v>13</v>
      </c>
      <c r="AN336" s="41">
        <f t="shared" si="161"/>
        <v>4.1139240506329111E-2</v>
      </c>
      <c r="AO336" s="21">
        <v>617</v>
      </c>
      <c r="AP336" s="41">
        <f t="shared" si="143"/>
        <v>0.66774891774891776</v>
      </c>
      <c r="AQ336" s="21">
        <v>222</v>
      </c>
      <c r="AR336" s="41">
        <f t="shared" si="162"/>
        <v>0.70253164556962022</v>
      </c>
      <c r="AS336" s="21">
        <v>158</v>
      </c>
      <c r="AT336" s="41">
        <f t="shared" si="144"/>
        <v>0.17099567099567101</v>
      </c>
      <c r="AU336" s="21">
        <v>35</v>
      </c>
      <c r="AV336" s="41">
        <f t="shared" si="163"/>
        <v>0.11075949367088607</v>
      </c>
      <c r="AW336" s="21">
        <v>65</v>
      </c>
      <c r="AX336" s="41">
        <f t="shared" si="145"/>
        <v>7.0346320346320351E-2</v>
      </c>
      <c r="AY336" s="21">
        <v>16</v>
      </c>
      <c r="AZ336" s="41">
        <f t="shared" si="164"/>
        <v>5.0632911392405063E-2</v>
      </c>
      <c r="BA336" s="21">
        <v>53</v>
      </c>
      <c r="BB336" s="41">
        <f t="shared" si="146"/>
        <v>5.735930735930736E-2</v>
      </c>
      <c r="BC336" s="21">
        <v>20</v>
      </c>
      <c r="BD336" s="41">
        <f t="shared" si="165"/>
        <v>6.3291139240506333E-2</v>
      </c>
      <c r="BE336" s="21">
        <v>924</v>
      </c>
      <c r="BF336" s="21">
        <v>316</v>
      </c>
    </row>
    <row r="337" spans="1:58" ht="15.75" customHeight="1" x14ac:dyDescent="0.25">
      <c r="A337" s="44">
        <v>2022</v>
      </c>
      <c r="B337" s="39">
        <v>170950</v>
      </c>
      <c r="C337" s="37" t="str">
        <f>VLOOKUP(B337,procv!$A$2:$D$142,4,FALSE)</f>
        <v>Ilha do Bananal</v>
      </c>
      <c r="D337" s="37" t="s">
        <v>62</v>
      </c>
      <c r="E337" s="21">
        <v>60</v>
      </c>
      <c r="F337" s="42">
        <f t="shared" si="147"/>
        <v>2.569593147751606E-2</v>
      </c>
      <c r="G337" s="21">
        <v>56</v>
      </c>
      <c r="H337" s="42">
        <f t="shared" si="148"/>
        <v>4.6666666666666669E-2</v>
      </c>
      <c r="I337" s="21">
        <v>253</v>
      </c>
      <c r="J337" s="41">
        <f t="shared" si="149"/>
        <v>0.10835117773019272</v>
      </c>
      <c r="K337" s="21">
        <v>244</v>
      </c>
      <c r="L337" s="41">
        <f t="shared" si="150"/>
        <v>0.20333333333333334</v>
      </c>
      <c r="M337" s="20">
        <v>1879</v>
      </c>
      <c r="N337" s="41">
        <f t="shared" si="151"/>
        <v>0.80471092077087791</v>
      </c>
      <c r="O337" s="21">
        <v>851</v>
      </c>
      <c r="P337" s="41">
        <f t="shared" si="152"/>
        <v>0.70916666666666661</v>
      </c>
      <c r="Q337" s="21">
        <v>143</v>
      </c>
      <c r="R337" s="41">
        <f t="shared" si="153"/>
        <v>6.1241970021413274E-2</v>
      </c>
      <c r="S337" s="21">
        <v>49</v>
      </c>
      <c r="T337" s="41">
        <f t="shared" si="154"/>
        <v>4.0833333333333333E-2</v>
      </c>
      <c r="U337" s="21">
        <v>225</v>
      </c>
      <c r="V337" s="41">
        <f t="shared" si="155"/>
        <v>9.6359743040685231E-2</v>
      </c>
      <c r="W337" s="21">
        <v>209</v>
      </c>
      <c r="X337" s="41">
        <f t="shared" si="156"/>
        <v>0.17416666666666666</v>
      </c>
      <c r="Y337" s="21">
        <v>422</v>
      </c>
      <c r="Z337" s="41">
        <f t="shared" si="157"/>
        <v>0.18072805139186296</v>
      </c>
      <c r="AA337" s="21">
        <v>381</v>
      </c>
      <c r="AB337" s="41">
        <f t="shared" si="158"/>
        <v>0.3175</v>
      </c>
      <c r="AC337" s="20">
        <v>1688</v>
      </c>
      <c r="AD337" s="41">
        <f t="shared" si="140"/>
        <v>0.72291220556745184</v>
      </c>
      <c r="AE337" s="21">
        <v>610</v>
      </c>
      <c r="AF337" s="41">
        <f t="shared" si="159"/>
        <v>0.5083333333333333</v>
      </c>
      <c r="AG337" s="21">
        <v>86</v>
      </c>
      <c r="AH337" s="41">
        <f t="shared" si="141"/>
        <v>3.683083511777302E-2</v>
      </c>
      <c r="AI337" s="21">
        <v>62</v>
      </c>
      <c r="AJ337" s="41">
        <f t="shared" si="160"/>
        <v>5.1666666666666666E-2</v>
      </c>
      <c r="AK337" s="21">
        <v>56</v>
      </c>
      <c r="AL337" s="41">
        <f t="shared" si="142"/>
        <v>2.398286937901499E-2</v>
      </c>
      <c r="AM337" s="21">
        <v>20</v>
      </c>
      <c r="AN337" s="41">
        <f t="shared" si="161"/>
        <v>1.6666666666666666E-2</v>
      </c>
      <c r="AO337" s="20">
        <v>1676</v>
      </c>
      <c r="AP337" s="41">
        <f t="shared" si="143"/>
        <v>0.71777301927194859</v>
      </c>
      <c r="AQ337" s="21">
        <v>975</v>
      </c>
      <c r="AR337" s="41">
        <f t="shared" si="162"/>
        <v>0.8125</v>
      </c>
      <c r="AS337" s="21">
        <v>317</v>
      </c>
      <c r="AT337" s="41">
        <f t="shared" si="144"/>
        <v>0.13576017130620985</v>
      </c>
      <c r="AU337" s="21">
        <v>87</v>
      </c>
      <c r="AV337" s="41">
        <f t="shared" si="163"/>
        <v>7.2499999999999995E-2</v>
      </c>
      <c r="AW337" s="21">
        <v>125</v>
      </c>
      <c r="AX337" s="41">
        <f t="shared" si="145"/>
        <v>5.353319057815846E-2</v>
      </c>
      <c r="AY337" s="21">
        <v>25</v>
      </c>
      <c r="AZ337" s="41">
        <f t="shared" si="164"/>
        <v>2.0833333333333332E-2</v>
      </c>
      <c r="BA337" s="21">
        <v>75</v>
      </c>
      <c r="BB337" s="41">
        <f t="shared" si="146"/>
        <v>3.2119914346895075E-2</v>
      </c>
      <c r="BC337" s="21">
        <v>31</v>
      </c>
      <c r="BD337" s="41">
        <f t="shared" si="165"/>
        <v>2.5833333333333333E-2</v>
      </c>
      <c r="BE337" s="20">
        <v>2335</v>
      </c>
      <c r="BF337" s="20">
        <v>1200</v>
      </c>
    </row>
    <row r="338" spans="1:58" ht="15.75" customHeight="1" x14ac:dyDescent="0.25">
      <c r="A338" s="44">
        <v>2022</v>
      </c>
      <c r="B338" s="39">
        <v>170980</v>
      </c>
      <c r="C338" s="37" t="str">
        <f>VLOOKUP(B338,procv!$A$2:$D$142,4,FALSE)</f>
        <v>Amor Perfeito</v>
      </c>
      <c r="D338" s="37" t="s">
        <v>63</v>
      </c>
      <c r="E338" s="21">
        <v>1</v>
      </c>
      <c r="F338" s="42">
        <f t="shared" si="147"/>
        <v>1.0101010101010102E-2</v>
      </c>
      <c r="G338" s="21">
        <v>0</v>
      </c>
      <c r="H338" s="42">
        <f t="shared" si="148"/>
        <v>0</v>
      </c>
      <c r="I338" s="21">
        <v>1</v>
      </c>
      <c r="J338" s="41">
        <f t="shared" si="149"/>
        <v>1.0101010101010102E-2</v>
      </c>
      <c r="K338" s="21">
        <v>0</v>
      </c>
      <c r="L338" s="41">
        <f t="shared" si="150"/>
        <v>0</v>
      </c>
      <c r="M338" s="21">
        <v>83</v>
      </c>
      <c r="N338" s="41">
        <f t="shared" si="151"/>
        <v>0.83838383838383834</v>
      </c>
      <c r="O338" s="21">
        <v>47</v>
      </c>
      <c r="P338" s="41">
        <f t="shared" si="152"/>
        <v>0.81034482758620685</v>
      </c>
      <c r="Q338" s="21">
        <v>14</v>
      </c>
      <c r="R338" s="41">
        <f t="shared" si="153"/>
        <v>0.14141414141414141</v>
      </c>
      <c r="S338" s="21">
        <v>11</v>
      </c>
      <c r="T338" s="41">
        <f t="shared" si="154"/>
        <v>0.18965517241379309</v>
      </c>
      <c r="U338" s="21">
        <v>9</v>
      </c>
      <c r="V338" s="41">
        <f t="shared" si="155"/>
        <v>9.0909090909090912E-2</v>
      </c>
      <c r="W338" s="21">
        <v>7</v>
      </c>
      <c r="X338" s="41">
        <f t="shared" si="156"/>
        <v>0.1206896551724138</v>
      </c>
      <c r="Y338" s="21">
        <v>4</v>
      </c>
      <c r="Z338" s="41">
        <f t="shared" si="157"/>
        <v>4.0404040404040407E-2</v>
      </c>
      <c r="AA338" s="21">
        <v>3</v>
      </c>
      <c r="AB338" s="41">
        <f t="shared" si="158"/>
        <v>5.1724137931034482E-2</v>
      </c>
      <c r="AC338" s="21">
        <v>86</v>
      </c>
      <c r="AD338" s="41">
        <f t="shared" si="140"/>
        <v>0.86868686868686873</v>
      </c>
      <c r="AE338" s="21">
        <v>48</v>
      </c>
      <c r="AF338" s="41">
        <f t="shared" si="159"/>
        <v>0.82758620689655171</v>
      </c>
      <c r="AG338" s="21">
        <v>1</v>
      </c>
      <c r="AH338" s="41">
        <f t="shared" si="141"/>
        <v>1.0101010101010102E-2</v>
      </c>
      <c r="AI338" s="21">
        <v>1</v>
      </c>
      <c r="AJ338" s="41">
        <f t="shared" si="160"/>
        <v>1.7241379310344827E-2</v>
      </c>
      <c r="AK338" s="21">
        <v>1</v>
      </c>
      <c r="AL338" s="41">
        <f t="shared" si="142"/>
        <v>1.0101010101010102E-2</v>
      </c>
      <c r="AM338" s="21">
        <v>1</v>
      </c>
      <c r="AN338" s="41">
        <f t="shared" si="161"/>
        <v>1.7241379310344827E-2</v>
      </c>
      <c r="AO338" s="21">
        <v>52</v>
      </c>
      <c r="AP338" s="41">
        <f t="shared" si="143"/>
        <v>0.5252525252525253</v>
      </c>
      <c r="AQ338" s="21">
        <v>28</v>
      </c>
      <c r="AR338" s="41">
        <f t="shared" si="162"/>
        <v>0.48275862068965519</v>
      </c>
      <c r="AS338" s="21">
        <v>19</v>
      </c>
      <c r="AT338" s="41">
        <f t="shared" si="144"/>
        <v>0.19191919191919191</v>
      </c>
      <c r="AU338" s="21">
        <v>10</v>
      </c>
      <c r="AV338" s="41">
        <f t="shared" si="163"/>
        <v>0.17241379310344829</v>
      </c>
      <c r="AW338" s="21">
        <v>10</v>
      </c>
      <c r="AX338" s="41">
        <f t="shared" si="145"/>
        <v>0.10101010101010101</v>
      </c>
      <c r="AY338" s="21">
        <v>9</v>
      </c>
      <c r="AZ338" s="41">
        <f t="shared" si="164"/>
        <v>0.15517241379310345</v>
      </c>
      <c r="BA338" s="21">
        <v>16</v>
      </c>
      <c r="BB338" s="41">
        <f t="shared" si="146"/>
        <v>0.16161616161616163</v>
      </c>
      <c r="BC338" s="21">
        <v>9</v>
      </c>
      <c r="BD338" s="41">
        <f t="shared" si="165"/>
        <v>0.15517241379310345</v>
      </c>
      <c r="BE338" s="21">
        <v>99</v>
      </c>
      <c r="BF338" s="21">
        <v>58</v>
      </c>
    </row>
    <row r="339" spans="1:58" ht="15.75" customHeight="1" x14ac:dyDescent="0.25">
      <c r="A339" s="44">
        <v>2022</v>
      </c>
      <c r="B339" s="39">
        <v>171050</v>
      </c>
      <c r="C339" s="37" t="str">
        <f>VLOOKUP(B339,procv!$A$2:$D$142,4,FALSE)</f>
        <v>Cerrado Tocantins Araguaia</v>
      </c>
      <c r="D339" s="37" t="s">
        <v>64</v>
      </c>
      <c r="E339" s="21">
        <v>1</v>
      </c>
      <c r="F339" s="42">
        <f t="shared" si="147"/>
        <v>2.9585798816568047E-3</v>
      </c>
      <c r="G339" s="21">
        <v>2</v>
      </c>
      <c r="H339" s="42">
        <f t="shared" si="148"/>
        <v>8.1967213114754103E-3</v>
      </c>
      <c r="I339" s="21">
        <v>4</v>
      </c>
      <c r="J339" s="41">
        <f t="shared" si="149"/>
        <v>1.1834319526627219E-2</v>
      </c>
      <c r="K339" s="21">
        <v>4</v>
      </c>
      <c r="L339" s="41">
        <f t="shared" si="150"/>
        <v>1.6393442622950821E-2</v>
      </c>
      <c r="M339" s="21">
        <v>319</v>
      </c>
      <c r="N339" s="41">
        <f t="shared" si="151"/>
        <v>0.94378698224852076</v>
      </c>
      <c r="O339" s="21">
        <v>223</v>
      </c>
      <c r="P339" s="41">
        <f t="shared" si="152"/>
        <v>0.91393442622950816</v>
      </c>
      <c r="Q339" s="21">
        <v>14</v>
      </c>
      <c r="R339" s="41">
        <f t="shared" si="153"/>
        <v>4.142011834319527E-2</v>
      </c>
      <c r="S339" s="21">
        <v>15</v>
      </c>
      <c r="T339" s="41">
        <f t="shared" si="154"/>
        <v>6.1475409836065573E-2</v>
      </c>
      <c r="U339" s="21">
        <v>27</v>
      </c>
      <c r="V339" s="41">
        <f t="shared" si="155"/>
        <v>7.9881656804733733E-2</v>
      </c>
      <c r="W339" s="21">
        <v>21</v>
      </c>
      <c r="X339" s="41">
        <f t="shared" si="156"/>
        <v>8.6065573770491802E-2</v>
      </c>
      <c r="Y339" s="21">
        <v>31</v>
      </c>
      <c r="Z339" s="41">
        <f t="shared" si="157"/>
        <v>9.1715976331360943E-2</v>
      </c>
      <c r="AA339" s="21">
        <v>28</v>
      </c>
      <c r="AB339" s="41">
        <f t="shared" si="158"/>
        <v>0.11475409836065574</v>
      </c>
      <c r="AC339" s="21">
        <v>280</v>
      </c>
      <c r="AD339" s="41">
        <f t="shared" si="140"/>
        <v>0.82840236686390534</v>
      </c>
      <c r="AE339" s="21">
        <v>195</v>
      </c>
      <c r="AF339" s="41">
        <f t="shared" si="159"/>
        <v>0.79918032786885251</v>
      </c>
      <c r="AG339" s="21">
        <v>11</v>
      </c>
      <c r="AH339" s="41">
        <f t="shared" si="141"/>
        <v>3.2544378698224852E-2</v>
      </c>
      <c r="AI339" s="21">
        <v>11</v>
      </c>
      <c r="AJ339" s="41">
        <f t="shared" si="160"/>
        <v>4.5081967213114756E-2</v>
      </c>
      <c r="AK339" s="21">
        <v>6</v>
      </c>
      <c r="AL339" s="41">
        <f t="shared" si="142"/>
        <v>1.7751479289940829E-2</v>
      </c>
      <c r="AM339" s="21">
        <v>3</v>
      </c>
      <c r="AN339" s="41">
        <f t="shared" si="161"/>
        <v>1.2295081967213115E-2</v>
      </c>
      <c r="AO339" s="21">
        <v>200</v>
      </c>
      <c r="AP339" s="41">
        <f t="shared" si="143"/>
        <v>0.59171597633136097</v>
      </c>
      <c r="AQ339" s="21">
        <v>144</v>
      </c>
      <c r="AR339" s="41">
        <f t="shared" si="162"/>
        <v>0.5901639344262295</v>
      </c>
      <c r="AS339" s="21">
        <v>69</v>
      </c>
      <c r="AT339" s="41">
        <f t="shared" si="144"/>
        <v>0.20414201183431951</v>
      </c>
      <c r="AU339" s="21">
        <v>45</v>
      </c>
      <c r="AV339" s="41">
        <f t="shared" si="163"/>
        <v>0.18442622950819673</v>
      </c>
      <c r="AW339" s="21">
        <v>30</v>
      </c>
      <c r="AX339" s="41">
        <f t="shared" si="145"/>
        <v>8.8757396449704137E-2</v>
      </c>
      <c r="AY339" s="21">
        <v>22</v>
      </c>
      <c r="AZ339" s="41">
        <f t="shared" si="164"/>
        <v>9.0163934426229511E-2</v>
      </c>
      <c r="BA339" s="21">
        <v>22</v>
      </c>
      <c r="BB339" s="41">
        <f t="shared" si="146"/>
        <v>6.5088757396449703E-2</v>
      </c>
      <c r="BC339" s="21">
        <v>19</v>
      </c>
      <c r="BD339" s="41">
        <f t="shared" si="165"/>
        <v>7.7868852459016397E-2</v>
      </c>
      <c r="BE339" s="21">
        <v>338</v>
      </c>
      <c r="BF339" s="21">
        <v>244</v>
      </c>
    </row>
    <row r="340" spans="1:58" ht="15.75" customHeight="1" x14ac:dyDescent="0.25">
      <c r="A340" s="44">
        <v>2022</v>
      </c>
      <c r="B340" s="39">
        <v>171070</v>
      </c>
      <c r="C340" s="37" t="str">
        <f>VLOOKUP(B340,procv!$A$2:$D$142,4,FALSE)</f>
        <v>Bico do Papagaio</v>
      </c>
      <c r="D340" s="37" t="s">
        <v>65</v>
      </c>
      <c r="E340" s="21">
        <v>1</v>
      </c>
      <c r="F340" s="42">
        <f t="shared" si="147"/>
        <v>3.2679738562091504E-3</v>
      </c>
      <c r="G340" s="21">
        <v>1</v>
      </c>
      <c r="H340" s="42">
        <f t="shared" si="148"/>
        <v>5.1282051282051282E-3</v>
      </c>
      <c r="I340" s="21">
        <v>9</v>
      </c>
      <c r="J340" s="41">
        <f t="shared" si="149"/>
        <v>2.9411764705882353E-2</v>
      </c>
      <c r="K340" s="21">
        <v>8</v>
      </c>
      <c r="L340" s="41">
        <f t="shared" si="150"/>
        <v>4.1025641025641026E-2</v>
      </c>
      <c r="M340" s="21">
        <v>282</v>
      </c>
      <c r="N340" s="41">
        <f t="shared" si="151"/>
        <v>0.92156862745098034</v>
      </c>
      <c r="O340" s="21">
        <v>176</v>
      </c>
      <c r="P340" s="41">
        <f t="shared" si="152"/>
        <v>0.90256410256410258</v>
      </c>
      <c r="Q340" s="21">
        <v>14</v>
      </c>
      <c r="R340" s="41">
        <f t="shared" si="153"/>
        <v>4.5751633986928102E-2</v>
      </c>
      <c r="S340" s="21">
        <v>10</v>
      </c>
      <c r="T340" s="41">
        <f t="shared" si="154"/>
        <v>5.128205128205128E-2</v>
      </c>
      <c r="U340" s="21">
        <v>27</v>
      </c>
      <c r="V340" s="41">
        <f t="shared" si="155"/>
        <v>8.8235294117647065E-2</v>
      </c>
      <c r="W340" s="21">
        <v>19</v>
      </c>
      <c r="X340" s="41">
        <f t="shared" si="156"/>
        <v>9.7435897435897437E-2</v>
      </c>
      <c r="Y340" s="21">
        <v>23</v>
      </c>
      <c r="Z340" s="41">
        <f t="shared" si="157"/>
        <v>7.5163398692810454E-2</v>
      </c>
      <c r="AA340" s="21">
        <v>17</v>
      </c>
      <c r="AB340" s="41">
        <f t="shared" si="158"/>
        <v>8.7179487179487175E-2</v>
      </c>
      <c r="AC340" s="21">
        <v>256</v>
      </c>
      <c r="AD340" s="41">
        <f t="shared" si="140"/>
        <v>0.83660130718954251</v>
      </c>
      <c r="AE340" s="21">
        <v>159</v>
      </c>
      <c r="AF340" s="41">
        <f t="shared" si="159"/>
        <v>0.81538461538461537</v>
      </c>
      <c r="AG340" s="21">
        <v>16</v>
      </c>
      <c r="AH340" s="41">
        <f t="shared" si="141"/>
        <v>5.2287581699346407E-2</v>
      </c>
      <c r="AI340" s="21">
        <v>12</v>
      </c>
      <c r="AJ340" s="41">
        <f t="shared" si="160"/>
        <v>6.1538461538461542E-2</v>
      </c>
      <c r="AK340" s="21">
        <v>11</v>
      </c>
      <c r="AL340" s="41">
        <f t="shared" si="142"/>
        <v>3.5947712418300651E-2</v>
      </c>
      <c r="AM340" s="21">
        <v>12</v>
      </c>
      <c r="AN340" s="41">
        <f t="shared" si="161"/>
        <v>6.1538461538461542E-2</v>
      </c>
      <c r="AO340" s="21">
        <v>190</v>
      </c>
      <c r="AP340" s="41">
        <f t="shared" si="143"/>
        <v>0.62091503267973858</v>
      </c>
      <c r="AQ340" s="21">
        <v>111</v>
      </c>
      <c r="AR340" s="41">
        <f t="shared" si="162"/>
        <v>0.56923076923076921</v>
      </c>
      <c r="AS340" s="21">
        <v>38</v>
      </c>
      <c r="AT340" s="41">
        <f t="shared" si="144"/>
        <v>0.12418300653594772</v>
      </c>
      <c r="AU340" s="21">
        <v>21</v>
      </c>
      <c r="AV340" s="41">
        <f t="shared" si="163"/>
        <v>0.1076923076923077</v>
      </c>
      <c r="AW340" s="21">
        <v>26</v>
      </c>
      <c r="AX340" s="41">
        <f t="shared" si="145"/>
        <v>8.4967320261437912E-2</v>
      </c>
      <c r="AY340" s="21">
        <v>18</v>
      </c>
      <c r="AZ340" s="41">
        <f t="shared" si="164"/>
        <v>9.2307692307692313E-2</v>
      </c>
      <c r="BA340" s="21">
        <v>25</v>
      </c>
      <c r="BB340" s="41">
        <f t="shared" si="146"/>
        <v>8.1699346405228759E-2</v>
      </c>
      <c r="BC340" s="21">
        <v>21</v>
      </c>
      <c r="BD340" s="41">
        <f t="shared" si="165"/>
        <v>0.1076923076923077</v>
      </c>
      <c r="BE340" s="21">
        <v>306</v>
      </c>
      <c r="BF340" s="21">
        <v>195</v>
      </c>
    </row>
    <row r="341" spans="1:58" ht="15.75" customHeight="1" x14ac:dyDescent="0.25">
      <c r="A341" s="44">
        <v>2022</v>
      </c>
      <c r="B341" s="39">
        <v>171090</v>
      </c>
      <c r="C341" s="37" t="str">
        <f>VLOOKUP(B341,procv!$A$2:$D$142,4,FALSE)</f>
        <v>Cerrado Tocantins Araguaia</v>
      </c>
      <c r="D341" s="37" t="s">
        <v>66</v>
      </c>
      <c r="E341" s="21">
        <v>4</v>
      </c>
      <c r="F341" s="42">
        <f t="shared" si="147"/>
        <v>1.646090534979424E-2</v>
      </c>
      <c r="G341" s="21">
        <v>1</v>
      </c>
      <c r="H341" s="42">
        <f t="shared" si="148"/>
        <v>6.9444444444444441E-3</v>
      </c>
      <c r="I341" s="21">
        <v>7</v>
      </c>
      <c r="J341" s="41">
        <f t="shared" si="149"/>
        <v>2.8806584362139918E-2</v>
      </c>
      <c r="K341" s="21">
        <v>6</v>
      </c>
      <c r="L341" s="41">
        <f t="shared" si="150"/>
        <v>4.1666666666666664E-2</v>
      </c>
      <c r="M341" s="21">
        <v>221</v>
      </c>
      <c r="N341" s="41">
        <f t="shared" si="151"/>
        <v>0.90946502057613166</v>
      </c>
      <c r="O341" s="21">
        <v>132</v>
      </c>
      <c r="P341" s="41">
        <f t="shared" si="152"/>
        <v>0.91666666666666663</v>
      </c>
      <c r="Q341" s="21">
        <v>11</v>
      </c>
      <c r="R341" s="41">
        <f t="shared" si="153"/>
        <v>4.5267489711934158E-2</v>
      </c>
      <c r="S341" s="21">
        <v>5</v>
      </c>
      <c r="T341" s="41">
        <f t="shared" si="154"/>
        <v>3.4722222222222224E-2</v>
      </c>
      <c r="U341" s="21">
        <v>20</v>
      </c>
      <c r="V341" s="41">
        <f t="shared" si="155"/>
        <v>8.2304526748971193E-2</v>
      </c>
      <c r="W341" s="21">
        <v>16</v>
      </c>
      <c r="X341" s="41">
        <f t="shared" si="156"/>
        <v>0.1111111111111111</v>
      </c>
      <c r="Y341" s="21">
        <v>31</v>
      </c>
      <c r="Z341" s="41">
        <f t="shared" si="157"/>
        <v>0.12757201646090535</v>
      </c>
      <c r="AA341" s="21">
        <v>22</v>
      </c>
      <c r="AB341" s="41">
        <f t="shared" si="158"/>
        <v>0.15277777777777779</v>
      </c>
      <c r="AC341" s="21">
        <v>192</v>
      </c>
      <c r="AD341" s="41">
        <f t="shared" si="140"/>
        <v>0.79012345679012341</v>
      </c>
      <c r="AE341" s="21">
        <v>106</v>
      </c>
      <c r="AF341" s="41">
        <f t="shared" si="159"/>
        <v>0.73611111111111116</v>
      </c>
      <c r="AG341" s="21">
        <v>1</v>
      </c>
      <c r="AH341" s="41">
        <f t="shared" si="141"/>
        <v>4.11522633744856E-3</v>
      </c>
      <c r="AI341" s="21">
        <v>2</v>
      </c>
      <c r="AJ341" s="41">
        <f t="shared" si="160"/>
        <v>1.3888888888888888E-2</v>
      </c>
      <c r="AK341" s="21">
        <v>8</v>
      </c>
      <c r="AL341" s="41">
        <f t="shared" si="142"/>
        <v>3.292181069958848E-2</v>
      </c>
      <c r="AM341" s="21">
        <v>3</v>
      </c>
      <c r="AN341" s="41">
        <f t="shared" si="161"/>
        <v>2.0833333333333332E-2</v>
      </c>
      <c r="AO341" s="21">
        <v>153</v>
      </c>
      <c r="AP341" s="41">
        <f t="shared" si="143"/>
        <v>0.62962962962962965</v>
      </c>
      <c r="AQ341" s="21">
        <v>92</v>
      </c>
      <c r="AR341" s="41">
        <f t="shared" si="162"/>
        <v>0.63888888888888884</v>
      </c>
      <c r="AS341" s="21">
        <v>47</v>
      </c>
      <c r="AT341" s="41">
        <f t="shared" si="144"/>
        <v>0.19341563786008231</v>
      </c>
      <c r="AU341" s="21">
        <v>23</v>
      </c>
      <c r="AV341" s="41">
        <f t="shared" si="163"/>
        <v>0.15972222222222221</v>
      </c>
      <c r="AW341" s="21">
        <v>23</v>
      </c>
      <c r="AX341" s="41">
        <f t="shared" si="145"/>
        <v>9.4650205761316872E-2</v>
      </c>
      <c r="AY341" s="21">
        <v>13</v>
      </c>
      <c r="AZ341" s="41">
        <f t="shared" si="164"/>
        <v>9.0277777777777776E-2</v>
      </c>
      <c r="BA341" s="21">
        <v>11</v>
      </c>
      <c r="BB341" s="41">
        <f t="shared" si="146"/>
        <v>4.5267489711934158E-2</v>
      </c>
      <c r="BC341" s="21">
        <v>11</v>
      </c>
      <c r="BD341" s="41">
        <f t="shared" si="165"/>
        <v>7.6388888888888895E-2</v>
      </c>
      <c r="BE341" s="21">
        <v>243</v>
      </c>
      <c r="BF341" s="21">
        <v>144</v>
      </c>
    </row>
    <row r="342" spans="1:58" ht="15.75" customHeight="1" x14ac:dyDescent="0.25">
      <c r="A342" s="44">
        <v>2022</v>
      </c>
      <c r="B342" s="39">
        <v>171110</v>
      </c>
      <c r="C342" s="37" t="str">
        <f>VLOOKUP(B342,procv!$A$2:$D$142,4,FALSE)</f>
        <v>Cerrado Tocantins Araguaia</v>
      </c>
      <c r="D342" s="37" t="s">
        <v>67</v>
      </c>
      <c r="E342" s="21">
        <v>0</v>
      </c>
      <c r="F342" s="42">
        <f t="shared" si="147"/>
        <v>0</v>
      </c>
      <c r="G342" s="21">
        <v>0</v>
      </c>
      <c r="H342" s="42">
        <f t="shared" si="148"/>
        <v>0</v>
      </c>
      <c r="I342" s="21">
        <v>4</v>
      </c>
      <c r="J342" s="41">
        <f t="shared" si="149"/>
        <v>2.7586206896551724E-2</v>
      </c>
      <c r="K342" s="21">
        <v>3</v>
      </c>
      <c r="L342" s="41">
        <f t="shared" si="150"/>
        <v>0.05</v>
      </c>
      <c r="M342" s="21">
        <v>134</v>
      </c>
      <c r="N342" s="41">
        <f t="shared" si="151"/>
        <v>0.92413793103448272</v>
      </c>
      <c r="O342" s="21">
        <v>52</v>
      </c>
      <c r="P342" s="41">
        <f t="shared" si="152"/>
        <v>0.8666666666666667</v>
      </c>
      <c r="Q342" s="21">
        <v>7</v>
      </c>
      <c r="R342" s="41">
        <f t="shared" si="153"/>
        <v>4.8275862068965517E-2</v>
      </c>
      <c r="S342" s="21">
        <v>5</v>
      </c>
      <c r="T342" s="41">
        <f t="shared" si="154"/>
        <v>8.3333333333333329E-2</v>
      </c>
      <c r="U342" s="21">
        <v>6</v>
      </c>
      <c r="V342" s="41">
        <f t="shared" si="155"/>
        <v>4.1379310344827586E-2</v>
      </c>
      <c r="W342" s="21">
        <v>6</v>
      </c>
      <c r="X342" s="41">
        <f t="shared" si="156"/>
        <v>0.1</v>
      </c>
      <c r="Y342" s="21">
        <v>5</v>
      </c>
      <c r="Z342" s="41">
        <f t="shared" si="157"/>
        <v>3.4482758620689655E-2</v>
      </c>
      <c r="AA342" s="21">
        <v>3</v>
      </c>
      <c r="AB342" s="41">
        <f t="shared" si="158"/>
        <v>0.05</v>
      </c>
      <c r="AC342" s="21">
        <v>134</v>
      </c>
      <c r="AD342" s="41">
        <f t="shared" si="140"/>
        <v>0.92413793103448272</v>
      </c>
      <c r="AE342" s="21">
        <v>51</v>
      </c>
      <c r="AF342" s="41">
        <f t="shared" si="159"/>
        <v>0.85</v>
      </c>
      <c r="AG342" s="21">
        <v>3</v>
      </c>
      <c r="AH342" s="41">
        <f t="shared" si="141"/>
        <v>2.0689655172413793E-2</v>
      </c>
      <c r="AI342" s="21">
        <v>2</v>
      </c>
      <c r="AJ342" s="41">
        <f t="shared" si="160"/>
        <v>3.3333333333333333E-2</v>
      </c>
      <c r="AK342" s="21">
        <v>3</v>
      </c>
      <c r="AL342" s="41">
        <f t="shared" si="142"/>
        <v>2.0689655172413793E-2</v>
      </c>
      <c r="AM342" s="21">
        <v>3</v>
      </c>
      <c r="AN342" s="41">
        <f t="shared" si="161"/>
        <v>0.05</v>
      </c>
      <c r="AO342" s="21">
        <v>95</v>
      </c>
      <c r="AP342" s="41">
        <f t="shared" si="143"/>
        <v>0.65517241379310343</v>
      </c>
      <c r="AQ342" s="21">
        <v>38</v>
      </c>
      <c r="AR342" s="41">
        <f t="shared" si="162"/>
        <v>0.6333333333333333</v>
      </c>
      <c r="AS342" s="21">
        <v>24</v>
      </c>
      <c r="AT342" s="41">
        <f t="shared" si="144"/>
        <v>0.16551724137931034</v>
      </c>
      <c r="AU342" s="21">
        <v>6</v>
      </c>
      <c r="AV342" s="41">
        <f t="shared" si="163"/>
        <v>0.1</v>
      </c>
      <c r="AW342" s="21">
        <v>9</v>
      </c>
      <c r="AX342" s="41">
        <f t="shared" si="145"/>
        <v>6.2068965517241378E-2</v>
      </c>
      <c r="AY342" s="21">
        <v>3</v>
      </c>
      <c r="AZ342" s="41">
        <f t="shared" si="164"/>
        <v>0.05</v>
      </c>
      <c r="BA342" s="21">
        <v>11</v>
      </c>
      <c r="BB342" s="41">
        <f t="shared" si="146"/>
        <v>7.586206896551724E-2</v>
      </c>
      <c r="BC342" s="21">
        <v>8</v>
      </c>
      <c r="BD342" s="41">
        <f t="shared" si="165"/>
        <v>0.13333333333333333</v>
      </c>
      <c r="BE342" s="21">
        <v>145</v>
      </c>
      <c r="BF342" s="21">
        <v>60</v>
      </c>
    </row>
    <row r="343" spans="1:58" ht="15.75" customHeight="1" x14ac:dyDescent="0.25">
      <c r="A343" s="44">
        <v>2022</v>
      </c>
      <c r="B343" s="39">
        <v>171150</v>
      </c>
      <c r="C343" s="37" t="str">
        <f>VLOOKUP(B343,procv!$A$2:$D$142,4,FALSE)</f>
        <v>Ilha do Bananal</v>
      </c>
      <c r="D343" s="37" t="s">
        <v>68</v>
      </c>
      <c r="E343" s="21">
        <v>2</v>
      </c>
      <c r="F343" s="42">
        <f t="shared" si="147"/>
        <v>9.9009900990099011E-3</v>
      </c>
      <c r="G343" s="21">
        <v>1</v>
      </c>
      <c r="H343" s="42">
        <f t="shared" si="148"/>
        <v>1.098901098901099E-2</v>
      </c>
      <c r="I343" s="21">
        <v>6</v>
      </c>
      <c r="J343" s="41">
        <f t="shared" si="149"/>
        <v>2.9702970297029702E-2</v>
      </c>
      <c r="K343" s="21">
        <v>5</v>
      </c>
      <c r="L343" s="41">
        <f t="shared" si="150"/>
        <v>5.4945054945054944E-2</v>
      </c>
      <c r="M343" s="21">
        <v>178</v>
      </c>
      <c r="N343" s="41">
        <f t="shared" si="151"/>
        <v>0.88118811881188119</v>
      </c>
      <c r="O343" s="21">
        <v>79</v>
      </c>
      <c r="P343" s="41">
        <f t="shared" si="152"/>
        <v>0.86813186813186816</v>
      </c>
      <c r="Q343" s="21">
        <v>16</v>
      </c>
      <c r="R343" s="41">
        <f t="shared" si="153"/>
        <v>7.9207920792079209E-2</v>
      </c>
      <c r="S343" s="21">
        <v>6</v>
      </c>
      <c r="T343" s="41">
        <f t="shared" si="154"/>
        <v>6.5934065934065936E-2</v>
      </c>
      <c r="U343" s="21">
        <v>9</v>
      </c>
      <c r="V343" s="41">
        <f t="shared" si="155"/>
        <v>4.4554455445544552E-2</v>
      </c>
      <c r="W343" s="21">
        <v>6</v>
      </c>
      <c r="X343" s="41">
        <f t="shared" si="156"/>
        <v>6.5934065934065936E-2</v>
      </c>
      <c r="Y343" s="21">
        <v>17</v>
      </c>
      <c r="Z343" s="41">
        <f t="shared" si="157"/>
        <v>8.4158415841584164E-2</v>
      </c>
      <c r="AA343" s="21">
        <v>10</v>
      </c>
      <c r="AB343" s="41">
        <f t="shared" si="158"/>
        <v>0.10989010989010989</v>
      </c>
      <c r="AC343" s="21">
        <v>176</v>
      </c>
      <c r="AD343" s="41">
        <f t="shared" si="140"/>
        <v>0.87128712871287128</v>
      </c>
      <c r="AE343" s="21">
        <v>75</v>
      </c>
      <c r="AF343" s="41">
        <f t="shared" si="159"/>
        <v>0.82417582417582413</v>
      </c>
      <c r="AG343" s="21">
        <v>11</v>
      </c>
      <c r="AH343" s="41">
        <f t="shared" si="141"/>
        <v>5.4455445544554455E-2</v>
      </c>
      <c r="AI343" s="21">
        <v>7</v>
      </c>
      <c r="AJ343" s="41">
        <f t="shared" si="160"/>
        <v>7.6923076923076927E-2</v>
      </c>
      <c r="AK343" s="21">
        <v>15</v>
      </c>
      <c r="AL343" s="41">
        <f t="shared" si="142"/>
        <v>7.4257425742574254E-2</v>
      </c>
      <c r="AM343" s="21">
        <v>9</v>
      </c>
      <c r="AN343" s="41">
        <f t="shared" si="161"/>
        <v>9.8901098901098897E-2</v>
      </c>
      <c r="AO343" s="21">
        <v>114</v>
      </c>
      <c r="AP343" s="41">
        <f t="shared" si="143"/>
        <v>0.5643564356435643</v>
      </c>
      <c r="AQ343" s="21">
        <v>49</v>
      </c>
      <c r="AR343" s="41">
        <f t="shared" si="162"/>
        <v>0.53846153846153844</v>
      </c>
      <c r="AS343" s="21">
        <v>27</v>
      </c>
      <c r="AT343" s="41">
        <f t="shared" si="144"/>
        <v>0.13366336633663367</v>
      </c>
      <c r="AU343" s="21">
        <v>10</v>
      </c>
      <c r="AV343" s="41">
        <f t="shared" si="163"/>
        <v>0.10989010989010989</v>
      </c>
      <c r="AW343" s="21">
        <v>24</v>
      </c>
      <c r="AX343" s="41">
        <f t="shared" si="145"/>
        <v>0.11881188118811881</v>
      </c>
      <c r="AY343" s="21">
        <v>11</v>
      </c>
      <c r="AZ343" s="41">
        <f t="shared" si="164"/>
        <v>0.12087912087912088</v>
      </c>
      <c r="BA343" s="21">
        <v>11</v>
      </c>
      <c r="BB343" s="41">
        <f t="shared" si="146"/>
        <v>5.4455445544554455E-2</v>
      </c>
      <c r="BC343" s="21">
        <v>5</v>
      </c>
      <c r="BD343" s="41">
        <f t="shared" si="165"/>
        <v>5.4945054945054944E-2</v>
      </c>
      <c r="BE343" s="21">
        <v>202</v>
      </c>
      <c r="BF343" s="21">
        <v>91</v>
      </c>
    </row>
    <row r="344" spans="1:58" ht="15.75" customHeight="1" x14ac:dyDescent="0.25">
      <c r="A344" s="44">
        <v>2022</v>
      </c>
      <c r="B344" s="39">
        <v>171180</v>
      </c>
      <c r="C344" s="37" t="str">
        <f>VLOOKUP(B344,procv!$A$2:$D$142,4,FALSE)</f>
        <v>Cerrado Tocantins Araguaia</v>
      </c>
      <c r="D344" s="37" t="s">
        <v>69</v>
      </c>
      <c r="E344" s="21">
        <v>0</v>
      </c>
      <c r="F344" s="42">
        <f t="shared" si="147"/>
        <v>0</v>
      </c>
      <c r="G344" s="21">
        <v>0</v>
      </c>
      <c r="H344" s="42">
        <f t="shared" si="148"/>
        <v>0</v>
      </c>
      <c r="I344" s="21">
        <v>1</v>
      </c>
      <c r="J344" s="41">
        <f t="shared" si="149"/>
        <v>1.5151515151515152E-2</v>
      </c>
      <c r="K344" s="21">
        <v>1</v>
      </c>
      <c r="L344" s="41">
        <f t="shared" si="150"/>
        <v>1.5625E-2</v>
      </c>
      <c r="M344" s="21">
        <v>59</v>
      </c>
      <c r="N344" s="41">
        <f t="shared" si="151"/>
        <v>0.89393939393939392</v>
      </c>
      <c r="O344" s="21">
        <v>58</v>
      </c>
      <c r="P344" s="41">
        <f t="shared" si="152"/>
        <v>0.90625</v>
      </c>
      <c r="Q344" s="21">
        <v>6</v>
      </c>
      <c r="R344" s="41">
        <f t="shared" si="153"/>
        <v>9.0909090909090912E-2</v>
      </c>
      <c r="S344" s="21">
        <v>5</v>
      </c>
      <c r="T344" s="41">
        <f t="shared" si="154"/>
        <v>7.8125E-2</v>
      </c>
      <c r="U344" s="21">
        <v>6</v>
      </c>
      <c r="V344" s="41">
        <f t="shared" si="155"/>
        <v>9.0909090909090912E-2</v>
      </c>
      <c r="W344" s="21">
        <v>6</v>
      </c>
      <c r="X344" s="41">
        <f t="shared" si="156"/>
        <v>9.375E-2</v>
      </c>
      <c r="Y344" s="21">
        <v>7</v>
      </c>
      <c r="Z344" s="41">
        <f t="shared" si="157"/>
        <v>0.10606060606060606</v>
      </c>
      <c r="AA344" s="21">
        <v>7</v>
      </c>
      <c r="AB344" s="41">
        <f t="shared" si="158"/>
        <v>0.109375</v>
      </c>
      <c r="AC344" s="21">
        <v>53</v>
      </c>
      <c r="AD344" s="41">
        <f t="shared" si="140"/>
        <v>0.80303030303030298</v>
      </c>
      <c r="AE344" s="21">
        <v>51</v>
      </c>
      <c r="AF344" s="41">
        <f t="shared" si="159"/>
        <v>0.796875</v>
      </c>
      <c r="AG344" s="21">
        <v>4</v>
      </c>
      <c r="AH344" s="41">
        <f t="shared" si="141"/>
        <v>6.0606060606060608E-2</v>
      </c>
      <c r="AI344" s="21">
        <v>4</v>
      </c>
      <c r="AJ344" s="41">
        <f t="shared" si="160"/>
        <v>6.25E-2</v>
      </c>
      <c r="AK344" s="21">
        <v>0</v>
      </c>
      <c r="AL344" s="41">
        <f t="shared" si="142"/>
        <v>0</v>
      </c>
      <c r="AM344" s="21">
        <v>1</v>
      </c>
      <c r="AN344" s="41">
        <f t="shared" si="161"/>
        <v>1.5625E-2</v>
      </c>
      <c r="AO344" s="21">
        <v>31</v>
      </c>
      <c r="AP344" s="41">
        <f t="shared" si="143"/>
        <v>0.46969696969696972</v>
      </c>
      <c r="AQ344" s="21">
        <v>30</v>
      </c>
      <c r="AR344" s="41">
        <f t="shared" si="162"/>
        <v>0.46875</v>
      </c>
      <c r="AS344" s="21">
        <v>21</v>
      </c>
      <c r="AT344" s="41">
        <f t="shared" si="144"/>
        <v>0.31818181818181818</v>
      </c>
      <c r="AU344" s="21">
        <v>20</v>
      </c>
      <c r="AV344" s="41">
        <f t="shared" si="163"/>
        <v>0.3125</v>
      </c>
      <c r="AW344" s="21">
        <v>2</v>
      </c>
      <c r="AX344" s="41">
        <f t="shared" si="145"/>
        <v>3.0303030303030304E-2</v>
      </c>
      <c r="AY344" s="21">
        <v>2</v>
      </c>
      <c r="AZ344" s="41">
        <f t="shared" si="164"/>
        <v>3.125E-2</v>
      </c>
      <c r="BA344" s="21">
        <v>8</v>
      </c>
      <c r="BB344" s="41">
        <f t="shared" si="146"/>
        <v>0.12121212121212122</v>
      </c>
      <c r="BC344" s="21">
        <v>7</v>
      </c>
      <c r="BD344" s="41">
        <f t="shared" si="165"/>
        <v>0.109375</v>
      </c>
      <c r="BE344" s="21">
        <v>66</v>
      </c>
      <c r="BF344" s="21">
        <v>64</v>
      </c>
    </row>
    <row r="345" spans="1:58" ht="15.75" customHeight="1" x14ac:dyDescent="0.25">
      <c r="A345" s="44">
        <v>2022</v>
      </c>
      <c r="B345" s="39">
        <v>171190</v>
      </c>
      <c r="C345" s="37" t="str">
        <f>VLOOKUP(B345,procv!$A$2:$D$142,4,FALSE)</f>
        <v>Cantão</v>
      </c>
      <c r="D345" s="37" t="s">
        <v>70</v>
      </c>
      <c r="E345" s="21">
        <v>10</v>
      </c>
      <c r="F345" s="42">
        <f t="shared" si="147"/>
        <v>1.4492753623188406E-2</v>
      </c>
      <c r="G345" s="21">
        <v>7</v>
      </c>
      <c r="H345" s="42">
        <f t="shared" si="148"/>
        <v>1.7199017199017199E-2</v>
      </c>
      <c r="I345" s="21">
        <v>10</v>
      </c>
      <c r="J345" s="41">
        <f t="shared" si="149"/>
        <v>1.4492753623188406E-2</v>
      </c>
      <c r="K345" s="21">
        <v>4</v>
      </c>
      <c r="L345" s="41">
        <f t="shared" si="150"/>
        <v>9.8280098280098278E-3</v>
      </c>
      <c r="M345" s="21">
        <v>629</v>
      </c>
      <c r="N345" s="41">
        <f t="shared" si="151"/>
        <v>0.91159420289855075</v>
      </c>
      <c r="O345" s="21">
        <v>373</v>
      </c>
      <c r="P345" s="41">
        <f t="shared" si="152"/>
        <v>0.91646191646191644</v>
      </c>
      <c r="Q345" s="21">
        <v>41</v>
      </c>
      <c r="R345" s="41">
        <f t="shared" si="153"/>
        <v>5.9420289855072465E-2</v>
      </c>
      <c r="S345" s="21">
        <v>23</v>
      </c>
      <c r="T345" s="41">
        <f t="shared" si="154"/>
        <v>5.6511056511056514E-2</v>
      </c>
      <c r="U345" s="21">
        <v>19</v>
      </c>
      <c r="V345" s="41">
        <f t="shared" si="155"/>
        <v>2.753623188405797E-2</v>
      </c>
      <c r="W345" s="21">
        <v>15</v>
      </c>
      <c r="X345" s="41">
        <f t="shared" si="156"/>
        <v>3.6855036855036855E-2</v>
      </c>
      <c r="Y345" s="21">
        <v>52</v>
      </c>
      <c r="Z345" s="41">
        <f t="shared" si="157"/>
        <v>7.5362318840579715E-2</v>
      </c>
      <c r="AA345" s="21">
        <v>31</v>
      </c>
      <c r="AB345" s="41">
        <f t="shared" si="158"/>
        <v>7.6167076167076173E-2</v>
      </c>
      <c r="AC345" s="21">
        <v>619</v>
      </c>
      <c r="AD345" s="41">
        <f t="shared" si="140"/>
        <v>0.89710144927536228</v>
      </c>
      <c r="AE345" s="21">
        <v>361</v>
      </c>
      <c r="AF345" s="41">
        <f t="shared" si="159"/>
        <v>0.88697788697788693</v>
      </c>
      <c r="AG345" s="21">
        <v>14</v>
      </c>
      <c r="AH345" s="41">
        <f t="shared" si="141"/>
        <v>2.0289855072463767E-2</v>
      </c>
      <c r="AI345" s="21">
        <v>13</v>
      </c>
      <c r="AJ345" s="41">
        <f t="shared" si="160"/>
        <v>3.1941031941031942E-2</v>
      </c>
      <c r="AK345" s="21">
        <v>32</v>
      </c>
      <c r="AL345" s="41">
        <f t="shared" si="142"/>
        <v>4.6376811594202899E-2</v>
      </c>
      <c r="AM345" s="21">
        <v>22</v>
      </c>
      <c r="AN345" s="41">
        <f t="shared" si="161"/>
        <v>5.4054054054054057E-2</v>
      </c>
      <c r="AO345" s="21">
        <v>447</v>
      </c>
      <c r="AP345" s="41">
        <f t="shared" si="143"/>
        <v>0.64782608695652177</v>
      </c>
      <c r="AQ345" s="21">
        <v>275</v>
      </c>
      <c r="AR345" s="41">
        <f t="shared" si="162"/>
        <v>0.67567567567567566</v>
      </c>
      <c r="AS345" s="21">
        <v>128</v>
      </c>
      <c r="AT345" s="41">
        <f t="shared" si="144"/>
        <v>0.1855072463768116</v>
      </c>
      <c r="AU345" s="21">
        <v>61</v>
      </c>
      <c r="AV345" s="41">
        <f t="shared" si="163"/>
        <v>0.14987714987714987</v>
      </c>
      <c r="AW345" s="21">
        <v>48</v>
      </c>
      <c r="AX345" s="41">
        <f t="shared" si="145"/>
        <v>6.9565217391304349E-2</v>
      </c>
      <c r="AY345" s="21">
        <v>21</v>
      </c>
      <c r="AZ345" s="41">
        <f t="shared" si="164"/>
        <v>5.1597051597051594E-2</v>
      </c>
      <c r="BA345" s="21">
        <v>21</v>
      </c>
      <c r="BB345" s="41">
        <f t="shared" si="146"/>
        <v>3.0434782608695653E-2</v>
      </c>
      <c r="BC345" s="21">
        <v>15</v>
      </c>
      <c r="BD345" s="41">
        <f t="shared" si="165"/>
        <v>3.6855036855036855E-2</v>
      </c>
      <c r="BE345" s="21">
        <v>690</v>
      </c>
      <c r="BF345" s="21">
        <v>407</v>
      </c>
    </row>
    <row r="346" spans="1:58" ht="15.75" customHeight="1" x14ac:dyDescent="0.25">
      <c r="A346" s="44">
        <v>2022</v>
      </c>
      <c r="B346" s="39">
        <v>171195</v>
      </c>
      <c r="C346" s="37" t="str">
        <f>VLOOKUP(B346,procv!$A$2:$D$142,4,FALSE)</f>
        <v>Capim Dourado</v>
      </c>
      <c r="D346" s="37" t="s">
        <v>71</v>
      </c>
      <c r="E346" s="21">
        <v>8</v>
      </c>
      <c r="F346" s="42">
        <f t="shared" si="147"/>
        <v>2.1333333333333333E-2</v>
      </c>
      <c r="G346" s="21">
        <v>6</v>
      </c>
      <c r="H346" s="42">
        <f t="shared" si="148"/>
        <v>3.2258064516129031E-2</v>
      </c>
      <c r="I346" s="21">
        <v>21</v>
      </c>
      <c r="J346" s="41">
        <f t="shared" si="149"/>
        <v>5.6000000000000001E-2</v>
      </c>
      <c r="K346" s="21">
        <v>14</v>
      </c>
      <c r="L346" s="41">
        <f t="shared" si="150"/>
        <v>7.5268817204301078E-2</v>
      </c>
      <c r="M346" s="21">
        <v>332</v>
      </c>
      <c r="N346" s="41">
        <f t="shared" si="151"/>
        <v>0.88533333333333331</v>
      </c>
      <c r="O346" s="21">
        <v>160</v>
      </c>
      <c r="P346" s="41">
        <f t="shared" si="152"/>
        <v>0.86021505376344087</v>
      </c>
      <c r="Q346" s="21">
        <v>14</v>
      </c>
      <c r="R346" s="41">
        <f t="shared" si="153"/>
        <v>3.7333333333333336E-2</v>
      </c>
      <c r="S346" s="21">
        <v>6</v>
      </c>
      <c r="T346" s="41">
        <f t="shared" si="154"/>
        <v>3.2258064516129031E-2</v>
      </c>
      <c r="U346" s="21">
        <v>12</v>
      </c>
      <c r="V346" s="41">
        <f t="shared" si="155"/>
        <v>3.2000000000000001E-2</v>
      </c>
      <c r="W346" s="21">
        <v>11</v>
      </c>
      <c r="X346" s="41">
        <f t="shared" si="156"/>
        <v>5.9139784946236562E-2</v>
      </c>
      <c r="Y346" s="21">
        <v>26</v>
      </c>
      <c r="Z346" s="41">
        <f t="shared" si="157"/>
        <v>6.933333333333333E-2</v>
      </c>
      <c r="AA346" s="21">
        <v>19</v>
      </c>
      <c r="AB346" s="41">
        <f t="shared" si="158"/>
        <v>0.10215053763440861</v>
      </c>
      <c r="AC346" s="21">
        <v>337</v>
      </c>
      <c r="AD346" s="41">
        <f t="shared" si="140"/>
        <v>0.89866666666666661</v>
      </c>
      <c r="AE346" s="21">
        <v>156</v>
      </c>
      <c r="AF346" s="41">
        <f t="shared" si="159"/>
        <v>0.83870967741935487</v>
      </c>
      <c r="AG346" s="21">
        <v>22</v>
      </c>
      <c r="AH346" s="41">
        <f t="shared" si="141"/>
        <v>5.8666666666666666E-2</v>
      </c>
      <c r="AI346" s="21">
        <v>14</v>
      </c>
      <c r="AJ346" s="41">
        <f t="shared" si="160"/>
        <v>7.5268817204301078E-2</v>
      </c>
      <c r="AK346" s="21">
        <v>18</v>
      </c>
      <c r="AL346" s="41">
        <f t="shared" si="142"/>
        <v>4.8000000000000001E-2</v>
      </c>
      <c r="AM346" s="21">
        <v>9</v>
      </c>
      <c r="AN346" s="41">
        <f t="shared" si="161"/>
        <v>4.8387096774193547E-2</v>
      </c>
      <c r="AO346" s="21">
        <v>236</v>
      </c>
      <c r="AP346" s="41">
        <f t="shared" si="143"/>
        <v>0.6293333333333333</v>
      </c>
      <c r="AQ346" s="21">
        <v>123</v>
      </c>
      <c r="AR346" s="41">
        <f t="shared" si="162"/>
        <v>0.66129032258064513</v>
      </c>
      <c r="AS346" s="21">
        <v>64</v>
      </c>
      <c r="AT346" s="41">
        <f t="shared" si="144"/>
        <v>0.17066666666666666</v>
      </c>
      <c r="AU346" s="21">
        <v>26</v>
      </c>
      <c r="AV346" s="41">
        <f t="shared" si="163"/>
        <v>0.13978494623655913</v>
      </c>
      <c r="AW346" s="21">
        <v>25</v>
      </c>
      <c r="AX346" s="41">
        <f t="shared" si="145"/>
        <v>6.6666666666666666E-2</v>
      </c>
      <c r="AY346" s="21">
        <v>7</v>
      </c>
      <c r="AZ346" s="41">
        <f t="shared" si="164"/>
        <v>3.7634408602150539E-2</v>
      </c>
      <c r="BA346" s="21">
        <v>10</v>
      </c>
      <c r="BB346" s="41">
        <f t="shared" si="146"/>
        <v>2.6666666666666668E-2</v>
      </c>
      <c r="BC346" s="21">
        <v>7</v>
      </c>
      <c r="BD346" s="41">
        <f t="shared" si="165"/>
        <v>3.7634408602150539E-2</v>
      </c>
      <c r="BE346" s="21">
        <v>375</v>
      </c>
      <c r="BF346" s="21">
        <v>186</v>
      </c>
    </row>
    <row r="347" spans="1:58" ht="15.75" customHeight="1" x14ac:dyDescent="0.25">
      <c r="A347" s="44">
        <v>2022</v>
      </c>
      <c r="B347" s="39">
        <v>171200</v>
      </c>
      <c r="C347" s="37" t="str">
        <f>VLOOKUP(B347,procv!$A$2:$D$142,4,FALSE)</f>
        <v>Capim Dourado</v>
      </c>
      <c r="D347" s="37" t="s">
        <v>72</v>
      </c>
      <c r="E347" s="21">
        <v>1</v>
      </c>
      <c r="F347" s="42">
        <f t="shared" si="147"/>
        <v>1.8867924528301886E-2</v>
      </c>
      <c r="G347" s="21">
        <v>1</v>
      </c>
      <c r="H347" s="42">
        <f t="shared" si="148"/>
        <v>2.564102564102564E-2</v>
      </c>
      <c r="I347" s="21">
        <v>0</v>
      </c>
      <c r="J347" s="41">
        <f t="shared" si="149"/>
        <v>0</v>
      </c>
      <c r="K347" s="21">
        <v>0</v>
      </c>
      <c r="L347" s="41">
        <f t="shared" si="150"/>
        <v>0</v>
      </c>
      <c r="M347" s="21">
        <v>50</v>
      </c>
      <c r="N347" s="41">
        <f t="shared" si="151"/>
        <v>0.94339622641509435</v>
      </c>
      <c r="O347" s="21">
        <v>36</v>
      </c>
      <c r="P347" s="41">
        <f t="shared" si="152"/>
        <v>0.92307692307692313</v>
      </c>
      <c r="Q347" s="21">
        <v>2</v>
      </c>
      <c r="R347" s="41">
        <f t="shared" si="153"/>
        <v>3.7735849056603772E-2</v>
      </c>
      <c r="S347" s="21">
        <v>2</v>
      </c>
      <c r="T347" s="41">
        <f t="shared" si="154"/>
        <v>5.128205128205128E-2</v>
      </c>
      <c r="U347" s="21">
        <v>5</v>
      </c>
      <c r="V347" s="41">
        <f t="shared" si="155"/>
        <v>9.4339622641509441E-2</v>
      </c>
      <c r="W347" s="21">
        <v>5</v>
      </c>
      <c r="X347" s="41">
        <f t="shared" si="156"/>
        <v>0.12820512820512819</v>
      </c>
      <c r="Y347" s="21">
        <v>2</v>
      </c>
      <c r="Z347" s="41">
        <f t="shared" si="157"/>
        <v>3.7735849056603772E-2</v>
      </c>
      <c r="AA347" s="21">
        <v>2</v>
      </c>
      <c r="AB347" s="41">
        <f t="shared" si="158"/>
        <v>5.128205128205128E-2</v>
      </c>
      <c r="AC347" s="21">
        <v>46</v>
      </c>
      <c r="AD347" s="41">
        <f t="shared" si="140"/>
        <v>0.86792452830188682</v>
      </c>
      <c r="AE347" s="21">
        <v>32</v>
      </c>
      <c r="AF347" s="41">
        <f t="shared" si="159"/>
        <v>0.82051282051282048</v>
      </c>
      <c r="AG347" s="21">
        <v>2</v>
      </c>
      <c r="AH347" s="41">
        <f t="shared" si="141"/>
        <v>3.7735849056603772E-2</v>
      </c>
      <c r="AI347" s="21">
        <v>2</v>
      </c>
      <c r="AJ347" s="41">
        <f t="shared" si="160"/>
        <v>5.128205128205128E-2</v>
      </c>
      <c r="AK347" s="21">
        <v>2</v>
      </c>
      <c r="AL347" s="41">
        <f t="shared" si="142"/>
        <v>3.7735849056603772E-2</v>
      </c>
      <c r="AM347" s="21">
        <v>2</v>
      </c>
      <c r="AN347" s="41">
        <f t="shared" si="161"/>
        <v>5.128205128205128E-2</v>
      </c>
      <c r="AO347" s="21">
        <v>32</v>
      </c>
      <c r="AP347" s="41">
        <f t="shared" si="143"/>
        <v>0.60377358490566035</v>
      </c>
      <c r="AQ347" s="21">
        <v>24</v>
      </c>
      <c r="AR347" s="41">
        <f t="shared" si="162"/>
        <v>0.61538461538461542</v>
      </c>
      <c r="AS347" s="21">
        <v>11</v>
      </c>
      <c r="AT347" s="41">
        <f t="shared" si="144"/>
        <v>0.20754716981132076</v>
      </c>
      <c r="AU347" s="21">
        <v>5</v>
      </c>
      <c r="AV347" s="41">
        <f t="shared" si="163"/>
        <v>0.12820512820512819</v>
      </c>
      <c r="AW347" s="21">
        <v>1</v>
      </c>
      <c r="AX347" s="41">
        <f t="shared" si="145"/>
        <v>1.8867924528301886E-2</v>
      </c>
      <c r="AY347" s="21">
        <v>1</v>
      </c>
      <c r="AZ347" s="41">
        <f t="shared" si="164"/>
        <v>2.564102564102564E-2</v>
      </c>
      <c r="BA347" s="21">
        <v>5</v>
      </c>
      <c r="BB347" s="41">
        <f t="shared" si="146"/>
        <v>9.4339622641509441E-2</v>
      </c>
      <c r="BC347" s="21">
        <v>5</v>
      </c>
      <c r="BD347" s="41">
        <f t="shared" si="165"/>
        <v>0.12820512820512819</v>
      </c>
      <c r="BE347" s="21">
        <v>53</v>
      </c>
      <c r="BF347" s="21">
        <v>39</v>
      </c>
    </row>
    <row r="348" spans="1:58" ht="15.75" customHeight="1" x14ac:dyDescent="0.25">
      <c r="A348" s="44">
        <v>2022</v>
      </c>
      <c r="B348" s="39">
        <v>171215</v>
      </c>
      <c r="C348" s="37" t="str">
        <f>VLOOKUP(B348,procv!$A$2:$D$142,4,FALSE)</f>
        <v>Sudeste</v>
      </c>
      <c r="D348" s="37" t="s">
        <v>73</v>
      </c>
      <c r="E348" s="21">
        <v>0</v>
      </c>
      <c r="F348" s="42">
        <f t="shared" si="147"/>
        <v>0</v>
      </c>
      <c r="G348" s="21">
        <v>0</v>
      </c>
      <c r="H348" s="42">
        <f t="shared" si="148"/>
        <v>0</v>
      </c>
      <c r="I348" s="21">
        <v>2</v>
      </c>
      <c r="J348" s="41">
        <f t="shared" si="149"/>
        <v>1.6129032258064516E-2</v>
      </c>
      <c r="K348" s="21">
        <v>1</v>
      </c>
      <c r="L348" s="41">
        <f t="shared" si="150"/>
        <v>1.6393442622950821E-2</v>
      </c>
      <c r="M348" s="21">
        <v>118</v>
      </c>
      <c r="N348" s="41">
        <f t="shared" si="151"/>
        <v>0.95161290322580649</v>
      </c>
      <c r="O348" s="21">
        <v>59</v>
      </c>
      <c r="P348" s="41">
        <f t="shared" si="152"/>
        <v>0.96721311475409832</v>
      </c>
      <c r="Q348" s="21">
        <v>4</v>
      </c>
      <c r="R348" s="41">
        <f t="shared" si="153"/>
        <v>3.2258064516129031E-2</v>
      </c>
      <c r="S348" s="21">
        <v>1</v>
      </c>
      <c r="T348" s="41">
        <f t="shared" si="154"/>
        <v>1.6393442622950821E-2</v>
      </c>
      <c r="U348" s="21">
        <v>1</v>
      </c>
      <c r="V348" s="41">
        <f t="shared" si="155"/>
        <v>8.0645161290322578E-3</v>
      </c>
      <c r="W348" s="21">
        <v>1</v>
      </c>
      <c r="X348" s="41">
        <f t="shared" si="156"/>
        <v>1.6393442622950821E-2</v>
      </c>
      <c r="Y348" s="21">
        <v>10</v>
      </c>
      <c r="Z348" s="41">
        <f t="shared" si="157"/>
        <v>8.0645161290322578E-2</v>
      </c>
      <c r="AA348" s="21">
        <v>3</v>
      </c>
      <c r="AB348" s="41">
        <f t="shared" si="158"/>
        <v>4.9180327868852458E-2</v>
      </c>
      <c r="AC348" s="21">
        <v>113</v>
      </c>
      <c r="AD348" s="41">
        <f t="shared" si="140"/>
        <v>0.91129032258064513</v>
      </c>
      <c r="AE348" s="21">
        <v>57</v>
      </c>
      <c r="AF348" s="41">
        <f t="shared" si="159"/>
        <v>0.93442622950819676</v>
      </c>
      <c r="AG348" s="21">
        <v>7</v>
      </c>
      <c r="AH348" s="41">
        <f t="shared" si="141"/>
        <v>5.6451612903225805E-2</v>
      </c>
      <c r="AI348" s="21">
        <v>4</v>
      </c>
      <c r="AJ348" s="41">
        <f t="shared" si="160"/>
        <v>6.5573770491803282E-2</v>
      </c>
      <c r="AK348" s="21">
        <v>5</v>
      </c>
      <c r="AL348" s="41">
        <f t="shared" si="142"/>
        <v>4.0322580645161289E-2</v>
      </c>
      <c r="AM348" s="21">
        <v>4</v>
      </c>
      <c r="AN348" s="41">
        <f t="shared" si="161"/>
        <v>6.5573770491803282E-2</v>
      </c>
      <c r="AO348" s="21">
        <v>84</v>
      </c>
      <c r="AP348" s="41">
        <f t="shared" si="143"/>
        <v>0.67741935483870963</v>
      </c>
      <c r="AQ348" s="21">
        <v>45</v>
      </c>
      <c r="AR348" s="41">
        <f t="shared" si="162"/>
        <v>0.73770491803278693</v>
      </c>
      <c r="AS348" s="21">
        <v>18</v>
      </c>
      <c r="AT348" s="41">
        <f t="shared" si="144"/>
        <v>0.14516129032258066</v>
      </c>
      <c r="AU348" s="21">
        <v>4</v>
      </c>
      <c r="AV348" s="41">
        <f t="shared" si="163"/>
        <v>6.5573770491803282E-2</v>
      </c>
      <c r="AW348" s="21">
        <v>7</v>
      </c>
      <c r="AX348" s="41">
        <f t="shared" si="145"/>
        <v>5.6451612903225805E-2</v>
      </c>
      <c r="AY348" s="21">
        <v>3</v>
      </c>
      <c r="AZ348" s="41">
        <f t="shared" si="164"/>
        <v>4.9180327868852458E-2</v>
      </c>
      <c r="BA348" s="21">
        <v>3</v>
      </c>
      <c r="BB348" s="41">
        <f t="shared" si="146"/>
        <v>2.4193548387096774E-2</v>
      </c>
      <c r="BC348" s="21">
        <v>1</v>
      </c>
      <c r="BD348" s="41">
        <f t="shared" si="165"/>
        <v>1.6393442622950821E-2</v>
      </c>
      <c r="BE348" s="21">
        <v>124</v>
      </c>
      <c r="BF348" s="21">
        <v>61</v>
      </c>
    </row>
    <row r="349" spans="1:58" ht="15.75" customHeight="1" x14ac:dyDescent="0.25">
      <c r="A349" s="44">
        <v>2022</v>
      </c>
      <c r="B349" s="39">
        <v>171240</v>
      </c>
      <c r="C349" s="37" t="str">
        <f>VLOOKUP(B349,procv!$A$2:$D$142,4,FALSE)</f>
        <v>Capim Dourado</v>
      </c>
      <c r="D349" s="37" t="s">
        <v>74</v>
      </c>
      <c r="E349" s="21">
        <v>6</v>
      </c>
      <c r="F349" s="42">
        <f t="shared" si="147"/>
        <v>3.8216560509554139E-2</v>
      </c>
      <c r="G349" s="21">
        <v>4</v>
      </c>
      <c r="H349" s="42">
        <f t="shared" si="148"/>
        <v>0.04</v>
      </c>
      <c r="I349" s="21">
        <v>6</v>
      </c>
      <c r="J349" s="41">
        <f t="shared" si="149"/>
        <v>3.8216560509554139E-2</v>
      </c>
      <c r="K349" s="21">
        <v>4</v>
      </c>
      <c r="L349" s="41">
        <f t="shared" si="150"/>
        <v>0.04</v>
      </c>
      <c r="M349" s="21">
        <v>139</v>
      </c>
      <c r="N349" s="41">
        <f t="shared" si="151"/>
        <v>0.88535031847133761</v>
      </c>
      <c r="O349" s="21">
        <v>88</v>
      </c>
      <c r="P349" s="41">
        <f t="shared" si="152"/>
        <v>0.88</v>
      </c>
      <c r="Q349" s="21">
        <v>6</v>
      </c>
      <c r="R349" s="41">
        <f t="shared" si="153"/>
        <v>3.8216560509554139E-2</v>
      </c>
      <c r="S349" s="21">
        <v>4</v>
      </c>
      <c r="T349" s="41">
        <f t="shared" si="154"/>
        <v>0.04</v>
      </c>
      <c r="U349" s="21">
        <v>14</v>
      </c>
      <c r="V349" s="41">
        <f t="shared" si="155"/>
        <v>8.9171974522292988E-2</v>
      </c>
      <c r="W349" s="21">
        <v>11</v>
      </c>
      <c r="X349" s="41">
        <f t="shared" si="156"/>
        <v>0.11</v>
      </c>
      <c r="Y349" s="21">
        <v>19</v>
      </c>
      <c r="Z349" s="41">
        <f t="shared" si="157"/>
        <v>0.12101910828025478</v>
      </c>
      <c r="AA349" s="21">
        <v>14</v>
      </c>
      <c r="AB349" s="41">
        <f t="shared" si="158"/>
        <v>0.14000000000000001</v>
      </c>
      <c r="AC349" s="21">
        <v>124</v>
      </c>
      <c r="AD349" s="41">
        <f t="shared" si="140"/>
        <v>0.78980891719745228</v>
      </c>
      <c r="AE349" s="21">
        <v>75</v>
      </c>
      <c r="AF349" s="41">
        <f t="shared" si="159"/>
        <v>0.75</v>
      </c>
      <c r="AG349" s="21">
        <v>13</v>
      </c>
      <c r="AH349" s="41">
        <f t="shared" si="141"/>
        <v>8.2802547770700632E-2</v>
      </c>
      <c r="AI349" s="21">
        <v>10</v>
      </c>
      <c r="AJ349" s="41">
        <f t="shared" si="160"/>
        <v>0.1</v>
      </c>
      <c r="AK349" s="21">
        <v>4</v>
      </c>
      <c r="AL349" s="41">
        <f t="shared" si="142"/>
        <v>2.5477707006369428E-2</v>
      </c>
      <c r="AM349" s="21">
        <v>4</v>
      </c>
      <c r="AN349" s="41">
        <f t="shared" si="161"/>
        <v>0.04</v>
      </c>
      <c r="AO349" s="21">
        <v>100</v>
      </c>
      <c r="AP349" s="41">
        <f t="shared" si="143"/>
        <v>0.63694267515923564</v>
      </c>
      <c r="AQ349" s="21">
        <v>58</v>
      </c>
      <c r="AR349" s="41">
        <f t="shared" si="162"/>
        <v>0.57999999999999996</v>
      </c>
      <c r="AS349" s="21">
        <v>20</v>
      </c>
      <c r="AT349" s="41">
        <f t="shared" si="144"/>
        <v>0.12738853503184713</v>
      </c>
      <c r="AU349" s="21">
        <v>14</v>
      </c>
      <c r="AV349" s="41">
        <f t="shared" si="163"/>
        <v>0.14000000000000001</v>
      </c>
      <c r="AW349" s="21">
        <v>12</v>
      </c>
      <c r="AX349" s="41">
        <f t="shared" si="145"/>
        <v>7.6433121019108277E-2</v>
      </c>
      <c r="AY349" s="21">
        <v>8</v>
      </c>
      <c r="AZ349" s="41">
        <f t="shared" si="164"/>
        <v>0.08</v>
      </c>
      <c r="BA349" s="21">
        <v>8</v>
      </c>
      <c r="BB349" s="41">
        <f t="shared" si="146"/>
        <v>5.0955414012738856E-2</v>
      </c>
      <c r="BC349" s="21">
        <v>6</v>
      </c>
      <c r="BD349" s="41">
        <f t="shared" si="165"/>
        <v>0.06</v>
      </c>
      <c r="BE349" s="21">
        <v>157</v>
      </c>
      <c r="BF349" s="21">
        <v>100</v>
      </c>
    </row>
    <row r="350" spans="1:58" ht="15.75" customHeight="1" x14ac:dyDescent="0.25">
      <c r="A350" s="44">
        <v>2022</v>
      </c>
      <c r="B350" s="39">
        <v>171245</v>
      </c>
      <c r="C350" s="37" t="str">
        <f>VLOOKUP(B350,procv!$A$2:$D$142,4,FALSE)</f>
        <v>Bico do Papagaio</v>
      </c>
      <c r="D350" s="37" t="s">
        <v>75</v>
      </c>
      <c r="E350" s="21">
        <v>5</v>
      </c>
      <c r="F350" s="42">
        <f t="shared" si="147"/>
        <v>2.5000000000000001E-2</v>
      </c>
      <c r="G350" s="21">
        <v>1</v>
      </c>
      <c r="H350" s="42">
        <f t="shared" si="148"/>
        <v>1.0101010101010102E-2</v>
      </c>
      <c r="I350" s="21">
        <v>8</v>
      </c>
      <c r="J350" s="41">
        <f t="shared" si="149"/>
        <v>0.04</v>
      </c>
      <c r="K350" s="21">
        <v>5</v>
      </c>
      <c r="L350" s="41">
        <f t="shared" si="150"/>
        <v>5.0505050505050504E-2</v>
      </c>
      <c r="M350" s="21">
        <v>182</v>
      </c>
      <c r="N350" s="41">
        <f t="shared" si="151"/>
        <v>0.91</v>
      </c>
      <c r="O350" s="21">
        <v>91</v>
      </c>
      <c r="P350" s="41">
        <f t="shared" si="152"/>
        <v>0.91919191919191923</v>
      </c>
      <c r="Q350" s="21">
        <v>5</v>
      </c>
      <c r="R350" s="41">
        <f t="shared" si="153"/>
        <v>2.5000000000000001E-2</v>
      </c>
      <c r="S350" s="21">
        <v>2</v>
      </c>
      <c r="T350" s="41">
        <f t="shared" si="154"/>
        <v>2.0202020202020204E-2</v>
      </c>
      <c r="U350" s="21">
        <v>4</v>
      </c>
      <c r="V350" s="41">
        <f t="shared" si="155"/>
        <v>0.02</v>
      </c>
      <c r="W350" s="21">
        <v>2</v>
      </c>
      <c r="X350" s="41">
        <f t="shared" si="156"/>
        <v>2.0202020202020204E-2</v>
      </c>
      <c r="Y350" s="21">
        <v>13</v>
      </c>
      <c r="Z350" s="41">
        <f t="shared" si="157"/>
        <v>6.5000000000000002E-2</v>
      </c>
      <c r="AA350" s="21">
        <v>9</v>
      </c>
      <c r="AB350" s="41">
        <f t="shared" si="158"/>
        <v>9.0909090909090912E-2</v>
      </c>
      <c r="AC350" s="21">
        <v>183</v>
      </c>
      <c r="AD350" s="41">
        <f t="shared" si="140"/>
        <v>0.91500000000000004</v>
      </c>
      <c r="AE350" s="21">
        <v>88</v>
      </c>
      <c r="AF350" s="41">
        <f t="shared" si="159"/>
        <v>0.88888888888888884</v>
      </c>
      <c r="AG350" s="21">
        <v>4</v>
      </c>
      <c r="AH350" s="41">
        <f t="shared" si="141"/>
        <v>0.02</v>
      </c>
      <c r="AI350" s="21">
        <v>0</v>
      </c>
      <c r="AJ350" s="41">
        <f t="shared" si="160"/>
        <v>0</v>
      </c>
      <c r="AK350" s="21">
        <v>6</v>
      </c>
      <c r="AL350" s="41">
        <f t="shared" si="142"/>
        <v>0.03</v>
      </c>
      <c r="AM350" s="21">
        <v>2</v>
      </c>
      <c r="AN350" s="41">
        <f t="shared" si="161"/>
        <v>2.0202020202020204E-2</v>
      </c>
      <c r="AO350" s="21">
        <v>148</v>
      </c>
      <c r="AP350" s="41">
        <f t="shared" si="143"/>
        <v>0.74</v>
      </c>
      <c r="AQ350" s="21">
        <v>79</v>
      </c>
      <c r="AR350" s="41">
        <f t="shared" si="162"/>
        <v>0.79797979797979801</v>
      </c>
      <c r="AS350" s="21">
        <v>31</v>
      </c>
      <c r="AT350" s="41">
        <f t="shared" si="144"/>
        <v>0.155</v>
      </c>
      <c r="AU350" s="21">
        <v>12</v>
      </c>
      <c r="AV350" s="41">
        <f t="shared" si="163"/>
        <v>0.12121212121212122</v>
      </c>
      <c r="AW350" s="21">
        <v>6</v>
      </c>
      <c r="AX350" s="41">
        <f t="shared" si="145"/>
        <v>0.03</v>
      </c>
      <c r="AY350" s="21">
        <v>2</v>
      </c>
      <c r="AZ350" s="41">
        <f t="shared" si="164"/>
        <v>2.0202020202020204E-2</v>
      </c>
      <c r="BA350" s="21">
        <v>5</v>
      </c>
      <c r="BB350" s="41">
        <f t="shared" si="146"/>
        <v>2.5000000000000001E-2</v>
      </c>
      <c r="BC350" s="21">
        <v>4</v>
      </c>
      <c r="BD350" s="41">
        <f t="shared" si="165"/>
        <v>4.0404040404040407E-2</v>
      </c>
      <c r="BE350" s="21">
        <v>200</v>
      </c>
      <c r="BF350" s="21">
        <v>99</v>
      </c>
    </row>
    <row r="351" spans="1:58" ht="15.75" customHeight="1" x14ac:dyDescent="0.25">
      <c r="A351" s="44">
        <v>2022</v>
      </c>
      <c r="B351" s="39">
        <v>171250</v>
      </c>
      <c r="C351" s="37" t="str">
        <f>VLOOKUP(B351,procv!$A$2:$D$142,4,FALSE)</f>
        <v>Cantão</v>
      </c>
      <c r="D351" s="37" t="s">
        <v>76</v>
      </c>
      <c r="E351" s="21">
        <v>2</v>
      </c>
      <c r="F351" s="42">
        <f t="shared" si="147"/>
        <v>5.681818181818182E-3</v>
      </c>
      <c r="G351" s="21">
        <v>0</v>
      </c>
      <c r="H351" s="42">
        <f t="shared" si="148"/>
        <v>0</v>
      </c>
      <c r="I351" s="21">
        <v>7</v>
      </c>
      <c r="J351" s="41">
        <f t="shared" si="149"/>
        <v>1.9886363636363636E-2</v>
      </c>
      <c r="K351" s="21">
        <v>5</v>
      </c>
      <c r="L351" s="41">
        <f t="shared" si="150"/>
        <v>3.90625E-2</v>
      </c>
      <c r="M351" s="21">
        <v>321</v>
      </c>
      <c r="N351" s="41">
        <f t="shared" si="151"/>
        <v>0.91193181818181823</v>
      </c>
      <c r="O351" s="21">
        <v>115</v>
      </c>
      <c r="P351" s="41">
        <f t="shared" si="152"/>
        <v>0.8984375</v>
      </c>
      <c r="Q351" s="21">
        <v>22</v>
      </c>
      <c r="R351" s="41">
        <f t="shared" si="153"/>
        <v>6.25E-2</v>
      </c>
      <c r="S351" s="21">
        <v>8</v>
      </c>
      <c r="T351" s="41">
        <f t="shared" si="154"/>
        <v>6.25E-2</v>
      </c>
      <c r="U351" s="21">
        <v>6</v>
      </c>
      <c r="V351" s="41">
        <f t="shared" si="155"/>
        <v>1.7045454545454544E-2</v>
      </c>
      <c r="W351" s="21">
        <v>6</v>
      </c>
      <c r="X351" s="41">
        <f t="shared" si="156"/>
        <v>4.6875E-2</v>
      </c>
      <c r="Y351" s="21">
        <v>22</v>
      </c>
      <c r="Z351" s="41">
        <f t="shared" si="157"/>
        <v>6.25E-2</v>
      </c>
      <c r="AA351" s="21">
        <v>14</v>
      </c>
      <c r="AB351" s="41">
        <f t="shared" si="158"/>
        <v>0.109375</v>
      </c>
      <c r="AC351" s="21">
        <v>324</v>
      </c>
      <c r="AD351" s="41">
        <f t="shared" si="140"/>
        <v>0.92045454545454541</v>
      </c>
      <c r="AE351" s="21">
        <v>108</v>
      </c>
      <c r="AF351" s="41">
        <f t="shared" si="159"/>
        <v>0.84375</v>
      </c>
      <c r="AG351" s="21">
        <v>3</v>
      </c>
      <c r="AH351" s="41">
        <f t="shared" si="141"/>
        <v>8.5227272727272721E-3</v>
      </c>
      <c r="AI351" s="21">
        <v>3</v>
      </c>
      <c r="AJ351" s="41">
        <f t="shared" si="160"/>
        <v>2.34375E-2</v>
      </c>
      <c r="AK351" s="21">
        <v>11</v>
      </c>
      <c r="AL351" s="41">
        <f t="shared" si="142"/>
        <v>3.125E-2</v>
      </c>
      <c r="AM351" s="21">
        <v>6</v>
      </c>
      <c r="AN351" s="41">
        <f t="shared" si="161"/>
        <v>4.6875E-2</v>
      </c>
      <c r="AO351" s="21">
        <v>224</v>
      </c>
      <c r="AP351" s="41">
        <f t="shared" si="143"/>
        <v>0.63636363636363635</v>
      </c>
      <c r="AQ351" s="21">
        <v>80</v>
      </c>
      <c r="AR351" s="41">
        <f t="shared" si="162"/>
        <v>0.625</v>
      </c>
      <c r="AS351" s="21">
        <v>78</v>
      </c>
      <c r="AT351" s="41">
        <f t="shared" si="144"/>
        <v>0.22159090909090909</v>
      </c>
      <c r="AU351" s="21">
        <v>21</v>
      </c>
      <c r="AV351" s="41">
        <f t="shared" si="163"/>
        <v>0.1640625</v>
      </c>
      <c r="AW351" s="21">
        <v>26</v>
      </c>
      <c r="AX351" s="41">
        <f t="shared" si="145"/>
        <v>7.3863636363636367E-2</v>
      </c>
      <c r="AY351" s="21">
        <v>8</v>
      </c>
      <c r="AZ351" s="41">
        <f t="shared" si="164"/>
        <v>6.25E-2</v>
      </c>
      <c r="BA351" s="21">
        <v>10</v>
      </c>
      <c r="BB351" s="41">
        <f t="shared" si="146"/>
        <v>2.8409090909090908E-2</v>
      </c>
      <c r="BC351" s="21">
        <v>10</v>
      </c>
      <c r="BD351" s="41">
        <f t="shared" si="165"/>
        <v>7.8125E-2</v>
      </c>
      <c r="BE351" s="21">
        <v>352</v>
      </c>
      <c r="BF351" s="21">
        <v>128</v>
      </c>
    </row>
    <row r="352" spans="1:58" ht="15.75" customHeight="1" x14ac:dyDescent="0.25">
      <c r="A352" s="44">
        <v>2022</v>
      </c>
      <c r="B352" s="39">
        <v>171270</v>
      </c>
      <c r="C352" s="37" t="str">
        <f>VLOOKUP(B352,procv!$A$2:$D$142,4,FALSE)</f>
        <v>Amor Perfeito</v>
      </c>
      <c r="D352" s="37" t="s">
        <v>77</v>
      </c>
      <c r="E352" s="21">
        <v>2</v>
      </c>
      <c r="F352" s="42">
        <f t="shared" si="147"/>
        <v>1.0416666666666666E-2</v>
      </c>
      <c r="G352" s="21">
        <v>1</v>
      </c>
      <c r="H352" s="42">
        <f t="shared" si="148"/>
        <v>1.1764705882352941E-2</v>
      </c>
      <c r="I352" s="21">
        <v>6</v>
      </c>
      <c r="J352" s="41">
        <f t="shared" si="149"/>
        <v>3.125E-2</v>
      </c>
      <c r="K352" s="21">
        <v>3</v>
      </c>
      <c r="L352" s="41">
        <f t="shared" si="150"/>
        <v>3.5294117647058823E-2</v>
      </c>
      <c r="M352" s="21">
        <v>175</v>
      </c>
      <c r="N352" s="41">
        <f t="shared" si="151"/>
        <v>0.91145833333333337</v>
      </c>
      <c r="O352" s="21">
        <v>78</v>
      </c>
      <c r="P352" s="41">
        <f t="shared" si="152"/>
        <v>0.91764705882352937</v>
      </c>
      <c r="Q352" s="21">
        <v>9</v>
      </c>
      <c r="R352" s="41">
        <f t="shared" si="153"/>
        <v>4.6875E-2</v>
      </c>
      <c r="S352" s="21">
        <v>3</v>
      </c>
      <c r="T352" s="41">
        <f t="shared" si="154"/>
        <v>3.5294117647058823E-2</v>
      </c>
      <c r="U352" s="21">
        <v>20</v>
      </c>
      <c r="V352" s="41">
        <f t="shared" si="155"/>
        <v>0.10416666666666667</v>
      </c>
      <c r="W352" s="21">
        <v>10</v>
      </c>
      <c r="X352" s="41">
        <f t="shared" si="156"/>
        <v>0.11764705882352941</v>
      </c>
      <c r="Y352" s="21">
        <v>31</v>
      </c>
      <c r="Z352" s="41">
        <f t="shared" si="157"/>
        <v>0.16145833333333334</v>
      </c>
      <c r="AA352" s="21">
        <v>12</v>
      </c>
      <c r="AB352" s="41">
        <f t="shared" si="158"/>
        <v>0.14117647058823529</v>
      </c>
      <c r="AC352" s="21">
        <v>141</v>
      </c>
      <c r="AD352" s="41">
        <f t="shared" si="140"/>
        <v>0.734375</v>
      </c>
      <c r="AE352" s="21">
        <v>63</v>
      </c>
      <c r="AF352" s="41">
        <f t="shared" si="159"/>
        <v>0.74117647058823533</v>
      </c>
      <c r="AG352" s="21">
        <v>2</v>
      </c>
      <c r="AH352" s="41">
        <f t="shared" si="141"/>
        <v>1.0416666666666666E-2</v>
      </c>
      <c r="AI352" s="21">
        <v>1</v>
      </c>
      <c r="AJ352" s="41">
        <f t="shared" si="160"/>
        <v>1.1764705882352941E-2</v>
      </c>
      <c r="AK352" s="21">
        <v>3</v>
      </c>
      <c r="AL352" s="41">
        <f t="shared" si="142"/>
        <v>1.5625E-2</v>
      </c>
      <c r="AM352" s="21">
        <v>3</v>
      </c>
      <c r="AN352" s="41">
        <f t="shared" si="161"/>
        <v>3.5294117647058823E-2</v>
      </c>
      <c r="AO352" s="21">
        <v>105</v>
      </c>
      <c r="AP352" s="41">
        <f t="shared" si="143"/>
        <v>0.546875</v>
      </c>
      <c r="AQ352" s="21">
        <v>46</v>
      </c>
      <c r="AR352" s="41">
        <f t="shared" si="162"/>
        <v>0.54117647058823526</v>
      </c>
      <c r="AS352" s="21">
        <v>43</v>
      </c>
      <c r="AT352" s="41">
        <f t="shared" si="144"/>
        <v>0.22395833333333334</v>
      </c>
      <c r="AU352" s="21">
        <v>15</v>
      </c>
      <c r="AV352" s="41">
        <f t="shared" si="163"/>
        <v>0.17647058823529413</v>
      </c>
      <c r="AW352" s="21">
        <v>24</v>
      </c>
      <c r="AX352" s="41">
        <f t="shared" si="145"/>
        <v>0.125</v>
      </c>
      <c r="AY352" s="21">
        <v>13</v>
      </c>
      <c r="AZ352" s="41">
        <f t="shared" si="164"/>
        <v>0.15294117647058825</v>
      </c>
      <c r="BA352" s="21">
        <v>15</v>
      </c>
      <c r="BB352" s="41">
        <f t="shared" si="146"/>
        <v>7.8125E-2</v>
      </c>
      <c r="BC352" s="21">
        <v>7</v>
      </c>
      <c r="BD352" s="41">
        <f t="shared" si="165"/>
        <v>8.2352941176470587E-2</v>
      </c>
      <c r="BE352" s="21">
        <v>192</v>
      </c>
      <c r="BF352" s="21">
        <v>85</v>
      </c>
    </row>
    <row r="353" spans="1:58" ht="15.75" customHeight="1" x14ac:dyDescent="0.25">
      <c r="A353" s="44">
        <v>2022</v>
      </c>
      <c r="B353" s="39">
        <v>171280</v>
      </c>
      <c r="C353" s="37" t="str">
        <f>VLOOKUP(B353,procv!$A$2:$D$142,4,FALSE)</f>
        <v>Bico do Papagaio</v>
      </c>
      <c r="D353" s="37" t="s">
        <v>78</v>
      </c>
      <c r="E353" s="21">
        <v>1</v>
      </c>
      <c r="F353" s="42">
        <f t="shared" si="147"/>
        <v>4.1666666666666666E-3</v>
      </c>
      <c r="G353" s="21">
        <v>0</v>
      </c>
      <c r="H353" s="42">
        <f t="shared" si="148"/>
        <v>0</v>
      </c>
      <c r="I353" s="21">
        <v>1</v>
      </c>
      <c r="J353" s="41">
        <f t="shared" si="149"/>
        <v>4.1666666666666666E-3</v>
      </c>
      <c r="K353" s="21">
        <v>0</v>
      </c>
      <c r="L353" s="41">
        <f t="shared" si="150"/>
        <v>0</v>
      </c>
      <c r="M353" s="21">
        <v>232</v>
      </c>
      <c r="N353" s="41">
        <f t="shared" si="151"/>
        <v>0.96666666666666667</v>
      </c>
      <c r="O353" s="21">
        <v>141</v>
      </c>
      <c r="P353" s="41">
        <f t="shared" si="152"/>
        <v>0.96575342465753422</v>
      </c>
      <c r="Q353" s="21">
        <v>6</v>
      </c>
      <c r="R353" s="41">
        <f t="shared" si="153"/>
        <v>2.5000000000000001E-2</v>
      </c>
      <c r="S353" s="21">
        <v>5</v>
      </c>
      <c r="T353" s="41">
        <f t="shared" si="154"/>
        <v>3.4246575342465752E-2</v>
      </c>
      <c r="U353" s="21">
        <v>6</v>
      </c>
      <c r="V353" s="41">
        <f t="shared" si="155"/>
        <v>2.5000000000000001E-2</v>
      </c>
      <c r="W353" s="21">
        <v>4</v>
      </c>
      <c r="X353" s="41">
        <f t="shared" si="156"/>
        <v>2.7397260273972601E-2</v>
      </c>
      <c r="Y353" s="21">
        <v>15</v>
      </c>
      <c r="Z353" s="41">
        <f t="shared" si="157"/>
        <v>6.25E-2</v>
      </c>
      <c r="AA353" s="21">
        <v>15</v>
      </c>
      <c r="AB353" s="41">
        <f t="shared" si="158"/>
        <v>0.10273972602739725</v>
      </c>
      <c r="AC353" s="21">
        <v>219</v>
      </c>
      <c r="AD353" s="41">
        <f t="shared" si="140"/>
        <v>0.91249999999999998</v>
      </c>
      <c r="AE353" s="21">
        <v>127</v>
      </c>
      <c r="AF353" s="41">
        <f t="shared" si="159"/>
        <v>0.86986301369863017</v>
      </c>
      <c r="AG353" s="21">
        <v>4</v>
      </c>
      <c r="AH353" s="41">
        <f t="shared" si="141"/>
        <v>1.6666666666666666E-2</v>
      </c>
      <c r="AI353" s="21">
        <v>3</v>
      </c>
      <c r="AJ353" s="41">
        <f t="shared" si="160"/>
        <v>2.0547945205479451E-2</v>
      </c>
      <c r="AK353" s="21">
        <v>12</v>
      </c>
      <c r="AL353" s="41">
        <f t="shared" si="142"/>
        <v>0.05</v>
      </c>
      <c r="AM353" s="21">
        <v>12</v>
      </c>
      <c r="AN353" s="41">
        <f t="shared" si="161"/>
        <v>8.2191780821917804E-2</v>
      </c>
      <c r="AO353" s="21">
        <v>176</v>
      </c>
      <c r="AP353" s="41">
        <f t="shared" si="143"/>
        <v>0.73333333333333328</v>
      </c>
      <c r="AQ353" s="21">
        <v>108</v>
      </c>
      <c r="AR353" s="41">
        <f t="shared" si="162"/>
        <v>0.73972602739726023</v>
      </c>
      <c r="AS353" s="21">
        <v>25</v>
      </c>
      <c r="AT353" s="41">
        <f t="shared" si="144"/>
        <v>0.10416666666666667</v>
      </c>
      <c r="AU353" s="21">
        <v>9</v>
      </c>
      <c r="AV353" s="41">
        <f t="shared" si="163"/>
        <v>6.1643835616438353E-2</v>
      </c>
      <c r="AW353" s="21">
        <v>17</v>
      </c>
      <c r="AX353" s="41">
        <f t="shared" si="145"/>
        <v>7.0833333333333331E-2</v>
      </c>
      <c r="AY353" s="21">
        <v>11</v>
      </c>
      <c r="AZ353" s="41">
        <f t="shared" si="164"/>
        <v>7.5342465753424653E-2</v>
      </c>
      <c r="BA353" s="21">
        <v>6</v>
      </c>
      <c r="BB353" s="41">
        <f t="shared" si="146"/>
        <v>2.5000000000000001E-2</v>
      </c>
      <c r="BC353" s="21">
        <v>3</v>
      </c>
      <c r="BD353" s="41">
        <f t="shared" si="165"/>
        <v>2.0547945205479451E-2</v>
      </c>
      <c r="BE353" s="21">
        <v>240</v>
      </c>
      <c r="BF353" s="21">
        <v>146</v>
      </c>
    </row>
    <row r="354" spans="1:58" ht="15.75" customHeight="1" x14ac:dyDescent="0.25">
      <c r="A354" s="44">
        <v>2022</v>
      </c>
      <c r="B354" s="39">
        <v>171320</v>
      </c>
      <c r="C354" s="37" t="str">
        <f>VLOOKUP(B354,procv!$A$2:$D$142,4,FALSE)</f>
        <v>Capim Dourado</v>
      </c>
      <c r="D354" s="37" t="s">
        <v>79</v>
      </c>
      <c r="E354" s="21">
        <v>1</v>
      </c>
      <c r="F354" s="42">
        <f t="shared" si="147"/>
        <v>1.2033694344163659E-3</v>
      </c>
      <c r="G354" s="21">
        <v>0</v>
      </c>
      <c r="H354" s="42">
        <f t="shared" si="148"/>
        <v>0</v>
      </c>
      <c r="I354" s="21">
        <v>19</v>
      </c>
      <c r="J354" s="41">
        <f t="shared" si="149"/>
        <v>2.2864019253910951E-2</v>
      </c>
      <c r="K354" s="21">
        <v>11</v>
      </c>
      <c r="L354" s="41">
        <f t="shared" si="150"/>
        <v>2.4444444444444446E-2</v>
      </c>
      <c r="M354" s="21">
        <v>764</v>
      </c>
      <c r="N354" s="41">
        <f t="shared" si="151"/>
        <v>0.91937424789410349</v>
      </c>
      <c r="O354" s="21">
        <v>411</v>
      </c>
      <c r="P354" s="41">
        <f t="shared" si="152"/>
        <v>0.91333333333333333</v>
      </c>
      <c r="Q354" s="21">
        <v>47</v>
      </c>
      <c r="R354" s="41">
        <f t="shared" si="153"/>
        <v>5.6558363417569195E-2</v>
      </c>
      <c r="S354" s="21">
        <v>28</v>
      </c>
      <c r="T354" s="41">
        <f t="shared" si="154"/>
        <v>6.222222222222222E-2</v>
      </c>
      <c r="U354" s="21">
        <v>45</v>
      </c>
      <c r="V354" s="41">
        <f t="shared" si="155"/>
        <v>5.4151624548736461E-2</v>
      </c>
      <c r="W354" s="21">
        <v>34</v>
      </c>
      <c r="X354" s="41">
        <f t="shared" si="156"/>
        <v>7.5555555555555556E-2</v>
      </c>
      <c r="Y354" s="21">
        <v>88</v>
      </c>
      <c r="Z354" s="41">
        <f t="shared" si="157"/>
        <v>0.10589651022864019</v>
      </c>
      <c r="AA354" s="21">
        <v>60</v>
      </c>
      <c r="AB354" s="41">
        <f t="shared" si="158"/>
        <v>0.13333333333333333</v>
      </c>
      <c r="AC354" s="21">
        <v>698</v>
      </c>
      <c r="AD354" s="41">
        <f t="shared" si="140"/>
        <v>0.83995186522262333</v>
      </c>
      <c r="AE354" s="21">
        <v>356</v>
      </c>
      <c r="AF354" s="41">
        <f t="shared" si="159"/>
        <v>0.7911111111111111</v>
      </c>
      <c r="AG354" s="21">
        <v>22</v>
      </c>
      <c r="AH354" s="41">
        <f t="shared" si="141"/>
        <v>2.6474127557160047E-2</v>
      </c>
      <c r="AI354" s="21">
        <v>15</v>
      </c>
      <c r="AJ354" s="41">
        <f t="shared" si="160"/>
        <v>3.3333333333333333E-2</v>
      </c>
      <c r="AK354" s="21">
        <v>36</v>
      </c>
      <c r="AL354" s="41">
        <f t="shared" si="142"/>
        <v>4.3321299638989168E-2</v>
      </c>
      <c r="AM354" s="21">
        <v>21</v>
      </c>
      <c r="AN354" s="41">
        <f t="shared" si="161"/>
        <v>4.6666666666666669E-2</v>
      </c>
      <c r="AO354" s="21">
        <v>502</v>
      </c>
      <c r="AP354" s="41">
        <f t="shared" si="143"/>
        <v>0.60409145607701564</v>
      </c>
      <c r="AQ354" s="21">
        <v>260</v>
      </c>
      <c r="AR354" s="41">
        <f t="shared" si="162"/>
        <v>0.57777777777777772</v>
      </c>
      <c r="AS354" s="21">
        <v>133</v>
      </c>
      <c r="AT354" s="41">
        <f t="shared" si="144"/>
        <v>0.16004813477737664</v>
      </c>
      <c r="AU354" s="21">
        <v>64</v>
      </c>
      <c r="AV354" s="41">
        <f t="shared" si="163"/>
        <v>0.14222222222222222</v>
      </c>
      <c r="AW354" s="21">
        <v>79</v>
      </c>
      <c r="AX354" s="41">
        <f t="shared" si="145"/>
        <v>9.5066185318892896E-2</v>
      </c>
      <c r="AY354" s="21">
        <v>49</v>
      </c>
      <c r="AZ354" s="41">
        <f t="shared" si="164"/>
        <v>0.10888888888888888</v>
      </c>
      <c r="BA354" s="21">
        <v>59</v>
      </c>
      <c r="BB354" s="41">
        <f t="shared" si="146"/>
        <v>7.0998796630565589E-2</v>
      </c>
      <c r="BC354" s="21">
        <v>41</v>
      </c>
      <c r="BD354" s="41">
        <f t="shared" si="165"/>
        <v>9.1111111111111115E-2</v>
      </c>
      <c r="BE354" s="21">
        <v>831</v>
      </c>
      <c r="BF354" s="21">
        <v>450</v>
      </c>
    </row>
    <row r="355" spans="1:58" ht="15.75" customHeight="1" x14ac:dyDescent="0.25">
      <c r="A355" s="44">
        <v>2022</v>
      </c>
      <c r="B355" s="39">
        <v>171330</v>
      </c>
      <c r="C355" s="37" t="str">
        <f>VLOOKUP(B355,procv!$A$2:$D$142,4,FALSE)</f>
        <v>Capim Dourado</v>
      </c>
      <c r="D355" s="37" t="s">
        <v>80</v>
      </c>
      <c r="E355" s="21">
        <v>6</v>
      </c>
      <c r="F355" s="42">
        <f t="shared" si="147"/>
        <v>9.0771558245083209E-3</v>
      </c>
      <c r="G355" s="21">
        <v>5</v>
      </c>
      <c r="H355" s="42">
        <f t="shared" si="148"/>
        <v>1.4326647564469915E-2</v>
      </c>
      <c r="I355" s="21">
        <v>12</v>
      </c>
      <c r="J355" s="41">
        <f t="shared" si="149"/>
        <v>1.8154311649016642E-2</v>
      </c>
      <c r="K355" s="21">
        <v>6</v>
      </c>
      <c r="L355" s="41">
        <f t="shared" si="150"/>
        <v>1.7191977077363897E-2</v>
      </c>
      <c r="M355" s="21">
        <v>596</v>
      </c>
      <c r="N355" s="41">
        <f t="shared" si="151"/>
        <v>0.90166414523449323</v>
      </c>
      <c r="O355" s="21">
        <v>313</v>
      </c>
      <c r="P355" s="41">
        <f t="shared" si="152"/>
        <v>0.8968481375358166</v>
      </c>
      <c r="Q355" s="21">
        <v>47</v>
      </c>
      <c r="R355" s="41">
        <f t="shared" si="153"/>
        <v>7.1104387291981846E-2</v>
      </c>
      <c r="S355" s="21">
        <v>25</v>
      </c>
      <c r="T355" s="41">
        <f t="shared" si="154"/>
        <v>7.1633237822349566E-2</v>
      </c>
      <c r="U355" s="21">
        <v>26</v>
      </c>
      <c r="V355" s="41">
        <f t="shared" si="155"/>
        <v>3.9334341906202726E-2</v>
      </c>
      <c r="W355" s="21">
        <v>21</v>
      </c>
      <c r="X355" s="41">
        <f t="shared" si="156"/>
        <v>6.0171919770773637E-2</v>
      </c>
      <c r="Y355" s="21">
        <v>45</v>
      </c>
      <c r="Z355" s="41">
        <f t="shared" si="157"/>
        <v>6.8078668683812404E-2</v>
      </c>
      <c r="AA355" s="21">
        <v>32</v>
      </c>
      <c r="AB355" s="41">
        <f t="shared" si="158"/>
        <v>9.1690544412607447E-2</v>
      </c>
      <c r="AC355" s="21">
        <v>590</v>
      </c>
      <c r="AD355" s="41">
        <f t="shared" si="140"/>
        <v>0.89258698940998482</v>
      </c>
      <c r="AE355" s="21">
        <v>296</v>
      </c>
      <c r="AF355" s="41">
        <f t="shared" si="159"/>
        <v>0.84813753581661888</v>
      </c>
      <c r="AG355" s="21">
        <v>25</v>
      </c>
      <c r="AH355" s="41">
        <f t="shared" si="141"/>
        <v>3.7821482602118005E-2</v>
      </c>
      <c r="AI355" s="21">
        <v>16</v>
      </c>
      <c r="AJ355" s="41">
        <f t="shared" si="160"/>
        <v>4.5845272206303724E-2</v>
      </c>
      <c r="AK355" s="21">
        <v>36</v>
      </c>
      <c r="AL355" s="41">
        <f t="shared" si="142"/>
        <v>5.4462934947049922E-2</v>
      </c>
      <c r="AM355" s="21">
        <v>22</v>
      </c>
      <c r="AN355" s="41">
        <f t="shared" si="161"/>
        <v>6.3037249283667621E-2</v>
      </c>
      <c r="AO355" s="21">
        <v>402</v>
      </c>
      <c r="AP355" s="41">
        <f t="shared" si="143"/>
        <v>0.60816944024205744</v>
      </c>
      <c r="AQ355" s="21">
        <v>213</v>
      </c>
      <c r="AR355" s="41">
        <f t="shared" si="162"/>
        <v>0.61031518624641834</v>
      </c>
      <c r="AS355" s="21">
        <v>118</v>
      </c>
      <c r="AT355" s="41">
        <f t="shared" si="144"/>
        <v>0.17851739788199697</v>
      </c>
      <c r="AU355" s="21">
        <v>54</v>
      </c>
      <c r="AV355" s="41">
        <f t="shared" si="163"/>
        <v>0.15472779369627507</v>
      </c>
      <c r="AW355" s="21">
        <v>43</v>
      </c>
      <c r="AX355" s="41">
        <f t="shared" si="145"/>
        <v>6.5052950075642962E-2</v>
      </c>
      <c r="AY355" s="21">
        <v>20</v>
      </c>
      <c r="AZ355" s="41">
        <f t="shared" si="164"/>
        <v>5.730659025787966E-2</v>
      </c>
      <c r="BA355" s="21">
        <v>37</v>
      </c>
      <c r="BB355" s="41">
        <f t="shared" si="146"/>
        <v>5.5975794251134643E-2</v>
      </c>
      <c r="BC355" s="21">
        <v>24</v>
      </c>
      <c r="BD355" s="41">
        <f t="shared" si="165"/>
        <v>6.8767908309455589E-2</v>
      </c>
      <c r="BE355" s="21">
        <v>661</v>
      </c>
      <c r="BF355" s="21">
        <v>349</v>
      </c>
    </row>
    <row r="356" spans="1:58" ht="15.75" customHeight="1" x14ac:dyDescent="0.25">
      <c r="A356" s="44">
        <v>2022</v>
      </c>
      <c r="B356" s="39">
        <v>171360</v>
      </c>
      <c r="C356" s="37" t="str">
        <f>VLOOKUP(B356,procv!$A$2:$D$142,4,FALSE)</f>
        <v>Amor Perfeito</v>
      </c>
      <c r="D356" s="37" t="s">
        <v>81</v>
      </c>
      <c r="E356" s="21">
        <v>2</v>
      </c>
      <c r="F356" s="42">
        <f t="shared" si="147"/>
        <v>5.434782608695652E-3</v>
      </c>
      <c r="G356" s="21">
        <v>1</v>
      </c>
      <c r="H356" s="42">
        <f t="shared" si="148"/>
        <v>4.4247787610619468E-3</v>
      </c>
      <c r="I356" s="21">
        <v>9</v>
      </c>
      <c r="J356" s="41">
        <f t="shared" si="149"/>
        <v>2.4456521739130436E-2</v>
      </c>
      <c r="K356" s="21">
        <v>8</v>
      </c>
      <c r="L356" s="41">
        <f t="shared" si="150"/>
        <v>3.5398230088495575E-2</v>
      </c>
      <c r="M356" s="21">
        <v>344</v>
      </c>
      <c r="N356" s="41">
        <f t="shared" si="151"/>
        <v>0.93478260869565222</v>
      </c>
      <c r="O356" s="21">
        <v>212</v>
      </c>
      <c r="P356" s="41">
        <f t="shared" si="152"/>
        <v>0.93805309734513276</v>
      </c>
      <c r="Q356" s="21">
        <v>13</v>
      </c>
      <c r="R356" s="41">
        <f t="shared" si="153"/>
        <v>3.5326086956521736E-2</v>
      </c>
      <c r="S356" s="21">
        <v>5</v>
      </c>
      <c r="T356" s="41">
        <f t="shared" si="154"/>
        <v>2.2123893805309734E-2</v>
      </c>
      <c r="U356" s="21">
        <v>14</v>
      </c>
      <c r="V356" s="41">
        <f t="shared" si="155"/>
        <v>3.8043478260869568E-2</v>
      </c>
      <c r="W356" s="21">
        <v>11</v>
      </c>
      <c r="X356" s="41">
        <f t="shared" si="156"/>
        <v>4.8672566371681415E-2</v>
      </c>
      <c r="Y356" s="21">
        <v>23</v>
      </c>
      <c r="Z356" s="41">
        <f t="shared" si="157"/>
        <v>6.25E-2</v>
      </c>
      <c r="AA356" s="21">
        <v>20</v>
      </c>
      <c r="AB356" s="41">
        <f t="shared" si="158"/>
        <v>8.8495575221238937E-2</v>
      </c>
      <c r="AC356" s="21">
        <v>331</v>
      </c>
      <c r="AD356" s="41">
        <f t="shared" si="140"/>
        <v>0.89945652173913049</v>
      </c>
      <c r="AE356" s="21">
        <v>195</v>
      </c>
      <c r="AF356" s="41">
        <f t="shared" si="159"/>
        <v>0.86283185840707965</v>
      </c>
      <c r="AG356" s="21">
        <v>4</v>
      </c>
      <c r="AH356" s="41">
        <f t="shared" si="141"/>
        <v>1.0869565217391304E-2</v>
      </c>
      <c r="AI356" s="21">
        <v>3</v>
      </c>
      <c r="AJ356" s="41">
        <f t="shared" si="160"/>
        <v>1.3274336283185841E-2</v>
      </c>
      <c r="AK356" s="21">
        <v>5</v>
      </c>
      <c r="AL356" s="41">
        <f t="shared" si="142"/>
        <v>1.358695652173913E-2</v>
      </c>
      <c r="AM356" s="21">
        <v>5</v>
      </c>
      <c r="AN356" s="41">
        <f t="shared" si="161"/>
        <v>2.2123893805309734E-2</v>
      </c>
      <c r="AO356" s="21">
        <v>291</v>
      </c>
      <c r="AP356" s="41">
        <f t="shared" si="143"/>
        <v>0.79076086956521741</v>
      </c>
      <c r="AQ356" s="21">
        <v>177</v>
      </c>
      <c r="AR356" s="41">
        <f t="shared" si="162"/>
        <v>0.7831858407079646</v>
      </c>
      <c r="AS356" s="21">
        <v>41</v>
      </c>
      <c r="AT356" s="41">
        <f t="shared" si="144"/>
        <v>0.11141304347826086</v>
      </c>
      <c r="AU356" s="21">
        <v>22</v>
      </c>
      <c r="AV356" s="41">
        <f t="shared" si="163"/>
        <v>9.7345132743362831E-2</v>
      </c>
      <c r="AW356" s="21">
        <v>15</v>
      </c>
      <c r="AX356" s="41">
        <f t="shared" si="145"/>
        <v>4.0760869565217392E-2</v>
      </c>
      <c r="AY356" s="21">
        <v>10</v>
      </c>
      <c r="AZ356" s="41">
        <f t="shared" si="164"/>
        <v>4.4247787610619468E-2</v>
      </c>
      <c r="BA356" s="21">
        <v>12</v>
      </c>
      <c r="BB356" s="41">
        <f t="shared" si="146"/>
        <v>3.2608695652173912E-2</v>
      </c>
      <c r="BC356" s="21">
        <v>9</v>
      </c>
      <c r="BD356" s="41">
        <f t="shared" si="165"/>
        <v>3.9823008849557522E-2</v>
      </c>
      <c r="BE356" s="21">
        <v>368</v>
      </c>
      <c r="BF356" s="21">
        <v>226</v>
      </c>
    </row>
    <row r="357" spans="1:58" ht="15.75" customHeight="1" x14ac:dyDescent="0.25">
      <c r="A357" s="44">
        <v>2022</v>
      </c>
      <c r="B357" s="39">
        <v>171370</v>
      </c>
      <c r="C357" s="37" t="str">
        <f>VLOOKUP(B357,procv!$A$2:$D$142,4,FALSE)</f>
        <v>Cantão</v>
      </c>
      <c r="D357" s="37" t="s">
        <v>82</v>
      </c>
      <c r="E357" s="21">
        <v>0</v>
      </c>
      <c r="F357" s="42">
        <f t="shared" si="147"/>
        <v>0</v>
      </c>
      <c r="G357" s="21">
        <v>0</v>
      </c>
      <c r="H357" s="42">
        <f t="shared" si="148"/>
        <v>0</v>
      </c>
      <c r="I357" s="21">
        <v>2</v>
      </c>
      <c r="J357" s="41">
        <f t="shared" si="149"/>
        <v>1.4598540145985401E-2</v>
      </c>
      <c r="K357" s="21">
        <v>0</v>
      </c>
      <c r="L357" s="41">
        <f t="shared" si="150"/>
        <v>0</v>
      </c>
      <c r="M357" s="21">
        <v>125</v>
      </c>
      <c r="N357" s="41">
        <f t="shared" si="151"/>
        <v>0.91240875912408759</v>
      </c>
      <c r="O357" s="21">
        <v>5</v>
      </c>
      <c r="P357" s="41">
        <f t="shared" si="152"/>
        <v>1</v>
      </c>
      <c r="Q357" s="21">
        <v>10</v>
      </c>
      <c r="R357" s="41">
        <f t="shared" si="153"/>
        <v>7.2992700729927001E-2</v>
      </c>
      <c r="S357" s="21">
        <v>0</v>
      </c>
      <c r="T357" s="41">
        <f t="shared" si="154"/>
        <v>0</v>
      </c>
      <c r="U357" s="21">
        <v>2</v>
      </c>
      <c r="V357" s="41">
        <f t="shared" si="155"/>
        <v>1.4598540145985401E-2</v>
      </c>
      <c r="W357" s="21">
        <v>0</v>
      </c>
      <c r="X357" s="41">
        <f t="shared" si="156"/>
        <v>0</v>
      </c>
      <c r="Y357" s="21">
        <v>6</v>
      </c>
      <c r="Z357" s="41">
        <f t="shared" si="157"/>
        <v>4.3795620437956206E-2</v>
      </c>
      <c r="AA357" s="21">
        <v>1</v>
      </c>
      <c r="AB357" s="41">
        <f t="shared" si="158"/>
        <v>0.2</v>
      </c>
      <c r="AC357" s="21">
        <v>129</v>
      </c>
      <c r="AD357" s="41">
        <f t="shared" si="140"/>
        <v>0.94160583941605835</v>
      </c>
      <c r="AE357" s="21">
        <v>4</v>
      </c>
      <c r="AF357" s="41">
        <f t="shared" si="159"/>
        <v>0.8</v>
      </c>
      <c r="AG357" s="21">
        <v>0</v>
      </c>
      <c r="AH357" s="41">
        <f t="shared" si="141"/>
        <v>0</v>
      </c>
      <c r="AI357" s="21">
        <v>0</v>
      </c>
      <c r="AJ357" s="41">
        <f t="shared" si="160"/>
        <v>0</v>
      </c>
      <c r="AK357" s="21">
        <v>4</v>
      </c>
      <c r="AL357" s="41">
        <f t="shared" si="142"/>
        <v>2.9197080291970802E-2</v>
      </c>
      <c r="AM357" s="21">
        <v>0</v>
      </c>
      <c r="AN357" s="41">
        <f t="shared" si="161"/>
        <v>0</v>
      </c>
      <c r="AO357" s="21">
        <v>91</v>
      </c>
      <c r="AP357" s="41">
        <f t="shared" si="143"/>
        <v>0.66423357664233573</v>
      </c>
      <c r="AQ357" s="21">
        <v>2</v>
      </c>
      <c r="AR357" s="41">
        <f t="shared" si="162"/>
        <v>0.4</v>
      </c>
      <c r="AS357" s="21">
        <v>26</v>
      </c>
      <c r="AT357" s="41">
        <f t="shared" si="144"/>
        <v>0.18978102189781021</v>
      </c>
      <c r="AU357" s="21">
        <v>2</v>
      </c>
      <c r="AV357" s="41">
        <f t="shared" si="163"/>
        <v>0.4</v>
      </c>
      <c r="AW357" s="21">
        <v>10</v>
      </c>
      <c r="AX357" s="41">
        <f t="shared" si="145"/>
        <v>7.2992700729927001E-2</v>
      </c>
      <c r="AY357" s="21">
        <v>1</v>
      </c>
      <c r="AZ357" s="41">
        <f t="shared" si="164"/>
        <v>0.2</v>
      </c>
      <c r="BA357" s="21">
        <v>6</v>
      </c>
      <c r="BB357" s="41">
        <f t="shared" si="146"/>
        <v>4.3795620437956206E-2</v>
      </c>
      <c r="BC357" s="21">
        <v>0</v>
      </c>
      <c r="BD357" s="41">
        <f t="shared" si="165"/>
        <v>0</v>
      </c>
      <c r="BE357" s="21">
        <v>137</v>
      </c>
      <c r="BF357" s="21">
        <v>5</v>
      </c>
    </row>
    <row r="358" spans="1:58" ht="15.75" customHeight="1" x14ac:dyDescent="0.25">
      <c r="A358" s="44">
        <v>2022</v>
      </c>
      <c r="B358" s="39">
        <v>171395</v>
      </c>
      <c r="C358" s="37" t="str">
        <f>VLOOKUP(B358,procv!$A$2:$D$142,4,FALSE)</f>
        <v>Médio Norte Araguaia</v>
      </c>
      <c r="D358" s="37" t="s">
        <v>83</v>
      </c>
      <c r="E358" s="21">
        <v>2</v>
      </c>
      <c r="F358" s="42">
        <f t="shared" si="147"/>
        <v>6.7114093959731542E-3</v>
      </c>
      <c r="G358" s="21">
        <v>0</v>
      </c>
      <c r="H358" s="42">
        <f t="shared" si="148"/>
        <v>0</v>
      </c>
      <c r="I358" s="21">
        <v>9</v>
      </c>
      <c r="J358" s="41">
        <f t="shared" si="149"/>
        <v>3.0201342281879196E-2</v>
      </c>
      <c r="K358" s="21">
        <v>2</v>
      </c>
      <c r="L358" s="41">
        <f t="shared" si="150"/>
        <v>1.1627906976744186E-2</v>
      </c>
      <c r="M358" s="21">
        <v>269</v>
      </c>
      <c r="N358" s="41">
        <f t="shared" si="151"/>
        <v>0.90268456375838924</v>
      </c>
      <c r="O358" s="21">
        <v>162</v>
      </c>
      <c r="P358" s="41">
        <f t="shared" si="152"/>
        <v>0.94186046511627908</v>
      </c>
      <c r="Q358" s="21">
        <v>18</v>
      </c>
      <c r="R358" s="41">
        <f t="shared" si="153"/>
        <v>6.0402684563758392E-2</v>
      </c>
      <c r="S358" s="21">
        <v>8</v>
      </c>
      <c r="T358" s="41">
        <f t="shared" si="154"/>
        <v>4.6511627906976744E-2</v>
      </c>
      <c r="U358" s="21">
        <v>33</v>
      </c>
      <c r="V358" s="41">
        <f t="shared" si="155"/>
        <v>0.11073825503355705</v>
      </c>
      <c r="W358" s="21">
        <v>24</v>
      </c>
      <c r="X358" s="41">
        <f t="shared" si="156"/>
        <v>0.13953488372093023</v>
      </c>
      <c r="Y358" s="21">
        <v>35</v>
      </c>
      <c r="Z358" s="41">
        <f t="shared" si="157"/>
        <v>0.1174496644295302</v>
      </c>
      <c r="AA358" s="21">
        <v>20</v>
      </c>
      <c r="AB358" s="41">
        <f t="shared" si="158"/>
        <v>0.11627906976744186</v>
      </c>
      <c r="AC358" s="21">
        <v>230</v>
      </c>
      <c r="AD358" s="41">
        <f t="shared" si="140"/>
        <v>0.77181208053691275</v>
      </c>
      <c r="AE358" s="21">
        <v>128</v>
      </c>
      <c r="AF358" s="41">
        <f t="shared" si="159"/>
        <v>0.7441860465116279</v>
      </c>
      <c r="AG358" s="21">
        <v>8</v>
      </c>
      <c r="AH358" s="41">
        <f t="shared" si="141"/>
        <v>2.6845637583892617E-2</v>
      </c>
      <c r="AI358" s="21">
        <v>6</v>
      </c>
      <c r="AJ358" s="41">
        <f t="shared" si="160"/>
        <v>3.4883720930232558E-2</v>
      </c>
      <c r="AK358" s="21">
        <v>9</v>
      </c>
      <c r="AL358" s="41">
        <f t="shared" si="142"/>
        <v>3.0201342281879196E-2</v>
      </c>
      <c r="AM358" s="21">
        <v>8</v>
      </c>
      <c r="AN358" s="41">
        <f t="shared" si="161"/>
        <v>4.6511627906976744E-2</v>
      </c>
      <c r="AO358" s="21">
        <v>167</v>
      </c>
      <c r="AP358" s="41">
        <f t="shared" si="143"/>
        <v>0.56040268456375841</v>
      </c>
      <c r="AQ358" s="21">
        <v>99</v>
      </c>
      <c r="AR358" s="41">
        <f t="shared" si="162"/>
        <v>0.57558139534883723</v>
      </c>
      <c r="AS358" s="21">
        <v>50</v>
      </c>
      <c r="AT358" s="41">
        <f t="shared" si="144"/>
        <v>0.16778523489932887</v>
      </c>
      <c r="AU358" s="21">
        <v>28</v>
      </c>
      <c r="AV358" s="41">
        <f t="shared" si="163"/>
        <v>0.16279069767441862</v>
      </c>
      <c r="AW358" s="21">
        <v>37</v>
      </c>
      <c r="AX358" s="41">
        <f t="shared" si="145"/>
        <v>0.12416107382550336</v>
      </c>
      <c r="AY358" s="21">
        <v>16</v>
      </c>
      <c r="AZ358" s="41">
        <f t="shared" si="164"/>
        <v>9.3023255813953487E-2</v>
      </c>
      <c r="BA358" s="21">
        <v>27</v>
      </c>
      <c r="BB358" s="41">
        <f t="shared" si="146"/>
        <v>9.0604026845637578E-2</v>
      </c>
      <c r="BC358" s="21">
        <v>15</v>
      </c>
      <c r="BD358" s="41">
        <f t="shared" si="165"/>
        <v>8.7209302325581398E-2</v>
      </c>
      <c r="BE358" s="21">
        <v>298</v>
      </c>
      <c r="BF358" s="21">
        <v>172</v>
      </c>
    </row>
    <row r="359" spans="1:58" ht="15.75" customHeight="1" x14ac:dyDescent="0.25">
      <c r="A359" s="44">
        <v>2022</v>
      </c>
      <c r="B359" s="39">
        <v>171420</v>
      </c>
      <c r="C359" s="37" t="str">
        <f>VLOOKUP(B359,procv!$A$2:$D$142,4,FALSE)</f>
        <v>Amor Perfeito</v>
      </c>
      <c r="D359" s="37" t="s">
        <v>84</v>
      </c>
      <c r="E359" s="21">
        <v>3</v>
      </c>
      <c r="F359" s="42">
        <f t="shared" si="147"/>
        <v>4.9751243781094526E-3</v>
      </c>
      <c r="G359" s="21">
        <v>1</v>
      </c>
      <c r="H359" s="42">
        <f t="shared" si="148"/>
        <v>3.7174721189591076E-3</v>
      </c>
      <c r="I359" s="21">
        <v>14</v>
      </c>
      <c r="J359" s="41">
        <f t="shared" si="149"/>
        <v>2.3217247097844111E-2</v>
      </c>
      <c r="K359" s="21">
        <v>6</v>
      </c>
      <c r="L359" s="41">
        <f t="shared" si="150"/>
        <v>2.2304832713754646E-2</v>
      </c>
      <c r="M359" s="21">
        <v>549</v>
      </c>
      <c r="N359" s="41">
        <f t="shared" si="151"/>
        <v>0.91044776119402981</v>
      </c>
      <c r="O359" s="21">
        <v>248</v>
      </c>
      <c r="P359" s="41">
        <f t="shared" si="152"/>
        <v>0.92193308550185871</v>
      </c>
      <c r="Q359" s="21">
        <v>37</v>
      </c>
      <c r="R359" s="41">
        <f t="shared" si="153"/>
        <v>6.1359867330016582E-2</v>
      </c>
      <c r="S359" s="21">
        <v>14</v>
      </c>
      <c r="T359" s="41">
        <f t="shared" si="154"/>
        <v>5.204460966542751E-2</v>
      </c>
      <c r="U359" s="21">
        <v>38</v>
      </c>
      <c r="V359" s="41">
        <f t="shared" si="155"/>
        <v>6.3018242122719739E-2</v>
      </c>
      <c r="W359" s="21">
        <v>31</v>
      </c>
      <c r="X359" s="41">
        <f t="shared" si="156"/>
        <v>0.11524163568773234</v>
      </c>
      <c r="Y359" s="21">
        <v>48</v>
      </c>
      <c r="Z359" s="41">
        <f t="shared" si="157"/>
        <v>7.9601990049751242E-2</v>
      </c>
      <c r="AA359" s="21">
        <v>29</v>
      </c>
      <c r="AB359" s="41">
        <f t="shared" si="158"/>
        <v>0.10780669144981413</v>
      </c>
      <c r="AC359" s="21">
        <v>517</v>
      </c>
      <c r="AD359" s="41">
        <f t="shared" si="140"/>
        <v>0.857379767827529</v>
      </c>
      <c r="AE359" s="21">
        <v>209</v>
      </c>
      <c r="AF359" s="41">
        <f t="shared" si="159"/>
        <v>0.77695167286245348</v>
      </c>
      <c r="AG359" s="21">
        <v>13</v>
      </c>
      <c r="AH359" s="41">
        <f t="shared" si="141"/>
        <v>2.1558872305140961E-2</v>
      </c>
      <c r="AI359" s="21">
        <v>13</v>
      </c>
      <c r="AJ359" s="41">
        <f t="shared" si="160"/>
        <v>4.8327137546468404E-2</v>
      </c>
      <c r="AK359" s="21">
        <v>17</v>
      </c>
      <c r="AL359" s="41">
        <f t="shared" si="142"/>
        <v>2.8192371475953566E-2</v>
      </c>
      <c r="AM359" s="21">
        <v>9</v>
      </c>
      <c r="AN359" s="41">
        <f t="shared" si="161"/>
        <v>3.3457249070631967E-2</v>
      </c>
      <c r="AO359" s="21">
        <v>374</v>
      </c>
      <c r="AP359" s="41">
        <f t="shared" si="143"/>
        <v>0.62023217247097839</v>
      </c>
      <c r="AQ359" s="21">
        <v>172</v>
      </c>
      <c r="AR359" s="41">
        <f t="shared" si="162"/>
        <v>0.63940520446096649</v>
      </c>
      <c r="AS359" s="21">
        <v>112</v>
      </c>
      <c r="AT359" s="41">
        <f t="shared" si="144"/>
        <v>0.18573797678275289</v>
      </c>
      <c r="AU359" s="21">
        <v>28</v>
      </c>
      <c r="AV359" s="41">
        <f t="shared" si="163"/>
        <v>0.10408921933085502</v>
      </c>
      <c r="AW359" s="21">
        <v>54</v>
      </c>
      <c r="AX359" s="41">
        <f t="shared" si="145"/>
        <v>8.9552238805970144E-2</v>
      </c>
      <c r="AY359" s="21">
        <v>28</v>
      </c>
      <c r="AZ359" s="41">
        <f t="shared" si="164"/>
        <v>0.10408921933085502</v>
      </c>
      <c r="BA359" s="21">
        <v>33</v>
      </c>
      <c r="BB359" s="41">
        <f t="shared" si="146"/>
        <v>5.4726368159203981E-2</v>
      </c>
      <c r="BC359" s="21">
        <v>19</v>
      </c>
      <c r="BD359" s="41">
        <f t="shared" si="165"/>
        <v>7.0631970260223054E-2</v>
      </c>
      <c r="BE359" s="21">
        <v>603</v>
      </c>
      <c r="BF359" s="21">
        <v>269</v>
      </c>
    </row>
    <row r="360" spans="1:58" ht="15.75" customHeight="1" x14ac:dyDescent="0.25">
      <c r="A360" s="44">
        <v>2022</v>
      </c>
      <c r="B360" s="39">
        <v>171430</v>
      </c>
      <c r="C360" s="37" t="str">
        <f>VLOOKUP(B360,procv!$A$2:$D$142,4,FALSE)</f>
        <v>Bico do Papagaio</v>
      </c>
      <c r="D360" s="37" t="s">
        <v>85</v>
      </c>
      <c r="E360" s="21">
        <v>1</v>
      </c>
      <c r="F360" s="42">
        <f t="shared" si="147"/>
        <v>3.4013605442176869E-3</v>
      </c>
      <c r="G360" s="21">
        <v>0</v>
      </c>
      <c r="H360" s="42">
        <f t="shared" si="148"/>
        <v>0</v>
      </c>
      <c r="I360" s="21">
        <v>10</v>
      </c>
      <c r="J360" s="41">
        <f t="shared" si="149"/>
        <v>3.4013605442176874E-2</v>
      </c>
      <c r="K360" s="21">
        <v>4</v>
      </c>
      <c r="L360" s="41">
        <f t="shared" si="150"/>
        <v>2.1621621621621623E-2</v>
      </c>
      <c r="M360" s="21">
        <v>250</v>
      </c>
      <c r="N360" s="41">
        <f t="shared" si="151"/>
        <v>0.85034013605442171</v>
      </c>
      <c r="O360" s="21">
        <v>147</v>
      </c>
      <c r="P360" s="41">
        <f t="shared" si="152"/>
        <v>0.79459459459459458</v>
      </c>
      <c r="Q360" s="21">
        <v>33</v>
      </c>
      <c r="R360" s="41">
        <f t="shared" si="153"/>
        <v>0.11224489795918367</v>
      </c>
      <c r="S360" s="21">
        <v>34</v>
      </c>
      <c r="T360" s="41">
        <f t="shared" si="154"/>
        <v>0.18378378378378379</v>
      </c>
      <c r="U360" s="21">
        <v>30</v>
      </c>
      <c r="V360" s="41">
        <f t="shared" si="155"/>
        <v>0.10204081632653061</v>
      </c>
      <c r="W360" s="21">
        <v>19</v>
      </c>
      <c r="X360" s="41">
        <f t="shared" si="156"/>
        <v>0.10270270270270271</v>
      </c>
      <c r="Y360" s="21">
        <v>30</v>
      </c>
      <c r="Z360" s="41">
        <f t="shared" si="157"/>
        <v>0.10204081632653061</v>
      </c>
      <c r="AA360" s="21">
        <v>19</v>
      </c>
      <c r="AB360" s="41">
        <f t="shared" si="158"/>
        <v>0.10270270270270271</v>
      </c>
      <c r="AC360" s="21">
        <v>234</v>
      </c>
      <c r="AD360" s="41">
        <f t="shared" si="140"/>
        <v>0.79591836734693877</v>
      </c>
      <c r="AE360" s="21">
        <v>147</v>
      </c>
      <c r="AF360" s="41">
        <f t="shared" si="159"/>
        <v>0.79459459459459458</v>
      </c>
      <c r="AG360" s="21">
        <v>10</v>
      </c>
      <c r="AH360" s="41">
        <f t="shared" si="141"/>
        <v>3.4013605442176874E-2</v>
      </c>
      <c r="AI360" s="21">
        <v>7</v>
      </c>
      <c r="AJ360" s="41">
        <f t="shared" si="160"/>
        <v>3.783783783783784E-2</v>
      </c>
      <c r="AK360" s="21">
        <v>18</v>
      </c>
      <c r="AL360" s="41">
        <f t="shared" si="142"/>
        <v>6.1224489795918366E-2</v>
      </c>
      <c r="AM360" s="21">
        <v>18</v>
      </c>
      <c r="AN360" s="41">
        <f t="shared" si="161"/>
        <v>9.7297297297297303E-2</v>
      </c>
      <c r="AO360" s="21">
        <v>158</v>
      </c>
      <c r="AP360" s="41">
        <f t="shared" si="143"/>
        <v>0.5374149659863946</v>
      </c>
      <c r="AQ360" s="21">
        <v>102</v>
      </c>
      <c r="AR360" s="41">
        <f t="shared" si="162"/>
        <v>0.55135135135135138</v>
      </c>
      <c r="AS360" s="21">
        <v>51</v>
      </c>
      <c r="AT360" s="41">
        <f t="shared" si="144"/>
        <v>0.17346938775510204</v>
      </c>
      <c r="AU360" s="21">
        <v>16</v>
      </c>
      <c r="AV360" s="41">
        <f t="shared" si="163"/>
        <v>8.6486486486486491E-2</v>
      </c>
      <c r="AW360" s="21">
        <v>18</v>
      </c>
      <c r="AX360" s="41">
        <f t="shared" si="145"/>
        <v>6.1224489795918366E-2</v>
      </c>
      <c r="AY360" s="21">
        <v>6</v>
      </c>
      <c r="AZ360" s="41">
        <f t="shared" si="164"/>
        <v>3.2432432432432434E-2</v>
      </c>
      <c r="BA360" s="21">
        <v>39</v>
      </c>
      <c r="BB360" s="41">
        <f t="shared" si="146"/>
        <v>0.1326530612244898</v>
      </c>
      <c r="BC360" s="21">
        <v>36</v>
      </c>
      <c r="BD360" s="41">
        <f t="shared" si="165"/>
        <v>0.19459459459459461</v>
      </c>
      <c r="BE360" s="21">
        <v>294</v>
      </c>
      <c r="BF360" s="21">
        <v>185</v>
      </c>
    </row>
    <row r="361" spans="1:58" ht="15.75" customHeight="1" x14ac:dyDescent="0.25">
      <c r="A361" s="44">
        <v>2022</v>
      </c>
      <c r="B361" s="39">
        <v>171488</v>
      </c>
      <c r="C361" s="37" t="str">
        <f>VLOOKUP(B361,procv!$A$2:$D$142,4,FALSE)</f>
        <v>Médio Norte Araguaia</v>
      </c>
      <c r="D361" s="37" t="s">
        <v>86</v>
      </c>
      <c r="E361" s="21">
        <v>6</v>
      </c>
      <c r="F361" s="42">
        <f t="shared" si="147"/>
        <v>1.279317697228145E-2</v>
      </c>
      <c r="G361" s="21">
        <v>5</v>
      </c>
      <c r="H361" s="42">
        <f t="shared" si="148"/>
        <v>2.2421524663677129E-2</v>
      </c>
      <c r="I361" s="21">
        <v>14</v>
      </c>
      <c r="J361" s="41">
        <f t="shared" si="149"/>
        <v>2.9850746268656716E-2</v>
      </c>
      <c r="K361" s="21">
        <v>10</v>
      </c>
      <c r="L361" s="41">
        <f t="shared" si="150"/>
        <v>4.4843049327354258E-2</v>
      </c>
      <c r="M361" s="21">
        <v>423</v>
      </c>
      <c r="N361" s="41">
        <f t="shared" si="151"/>
        <v>0.90191897654584219</v>
      </c>
      <c r="O361" s="21">
        <v>189</v>
      </c>
      <c r="P361" s="41">
        <f t="shared" si="152"/>
        <v>0.84753363228699552</v>
      </c>
      <c r="Q361" s="21">
        <v>26</v>
      </c>
      <c r="R361" s="41">
        <f t="shared" si="153"/>
        <v>5.5437100213219619E-2</v>
      </c>
      <c r="S361" s="21">
        <v>19</v>
      </c>
      <c r="T361" s="41">
        <f t="shared" si="154"/>
        <v>8.520179372197309E-2</v>
      </c>
      <c r="U361" s="21">
        <v>36</v>
      </c>
      <c r="V361" s="41">
        <f t="shared" si="155"/>
        <v>7.6759061833688705E-2</v>
      </c>
      <c r="W361" s="21">
        <v>22</v>
      </c>
      <c r="X361" s="41">
        <f t="shared" si="156"/>
        <v>9.8654708520179366E-2</v>
      </c>
      <c r="Y361" s="21">
        <v>43</v>
      </c>
      <c r="Z361" s="41">
        <f t="shared" si="157"/>
        <v>9.1684434968017064E-2</v>
      </c>
      <c r="AA361" s="21">
        <v>25</v>
      </c>
      <c r="AB361" s="41">
        <f t="shared" si="158"/>
        <v>0.11210762331838565</v>
      </c>
      <c r="AC361" s="21">
        <v>390</v>
      </c>
      <c r="AD361" s="41">
        <f t="shared" si="140"/>
        <v>0.83155650319829422</v>
      </c>
      <c r="AE361" s="21">
        <v>176</v>
      </c>
      <c r="AF361" s="41">
        <f t="shared" si="159"/>
        <v>0.78923766816143492</v>
      </c>
      <c r="AG361" s="21">
        <v>31</v>
      </c>
      <c r="AH361" s="41">
        <f t="shared" si="141"/>
        <v>6.6098081023454158E-2</v>
      </c>
      <c r="AI361" s="21">
        <v>23</v>
      </c>
      <c r="AJ361" s="41">
        <f t="shared" si="160"/>
        <v>0.1031390134529148</v>
      </c>
      <c r="AK361" s="21">
        <v>19</v>
      </c>
      <c r="AL361" s="41">
        <f t="shared" si="142"/>
        <v>4.0511727078891259E-2</v>
      </c>
      <c r="AM361" s="21">
        <v>14</v>
      </c>
      <c r="AN361" s="41">
        <f t="shared" si="161"/>
        <v>6.2780269058295965E-2</v>
      </c>
      <c r="AO361" s="21">
        <v>255</v>
      </c>
      <c r="AP361" s="41">
        <f t="shared" si="143"/>
        <v>0.54371002132196167</v>
      </c>
      <c r="AQ361" s="21">
        <v>108</v>
      </c>
      <c r="AR361" s="41">
        <f t="shared" si="162"/>
        <v>0.48430493273542602</v>
      </c>
      <c r="AS361" s="21">
        <v>71</v>
      </c>
      <c r="AT361" s="41">
        <f t="shared" si="144"/>
        <v>0.1513859275053305</v>
      </c>
      <c r="AU361" s="21">
        <v>24</v>
      </c>
      <c r="AV361" s="41">
        <f t="shared" si="163"/>
        <v>0.10762331838565023</v>
      </c>
      <c r="AW361" s="21">
        <v>53</v>
      </c>
      <c r="AX361" s="41">
        <f t="shared" si="145"/>
        <v>0.11300639658848614</v>
      </c>
      <c r="AY361" s="21">
        <v>25</v>
      </c>
      <c r="AZ361" s="41">
        <f t="shared" si="164"/>
        <v>0.11210762331838565</v>
      </c>
      <c r="BA361" s="21">
        <v>40</v>
      </c>
      <c r="BB361" s="41">
        <f t="shared" si="146"/>
        <v>8.5287846481876331E-2</v>
      </c>
      <c r="BC361" s="21">
        <v>29</v>
      </c>
      <c r="BD361" s="41">
        <f t="shared" si="165"/>
        <v>0.13004484304932734</v>
      </c>
      <c r="BE361" s="21">
        <v>469</v>
      </c>
      <c r="BF361" s="21">
        <v>223</v>
      </c>
    </row>
    <row r="362" spans="1:58" ht="15.75" customHeight="1" x14ac:dyDescent="0.25">
      <c r="A362" s="44">
        <v>2022</v>
      </c>
      <c r="B362" s="39">
        <v>171500</v>
      </c>
      <c r="C362" s="37" t="str">
        <f>VLOOKUP(B362,procv!$A$2:$D$142,4,FALSE)</f>
        <v>Cantão</v>
      </c>
      <c r="D362" s="37" t="s">
        <v>87</v>
      </c>
      <c r="E362" s="21">
        <v>2</v>
      </c>
      <c r="F362" s="42">
        <f t="shared" si="147"/>
        <v>8.5836909871244635E-3</v>
      </c>
      <c r="G362" s="21">
        <v>2</v>
      </c>
      <c r="H362" s="42">
        <f t="shared" si="148"/>
        <v>1.5384615384615385E-2</v>
      </c>
      <c r="I362" s="21">
        <v>2</v>
      </c>
      <c r="J362" s="41">
        <f t="shared" si="149"/>
        <v>8.5836909871244635E-3</v>
      </c>
      <c r="K362" s="21">
        <v>2</v>
      </c>
      <c r="L362" s="41">
        <f t="shared" si="150"/>
        <v>1.5384615384615385E-2</v>
      </c>
      <c r="M362" s="21">
        <v>206</v>
      </c>
      <c r="N362" s="41">
        <f t="shared" si="151"/>
        <v>0.88412017167381973</v>
      </c>
      <c r="O362" s="21">
        <v>110</v>
      </c>
      <c r="P362" s="41">
        <f t="shared" si="152"/>
        <v>0.84615384615384615</v>
      </c>
      <c r="Q362" s="21">
        <v>23</v>
      </c>
      <c r="R362" s="41">
        <f t="shared" si="153"/>
        <v>9.8712446351931327E-2</v>
      </c>
      <c r="S362" s="21">
        <v>16</v>
      </c>
      <c r="T362" s="41">
        <f t="shared" si="154"/>
        <v>0.12307692307692308</v>
      </c>
      <c r="U362" s="21">
        <v>11</v>
      </c>
      <c r="V362" s="41">
        <f t="shared" si="155"/>
        <v>4.7210300429184553E-2</v>
      </c>
      <c r="W362" s="21">
        <v>9</v>
      </c>
      <c r="X362" s="41">
        <f t="shared" si="156"/>
        <v>6.9230769230769235E-2</v>
      </c>
      <c r="Y362" s="21">
        <v>21</v>
      </c>
      <c r="Z362" s="41">
        <f t="shared" si="157"/>
        <v>9.012875536480687E-2</v>
      </c>
      <c r="AA362" s="21">
        <v>11</v>
      </c>
      <c r="AB362" s="41">
        <f t="shared" si="158"/>
        <v>8.461538461538462E-2</v>
      </c>
      <c r="AC362" s="21">
        <v>201</v>
      </c>
      <c r="AD362" s="41">
        <f t="shared" si="140"/>
        <v>0.86266094420600858</v>
      </c>
      <c r="AE362" s="21">
        <v>110</v>
      </c>
      <c r="AF362" s="41">
        <f t="shared" si="159"/>
        <v>0.84615384615384615</v>
      </c>
      <c r="AG362" s="21">
        <v>3</v>
      </c>
      <c r="AH362" s="41">
        <f t="shared" si="141"/>
        <v>1.2875536480686695E-2</v>
      </c>
      <c r="AI362" s="21">
        <v>4</v>
      </c>
      <c r="AJ362" s="41">
        <f t="shared" si="160"/>
        <v>3.0769230769230771E-2</v>
      </c>
      <c r="AK362" s="21">
        <v>6</v>
      </c>
      <c r="AL362" s="41">
        <f t="shared" si="142"/>
        <v>2.575107296137339E-2</v>
      </c>
      <c r="AM362" s="21">
        <v>7</v>
      </c>
      <c r="AN362" s="41">
        <f t="shared" si="161"/>
        <v>5.3846153846153849E-2</v>
      </c>
      <c r="AO362" s="21">
        <v>125</v>
      </c>
      <c r="AP362" s="41">
        <f t="shared" si="143"/>
        <v>0.53648068669527893</v>
      </c>
      <c r="AQ362" s="21">
        <v>62</v>
      </c>
      <c r="AR362" s="41">
        <f t="shared" si="162"/>
        <v>0.47692307692307695</v>
      </c>
      <c r="AS362" s="21">
        <v>54</v>
      </c>
      <c r="AT362" s="41">
        <f t="shared" si="144"/>
        <v>0.23175965665236051</v>
      </c>
      <c r="AU362" s="21">
        <v>29</v>
      </c>
      <c r="AV362" s="41">
        <f t="shared" si="163"/>
        <v>0.22307692307692309</v>
      </c>
      <c r="AW362" s="21">
        <v>22</v>
      </c>
      <c r="AX362" s="41">
        <f t="shared" si="145"/>
        <v>9.4420600858369105E-2</v>
      </c>
      <c r="AY362" s="21">
        <v>14</v>
      </c>
      <c r="AZ362" s="41">
        <f t="shared" si="164"/>
        <v>0.1076923076923077</v>
      </c>
      <c r="BA362" s="21">
        <v>23</v>
      </c>
      <c r="BB362" s="41">
        <f t="shared" si="146"/>
        <v>9.8712446351931327E-2</v>
      </c>
      <c r="BC362" s="21">
        <v>14</v>
      </c>
      <c r="BD362" s="41">
        <f t="shared" si="165"/>
        <v>0.1076923076923077</v>
      </c>
      <c r="BE362" s="21">
        <v>233</v>
      </c>
      <c r="BF362" s="21">
        <v>130</v>
      </c>
    </row>
    <row r="363" spans="1:58" ht="15.75" customHeight="1" x14ac:dyDescent="0.25">
      <c r="A363" s="44">
        <v>2022</v>
      </c>
      <c r="B363" s="39">
        <v>171510</v>
      </c>
      <c r="C363" s="37" t="str">
        <f>VLOOKUP(B363,procv!$A$2:$D$142,4,FALSE)</f>
        <v>Capim Dourado</v>
      </c>
      <c r="D363" s="37" t="s">
        <v>88</v>
      </c>
      <c r="E363" s="21">
        <v>2</v>
      </c>
      <c r="F363" s="42">
        <f t="shared" si="147"/>
        <v>9.3896713615023476E-3</v>
      </c>
      <c r="G363" s="21">
        <v>1</v>
      </c>
      <c r="H363" s="42">
        <f t="shared" si="148"/>
        <v>1.3698630136986301E-2</v>
      </c>
      <c r="I363" s="21">
        <v>12</v>
      </c>
      <c r="J363" s="41">
        <f t="shared" si="149"/>
        <v>5.6338028169014086E-2</v>
      </c>
      <c r="K363" s="21">
        <v>3</v>
      </c>
      <c r="L363" s="41">
        <f t="shared" si="150"/>
        <v>4.1095890410958902E-2</v>
      </c>
      <c r="M363" s="21">
        <v>194</v>
      </c>
      <c r="N363" s="41">
        <f t="shared" si="151"/>
        <v>0.91079812206572774</v>
      </c>
      <c r="O363" s="21">
        <v>67</v>
      </c>
      <c r="P363" s="41">
        <f t="shared" si="152"/>
        <v>0.9178082191780822</v>
      </c>
      <c r="Q363" s="21">
        <v>5</v>
      </c>
      <c r="R363" s="41">
        <f t="shared" si="153"/>
        <v>2.3474178403755867E-2</v>
      </c>
      <c r="S363" s="21">
        <v>2</v>
      </c>
      <c r="T363" s="41">
        <f t="shared" si="154"/>
        <v>2.7397260273972601E-2</v>
      </c>
      <c r="U363" s="21">
        <v>5</v>
      </c>
      <c r="V363" s="41">
        <f t="shared" si="155"/>
        <v>2.3474178403755867E-2</v>
      </c>
      <c r="W363" s="21">
        <v>4</v>
      </c>
      <c r="X363" s="41">
        <f t="shared" si="156"/>
        <v>5.4794520547945202E-2</v>
      </c>
      <c r="Y363" s="21">
        <v>19</v>
      </c>
      <c r="Z363" s="41">
        <f t="shared" si="157"/>
        <v>8.9201877934272297E-2</v>
      </c>
      <c r="AA363" s="21">
        <v>7</v>
      </c>
      <c r="AB363" s="41">
        <f t="shared" si="158"/>
        <v>9.5890410958904104E-2</v>
      </c>
      <c r="AC363" s="21">
        <v>189</v>
      </c>
      <c r="AD363" s="41">
        <f t="shared" si="140"/>
        <v>0.88732394366197187</v>
      </c>
      <c r="AE363" s="21">
        <v>62</v>
      </c>
      <c r="AF363" s="41">
        <f t="shared" si="159"/>
        <v>0.84931506849315064</v>
      </c>
      <c r="AG363" s="21">
        <v>8</v>
      </c>
      <c r="AH363" s="41">
        <f t="shared" si="141"/>
        <v>3.7558685446009391E-2</v>
      </c>
      <c r="AI363" s="21">
        <v>6</v>
      </c>
      <c r="AJ363" s="41">
        <f t="shared" si="160"/>
        <v>8.2191780821917804E-2</v>
      </c>
      <c r="AK363" s="21">
        <v>11</v>
      </c>
      <c r="AL363" s="41">
        <f t="shared" si="142"/>
        <v>5.1643192488262914E-2</v>
      </c>
      <c r="AM363" s="21">
        <v>6</v>
      </c>
      <c r="AN363" s="41">
        <f t="shared" si="161"/>
        <v>8.2191780821917804E-2</v>
      </c>
      <c r="AO363" s="21">
        <v>153</v>
      </c>
      <c r="AP363" s="41">
        <f t="shared" si="143"/>
        <v>0.71830985915492962</v>
      </c>
      <c r="AQ363" s="21">
        <v>51</v>
      </c>
      <c r="AR363" s="41">
        <f t="shared" si="162"/>
        <v>0.69863013698630139</v>
      </c>
      <c r="AS363" s="21">
        <v>25</v>
      </c>
      <c r="AT363" s="41">
        <f t="shared" si="144"/>
        <v>0.11737089201877934</v>
      </c>
      <c r="AU363" s="21">
        <v>5</v>
      </c>
      <c r="AV363" s="41">
        <f t="shared" si="163"/>
        <v>6.8493150684931503E-2</v>
      </c>
      <c r="AW363" s="21">
        <v>11</v>
      </c>
      <c r="AX363" s="41">
        <f t="shared" si="145"/>
        <v>5.1643192488262914E-2</v>
      </c>
      <c r="AY363" s="21">
        <v>3</v>
      </c>
      <c r="AZ363" s="41">
        <f t="shared" si="164"/>
        <v>4.1095890410958902E-2</v>
      </c>
      <c r="BA363" s="21">
        <v>5</v>
      </c>
      <c r="BB363" s="41">
        <f t="shared" si="146"/>
        <v>2.3474178403755867E-2</v>
      </c>
      <c r="BC363" s="21">
        <v>2</v>
      </c>
      <c r="BD363" s="41">
        <f t="shared" si="165"/>
        <v>2.7397260273972601E-2</v>
      </c>
      <c r="BE363" s="21">
        <v>213</v>
      </c>
      <c r="BF363" s="21">
        <v>73</v>
      </c>
    </row>
    <row r="364" spans="1:58" ht="15.75" customHeight="1" x14ac:dyDescent="0.25">
      <c r="A364" s="44">
        <v>2022</v>
      </c>
      <c r="B364" s="39">
        <v>171515</v>
      </c>
      <c r="C364" s="37" t="str">
        <f>VLOOKUP(B364,procv!$A$2:$D$142,4,FALSE)</f>
        <v>Sudeste</v>
      </c>
      <c r="D364" s="37" t="s">
        <v>89</v>
      </c>
      <c r="E364" s="21">
        <v>0</v>
      </c>
      <c r="F364" s="42">
        <f t="shared" si="147"/>
        <v>0</v>
      </c>
      <c r="G364" s="21">
        <v>0</v>
      </c>
      <c r="H364" s="42">
        <f t="shared" si="148"/>
        <v>0</v>
      </c>
      <c r="I364" s="21">
        <v>1</v>
      </c>
      <c r="J364" s="41">
        <f t="shared" si="149"/>
        <v>9.6153846153846159E-3</v>
      </c>
      <c r="K364" s="21">
        <v>1</v>
      </c>
      <c r="L364" s="41">
        <f t="shared" si="150"/>
        <v>1.6949152542372881E-2</v>
      </c>
      <c r="M364" s="21">
        <v>93</v>
      </c>
      <c r="N364" s="41">
        <f t="shared" si="151"/>
        <v>0.89423076923076927</v>
      </c>
      <c r="O364" s="21">
        <v>53</v>
      </c>
      <c r="P364" s="41">
        <f t="shared" si="152"/>
        <v>0.89830508474576276</v>
      </c>
      <c r="Q364" s="21">
        <v>10</v>
      </c>
      <c r="R364" s="41">
        <f t="shared" si="153"/>
        <v>9.6153846153846159E-2</v>
      </c>
      <c r="S364" s="21">
        <v>5</v>
      </c>
      <c r="T364" s="41">
        <f t="shared" si="154"/>
        <v>8.4745762711864403E-2</v>
      </c>
      <c r="U364" s="21">
        <v>4</v>
      </c>
      <c r="V364" s="41">
        <f t="shared" si="155"/>
        <v>3.8461538461538464E-2</v>
      </c>
      <c r="W364" s="21">
        <v>4</v>
      </c>
      <c r="X364" s="41">
        <f t="shared" si="156"/>
        <v>6.7796610169491525E-2</v>
      </c>
      <c r="Y364" s="21">
        <v>3</v>
      </c>
      <c r="Z364" s="41">
        <f t="shared" si="157"/>
        <v>2.8846153846153848E-2</v>
      </c>
      <c r="AA364" s="21">
        <v>2</v>
      </c>
      <c r="AB364" s="41">
        <f t="shared" si="158"/>
        <v>3.3898305084745763E-2</v>
      </c>
      <c r="AC364" s="21">
        <v>97</v>
      </c>
      <c r="AD364" s="41">
        <f t="shared" si="140"/>
        <v>0.93269230769230771</v>
      </c>
      <c r="AE364" s="21">
        <v>53</v>
      </c>
      <c r="AF364" s="41">
        <f t="shared" si="159"/>
        <v>0.89830508474576276</v>
      </c>
      <c r="AG364" s="21">
        <v>5</v>
      </c>
      <c r="AH364" s="41">
        <f t="shared" si="141"/>
        <v>4.807692307692308E-2</v>
      </c>
      <c r="AI364" s="21">
        <v>6</v>
      </c>
      <c r="AJ364" s="41">
        <f t="shared" si="160"/>
        <v>0.10169491525423729</v>
      </c>
      <c r="AK364" s="21">
        <v>5</v>
      </c>
      <c r="AL364" s="41">
        <f t="shared" si="142"/>
        <v>4.807692307692308E-2</v>
      </c>
      <c r="AM364" s="21">
        <v>4</v>
      </c>
      <c r="AN364" s="41">
        <f t="shared" si="161"/>
        <v>6.7796610169491525E-2</v>
      </c>
      <c r="AO364" s="21">
        <v>64</v>
      </c>
      <c r="AP364" s="41">
        <f t="shared" si="143"/>
        <v>0.61538461538461542</v>
      </c>
      <c r="AQ364" s="21">
        <v>34</v>
      </c>
      <c r="AR364" s="41">
        <f t="shared" si="162"/>
        <v>0.57627118644067798</v>
      </c>
      <c r="AS364" s="21">
        <v>15</v>
      </c>
      <c r="AT364" s="41">
        <f t="shared" si="144"/>
        <v>0.14423076923076922</v>
      </c>
      <c r="AU364" s="21">
        <v>4</v>
      </c>
      <c r="AV364" s="41">
        <f t="shared" si="163"/>
        <v>6.7796610169491525E-2</v>
      </c>
      <c r="AW364" s="21">
        <v>7</v>
      </c>
      <c r="AX364" s="41">
        <f t="shared" si="145"/>
        <v>6.7307692307692304E-2</v>
      </c>
      <c r="AY364" s="21">
        <v>3</v>
      </c>
      <c r="AZ364" s="41">
        <f t="shared" si="164"/>
        <v>5.0847457627118647E-2</v>
      </c>
      <c r="BA364" s="21">
        <v>8</v>
      </c>
      <c r="BB364" s="41">
        <f t="shared" si="146"/>
        <v>7.6923076923076927E-2</v>
      </c>
      <c r="BC364" s="21">
        <v>8</v>
      </c>
      <c r="BD364" s="41">
        <f t="shared" si="165"/>
        <v>0.13559322033898305</v>
      </c>
      <c r="BE364" s="21">
        <v>104</v>
      </c>
      <c r="BF364" s="21">
        <v>59</v>
      </c>
    </row>
    <row r="365" spans="1:58" ht="15.75" customHeight="1" x14ac:dyDescent="0.25">
      <c r="A365" s="44">
        <v>2022</v>
      </c>
      <c r="B365" s="39">
        <v>171525</v>
      </c>
      <c r="C365" s="37" t="str">
        <f>VLOOKUP(B365,procv!$A$2:$D$142,4,FALSE)</f>
        <v>Sudeste</v>
      </c>
      <c r="D365" s="37" t="s">
        <v>90</v>
      </c>
      <c r="E365" s="21">
        <v>0</v>
      </c>
      <c r="F365" s="42">
        <f t="shared" si="147"/>
        <v>0</v>
      </c>
      <c r="G365" s="21">
        <v>0</v>
      </c>
      <c r="H365" s="42">
        <f t="shared" si="148"/>
        <v>0</v>
      </c>
      <c r="I365" s="21">
        <v>6</v>
      </c>
      <c r="J365" s="41">
        <f t="shared" si="149"/>
        <v>6.8965517241379309E-2</v>
      </c>
      <c r="K365" s="21">
        <v>5</v>
      </c>
      <c r="L365" s="41">
        <f t="shared" si="150"/>
        <v>7.8125E-2</v>
      </c>
      <c r="M365" s="21">
        <v>75</v>
      </c>
      <c r="N365" s="41">
        <f t="shared" si="151"/>
        <v>0.86206896551724133</v>
      </c>
      <c r="O365" s="21">
        <v>53</v>
      </c>
      <c r="P365" s="41">
        <f t="shared" si="152"/>
        <v>0.828125</v>
      </c>
      <c r="Q365" s="21">
        <v>6</v>
      </c>
      <c r="R365" s="41">
        <f t="shared" si="153"/>
        <v>6.8965517241379309E-2</v>
      </c>
      <c r="S365" s="21">
        <v>6</v>
      </c>
      <c r="T365" s="41">
        <f t="shared" si="154"/>
        <v>9.375E-2</v>
      </c>
      <c r="U365" s="21">
        <v>3</v>
      </c>
      <c r="V365" s="41">
        <f t="shared" si="155"/>
        <v>3.4482758620689655E-2</v>
      </c>
      <c r="W365" s="21">
        <v>3</v>
      </c>
      <c r="X365" s="41">
        <f t="shared" si="156"/>
        <v>4.6875E-2</v>
      </c>
      <c r="Y365" s="21">
        <v>9</v>
      </c>
      <c r="Z365" s="41">
        <f t="shared" si="157"/>
        <v>0.10344827586206896</v>
      </c>
      <c r="AA365" s="21">
        <v>6</v>
      </c>
      <c r="AB365" s="41">
        <f t="shared" si="158"/>
        <v>9.375E-2</v>
      </c>
      <c r="AC365" s="21">
        <v>75</v>
      </c>
      <c r="AD365" s="41">
        <f t="shared" si="140"/>
        <v>0.86206896551724133</v>
      </c>
      <c r="AE365" s="21">
        <v>55</v>
      </c>
      <c r="AF365" s="41">
        <f t="shared" si="159"/>
        <v>0.859375</v>
      </c>
      <c r="AG365" s="21">
        <v>8</v>
      </c>
      <c r="AH365" s="41">
        <f t="shared" si="141"/>
        <v>9.1954022988505746E-2</v>
      </c>
      <c r="AI365" s="21">
        <v>5</v>
      </c>
      <c r="AJ365" s="41">
        <f t="shared" si="160"/>
        <v>7.8125E-2</v>
      </c>
      <c r="AK365" s="21">
        <v>3</v>
      </c>
      <c r="AL365" s="41">
        <f t="shared" si="142"/>
        <v>3.4482758620689655E-2</v>
      </c>
      <c r="AM365" s="21">
        <v>2</v>
      </c>
      <c r="AN365" s="41">
        <f t="shared" si="161"/>
        <v>3.125E-2</v>
      </c>
      <c r="AO365" s="21">
        <v>50</v>
      </c>
      <c r="AP365" s="41">
        <f t="shared" si="143"/>
        <v>0.57471264367816088</v>
      </c>
      <c r="AQ365" s="21">
        <v>33</v>
      </c>
      <c r="AR365" s="41">
        <f t="shared" si="162"/>
        <v>0.515625</v>
      </c>
      <c r="AS365" s="21">
        <v>8</v>
      </c>
      <c r="AT365" s="41">
        <f t="shared" si="144"/>
        <v>9.1954022988505746E-2</v>
      </c>
      <c r="AU365" s="21">
        <v>7</v>
      </c>
      <c r="AV365" s="41">
        <f t="shared" si="163"/>
        <v>0.109375</v>
      </c>
      <c r="AW365" s="21">
        <v>8</v>
      </c>
      <c r="AX365" s="41">
        <f t="shared" si="145"/>
        <v>9.1954022988505746E-2</v>
      </c>
      <c r="AY365" s="21">
        <v>7</v>
      </c>
      <c r="AZ365" s="41">
        <f t="shared" si="164"/>
        <v>0.109375</v>
      </c>
      <c r="BA365" s="21">
        <v>10</v>
      </c>
      <c r="BB365" s="41">
        <f t="shared" si="146"/>
        <v>0.11494252873563218</v>
      </c>
      <c r="BC365" s="21">
        <v>10</v>
      </c>
      <c r="BD365" s="41">
        <f t="shared" si="165"/>
        <v>0.15625</v>
      </c>
      <c r="BE365" s="21">
        <v>87</v>
      </c>
      <c r="BF365" s="21">
        <v>64</v>
      </c>
    </row>
    <row r="366" spans="1:58" ht="15.75" customHeight="1" x14ac:dyDescent="0.25">
      <c r="A366" s="44">
        <v>2022</v>
      </c>
      <c r="B366" s="39">
        <v>171550</v>
      </c>
      <c r="C366" s="37" t="str">
        <f>VLOOKUP(B366,procv!$A$2:$D$142,4,FALSE)</f>
        <v>Amor Perfeito</v>
      </c>
      <c r="D366" s="37" t="s">
        <v>91</v>
      </c>
      <c r="E366" s="21">
        <v>0</v>
      </c>
      <c r="F366" s="42">
        <f t="shared" si="147"/>
        <v>0</v>
      </c>
      <c r="G366" s="21">
        <v>0</v>
      </c>
      <c r="H366" s="42">
        <f t="shared" si="148"/>
        <v>0</v>
      </c>
      <c r="I366" s="21">
        <v>3</v>
      </c>
      <c r="J366" s="41">
        <f t="shared" si="149"/>
        <v>2.4590163934426229E-2</v>
      </c>
      <c r="K366" s="21">
        <v>2</v>
      </c>
      <c r="L366" s="41">
        <f t="shared" si="150"/>
        <v>3.5714285714285712E-2</v>
      </c>
      <c r="M366" s="21">
        <v>107</v>
      </c>
      <c r="N366" s="41">
        <f t="shared" si="151"/>
        <v>0.87704918032786883</v>
      </c>
      <c r="O366" s="21">
        <v>47</v>
      </c>
      <c r="P366" s="41">
        <f t="shared" si="152"/>
        <v>0.8392857142857143</v>
      </c>
      <c r="Q366" s="21">
        <v>12</v>
      </c>
      <c r="R366" s="41">
        <f t="shared" si="153"/>
        <v>9.8360655737704916E-2</v>
      </c>
      <c r="S366" s="21">
        <v>7</v>
      </c>
      <c r="T366" s="41">
        <f t="shared" si="154"/>
        <v>0.125</v>
      </c>
      <c r="U366" s="21">
        <v>2</v>
      </c>
      <c r="V366" s="41">
        <f t="shared" si="155"/>
        <v>1.6393442622950821E-2</v>
      </c>
      <c r="W366" s="21">
        <v>2</v>
      </c>
      <c r="X366" s="41">
        <f t="shared" si="156"/>
        <v>3.5714285714285712E-2</v>
      </c>
      <c r="Y366" s="21">
        <v>3</v>
      </c>
      <c r="Z366" s="41">
        <f t="shared" si="157"/>
        <v>2.4590163934426229E-2</v>
      </c>
      <c r="AA366" s="21">
        <v>3</v>
      </c>
      <c r="AB366" s="41">
        <f t="shared" si="158"/>
        <v>5.3571428571428568E-2</v>
      </c>
      <c r="AC366" s="21">
        <v>117</v>
      </c>
      <c r="AD366" s="41">
        <f t="shared" si="140"/>
        <v>0.95901639344262291</v>
      </c>
      <c r="AE366" s="21">
        <v>51</v>
      </c>
      <c r="AF366" s="41">
        <f t="shared" si="159"/>
        <v>0.9107142857142857</v>
      </c>
      <c r="AG366" s="21">
        <v>2</v>
      </c>
      <c r="AH366" s="41">
        <f t="shared" si="141"/>
        <v>1.6393442622950821E-2</v>
      </c>
      <c r="AI366" s="21">
        <v>3</v>
      </c>
      <c r="AJ366" s="41">
        <f t="shared" si="160"/>
        <v>5.3571428571428568E-2</v>
      </c>
      <c r="AK366" s="21">
        <v>7</v>
      </c>
      <c r="AL366" s="41">
        <f t="shared" si="142"/>
        <v>5.737704918032787E-2</v>
      </c>
      <c r="AM366" s="21">
        <v>3</v>
      </c>
      <c r="AN366" s="41">
        <f t="shared" si="161"/>
        <v>5.3571428571428568E-2</v>
      </c>
      <c r="AO366" s="21">
        <v>82</v>
      </c>
      <c r="AP366" s="41">
        <f t="shared" si="143"/>
        <v>0.67213114754098358</v>
      </c>
      <c r="AQ366" s="21">
        <v>33</v>
      </c>
      <c r="AR366" s="41">
        <f t="shared" si="162"/>
        <v>0.5892857142857143</v>
      </c>
      <c r="AS366" s="21">
        <v>16</v>
      </c>
      <c r="AT366" s="41">
        <f t="shared" si="144"/>
        <v>0.13114754098360656</v>
      </c>
      <c r="AU366" s="21">
        <v>9</v>
      </c>
      <c r="AV366" s="41">
        <f t="shared" si="163"/>
        <v>0.16071428571428573</v>
      </c>
      <c r="AW366" s="21">
        <v>5</v>
      </c>
      <c r="AX366" s="41">
        <f t="shared" si="145"/>
        <v>4.0983606557377046E-2</v>
      </c>
      <c r="AY366" s="21">
        <v>2</v>
      </c>
      <c r="AZ366" s="41">
        <f t="shared" si="164"/>
        <v>3.5714285714285712E-2</v>
      </c>
      <c r="BA366" s="21">
        <v>10</v>
      </c>
      <c r="BB366" s="41">
        <f t="shared" si="146"/>
        <v>8.1967213114754092E-2</v>
      </c>
      <c r="BC366" s="21">
        <v>6</v>
      </c>
      <c r="BD366" s="41">
        <f t="shared" si="165"/>
        <v>0.10714285714285714</v>
      </c>
      <c r="BE366" s="21">
        <v>122</v>
      </c>
      <c r="BF366" s="21">
        <v>56</v>
      </c>
    </row>
    <row r="367" spans="1:58" ht="15.75" customHeight="1" x14ac:dyDescent="0.25">
      <c r="A367" s="44">
        <v>2022</v>
      </c>
      <c r="B367" s="39">
        <v>172100</v>
      </c>
      <c r="C367" s="37" t="str">
        <f>VLOOKUP(B367,procv!$A$2:$D$142,4,FALSE)</f>
        <v>Capim Dourado</v>
      </c>
      <c r="D367" s="37" t="s">
        <v>92</v>
      </c>
      <c r="E367" s="21">
        <v>100</v>
      </c>
      <c r="F367" s="42">
        <f t="shared" si="147"/>
        <v>9.3958470356102601E-3</v>
      </c>
      <c r="G367" s="21">
        <v>42</v>
      </c>
      <c r="H367" s="42">
        <f t="shared" si="148"/>
        <v>1.4472777394900068E-2</v>
      </c>
      <c r="I367" s="21">
        <v>249</v>
      </c>
      <c r="J367" s="41">
        <f t="shared" si="149"/>
        <v>2.3395659118669549E-2</v>
      </c>
      <c r="K367" s="21">
        <v>110</v>
      </c>
      <c r="L367" s="41">
        <f t="shared" si="150"/>
        <v>3.7904893177119231E-2</v>
      </c>
      <c r="M367" s="20">
        <v>9560</v>
      </c>
      <c r="N367" s="41">
        <f t="shared" si="151"/>
        <v>0.89824297660434083</v>
      </c>
      <c r="O367" s="20">
        <v>2472</v>
      </c>
      <c r="P367" s="41">
        <f t="shared" si="152"/>
        <v>0.85182632667126124</v>
      </c>
      <c r="Q367" s="21">
        <v>734</v>
      </c>
      <c r="R367" s="41">
        <f t="shared" si="153"/>
        <v>6.8965517241379309E-2</v>
      </c>
      <c r="S367" s="21">
        <v>278</v>
      </c>
      <c r="T367" s="41">
        <f t="shared" si="154"/>
        <v>9.5796002756719498E-2</v>
      </c>
      <c r="U367" s="21">
        <v>541</v>
      </c>
      <c r="V367" s="41">
        <f t="shared" si="155"/>
        <v>5.0831532462651506E-2</v>
      </c>
      <c r="W367" s="21">
        <v>263</v>
      </c>
      <c r="X367" s="41">
        <f t="shared" si="156"/>
        <v>9.0627153687112341E-2</v>
      </c>
      <c r="Y367" s="21">
        <v>770</v>
      </c>
      <c r="Z367" s="41">
        <f t="shared" si="157"/>
        <v>7.2348022174199E-2</v>
      </c>
      <c r="AA367" s="21">
        <v>302</v>
      </c>
      <c r="AB367" s="41">
        <f t="shared" si="158"/>
        <v>0.10406616126809097</v>
      </c>
      <c r="AC367" s="20">
        <v>9332</v>
      </c>
      <c r="AD367" s="41">
        <f t="shared" si="140"/>
        <v>0.87682044536314951</v>
      </c>
      <c r="AE367" s="20">
        <v>2337</v>
      </c>
      <c r="AF367" s="41">
        <f t="shared" si="159"/>
        <v>0.80530668504479674</v>
      </c>
      <c r="AG367" s="21">
        <v>268</v>
      </c>
      <c r="AH367" s="41">
        <f t="shared" si="141"/>
        <v>2.5180870055435498E-2</v>
      </c>
      <c r="AI367" s="21">
        <v>182</v>
      </c>
      <c r="AJ367" s="41">
        <f t="shared" si="160"/>
        <v>6.2715368711233635E-2</v>
      </c>
      <c r="AK367" s="21">
        <v>372</v>
      </c>
      <c r="AL367" s="41">
        <f t="shared" si="142"/>
        <v>3.4952550972470166E-2</v>
      </c>
      <c r="AM367" s="21">
        <v>169</v>
      </c>
      <c r="AN367" s="41">
        <f t="shared" si="161"/>
        <v>5.823569951757409E-2</v>
      </c>
      <c r="AO367" s="20">
        <v>6456</v>
      </c>
      <c r="AP367" s="41">
        <f t="shared" si="143"/>
        <v>0.60659588461899838</v>
      </c>
      <c r="AQ367" s="20">
        <v>1515</v>
      </c>
      <c r="AR367" s="41">
        <f t="shared" si="162"/>
        <v>0.52205375603032389</v>
      </c>
      <c r="AS367" s="20">
        <v>2009</v>
      </c>
      <c r="AT367" s="41">
        <f t="shared" si="144"/>
        <v>0.18876256694541013</v>
      </c>
      <c r="AU367" s="21">
        <v>454</v>
      </c>
      <c r="AV367" s="41">
        <f t="shared" si="163"/>
        <v>0.15644383184011026</v>
      </c>
      <c r="AW367" s="21">
        <v>918</v>
      </c>
      <c r="AX367" s="41">
        <f t="shared" si="145"/>
        <v>8.625387578690219E-2</v>
      </c>
      <c r="AY367" s="21">
        <v>283</v>
      </c>
      <c r="AZ367" s="41">
        <f t="shared" si="164"/>
        <v>9.7518952446588564E-2</v>
      </c>
      <c r="BA367" s="21">
        <v>621</v>
      </c>
      <c r="BB367" s="41">
        <f t="shared" si="146"/>
        <v>5.8348210091139718E-2</v>
      </c>
      <c r="BC367" s="21">
        <v>300</v>
      </c>
      <c r="BD367" s="41">
        <f t="shared" si="165"/>
        <v>0.10337698139214335</v>
      </c>
      <c r="BE367" s="20">
        <v>10643</v>
      </c>
      <c r="BF367" s="20">
        <v>2902</v>
      </c>
    </row>
    <row r="368" spans="1:58" ht="15.75" customHeight="1" x14ac:dyDescent="0.25">
      <c r="A368" s="44">
        <v>2022</v>
      </c>
      <c r="B368" s="39">
        <v>171570</v>
      </c>
      <c r="C368" s="37" t="str">
        <f>VLOOKUP(B368,procv!$A$2:$D$142,4,FALSE)</f>
        <v>Cerrado Tocantins Araguaia</v>
      </c>
      <c r="D368" s="37" t="s">
        <v>93</v>
      </c>
      <c r="E368" s="21">
        <v>3</v>
      </c>
      <c r="F368" s="42">
        <f t="shared" si="147"/>
        <v>8.8495575221238937E-3</v>
      </c>
      <c r="G368" s="21">
        <v>1</v>
      </c>
      <c r="H368" s="42">
        <f t="shared" si="148"/>
        <v>6.41025641025641E-3</v>
      </c>
      <c r="I368" s="21">
        <v>8</v>
      </c>
      <c r="J368" s="41">
        <f t="shared" si="149"/>
        <v>2.359882005899705E-2</v>
      </c>
      <c r="K368" s="21">
        <v>6</v>
      </c>
      <c r="L368" s="41">
        <f t="shared" si="150"/>
        <v>3.8461538461538464E-2</v>
      </c>
      <c r="M368" s="21">
        <v>313</v>
      </c>
      <c r="N368" s="41">
        <f t="shared" si="151"/>
        <v>0.92330383480825962</v>
      </c>
      <c r="O368" s="21">
        <v>144</v>
      </c>
      <c r="P368" s="41">
        <f t="shared" si="152"/>
        <v>0.92307692307692313</v>
      </c>
      <c r="Q368" s="21">
        <v>15</v>
      </c>
      <c r="R368" s="41">
        <f t="shared" si="153"/>
        <v>4.4247787610619468E-2</v>
      </c>
      <c r="S368" s="21">
        <v>5</v>
      </c>
      <c r="T368" s="41">
        <f t="shared" si="154"/>
        <v>3.2051282051282048E-2</v>
      </c>
      <c r="U368" s="21">
        <v>36</v>
      </c>
      <c r="V368" s="41">
        <f t="shared" si="155"/>
        <v>0.10619469026548672</v>
      </c>
      <c r="W368" s="21">
        <v>13</v>
      </c>
      <c r="X368" s="41">
        <f t="shared" si="156"/>
        <v>8.3333333333333329E-2</v>
      </c>
      <c r="Y368" s="21">
        <v>37</v>
      </c>
      <c r="Z368" s="41">
        <f t="shared" si="157"/>
        <v>0.10914454277286136</v>
      </c>
      <c r="AA368" s="21">
        <v>20</v>
      </c>
      <c r="AB368" s="41">
        <f t="shared" si="158"/>
        <v>0.12820512820512819</v>
      </c>
      <c r="AC368" s="21">
        <v>266</v>
      </c>
      <c r="AD368" s="41">
        <f t="shared" si="140"/>
        <v>0.78466076696165188</v>
      </c>
      <c r="AE368" s="21">
        <v>123</v>
      </c>
      <c r="AF368" s="41">
        <f t="shared" si="159"/>
        <v>0.78846153846153844</v>
      </c>
      <c r="AG368" s="21">
        <v>8</v>
      </c>
      <c r="AH368" s="41">
        <f t="shared" si="141"/>
        <v>2.359882005899705E-2</v>
      </c>
      <c r="AI368" s="21">
        <v>6</v>
      </c>
      <c r="AJ368" s="41">
        <f t="shared" si="160"/>
        <v>3.8461538461538464E-2</v>
      </c>
      <c r="AK368" s="21">
        <v>13</v>
      </c>
      <c r="AL368" s="41">
        <f t="shared" si="142"/>
        <v>3.8348082595870206E-2</v>
      </c>
      <c r="AM368" s="21">
        <v>7</v>
      </c>
      <c r="AN368" s="41">
        <f t="shared" si="161"/>
        <v>4.4871794871794872E-2</v>
      </c>
      <c r="AO368" s="21">
        <v>199</v>
      </c>
      <c r="AP368" s="41">
        <f t="shared" si="143"/>
        <v>0.58702064896755157</v>
      </c>
      <c r="AQ368" s="21">
        <v>98</v>
      </c>
      <c r="AR368" s="41">
        <f t="shared" si="162"/>
        <v>0.62820512820512819</v>
      </c>
      <c r="AS368" s="21">
        <v>61</v>
      </c>
      <c r="AT368" s="41">
        <f t="shared" si="144"/>
        <v>0.17994100294985252</v>
      </c>
      <c r="AU368" s="21">
        <v>23</v>
      </c>
      <c r="AV368" s="41">
        <f t="shared" si="163"/>
        <v>0.14743589743589744</v>
      </c>
      <c r="AW368" s="21">
        <v>31</v>
      </c>
      <c r="AX368" s="41">
        <f t="shared" si="145"/>
        <v>9.1445427728613568E-2</v>
      </c>
      <c r="AY368" s="21">
        <v>12</v>
      </c>
      <c r="AZ368" s="41">
        <f t="shared" si="164"/>
        <v>7.6923076923076927E-2</v>
      </c>
      <c r="BA368" s="21">
        <v>27</v>
      </c>
      <c r="BB368" s="41">
        <f t="shared" si="146"/>
        <v>7.9646017699115043E-2</v>
      </c>
      <c r="BC368" s="21">
        <v>10</v>
      </c>
      <c r="BD368" s="41">
        <f t="shared" si="165"/>
        <v>6.4102564102564097E-2</v>
      </c>
      <c r="BE368" s="21">
        <v>339</v>
      </c>
      <c r="BF368" s="21">
        <v>156</v>
      </c>
    </row>
    <row r="369" spans="1:58" ht="15.75" customHeight="1" x14ac:dyDescent="0.25">
      <c r="A369" s="44">
        <v>2022</v>
      </c>
      <c r="B369" s="39">
        <v>171380</v>
      </c>
      <c r="C369" s="37" t="str">
        <f>VLOOKUP(B369,procv!$A$2:$D$142,4,FALSE)</f>
        <v>Bico do Papagaio</v>
      </c>
      <c r="D369" s="37" t="s">
        <v>94</v>
      </c>
      <c r="E369" s="21">
        <v>3</v>
      </c>
      <c r="F369" s="42">
        <f t="shared" si="147"/>
        <v>1.2711864406779662E-2</v>
      </c>
      <c r="G369" s="21">
        <v>2</v>
      </c>
      <c r="H369" s="42">
        <f t="shared" si="148"/>
        <v>9.5238095238095247E-3</v>
      </c>
      <c r="I369" s="21">
        <v>6</v>
      </c>
      <c r="J369" s="41">
        <f t="shared" si="149"/>
        <v>2.5423728813559324E-2</v>
      </c>
      <c r="K369" s="21">
        <v>5</v>
      </c>
      <c r="L369" s="41">
        <f t="shared" si="150"/>
        <v>2.3809523809523808E-2</v>
      </c>
      <c r="M369" s="21">
        <v>212</v>
      </c>
      <c r="N369" s="41">
        <f t="shared" si="151"/>
        <v>0.89830508474576276</v>
      </c>
      <c r="O369" s="21">
        <v>193</v>
      </c>
      <c r="P369" s="41">
        <f t="shared" si="152"/>
        <v>0.919047619047619</v>
      </c>
      <c r="Q369" s="21">
        <v>15</v>
      </c>
      <c r="R369" s="41">
        <f t="shared" si="153"/>
        <v>6.3559322033898302E-2</v>
      </c>
      <c r="S369" s="21">
        <v>10</v>
      </c>
      <c r="T369" s="41">
        <f t="shared" si="154"/>
        <v>4.7619047619047616E-2</v>
      </c>
      <c r="U369" s="21">
        <v>18</v>
      </c>
      <c r="V369" s="41">
        <f t="shared" si="155"/>
        <v>7.6271186440677971E-2</v>
      </c>
      <c r="W369" s="21">
        <v>10</v>
      </c>
      <c r="X369" s="41">
        <f t="shared" si="156"/>
        <v>4.7619047619047616E-2</v>
      </c>
      <c r="Y369" s="21">
        <v>14</v>
      </c>
      <c r="Z369" s="41">
        <f t="shared" si="157"/>
        <v>5.9322033898305086E-2</v>
      </c>
      <c r="AA369" s="21">
        <v>16</v>
      </c>
      <c r="AB369" s="41">
        <f t="shared" si="158"/>
        <v>7.6190476190476197E-2</v>
      </c>
      <c r="AC369" s="21">
        <v>204</v>
      </c>
      <c r="AD369" s="41">
        <f t="shared" si="140"/>
        <v>0.86440677966101698</v>
      </c>
      <c r="AE369" s="21">
        <v>184</v>
      </c>
      <c r="AF369" s="41">
        <f t="shared" si="159"/>
        <v>0.87619047619047619</v>
      </c>
      <c r="AG369" s="21">
        <v>17</v>
      </c>
      <c r="AH369" s="41">
        <f t="shared" si="141"/>
        <v>7.2033898305084748E-2</v>
      </c>
      <c r="AI369" s="21">
        <v>13</v>
      </c>
      <c r="AJ369" s="41">
        <f t="shared" si="160"/>
        <v>6.1904761904761907E-2</v>
      </c>
      <c r="AK369" s="21">
        <v>18</v>
      </c>
      <c r="AL369" s="41">
        <f t="shared" si="142"/>
        <v>7.6271186440677971E-2</v>
      </c>
      <c r="AM369" s="21">
        <v>15</v>
      </c>
      <c r="AN369" s="41">
        <f t="shared" si="161"/>
        <v>7.1428571428571425E-2</v>
      </c>
      <c r="AO369" s="21">
        <v>127</v>
      </c>
      <c r="AP369" s="41">
        <f t="shared" si="143"/>
        <v>0.53813559322033899</v>
      </c>
      <c r="AQ369" s="21">
        <v>116</v>
      </c>
      <c r="AR369" s="41">
        <f t="shared" si="162"/>
        <v>0.55238095238095242</v>
      </c>
      <c r="AS369" s="21">
        <v>39</v>
      </c>
      <c r="AT369" s="41">
        <f t="shared" si="144"/>
        <v>0.1652542372881356</v>
      </c>
      <c r="AU369" s="21">
        <v>40</v>
      </c>
      <c r="AV369" s="41">
        <f t="shared" si="163"/>
        <v>0.19047619047619047</v>
      </c>
      <c r="AW369" s="21">
        <v>13</v>
      </c>
      <c r="AX369" s="41">
        <f t="shared" si="145"/>
        <v>5.5084745762711863E-2</v>
      </c>
      <c r="AY369" s="21">
        <v>10</v>
      </c>
      <c r="AZ369" s="41">
        <f t="shared" si="164"/>
        <v>4.7619047619047616E-2</v>
      </c>
      <c r="BA369" s="21">
        <v>22</v>
      </c>
      <c r="BB369" s="41">
        <f t="shared" si="146"/>
        <v>9.3220338983050849E-2</v>
      </c>
      <c r="BC369" s="21">
        <v>16</v>
      </c>
      <c r="BD369" s="41">
        <f t="shared" si="165"/>
        <v>7.6190476190476197E-2</v>
      </c>
      <c r="BE369" s="21">
        <v>236</v>
      </c>
      <c r="BF369" s="21">
        <v>210</v>
      </c>
    </row>
    <row r="370" spans="1:58" ht="15.75" customHeight="1" x14ac:dyDescent="0.25">
      <c r="A370" s="44">
        <v>2022</v>
      </c>
      <c r="B370" s="39">
        <v>171575</v>
      </c>
      <c r="C370" s="37" t="str">
        <f>VLOOKUP(B370,procv!$A$2:$D$142,4,FALSE)</f>
        <v>Ilha do Bananal</v>
      </c>
      <c r="D370" s="37" t="s">
        <v>95</v>
      </c>
      <c r="E370" s="21">
        <v>2</v>
      </c>
      <c r="F370" s="42">
        <f t="shared" si="147"/>
        <v>4.7961630695443642E-3</v>
      </c>
      <c r="G370" s="21">
        <v>3</v>
      </c>
      <c r="H370" s="42">
        <f t="shared" si="148"/>
        <v>2.6548672566371681E-2</v>
      </c>
      <c r="I370" s="21">
        <v>9</v>
      </c>
      <c r="J370" s="41">
        <f t="shared" si="149"/>
        <v>2.1582733812949641E-2</v>
      </c>
      <c r="K370" s="21">
        <v>2</v>
      </c>
      <c r="L370" s="41">
        <f t="shared" si="150"/>
        <v>1.7699115044247787E-2</v>
      </c>
      <c r="M370" s="21">
        <v>378</v>
      </c>
      <c r="N370" s="41">
        <f t="shared" si="151"/>
        <v>0.90647482014388492</v>
      </c>
      <c r="O370" s="21">
        <v>102</v>
      </c>
      <c r="P370" s="41">
        <f t="shared" si="152"/>
        <v>0.90265486725663713</v>
      </c>
      <c r="Q370" s="21">
        <v>28</v>
      </c>
      <c r="R370" s="41">
        <f t="shared" si="153"/>
        <v>6.7146282973621102E-2</v>
      </c>
      <c r="S370" s="21">
        <v>6</v>
      </c>
      <c r="T370" s="41">
        <f t="shared" si="154"/>
        <v>5.3097345132743362E-2</v>
      </c>
      <c r="U370" s="21">
        <v>13</v>
      </c>
      <c r="V370" s="41">
        <f t="shared" si="155"/>
        <v>3.117505995203837E-2</v>
      </c>
      <c r="W370" s="21">
        <v>3</v>
      </c>
      <c r="X370" s="41">
        <f t="shared" si="156"/>
        <v>2.6548672566371681E-2</v>
      </c>
      <c r="Y370" s="21">
        <v>19</v>
      </c>
      <c r="Z370" s="41">
        <f t="shared" si="157"/>
        <v>4.5563549160671464E-2</v>
      </c>
      <c r="AA370" s="21">
        <v>3</v>
      </c>
      <c r="AB370" s="41">
        <f t="shared" si="158"/>
        <v>2.6548672566371681E-2</v>
      </c>
      <c r="AC370" s="21">
        <v>385</v>
      </c>
      <c r="AD370" s="41">
        <f t="shared" si="140"/>
        <v>0.9232613908872902</v>
      </c>
      <c r="AE370" s="21">
        <v>107</v>
      </c>
      <c r="AF370" s="41">
        <f t="shared" si="159"/>
        <v>0.94690265486725667</v>
      </c>
      <c r="AG370" s="21">
        <v>18</v>
      </c>
      <c r="AH370" s="41">
        <f t="shared" si="141"/>
        <v>4.3165467625899283E-2</v>
      </c>
      <c r="AI370" s="21">
        <v>4</v>
      </c>
      <c r="AJ370" s="41">
        <f t="shared" si="160"/>
        <v>3.5398230088495575E-2</v>
      </c>
      <c r="AK370" s="21">
        <v>30</v>
      </c>
      <c r="AL370" s="41">
        <f t="shared" si="142"/>
        <v>7.1942446043165464E-2</v>
      </c>
      <c r="AM370" s="21">
        <v>7</v>
      </c>
      <c r="AN370" s="41">
        <f t="shared" si="161"/>
        <v>6.1946902654867256E-2</v>
      </c>
      <c r="AO370" s="21">
        <v>265</v>
      </c>
      <c r="AP370" s="41">
        <f t="shared" si="143"/>
        <v>0.63549160671462834</v>
      </c>
      <c r="AQ370" s="21">
        <v>80</v>
      </c>
      <c r="AR370" s="41">
        <f t="shared" si="162"/>
        <v>0.70796460176991149</v>
      </c>
      <c r="AS370" s="21">
        <v>63</v>
      </c>
      <c r="AT370" s="41">
        <f t="shared" si="144"/>
        <v>0.15107913669064749</v>
      </c>
      <c r="AU370" s="21">
        <v>11</v>
      </c>
      <c r="AV370" s="41">
        <f t="shared" si="163"/>
        <v>9.7345132743362831E-2</v>
      </c>
      <c r="AW370" s="21">
        <v>28</v>
      </c>
      <c r="AX370" s="41">
        <f t="shared" si="145"/>
        <v>6.7146282973621102E-2</v>
      </c>
      <c r="AY370" s="21">
        <v>6</v>
      </c>
      <c r="AZ370" s="41">
        <f t="shared" si="164"/>
        <v>5.3097345132743362E-2</v>
      </c>
      <c r="BA370" s="21">
        <v>13</v>
      </c>
      <c r="BB370" s="41">
        <f t="shared" si="146"/>
        <v>3.117505995203837E-2</v>
      </c>
      <c r="BC370" s="21">
        <v>5</v>
      </c>
      <c r="BD370" s="41">
        <f t="shared" si="165"/>
        <v>4.4247787610619468E-2</v>
      </c>
      <c r="BE370" s="21">
        <v>417</v>
      </c>
      <c r="BF370" s="21">
        <v>113</v>
      </c>
    </row>
    <row r="371" spans="1:58" ht="15.75" customHeight="1" x14ac:dyDescent="0.25">
      <c r="A371" s="44">
        <v>2022</v>
      </c>
      <c r="B371" s="39">
        <v>171610</v>
      </c>
      <c r="C371" s="37" t="str">
        <f>VLOOKUP(B371,procv!$A$2:$D$142,4,FALSE)</f>
        <v>Cantão</v>
      </c>
      <c r="D371" s="37" t="s">
        <v>96</v>
      </c>
      <c r="E371" s="21">
        <v>5</v>
      </c>
      <c r="F371" s="42">
        <f t="shared" si="147"/>
        <v>2.7442371020856204E-3</v>
      </c>
      <c r="G371" s="21">
        <v>0</v>
      </c>
      <c r="H371" s="42">
        <f t="shared" si="148"/>
        <v>0</v>
      </c>
      <c r="I371" s="21">
        <v>31</v>
      </c>
      <c r="J371" s="41">
        <f t="shared" si="149"/>
        <v>1.7014270032930844E-2</v>
      </c>
      <c r="K371" s="21">
        <v>7</v>
      </c>
      <c r="L371" s="41">
        <f t="shared" si="150"/>
        <v>2.0408163265306121E-2</v>
      </c>
      <c r="M371" s="20">
        <v>1672</v>
      </c>
      <c r="N371" s="41">
        <f t="shared" si="151"/>
        <v>0.91767288693743143</v>
      </c>
      <c r="O371" s="21">
        <v>310</v>
      </c>
      <c r="P371" s="41">
        <f t="shared" si="152"/>
        <v>0.90379008746355682</v>
      </c>
      <c r="Q371" s="21">
        <v>114</v>
      </c>
      <c r="R371" s="41">
        <f t="shared" si="153"/>
        <v>6.2568605927552146E-2</v>
      </c>
      <c r="S371" s="21">
        <v>26</v>
      </c>
      <c r="T371" s="41">
        <f t="shared" si="154"/>
        <v>7.5801749271137031E-2</v>
      </c>
      <c r="U371" s="21">
        <v>45</v>
      </c>
      <c r="V371" s="41">
        <f t="shared" si="155"/>
        <v>2.4698133918770581E-2</v>
      </c>
      <c r="W371" s="21">
        <v>11</v>
      </c>
      <c r="X371" s="41">
        <f t="shared" si="156"/>
        <v>3.2069970845481049E-2</v>
      </c>
      <c r="Y371" s="21">
        <v>79</v>
      </c>
      <c r="Z371" s="41">
        <f t="shared" si="157"/>
        <v>4.3358946212952797E-2</v>
      </c>
      <c r="AA371" s="21">
        <v>19</v>
      </c>
      <c r="AB371" s="41">
        <f t="shared" si="158"/>
        <v>5.5393586005830907E-2</v>
      </c>
      <c r="AC371" s="20">
        <v>1698</v>
      </c>
      <c r="AD371" s="41">
        <f t="shared" si="140"/>
        <v>0.9319429198682766</v>
      </c>
      <c r="AE371" s="21">
        <v>313</v>
      </c>
      <c r="AF371" s="41">
        <f t="shared" si="159"/>
        <v>0.91253644314868809</v>
      </c>
      <c r="AG371" s="21">
        <v>24</v>
      </c>
      <c r="AH371" s="41">
        <f t="shared" si="141"/>
        <v>1.3172338090010977E-2</v>
      </c>
      <c r="AI371" s="21">
        <v>11</v>
      </c>
      <c r="AJ371" s="41">
        <f t="shared" si="160"/>
        <v>3.2069970845481049E-2</v>
      </c>
      <c r="AK371" s="21">
        <v>50</v>
      </c>
      <c r="AL371" s="41">
        <f t="shared" si="142"/>
        <v>2.7442371020856202E-2</v>
      </c>
      <c r="AM371" s="21">
        <v>17</v>
      </c>
      <c r="AN371" s="41">
        <f t="shared" si="161"/>
        <v>4.9562682215743441E-2</v>
      </c>
      <c r="AO371" s="20">
        <v>1200</v>
      </c>
      <c r="AP371" s="41">
        <f t="shared" si="143"/>
        <v>0.65861690450054888</v>
      </c>
      <c r="AQ371" s="21">
        <v>230</v>
      </c>
      <c r="AR371" s="41">
        <f t="shared" si="162"/>
        <v>0.67055393586005829</v>
      </c>
      <c r="AS371" s="21">
        <v>335</v>
      </c>
      <c r="AT371" s="41">
        <f t="shared" si="144"/>
        <v>0.18386388583973656</v>
      </c>
      <c r="AU371" s="21">
        <v>46</v>
      </c>
      <c r="AV371" s="41">
        <f t="shared" si="163"/>
        <v>0.13411078717201166</v>
      </c>
      <c r="AW371" s="21">
        <v>139</v>
      </c>
      <c r="AX371" s="41">
        <f t="shared" si="145"/>
        <v>7.6289791437980245E-2</v>
      </c>
      <c r="AY371" s="21">
        <v>24</v>
      </c>
      <c r="AZ371" s="41">
        <f t="shared" si="164"/>
        <v>6.9970845481049565E-2</v>
      </c>
      <c r="BA371" s="21">
        <v>74</v>
      </c>
      <c r="BB371" s="41">
        <f t="shared" si="146"/>
        <v>4.0614709110867182E-2</v>
      </c>
      <c r="BC371" s="21">
        <v>15</v>
      </c>
      <c r="BD371" s="41">
        <f t="shared" si="165"/>
        <v>4.3731778425655975E-2</v>
      </c>
      <c r="BE371" s="20">
        <v>1822</v>
      </c>
      <c r="BF371" s="21">
        <v>343</v>
      </c>
    </row>
    <row r="372" spans="1:58" ht="15.75" customHeight="1" x14ac:dyDescent="0.25">
      <c r="A372" s="44">
        <v>2022</v>
      </c>
      <c r="B372" s="39">
        <v>171620</v>
      </c>
      <c r="C372" s="37" t="str">
        <f>VLOOKUP(B372,procv!$A$2:$D$142,4,FALSE)</f>
        <v>Sudeste</v>
      </c>
      <c r="D372" s="37" t="s">
        <v>97</v>
      </c>
      <c r="E372" s="21">
        <v>3</v>
      </c>
      <c r="F372" s="42">
        <f t="shared" si="147"/>
        <v>4.6224961479198771E-3</v>
      </c>
      <c r="G372" s="21">
        <v>4</v>
      </c>
      <c r="H372" s="42">
        <f t="shared" si="148"/>
        <v>1.2121212121212121E-2</v>
      </c>
      <c r="I372" s="21">
        <v>26</v>
      </c>
      <c r="J372" s="41">
        <f t="shared" si="149"/>
        <v>4.0061633281972264E-2</v>
      </c>
      <c r="K372" s="21">
        <v>7</v>
      </c>
      <c r="L372" s="41">
        <f t="shared" si="150"/>
        <v>2.1212121212121213E-2</v>
      </c>
      <c r="M372" s="21">
        <v>591</v>
      </c>
      <c r="N372" s="41">
        <f t="shared" si="151"/>
        <v>0.91063174114021572</v>
      </c>
      <c r="O372" s="21">
        <v>304</v>
      </c>
      <c r="P372" s="41">
        <f t="shared" si="152"/>
        <v>0.92121212121212126</v>
      </c>
      <c r="Q372" s="21">
        <v>29</v>
      </c>
      <c r="R372" s="41">
        <f t="shared" si="153"/>
        <v>4.4684129429892139E-2</v>
      </c>
      <c r="S372" s="21">
        <v>15</v>
      </c>
      <c r="T372" s="41">
        <f t="shared" si="154"/>
        <v>4.5454545454545456E-2</v>
      </c>
      <c r="U372" s="21">
        <v>44</v>
      </c>
      <c r="V372" s="41">
        <f t="shared" si="155"/>
        <v>6.7796610169491525E-2</v>
      </c>
      <c r="W372" s="21">
        <v>24</v>
      </c>
      <c r="X372" s="41">
        <f t="shared" si="156"/>
        <v>7.2727272727272724E-2</v>
      </c>
      <c r="Y372" s="21">
        <v>52</v>
      </c>
      <c r="Z372" s="41">
        <f t="shared" si="157"/>
        <v>8.0123266563944529E-2</v>
      </c>
      <c r="AA372" s="21">
        <v>26</v>
      </c>
      <c r="AB372" s="41">
        <f t="shared" si="158"/>
        <v>7.8787878787878782E-2</v>
      </c>
      <c r="AC372" s="21">
        <v>553</v>
      </c>
      <c r="AD372" s="41">
        <f t="shared" si="140"/>
        <v>0.8520801232665639</v>
      </c>
      <c r="AE372" s="21">
        <v>280</v>
      </c>
      <c r="AF372" s="41">
        <f t="shared" si="159"/>
        <v>0.84848484848484851</v>
      </c>
      <c r="AG372" s="21">
        <v>33</v>
      </c>
      <c r="AH372" s="41">
        <f t="shared" si="141"/>
        <v>5.0847457627118647E-2</v>
      </c>
      <c r="AI372" s="21">
        <v>17</v>
      </c>
      <c r="AJ372" s="41">
        <f t="shared" si="160"/>
        <v>5.1515151515151514E-2</v>
      </c>
      <c r="AK372" s="21">
        <v>34</v>
      </c>
      <c r="AL372" s="41">
        <f t="shared" si="142"/>
        <v>5.2388289676425268E-2</v>
      </c>
      <c r="AM372" s="21">
        <v>20</v>
      </c>
      <c r="AN372" s="41">
        <f t="shared" si="161"/>
        <v>6.0606060606060608E-2</v>
      </c>
      <c r="AO372" s="21">
        <v>404</v>
      </c>
      <c r="AP372" s="41">
        <f t="shared" si="143"/>
        <v>0.62249614791987673</v>
      </c>
      <c r="AQ372" s="21">
        <v>207</v>
      </c>
      <c r="AR372" s="41">
        <f t="shared" si="162"/>
        <v>0.62727272727272732</v>
      </c>
      <c r="AS372" s="21">
        <v>102</v>
      </c>
      <c r="AT372" s="41">
        <f t="shared" si="144"/>
        <v>0.15716486902927582</v>
      </c>
      <c r="AU372" s="21">
        <v>45</v>
      </c>
      <c r="AV372" s="41">
        <f t="shared" si="163"/>
        <v>0.13636363636363635</v>
      </c>
      <c r="AW372" s="21">
        <v>40</v>
      </c>
      <c r="AX372" s="41">
        <f t="shared" si="145"/>
        <v>6.1633281972265024E-2</v>
      </c>
      <c r="AY372" s="21">
        <v>19</v>
      </c>
      <c r="AZ372" s="41">
        <f t="shared" si="164"/>
        <v>5.7575757575757579E-2</v>
      </c>
      <c r="BA372" s="21">
        <v>36</v>
      </c>
      <c r="BB372" s="41">
        <f t="shared" si="146"/>
        <v>5.5469953775038522E-2</v>
      </c>
      <c r="BC372" s="21">
        <v>22</v>
      </c>
      <c r="BD372" s="41">
        <f t="shared" si="165"/>
        <v>6.6666666666666666E-2</v>
      </c>
      <c r="BE372" s="21">
        <v>649</v>
      </c>
      <c r="BF372" s="21">
        <v>330</v>
      </c>
    </row>
    <row r="373" spans="1:58" ht="15.75" customHeight="1" x14ac:dyDescent="0.25">
      <c r="A373" s="44">
        <v>2022</v>
      </c>
      <c r="B373" s="39">
        <v>171630</v>
      </c>
      <c r="C373" s="37" t="str">
        <f>VLOOKUP(B373,procv!$A$2:$D$142,4,FALSE)</f>
        <v>Médio Norte Araguaia</v>
      </c>
      <c r="D373" s="37" t="s">
        <v>98</v>
      </c>
      <c r="E373" s="21">
        <v>6</v>
      </c>
      <c r="F373" s="42">
        <f t="shared" si="147"/>
        <v>2.5210084033613446E-2</v>
      </c>
      <c r="G373" s="21">
        <v>3</v>
      </c>
      <c r="H373" s="42">
        <f t="shared" si="148"/>
        <v>2.0408163265306121E-2</v>
      </c>
      <c r="I373" s="21">
        <v>12</v>
      </c>
      <c r="J373" s="41">
        <f t="shared" si="149"/>
        <v>5.0420168067226892E-2</v>
      </c>
      <c r="K373" s="21">
        <v>14</v>
      </c>
      <c r="L373" s="41">
        <f t="shared" si="150"/>
        <v>9.5238095238095233E-2</v>
      </c>
      <c r="M373" s="21">
        <v>208</v>
      </c>
      <c r="N373" s="41">
        <f t="shared" si="151"/>
        <v>0.87394957983193278</v>
      </c>
      <c r="O373" s="21">
        <v>119</v>
      </c>
      <c r="P373" s="41">
        <f t="shared" si="152"/>
        <v>0.80952380952380953</v>
      </c>
      <c r="Q373" s="21">
        <v>12</v>
      </c>
      <c r="R373" s="41">
        <f t="shared" si="153"/>
        <v>5.0420168067226892E-2</v>
      </c>
      <c r="S373" s="21">
        <v>11</v>
      </c>
      <c r="T373" s="41">
        <f t="shared" si="154"/>
        <v>7.4829931972789115E-2</v>
      </c>
      <c r="U373" s="21">
        <v>13</v>
      </c>
      <c r="V373" s="41">
        <f t="shared" si="155"/>
        <v>5.4621848739495799E-2</v>
      </c>
      <c r="W373" s="21">
        <v>12</v>
      </c>
      <c r="X373" s="41">
        <f t="shared" si="156"/>
        <v>8.1632653061224483E-2</v>
      </c>
      <c r="Y373" s="21">
        <v>28</v>
      </c>
      <c r="Z373" s="41">
        <f t="shared" si="157"/>
        <v>0.11764705882352941</v>
      </c>
      <c r="AA373" s="21">
        <v>15</v>
      </c>
      <c r="AB373" s="41">
        <f t="shared" si="158"/>
        <v>0.10204081632653061</v>
      </c>
      <c r="AC373" s="21">
        <v>197</v>
      </c>
      <c r="AD373" s="41">
        <f t="shared" si="140"/>
        <v>0.82773109243697474</v>
      </c>
      <c r="AE373" s="21">
        <v>120</v>
      </c>
      <c r="AF373" s="41">
        <f t="shared" si="159"/>
        <v>0.81632653061224492</v>
      </c>
      <c r="AG373" s="21">
        <v>4</v>
      </c>
      <c r="AH373" s="41">
        <f t="shared" si="141"/>
        <v>1.680672268907563E-2</v>
      </c>
      <c r="AI373" s="21">
        <v>3</v>
      </c>
      <c r="AJ373" s="41">
        <f t="shared" si="160"/>
        <v>2.0408163265306121E-2</v>
      </c>
      <c r="AK373" s="21">
        <v>10</v>
      </c>
      <c r="AL373" s="41">
        <f t="shared" si="142"/>
        <v>4.2016806722689079E-2</v>
      </c>
      <c r="AM373" s="21">
        <v>7</v>
      </c>
      <c r="AN373" s="41">
        <f t="shared" si="161"/>
        <v>4.7619047619047616E-2</v>
      </c>
      <c r="AO373" s="21">
        <v>150</v>
      </c>
      <c r="AP373" s="41">
        <f t="shared" si="143"/>
        <v>0.63025210084033612</v>
      </c>
      <c r="AQ373" s="21">
        <v>99</v>
      </c>
      <c r="AR373" s="41">
        <f t="shared" si="162"/>
        <v>0.67346938775510201</v>
      </c>
      <c r="AS373" s="21">
        <v>49</v>
      </c>
      <c r="AT373" s="41">
        <f t="shared" si="144"/>
        <v>0.20588235294117646</v>
      </c>
      <c r="AU373" s="21">
        <v>22</v>
      </c>
      <c r="AV373" s="41">
        <f t="shared" si="163"/>
        <v>0.14965986394557823</v>
      </c>
      <c r="AW373" s="21">
        <v>15</v>
      </c>
      <c r="AX373" s="41">
        <f t="shared" si="145"/>
        <v>6.3025210084033612E-2</v>
      </c>
      <c r="AY373" s="21">
        <v>6</v>
      </c>
      <c r="AZ373" s="41">
        <f t="shared" si="164"/>
        <v>4.0816326530612242E-2</v>
      </c>
      <c r="BA373" s="21">
        <v>10</v>
      </c>
      <c r="BB373" s="41">
        <f t="shared" si="146"/>
        <v>4.2016806722689079E-2</v>
      </c>
      <c r="BC373" s="21">
        <v>10</v>
      </c>
      <c r="BD373" s="41">
        <f t="shared" si="165"/>
        <v>6.8027210884353748E-2</v>
      </c>
      <c r="BE373" s="21">
        <v>238</v>
      </c>
      <c r="BF373" s="21">
        <v>147</v>
      </c>
    </row>
    <row r="374" spans="1:58" ht="15.75" customHeight="1" x14ac:dyDescent="0.25">
      <c r="A374" s="44">
        <v>2022</v>
      </c>
      <c r="B374" s="39">
        <v>171650</v>
      </c>
      <c r="C374" s="37" t="str">
        <f>VLOOKUP(B374,procv!$A$2:$D$142,4,FALSE)</f>
        <v>Cerrado Tocantins Araguaia</v>
      </c>
      <c r="D374" s="37" t="s">
        <v>99</v>
      </c>
      <c r="E374" s="21">
        <v>1</v>
      </c>
      <c r="F374" s="42">
        <f t="shared" si="147"/>
        <v>1.30718954248366E-3</v>
      </c>
      <c r="G374" s="21">
        <v>1</v>
      </c>
      <c r="H374" s="42">
        <f t="shared" si="148"/>
        <v>3.8167938931297708E-3</v>
      </c>
      <c r="I374" s="21">
        <v>14</v>
      </c>
      <c r="J374" s="41">
        <f t="shared" si="149"/>
        <v>1.8300653594771243E-2</v>
      </c>
      <c r="K374" s="21">
        <v>3</v>
      </c>
      <c r="L374" s="41">
        <f t="shared" si="150"/>
        <v>1.1450381679389313E-2</v>
      </c>
      <c r="M374" s="21">
        <v>705</v>
      </c>
      <c r="N374" s="41">
        <f t="shared" si="151"/>
        <v>0.92156862745098034</v>
      </c>
      <c r="O374" s="21">
        <v>248</v>
      </c>
      <c r="P374" s="41">
        <f t="shared" si="152"/>
        <v>0.94656488549618323</v>
      </c>
      <c r="Q374" s="21">
        <v>45</v>
      </c>
      <c r="R374" s="41">
        <f t="shared" si="153"/>
        <v>5.8823529411764705E-2</v>
      </c>
      <c r="S374" s="21">
        <v>10</v>
      </c>
      <c r="T374" s="41">
        <f t="shared" si="154"/>
        <v>3.8167938931297711E-2</v>
      </c>
      <c r="U374" s="21">
        <v>38</v>
      </c>
      <c r="V374" s="41">
        <f t="shared" si="155"/>
        <v>4.9673202614379082E-2</v>
      </c>
      <c r="W374" s="21">
        <v>17</v>
      </c>
      <c r="X374" s="41">
        <f t="shared" si="156"/>
        <v>6.4885496183206104E-2</v>
      </c>
      <c r="Y374" s="21">
        <v>80</v>
      </c>
      <c r="Z374" s="41">
        <f t="shared" si="157"/>
        <v>0.10457516339869281</v>
      </c>
      <c r="AA374" s="21">
        <v>28</v>
      </c>
      <c r="AB374" s="41">
        <f t="shared" si="158"/>
        <v>0.10687022900763359</v>
      </c>
      <c r="AC374" s="21">
        <v>647</v>
      </c>
      <c r="AD374" s="41">
        <f t="shared" si="140"/>
        <v>0.8457516339869281</v>
      </c>
      <c r="AE374" s="21">
        <v>217</v>
      </c>
      <c r="AF374" s="41">
        <f t="shared" si="159"/>
        <v>0.8282442748091603</v>
      </c>
      <c r="AG374" s="21">
        <v>8</v>
      </c>
      <c r="AH374" s="41">
        <f t="shared" si="141"/>
        <v>1.045751633986928E-2</v>
      </c>
      <c r="AI374" s="21">
        <v>7</v>
      </c>
      <c r="AJ374" s="41">
        <f t="shared" si="160"/>
        <v>2.6717557251908396E-2</v>
      </c>
      <c r="AK374" s="21">
        <v>17</v>
      </c>
      <c r="AL374" s="41">
        <f t="shared" si="142"/>
        <v>2.2222222222222223E-2</v>
      </c>
      <c r="AM374" s="21">
        <v>7</v>
      </c>
      <c r="AN374" s="41">
        <f t="shared" si="161"/>
        <v>2.6717557251908396E-2</v>
      </c>
      <c r="AO374" s="21">
        <v>444</v>
      </c>
      <c r="AP374" s="41">
        <f t="shared" si="143"/>
        <v>0.58039215686274515</v>
      </c>
      <c r="AQ374" s="21">
        <v>170</v>
      </c>
      <c r="AR374" s="41">
        <f t="shared" si="162"/>
        <v>0.64885496183206104</v>
      </c>
      <c r="AS374" s="21">
        <v>162</v>
      </c>
      <c r="AT374" s="41">
        <f t="shared" si="144"/>
        <v>0.21176470588235294</v>
      </c>
      <c r="AU374" s="21">
        <v>47</v>
      </c>
      <c r="AV374" s="41">
        <f t="shared" si="163"/>
        <v>0.17938931297709923</v>
      </c>
      <c r="AW374" s="21">
        <v>84</v>
      </c>
      <c r="AX374" s="41">
        <f t="shared" si="145"/>
        <v>0.10980392156862745</v>
      </c>
      <c r="AY374" s="21">
        <v>20</v>
      </c>
      <c r="AZ374" s="41">
        <f t="shared" si="164"/>
        <v>7.6335877862595422E-2</v>
      </c>
      <c r="BA374" s="21">
        <v>50</v>
      </c>
      <c r="BB374" s="41">
        <f t="shared" si="146"/>
        <v>6.535947712418301E-2</v>
      </c>
      <c r="BC374" s="21">
        <v>11</v>
      </c>
      <c r="BD374" s="41">
        <f t="shared" si="165"/>
        <v>4.1984732824427481E-2</v>
      </c>
      <c r="BE374" s="21">
        <v>765</v>
      </c>
      <c r="BF374" s="21">
        <v>262</v>
      </c>
    </row>
    <row r="375" spans="1:58" ht="15.75" customHeight="1" x14ac:dyDescent="0.25">
      <c r="A375" s="44">
        <v>2022</v>
      </c>
      <c r="B375" s="39">
        <v>171660</v>
      </c>
      <c r="C375" s="37" t="str">
        <f>VLOOKUP(B375,procv!$A$2:$D$142,4,FALSE)</f>
        <v>Ilha do Bananal</v>
      </c>
      <c r="D375" s="37" t="s">
        <v>100</v>
      </c>
      <c r="E375" s="21">
        <v>4</v>
      </c>
      <c r="F375" s="42">
        <f t="shared" si="147"/>
        <v>8.658008658008658E-3</v>
      </c>
      <c r="G375" s="21">
        <v>2</v>
      </c>
      <c r="H375" s="42">
        <f t="shared" si="148"/>
        <v>9.3023255813953487E-3</v>
      </c>
      <c r="I375" s="21">
        <v>16</v>
      </c>
      <c r="J375" s="41">
        <f t="shared" si="149"/>
        <v>3.4632034632034632E-2</v>
      </c>
      <c r="K375" s="21">
        <v>6</v>
      </c>
      <c r="L375" s="41">
        <f t="shared" si="150"/>
        <v>2.7906976744186046E-2</v>
      </c>
      <c r="M375" s="21">
        <v>412</v>
      </c>
      <c r="N375" s="41">
        <f t="shared" si="151"/>
        <v>0.89177489177489178</v>
      </c>
      <c r="O375" s="21">
        <v>196</v>
      </c>
      <c r="P375" s="41">
        <f t="shared" si="152"/>
        <v>0.91162790697674423</v>
      </c>
      <c r="Q375" s="21">
        <v>30</v>
      </c>
      <c r="R375" s="41">
        <f t="shared" si="153"/>
        <v>6.4935064935064929E-2</v>
      </c>
      <c r="S375" s="21">
        <v>11</v>
      </c>
      <c r="T375" s="41">
        <f t="shared" si="154"/>
        <v>5.1162790697674418E-2</v>
      </c>
      <c r="U375" s="21">
        <v>23</v>
      </c>
      <c r="V375" s="41">
        <f t="shared" si="155"/>
        <v>4.9783549783549784E-2</v>
      </c>
      <c r="W375" s="21">
        <v>12</v>
      </c>
      <c r="X375" s="41">
        <f t="shared" si="156"/>
        <v>5.5813953488372092E-2</v>
      </c>
      <c r="Y375" s="21">
        <v>28</v>
      </c>
      <c r="Z375" s="41">
        <f t="shared" si="157"/>
        <v>6.0606060606060608E-2</v>
      </c>
      <c r="AA375" s="21">
        <v>15</v>
      </c>
      <c r="AB375" s="41">
        <f t="shared" si="158"/>
        <v>6.9767441860465115E-2</v>
      </c>
      <c r="AC375" s="21">
        <v>411</v>
      </c>
      <c r="AD375" s="41">
        <f t="shared" si="140"/>
        <v>0.88961038961038963</v>
      </c>
      <c r="AE375" s="21">
        <v>188</v>
      </c>
      <c r="AF375" s="41">
        <f t="shared" si="159"/>
        <v>0.87441860465116283</v>
      </c>
      <c r="AG375" s="21">
        <v>10</v>
      </c>
      <c r="AH375" s="41">
        <f t="shared" si="141"/>
        <v>2.1645021645021644E-2</v>
      </c>
      <c r="AI375" s="21">
        <v>7</v>
      </c>
      <c r="AJ375" s="41">
        <f t="shared" si="160"/>
        <v>3.255813953488372E-2</v>
      </c>
      <c r="AK375" s="21">
        <v>12</v>
      </c>
      <c r="AL375" s="41">
        <f t="shared" si="142"/>
        <v>2.5974025974025976E-2</v>
      </c>
      <c r="AM375" s="21">
        <v>11</v>
      </c>
      <c r="AN375" s="41">
        <f t="shared" si="161"/>
        <v>5.1162790697674418E-2</v>
      </c>
      <c r="AO375" s="21">
        <v>293</v>
      </c>
      <c r="AP375" s="41">
        <f t="shared" si="143"/>
        <v>0.63419913419913421</v>
      </c>
      <c r="AQ375" s="21">
        <v>136</v>
      </c>
      <c r="AR375" s="41">
        <f t="shared" si="162"/>
        <v>0.63255813953488371</v>
      </c>
      <c r="AS375" s="21">
        <v>80</v>
      </c>
      <c r="AT375" s="41">
        <f t="shared" si="144"/>
        <v>0.17316017316017315</v>
      </c>
      <c r="AU375" s="21">
        <v>35</v>
      </c>
      <c r="AV375" s="41">
        <f t="shared" si="163"/>
        <v>0.16279069767441862</v>
      </c>
      <c r="AW375" s="21">
        <v>47</v>
      </c>
      <c r="AX375" s="41">
        <f t="shared" si="145"/>
        <v>0.10173160173160173</v>
      </c>
      <c r="AY375" s="21">
        <v>17</v>
      </c>
      <c r="AZ375" s="41">
        <f t="shared" si="164"/>
        <v>7.9069767441860464E-2</v>
      </c>
      <c r="BA375" s="21">
        <v>20</v>
      </c>
      <c r="BB375" s="41">
        <f t="shared" si="146"/>
        <v>4.3290043290043288E-2</v>
      </c>
      <c r="BC375" s="21">
        <v>9</v>
      </c>
      <c r="BD375" s="41">
        <f t="shared" si="165"/>
        <v>4.1860465116279069E-2</v>
      </c>
      <c r="BE375" s="21">
        <v>462</v>
      </c>
      <c r="BF375" s="21">
        <v>215</v>
      </c>
    </row>
    <row r="376" spans="1:58" ht="15.75" customHeight="1" x14ac:dyDescent="0.25">
      <c r="A376" s="44">
        <v>2022</v>
      </c>
      <c r="B376" s="39">
        <v>171665</v>
      </c>
      <c r="C376" s="37" t="str">
        <f>VLOOKUP(B376,procv!$A$2:$D$142,4,FALSE)</f>
        <v>Cerrado Tocantins Araguaia</v>
      </c>
      <c r="D376" s="37" t="s">
        <v>101</v>
      </c>
      <c r="E376" s="21">
        <v>3</v>
      </c>
      <c r="F376" s="42">
        <f t="shared" si="147"/>
        <v>1.1235955056179775E-2</v>
      </c>
      <c r="G376" s="21">
        <v>0</v>
      </c>
      <c r="H376" s="42">
        <f t="shared" si="148"/>
        <v>0</v>
      </c>
      <c r="I376" s="21">
        <v>6</v>
      </c>
      <c r="J376" s="41">
        <f t="shared" si="149"/>
        <v>2.247191011235955E-2</v>
      </c>
      <c r="K376" s="21">
        <v>5</v>
      </c>
      <c r="L376" s="41">
        <f t="shared" si="150"/>
        <v>7.2463768115942032E-2</v>
      </c>
      <c r="M376" s="21">
        <v>246</v>
      </c>
      <c r="N376" s="41">
        <f t="shared" si="151"/>
        <v>0.9213483146067416</v>
      </c>
      <c r="O376" s="21">
        <v>60</v>
      </c>
      <c r="P376" s="41">
        <f t="shared" si="152"/>
        <v>0.86956521739130432</v>
      </c>
      <c r="Q376" s="21">
        <v>12</v>
      </c>
      <c r="R376" s="41">
        <f t="shared" si="153"/>
        <v>4.49438202247191E-2</v>
      </c>
      <c r="S376" s="21">
        <v>4</v>
      </c>
      <c r="T376" s="41">
        <f t="shared" si="154"/>
        <v>5.7971014492753624E-2</v>
      </c>
      <c r="U376" s="21">
        <v>24</v>
      </c>
      <c r="V376" s="41">
        <f t="shared" si="155"/>
        <v>8.98876404494382E-2</v>
      </c>
      <c r="W376" s="21">
        <v>22</v>
      </c>
      <c r="X376" s="41">
        <f t="shared" si="156"/>
        <v>0.3188405797101449</v>
      </c>
      <c r="Y376" s="21">
        <v>19</v>
      </c>
      <c r="Z376" s="41">
        <f t="shared" si="157"/>
        <v>7.116104868913857E-2</v>
      </c>
      <c r="AA376" s="21">
        <v>2</v>
      </c>
      <c r="AB376" s="41">
        <f t="shared" si="158"/>
        <v>2.8985507246376812E-2</v>
      </c>
      <c r="AC376" s="21">
        <v>224</v>
      </c>
      <c r="AD376" s="41">
        <f t="shared" si="140"/>
        <v>0.83895131086142327</v>
      </c>
      <c r="AE376" s="21">
        <v>45</v>
      </c>
      <c r="AF376" s="41">
        <f t="shared" si="159"/>
        <v>0.65217391304347827</v>
      </c>
      <c r="AG376" s="21">
        <v>8</v>
      </c>
      <c r="AH376" s="41">
        <f t="shared" si="141"/>
        <v>2.9962546816479401E-2</v>
      </c>
      <c r="AI376" s="21">
        <v>6</v>
      </c>
      <c r="AJ376" s="41">
        <f t="shared" si="160"/>
        <v>8.6956521739130432E-2</v>
      </c>
      <c r="AK376" s="21">
        <v>11</v>
      </c>
      <c r="AL376" s="41">
        <f t="shared" si="142"/>
        <v>4.1198501872659173E-2</v>
      </c>
      <c r="AM376" s="21">
        <v>4</v>
      </c>
      <c r="AN376" s="41">
        <f t="shared" si="161"/>
        <v>5.7971014492753624E-2</v>
      </c>
      <c r="AO376" s="21">
        <v>151</v>
      </c>
      <c r="AP376" s="41">
        <f t="shared" si="143"/>
        <v>0.56554307116104874</v>
      </c>
      <c r="AQ376" s="21">
        <v>29</v>
      </c>
      <c r="AR376" s="41">
        <f t="shared" si="162"/>
        <v>0.42028985507246375</v>
      </c>
      <c r="AS376" s="21">
        <v>49</v>
      </c>
      <c r="AT376" s="41">
        <f t="shared" si="144"/>
        <v>0.18352059925093633</v>
      </c>
      <c r="AU376" s="21">
        <v>4</v>
      </c>
      <c r="AV376" s="41">
        <f t="shared" si="163"/>
        <v>5.7971014492753624E-2</v>
      </c>
      <c r="AW376" s="21">
        <v>25</v>
      </c>
      <c r="AX376" s="41">
        <f t="shared" si="145"/>
        <v>9.3632958801498134E-2</v>
      </c>
      <c r="AY376" s="21">
        <v>4</v>
      </c>
      <c r="AZ376" s="41">
        <f t="shared" si="164"/>
        <v>5.7971014492753624E-2</v>
      </c>
      <c r="BA376" s="21">
        <v>23</v>
      </c>
      <c r="BB376" s="41">
        <f t="shared" si="146"/>
        <v>8.6142322097378279E-2</v>
      </c>
      <c r="BC376" s="21">
        <v>22</v>
      </c>
      <c r="BD376" s="41">
        <f t="shared" si="165"/>
        <v>0.3188405797101449</v>
      </c>
      <c r="BE376" s="21">
        <v>267</v>
      </c>
      <c r="BF376" s="21">
        <v>69</v>
      </c>
    </row>
    <row r="377" spans="1:58" ht="15.75" customHeight="1" x14ac:dyDescent="0.25">
      <c r="A377" s="44">
        <v>2022</v>
      </c>
      <c r="B377" s="39">
        <v>171700</v>
      </c>
      <c r="C377" s="37" t="str">
        <f>VLOOKUP(B377,procv!$A$2:$D$142,4,FALSE)</f>
        <v>Amor Perfeito</v>
      </c>
      <c r="D377" s="37" t="s">
        <v>102</v>
      </c>
      <c r="E377" s="21">
        <v>1</v>
      </c>
      <c r="F377" s="42">
        <f t="shared" si="147"/>
        <v>4.4444444444444444E-3</v>
      </c>
      <c r="G377" s="21">
        <v>0</v>
      </c>
      <c r="H377" s="42">
        <f t="shared" si="148"/>
        <v>0</v>
      </c>
      <c r="I377" s="21">
        <v>11</v>
      </c>
      <c r="J377" s="41">
        <f t="shared" si="149"/>
        <v>4.8888888888888891E-2</v>
      </c>
      <c r="K377" s="21">
        <v>6</v>
      </c>
      <c r="L377" s="41">
        <f t="shared" si="150"/>
        <v>5.6603773584905662E-2</v>
      </c>
      <c r="M377" s="21">
        <v>204</v>
      </c>
      <c r="N377" s="41">
        <f t="shared" si="151"/>
        <v>0.90666666666666662</v>
      </c>
      <c r="O377" s="21">
        <v>96</v>
      </c>
      <c r="P377" s="41">
        <f t="shared" si="152"/>
        <v>0.90566037735849059</v>
      </c>
      <c r="Q377" s="21">
        <v>9</v>
      </c>
      <c r="R377" s="41">
        <f t="shared" si="153"/>
        <v>0.04</v>
      </c>
      <c r="S377" s="21">
        <v>4</v>
      </c>
      <c r="T377" s="41">
        <f t="shared" si="154"/>
        <v>3.7735849056603772E-2</v>
      </c>
      <c r="U377" s="21">
        <v>12</v>
      </c>
      <c r="V377" s="41">
        <f t="shared" si="155"/>
        <v>5.3333333333333337E-2</v>
      </c>
      <c r="W377" s="21">
        <v>8</v>
      </c>
      <c r="X377" s="41">
        <f t="shared" si="156"/>
        <v>7.5471698113207544E-2</v>
      </c>
      <c r="Y377" s="21">
        <v>18</v>
      </c>
      <c r="Z377" s="41">
        <f t="shared" si="157"/>
        <v>0.08</v>
      </c>
      <c r="AA377" s="21">
        <v>10</v>
      </c>
      <c r="AB377" s="41">
        <f t="shared" si="158"/>
        <v>9.4339622641509441E-2</v>
      </c>
      <c r="AC377" s="21">
        <v>195</v>
      </c>
      <c r="AD377" s="41">
        <f t="shared" si="140"/>
        <v>0.8666666666666667</v>
      </c>
      <c r="AE377" s="21">
        <v>88</v>
      </c>
      <c r="AF377" s="41">
        <f t="shared" si="159"/>
        <v>0.83018867924528306</v>
      </c>
      <c r="AG377" s="21">
        <v>8</v>
      </c>
      <c r="AH377" s="41">
        <f t="shared" si="141"/>
        <v>3.5555555555555556E-2</v>
      </c>
      <c r="AI377" s="21">
        <v>9</v>
      </c>
      <c r="AJ377" s="41">
        <f t="shared" si="160"/>
        <v>8.4905660377358486E-2</v>
      </c>
      <c r="AK377" s="21">
        <v>12</v>
      </c>
      <c r="AL377" s="41">
        <f t="shared" si="142"/>
        <v>5.3333333333333337E-2</v>
      </c>
      <c r="AM377" s="21">
        <v>10</v>
      </c>
      <c r="AN377" s="41">
        <f t="shared" si="161"/>
        <v>9.4339622641509441E-2</v>
      </c>
      <c r="AO377" s="21">
        <v>142</v>
      </c>
      <c r="AP377" s="41">
        <f t="shared" si="143"/>
        <v>0.63111111111111107</v>
      </c>
      <c r="AQ377" s="21">
        <v>59</v>
      </c>
      <c r="AR377" s="41">
        <f t="shared" si="162"/>
        <v>0.55660377358490565</v>
      </c>
      <c r="AS377" s="21">
        <v>37</v>
      </c>
      <c r="AT377" s="41">
        <f t="shared" si="144"/>
        <v>0.16444444444444445</v>
      </c>
      <c r="AU377" s="21">
        <v>17</v>
      </c>
      <c r="AV377" s="41">
        <f t="shared" si="163"/>
        <v>0.16037735849056603</v>
      </c>
      <c r="AW377" s="21">
        <v>16</v>
      </c>
      <c r="AX377" s="41">
        <f t="shared" si="145"/>
        <v>7.1111111111111111E-2</v>
      </c>
      <c r="AY377" s="21">
        <v>6</v>
      </c>
      <c r="AZ377" s="41">
        <f t="shared" si="164"/>
        <v>5.6603773584905662E-2</v>
      </c>
      <c r="BA377" s="21">
        <v>10</v>
      </c>
      <c r="BB377" s="41">
        <f t="shared" si="146"/>
        <v>4.4444444444444446E-2</v>
      </c>
      <c r="BC377" s="21">
        <v>5</v>
      </c>
      <c r="BD377" s="41">
        <f t="shared" si="165"/>
        <v>4.716981132075472E-2</v>
      </c>
      <c r="BE377" s="21">
        <v>225</v>
      </c>
      <c r="BF377" s="21">
        <v>106</v>
      </c>
    </row>
    <row r="378" spans="1:58" ht="15.75" customHeight="1" x14ac:dyDescent="0.25">
      <c r="A378" s="44">
        <v>2022</v>
      </c>
      <c r="B378" s="39">
        <v>171720</v>
      </c>
      <c r="C378" s="37" t="str">
        <f>VLOOKUP(B378,procv!$A$2:$D$142,4,FALSE)</f>
        <v>Médio Norte Araguaia</v>
      </c>
      <c r="D378" s="37" t="s">
        <v>103</v>
      </c>
      <c r="E378" s="21">
        <v>3</v>
      </c>
      <c r="F378" s="42">
        <f t="shared" si="147"/>
        <v>2.097902097902098E-2</v>
      </c>
      <c r="G378" s="21">
        <v>1</v>
      </c>
      <c r="H378" s="42">
        <f t="shared" si="148"/>
        <v>1.098901098901099E-2</v>
      </c>
      <c r="I378" s="21">
        <v>5</v>
      </c>
      <c r="J378" s="41">
        <f t="shared" si="149"/>
        <v>3.4965034965034968E-2</v>
      </c>
      <c r="K378" s="21">
        <v>2</v>
      </c>
      <c r="L378" s="41">
        <f t="shared" si="150"/>
        <v>2.197802197802198E-2</v>
      </c>
      <c r="M378" s="21">
        <v>127</v>
      </c>
      <c r="N378" s="41">
        <f t="shared" si="151"/>
        <v>0.88811188811188813</v>
      </c>
      <c r="O378" s="21">
        <v>82</v>
      </c>
      <c r="P378" s="41">
        <f t="shared" si="152"/>
        <v>0.90109890109890112</v>
      </c>
      <c r="Q378" s="21">
        <v>8</v>
      </c>
      <c r="R378" s="41">
        <f t="shared" si="153"/>
        <v>5.5944055944055944E-2</v>
      </c>
      <c r="S378" s="21">
        <v>6</v>
      </c>
      <c r="T378" s="41">
        <f t="shared" si="154"/>
        <v>6.5934065934065936E-2</v>
      </c>
      <c r="U378" s="21">
        <v>11</v>
      </c>
      <c r="V378" s="41">
        <f t="shared" si="155"/>
        <v>7.6923076923076927E-2</v>
      </c>
      <c r="W378" s="21">
        <v>8</v>
      </c>
      <c r="X378" s="41">
        <f t="shared" si="156"/>
        <v>8.7912087912087919E-2</v>
      </c>
      <c r="Y378" s="21">
        <v>11</v>
      </c>
      <c r="Z378" s="41">
        <f t="shared" si="157"/>
        <v>7.6923076923076927E-2</v>
      </c>
      <c r="AA378" s="21">
        <v>5</v>
      </c>
      <c r="AB378" s="41">
        <f t="shared" si="158"/>
        <v>5.4945054945054944E-2</v>
      </c>
      <c r="AC378" s="21">
        <v>121</v>
      </c>
      <c r="AD378" s="41">
        <f t="shared" si="140"/>
        <v>0.84615384615384615</v>
      </c>
      <c r="AE378" s="21">
        <v>78</v>
      </c>
      <c r="AF378" s="41">
        <f t="shared" si="159"/>
        <v>0.8571428571428571</v>
      </c>
      <c r="AG378" s="21">
        <v>4</v>
      </c>
      <c r="AH378" s="41">
        <f t="shared" si="141"/>
        <v>2.7972027972027972E-2</v>
      </c>
      <c r="AI378" s="21">
        <v>3</v>
      </c>
      <c r="AJ378" s="41">
        <f t="shared" si="160"/>
        <v>3.2967032967032968E-2</v>
      </c>
      <c r="AK378" s="21">
        <v>10</v>
      </c>
      <c r="AL378" s="41">
        <f t="shared" si="142"/>
        <v>6.9930069930069935E-2</v>
      </c>
      <c r="AM378" s="21">
        <v>5</v>
      </c>
      <c r="AN378" s="41">
        <f t="shared" si="161"/>
        <v>5.4945054945054944E-2</v>
      </c>
      <c r="AO378" s="21">
        <v>94</v>
      </c>
      <c r="AP378" s="41">
        <f t="shared" si="143"/>
        <v>0.65734265734265729</v>
      </c>
      <c r="AQ378" s="21">
        <v>56</v>
      </c>
      <c r="AR378" s="41">
        <f t="shared" si="162"/>
        <v>0.61538461538461542</v>
      </c>
      <c r="AS378" s="21">
        <v>14</v>
      </c>
      <c r="AT378" s="41">
        <f t="shared" si="144"/>
        <v>9.7902097902097904E-2</v>
      </c>
      <c r="AU378" s="21">
        <v>12</v>
      </c>
      <c r="AV378" s="41">
        <f t="shared" si="163"/>
        <v>0.13186813186813187</v>
      </c>
      <c r="AW378" s="21">
        <v>8</v>
      </c>
      <c r="AX378" s="41">
        <f t="shared" si="145"/>
        <v>5.5944055944055944E-2</v>
      </c>
      <c r="AY378" s="21">
        <v>7</v>
      </c>
      <c r="AZ378" s="41">
        <f t="shared" si="164"/>
        <v>7.6923076923076927E-2</v>
      </c>
      <c r="BA378" s="21">
        <v>13</v>
      </c>
      <c r="BB378" s="41">
        <f t="shared" si="146"/>
        <v>9.0909090909090912E-2</v>
      </c>
      <c r="BC378" s="21">
        <v>8</v>
      </c>
      <c r="BD378" s="41">
        <f t="shared" si="165"/>
        <v>8.7912087912087919E-2</v>
      </c>
      <c r="BE378" s="21">
        <v>143</v>
      </c>
      <c r="BF378" s="21">
        <v>91</v>
      </c>
    </row>
    <row r="379" spans="1:58" ht="15.75" customHeight="1" x14ac:dyDescent="0.25">
      <c r="A379" s="44">
        <v>2022</v>
      </c>
      <c r="B379" s="39">
        <v>171750</v>
      </c>
      <c r="C379" s="37" t="str">
        <f>VLOOKUP(B379,procv!$A$2:$D$142,4,FALSE)</f>
        <v>Cantão</v>
      </c>
      <c r="D379" s="37" t="s">
        <v>104</v>
      </c>
      <c r="E379" s="21">
        <v>1</v>
      </c>
      <c r="F379" s="42">
        <f t="shared" si="147"/>
        <v>2.4813895781637717E-3</v>
      </c>
      <c r="G379" s="21">
        <v>1</v>
      </c>
      <c r="H379" s="42">
        <f t="shared" si="148"/>
        <v>1.1111111111111112E-2</v>
      </c>
      <c r="I379" s="21">
        <v>9</v>
      </c>
      <c r="J379" s="41">
        <f t="shared" si="149"/>
        <v>2.2332506203473945E-2</v>
      </c>
      <c r="K379" s="21">
        <v>3</v>
      </c>
      <c r="L379" s="41">
        <f t="shared" si="150"/>
        <v>3.3333333333333333E-2</v>
      </c>
      <c r="M379" s="21">
        <v>361</v>
      </c>
      <c r="N379" s="41">
        <f t="shared" si="151"/>
        <v>0.8957816377171216</v>
      </c>
      <c r="O379" s="21">
        <v>75</v>
      </c>
      <c r="P379" s="41">
        <f t="shared" si="152"/>
        <v>0.83333333333333337</v>
      </c>
      <c r="Q379" s="21">
        <v>32</v>
      </c>
      <c r="R379" s="41">
        <f t="shared" si="153"/>
        <v>7.9404466501240695E-2</v>
      </c>
      <c r="S379" s="21">
        <v>11</v>
      </c>
      <c r="T379" s="41">
        <f t="shared" si="154"/>
        <v>0.12222222222222222</v>
      </c>
      <c r="U379" s="21">
        <v>14</v>
      </c>
      <c r="V379" s="41">
        <f t="shared" si="155"/>
        <v>3.4739454094292806E-2</v>
      </c>
      <c r="W379" s="21">
        <v>5</v>
      </c>
      <c r="X379" s="41">
        <f t="shared" si="156"/>
        <v>5.5555555555555552E-2</v>
      </c>
      <c r="Y379" s="21">
        <v>24</v>
      </c>
      <c r="Z379" s="41">
        <f t="shared" si="157"/>
        <v>5.9553349875930521E-2</v>
      </c>
      <c r="AA379" s="21">
        <v>7</v>
      </c>
      <c r="AB379" s="41">
        <f t="shared" si="158"/>
        <v>7.7777777777777779E-2</v>
      </c>
      <c r="AC379" s="21">
        <v>365</v>
      </c>
      <c r="AD379" s="41">
        <f t="shared" si="140"/>
        <v>0.90570719602977667</v>
      </c>
      <c r="AE379" s="21">
        <v>78</v>
      </c>
      <c r="AF379" s="41">
        <f t="shared" si="159"/>
        <v>0.8666666666666667</v>
      </c>
      <c r="AG379" s="21">
        <v>8</v>
      </c>
      <c r="AH379" s="41">
        <f t="shared" si="141"/>
        <v>1.9851116625310174E-2</v>
      </c>
      <c r="AI379" s="21">
        <v>6</v>
      </c>
      <c r="AJ379" s="41">
        <f t="shared" si="160"/>
        <v>6.6666666666666666E-2</v>
      </c>
      <c r="AK379" s="21">
        <v>8</v>
      </c>
      <c r="AL379" s="41">
        <f t="shared" si="142"/>
        <v>1.9851116625310174E-2</v>
      </c>
      <c r="AM379" s="21">
        <v>3</v>
      </c>
      <c r="AN379" s="41">
        <f t="shared" si="161"/>
        <v>3.3333333333333333E-2</v>
      </c>
      <c r="AO379" s="21">
        <v>258</v>
      </c>
      <c r="AP379" s="41">
        <f t="shared" si="143"/>
        <v>0.64019851116625315</v>
      </c>
      <c r="AQ379" s="21">
        <v>55</v>
      </c>
      <c r="AR379" s="41">
        <f t="shared" si="162"/>
        <v>0.61111111111111116</v>
      </c>
      <c r="AS379" s="21">
        <v>78</v>
      </c>
      <c r="AT379" s="41">
        <f t="shared" si="144"/>
        <v>0.19354838709677419</v>
      </c>
      <c r="AU379" s="21">
        <v>12</v>
      </c>
      <c r="AV379" s="41">
        <f t="shared" si="163"/>
        <v>0.13333333333333333</v>
      </c>
      <c r="AW379" s="21">
        <v>33</v>
      </c>
      <c r="AX379" s="41">
        <f t="shared" si="145"/>
        <v>8.1885856079404462E-2</v>
      </c>
      <c r="AY379" s="21">
        <v>6</v>
      </c>
      <c r="AZ379" s="41">
        <f t="shared" si="164"/>
        <v>6.6666666666666666E-2</v>
      </c>
      <c r="BA379" s="21">
        <v>18</v>
      </c>
      <c r="BB379" s="41">
        <f t="shared" si="146"/>
        <v>4.4665012406947889E-2</v>
      </c>
      <c r="BC379" s="21">
        <v>8</v>
      </c>
      <c r="BD379" s="41">
        <f t="shared" si="165"/>
        <v>8.8888888888888892E-2</v>
      </c>
      <c r="BE379" s="21">
        <v>403</v>
      </c>
      <c r="BF379" s="21">
        <v>90</v>
      </c>
    </row>
    <row r="380" spans="1:58" ht="15.75" customHeight="1" x14ac:dyDescent="0.25">
      <c r="A380" s="44">
        <v>2022</v>
      </c>
      <c r="B380" s="39">
        <v>171780</v>
      </c>
      <c r="C380" s="37" t="str">
        <f>VLOOKUP(B380,procv!$A$2:$D$142,4,FALSE)</f>
        <v>Sudeste</v>
      </c>
      <c r="D380" s="37" t="s">
        <v>105</v>
      </c>
      <c r="E380" s="21">
        <v>1</v>
      </c>
      <c r="F380" s="42">
        <f t="shared" si="147"/>
        <v>4.6296296296296294E-3</v>
      </c>
      <c r="G380" s="21">
        <v>1</v>
      </c>
      <c r="H380" s="42">
        <f t="shared" si="148"/>
        <v>6.6666666666666671E-3</v>
      </c>
      <c r="I380" s="21">
        <v>8</v>
      </c>
      <c r="J380" s="41">
        <f t="shared" si="149"/>
        <v>3.7037037037037035E-2</v>
      </c>
      <c r="K380" s="21">
        <v>5</v>
      </c>
      <c r="L380" s="41">
        <f t="shared" si="150"/>
        <v>3.3333333333333333E-2</v>
      </c>
      <c r="M380" s="21">
        <v>202</v>
      </c>
      <c r="N380" s="41">
        <f t="shared" si="151"/>
        <v>0.93518518518518523</v>
      </c>
      <c r="O380" s="21">
        <v>140</v>
      </c>
      <c r="P380" s="41">
        <f t="shared" si="152"/>
        <v>0.93333333333333335</v>
      </c>
      <c r="Q380" s="21">
        <v>5</v>
      </c>
      <c r="R380" s="41">
        <f t="shared" si="153"/>
        <v>2.3148148148148147E-2</v>
      </c>
      <c r="S380" s="21">
        <v>4</v>
      </c>
      <c r="T380" s="41">
        <f t="shared" si="154"/>
        <v>2.6666666666666668E-2</v>
      </c>
      <c r="U380" s="21">
        <v>5</v>
      </c>
      <c r="V380" s="41">
        <f t="shared" si="155"/>
        <v>2.3148148148148147E-2</v>
      </c>
      <c r="W380" s="21">
        <v>5</v>
      </c>
      <c r="X380" s="41">
        <f t="shared" si="156"/>
        <v>3.3333333333333333E-2</v>
      </c>
      <c r="Y380" s="21">
        <v>9</v>
      </c>
      <c r="Z380" s="41">
        <f t="shared" si="157"/>
        <v>4.1666666666666664E-2</v>
      </c>
      <c r="AA380" s="21">
        <v>6</v>
      </c>
      <c r="AB380" s="41">
        <f t="shared" si="158"/>
        <v>0.04</v>
      </c>
      <c r="AC380" s="21">
        <v>202</v>
      </c>
      <c r="AD380" s="41">
        <f t="shared" si="140"/>
        <v>0.93518518518518523</v>
      </c>
      <c r="AE380" s="21">
        <v>139</v>
      </c>
      <c r="AF380" s="41">
        <f t="shared" si="159"/>
        <v>0.92666666666666664</v>
      </c>
      <c r="AG380" s="21">
        <v>10</v>
      </c>
      <c r="AH380" s="41">
        <f t="shared" si="141"/>
        <v>4.6296296296296294E-2</v>
      </c>
      <c r="AI380" s="21">
        <v>8</v>
      </c>
      <c r="AJ380" s="41">
        <f t="shared" si="160"/>
        <v>5.3333333333333337E-2</v>
      </c>
      <c r="AK380" s="21">
        <v>16</v>
      </c>
      <c r="AL380" s="41">
        <f t="shared" si="142"/>
        <v>7.407407407407407E-2</v>
      </c>
      <c r="AM380" s="21">
        <v>13</v>
      </c>
      <c r="AN380" s="41">
        <f t="shared" si="161"/>
        <v>8.666666666666667E-2</v>
      </c>
      <c r="AO380" s="21">
        <v>155</v>
      </c>
      <c r="AP380" s="41">
        <f t="shared" si="143"/>
        <v>0.71759259259259256</v>
      </c>
      <c r="AQ380" s="21">
        <v>106</v>
      </c>
      <c r="AR380" s="41">
        <f t="shared" si="162"/>
        <v>0.70666666666666667</v>
      </c>
      <c r="AS380" s="21">
        <v>29</v>
      </c>
      <c r="AT380" s="41">
        <f t="shared" si="144"/>
        <v>0.13425925925925927</v>
      </c>
      <c r="AU380" s="21">
        <v>17</v>
      </c>
      <c r="AV380" s="41">
        <f t="shared" si="163"/>
        <v>0.11333333333333333</v>
      </c>
      <c r="AW380" s="21">
        <v>4</v>
      </c>
      <c r="AX380" s="41">
        <f t="shared" si="145"/>
        <v>1.8518518518518517E-2</v>
      </c>
      <c r="AY380" s="21">
        <v>4</v>
      </c>
      <c r="AZ380" s="41">
        <f t="shared" si="164"/>
        <v>2.6666666666666668E-2</v>
      </c>
      <c r="BA380" s="21">
        <v>2</v>
      </c>
      <c r="BB380" s="41">
        <f t="shared" si="146"/>
        <v>9.2592592592592587E-3</v>
      </c>
      <c r="BC380" s="21">
        <v>2</v>
      </c>
      <c r="BD380" s="41">
        <f t="shared" si="165"/>
        <v>1.3333333333333334E-2</v>
      </c>
      <c r="BE380" s="21">
        <v>216</v>
      </c>
      <c r="BF380" s="21">
        <v>150</v>
      </c>
    </row>
    <row r="381" spans="1:58" ht="15.75" customHeight="1" x14ac:dyDescent="0.25">
      <c r="A381" s="44">
        <v>2022</v>
      </c>
      <c r="B381" s="39">
        <v>171790</v>
      </c>
      <c r="C381" s="37" t="str">
        <f>VLOOKUP(B381,procv!$A$2:$D$142,4,FALSE)</f>
        <v>Amor Perfeito</v>
      </c>
      <c r="D381" s="37" t="s">
        <v>106</v>
      </c>
      <c r="E381" s="21">
        <v>1</v>
      </c>
      <c r="F381" s="42">
        <f t="shared" si="147"/>
        <v>3.246753246753247E-3</v>
      </c>
      <c r="G381" s="21">
        <v>1</v>
      </c>
      <c r="H381" s="42">
        <f t="shared" si="148"/>
        <v>4.3668122270742356E-3</v>
      </c>
      <c r="I381" s="21">
        <v>13</v>
      </c>
      <c r="J381" s="41">
        <f t="shared" si="149"/>
        <v>4.2207792207792208E-2</v>
      </c>
      <c r="K381" s="21">
        <v>9</v>
      </c>
      <c r="L381" s="41">
        <f t="shared" si="150"/>
        <v>3.9301310043668124E-2</v>
      </c>
      <c r="M381" s="21">
        <v>285</v>
      </c>
      <c r="N381" s="41">
        <f t="shared" si="151"/>
        <v>0.92532467532467533</v>
      </c>
      <c r="O381" s="21">
        <v>211</v>
      </c>
      <c r="P381" s="41">
        <f t="shared" si="152"/>
        <v>0.92139737991266379</v>
      </c>
      <c r="Q381" s="21">
        <v>9</v>
      </c>
      <c r="R381" s="41">
        <f t="shared" si="153"/>
        <v>2.922077922077922E-2</v>
      </c>
      <c r="S381" s="21">
        <v>8</v>
      </c>
      <c r="T381" s="41">
        <f t="shared" si="154"/>
        <v>3.4934497816593885E-2</v>
      </c>
      <c r="U381" s="21">
        <v>14</v>
      </c>
      <c r="V381" s="41">
        <f t="shared" si="155"/>
        <v>4.5454545454545456E-2</v>
      </c>
      <c r="W381" s="21">
        <v>11</v>
      </c>
      <c r="X381" s="41">
        <f t="shared" si="156"/>
        <v>4.8034934497816595E-2</v>
      </c>
      <c r="Y381" s="21">
        <v>11</v>
      </c>
      <c r="Z381" s="41">
        <f t="shared" si="157"/>
        <v>3.5714285714285712E-2</v>
      </c>
      <c r="AA381" s="21">
        <v>8</v>
      </c>
      <c r="AB381" s="41">
        <f t="shared" si="158"/>
        <v>3.4934497816593885E-2</v>
      </c>
      <c r="AC381" s="21">
        <v>283</v>
      </c>
      <c r="AD381" s="41">
        <f t="shared" ref="AD381:AD412" si="166">IFERROR(AC381/$BE381,0)</f>
        <v>0.91883116883116878</v>
      </c>
      <c r="AE381" s="21">
        <v>210</v>
      </c>
      <c r="AF381" s="41">
        <f t="shared" si="159"/>
        <v>0.91703056768558955</v>
      </c>
      <c r="AG381" s="21">
        <v>12</v>
      </c>
      <c r="AH381" s="41">
        <f t="shared" ref="AH381:AH412" si="167">IFERROR(AG381/$BE381,0)</f>
        <v>3.896103896103896E-2</v>
      </c>
      <c r="AI381" s="21">
        <v>11</v>
      </c>
      <c r="AJ381" s="41">
        <f t="shared" si="160"/>
        <v>4.8034934497816595E-2</v>
      </c>
      <c r="AK381" s="21">
        <v>17</v>
      </c>
      <c r="AL381" s="41">
        <f t="shared" ref="AL381:AL412" si="168">IFERROR(AK381/$BE381,0)</f>
        <v>5.5194805194805192E-2</v>
      </c>
      <c r="AM381" s="21">
        <v>18</v>
      </c>
      <c r="AN381" s="41">
        <f t="shared" si="161"/>
        <v>7.8602620087336247E-2</v>
      </c>
      <c r="AO381" s="21">
        <v>221</v>
      </c>
      <c r="AP381" s="41">
        <f t="shared" ref="AP381:AP412" si="169">IFERROR(AO381/$BE381,0)</f>
        <v>0.71753246753246758</v>
      </c>
      <c r="AQ381" s="21">
        <v>166</v>
      </c>
      <c r="AR381" s="41">
        <f t="shared" si="162"/>
        <v>0.72489082969432317</v>
      </c>
      <c r="AS381" s="21">
        <v>30</v>
      </c>
      <c r="AT381" s="41">
        <f t="shared" ref="AT381:AT412" si="170">IFERROR(AS381/$BE381,0)</f>
        <v>9.7402597402597407E-2</v>
      </c>
      <c r="AU381" s="21">
        <v>18</v>
      </c>
      <c r="AV381" s="41">
        <f t="shared" si="163"/>
        <v>7.8602620087336247E-2</v>
      </c>
      <c r="AW381" s="21">
        <v>16</v>
      </c>
      <c r="AX381" s="41">
        <f t="shared" ref="AX381:AX412" si="171">IFERROR(AW381/$BE381,0)</f>
        <v>5.1948051948051951E-2</v>
      </c>
      <c r="AY381" s="21">
        <v>6</v>
      </c>
      <c r="AZ381" s="41">
        <f t="shared" si="164"/>
        <v>2.6200873362445413E-2</v>
      </c>
      <c r="BA381" s="21">
        <v>12</v>
      </c>
      <c r="BB381" s="41">
        <f t="shared" ref="BB381:BB412" si="172">IFERROR(BA381/$BE381,0)</f>
        <v>3.896103896103896E-2</v>
      </c>
      <c r="BC381" s="21">
        <v>10</v>
      </c>
      <c r="BD381" s="41">
        <f t="shared" si="165"/>
        <v>4.3668122270742356E-2</v>
      </c>
      <c r="BE381" s="21">
        <v>308</v>
      </c>
      <c r="BF381" s="21">
        <v>229</v>
      </c>
    </row>
    <row r="382" spans="1:58" ht="15.75" customHeight="1" x14ac:dyDescent="0.25">
      <c r="A382" s="44">
        <v>2022</v>
      </c>
      <c r="B382" s="39">
        <v>171800</v>
      </c>
      <c r="C382" s="37" t="str">
        <f>VLOOKUP(B382,procv!$A$2:$D$142,4,FALSE)</f>
        <v>Sudeste</v>
      </c>
      <c r="D382" s="37" t="s">
        <v>107</v>
      </c>
      <c r="E382" s="21">
        <v>1</v>
      </c>
      <c r="F382" s="42">
        <f t="shared" si="147"/>
        <v>4.9261083743842365E-3</v>
      </c>
      <c r="G382" s="21">
        <v>1</v>
      </c>
      <c r="H382" s="42">
        <f t="shared" si="148"/>
        <v>7.575757575757576E-3</v>
      </c>
      <c r="I382" s="21">
        <v>1</v>
      </c>
      <c r="J382" s="41">
        <f t="shared" si="149"/>
        <v>4.9261083743842365E-3</v>
      </c>
      <c r="K382" s="21">
        <v>0</v>
      </c>
      <c r="L382" s="41">
        <f t="shared" si="150"/>
        <v>0</v>
      </c>
      <c r="M382" s="21">
        <v>191</v>
      </c>
      <c r="N382" s="41">
        <f t="shared" si="151"/>
        <v>0.94088669950738912</v>
      </c>
      <c r="O382" s="21">
        <v>128</v>
      </c>
      <c r="P382" s="41">
        <f t="shared" si="152"/>
        <v>0.96969696969696972</v>
      </c>
      <c r="Q382" s="21">
        <v>10</v>
      </c>
      <c r="R382" s="41">
        <f t="shared" si="153"/>
        <v>4.9261083743842367E-2</v>
      </c>
      <c r="S382" s="21">
        <v>3</v>
      </c>
      <c r="T382" s="41">
        <f t="shared" si="154"/>
        <v>2.2727272727272728E-2</v>
      </c>
      <c r="U382" s="21">
        <v>8</v>
      </c>
      <c r="V382" s="41">
        <f t="shared" si="155"/>
        <v>3.9408866995073892E-2</v>
      </c>
      <c r="W382" s="21">
        <v>8</v>
      </c>
      <c r="X382" s="41">
        <f t="shared" si="156"/>
        <v>6.0606060606060608E-2</v>
      </c>
      <c r="Y382" s="21">
        <v>14</v>
      </c>
      <c r="Z382" s="41">
        <f t="shared" si="157"/>
        <v>6.8965517241379309E-2</v>
      </c>
      <c r="AA382" s="21">
        <v>8</v>
      </c>
      <c r="AB382" s="41">
        <f t="shared" si="158"/>
        <v>6.0606060606060608E-2</v>
      </c>
      <c r="AC382" s="21">
        <v>181</v>
      </c>
      <c r="AD382" s="41">
        <f t="shared" si="166"/>
        <v>0.89162561576354682</v>
      </c>
      <c r="AE382" s="21">
        <v>116</v>
      </c>
      <c r="AF382" s="41">
        <f t="shared" si="159"/>
        <v>0.87878787878787878</v>
      </c>
      <c r="AG382" s="21">
        <v>4</v>
      </c>
      <c r="AH382" s="41">
        <f t="shared" si="167"/>
        <v>1.9704433497536946E-2</v>
      </c>
      <c r="AI382" s="21">
        <v>2</v>
      </c>
      <c r="AJ382" s="41">
        <f t="shared" si="160"/>
        <v>1.5151515151515152E-2</v>
      </c>
      <c r="AK382" s="21">
        <v>7</v>
      </c>
      <c r="AL382" s="41">
        <f t="shared" si="168"/>
        <v>3.4482758620689655E-2</v>
      </c>
      <c r="AM382" s="21">
        <v>7</v>
      </c>
      <c r="AN382" s="41">
        <f t="shared" si="161"/>
        <v>5.3030303030303032E-2</v>
      </c>
      <c r="AO382" s="21">
        <v>135</v>
      </c>
      <c r="AP382" s="41">
        <f t="shared" si="169"/>
        <v>0.66502463054187189</v>
      </c>
      <c r="AQ382" s="21">
        <v>93</v>
      </c>
      <c r="AR382" s="41">
        <f t="shared" si="162"/>
        <v>0.70454545454545459</v>
      </c>
      <c r="AS382" s="21">
        <v>35</v>
      </c>
      <c r="AT382" s="41">
        <f t="shared" si="170"/>
        <v>0.17241379310344829</v>
      </c>
      <c r="AU382" s="21">
        <v>19</v>
      </c>
      <c r="AV382" s="41">
        <f t="shared" si="163"/>
        <v>0.14393939393939395</v>
      </c>
      <c r="AW382" s="21">
        <v>14</v>
      </c>
      <c r="AX382" s="41">
        <f t="shared" si="171"/>
        <v>6.8965517241379309E-2</v>
      </c>
      <c r="AY382" s="21">
        <v>5</v>
      </c>
      <c r="AZ382" s="41">
        <f t="shared" si="164"/>
        <v>3.787878787878788E-2</v>
      </c>
      <c r="BA382" s="21">
        <v>8</v>
      </c>
      <c r="BB382" s="41">
        <f t="shared" si="172"/>
        <v>3.9408866995073892E-2</v>
      </c>
      <c r="BC382" s="21">
        <v>6</v>
      </c>
      <c r="BD382" s="41">
        <f t="shared" si="165"/>
        <v>4.5454545454545456E-2</v>
      </c>
      <c r="BE382" s="21">
        <v>203</v>
      </c>
      <c r="BF382" s="21">
        <v>132</v>
      </c>
    </row>
    <row r="383" spans="1:58" ht="15.75" customHeight="1" x14ac:dyDescent="0.25">
      <c r="A383" s="44">
        <v>2022</v>
      </c>
      <c r="B383" s="39">
        <v>171820</v>
      </c>
      <c r="C383" s="37" t="str">
        <f>VLOOKUP(B383,procv!$A$2:$D$142,4,FALSE)</f>
        <v>Amor Perfeito</v>
      </c>
      <c r="D383" s="37" t="s">
        <v>108</v>
      </c>
      <c r="E383" s="21">
        <v>30</v>
      </c>
      <c r="F383" s="42">
        <f t="shared" si="147"/>
        <v>9.205277692543725E-3</v>
      </c>
      <c r="G383" s="21">
        <v>16</v>
      </c>
      <c r="H383" s="42">
        <f t="shared" si="148"/>
        <v>1.3300083125519535E-2</v>
      </c>
      <c r="I383" s="21">
        <v>95</v>
      </c>
      <c r="J383" s="41">
        <f t="shared" si="149"/>
        <v>2.9150046026388463E-2</v>
      </c>
      <c r="K383" s="21">
        <v>53</v>
      </c>
      <c r="L383" s="41">
        <f t="shared" si="150"/>
        <v>4.4056525353283457E-2</v>
      </c>
      <c r="M383" s="20">
        <v>2980</v>
      </c>
      <c r="N383" s="41">
        <f t="shared" si="151"/>
        <v>0.91439091745934331</v>
      </c>
      <c r="O383" s="20">
        <v>1084</v>
      </c>
      <c r="P383" s="41">
        <f t="shared" si="152"/>
        <v>0.90108063175394848</v>
      </c>
      <c r="Q383" s="21">
        <v>154</v>
      </c>
      <c r="R383" s="41">
        <f t="shared" si="153"/>
        <v>4.7253758821724452E-2</v>
      </c>
      <c r="S383" s="21">
        <v>50</v>
      </c>
      <c r="T383" s="41">
        <f t="shared" si="154"/>
        <v>4.1562759767248547E-2</v>
      </c>
      <c r="U383" s="21">
        <v>125</v>
      </c>
      <c r="V383" s="41">
        <f t="shared" si="155"/>
        <v>3.8355323718932188E-2</v>
      </c>
      <c r="W383" s="21">
        <v>84</v>
      </c>
      <c r="X383" s="41">
        <f t="shared" si="156"/>
        <v>6.9825436408977551E-2</v>
      </c>
      <c r="Y383" s="21">
        <v>224</v>
      </c>
      <c r="Z383" s="41">
        <f t="shared" si="157"/>
        <v>6.8732740104326479E-2</v>
      </c>
      <c r="AA383" s="21">
        <v>123</v>
      </c>
      <c r="AB383" s="41">
        <f t="shared" si="158"/>
        <v>0.10224438902743142</v>
      </c>
      <c r="AC383" s="20">
        <v>2910</v>
      </c>
      <c r="AD383" s="41">
        <f t="shared" si="166"/>
        <v>0.89291193617674136</v>
      </c>
      <c r="AE383" s="21">
        <v>996</v>
      </c>
      <c r="AF383" s="41">
        <f t="shared" si="159"/>
        <v>0.82793017456359097</v>
      </c>
      <c r="AG383" s="21">
        <v>62</v>
      </c>
      <c r="AH383" s="41">
        <f t="shared" si="167"/>
        <v>1.9024240564590365E-2</v>
      </c>
      <c r="AI383" s="21">
        <v>36</v>
      </c>
      <c r="AJ383" s="41">
        <f t="shared" si="160"/>
        <v>2.9925187032418952E-2</v>
      </c>
      <c r="AK383" s="21">
        <v>115</v>
      </c>
      <c r="AL383" s="41">
        <f t="shared" si="168"/>
        <v>3.5286897821417612E-2</v>
      </c>
      <c r="AM383" s="21">
        <v>69</v>
      </c>
      <c r="AN383" s="41">
        <f t="shared" si="161"/>
        <v>5.7356608478802994E-2</v>
      </c>
      <c r="AO383" s="20">
        <v>2258</v>
      </c>
      <c r="AP383" s="41">
        <f t="shared" si="169"/>
        <v>0.69285056765879105</v>
      </c>
      <c r="AQ383" s="21">
        <v>841</v>
      </c>
      <c r="AR383" s="41">
        <f t="shared" si="162"/>
        <v>0.69908561928512059</v>
      </c>
      <c r="AS383" s="21">
        <v>526</v>
      </c>
      <c r="AT383" s="41">
        <f t="shared" si="170"/>
        <v>0.16139920220926665</v>
      </c>
      <c r="AU383" s="21">
        <v>150</v>
      </c>
      <c r="AV383" s="41">
        <f t="shared" si="163"/>
        <v>0.12468827930174564</v>
      </c>
      <c r="AW383" s="21">
        <v>189</v>
      </c>
      <c r="AX383" s="41">
        <f t="shared" si="171"/>
        <v>5.7993249463025469E-2</v>
      </c>
      <c r="AY383" s="21">
        <v>59</v>
      </c>
      <c r="AZ383" s="41">
        <f t="shared" si="164"/>
        <v>4.9044056525353284E-2</v>
      </c>
      <c r="BA383" s="21">
        <v>109</v>
      </c>
      <c r="BB383" s="41">
        <f t="shared" si="172"/>
        <v>3.3445842282908866E-2</v>
      </c>
      <c r="BC383" s="21">
        <v>48</v>
      </c>
      <c r="BD383" s="41">
        <f t="shared" si="165"/>
        <v>3.9900249376558602E-2</v>
      </c>
      <c r="BE383" s="20">
        <v>3259</v>
      </c>
      <c r="BF383" s="20">
        <v>1203</v>
      </c>
    </row>
    <row r="384" spans="1:58" ht="15.75" customHeight="1" x14ac:dyDescent="0.25">
      <c r="A384" s="44">
        <v>2022</v>
      </c>
      <c r="B384" s="39">
        <v>171830</v>
      </c>
      <c r="C384" s="37" t="str">
        <f>VLOOKUP(B384,procv!$A$2:$D$142,4,FALSE)</f>
        <v>Bico do Papagaio</v>
      </c>
      <c r="D384" s="37" t="s">
        <v>109</v>
      </c>
      <c r="E384" s="21">
        <v>4</v>
      </c>
      <c r="F384" s="42">
        <f t="shared" si="147"/>
        <v>1.1428571428571429E-2</v>
      </c>
      <c r="G384" s="21">
        <v>3</v>
      </c>
      <c r="H384" s="42">
        <f t="shared" si="148"/>
        <v>1.4354066985645933E-2</v>
      </c>
      <c r="I384" s="21">
        <v>13</v>
      </c>
      <c r="J384" s="41">
        <f t="shared" si="149"/>
        <v>3.7142857142857144E-2</v>
      </c>
      <c r="K384" s="21">
        <v>13</v>
      </c>
      <c r="L384" s="41">
        <f t="shared" si="150"/>
        <v>6.2200956937799042E-2</v>
      </c>
      <c r="M384" s="21">
        <v>307</v>
      </c>
      <c r="N384" s="41">
        <f t="shared" si="151"/>
        <v>0.87714285714285711</v>
      </c>
      <c r="O384" s="21">
        <v>180</v>
      </c>
      <c r="P384" s="41">
        <f t="shared" si="152"/>
        <v>0.86124401913875603</v>
      </c>
      <c r="Q384" s="21">
        <v>26</v>
      </c>
      <c r="R384" s="41">
        <f t="shared" si="153"/>
        <v>7.4285714285714288E-2</v>
      </c>
      <c r="S384" s="21">
        <v>13</v>
      </c>
      <c r="T384" s="41">
        <f t="shared" si="154"/>
        <v>6.2200956937799042E-2</v>
      </c>
      <c r="U384" s="21">
        <v>11</v>
      </c>
      <c r="V384" s="41">
        <f t="shared" si="155"/>
        <v>3.1428571428571431E-2</v>
      </c>
      <c r="W384" s="21">
        <v>9</v>
      </c>
      <c r="X384" s="41">
        <f t="shared" si="156"/>
        <v>4.3062200956937802E-2</v>
      </c>
      <c r="Y384" s="21">
        <v>20</v>
      </c>
      <c r="Z384" s="41">
        <f t="shared" si="157"/>
        <v>5.7142857142857141E-2</v>
      </c>
      <c r="AA384" s="21">
        <v>18</v>
      </c>
      <c r="AB384" s="41">
        <f t="shared" si="158"/>
        <v>8.6124401913875603E-2</v>
      </c>
      <c r="AC384" s="21">
        <v>319</v>
      </c>
      <c r="AD384" s="41">
        <f t="shared" si="166"/>
        <v>0.91142857142857148</v>
      </c>
      <c r="AE384" s="21">
        <v>181</v>
      </c>
      <c r="AF384" s="41">
        <f t="shared" si="159"/>
        <v>0.86602870813397126</v>
      </c>
      <c r="AG384" s="21">
        <v>7</v>
      </c>
      <c r="AH384" s="41">
        <f t="shared" si="167"/>
        <v>0.02</v>
      </c>
      <c r="AI384" s="21">
        <v>8</v>
      </c>
      <c r="AJ384" s="41">
        <f t="shared" si="160"/>
        <v>3.8277511961722487E-2</v>
      </c>
      <c r="AK384" s="21">
        <v>21</v>
      </c>
      <c r="AL384" s="41">
        <f t="shared" si="168"/>
        <v>0.06</v>
      </c>
      <c r="AM384" s="21">
        <v>17</v>
      </c>
      <c r="AN384" s="41">
        <f t="shared" si="161"/>
        <v>8.1339712918660281E-2</v>
      </c>
      <c r="AO384" s="21">
        <v>230</v>
      </c>
      <c r="AP384" s="41">
        <f t="shared" si="169"/>
        <v>0.65714285714285714</v>
      </c>
      <c r="AQ384" s="21">
        <v>134</v>
      </c>
      <c r="AR384" s="41">
        <f t="shared" si="162"/>
        <v>0.64114832535885169</v>
      </c>
      <c r="AS384" s="21">
        <v>52</v>
      </c>
      <c r="AT384" s="41">
        <f t="shared" si="170"/>
        <v>0.14857142857142858</v>
      </c>
      <c r="AU384" s="21">
        <v>26</v>
      </c>
      <c r="AV384" s="41">
        <f t="shared" si="163"/>
        <v>0.12440191387559808</v>
      </c>
      <c r="AW384" s="21">
        <v>22</v>
      </c>
      <c r="AX384" s="41">
        <f t="shared" si="171"/>
        <v>6.2857142857142861E-2</v>
      </c>
      <c r="AY384" s="21">
        <v>15</v>
      </c>
      <c r="AZ384" s="41">
        <f t="shared" si="164"/>
        <v>7.1770334928229665E-2</v>
      </c>
      <c r="BA384" s="21">
        <v>18</v>
      </c>
      <c r="BB384" s="41">
        <f t="shared" si="172"/>
        <v>5.1428571428571428E-2</v>
      </c>
      <c r="BC384" s="21">
        <v>9</v>
      </c>
      <c r="BD384" s="41">
        <f t="shared" si="165"/>
        <v>4.3062200956937802E-2</v>
      </c>
      <c r="BE384" s="21">
        <v>350</v>
      </c>
      <c r="BF384" s="21">
        <v>209</v>
      </c>
    </row>
    <row r="385" spans="1:58" ht="15.75" customHeight="1" x14ac:dyDescent="0.25">
      <c r="A385" s="44">
        <v>2022</v>
      </c>
      <c r="B385" s="39">
        <v>171840</v>
      </c>
      <c r="C385" s="37" t="str">
        <f>VLOOKUP(B385,procv!$A$2:$D$142,4,FALSE)</f>
        <v>Cerrado Tocantins Araguaia</v>
      </c>
      <c r="D385" s="37" t="s">
        <v>110</v>
      </c>
      <c r="E385" s="21">
        <v>0</v>
      </c>
      <c r="F385" s="42">
        <f t="shared" si="147"/>
        <v>0</v>
      </c>
      <c r="G385" s="21">
        <v>0</v>
      </c>
      <c r="H385" s="42">
        <f t="shared" si="148"/>
        <v>0</v>
      </c>
      <c r="I385" s="21">
        <v>3</v>
      </c>
      <c r="J385" s="41">
        <f t="shared" si="149"/>
        <v>1.8749999999999999E-2</v>
      </c>
      <c r="K385" s="21">
        <v>2</v>
      </c>
      <c r="L385" s="41">
        <f t="shared" si="150"/>
        <v>4.1666666666666664E-2</v>
      </c>
      <c r="M385" s="21">
        <v>145</v>
      </c>
      <c r="N385" s="41">
        <f t="shared" si="151"/>
        <v>0.90625</v>
      </c>
      <c r="O385" s="21">
        <v>41</v>
      </c>
      <c r="P385" s="41">
        <f t="shared" si="152"/>
        <v>0.85416666666666663</v>
      </c>
      <c r="Q385" s="21">
        <v>12</v>
      </c>
      <c r="R385" s="41">
        <f t="shared" si="153"/>
        <v>7.4999999999999997E-2</v>
      </c>
      <c r="S385" s="21">
        <v>5</v>
      </c>
      <c r="T385" s="41">
        <f t="shared" si="154"/>
        <v>0.10416666666666667</v>
      </c>
      <c r="U385" s="21">
        <v>3</v>
      </c>
      <c r="V385" s="41">
        <f t="shared" si="155"/>
        <v>1.8749999999999999E-2</v>
      </c>
      <c r="W385" s="21">
        <v>1</v>
      </c>
      <c r="X385" s="41">
        <f t="shared" si="156"/>
        <v>2.0833333333333332E-2</v>
      </c>
      <c r="Y385" s="21">
        <v>11</v>
      </c>
      <c r="Z385" s="41">
        <f t="shared" si="157"/>
        <v>6.8750000000000006E-2</v>
      </c>
      <c r="AA385" s="21">
        <v>7</v>
      </c>
      <c r="AB385" s="41">
        <f t="shared" si="158"/>
        <v>0.14583333333333334</v>
      </c>
      <c r="AC385" s="21">
        <v>146</v>
      </c>
      <c r="AD385" s="41">
        <f t="shared" si="166"/>
        <v>0.91249999999999998</v>
      </c>
      <c r="AE385" s="21">
        <v>40</v>
      </c>
      <c r="AF385" s="41">
        <f t="shared" si="159"/>
        <v>0.83333333333333337</v>
      </c>
      <c r="AG385" s="21">
        <v>0</v>
      </c>
      <c r="AH385" s="41">
        <f t="shared" si="167"/>
        <v>0</v>
      </c>
      <c r="AI385" s="21">
        <v>0</v>
      </c>
      <c r="AJ385" s="41">
        <f t="shared" si="160"/>
        <v>0</v>
      </c>
      <c r="AK385" s="21">
        <v>6</v>
      </c>
      <c r="AL385" s="41">
        <f t="shared" si="168"/>
        <v>3.7499999999999999E-2</v>
      </c>
      <c r="AM385" s="21">
        <v>2</v>
      </c>
      <c r="AN385" s="41">
        <f t="shared" si="161"/>
        <v>4.1666666666666664E-2</v>
      </c>
      <c r="AO385" s="21">
        <v>103</v>
      </c>
      <c r="AP385" s="41">
        <f t="shared" si="169"/>
        <v>0.64375000000000004</v>
      </c>
      <c r="AQ385" s="21">
        <v>31</v>
      </c>
      <c r="AR385" s="41">
        <f t="shared" si="162"/>
        <v>0.64583333333333337</v>
      </c>
      <c r="AS385" s="21">
        <v>29</v>
      </c>
      <c r="AT385" s="41">
        <f t="shared" si="170"/>
        <v>0.18124999999999999</v>
      </c>
      <c r="AU385" s="21">
        <v>8</v>
      </c>
      <c r="AV385" s="41">
        <f t="shared" si="163"/>
        <v>0.16666666666666666</v>
      </c>
      <c r="AW385" s="21">
        <v>19</v>
      </c>
      <c r="AX385" s="41">
        <f t="shared" si="171"/>
        <v>0.11874999999999999</v>
      </c>
      <c r="AY385" s="21">
        <v>5</v>
      </c>
      <c r="AZ385" s="41">
        <f t="shared" si="164"/>
        <v>0.10416666666666667</v>
      </c>
      <c r="BA385" s="21">
        <v>3</v>
      </c>
      <c r="BB385" s="41">
        <f t="shared" si="172"/>
        <v>1.8749999999999999E-2</v>
      </c>
      <c r="BC385" s="21">
        <v>2</v>
      </c>
      <c r="BD385" s="41">
        <f t="shared" si="165"/>
        <v>4.1666666666666664E-2</v>
      </c>
      <c r="BE385" s="21">
        <v>160</v>
      </c>
      <c r="BF385" s="21">
        <v>48</v>
      </c>
    </row>
    <row r="386" spans="1:58" ht="15.75" customHeight="1" x14ac:dyDescent="0.25">
      <c r="A386" s="44">
        <v>2022</v>
      </c>
      <c r="B386" s="39">
        <v>171845</v>
      </c>
      <c r="C386" s="37" t="str">
        <f>VLOOKUP(B386,procv!$A$2:$D$142,4,FALSE)</f>
        <v>Cantão</v>
      </c>
      <c r="D386" s="37" t="s">
        <v>111</v>
      </c>
      <c r="E386" s="21">
        <v>0</v>
      </c>
      <c r="F386" s="42">
        <f t="shared" ref="F386:F449" si="173">IFERROR(E386/$BE386,0)</f>
        <v>0</v>
      </c>
      <c r="G386" s="21">
        <v>0</v>
      </c>
      <c r="H386" s="42">
        <f t="shared" ref="H386:H449" si="174">IFERROR(G386/$BF386,0)</f>
        <v>0</v>
      </c>
      <c r="I386" s="21">
        <v>5</v>
      </c>
      <c r="J386" s="41">
        <f t="shared" ref="J386:J449" si="175">IFERROR(I386/$BE386,0)</f>
        <v>3.4482758620689655E-2</v>
      </c>
      <c r="K386" s="21">
        <v>1</v>
      </c>
      <c r="L386" s="41">
        <f t="shared" ref="L386:L449" si="176">IFERROR(K386/$BF386,0)</f>
        <v>1.3513513513513514E-2</v>
      </c>
      <c r="M386" s="21">
        <v>128</v>
      </c>
      <c r="N386" s="41">
        <f t="shared" ref="N386:N449" si="177">IFERROR(M386/$BE386,0)</f>
        <v>0.88275862068965516</v>
      </c>
      <c r="O386" s="21">
        <v>66</v>
      </c>
      <c r="P386" s="41">
        <f t="shared" ref="P386:P449" si="178">IFERROR(O386/$BF386,0)</f>
        <v>0.89189189189189189</v>
      </c>
      <c r="Q386" s="21">
        <v>12</v>
      </c>
      <c r="R386" s="41">
        <f t="shared" ref="R386:R449" si="179">IFERROR(Q386/$BE386,0)</f>
        <v>8.2758620689655171E-2</v>
      </c>
      <c r="S386" s="21">
        <v>7</v>
      </c>
      <c r="T386" s="41">
        <f t="shared" ref="T386:T449" si="180">IFERROR(S386/$BF386,0)</f>
        <v>9.45945945945946E-2</v>
      </c>
      <c r="U386" s="21">
        <v>4</v>
      </c>
      <c r="V386" s="41">
        <f t="shared" ref="V386:V449" si="181">IFERROR(U386/$BE386,0)</f>
        <v>2.7586206896551724E-2</v>
      </c>
      <c r="W386" s="21">
        <v>4</v>
      </c>
      <c r="X386" s="41">
        <f t="shared" ref="X386:X449" si="182">IFERROR(W386/$BF386,0)</f>
        <v>5.4054054054054057E-2</v>
      </c>
      <c r="Y386" s="21">
        <v>7</v>
      </c>
      <c r="Z386" s="41">
        <f t="shared" ref="Z386:Z449" si="183">IFERROR(Y386/$BE386,0)</f>
        <v>4.8275862068965517E-2</v>
      </c>
      <c r="AA386" s="21">
        <v>4</v>
      </c>
      <c r="AB386" s="41">
        <f t="shared" ref="AB386:AB449" si="184">IFERROR(AA386/$BF386,0)</f>
        <v>5.4054054054054057E-2</v>
      </c>
      <c r="AC386" s="21">
        <v>134</v>
      </c>
      <c r="AD386" s="41">
        <f t="shared" si="166"/>
        <v>0.92413793103448272</v>
      </c>
      <c r="AE386" s="21">
        <v>66</v>
      </c>
      <c r="AF386" s="41">
        <f t="shared" ref="AF386:AF449" si="185">IFERROR(AE386/$BF386,0)</f>
        <v>0.89189189189189189</v>
      </c>
      <c r="AG386" s="21">
        <v>3</v>
      </c>
      <c r="AH386" s="41">
        <f t="shared" si="167"/>
        <v>2.0689655172413793E-2</v>
      </c>
      <c r="AI386" s="21">
        <v>2</v>
      </c>
      <c r="AJ386" s="41">
        <f t="shared" ref="AJ386:AJ449" si="186">IFERROR(AI386/$BF386,0)</f>
        <v>2.7027027027027029E-2</v>
      </c>
      <c r="AK386" s="21">
        <v>8</v>
      </c>
      <c r="AL386" s="41">
        <f t="shared" si="168"/>
        <v>5.5172413793103448E-2</v>
      </c>
      <c r="AM386" s="21">
        <v>6</v>
      </c>
      <c r="AN386" s="41">
        <f t="shared" ref="AN386:AN449" si="187">IFERROR(AM386/$BF386,0)</f>
        <v>8.1081081081081086E-2</v>
      </c>
      <c r="AO386" s="21">
        <v>93</v>
      </c>
      <c r="AP386" s="41">
        <f t="shared" si="169"/>
        <v>0.64137931034482754</v>
      </c>
      <c r="AQ386" s="21">
        <v>46</v>
      </c>
      <c r="AR386" s="41">
        <f t="shared" ref="AR386:AR449" si="188">IFERROR(AQ386/$BF386,0)</f>
        <v>0.6216216216216216</v>
      </c>
      <c r="AS386" s="21">
        <v>26</v>
      </c>
      <c r="AT386" s="41">
        <f t="shared" si="170"/>
        <v>0.1793103448275862</v>
      </c>
      <c r="AU386" s="21">
        <v>10</v>
      </c>
      <c r="AV386" s="41">
        <f t="shared" ref="AV386:AV449" si="189">IFERROR(AU386/$BF386,0)</f>
        <v>0.13513513513513514</v>
      </c>
      <c r="AW386" s="21">
        <v>7</v>
      </c>
      <c r="AX386" s="41">
        <f t="shared" si="171"/>
        <v>4.8275862068965517E-2</v>
      </c>
      <c r="AY386" s="21">
        <v>4</v>
      </c>
      <c r="AZ386" s="41">
        <f t="shared" ref="AZ386:AZ449" si="190">IFERROR(AY386/$BF386,0)</f>
        <v>5.4054054054054057E-2</v>
      </c>
      <c r="BA386" s="21">
        <v>8</v>
      </c>
      <c r="BB386" s="41">
        <f t="shared" si="172"/>
        <v>5.5172413793103448E-2</v>
      </c>
      <c r="BC386" s="21">
        <v>6</v>
      </c>
      <c r="BD386" s="41">
        <f t="shared" ref="BD386:BD449" si="191">IFERROR(BC386/$BF386,0)</f>
        <v>8.1081081081081086E-2</v>
      </c>
      <c r="BE386" s="21">
        <v>145</v>
      </c>
      <c r="BF386" s="21">
        <v>74</v>
      </c>
    </row>
    <row r="387" spans="1:58" ht="15.75" customHeight="1" x14ac:dyDescent="0.25">
      <c r="A387" s="44">
        <v>2022</v>
      </c>
      <c r="B387" s="39">
        <v>171850</v>
      </c>
      <c r="C387" s="37" t="str">
        <f>VLOOKUP(B387,procv!$A$2:$D$142,4,FALSE)</f>
        <v>Cerrado Tocantins Araguaia</v>
      </c>
      <c r="D387" s="37" t="s">
        <v>112</v>
      </c>
      <c r="E387" s="21">
        <v>3</v>
      </c>
      <c r="F387" s="42">
        <f t="shared" si="173"/>
        <v>9.5541401273885346E-3</v>
      </c>
      <c r="G387" s="21">
        <v>3</v>
      </c>
      <c r="H387" s="42">
        <f t="shared" si="174"/>
        <v>1.7241379310344827E-2</v>
      </c>
      <c r="I387" s="21">
        <v>9</v>
      </c>
      <c r="J387" s="41">
        <f t="shared" si="175"/>
        <v>2.8662420382165606E-2</v>
      </c>
      <c r="K387" s="21">
        <v>9</v>
      </c>
      <c r="L387" s="41">
        <f t="shared" si="176"/>
        <v>5.1724137931034482E-2</v>
      </c>
      <c r="M387" s="21">
        <v>282</v>
      </c>
      <c r="N387" s="41">
        <f t="shared" si="177"/>
        <v>0.89808917197452232</v>
      </c>
      <c r="O387" s="21">
        <v>154</v>
      </c>
      <c r="P387" s="41">
        <f t="shared" si="178"/>
        <v>0.88505747126436785</v>
      </c>
      <c r="Q387" s="21">
        <v>20</v>
      </c>
      <c r="R387" s="41">
        <f t="shared" si="179"/>
        <v>6.3694267515923567E-2</v>
      </c>
      <c r="S387" s="21">
        <v>8</v>
      </c>
      <c r="T387" s="41">
        <f t="shared" si="180"/>
        <v>4.5977011494252873E-2</v>
      </c>
      <c r="U387" s="21">
        <v>20</v>
      </c>
      <c r="V387" s="41">
        <f t="shared" si="181"/>
        <v>6.3694267515923567E-2</v>
      </c>
      <c r="W387" s="21">
        <v>14</v>
      </c>
      <c r="X387" s="41">
        <f t="shared" si="182"/>
        <v>8.0459770114942528E-2</v>
      </c>
      <c r="Y387" s="21">
        <v>35</v>
      </c>
      <c r="Z387" s="41">
        <f t="shared" si="183"/>
        <v>0.11146496815286625</v>
      </c>
      <c r="AA387" s="21">
        <v>20</v>
      </c>
      <c r="AB387" s="41">
        <f t="shared" si="184"/>
        <v>0.11494252873563218</v>
      </c>
      <c r="AC387" s="21">
        <v>259</v>
      </c>
      <c r="AD387" s="41">
        <f t="shared" si="166"/>
        <v>0.82484076433121023</v>
      </c>
      <c r="AE387" s="21">
        <v>140</v>
      </c>
      <c r="AF387" s="41">
        <f t="shared" si="185"/>
        <v>0.8045977011494253</v>
      </c>
      <c r="AG387" s="21">
        <v>12</v>
      </c>
      <c r="AH387" s="41">
        <f t="shared" si="167"/>
        <v>3.8216560509554139E-2</v>
      </c>
      <c r="AI387" s="21">
        <v>13</v>
      </c>
      <c r="AJ387" s="41">
        <f t="shared" si="186"/>
        <v>7.4712643678160925E-2</v>
      </c>
      <c r="AK387" s="21">
        <v>11</v>
      </c>
      <c r="AL387" s="41">
        <f t="shared" si="168"/>
        <v>3.5031847133757961E-2</v>
      </c>
      <c r="AM387" s="21">
        <v>8</v>
      </c>
      <c r="AN387" s="41">
        <f t="shared" si="187"/>
        <v>4.5977011494252873E-2</v>
      </c>
      <c r="AO387" s="21">
        <v>181</v>
      </c>
      <c r="AP387" s="41">
        <f t="shared" si="169"/>
        <v>0.57643312101910826</v>
      </c>
      <c r="AQ387" s="21">
        <v>108</v>
      </c>
      <c r="AR387" s="41">
        <f t="shared" si="188"/>
        <v>0.62068965517241381</v>
      </c>
      <c r="AS387" s="21">
        <v>66</v>
      </c>
      <c r="AT387" s="41">
        <f t="shared" si="170"/>
        <v>0.21019108280254778</v>
      </c>
      <c r="AU387" s="21">
        <v>26</v>
      </c>
      <c r="AV387" s="41">
        <f t="shared" si="189"/>
        <v>0.14942528735632185</v>
      </c>
      <c r="AW387" s="21">
        <v>24</v>
      </c>
      <c r="AX387" s="41">
        <f t="shared" si="171"/>
        <v>7.6433121019108277E-2</v>
      </c>
      <c r="AY387" s="21">
        <v>6</v>
      </c>
      <c r="AZ387" s="41">
        <f t="shared" si="190"/>
        <v>3.4482758620689655E-2</v>
      </c>
      <c r="BA387" s="21">
        <v>20</v>
      </c>
      <c r="BB387" s="41">
        <f t="shared" si="172"/>
        <v>6.3694267515923567E-2</v>
      </c>
      <c r="BC387" s="21">
        <v>13</v>
      </c>
      <c r="BD387" s="41">
        <f t="shared" si="191"/>
        <v>7.4712643678160925E-2</v>
      </c>
      <c r="BE387" s="21">
        <v>314</v>
      </c>
      <c r="BF387" s="21">
        <v>174</v>
      </c>
    </row>
    <row r="388" spans="1:58" ht="15.75" customHeight="1" x14ac:dyDescent="0.25">
      <c r="A388" s="44">
        <v>2022</v>
      </c>
      <c r="B388" s="39">
        <v>171855</v>
      </c>
      <c r="C388" s="37" t="str">
        <f>VLOOKUP(B388,procv!$A$2:$D$142,4,FALSE)</f>
        <v>Bico do Papagaio</v>
      </c>
      <c r="D388" s="37" t="s">
        <v>113</v>
      </c>
      <c r="E388" s="21">
        <v>1</v>
      </c>
      <c r="F388" s="42">
        <f t="shared" si="173"/>
        <v>3.246753246753247E-3</v>
      </c>
      <c r="G388" s="21">
        <v>2</v>
      </c>
      <c r="H388" s="42">
        <f t="shared" si="174"/>
        <v>1.2422360248447204E-2</v>
      </c>
      <c r="I388" s="21">
        <v>10</v>
      </c>
      <c r="J388" s="41">
        <f t="shared" si="175"/>
        <v>3.2467532467532464E-2</v>
      </c>
      <c r="K388" s="21">
        <v>6</v>
      </c>
      <c r="L388" s="41">
        <f t="shared" si="176"/>
        <v>3.7267080745341616E-2</v>
      </c>
      <c r="M388" s="21">
        <v>281</v>
      </c>
      <c r="N388" s="41">
        <f t="shared" si="177"/>
        <v>0.91233766233766234</v>
      </c>
      <c r="O388" s="21">
        <v>144</v>
      </c>
      <c r="P388" s="41">
        <f t="shared" si="178"/>
        <v>0.89440993788819878</v>
      </c>
      <c r="Q388" s="21">
        <v>16</v>
      </c>
      <c r="R388" s="41">
        <f t="shared" si="179"/>
        <v>5.1948051948051951E-2</v>
      </c>
      <c r="S388" s="21">
        <v>9</v>
      </c>
      <c r="T388" s="41">
        <f t="shared" si="180"/>
        <v>5.5900621118012424E-2</v>
      </c>
      <c r="U388" s="21">
        <v>42</v>
      </c>
      <c r="V388" s="41">
        <f t="shared" si="181"/>
        <v>0.13636363636363635</v>
      </c>
      <c r="W388" s="21">
        <v>21</v>
      </c>
      <c r="X388" s="41">
        <f t="shared" si="182"/>
        <v>0.13043478260869565</v>
      </c>
      <c r="Y388" s="21">
        <v>32</v>
      </c>
      <c r="Z388" s="41">
        <f t="shared" si="183"/>
        <v>0.1038961038961039</v>
      </c>
      <c r="AA388" s="21">
        <v>15</v>
      </c>
      <c r="AB388" s="41">
        <f t="shared" si="184"/>
        <v>9.3167701863354033E-2</v>
      </c>
      <c r="AC388" s="21">
        <v>234</v>
      </c>
      <c r="AD388" s="41">
        <f t="shared" si="166"/>
        <v>0.75974025974025972</v>
      </c>
      <c r="AE388" s="21">
        <v>125</v>
      </c>
      <c r="AF388" s="41">
        <f t="shared" si="185"/>
        <v>0.77639751552795033</v>
      </c>
      <c r="AG388" s="21">
        <v>6</v>
      </c>
      <c r="AH388" s="41">
        <f t="shared" si="167"/>
        <v>1.948051948051948E-2</v>
      </c>
      <c r="AI388" s="21">
        <v>5</v>
      </c>
      <c r="AJ388" s="41">
        <f t="shared" si="186"/>
        <v>3.1055900621118012E-2</v>
      </c>
      <c r="AK388" s="21">
        <v>5</v>
      </c>
      <c r="AL388" s="41">
        <f t="shared" si="168"/>
        <v>1.6233766233766232E-2</v>
      </c>
      <c r="AM388" s="21">
        <v>4</v>
      </c>
      <c r="AN388" s="41">
        <f t="shared" si="187"/>
        <v>2.4844720496894408E-2</v>
      </c>
      <c r="AO388" s="21">
        <v>160</v>
      </c>
      <c r="AP388" s="41">
        <f t="shared" si="169"/>
        <v>0.51948051948051943</v>
      </c>
      <c r="AQ388" s="21">
        <v>94</v>
      </c>
      <c r="AR388" s="41">
        <f t="shared" si="188"/>
        <v>0.58385093167701863</v>
      </c>
      <c r="AS388" s="21">
        <v>62</v>
      </c>
      <c r="AT388" s="41">
        <f t="shared" si="170"/>
        <v>0.20129870129870131</v>
      </c>
      <c r="AU388" s="21">
        <v>23</v>
      </c>
      <c r="AV388" s="41">
        <f t="shared" si="189"/>
        <v>0.14285714285714285</v>
      </c>
      <c r="AW388" s="21">
        <v>45</v>
      </c>
      <c r="AX388" s="41">
        <f t="shared" si="171"/>
        <v>0.1461038961038961</v>
      </c>
      <c r="AY388" s="21">
        <v>15</v>
      </c>
      <c r="AZ388" s="41">
        <f t="shared" si="190"/>
        <v>9.3167701863354033E-2</v>
      </c>
      <c r="BA388" s="21">
        <v>30</v>
      </c>
      <c r="BB388" s="41">
        <f t="shared" si="172"/>
        <v>9.7402597402597407E-2</v>
      </c>
      <c r="BC388" s="21">
        <v>20</v>
      </c>
      <c r="BD388" s="41">
        <f t="shared" si="191"/>
        <v>0.12422360248447205</v>
      </c>
      <c r="BE388" s="21">
        <v>308</v>
      </c>
      <c r="BF388" s="21">
        <v>161</v>
      </c>
    </row>
    <row r="389" spans="1:58" ht="15.75" customHeight="1" x14ac:dyDescent="0.25">
      <c r="A389" s="44">
        <v>2022</v>
      </c>
      <c r="B389" s="39">
        <v>171865</v>
      </c>
      <c r="C389" s="37" t="str">
        <f>VLOOKUP(B389,procv!$A$2:$D$142,4,FALSE)</f>
        <v>Sudeste</v>
      </c>
      <c r="D389" s="37" t="s">
        <v>114</v>
      </c>
      <c r="E389" s="21">
        <v>1</v>
      </c>
      <c r="F389" s="42">
        <f t="shared" si="173"/>
        <v>6.2500000000000003E-3</v>
      </c>
      <c r="G389" s="21">
        <v>1</v>
      </c>
      <c r="H389" s="42">
        <f t="shared" si="174"/>
        <v>1.0416666666666666E-2</v>
      </c>
      <c r="I389" s="21">
        <v>4</v>
      </c>
      <c r="J389" s="41">
        <f t="shared" si="175"/>
        <v>2.5000000000000001E-2</v>
      </c>
      <c r="K389" s="21">
        <v>2</v>
      </c>
      <c r="L389" s="41">
        <f t="shared" si="176"/>
        <v>2.0833333333333332E-2</v>
      </c>
      <c r="M389" s="21">
        <v>152</v>
      </c>
      <c r="N389" s="41">
        <f t="shared" si="177"/>
        <v>0.95</v>
      </c>
      <c r="O389" s="21">
        <v>90</v>
      </c>
      <c r="P389" s="41">
        <f t="shared" si="178"/>
        <v>0.9375</v>
      </c>
      <c r="Q389" s="21">
        <v>3</v>
      </c>
      <c r="R389" s="41">
        <f t="shared" si="179"/>
        <v>1.8749999999999999E-2</v>
      </c>
      <c r="S389" s="21">
        <v>3</v>
      </c>
      <c r="T389" s="41">
        <f t="shared" si="180"/>
        <v>3.125E-2</v>
      </c>
      <c r="U389" s="21">
        <v>8</v>
      </c>
      <c r="V389" s="41">
        <f t="shared" si="181"/>
        <v>0.05</v>
      </c>
      <c r="W389" s="21">
        <v>6</v>
      </c>
      <c r="X389" s="41">
        <f t="shared" si="182"/>
        <v>6.25E-2</v>
      </c>
      <c r="Y389" s="21">
        <v>13</v>
      </c>
      <c r="Z389" s="41">
        <f t="shared" si="183"/>
        <v>8.1250000000000003E-2</v>
      </c>
      <c r="AA389" s="21">
        <v>7</v>
      </c>
      <c r="AB389" s="41">
        <f t="shared" si="184"/>
        <v>7.2916666666666671E-2</v>
      </c>
      <c r="AC389" s="21">
        <v>139</v>
      </c>
      <c r="AD389" s="41">
        <f t="shared" si="166"/>
        <v>0.86875000000000002</v>
      </c>
      <c r="AE389" s="21">
        <v>83</v>
      </c>
      <c r="AF389" s="41">
        <f t="shared" si="185"/>
        <v>0.86458333333333337</v>
      </c>
      <c r="AG389" s="21">
        <v>3</v>
      </c>
      <c r="AH389" s="41">
        <f t="shared" si="167"/>
        <v>1.8749999999999999E-2</v>
      </c>
      <c r="AI389" s="21">
        <v>3</v>
      </c>
      <c r="AJ389" s="41">
        <f t="shared" si="186"/>
        <v>3.125E-2</v>
      </c>
      <c r="AK389" s="21">
        <v>8</v>
      </c>
      <c r="AL389" s="41">
        <f t="shared" si="168"/>
        <v>0.05</v>
      </c>
      <c r="AM389" s="21">
        <v>3</v>
      </c>
      <c r="AN389" s="41">
        <f t="shared" si="187"/>
        <v>3.125E-2</v>
      </c>
      <c r="AO389" s="21">
        <v>111</v>
      </c>
      <c r="AP389" s="41">
        <f t="shared" si="169"/>
        <v>0.69374999999999998</v>
      </c>
      <c r="AQ389" s="21">
        <v>69</v>
      </c>
      <c r="AR389" s="41">
        <f t="shared" si="188"/>
        <v>0.71875</v>
      </c>
      <c r="AS389" s="21">
        <v>25</v>
      </c>
      <c r="AT389" s="41">
        <f t="shared" si="170"/>
        <v>0.15625</v>
      </c>
      <c r="AU389" s="21">
        <v>15</v>
      </c>
      <c r="AV389" s="41">
        <f t="shared" si="189"/>
        <v>0.15625</v>
      </c>
      <c r="AW389" s="21">
        <v>6</v>
      </c>
      <c r="AX389" s="41">
        <f t="shared" si="171"/>
        <v>3.7499999999999999E-2</v>
      </c>
      <c r="AY389" s="21">
        <v>2</v>
      </c>
      <c r="AZ389" s="41">
        <f t="shared" si="190"/>
        <v>2.0833333333333332E-2</v>
      </c>
      <c r="BA389" s="21">
        <v>7</v>
      </c>
      <c r="BB389" s="41">
        <f t="shared" si="172"/>
        <v>4.3749999999999997E-2</v>
      </c>
      <c r="BC389" s="21">
        <v>4</v>
      </c>
      <c r="BD389" s="41">
        <f t="shared" si="191"/>
        <v>4.1666666666666664E-2</v>
      </c>
      <c r="BE389" s="21">
        <v>160</v>
      </c>
      <c r="BF389" s="21">
        <v>96</v>
      </c>
    </row>
    <row r="390" spans="1:58" ht="15.75" customHeight="1" x14ac:dyDescent="0.25">
      <c r="A390" s="44">
        <v>2022</v>
      </c>
      <c r="B390" s="39">
        <v>171870</v>
      </c>
      <c r="C390" s="37" t="str">
        <f>VLOOKUP(B390,procv!$A$2:$D$142,4,FALSE)</f>
        <v>Capim Dourado</v>
      </c>
      <c r="D390" s="37" t="s">
        <v>115</v>
      </c>
      <c r="E390" s="21">
        <v>1</v>
      </c>
      <c r="F390" s="42">
        <f t="shared" si="173"/>
        <v>5.263157894736842E-3</v>
      </c>
      <c r="G390" s="21">
        <v>0</v>
      </c>
      <c r="H390" s="42">
        <f t="shared" si="174"/>
        <v>0</v>
      </c>
      <c r="I390" s="21">
        <v>3</v>
      </c>
      <c r="J390" s="41">
        <f t="shared" si="175"/>
        <v>1.5789473684210527E-2</v>
      </c>
      <c r="K390" s="21">
        <v>3</v>
      </c>
      <c r="L390" s="41">
        <f t="shared" si="176"/>
        <v>2.6315789473684209E-2</v>
      </c>
      <c r="M390" s="21">
        <v>177</v>
      </c>
      <c r="N390" s="41">
        <f t="shared" si="177"/>
        <v>0.93157894736842106</v>
      </c>
      <c r="O390" s="21">
        <v>108</v>
      </c>
      <c r="P390" s="41">
        <f t="shared" si="178"/>
        <v>0.94736842105263153</v>
      </c>
      <c r="Q390" s="21">
        <v>9</v>
      </c>
      <c r="R390" s="41">
        <f t="shared" si="179"/>
        <v>4.736842105263158E-2</v>
      </c>
      <c r="S390" s="21">
        <v>3</v>
      </c>
      <c r="T390" s="41">
        <f t="shared" si="180"/>
        <v>2.6315789473684209E-2</v>
      </c>
      <c r="U390" s="21">
        <v>10</v>
      </c>
      <c r="V390" s="41">
        <f t="shared" si="181"/>
        <v>5.2631578947368418E-2</v>
      </c>
      <c r="W390" s="21">
        <v>10</v>
      </c>
      <c r="X390" s="41">
        <f t="shared" si="182"/>
        <v>8.771929824561403E-2</v>
      </c>
      <c r="Y390" s="21">
        <v>20</v>
      </c>
      <c r="Z390" s="41">
        <f t="shared" si="183"/>
        <v>0.10526315789473684</v>
      </c>
      <c r="AA390" s="21">
        <v>16</v>
      </c>
      <c r="AB390" s="41">
        <f t="shared" si="184"/>
        <v>0.14035087719298245</v>
      </c>
      <c r="AC390" s="21">
        <v>160</v>
      </c>
      <c r="AD390" s="41">
        <f t="shared" si="166"/>
        <v>0.84210526315789469</v>
      </c>
      <c r="AE390" s="21">
        <v>88</v>
      </c>
      <c r="AF390" s="41">
        <f t="shared" si="185"/>
        <v>0.77192982456140347</v>
      </c>
      <c r="AG390" s="21">
        <v>5</v>
      </c>
      <c r="AH390" s="41">
        <f t="shared" si="167"/>
        <v>2.6315789473684209E-2</v>
      </c>
      <c r="AI390" s="21">
        <v>7</v>
      </c>
      <c r="AJ390" s="41">
        <f t="shared" si="186"/>
        <v>6.1403508771929821E-2</v>
      </c>
      <c r="AK390" s="21">
        <v>3</v>
      </c>
      <c r="AL390" s="41">
        <f t="shared" si="168"/>
        <v>1.5789473684210527E-2</v>
      </c>
      <c r="AM390" s="21">
        <v>5</v>
      </c>
      <c r="AN390" s="41">
        <f t="shared" si="187"/>
        <v>4.3859649122807015E-2</v>
      </c>
      <c r="AO390" s="21">
        <v>130</v>
      </c>
      <c r="AP390" s="41">
        <f t="shared" si="169"/>
        <v>0.68421052631578949</v>
      </c>
      <c r="AQ390" s="21">
        <v>71</v>
      </c>
      <c r="AR390" s="41">
        <f t="shared" si="188"/>
        <v>0.6228070175438597</v>
      </c>
      <c r="AS390" s="21">
        <v>26</v>
      </c>
      <c r="AT390" s="41">
        <f t="shared" si="170"/>
        <v>0.1368421052631579</v>
      </c>
      <c r="AU390" s="21">
        <v>10</v>
      </c>
      <c r="AV390" s="41">
        <f t="shared" si="189"/>
        <v>8.771929824561403E-2</v>
      </c>
      <c r="AW390" s="21">
        <v>15</v>
      </c>
      <c r="AX390" s="41">
        <f t="shared" si="171"/>
        <v>7.8947368421052627E-2</v>
      </c>
      <c r="AY390" s="21">
        <v>12</v>
      </c>
      <c r="AZ390" s="41">
        <f t="shared" si="190"/>
        <v>0.10526315789473684</v>
      </c>
      <c r="BA390" s="21">
        <v>11</v>
      </c>
      <c r="BB390" s="41">
        <f t="shared" si="172"/>
        <v>5.7894736842105263E-2</v>
      </c>
      <c r="BC390" s="21">
        <v>9</v>
      </c>
      <c r="BD390" s="41">
        <f t="shared" si="191"/>
        <v>7.8947368421052627E-2</v>
      </c>
      <c r="BE390" s="21">
        <v>190</v>
      </c>
      <c r="BF390" s="21">
        <v>114</v>
      </c>
    </row>
    <row r="391" spans="1:58" ht="15.75" customHeight="1" x14ac:dyDescent="0.25">
      <c r="A391" s="44">
        <v>2022</v>
      </c>
      <c r="B391" s="39">
        <v>171875</v>
      </c>
      <c r="C391" s="37" t="str">
        <f>VLOOKUP(B391,procv!$A$2:$D$142,4,FALSE)</f>
        <v>Capim Dourado</v>
      </c>
      <c r="D391" s="37" t="s">
        <v>116</v>
      </c>
      <c r="E391" s="21">
        <v>1</v>
      </c>
      <c r="F391" s="42">
        <f t="shared" si="173"/>
        <v>2.7777777777777779E-3</v>
      </c>
      <c r="G391" s="21">
        <v>0</v>
      </c>
      <c r="H391" s="42">
        <f t="shared" si="174"/>
        <v>0</v>
      </c>
      <c r="I391" s="21">
        <v>21</v>
      </c>
      <c r="J391" s="41">
        <f t="shared" si="175"/>
        <v>5.8333333333333334E-2</v>
      </c>
      <c r="K391" s="21">
        <v>14</v>
      </c>
      <c r="L391" s="41">
        <f t="shared" si="176"/>
        <v>7.0351758793969849E-2</v>
      </c>
      <c r="M391" s="21">
        <v>326</v>
      </c>
      <c r="N391" s="41">
        <f t="shared" si="177"/>
        <v>0.90555555555555556</v>
      </c>
      <c r="O391" s="21">
        <v>178</v>
      </c>
      <c r="P391" s="41">
        <f t="shared" si="178"/>
        <v>0.89447236180904521</v>
      </c>
      <c r="Q391" s="21">
        <v>12</v>
      </c>
      <c r="R391" s="41">
        <f t="shared" si="179"/>
        <v>3.3333333333333333E-2</v>
      </c>
      <c r="S391" s="21">
        <v>7</v>
      </c>
      <c r="T391" s="41">
        <f t="shared" si="180"/>
        <v>3.5175879396984924E-2</v>
      </c>
      <c r="U391" s="21">
        <v>18</v>
      </c>
      <c r="V391" s="41">
        <f t="shared" si="181"/>
        <v>0.05</v>
      </c>
      <c r="W391" s="21">
        <v>10</v>
      </c>
      <c r="X391" s="41">
        <f t="shared" si="182"/>
        <v>5.0251256281407038E-2</v>
      </c>
      <c r="Y391" s="21">
        <v>28</v>
      </c>
      <c r="Z391" s="41">
        <f t="shared" si="183"/>
        <v>7.7777777777777779E-2</v>
      </c>
      <c r="AA391" s="21">
        <v>20</v>
      </c>
      <c r="AB391" s="41">
        <f t="shared" si="184"/>
        <v>0.10050251256281408</v>
      </c>
      <c r="AC391" s="21">
        <v>314</v>
      </c>
      <c r="AD391" s="41">
        <f t="shared" si="166"/>
        <v>0.87222222222222223</v>
      </c>
      <c r="AE391" s="21">
        <v>169</v>
      </c>
      <c r="AF391" s="41">
        <f t="shared" si="185"/>
        <v>0.84924623115577891</v>
      </c>
      <c r="AG391" s="21">
        <v>7</v>
      </c>
      <c r="AH391" s="41">
        <f t="shared" si="167"/>
        <v>1.9444444444444445E-2</v>
      </c>
      <c r="AI391" s="21">
        <v>8</v>
      </c>
      <c r="AJ391" s="41">
        <f t="shared" si="186"/>
        <v>4.0201005025125629E-2</v>
      </c>
      <c r="AK391" s="21">
        <v>21</v>
      </c>
      <c r="AL391" s="41">
        <f t="shared" si="168"/>
        <v>5.8333333333333334E-2</v>
      </c>
      <c r="AM391" s="21">
        <v>13</v>
      </c>
      <c r="AN391" s="41">
        <f t="shared" si="187"/>
        <v>6.5326633165829151E-2</v>
      </c>
      <c r="AO391" s="21">
        <v>248</v>
      </c>
      <c r="AP391" s="41">
        <f t="shared" si="169"/>
        <v>0.68888888888888888</v>
      </c>
      <c r="AQ391" s="21">
        <v>142</v>
      </c>
      <c r="AR391" s="41">
        <f t="shared" si="188"/>
        <v>0.71356783919597988</v>
      </c>
      <c r="AS391" s="21">
        <v>48</v>
      </c>
      <c r="AT391" s="41">
        <f t="shared" si="170"/>
        <v>0.13333333333333333</v>
      </c>
      <c r="AU391" s="21">
        <v>21</v>
      </c>
      <c r="AV391" s="41">
        <f t="shared" si="189"/>
        <v>0.10552763819095477</v>
      </c>
      <c r="AW391" s="21">
        <v>21</v>
      </c>
      <c r="AX391" s="41">
        <f t="shared" si="171"/>
        <v>5.8333333333333334E-2</v>
      </c>
      <c r="AY391" s="21">
        <v>9</v>
      </c>
      <c r="AZ391" s="41">
        <f t="shared" si="190"/>
        <v>4.5226130653266333E-2</v>
      </c>
      <c r="BA391" s="21">
        <v>15</v>
      </c>
      <c r="BB391" s="41">
        <f t="shared" si="172"/>
        <v>4.1666666666666664E-2</v>
      </c>
      <c r="BC391" s="21">
        <v>6</v>
      </c>
      <c r="BD391" s="41">
        <f t="shared" si="191"/>
        <v>3.015075376884422E-2</v>
      </c>
      <c r="BE391" s="21">
        <v>360</v>
      </c>
      <c r="BF391" s="21">
        <v>199</v>
      </c>
    </row>
    <row r="392" spans="1:58" ht="15.75" customHeight="1" x14ac:dyDescent="0.25">
      <c r="A392" s="44">
        <v>2022</v>
      </c>
      <c r="B392" s="39">
        <v>171880</v>
      </c>
      <c r="C392" s="37" t="str">
        <f>VLOOKUP(B392,procv!$A$2:$D$142,4,FALSE)</f>
        <v>Bico do Papagaio</v>
      </c>
      <c r="D392" s="37" t="s">
        <v>117</v>
      </c>
      <c r="E392" s="21">
        <v>7</v>
      </c>
      <c r="F392" s="42">
        <f t="shared" si="173"/>
        <v>1.5695067264573991E-2</v>
      </c>
      <c r="G392" s="21">
        <v>5</v>
      </c>
      <c r="H392" s="42">
        <f t="shared" si="174"/>
        <v>1.6286644951140065E-2</v>
      </c>
      <c r="I392" s="21">
        <v>16</v>
      </c>
      <c r="J392" s="41">
        <f t="shared" si="175"/>
        <v>3.5874439461883408E-2</v>
      </c>
      <c r="K392" s="21">
        <v>13</v>
      </c>
      <c r="L392" s="41">
        <f t="shared" si="176"/>
        <v>4.2345276872964167E-2</v>
      </c>
      <c r="M392" s="21">
        <v>411</v>
      </c>
      <c r="N392" s="41">
        <f t="shared" si="177"/>
        <v>0.92152466367713004</v>
      </c>
      <c r="O392" s="21">
        <v>279</v>
      </c>
      <c r="P392" s="41">
        <f t="shared" si="178"/>
        <v>0.90879478827361559</v>
      </c>
      <c r="Q392" s="21">
        <v>12</v>
      </c>
      <c r="R392" s="41">
        <f t="shared" si="179"/>
        <v>2.6905829596412557E-2</v>
      </c>
      <c r="S392" s="21">
        <v>10</v>
      </c>
      <c r="T392" s="41">
        <f t="shared" si="180"/>
        <v>3.2573289902280131E-2</v>
      </c>
      <c r="U392" s="21">
        <v>34</v>
      </c>
      <c r="V392" s="41">
        <f t="shared" si="181"/>
        <v>7.623318385650224E-2</v>
      </c>
      <c r="W392" s="21">
        <v>29</v>
      </c>
      <c r="X392" s="41">
        <f t="shared" si="182"/>
        <v>9.4462540716612378E-2</v>
      </c>
      <c r="Y392" s="21">
        <v>41</v>
      </c>
      <c r="Z392" s="41">
        <f t="shared" si="183"/>
        <v>9.1928251121076235E-2</v>
      </c>
      <c r="AA392" s="21">
        <v>35</v>
      </c>
      <c r="AB392" s="41">
        <f t="shared" si="184"/>
        <v>0.11400651465798045</v>
      </c>
      <c r="AC392" s="21">
        <v>371</v>
      </c>
      <c r="AD392" s="41">
        <f t="shared" si="166"/>
        <v>0.83183856502242148</v>
      </c>
      <c r="AE392" s="21">
        <v>243</v>
      </c>
      <c r="AF392" s="41">
        <f t="shared" si="185"/>
        <v>0.79153094462540718</v>
      </c>
      <c r="AG392" s="21">
        <v>24</v>
      </c>
      <c r="AH392" s="41">
        <f t="shared" si="167"/>
        <v>5.3811659192825115E-2</v>
      </c>
      <c r="AI392" s="21">
        <v>22</v>
      </c>
      <c r="AJ392" s="41">
        <f t="shared" si="186"/>
        <v>7.1661237785016291E-2</v>
      </c>
      <c r="AK392" s="21">
        <v>16</v>
      </c>
      <c r="AL392" s="41">
        <f t="shared" si="168"/>
        <v>3.5874439461883408E-2</v>
      </c>
      <c r="AM392" s="21">
        <v>14</v>
      </c>
      <c r="AN392" s="41">
        <f t="shared" si="187"/>
        <v>4.5602605863192182E-2</v>
      </c>
      <c r="AO392" s="21">
        <v>291</v>
      </c>
      <c r="AP392" s="41">
        <f t="shared" si="169"/>
        <v>0.65246636771300448</v>
      </c>
      <c r="AQ392" s="21">
        <v>192</v>
      </c>
      <c r="AR392" s="41">
        <f t="shared" si="188"/>
        <v>0.62540716612377845</v>
      </c>
      <c r="AS392" s="21">
        <v>65</v>
      </c>
      <c r="AT392" s="41">
        <f t="shared" si="170"/>
        <v>0.14573991031390135</v>
      </c>
      <c r="AU392" s="21">
        <v>37</v>
      </c>
      <c r="AV392" s="41">
        <f t="shared" si="189"/>
        <v>0.12052117263843648</v>
      </c>
      <c r="AW392" s="21">
        <v>24</v>
      </c>
      <c r="AX392" s="41">
        <f t="shared" si="171"/>
        <v>5.3811659192825115E-2</v>
      </c>
      <c r="AY392" s="21">
        <v>18</v>
      </c>
      <c r="AZ392" s="41">
        <f t="shared" si="190"/>
        <v>5.8631921824104233E-2</v>
      </c>
      <c r="BA392" s="21">
        <v>26</v>
      </c>
      <c r="BB392" s="41">
        <f t="shared" si="172"/>
        <v>5.829596412556054E-2</v>
      </c>
      <c r="BC392" s="21">
        <v>24</v>
      </c>
      <c r="BD392" s="41">
        <f t="shared" si="191"/>
        <v>7.8175895765472306E-2</v>
      </c>
      <c r="BE392" s="21">
        <v>446</v>
      </c>
      <c r="BF392" s="21">
        <v>307</v>
      </c>
    </row>
    <row r="393" spans="1:58" ht="15.75" customHeight="1" x14ac:dyDescent="0.25">
      <c r="A393" s="44">
        <v>2022</v>
      </c>
      <c r="B393" s="39">
        <v>171884</v>
      </c>
      <c r="C393" s="37" t="str">
        <f>VLOOKUP(B393,procv!$A$2:$D$142,4,FALSE)</f>
        <v>Ilha do Bananal</v>
      </c>
      <c r="D393" s="37" t="s">
        <v>118</v>
      </c>
      <c r="E393" s="21">
        <v>3</v>
      </c>
      <c r="F393" s="42">
        <f t="shared" si="173"/>
        <v>1.2711864406779662E-2</v>
      </c>
      <c r="G393" s="21">
        <v>0</v>
      </c>
      <c r="H393" s="42">
        <f t="shared" si="174"/>
        <v>0</v>
      </c>
      <c r="I393" s="21">
        <v>7</v>
      </c>
      <c r="J393" s="41">
        <f t="shared" si="175"/>
        <v>2.9661016949152543E-2</v>
      </c>
      <c r="K393" s="21">
        <v>1</v>
      </c>
      <c r="L393" s="41">
        <f t="shared" si="176"/>
        <v>2.564102564102564E-2</v>
      </c>
      <c r="M393" s="21">
        <v>211</v>
      </c>
      <c r="N393" s="41">
        <f t="shared" si="177"/>
        <v>0.89406779661016944</v>
      </c>
      <c r="O393" s="21">
        <v>36</v>
      </c>
      <c r="P393" s="41">
        <f t="shared" si="178"/>
        <v>0.92307692307692313</v>
      </c>
      <c r="Q393" s="21">
        <v>15</v>
      </c>
      <c r="R393" s="41">
        <f t="shared" si="179"/>
        <v>6.3559322033898302E-2</v>
      </c>
      <c r="S393" s="21">
        <v>2</v>
      </c>
      <c r="T393" s="41">
        <f t="shared" si="180"/>
        <v>5.128205128205128E-2</v>
      </c>
      <c r="U393" s="21">
        <v>8</v>
      </c>
      <c r="V393" s="41">
        <f t="shared" si="181"/>
        <v>3.3898305084745763E-2</v>
      </c>
      <c r="W393" s="21">
        <v>0</v>
      </c>
      <c r="X393" s="41">
        <f t="shared" si="182"/>
        <v>0</v>
      </c>
      <c r="Y393" s="21">
        <v>12</v>
      </c>
      <c r="Z393" s="41">
        <f t="shared" si="183"/>
        <v>5.0847457627118647E-2</v>
      </c>
      <c r="AA393" s="21">
        <v>1</v>
      </c>
      <c r="AB393" s="41">
        <f t="shared" si="184"/>
        <v>2.564102564102564E-2</v>
      </c>
      <c r="AC393" s="21">
        <v>216</v>
      </c>
      <c r="AD393" s="41">
        <f t="shared" si="166"/>
        <v>0.9152542372881356</v>
      </c>
      <c r="AE393" s="21">
        <v>38</v>
      </c>
      <c r="AF393" s="41">
        <f t="shared" si="185"/>
        <v>0.97435897435897434</v>
      </c>
      <c r="AG393" s="21">
        <v>6</v>
      </c>
      <c r="AH393" s="41">
        <f t="shared" si="167"/>
        <v>2.5423728813559324E-2</v>
      </c>
      <c r="AI393" s="21">
        <v>1</v>
      </c>
      <c r="AJ393" s="41">
        <f t="shared" si="186"/>
        <v>2.564102564102564E-2</v>
      </c>
      <c r="AK393" s="21">
        <v>10</v>
      </c>
      <c r="AL393" s="41">
        <f t="shared" si="168"/>
        <v>4.2372881355932202E-2</v>
      </c>
      <c r="AM393" s="21">
        <v>2</v>
      </c>
      <c r="AN393" s="41">
        <f t="shared" si="187"/>
        <v>5.128205128205128E-2</v>
      </c>
      <c r="AO393" s="21">
        <v>142</v>
      </c>
      <c r="AP393" s="41">
        <f t="shared" si="169"/>
        <v>0.60169491525423724</v>
      </c>
      <c r="AQ393" s="21">
        <v>27</v>
      </c>
      <c r="AR393" s="41">
        <f t="shared" si="188"/>
        <v>0.69230769230769229</v>
      </c>
      <c r="AS393" s="21">
        <v>42</v>
      </c>
      <c r="AT393" s="41">
        <f t="shared" si="170"/>
        <v>0.17796610169491525</v>
      </c>
      <c r="AU393" s="21">
        <v>6</v>
      </c>
      <c r="AV393" s="41">
        <f t="shared" si="189"/>
        <v>0.15384615384615385</v>
      </c>
      <c r="AW393" s="21">
        <v>22</v>
      </c>
      <c r="AX393" s="41">
        <f t="shared" si="171"/>
        <v>9.3220338983050849E-2</v>
      </c>
      <c r="AY393" s="21">
        <v>1</v>
      </c>
      <c r="AZ393" s="41">
        <f t="shared" si="190"/>
        <v>2.564102564102564E-2</v>
      </c>
      <c r="BA393" s="21">
        <v>14</v>
      </c>
      <c r="BB393" s="41">
        <f t="shared" si="172"/>
        <v>5.9322033898305086E-2</v>
      </c>
      <c r="BC393" s="21">
        <v>2</v>
      </c>
      <c r="BD393" s="41">
        <f t="shared" si="191"/>
        <v>5.128205128205128E-2</v>
      </c>
      <c r="BE393" s="21">
        <v>236</v>
      </c>
      <c r="BF393" s="21">
        <v>39</v>
      </c>
    </row>
    <row r="394" spans="1:58" ht="15.75" customHeight="1" x14ac:dyDescent="0.25">
      <c r="A394" s="44">
        <v>2022</v>
      </c>
      <c r="B394" s="39">
        <v>171886</v>
      </c>
      <c r="C394" s="37" t="str">
        <f>VLOOKUP(B394,procv!$A$2:$D$142,4,FALSE)</f>
        <v>Médio Norte Araguaia</v>
      </c>
      <c r="D394" s="37" t="s">
        <v>119</v>
      </c>
      <c r="E394" s="21">
        <v>3</v>
      </c>
      <c r="F394" s="42">
        <f t="shared" si="173"/>
        <v>5.8027079303675051E-3</v>
      </c>
      <c r="G394" s="21">
        <v>5</v>
      </c>
      <c r="H394" s="42">
        <f t="shared" si="174"/>
        <v>1.858736059479554E-2</v>
      </c>
      <c r="I394" s="21">
        <v>15</v>
      </c>
      <c r="J394" s="41">
        <f t="shared" si="175"/>
        <v>2.9013539651837523E-2</v>
      </c>
      <c r="K394" s="21">
        <v>6</v>
      </c>
      <c r="L394" s="41">
        <f t="shared" si="176"/>
        <v>2.2304832713754646E-2</v>
      </c>
      <c r="M394" s="21">
        <v>468</v>
      </c>
      <c r="N394" s="41">
        <f t="shared" si="177"/>
        <v>0.90522243713733075</v>
      </c>
      <c r="O394" s="21">
        <v>237</v>
      </c>
      <c r="P394" s="41">
        <f t="shared" si="178"/>
        <v>0.8810408921933085</v>
      </c>
      <c r="Q394" s="21">
        <v>31</v>
      </c>
      <c r="R394" s="41">
        <f t="shared" si="179"/>
        <v>5.9961315280464215E-2</v>
      </c>
      <c r="S394" s="21">
        <v>21</v>
      </c>
      <c r="T394" s="41">
        <f t="shared" si="180"/>
        <v>7.8066914498141265E-2</v>
      </c>
      <c r="U394" s="21">
        <v>25</v>
      </c>
      <c r="V394" s="41">
        <f t="shared" si="181"/>
        <v>4.8355899419729204E-2</v>
      </c>
      <c r="W394" s="21">
        <v>23</v>
      </c>
      <c r="X394" s="41">
        <f t="shared" si="182"/>
        <v>8.5501858736059477E-2</v>
      </c>
      <c r="Y394" s="21">
        <v>32</v>
      </c>
      <c r="Z394" s="41">
        <f t="shared" si="183"/>
        <v>6.1895551257253385E-2</v>
      </c>
      <c r="AA394" s="21">
        <v>17</v>
      </c>
      <c r="AB394" s="41">
        <f t="shared" si="184"/>
        <v>6.3197026022304828E-2</v>
      </c>
      <c r="AC394" s="21">
        <v>460</v>
      </c>
      <c r="AD394" s="41">
        <f t="shared" si="166"/>
        <v>0.88974854932301739</v>
      </c>
      <c r="AE394" s="21">
        <v>229</v>
      </c>
      <c r="AF394" s="41">
        <f t="shared" si="185"/>
        <v>0.85130111524163565</v>
      </c>
      <c r="AG394" s="21">
        <v>22</v>
      </c>
      <c r="AH394" s="41">
        <f t="shared" si="167"/>
        <v>4.2553191489361701E-2</v>
      </c>
      <c r="AI394" s="21">
        <v>22</v>
      </c>
      <c r="AJ394" s="41">
        <f t="shared" si="186"/>
        <v>8.1784386617100371E-2</v>
      </c>
      <c r="AK394" s="21">
        <v>22</v>
      </c>
      <c r="AL394" s="41">
        <f t="shared" si="168"/>
        <v>4.2553191489361701E-2</v>
      </c>
      <c r="AM394" s="21">
        <v>12</v>
      </c>
      <c r="AN394" s="41">
        <f t="shared" si="187"/>
        <v>4.4609665427509292E-2</v>
      </c>
      <c r="AO394" s="21">
        <v>320</v>
      </c>
      <c r="AP394" s="41">
        <f t="shared" si="169"/>
        <v>0.61895551257253389</v>
      </c>
      <c r="AQ394" s="21">
        <v>155</v>
      </c>
      <c r="AR394" s="41">
        <f t="shared" si="188"/>
        <v>0.57620817843866168</v>
      </c>
      <c r="AS394" s="21">
        <v>84</v>
      </c>
      <c r="AT394" s="41">
        <f t="shared" si="170"/>
        <v>0.16247582205029013</v>
      </c>
      <c r="AU394" s="21">
        <v>41</v>
      </c>
      <c r="AV394" s="41">
        <f t="shared" si="189"/>
        <v>0.15241635687732341</v>
      </c>
      <c r="AW394" s="21">
        <v>45</v>
      </c>
      <c r="AX394" s="41">
        <f t="shared" si="171"/>
        <v>8.7040618955512572E-2</v>
      </c>
      <c r="AY394" s="21">
        <v>17</v>
      </c>
      <c r="AZ394" s="41">
        <f t="shared" si="190"/>
        <v>6.3197026022304828E-2</v>
      </c>
      <c r="BA394" s="21">
        <v>24</v>
      </c>
      <c r="BB394" s="41">
        <f t="shared" si="172"/>
        <v>4.6421663442940041E-2</v>
      </c>
      <c r="BC394" s="21">
        <v>22</v>
      </c>
      <c r="BD394" s="41">
        <f t="shared" si="191"/>
        <v>8.1784386617100371E-2</v>
      </c>
      <c r="BE394" s="21">
        <v>517</v>
      </c>
      <c r="BF394" s="21">
        <v>269</v>
      </c>
    </row>
    <row r="395" spans="1:58" ht="15.75" customHeight="1" x14ac:dyDescent="0.25">
      <c r="A395" s="44">
        <v>2022</v>
      </c>
      <c r="B395" s="39">
        <v>171888</v>
      </c>
      <c r="C395" s="37" t="str">
        <f>VLOOKUP(B395,procv!$A$2:$D$142,4,FALSE)</f>
        <v>Cerrado Tocantins Araguaia</v>
      </c>
      <c r="D395" s="37" t="s">
        <v>120</v>
      </c>
      <c r="E395" s="21">
        <v>2</v>
      </c>
      <c r="F395" s="42">
        <f t="shared" si="173"/>
        <v>1.0416666666666666E-2</v>
      </c>
      <c r="G395" s="21">
        <v>1</v>
      </c>
      <c r="H395" s="42">
        <f t="shared" si="174"/>
        <v>3.2258064516129031E-2</v>
      </c>
      <c r="I395" s="21">
        <v>5</v>
      </c>
      <c r="J395" s="41">
        <f t="shared" si="175"/>
        <v>2.6041666666666668E-2</v>
      </c>
      <c r="K395" s="21">
        <v>0</v>
      </c>
      <c r="L395" s="41">
        <f t="shared" si="176"/>
        <v>0</v>
      </c>
      <c r="M395" s="21">
        <v>176</v>
      </c>
      <c r="N395" s="41">
        <f t="shared" si="177"/>
        <v>0.91666666666666663</v>
      </c>
      <c r="O395" s="21">
        <v>26</v>
      </c>
      <c r="P395" s="41">
        <f t="shared" si="178"/>
        <v>0.83870967741935487</v>
      </c>
      <c r="Q395" s="21">
        <v>9</v>
      </c>
      <c r="R395" s="41">
        <f t="shared" si="179"/>
        <v>4.6875E-2</v>
      </c>
      <c r="S395" s="21">
        <v>4</v>
      </c>
      <c r="T395" s="41">
        <f t="shared" si="180"/>
        <v>0.12903225806451613</v>
      </c>
      <c r="U395" s="21">
        <v>17</v>
      </c>
      <c r="V395" s="41">
        <f t="shared" si="181"/>
        <v>8.8541666666666671E-2</v>
      </c>
      <c r="W395" s="21">
        <v>7</v>
      </c>
      <c r="X395" s="41">
        <f t="shared" si="182"/>
        <v>0.22580645161290322</v>
      </c>
      <c r="Y395" s="21">
        <v>18</v>
      </c>
      <c r="Z395" s="41">
        <f t="shared" si="183"/>
        <v>9.375E-2</v>
      </c>
      <c r="AA395" s="21">
        <v>3</v>
      </c>
      <c r="AB395" s="41">
        <f t="shared" si="184"/>
        <v>9.6774193548387094E-2</v>
      </c>
      <c r="AC395" s="21">
        <v>156</v>
      </c>
      <c r="AD395" s="41">
        <f t="shared" si="166"/>
        <v>0.8125</v>
      </c>
      <c r="AE395" s="21">
        <v>20</v>
      </c>
      <c r="AF395" s="41">
        <f t="shared" si="185"/>
        <v>0.64516129032258063</v>
      </c>
      <c r="AG395" s="21">
        <v>4</v>
      </c>
      <c r="AH395" s="41">
        <f t="shared" si="167"/>
        <v>2.0833333333333332E-2</v>
      </c>
      <c r="AI395" s="21">
        <v>3</v>
      </c>
      <c r="AJ395" s="41">
        <f t="shared" si="186"/>
        <v>9.6774193548387094E-2</v>
      </c>
      <c r="AK395" s="21">
        <v>4</v>
      </c>
      <c r="AL395" s="41">
        <f t="shared" si="168"/>
        <v>2.0833333333333332E-2</v>
      </c>
      <c r="AM395" s="21">
        <v>1</v>
      </c>
      <c r="AN395" s="41">
        <f t="shared" si="187"/>
        <v>3.2258064516129031E-2</v>
      </c>
      <c r="AO395" s="21">
        <v>120</v>
      </c>
      <c r="AP395" s="41">
        <f t="shared" si="169"/>
        <v>0.625</v>
      </c>
      <c r="AQ395" s="21">
        <v>15</v>
      </c>
      <c r="AR395" s="41">
        <f t="shared" si="188"/>
        <v>0.4838709677419355</v>
      </c>
      <c r="AS395" s="21">
        <v>27</v>
      </c>
      <c r="AT395" s="41">
        <f t="shared" si="170"/>
        <v>0.140625</v>
      </c>
      <c r="AU395" s="21">
        <v>2</v>
      </c>
      <c r="AV395" s="41">
        <f t="shared" si="189"/>
        <v>6.4516129032258063E-2</v>
      </c>
      <c r="AW395" s="21">
        <v>21</v>
      </c>
      <c r="AX395" s="41">
        <f t="shared" si="171"/>
        <v>0.109375</v>
      </c>
      <c r="AY395" s="21">
        <v>4</v>
      </c>
      <c r="AZ395" s="41">
        <f t="shared" si="190"/>
        <v>0.12903225806451613</v>
      </c>
      <c r="BA395" s="21">
        <v>16</v>
      </c>
      <c r="BB395" s="41">
        <f t="shared" si="172"/>
        <v>8.3333333333333329E-2</v>
      </c>
      <c r="BC395" s="21">
        <v>6</v>
      </c>
      <c r="BD395" s="41">
        <f t="shared" si="191"/>
        <v>0.19354838709677419</v>
      </c>
      <c r="BE395" s="21">
        <v>192</v>
      </c>
      <c r="BF395" s="21">
        <v>31</v>
      </c>
    </row>
    <row r="396" spans="1:58" ht="15.75" customHeight="1" x14ac:dyDescent="0.25">
      <c r="A396" s="44">
        <v>2022</v>
      </c>
      <c r="B396" s="39">
        <v>171889</v>
      </c>
      <c r="C396" s="37" t="str">
        <f>VLOOKUP(B396,procv!$A$2:$D$142,4,FALSE)</f>
        <v>Ilha do Bananal</v>
      </c>
      <c r="D396" s="37" t="s">
        <v>121</v>
      </c>
      <c r="E396" s="21">
        <v>0</v>
      </c>
      <c r="F396" s="42">
        <f t="shared" si="173"/>
        <v>0</v>
      </c>
      <c r="G396" s="21">
        <v>0</v>
      </c>
      <c r="H396" s="42">
        <f t="shared" si="174"/>
        <v>0</v>
      </c>
      <c r="I396" s="21">
        <v>1</v>
      </c>
      <c r="J396" s="41">
        <f t="shared" si="175"/>
        <v>9.0090090090090089E-3</v>
      </c>
      <c r="K396" s="21">
        <v>0</v>
      </c>
      <c r="L396" s="41">
        <f t="shared" si="176"/>
        <v>0</v>
      </c>
      <c r="M396" s="21">
        <v>104</v>
      </c>
      <c r="N396" s="41">
        <f t="shared" si="177"/>
        <v>0.93693693693693691</v>
      </c>
      <c r="O396" s="21">
        <v>22</v>
      </c>
      <c r="P396" s="41">
        <f t="shared" si="178"/>
        <v>1</v>
      </c>
      <c r="Q396" s="21">
        <v>6</v>
      </c>
      <c r="R396" s="41">
        <f t="shared" si="179"/>
        <v>5.4054054054054057E-2</v>
      </c>
      <c r="S396" s="21">
        <v>0</v>
      </c>
      <c r="T396" s="41">
        <f t="shared" si="180"/>
        <v>0</v>
      </c>
      <c r="U396" s="21">
        <v>1</v>
      </c>
      <c r="V396" s="41">
        <f t="shared" si="181"/>
        <v>9.0090090090090089E-3</v>
      </c>
      <c r="W396" s="21">
        <v>0</v>
      </c>
      <c r="X396" s="41">
        <f t="shared" si="182"/>
        <v>0</v>
      </c>
      <c r="Y396" s="21">
        <v>7</v>
      </c>
      <c r="Z396" s="41">
        <f t="shared" si="183"/>
        <v>6.3063063063063057E-2</v>
      </c>
      <c r="AA396" s="21">
        <v>2</v>
      </c>
      <c r="AB396" s="41">
        <f t="shared" si="184"/>
        <v>9.0909090909090912E-2</v>
      </c>
      <c r="AC396" s="21">
        <v>103</v>
      </c>
      <c r="AD396" s="41">
        <f t="shared" si="166"/>
        <v>0.92792792792792789</v>
      </c>
      <c r="AE396" s="21">
        <v>20</v>
      </c>
      <c r="AF396" s="41">
        <f t="shared" si="185"/>
        <v>0.90909090909090906</v>
      </c>
      <c r="AG396" s="21">
        <v>0</v>
      </c>
      <c r="AH396" s="41">
        <f t="shared" si="167"/>
        <v>0</v>
      </c>
      <c r="AI396" s="21">
        <v>1</v>
      </c>
      <c r="AJ396" s="41">
        <f t="shared" si="186"/>
        <v>4.5454545454545456E-2</v>
      </c>
      <c r="AK396" s="21">
        <v>1</v>
      </c>
      <c r="AL396" s="41">
        <f t="shared" si="168"/>
        <v>9.0090090090090089E-3</v>
      </c>
      <c r="AM396" s="21">
        <v>0</v>
      </c>
      <c r="AN396" s="41">
        <f t="shared" si="187"/>
        <v>0</v>
      </c>
      <c r="AO396" s="21">
        <v>78</v>
      </c>
      <c r="AP396" s="41">
        <f t="shared" si="169"/>
        <v>0.70270270270270274</v>
      </c>
      <c r="AQ396" s="21">
        <v>14</v>
      </c>
      <c r="AR396" s="41">
        <f t="shared" si="188"/>
        <v>0.63636363636363635</v>
      </c>
      <c r="AS396" s="21">
        <v>26</v>
      </c>
      <c r="AT396" s="41">
        <f t="shared" si="170"/>
        <v>0.23423423423423423</v>
      </c>
      <c r="AU396" s="21">
        <v>5</v>
      </c>
      <c r="AV396" s="41">
        <f t="shared" si="189"/>
        <v>0.22727272727272727</v>
      </c>
      <c r="AW396" s="21">
        <v>3</v>
      </c>
      <c r="AX396" s="41">
        <f t="shared" si="171"/>
        <v>2.7027027027027029E-2</v>
      </c>
      <c r="AY396" s="21">
        <v>1</v>
      </c>
      <c r="AZ396" s="41">
        <f t="shared" si="190"/>
        <v>4.5454545454545456E-2</v>
      </c>
      <c r="BA396" s="21">
        <v>3</v>
      </c>
      <c r="BB396" s="41">
        <f t="shared" si="172"/>
        <v>2.7027027027027029E-2</v>
      </c>
      <c r="BC396" s="21">
        <v>1</v>
      </c>
      <c r="BD396" s="41">
        <f t="shared" si="191"/>
        <v>4.5454545454545456E-2</v>
      </c>
      <c r="BE396" s="21">
        <v>111</v>
      </c>
      <c r="BF396" s="21">
        <v>22</v>
      </c>
    </row>
    <row r="397" spans="1:58" ht="15.75" customHeight="1" x14ac:dyDescent="0.25">
      <c r="A397" s="44">
        <v>2022</v>
      </c>
      <c r="B397" s="39">
        <v>171890</v>
      </c>
      <c r="C397" s="37" t="str">
        <f>VLOOKUP(B397,procv!$A$2:$D$142,4,FALSE)</f>
        <v>Amor Perfeito</v>
      </c>
      <c r="D397" s="37" t="s">
        <v>122</v>
      </c>
      <c r="E397" s="21">
        <v>3</v>
      </c>
      <c r="F397" s="42">
        <f t="shared" si="173"/>
        <v>1.2987012987012988E-2</v>
      </c>
      <c r="G397" s="21">
        <v>1</v>
      </c>
      <c r="H397" s="42">
        <f t="shared" si="174"/>
        <v>4.9019607843137254E-3</v>
      </c>
      <c r="I397" s="21">
        <v>7</v>
      </c>
      <c r="J397" s="41">
        <f t="shared" si="175"/>
        <v>3.0303030303030304E-2</v>
      </c>
      <c r="K397" s="21">
        <v>5</v>
      </c>
      <c r="L397" s="41">
        <f t="shared" si="176"/>
        <v>2.4509803921568627E-2</v>
      </c>
      <c r="M397" s="21">
        <v>208</v>
      </c>
      <c r="N397" s="41">
        <f t="shared" si="177"/>
        <v>0.90043290043290047</v>
      </c>
      <c r="O397" s="21">
        <v>188</v>
      </c>
      <c r="P397" s="41">
        <f t="shared" si="178"/>
        <v>0.92156862745098034</v>
      </c>
      <c r="Q397" s="21">
        <v>13</v>
      </c>
      <c r="R397" s="41">
        <f t="shared" si="179"/>
        <v>5.627705627705628E-2</v>
      </c>
      <c r="S397" s="21">
        <v>10</v>
      </c>
      <c r="T397" s="41">
        <f t="shared" si="180"/>
        <v>4.9019607843137254E-2</v>
      </c>
      <c r="U397" s="21">
        <v>15</v>
      </c>
      <c r="V397" s="41">
        <f t="shared" si="181"/>
        <v>6.4935064935064929E-2</v>
      </c>
      <c r="W397" s="21">
        <v>7</v>
      </c>
      <c r="X397" s="41">
        <f t="shared" si="182"/>
        <v>3.4313725490196081E-2</v>
      </c>
      <c r="Y397" s="21">
        <v>12</v>
      </c>
      <c r="Z397" s="41">
        <f t="shared" si="183"/>
        <v>5.1948051948051951E-2</v>
      </c>
      <c r="AA397" s="21">
        <v>11</v>
      </c>
      <c r="AB397" s="41">
        <f t="shared" si="184"/>
        <v>5.3921568627450983E-2</v>
      </c>
      <c r="AC397" s="21">
        <v>204</v>
      </c>
      <c r="AD397" s="41">
        <f t="shared" si="166"/>
        <v>0.88311688311688308</v>
      </c>
      <c r="AE397" s="21">
        <v>186</v>
      </c>
      <c r="AF397" s="41">
        <f t="shared" si="185"/>
        <v>0.91176470588235292</v>
      </c>
      <c r="AG397" s="21">
        <v>8</v>
      </c>
      <c r="AH397" s="41">
        <f t="shared" si="167"/>
        <v>3.4632034632034632E-2</v>
      </c>
      <c r="AI397" s="21">
        <v>7</v>
      </c>
      <c r="AJ397" s="41">
        <f t="shared" si="186"/>
        <v>3.4313725490196081E-2</v>
      </c>
      <c r="AK397" s="21">
        <v>12</v>
      </c>
      <c r="AL397" s="41">
        <f t="shared" si="168"/>
        <v>5.1948051948051951E-2</v>
      </c>
      <c r="AM397" s="21">
        <v>11</v>
      </c>
      <c r="AN397" s="41">
        <f t="shared" si="187"/>
        <v>5.3921568627450983E-2</v>
      </c>
      <c r="AO397" s="21">
        <v>158</v>
      </c>
      <c r="AP397" s="41">
        <f t="shared" si="169"/>
        <v>0.68398268398268403</v>
      </c>
      <c r="AQ397" s="21">
        <v>149</v>
      </c>
      <c r="AR397" s="41">
        <f t="shared" si="188"/>
        <v>0.73039215686274506</v>
      </c>
      <c r="AS397" s="21">
        <v>33</v>
      </c>
      <c r="AT397" s="41">
        <f t="shared" si="170"/>
        <v>0.14285714285714285</v>
      </c>
      <c r="AU397" s="21">
        <v>23</v>
      </c>
      <c r="AV397" s="41">
        <f t="shared" si="189"/>
        <v>0.11274509803921569</v>
      </c>
      <c r="AW397" s="21">
        <v>5</v>
      </c>
      <c r="AX397" s="41">
        <f t="shared" si="171"/>
        <v>2.1645021645021644E-2</v>
      </c>
      <c r="AY397" s="21">
        <v>5</v>
      </c>
      <c r="AZ397" s="41">
        <f t="shared" si="190"/>
        <v>2.4509803921568627E-2</v>
      </c>
      <c r="BA397" s="21">
        <v>15</v>
      </c>
      <c r="BB397" s="41">
        <f t="shared" si="172"/>
        <v>6.4935064935064929E-2</v>
      </c>
      <c r="BC397" s="21">
        <v>9</v>
      </c>
      <c r="BD397" s="41">
        <f t="shared" si="191"/>
        <v>4.4117647058823532E-2</v>
      </c>
      <c r="BE397" s="21">
        <v>231</v>
      </c>
      <c r="BF397" s="21">
        <v>204</v>
      </c>
    </row>
    <row r="398" spans="1:58" ht="15.75" customHeight="1" x14ac:dyDescent="0.25">
      <c r="A398" s="44">
        <v>2022</v>
      </c>
      <c r="B398" s="39">
        <v>171900</v>
      </c>
      <c r="C398" s="37" t="str">
        <f>VLOOKUP(B398,procv!$A$2:$D$142,4,FALSE)</f>
        <v>Capim Dourado</v>
      </c>
      <c r="D398" s="37" t="s">
        <v>123</v>
      </c>
      <c r="E398" s="21">
        <v>3</v>
      </c>
      <c r="F398" s="42">
        <f t="shared" si="173"/>
        <v>8.2872928176795577E-3</v>
      </c>
      <c r="G398" s="21">
        <v>1</v>
      </c>
      <c r="H398" s="42">
        <f t="shared" si="174"/>
        <v>6.41025641025641E-3</v>
      </c>
      <c r="I398" s="21">
        <v>13</v>
      </c>
      <c r="J398" s="41">
        <f t="shared" si="175"/>
        <v>3.591160220994475E-2</v>
      </c>
      <c r="K398" s="21">
        <v>9</v>
      </c>
      <c r="L398" s="41">
        <f t="shared" si="176"/>
        <v>5.7692307692307696E-2</v>
      </c>
      <c r="M398" s="21">
        <v>338</v>
      </c>
      <c r="N398" s="41">
        <f t="shared" si="177"/>
        <v>0.93370165745856348</v>
      </c>
      <c r="O398" s="21">
        <v>143</v>
      </c>
      <c r="P398" s="41">
        <f t="shared" si="178"/>
        <v>0.91666666666666663</v>
      </c>
      <c r="Q398" s="21">
        <v>8</v>
      </c>
      <c r="R398" s="41">
        <f t="shared" si="179"/>
        <v>2.2099447513812154E-2</v>
      </c>
      <c r="S398" s="21">
        <v>3</v>
      </c>
      <c r="T398" s="41">
        <f t="shared" si="180"/>
        <v>1.9230769230769232E-2</v>
      </c>
      <c r="U398" s="21">
        <v>17</v>
      </c>
      <c r="V398" s="41">
        <f t="shared" si="181"/>
        <v>4.6961325966850827E-2</v>
      </c>
      <c r="W398" s="21">
        <v>10</v>
      </c>
      <c r="X398" s="41">
        <f t="shared" si="182"/>
        <v>6.4102564102564097E-2</v>
      </c>
      <c r="Y398" s="21">
        <v>30</v>
      </c>
      <c r="Z398" s="41">
        <f t="shared" si="183"/>
        <v>8.2872928176795577E-2</v>
      </c>
      <c r="AA398" s="21">
        <v>19</v>
      </c>
      <c r="AB398" s="41">
        <f t="shared" si="184"/>
        <v>0.12179487179487179</v>
      </c>
      <c r="AC398" s="21">
        <v>315</v>
      </c>
      <c r="AD398" s="41">
        <f t="shared" si="166"/>
        <v>0.87016574585635365</v>
      </c>
      <c r="AE398" s="21">
        <v>127</v>
      </c>
      <c r="AF398" s="41">
        <f t="shared" si="185"/>
        <v>0.8141025641025641</v>
      </c>
      <c r="AG398" s="21">
        <v>13</v>
      </c>
      <c r="AH398" s="41">
        <f t="shared" si="167"/>
        <v>3.591160220994475E-2</v>
      </c>
      <c r="AI398" s="21">
        <v>9</v>
      </c>
      <c r="AJ398" s="41">
        <f t="shared" si="186"/>
        <v>5.7692307692307696E-2</v>
      </c>
      <c r="AK398" s="21">
        <v>10</v>
      </c>
      <c r="AL398" s="41">
        <f t="shared" si="168"/>
        <v>2.7624309392265192E-2</v>
      </c>
      <c r="AM398" s="21">
        <v>9</v>
      </c>
      <c r="AN398" s="41">
        <f t="shared" si="187"/>
        <v>5.7692307692307696E-2</v>
      </c>
      <c r="AO398" s="21">
        <v>228</v>
      </c>
      <c r="AP398" s="41">
        <f t="shared" si="169"/>
        <v>0.62983425414364635</v>
      </c>
      <c r="AQ398" s="21">
        <v>100</v>
      </c>
      <c r="AR398" s="41">
        <f t="shared" si="188"/>
        <v>0.64102564102564108</v>
      </c>
      <c r="AS398" s="21">
        <v>65</v>
      </c>
      <c r="AT398" s="41">
        <f t="shared" si="170"/>
        <v>0.17955801104972377</v>
      </c>
      <c r="AU398" s="21">
        <v>21</v>
      </c>
      <c r="AV398" s="41">
        <f t="shared" si="189"/>
        <v>0.13461538461538461</v>
      </c>
      <c r="AW398" s="21">
        <v>34</v>
      </c>
      <c r="AX398" s="41">
        <f t="shared" si="171"/>
        <v>9.3922651933701654E-2</v>
      </c>
      <c r="AY398" s="21">
        <v>13</v>
      </c>
      <c r="AZ398" s="41">
        <f t="shared" si="190"/>
        <v>8.3333333333333329E-2</v>
      </c>
      <c r="BA398" s="21">
        <v>12</v>
      </c>
      <c r="BB398" s="41">
        <f t="shared" si="172"/>
        <v>3.3149171270718231E-2</v>
      </c>
      <c r="BC398" s="21">
        <v>4</v>
      </c>
      <c r="BD398" s="41">
        <f t="shared" si="191"/>
        <v>2.564102564102564E-2</v>
      </c>
      <c r="BE398" s="21">
        <v>362</v>
      </c>
      <c r="BF398" s="21">
        <v>156</v>
      </c>
    </row>
    <row r="399" spans="1:58" ht="15.75" customHeight="1" x14ac:dyDescent="0.25">
      <c r="A399" s="44">
        <v>2022</v>
      </c>
      <c r="B399" s="39">
        <v>172000</v>
      </c>
      <c r="C399" s="37" t="str">
        <f>VLOOKUP(B399,procv!$A$2:$D$142,4,FALSE)</f>
        <v>Bico do Papagaio</v>
      </c>
      <c r="D399" s="37" t="s">
        <v>124</v>
      </c>
      <c r="E399" s="21">
        <v>3</v>
      </c>
      <c r="F399" s="42">
        <f t="shared" si="173"/>
        <v>1.9607843137254902E-2</v>
      </c>
      <c r="G399" s="21">
        <v>1</v>
      </c>
      <c r="H399" s="42">
        <f t="shared" si="174"/>
        <v>2.5000000000000001E-2</v>
      </c>
      <c r="I399" s="21">
        <v>3</v>
      </c>
      <c r="J399" s="41">
        <f t="shared" si="175"/>
        <v>1.9607843137254902E-2</v>
      </c>
      <c r="K399" s="21">
        <v>2</v>
      </c>
      <c r="L399" s="41">
        <f t="shared" si="176"/>
        <v>0.05</v>
      </c>
      <c r="M399" s="21">
        <v>141</v>
      </c>
      <c r="N399" s="41">
        <f t="shared" si="177"/>
        <v>0.92156862745098034</v>
      </c>
      <c r="O399" s="21">
        <v>33</v>
      </c>
      <c r="P399" s="41">
        <f t="shared" si="178"/>
        <v>0.82499999999999996</v>
      </c>
      <c r="Q399" s="21">
        <v>6</v>
      </c>
      <c r="R399" s="41">
        <f t="shared" si="179"/>
        <v>3.9215686274509803E-2</v>
      </c>
      <c r="S399" s="21">
        <v>4</v>
      </c>
      <c r="T399" s="41">
        <f t="shared" si="180"/>
        <v>0.1</v>
      </c>
      <c r="U399" s="21">
        <v>8</v>
      </c>
      <c r="V399" s="41">
        <f t="shared" si="181"/>
        <v>5.2287581699346407E-2</v>
      </c>
      <c r="W399" s="21">
        <v>7</v>
      </c>
      <c r="X399" s="41">
        <f t="shared" si="182"/>
        <v>0.17499999999999999</v>
      </c>
      <c r="Y399" s="21">
        <v>15</v>
      </c>
      <c r="Z399" s="41">
        <f t="shared" si="183"/>
        <v>9.8039215686274508E-2</v>
      </c>
      <c r="AA399" s="21">
        <v>4</v>
      </c>
      <c r="AB399" s="41">
        <f t="shared" si="184"/>
        <v>0.1</v>
      </c>
      <c r="AC399" s="21">
        <v>130</v>
      </c>
      <c r="AD399" s="41">
        <f t="shared" si="166"/>
        <v>0.84967320261437906</v>
      </c>
      <c r="AE399" s="21">
        <v>29</v>
      </c>
      <c r="AF399" s="41">
        <f t="shared" si="185"/>
        <v>0.72499999999999998</v>
      </c>
      <c r="AG399" s="21">
        <v>4</v>
      </c>
      <c r="AH399" s="41">
        <f t="shared" si="167"/>
        <v>2.6143790849673203E-2</v>
      </c>
      <c r="AI399" s="21">
        <v>1</v>
      </c>
      <c r="AJ399" s="41">
        <f t="shared" si="186"/>
        <v>2.5000000000000001E-2</v>
      </c>
      <c r="AK399" s="21">
        <v>2</v>
      </c>
      <c r="AL399" s="41">
        <f t="shared" si="168"/>
        <v>1.3071895424836602E-2</v>
      </c>
      <c r="AM399" s="21">
        <v>0</v>
      </c>
      <c r="AN399" s="41">
        <f t="shared" si="187"/>
        <v>0</v>
      </c>
      <c r="AO399" s="21">
        <v>90</v>
      </c>
      <c r="AP399" s="41">
        <f t="shared" si="169"/>
        <v>0.58823529411764708</v>
      </c>
      <c r="AQ399" s="21">
        <v>25</v>
      </c>
      <c r="AR399" s="41">
        <f t="shared" si="188"/>
        <v>0.625</v>
      </c>
      <c r="AS399" s="21">
        <v>32</v>
      </c>
      <c r="AT399" s="41">
        <f t="shared" si="170"/>
        <v>0.20915032679738563</v>
      </c>
      <c r="AU399" s="21">
        <v>7</v>
      </c>
      <c r="AV399" s="41">
        <f t="shared" si="189"/>
        <v>0.17499999999999999</v>
      </c>
      <c r="AW399" s="21">
        <v>14</v>
      </c>
      <c r="AX399" s="41">
        <f t="shared" si="171"/>
        <v>9.1503267973856203E-2</v>
      </c>
      <c r="AY399" s="21">
        <v>3</v>
      </c>
      <c r="AZ399" s="41">
        <f t="shared" si="190"/>
        <v>7.4999999999999997E-2</v>
      </c>
      <c r="BA399" s="21">
        <v>11</v>
      </c>
      <c r="BB399" s="41">
        <f t="shared" si="172"/>
        <v>7.1895424836601302E-2</v>
      </c>
      <c r="BC399" s="21">
        <v>4</v>
      </c>
      <c r="BD399" s="41">
        <f t="shared" si="191"/>
        <v>0.1</v>
      </c>
      <c r="BE399" s="21">
        <v>153</v>
      </c>
      <c r="BF399" s="21">
        <v>40</v>
      </c>
    </row>
    <row r="400" spans="1:58" ht="15.75" customHeight="1" x14ac:dyDescent="0.25">
      <c r="A400" s="44">
        <v>2022</v>
      </c>
      <c r="B400" s="39">
        <v>172010</v>
      </c>
      <c r="C400" s="37" t="str">
        <f>VLOOKUP(B400,procv!$A$2:$D$142,4,FALSE)</f>
        <v>Bico do Papagaio</v>
      </c>
      <c r="D400" s="37" t="s">
        <v>125</v>
      </c>
      <c r="E400" s="21">
        <v>0</v>
      </c>
      <c r="F400" s="42">
        <f t="shared" si="173"/>
        <v>0</v>
      </c>
      <c r="G400" s="21">
        <v>0</v>
      </c>
      <c r="H400" s="42">
        <f t="shared" si="174"/>
        <v>0</v>
      </c>
      <c r="I400" s="21">
        <v>14</v>
      </c>
      <c r="J400" s="41">
        <f t="shared" si="175"/>
        <v>3.8356164383561646E-2</v>
      </c>
      <c r="K400" s="21">
        <v>4</v>
      </c>
      <c r="L400" s="41">
        <f t="shared" si="176"/>
        <v>2.8368794326241134E-2</v>
      </c>
      <c r="M400" s="21">
        <v>329</v>
      </c>
      <c r="N400" s="41">
        <f t="shared" si="177"/>
        <v>0.90136986301369859</v>
      </c>
      <c r="O400" s="21">
        <v>126</v>
      </c>
      <c r="P400" s="41">
        <f t="shared" si="178"/>
        <v>0.8936170212765957</v>
      </c>
      <c r="Q400" s="21">
        <v>22</v>
      </c>
      <c r="R400" s="41">
        <f t="shared" si="179"/>
        <v>6.0273972602739728E-2</v>
      </c>
      <c r="S400" s="21">
        <v>11</v>
      </c>
      <c r="T400" s="41">
        <f t="shared" si="180"/>
        <v>7.8014184397163122E-2</v>
      </c>
      <c r="U400" s="21">
        <v>21</v>
      </c>
      <c r="V400" s="41">
        <f t="shared" si="181"/>
        <v>5.7534246575342465E-2</v>
      </c>
      <c r="W400" s="21">
        <v>4</v>
      </c>
      <c r="X400" s="41">
        <f t="shared" si="182"/>
        <v>2.8368794326241134E-2</v>
      </c>
      <c r="Y400" s="21">
        <v>35</v>
      </c>
      <c r="Z400" s="41">
        <f t="shared" si="183"/>
        <v>9.5890410958904104E-2</v>
      </c>
      <c r="AA400" s="21">
        <v>18</v>
      </c>
      <c r="AB400" s="41">
        <f t="shared" si="184"/>
        <v>0.1276595744680851</v>
      </c>
      <c r="AC400" s="21">
        <v>309</v>
      </c>
      <c r="AD400" s="41">
        <f t="shared" si="166"/>
        <v>0.84657534246575339</v>
      </c>
      <c r="AE400" s="21">
        <v>119</v>
      </c>
      <c r="AF400" s="41">
        <f t="shared" si="185"/>
        <v>0.84397163120567376</v>
      </c>
      <c r="AG400" s="21">
        <v>13</v>
      </c>
      <c r="AH400" s="41">
        <f t="shared" si="167"/>
        <v>3.5616438356164383E-2</v>
      </c>
      <c r="AI400" s="21">
        <v>9</v>
      </c>
      <c r="AJ400" s="41">
        <f t="shared" si="186"/>
        <v>6.3829787234042548E-2</v>
      </c>
      <c r="AK400" s="21">
        <v>19</v>
      </c>
      <c r="AL400" s="41">
        <f t="shared" si="168"/>
        <v>5.2054794520547946E-2</v>
      </c>
      <c r="AM400" s="21">
        <v>6</v>
      </c>
      <c r="AN400" s="41">
        <f t="shared" si="187"/>
        <v>4.2553191489361701E-2</v>
      </c>
      <c r="AO400" s="21">
        <v>216</v>
      </c>
      <c r="AP400" s="41">
        <f t="shared" si="169"/>
        <v>0.59178082191780823</v>
      </c>
      <c r="AQ400" s="21">
        <v>91</v>
      </c>
      <c r="AR400" s="41">
        <f t="shared" si="188"/>
        <v>0.64539007092198586</v>
      </c>
      <c r="AS400" s="21">
        <v>62</v>
      </c>
      <c r="AT400" s="41">
        <f t="shared" si="170"/>
        <v>0.16986301369863013</v>
      </c>
      <c r="AU400" s="21">
        <v>16</v>
      </c>
      <c r="AV400" s="41">
        <f t="shared" si="189"/>
        <v>0.11347517730496454</v>
      </c>
      <c r="AW400" s="21">
        <v>31</v>
      </c>
      <c r="AX400" s="41">
        <f t="shared" si="171"/>
        <v>8.4931506849315067E-2</v>
      </c>
      <c r="AY400" s="21">
        <v>9</v>
      </c>
      <c r="AZ400" s="41">
        <f t="shared" si="190"/>
        <v>6.3829787234042548E-2</v>
      </c>
      <c r="BA400" s="21">
        <v>24</v>
      </c>
      <c r="BB400" s="41">
        <f t="shared" si="172"/>
        <v>6.575342465753424E-2</v>
      </c>
      <c r="BC400" s="21">
        <v>10</v>
      </c>
      <c r="BD400" s="41">
        <f t="shared" si="191"/>
        <v>7.0921985815602842E-2</v>
      </c>
      <c r="BE400" s="21">
        <v>365</v>
      </c>
      <c r="BF400" s="21">
        <v>141</v>
      </c>
    </row>
    <row r="401" spans="1:58" ht="15.75" customHeight="1" x14ac:dyDescent="0.25">
      <c r="A401" s="44">
        <v>2022</v>
      </c>
      <c r="B401" s="39">
        <v>172015</v>
      </c>
      <c r="C401" s="37" t="str">
        <f>VLOOKUP(B401,procv!$A$2:$D$142,4,FALSE)</f>
        <v>Capim Dourado</v>
      </c>
      <c r="D401" s="37" t="s">
        <v>126</v>
      </c>
      <c r="E401" s="21">
        <v>1</v>
      </c>
      <c r="F401" s="42">
        <f t="shared" si="173"/>
        <v>6.7114093959731542E-3</v>
      </c>
      <c r="G401" s="21">
        <v>0</v>
      </c>
      <c r="H401" s="42">
        <f t="shared" si="174"/>
        <v>0</v>
      </c>
      <c r="I401" s="21">
        <v>6</v>
      </c>
      <c r="J401" s="41">
        <f t="shared" si="175"/>
        <v>4.0268456375838924E-2</v>
      </c>
      <c r="K401" s="21">
        <v>3</v>
      </c>
      <c r="L401" s="41">
        <f t="shared" si="176"/>
        <v>5.1724137931034482E-2</v>
      </c>
      <c r="M401" s="21">
        <v>137</v>
      </c>
      <c r="N401" s="41">
        <f t="shared" si="177"/>
        <v>0.91946308724832215</v>
      </c>
      <c r="O401" s="21">
        <v>54</v>
      </c>
      <c r="P401" s="41">
        <f t="shared" si="178"/>
        <v>0.93103448275862066</v>
      </c>
      <c r="Q401" s="21">
        <v>5</v>
      </c>
      <c r="R401" s="41">
        <f t="shared" si="179"/>
        <v>3.3557046979865772E-2</v>
      </c>
      <c r="S401" s="21">
        <v>1</v>
      </c>
      <c r="T401" s="41">
        <f t="shared" si="180"/>
        <v>1.7241379310344827E-2</v>
      </c>
      <c r="U401" s="21">
        <v>6</v>
      </c>
      <c r="V401" s="41">
        <f t="shared" si="181"/>
        <v>4.0268456375838924E-2</v>
      </c>
      <c r="W401" s="21">
        <v>2</v>
      </c>
      <c r="X401" s="41">
        <f t="shared" si="182"/>
        <v>3.4482758620689655E-2</v>
      </c>
      <c r="Y401" s="21">
        <v>9</v>
      </c>
      <c r="Z401" s="41">
        <f t="shared" si="183"/>
        <v>6.0402684563758392E-2</v>
      </c>
      <c r="AA401" s="21">
        <v>4</v>
      </c>
      <c r="AB401" s="41">
        <f t="shared" si="184"/>
        <v>6.8965517241379309E-2</v>
      </c>
      <c r="AC401" s="21">
        <v>134</v>
      </c>
      <c r="AD401" s="41">
        <f t="shared" si="166"/>
        <v>0.89932885906040272</v>
      </c>
      <c r="AE401" s="21">
        <v>52</v>
      </c>
      <c r="AF401" s="41">
        <f t="shared" si="185"/>
        <v>0.89655172413793105</v>
      </c>
      <c r="AG401" s="21">
        <v>4</v>
      </c>
      <c r="AH401" s="41">
        <f t="shared" si="167"/>
        <v>2.6845637583892617E-2</v>
      </c>
      <c r="AI401" s="21">
        <v>1</v>
      </c>
      <c r="AJ401" s="41">
        <f t="shared" si="186"/>
        <v>1.7241379310344827E-2</v>
      </c>
      <c r="AK401" s="21">
        <v>7</v>
      </c>
      <c r="AL401" s="41">
        <f t="shared" si="168"/>
        <v>4.6979865771812082E-2</v>
      </c>
      <c r="AM401" s="21">
        <v>2</v>
      </c>
      <c r="AN401" s="41">
        <f t="shared" si="187"/>
        <v>3.4482758620689655E-2</v>
      </c>
      <c r="AO401" s="21">
        <v>108</v>
      </c>
      <c r="AP401" s="41">
        <f t="shared" si="169"/>
        <v>0.72483221476510062</v>
      </c>
      <c r="AQ401" s="21">
        <v>46</v>
      </c>
      <c r="AR401" s="41">
        <f t="shared" si="188"/>
        <v>0.7931034482758621</v>
      </c>
      <c r="AS401" s="21">
        <v>22</v>
      </c>
      <c r="AT401" s="41">
        <f t="shared" si="170"/>
        <v>0.1476510067114094</v>
      </c>
      <c r="AU401" s="21">
        <v>5</v>
      </c>
      <c r="AV401" s="41">
        <f t="shared" si="189"/>
        <v>8.6206896551724144E-2</v>
      </c>
      <c r="AW401" s="21">
        <v>6</v>
      </c>
      <c r="AX401" s="41">
        <f t="shared" si="171"/>
        <v>4.0268456375838924E-2</v>
      </c>
      <c r="AY401" s="21">
        <v>2</v>
      </c>
      <c r="AZ401" s="41">
        <f t="shared" si="190"/>
        <v>3.4482758620689655E-2</v>
      </c>
      <c r="BA401" s="21">
        <v>2</v>
      </c>
      <c r="BB401" s="41">
        <f t="shared" si="172"/>
        <v>1.3422818791946308E-2</v>
      </c>
      <c r="BC401" s="21">
        <v>2</v>
      </c>
      <c r="BD401" s="41">
        <f t="shared" si="191"/>
        <v>3.4482758620689655E-2</v>
      </c>
      <c r="BE401" s="21">
        <v>149</v>
      </c>
      <c r="BF401" s="21">
        <v>58</v>
      </c>
    </row>
    <row r="402" spans="1:58" ht="15.75" customHeight="1" x14ac:dyDescent="0.25">
      <c r="A402" s="44">
        <v>2022</v>
      </c>
      <c r="B402" s="39">
        <v>172020</v>
      </c>
      <c r="C402" s="37" t="str">
        <f>VLOOKUP(B402,procv!$A$2:$D$142,4,FALSE)</f>
        <v>Bico do Papagaio</v>
      </c>
      <c r="D402" s="37" t="s">
        <v>127</v>
      </c>
      <c r="E402" s="21">
        <v>8</v>
      </c>
      <c r="F402" s="42">
        <f t="shared" si="173"/>
        <v>8.3246618106139446E-3</v>
      </c>
      <c r="G402" s="21">
        <v>7</v>
      </c>
      <c r="H402" s="42">
        <f t="shared" si="174"/>
        <v>1.2411347517730497E-2</v>
      </c>
      <c r="I402" s="21">
        <v>45</v>
      </c>
      <c r="J402" s="41">
        <f t="shared" si="175"/>
        <v>4.6826222684703434E-2</v>
      </c>
      <c r="K402" s="21">
        <v>28</v>
      </c>
      <c r="L402" s="41">
        <f t="shared" si="176"/>
        <v>4.9645390070921988E-2</v>
      </c>
      <c r="M402" s="21">
        <v>871</v>
      </c>
      <c r="N402" s="41">
        <f t="shared" si="177"/>
        <v>0.90634755463059313</v>
      </c>
      <c r="O402" s="21">
        <v>514</v>
      </c>
      <c r="P402" s="41">
        <f t="shared" si="178"/>
        <v>0.91134751773049649</v>
      </c>
      <c r="Q402" s="21">
        <v>37</v>
      </c>
      <c r="R402" s="41">
        <f t="shared" si="179"/>
        <v>3.8501560874089492E-2</v>
      </c>
      <c r="S402" s="21">
        <v>15</v>
      </c>
      <c r="T402" s="41">
        <f t="shared" si="180"/>
        <v>2.6595744680851064E-2</v>
      </c>
      <c r="U402" s="21">
        <v>55</v>
      </c>
      <c r="V402" s="41">
        <f t="shared" si="181"/>
        <v>5.7232049947970862E-2</v>
      </c>
      <c r="W402" s="21">
        <v>36</v>
      </c>
      <c r="X402" s="41">
        <f t="shared" si="182"/>
        <v>6.3829787234042548E-2</v>
      </c>
      <c r="Y402" s="21">
        <v>92</v>
      </c>
      <c r="Z402" s="41">
        <f t="shared" si="183"/>
        <v>9.5733610822060347E-2</v>
      </c>
      <c r="AA402" s="21">
        <v>60</v>
      </c>
      <c r="AB402" s="41">
        <f t="shared" si="184"/>
        <v>0.10638297872340426</v>
      </c>
      <c r="AC402" s="21">
        <v>814</v>
      </c>
      <c r="AD402" s="41">
        <f t="shared" si="166"/>
        <v>0.84703433922996874</v>
      </c>
      <c r="AE402" s="21">
        <v>468</v>
      </c>
      <c r="AF402" s="41">
        <f t="shared" si="185"/>
        <v>0.82978723404255317</v>
      </c>
      <c r="AG402" s="21">
        <v>22</v>
      </c>
      <c r="AH402" s="41">
        <f t="shared" si="167"/>
        <v>2.2892819979188347E-2</v>
      </c>
      <c r="AI402" s="21">
        <v>21</v>
      </c>
      <c r="AJ402" s="41">
        <f t="shared" si="186"/>
        <v>3.7234042553191488E-2</v>
      </c>
      <c r="AK402" s="21">
        <v>38</v>
      </c>
      <c r="AL402" s="41">
        <f t="shared" si="168"/>
        <v>3.9542143600416232E-2</v>
      </c>
      <c r="AM402" s="21">
        <v>24</v>
      </c>
      <c r="AN402" s="41">
        <f t="shared" si="187"/>
        <v>4.2553191489361701E-2</v>
      </c>
      <c r="AO402" s="21">
        <v>646</v>
      </c>
      <c r="AP402" s="41">
        <f t="shared" si="169"/>
        <v>0.67221644120707591</v>
      </c>
      <c r="AQ402" s="21">
        <v>397</v>
      </c>
      <c r="AR402" s="41">
        <f t="shared" si="188"/>
        <v>0.70390070921985815</v>
      </c>
      <c r="AS402" s="21">
        <v>143</v>
      </c>
      <c r="AT402" s="41">
        <f t="shared" si="170"/>
        <v>0.14880332986472425</v>
      </c>
      <c r="AU402" s="21">
        <v>67</v>
      </c>
      <c r="AV402" s="41">
        <f t="shared" si="189"/>
        <v>0.11879432624113476</v>
      </c>
      <c r="AW402" s="21">
        <v>62</v>
      </c>
      <c r="AX402" s="41">
        <f t="shared" si="171"/>
        <v>6.4516129032258063E-2</v>
      </c>
      <c r="AY402" s="21">
        <v>33</v>
      </c>
      <c r="AZ402" s="41">
        <f t="shared" si="190"/>
        <v>5.8510638297872342E-2</v>
      </c>
      <c r="BA402" s="21">
        <v>50</v>
      </c>
      <c r="BB402" s="41">
        <f t="shared" si="172"/>
        <v>5.2029136316337148E-2</v>
      </c>
      <c r="BC402" s="21">
        <v>22</v>
      </c>
      <c r="BD402" s="41">
        <f t="shared" si="191"/>
        <v>3.9007092198581561E-2</v>
      </c>
      <c r="BE402" s="21">
        <v>961</v>
      </c>
      <c r="BF402" s="21">
        <v>564</v>
      </c>
    </row>
    <row r="403" spans="1:58" ht="15.75" customHeight="1" x14ac:dyDescent="0.25">
      <c r="A403" s="44">
        <v>2022</v>
      </c>
      <c r="B403" s="39">
        <v>172025</v>
      </c>
      <c r="C403" s="37" t="str">
        <f>VLOOKUP(B403,procv!$A$2:$D$142,4,FALSE)</f>
        <v>Ilha do Bananal</v>
      </c>
      <c r="D403" s="37" t="s">
        <v>128</v>
      </c>
      <c r="E403" s="21">
        <v>0</v>
      </c>
      <c r="F403" s="42">
        <f t="shared" si="173"/>
        <v>0</v>
      </c>
      <c r="G403" s="21">
        <v>0</v>
      </c>
      <c r="H403" s="42">
        <f t="shared" si="174"/>
        <v>0</v>
      </c>
      <c r="I403" s="21">
        <v>1</v>
      </c>
      <c r="J403" s="41">
        <f t="shared" si="175"/>
        <v>5.4644808743169399E-3</v>
      </c>
      <c r="K403" s="21">
        <v>2</v>
      </c>
      <c r="L403" s="41">
        <f t="shared" si="176"/>
        <v>1.7391304347826087E-2</v>
      </c>
      <c r="M403" s="21">
        <v>169</v>
      </c>
      <c r="N403" s="41">
        <f t="shared" si="177"/>
        <v>0.92349726775956287</v>
      </c>
      <c r="O403" s="21">
        <v>105</v>
      </c>
      <c r="P403" s="41">
        <f t="shared" si="178"/>
        <v>0.91304347826086951</v>
      </c>
      <c r="Q403" s="21">
        <v>13</v>
      </c>
      <c r="R403" s="41">
        <f t="shared" si="179"/>
        <v>7.1038251366120214E-2</v>
      </c>
      <c r="S403" s="21">
        <v>8</v>
      </c>
      <c r="T403" s="41">
        <f t="shared" si="180"/>
        <v>6.9565217391304349E-2</v>
      </c>
      <c r="U403" s="21">
        <v>14</v>
      </c>
      <c r="V403" s="41">
        <f t="shared" si="181"/>
        <v>7.650273224043716E-2</v>
      </c>
      <c r="W403" s="21">
        <v>10</v>
      </c>
      <c r="X403" s="41">
        <f t="shared" si="182"/>
        <v>8.6956521739130432E-2</v>
      </c>
      <c r="Y403" s="21">
        <v>23</v>
      </c>
      <c r="Z403" s="41">
        <f t="shared" si="183"/>
        <v>0.12568306010928962</v>
      </c>
      <c r="AA403" s="21">
        <v>17</v>
      </c>
      <c r="AB403" s="41">
        <f t="shared" si="184"/>
        <v>0.14782608695652175</v>
      </c>
      <c r="AC403" s="21">
        <v>146</v>
      </c>
      <c r="AD403" s="41">
        <f t="shared" si="166"/>
        <v>0.79781420765027322</v>
      </c>
      <c r="AE403" s="21">
        <v>88</v>
      </c>
      <c r="AF403" s="41">
        <f t="shared" si="185"/>
        <v>0.76521739130434785</v>
      </c>
      <c r="AG403" s="21">
        <v>4</v>
      </c>
      <c r="AH403" s="41">
        <f t="shared" si="167"/>
        <v>2.185792349726776E-2</v>
      </c>
      <c r="AI403" s="21">
        <v>3</v>
      </c>
      <c r="AJ403" s="41">
        <f t="shared" si="186"/>
        <v>2.6086956521739129E-2</v>
      </c>
      <c r="AK403" s="21">
        <v>1</v>
      </c>
      <c r="AL403" s="41">
        <f t="shared" si="168"/>
        <v>5.4644808743169399E-3</v>
      </c>
      <c r="AM403" s="21">
        <v>2</v>
      </c>
      <c r="AN403" s="41">
        <f t="shared" si="187"/>
        <v>1.7391304347826087E-2</v>
      </c>
      <c r="AO403" s="21">
        <v>107</v>
      </c>
      <c r="AP403" s="41">
        <f t="shared" si="169"/>
        <v>0.58469945355191255</v>
      </c>
      <c r="AQ403" s="21">
        <v>69</v>
      </c>
      <c r="AR403" s="41">
        <f t="shared" si="188"/>
        <v>0.6</v>
      </c>
      <c r="AS403" s="21">
        <v>38</v>
      </c>
      <c r="AT403" s="41">
        <f t="shared" si="170"/>
        <v>0.20765027322404372</v>
      </c>
      <c r="AU403" s="21">
        <v>23</v>
      </c>
      <c r="AV403" s="41">
        <f t="shared" si="189"/>
        <v>0.2</v>
      </c>
      <c r="AW403" s="21">
        <v>22</v>
      </c>
      <c r="AX403" s="41">
        <f t="shared" si="171"/>
        <v>0.12021857923497267</v>
      </c>
      <c r="AY403" s="21">
        <v>12</v>
      </c>
      <c r="AZ403" s="41">
        <f t="shared" si="190"/>
        <v>0.10434782608695652</v>
      </c>
      <c r="BA403" s="21">
        <v>11</v>
      </c>
      <c r="BB403" s="41">
        <f t="shared" si="172"/>
        <v>6.0109289617486336E-2</v>
      </c>
      <c r="BC403" s="21">
        <v>6</v>
      </c>
      <c r="BD403" s="41">
        <f t="shared" si="191"/>
        <v>5.2173913043478258E-2</v>
      </c>
      <c r="BE403" s="21">
        <v>183</v>
      </c>
      <c r="BF403" s="21">
        <v>115</v>
      </c>
    </row>
    <row r="404" spans="1:58" ht="15.75" customHeight="1" x14ac:dyDescent="0.25">
      <c r="A404" s="44">
        <v>2022</v>
      </c>
      <c r="B404" s="39">
        <v>172030</v>
      </c>
      <c r="C404" s="37" t="str">
        <f>VLOOKUP(B404,procv!$A$2:$D$142,4,FALSE)</f>
        <v>Bico do Papagaio</v>
      </c>
      <c r="D404" s="37" t="s">
        <v>129</v>
      </c>
      <c r="E404" s="21">
        <v>0</v>
      </c>
      <c r="F404" s="42">
        <f t="shared" si="173"/>
        <v>0</v>
      </c>
      <c r="G404" s="21">
        <v>0</v>
      </c>
      <c r="H404" s="42">
        <f t="shared" si="174"/>
        <v>0</v>
      </c>
      <c r="I404" s="21">
        <v>12</v>
      </c>
      <c r="J404" s="41">
        <f t="shared" si="175"/>
        <v>4.2857142857142858E-2</v>
      </c>
      <c r="K404" s="21">
        <v>12</v>
      </c>
      <c r="L404" s="41">
        <f t="shared" si="176"/>
        <v>5.9113300492610835E-2</v>
      </c>
      <c r="M404" s="21">
        <v>248</v>
      </c>
      <c r="N404" s="41">
        <f t="shared" si="177"/>
        <v>0.88571428571428568</v>
      </c>
      <c r="O404" s="21">
        <v>176</v>
      </c>
      <c r="P404" s="41">
        <f t="shared" si="178"/>
        <v>0.86699507389162567</v>
      </c>
      <c r="Q404" s="21">
        <v>20</v>
      </c>
      <c r="R404" s="41">
        <f t="shared" si="179"/>
        <v>7.1428571428571425E-2</v>
      </c>
      <c r="S404" s="21">
        <v>15</v>
      </c>
      <c r="T404" s="41">
        <f t="shared" si="180"/>
        <v>7.3891625615763554E-2</v>
      </c>
      <c r="U404" s="21">
        <v>21</v>
      </c>
      <c r="V404" s="41">
        <f t="shared" si="181"/>
        <v>7.4999999999999997E-2</v>
      </c>
      <c r="W404" s="21">
        <v>14</v>
      </c>
      <c r="X404" s="41">
        <f t="shared" si="182"/>
        <v>6.8965517241379309E-2</v>
      </c>
      <c r="Y404" s="21">
        <v>20</v>
      </c>
      <c r="Z404" s="41">
        <f t="shared" si="183"/>
        <v>7.1428571428571425E-2</v>
      </c>
      <c r="AA404" s="21">
        <v>11</v>
      </c>
      <c r="AB404" s="41">
        <f t="shared" si="184"/>
        <v>5.4187192118226604E-2</v>
      </c>
      <c r="AC404" s="21">
        <v>239</v>
      </c>
      <c r="AD404" s="41">
        <f t="shared" si="166"/>
        <v>0.85357142857142854</v>
      </c>
      <c r="AE404" s="21">
        <v>178</v>
      </c>
      <c r="AF404" s="41">
        <f t="shared" si="185"/>
        <v>0.87684729064039413</v>
      </c>
      <c r="AG404" s="21">
        <v>8</v>
      </c>
      <c r="AH404" s="41">
        <f t="shared" si="167"/>
        <v>2.8571428571428571E-2</v>
      </c>
      <c r="AI404" s="21">
        <v>8</v>
      </c>
      <c r="AJ404" s="41">
        <f t="shared" si="186"/>
        <v>3.9408866995073892E-2</v>
      </c>
      <c r="AK404" s="21">
        <v>19</v>
      </c>
      <c r="AL404" s="41">
        <f t="shared" si="168"/>
        <v>6.7857142857142852E-2</v>
      </c>
      <c r="AM404" s="21">
        <v>22</v>
      </c>
      <c r="AN404" s="41">
        <f t="shared" si="187"/>
        <v>0.10837438423645321</v>
      </c>
      <c r="AO404" s="21">
        <v>182</v>
      </c>
      <c r="AP404" s="41">
        <f t="shared" si="169"/>
        <v>0.65</v>
      </c>
      <c r="AQ404" s="21">
        <v>126</v>
      </c>
      <c r="AR404" s="41">
        <f t="shared" si="188"/>
        <v>0.62068965517241381</v>
      </c>
      <c r="AS404" s="21">
        <v>34</v>
      </c>
      <c r="AT404" s="41">
        <f t="shared" si="170"/>
        <v>0.12142857142857143</v>
      </c>
      <c r="AU404" s="21">
        <v>22</v>
      </c>
      <c r="AV404" s="41">
        <f t="shared" si="189"/>
        <v>0.10837438423645321</v>
      </c>
      <c r="AW404" s="21">
        <v>17</v>
      </c>
      <c r="AX404" s="41">
        <f t="shared" si="171"/>
        <v>6.0714285714285714E-2</v>
      </c>
      <c r="AY404" s="21">
        <v>12</v>
      </c>
      <c r="AZ404" s="41">
        <f t="shared" si="190"/>
        <v>5.9113300492610835E-2</v>
      </c>
      <c r="BA404" s="21">
        <v>20</v>
      </c>
      <c r="BB404" s="41">
        <f t="shared" si="172"/>
        <v>7.1428571428571425E-2</v>
      </c>
      <c r="BC404" s="21">
        <v>13</v>
      </c>
      <c r="BD404" s="41">
        <f t="shared" si="191"/>
        <v>6.4039408866995079E-2</v>
      </c>
      <c r="BE404" s="21">
        <v>280</v>
      </c>
      <c r="BF404" s="21">
        <v>203</v>
      </c>
    </row>
    <row r="405" spans="1:58" ht="15.75" customHeight="1" x14ac:dyDescent="0.25">
      <c r="A405" s="44">
        <v>2022</v>
      </c>
      <c r="B405" s="39">
        <v>172049</v>
      </c>
      <c r="C405" s="37" t="str">
        <f>VLOOKUP(B405,procv!$A$2:$D$142,4,FALSE)</f>
        <v>Ilha do Bananal</v>
      </c>
      <c r="D405" s="37" t="s">
        <v>130</v>
      </c>
      <c r="E405" s="21">
        <v>1</v>
      </c>
      <c r="F405" s="42">
        <f t="shared" si="173"/>
        <v>4.9261083743842365E-3</v>
      </c>
      <c r="G405" s="21">
        <v>0</v>
      </c>
      <c r="H405" s="42">
        <f t="shared" si="174"/>
        <v>0</v>
      </c>
      <c r="I405" s="21">
        <v>12</v>
      </c>
      <c r="J405" s="41">
        <f t="shared" si="175"/>
        <v>5.9113300492610835E-2</v>
      </c>
      <c r="K405" s="21">
        <v>7</v>
      </c>
      <c r="L405" s="41">
        <f t="shared" si="176"/>
        <v>7.1428571428571425E-2</v>
      </c>
      <c r="M405" s="21">
        <v>174</v>
      </c>
      <c r="N405" s="41">
        <f t="shared" si="177"/>
        <v>0.8571428571428571</v>
      </c>
      <c r="O405" s="21">
        <v>80</v>
      </c>
      <c r="P405" s="41">
        <f t="shared" si="178"/>
        <v>0.81632653061224492</v>
      </c>
      <c r="Q405" s="21">
        <v>16</v>
      </c>
      <c r="R405" s="41">
        <f t="shared" si="179"/>
        <v>7.8817733990147784E-2</v>
      </c>
      <c r="S405" s="21">
        <v>11</v>
      </c>
      <c r="T405" s="41">
        <f t="shared" si="180"/>
        <v>0.11224489795918367</v>
      </c>
      <c r="U405" s="21">
        <v>11</v>
      </c>
      <c r="V405" s="41">
        <f t="shared" si="181"/>
        <v>5.4187192118226604E-2</v>
      </c>
      <c r="W405" s="21">
        <v>10</v>
      </c>
      <c r="X405" s="41">
        <f t="shared" si="182"/>
        <v>0.10204081632653061</v>
      </c>
      <c r="Y405" s="21">
        <v>15</v>
      </c>
      <c r="Z405" s="41">
        <f t="shared" si="183"/>
        <v>7.3891625615763554E-2</v>
      </c>
      <c r="AA405" s="21">
        <v>7</v>
      </c>
      <c r="AB405" s="41">
        <f t="shared" si="184"/>
        <v>7.1428571428571425E-2</v>
      </c>
      <c r="AC405" s="21">
        <v>177</v>
      </c>
      <c r="AD405" s="41">
        <f t="shared" si="166"/>
        <v>0.8719211822660099</v>
      </c>
      <c r="AE405" s="21">
        <v>81</v>
      </c>
      <c r="AF405" s="41">
        <f t="shared" si="185"/>
        <v>0.82653061224489799</v>
      </c>
      <c r="AG405" s="21">
        <v>7</v>
      </c>
      <c r="AH405" s="41">
        <f t="shared" si="167"/>
        <v>3.4482758620689655E-2</v>
      </c>
      <c r="AI405" s="21">
        <v>5</v>
      </c>
      <c r="AJ405" s="41">
        <f t="shared" si="186"/>
        <v>5.1020408163265307E-2</v>
      </c>
      <c r="AK405" s="21">
        <v>12</v>
      </c>
      <c r="AL405" s="41">
        <f t="shared" si="168"/>
        <v>5.9113300492610835E-2</v>
      </c>
      <c r="AM405" s="21">
        <v>7</v>
      </c>
      <c r="AN405" s="41">
        <f t="shared" si="187"/>
        <v>7.1428571428571425E-2</v>
      </c>
      <c r="AO405" s="21">
        <v>122</v>
      </c>
      <c r="AP405" s="41">
        <f t="shared" si="169"/>
        <v>0.60098522167487689</v>
      </c>
      <c r="AQ405" s="21">
        <v>51</v>
      </c>
      <c r="AR405" s="41">
        <f t="shared" si="188"/>
        <v>0.52040816326530615</v>
      </c>
      <c r="AS405" s="21">
        <v>32</v>
      </c>
      <c r="AT405" s="41">
        <f t="shared" si="170"/>
        <v>0.15763546798029557</v>
      </c>
      <c r="AU405" s="21">
        <v>14</v>
      </c>
      <c r="AV405" s="41">
        <f t="shared" si="189"/>
        <v>0.14285714285714285</v>
      </c>
      <c r="AW405" s="21">
        <v>18</v>
      </c>
      <c r="AX405" s="41">
        <f t="shared" si="171"/>
        <v>8.8669950738916259E-2</v>
      </c>
      <c r="AY405" s="21">
        <v>9</v>
      </c>
      <c r="AZ405" s="41">
        <f t="shared" si="190"/>
        <v>9.1836734693877556E-2</v>
      </c>
      <c r="BA405" s="21">
        <v>12</v>
      </c>
      <c r="BB405" s="41">
        <f t="shared" si="172"/>
        <v>5.9113300492610835E-2</v>
      </c>
      <c r="BC405" s="21">
        <v>12</v>
      </c>
      <c r="BD405" s="41">
        <f t="shared" si="191"/>
        <v>0.12244897959183673</v>
      </c>
      <c r="BE405" s="21">
        <v>203</v>
      </c>
      <c r="BF405" s="21">
        <v>98</v>
      </c>
    </row>
    <row r="406" spans="1:58" ht="15.75" customHeight="1" x14ac:dyDescent="0.25">
      <c r="A406" s="44">
        <v>2022</v>
      </c>
      <c r="B406" s="39">
        <v>172065</v>
      </c>
      <c r="C406" s="37" t="str">
        <f>VLOOKUP(B406,procv!$A$2:$D$142,4,FALSE)</f>
        <v>Amor Perfeito</v>
      </c>
      <c r="D406" s="37" t="s">
        <v>131</v>
      </c>
      <c r="E406" s="21">
        <v>6</v>
      </c>
      <c r="F406" s="42">
        <f t="shared" si="173"/>
        <v>1.3986013986013986E-2</v>
      </c>
      <c r="G406" s="21">
        <v>2</v>
      </c>
      <c r="H406" s="42">
        <f t="shared" si="174"/>
        <v>8.9285714285714281E-3</v>
      </c>
      <c r="I406" s="21">
        <v>6</v>
      </c>
      <c r="J406" s="41">
        <f t="shared" si="175"/>
        <v>1.3986013986013986E-2</v>
      </c>
      <c r="K406" s="21">
        <v>4</v>
      </c>
      <c r="L406" s="41">
        <f t="shared" si="176"/>
        <v>1.7857142857142856E-2</v>
      </c>
      <c r="M406" s="21">
        <v>396</v>
      </c>
      <c r="N406" s="41">
        <f t="shared" si="177"/>
        <v>0.92307692307692313</v>
      </c>
      <c r="O406" s="21">
        <v>205</v>
      </c>
      <c r="P406" s="41">
        <f t="shared" si="178"/>
        <v>0.9151785714285714</v>
      </c>
      <c r="Q406" s="21">
        <v>21</v>
      </c>
      <c r="R406" s="41">
        <f t="shared" si="179"/>
        <v>4.8951048951048952E-2</v>
      </c>
      <c r="S406" s="21">
        <v>13</v>
      </c>
      <c r="T406" s="41">
        <f t="shared" si="180"/>
        <v>5.8035714285714288E-2</v>
      </c>
      <c r="U406" s="21">
        <v>37</v>
      </c>
      <c r="V406" s="41">
        <f t="shared" si="181"/>
        <v>8.6247086247086241E-2</v>
      </c>
      <c r="W406" s="21">
        <v>22</v>
      </c>
      <c r="X406" s="41">
        <f t="shared" si="182"/>
        <v>9.8214285714285712E-2</v>
      </c>
      <c r="Y406" s="21">
        <v>38</v>
      </c>
      <c r="Z406" s="41">
        <f t="shared" si="183"/>
        <v>8.8578088578088576E-2</v>
      </c>
      <c r="AA406" s="21">
        <v>22</v>
      </c>
      <c r="AB406" s="41">
        <f t="shared" si="184"/>
        <v>9.8214285714285712E-2</v>
      </c>
      <c r="AC406" s="21">
        <v>354</v>
      </c>
      <c r="AD406" s="41">
        <f t="shared" si="166"/>
        <v>0.82517482517482521</v>
      </c>
      <c r="AE406" s="21">
        <v>180</v>
      </c>
      <c r="AF406" s="41">
        <f t="shared" si="185"/>
        <v>0.8035714285714286</v>
      </c>
      <c r="AG406" s="21">
        <v>10</v>
      </c>
      <c r="AH406" s="41">
        <f t="shared" si="167"/>
        <v>2.3310023310023312E-2</v>
      </c>
      <c r="AI406" s="21">
        <v>8</v>
      </c>
      <c r="AJ406" s="41">
        <f t="shared" si="186"/>
        <v>3.5714285714285712E-2</v>
      </c>
      <c r="AK406" s="21">
        <v>11</v>
      </c>
      <c r="AL406" s="41">
        <f t="shared" si="168"/>
        <v>2.564102564102564E-2</v>
      </c>
      <c r="AM406" s="21">
        <v>6</v>
      </c>
      <c r="AN406" s="41">
        <f t="shared" si="187"/>
        <v>2.6785714285714284E-2</v>
      </c>
      <c r="AO406" s="21">
        <v>263</v>
      </c>
      <c r="AP406" s="41">
        <f t="shared" si="169"/>
        <v>0.61305361305361306</v>
      </c>
      <c r="AQ406" s="21">
        <v>133</v>
      </c>
      <c r="AR406" s="41">
        <f t="shared" si="188"/>
        <v>0.59375</v>
      </c>
      <c r="AS406" s="21">
        <v>72</v>
      </c>
      <c r="AT406" s="41">
        <f t="shared" si="170"/>
        <v>0.16783216783216784</v>
      </c>
      <c r="AU406" s="21">
        <v>37</v>
      </c>
      <c r="AV406" s="41">
        <f t="shared" si="189"/>
        <v>0.16517857142857142</v>
      </c>
      <c r="AW406" s="21">
        <v>45</v>
      </c>
      <c r="AX406" s="41">
        <f t="shared" si="171"/>
        <v>0.1048951048951049</v>
      </c>
      <c r="AY406" s="21">
        <v>24</v>
      </c>
      <c r="AZ406" s="41">
        <f t="shared" si="190"/>
        <v>0.10714285714285714</v>
      </c>
      <c r="BA406" s="21">
        <v>28</v>
      </c>
      <c r="BB406" s="41">
        <f t="shared" si="172"/>
        <v>6.5268065268065265E-2</v>
      </c>
      <c r="BC406" s="21">
        <v>16</v>
      </c>
      <c r="BD406" s="41">
        <f t="shared" si="191"/>
        <v>7.1428571428571425E-2</v>
      </c>
      <c r="BE406" s="21">
        <v>429</v>
      </c>
      <c r="BF406" s="21">
        <v>224</v>
      </c>
    </row>
    <row r="407" spans="1:58" ht="15.75" customHeight="1" x14ac:dyDescent="0.25">
      <c r="A407" s="44">
        <v>2022</v>
      </c>
      <c r="B407" s="39">
        <v>172080</v>
      </c>
      <c r="C407" s="37" t="str">
        <f>VLOOKUP(B407,procv!$A$2:$D$142,4,FALSE)</f>
        <v>Bico do Papagaio</v>
      </c>
      <c r="D407" s="37" t="s">
        <v>132</v>
      </c>
      <c r="E407" s="21">
        <v>4</v>
      </c>
      <c r="F407" s="42">
        <f t="shared" si="173"/>
        <v>4.807692307692308E-3</v>
      </c>
      <c r="G407" s="21">
        <v>2</v>
      </c>
      <c r="H407" s="42">
        <f t="shared" si="174"/>
        <v>4.3478260869565218E-3</v>
      </c>
      <c r="I407" s="21">
        <v>25</v>
      </c>
      <c r="J407" s="41">
        <f t="shared" si="175"/>
        <v>3.0048076923076924E-2</v>
      </c>
      <c r="K407" s="21">
        <v>14</v>
      </c>
      <c r="L407" s="41">
        <f t="shared" si="176"/>
        <v>3.0434782608695653E-2</v>
      </c>
      <c r="M407" s="21">
        <v>767</v>
      </c>
      <c r="N407" s="41">
        <f t="shared" si="177"/>
        <v>0.921875</v>
      </c>
      <c r="O407" s="21">
        <v>423</v>
      </c>
      <c r="P407" s="41">
        <f t="shared" si="178"/>
        <v>0.91956521739130437</v>
      </c>
      <c r="Q407" s="21">
        <v>36</v>
      </c>
      <c r="R407" s="41">
        <f t="shared" si="179"/>
        <v>4.3269230769230768E-2</v>
      </c>
      <c r="S407" s="21">
        <v>21</v>
      </c>
      <c r="T407" s="41">
        <f t="shared" si="180"/>
        <v>4.5652173913043478E-2</v>
      </c>
      <c r="U407" s="21">
        <v>44</v>
      </c>
      <c r="V407" s="41">
        <f t="shared" si="181"/>
        <v>5.2884615384615384E-2</v>
      </c>
      <c r="W407" s="21">
        <v>24</v>
      </c>
      <c r="X407" s="41">
        <f t="shared" si="182"/>
        <v>5.2173913043478258E-2</v>
      </c>
      <c r="Y407" s="21">
        <v>65</v>
      </c>
      <c r="Z407" s="41">
        <f t="shared" si="183"/>
        <v>7.8125E-2</v>
      </c>
      <c r="AA407" s="21">
        <v>38</v>
      </c>
      <c r="AB407" s="41">
        <f t="shared" si="184"/>
        <v>8.2608695652173908E-2</v>
      </c>
      <c r="AC407" s="21">
        <v>723</v>
      </c>
      <c r="AD407" s="41">
        <f t="shared" si="166"/>
        <v>0.86899038461538458</v>
      </c>
      <c r="AE407" s="21">
        <v>398</v>
      </c>
      <c r="AF407" s="41">
        <f t="shared" si="185"/>
        <v>0.86521739130434783</v>
      </c>
      <c r="AG407" s="21">
        <v>18</v>
      </c>
      <c r="AH407" s="41">
        <f t="shared" si="167"/>
        <v>2.1634615384615384E-2</v>
      </c>
      <c r="AI407" s="21">
        <v>9</v>
      </c>
      <c r="AJ407" s="41">
        <f t="shared" si="186"/>
        <v>1.9565217391304349E-2</v>
      </c>
      <c r="AK407" s="21">
        <v>46</v>
      </c>
      <c r="AL407" s="41">
        <f t="shared" si="168"/>
        <v>5.5288461538461536E-2</v>
      </c>
      <c r="AM407" s="21">
        <v>28</v>
      </c>
      <c r="AN407" s="41">
        <f t="shared" si="187"/>
        <v>6.0869565217391307E-2</v>
      </c>
      <c r="AO407" s="21">
        <v>552</v>
      </c>
      <c r="AP407" s="41">
        <f t="shared" si="169"/>
        <v>0.66346153846153844</v>
      </c>
      <c r="AQ407" s="21">
        <v>304</v>
      </c>
      <c r="AR407" s="41">
        <f t="shared" si="188"/>
        <v>0.66086956521739126</v>
      </c>
      <c r="AS407" s="21">
        <v>126</v>
      </c>
      <c r="AT407" s="41">
        <f t="shared" si="170"/>
        <v>0.15144230769230768</v>
      </c>
      <c r="AU407" s="21">
        <v>72</v>
      </c>
      <c r="AV407" s="41">
        <f t="shared" si="189"/>
        <v>0.15652173913043479</v>
      </c>
      <c r="AW407" s="21">
        <v>54</v>
      </c>
      <c r="AX407" s="41">
        <f t="shared" si="171"/>
        <v>6.4903846153846159E-2</v>
      </c>
      <c r="AY407" s="21">
        <v>31</v>
      </c>
      <c r="AZ407" s="41">
        <f t="shared" si="190"/>
        <v>6.7391304347826086E-2</v>
      </c>
      <c r="BA407" s="21">
        <v>36</v>
      </c>
      <c r="BB407" s="41">
        <f t="shared" si="172"/>
        <v>4.3269230769230768E-2</v>
      </c>
      <c r="BC407" s="21">
        <v>16</v>
      </c>
      <c r="BD407" s="41">
        <f t="shared" si="191"/>
        <v>3.4782608695652174E-2</v>
      </c>
      <c r="BE407" s="21">
        <v>832</v>
      </c>
      <c r="BF407" s="21">
        <v>460</v>
      </c>
    </row>
    <row r="408" spans="1:58" ht="15.75" customHeight="1" x14ac:dyDescent="0.25">
      <c r="A408" s="44">
        <v>2022</v>
      </c>
      <c r="B408" s="39">
        <v>172085</v>
      </c>
      <c r="C408" s="37" t="str">
        <f>VLOOKUP(B408,procv!$A$2:$D$142,4,FALSE)</f>
        <v>Ilha do Bananal</v>
      </c>
      <c r="D408" s="37" t="s">
        <v>133</v>
      </c>
      <c r="E408" s="21">
        <v>0</v>
      </c>
      <c r="F408" s="42">
        <f t="shared" si="173"/>
        <v>0</v>
      </c>
      <c r="G408" s="21">
        <v>1</v>
      </c>
      <c r="H408" s="42">
        <f t="shared" si="174"/>
        <v>2.1276595744680851E-2</v>
      </c>
      <c r="I408" s="21">
        <v>3</v>
      </c>
      <c r="J408" s="41">
        <f t="shared" si="175"/>
        <v>2.5210084033613446E-2</v>
      </c>
      <c r="K408" s="21">
        <v>2</v>
      </c>
      <c r="L408" s="41">
        <f t="shared" si="176"/>
        <v>4.2553191489361701E-2</v>
      </c>
      <c r="M408" s="21">
        <v>103</v>
      </c>
      <c r="N408" s="41">
        <f t="shared" si="177"/>
        <v>0.86554621848739499</v>
      </c>
      <c r="O408" s="21">
        <v>38</v>
      </c>
      <c r="P408" s="41">
        <f t="shared" si="178"/>
        <v>0.80851063829787229</v>
      </c>
      <c r="Q408" s="21">
        <v>13</v>
      </c>
      <c r="R408" s="41">
        <f t="shared" si="179"/>
        <v>0.1092436974789916</v>
      </c>
      <c r="S408" s="21">
        <v>6</v>
      </c>
      <c r="T408" s="41">
        <f t="shared" si="180"/>
        <v>0.1276595744680851</v>
      </c>
      <c r="U408" s="21">
        <v>5</v>
      </c>
      <c r="V408" s="41">
        <f t="shared" si="181"/>
        <v>4.2016806722689079E-2</v>
      </c>
      <c r="W408" s="21">
        <v>2</v>
      </c>
      <c r="X408" s="41">
        <f t="shared" si="182"/>
        <v>4.2553191489361701E-2</v>
      </c>
      <c r="Y408" s="21">
        <v>10</v>
      </c>
      <c r="Z408" s="41">
        <f t="shared" si="183"/>
        <v>8.4033613445378158E-2</v>
      </c>
      <c r="AA408" s="21">
        <v>3</v>
      </c>
      <c r="AB408" s="41">
        <f t="shared" si="184"/>
        <v>6.3829787234042548E-2</v>
      </c>
      <c r="AC408" s="21">
        <v>104</v>
      </c>
      <c r="AD408" s="41">
        <f t="shared" si="166"/>
        <v>0.87394957983193278</v>
      </c>
      <c r="AE408" s="21">
        <v>42</v>
      </c>
      <c r="AF408" s="41">
        <f t="shared" si="185"/>
        <v>0.8936170212765957</v>
      </c>
      <c r="AG408" s="21">
        <v>2</v>
      </c>
      <c r="AH408" s="41">
        <f t="shared" si="167"/>
        <v>1.680672268907563E-2</v>
      </c>
      <c r="AI408" s="21">
        <v>3</v>
      </c>
      <c r="AJ408" s="41">
        <f t="shared" si="186"/>
        <v>6.3829787234042548E-2</v>
      </c>
      <c r="AK408" s="21">
        <v>4</v>
      </c>
      <c r="AL408" s="41">
        <f t="shared" si="168"/>
        <v>3.3613445378151259E-2</v>
      </c>
      <c r="AM408" s="21">
        <v>3</v>
      </c>
      <c r="AN408" s="41">
        <f t="shared" si="187"/>
        <v>6.3829787234042548E-2</v>
      </c>
      <c r="AO408" s="21">
        <v>71</v>
      </c>
      <c r="AP408" s="41">
        <f t="shared" si="169"/>
        <v>0.59663865546218486</v>
      </c>
      <c r="AQ408" s="21">
        <v>25</v>
      </c>
      <c r="AR408" s="41">
        <f t="shared" si="188"/>
        <v>0.53191489361702127</v>
      </c>
      <c r="AS408" s="21">
        <v>23</v>
      </c>
      <c r="AT408" s="41">
        <f t="shared" si="170"/>
        <v>0.19327731092436976</v>
      </c>
      <c r="AU408" s="21">
        <v>10</v>
      </c>
      <c r="AV408" s="41">
        <f t="shared" si="189"/>
        <v>0.21276595744680851</v>
      </c>
      <c r="AW408" s="21">
        <v>14</v>
      </c>
      <c r="AX408" s="41">
        <f t="shared" si="171"/>
        <v>0.11764705882352941</v>
      </c>
      <c r="AY408" s="21">
        <v>2</v>
      </c>
      <c r="AZ408" s="41">
        <f t="shared" si="190"/>
        <v>4.2553191489361701E-2</v>
      </c>
      <c r="BA408" s="21">
        <v>5</v>
      </c>
      <c r="BB408" s="41">
        <f t="shared" si="172"/>
        <v>4.2016806722689079E-2</v>
      </c>
      <c r="BC408" s="21">
        <v>4</v>
      </c>
      <c r="BD408" s="41">
        <f t="shared" si="191"/>
        <v>8.5106382978723402E-2</v>
      </c>
      <c r="BE408" s="21">
        <v>119</v>
      </c>
      <c r="BF408" s="21">
        <v>47</v>
      </c>
    </row>
    <row r="409" spans="1:58" ht="15.75" customHeight="1" x14ac:dyDescent="0.25">
      <c r="A409" s="44">
        <v>2022</v>
      </c>
      <c r="B409" s="39">
        <v>170825</v>
      </c>
      <c r="C409" s="37" t="str">
        <f>VLOOKUP(B409,procv!$A$2:$D$142,4,FALSE)</f>
        <v>Capim Dourado</v>
      </c>
      <c r="D409" s="37" t="s">
        <v>134</v>
      </c>
      <c r="E409" s="21">
        <v>0</v>
      </c>
      <c r="F409" s="42">
        <f t="shared" si="173"/>
        <v>0</v>
      </c>
      <c r="G409" s="21">
        <v>0</v>
      </c>
      <c r="H409" s="42">
        <f t="shared" si="174"/>
        <v>0</v>
      </c>
      <c r="I409" s="21">
        <v>3</v>
      </c>
      <c r="J409" s="41">
        <f t="shared" si="175"/>
        <v>1.8749999999999999E-2</v>
      </c>
      <c r="K409" s="21">
        <v>2</v>
      </c>
      <c r="L409" s="41">
        <f t="shared" si="176"/>
        <v>1.6393442622950821E-2</v>
      </c>
      <c r="M409" s="21">
        <v>143</v>
      </c>
      <c r="N409" s="41">
        <f t="shared" si="177"/>
        <v>0.89375000000000004</v>
      </c>
      <c r="O409" s="21">
        <v>110</v>
      </c>
      <c r="P409" s="41">
        <f t="shared" si="178"/>
        <v>0.90163934426229508</v>
      </c>
      <c r="Q409" s="21">
        <v>14</v>
      </c>
      <c r="R409" s="41">
        <f t="shared" si="179"/>
        <v>8.7499999999999994E-2</v>
      </c>
      <c r="S409" s="21">
        <v>10</v>
      </c>
      <c r="T409" s="41">
        <f t="shared" si="180"/>
        <v>8.1967213114754092E-2</v>
      </c>
      <c r="U409" s="21">
        <v>5</v>
      </c>
      <c r="V409" s="41">
        <f t="shared" si="181"/>
        <v>3.125E-2</v>
      </c>
      <c r="W409" s="21">
        <v>3</v>
      </c>
      <c r="X409" s="41">
        <f t="shared" si="182"/>
        <v>2.4590163934426229E-2</v>
      </c>
      <c r="Y409" s="21">
        <v>10</v>
      </c>
      <c r="Z409" s="41">
        <f t="shared" si="183"/>
        <v>6.25E-2</v>
      </c>
      <c r="AA409" s="21">
        <v>6</v>
      </c>
      <c r="AB409" s="41">
        <f t="shared" si="184"/>
        <v>4.9180327868852458E-2</v>
      </c>
      <c r="AC409" s="21">
        <v>145</v>
      </c>
      <c r="AD409" s="41">
        <f t="shared" si="166"/>
        <v>0.90625</v>
      </c>
      <c r="AE409" s="21">
        <v>113</v>
      </c>
      <c r="AF409" s="41">
        <f t="shared" si="185"/>
        <v>0.92622950819672134</v>
      </c>
      <c r="AG409" s="21">
        <v>3</v>
      </c>
      <c r="AH409" s="41">
        <f t="shared" si="167"/>
        <v>1.8749999999999999E-2</v>
      </c>
      <c r="AI409" s="21">
        <v>3</v>
      </c>
      <c r="AJ409" s="41">
        <f t="shared" si="186"/>
        <v>2.4590163934426229E-2</v>
      </c>
      <c r="AK409" s="21">
        <v>4</v>
      </c>
      <c r="AL409" s="41">
        <f t="shared" si="168"/>
        <v>2.5000000000000001E-2</v>
      </c>
      <c r="AM409" s="21">
        <v>5</v>
      </c>
      <c r="AN409" s="41">
        <f t="shared" si="187"/>
        <v>4.0983606557377046E-2</v>
      </c>
      <c r="AO409" s="21">
        <v>87</v>
      </c>
      <c r="AP409" s="41">
        <f t="shared" si="169"/>
        <v>0.54374999999999996</v>
      </c>
      <c r="AQ409" s="21">
        <v>68</v>
      </c>
      <c r="AR409" s="41">
        <f t="shared" si="188"/>
        <v>0.55737704918032782</v>
      </c>
      <c r="AS409" s="21">
        <v>43</v>
      </c>
      <c r="AT409" s="41">
        <f t="shared" si="170"/>
        <v>0.26874999999999999</v>
      </c>
      <c r="AU409" s="21">
        <v>31</v>
      </c>
      <c r="AV409" s="41">
        <f t="shared" si="189"/>
        <v>0.25409836065573771</v>
      </c>
      <c r="AW409" s="21">
        <v>12</v>
      </c>
      <c r="AX409" s="41">
        <f t="shared" si="171"/>
        <v>7.4999999999999997E-2</v>
      </c>
      <c r="AY409" s="21">
        <v>6</v>
      </c>
      <c r="AZ409" s="41">
        <f t="shared" si="190"/>
        <v>4.9180327868852458E-2</v>
      </c>
      <c r="BA409" s="21">
        <v>11</v>
      </c>
      <c r="BB409" s="41">
        <f t="shared" si="172"/>
        <v>6.8750000000000006E-2</v>
      </c>
      <c r="BC409" s="21">
        <v>9</v>
      </c>
      <c r="BD409" s="41">
        <f t="shared" si="191"/>
        <v>7.3770491803278687E-2</v>
      </c>
      <c r="BE409" s="21">
        <v>160</v>
      </c>
      <c r="BF409" s="21">
        <v>122</v>
      </c>
    </row>
    <row r="410" spans="1:58" ht="15.75" customHeight="1" x14ac:dyDescent="0.25">
      <c r="A410" s="44">
        <v>2022</v>
      </c>
      <c r="B410" s="39">
        <v>172090</v>
      </c>
      <c r="C410" s="37" t="str">
        <f>VLOOKUP(B410,procv!$A$2:$D$142,4,FALSE)</f>
        <v>Sudeste</v>
      </c>
      <c r="D410" s="37" t="s">
        <v>135</v>
      </c>
      <c r="E410" s="21">
        <v>9</v>
      </c>
      <c r="F410" s="42">
        <f t="shared" si="173"/>
        <v>1.1207970112079701E-2</v>
      </c>
      <c r="G410" s="21">
        <v>4</v>
      </c>
      <c r="H410" s="42">
        <f t="shared" si="174"/>
        <v>7.2992700729927005E-3</v>
      </c>
      <c r="I410" s="21">
        <v>22</v>
      </c>
      <c r="J410" s="41">
        <f t="shared" si="175"/>
        <v>2.7397260273972601E-2</v>
      </c>
      <c r="K410" s="21">
        <v>18</v>
      </c>
      <c r="L410" s="41">
        <f t="shared" si="176"/>
        <v>3.2846715328467155E-2</v>
      </c>
      <c r="M410" s="21">
        <v>724</v>
      </c>
      <c r="N410" s="41">
        <f t="shared" si="177"/>
        <v>0.90161892901618934</v>
      </c>
      <c r="O410" s="21">
        <v>497</v>
      </c>
      <c r="P410" s="41">
        <f t="shared" si="178"/>
        <v>0.90693430656934304</v>
      </c>
      <c r="Q410" s="21">
        <v>48</v>
      </c>
      <c r="R410" s="41">
        <f t="shared" si="179"/>
        <v>5.9775840597758409E-2</v>
      </c>
      <c r="S410" s="21">
        <v>29</v>
      </c>
      <c r="T410" s="41">
        <f t="shared" si="180"/>
        <v>5.2919708029197078E-2</v>
      </c>
      <c r="U410" s="21">
        <v>44</v>
      </c>
      <c r="V410" s="41">
        <f t="shared" si="181"/>
        <v>5.4794520547945202E-2</v>
      </c>
      <c r="W410" s="21">
        <v>32</v>
      </c>
      <c r="X410" s="41">
        <f t="shared" si="182"/>
        <v>5.8394160583941604E-2</v>
      </c>
      <c r="Y410" s="21">
        <v>75</v>
      </c>
      <c r="Z410" s="41">
        <f t="shared" si="183"/>
        <v>9.3399750933997508E-2</v>
      </c>
      <c r="AA410" s="21">
        <v>40</v>
      </c>
      <c r="AB410" s="41">
        <f t="shared" si="184"/>
        <v>7.2992700729927001E-2</v>
      </c>
      <c r="AC410" s="21">
        <v>684</v>
      </c>
      <c r="AD410" s="41">
        <f t="shared" si="166"/>
        <v>0.85180572851805725</v>
      </c>
      <c r="AE410" s="21">
        <v>476</v>
      </c>
      <c r="AF410" s="41">
        <f t="shared" si="185"/>
        <v>0.86861313868613144</v>
      </c>
      <c r="AG410" s="21">
        <v>26</v>
      </c>
      <c r="AH410" s="41">
        <f t="shared" si="167"/>
        <v>3.2378580323785801E-2</v>
      </c>
      <c r="AI410" s="21">
        <v>16</v>
      </c>
      <c r="AJ410" s="41">
        <f t="shared" si="186"/>
        <v>2.9197080291970802E-2</v>
      </c>
      <c r="AK410" s="21">
        <v>33</v>
      </c>
      <c r="AL410" s="41">
        <f t="shared" si="168"/>
        <v>4.1095890410958902E-2</v>
      </c>
      <c r="AM410" s="21">
        <v>33</v>
      </c>
      <c r="AN410" s="41">
        <f t="shared" si="187"/>
        <v>6.0218978102189784E-2</v>
      </c>
      <c r="AO410" s="21">
        <v>462</v>
      </c>
      <c r="AP410" s="41">
        <f t="shared" si="169"/>
        <v>0.57534246575342463</v>
      </c>
      <c r="AQ410" s="21">
        <v>351</v>
      </c>
      <c r="AR410" s="41">
        <f t="shared" si="188"/>
        <v>0.64051094890510951</v>
      </c>
      <c r="AS410" s="21">
        <v>157</v>
      </c>
      <c r="AT410" s="41">
        <f t="shared" si="170"/>
        <v>0.19551681195516812</v>
      </c>
      <c r="AU410" s="21">
        <v>82</v>
      </c>
      <c r="AV410" s="41">
        <f t="shared" si="189"/>
        <v>0.14963503649635038</v>
      </c>
      <c r="AW410" s="21">
        <v>76</v>
      </c>
      <c r="AX410" s="41">
        <f t="shared" si="171"/>
        <v>9.4645080946450813E-2</v>
      </c>
      <c r="AY410" s="21">
        <v>39</v>
      </c>
      <c r="AZ410" s="41">
        <f t="shared" si="190"/>
        <v>7.1167883211678828E-2</v>
      </c>
      <c r="BA410" s="21">
        <v>49</v>
      </c>
      <c r="BB410" s="41">
        <f t="shared" si="172"/>
        <v>6.1021170610211707E-2</v>
      </c>
      <c r="BC410" s="21">
        <v>27</v>
      </c>
      <c r="BD410" s="41">
        <f t="shared" si="191"/>
        <v>4.9270072992700732E-2</v>
      </c>
      <c r="BE410" s="21">
        <v>803</v>
      </c>
      <c r="BF410" s="21">
        <v>548</v>
      </c>
    </row>
    <row r="411" spans="1:58" ht="15.75" customHeight="1" x14ac:dyDescent="0.25">
      <c r="A411" s="44">
        <v>2022</v>
      </c>
      <c r="B411" s="39">
        <v>172093</v>
      </c>
      <c r="C411" s="37" t="str">
        <f>VLOOKUP(B411,procv!$A$2:$D$142,4,FALSE)</f>
        <v>Sudeste</v>
      </c>
      <c r="D411" s="37" t="s">
        <v>136</v>
      </c>
      <c r="E411" s="21">
        <v>0</v>
      </c>
      <c r="F411" s="42">
        <f t="shared" si="173"/>
        <v>0</v>
      </c>
      <c r="G411" s="21">
        <v>0</v>
      </c>
      <c r="H411" s="42">
        <f t="shared" si="174"/>
        <v>0</v>
      </c>
      <c r="I411" s="21">
        <v>5</v>
      </c>
      <c r="J411" s="41">
        <f t="shared" si="175"/>
        <v>8.1967213114754092E-2</v>
      </c>
      <c r="K411" s="21">
        <v>4</v>
      </c>
      <c r="L411" s="41">
        <f t="shared" si="176"/>
        <v>7.1428571428571425E-2</v>
      </c>
      <c r="M411" s="21">
        <v>49</v>
      </c>
      <c r="N411" s="41">
        <f t="shared" si="177"/>
        <v>0.80327868852459017</v>
      </c>
      <c r="O411" s="21">
        <v>46</v>
      </c>
      <c r="P411" s="41">
        <f t="shared" si="178"/>
        <v>0.8214285714285714</v>
      </c>
      <c r="Q411" s="21">
        <v>7</v>
      </c>
      <c r="R411" s="41">
        <f t="shared" si="179"/>
        <v>0.11475409836065574</v>
      </c>
      <c r="S411" s="21">
        <v>6</v>
      </c>
      <c r="T411" s="41">
        <f t="shared" si="180"/>
        <v>0.10714285714285714</v>
      </c>
      <c r="U411" s="21">
        <v>2</v>
      </c>
      <c r="V411" s="41">
        <f t="shared" si="181"/>
        <v>3.2786885245901641E-2</v>
      </c>
      <c r="W411" s="21">
        <v>1</v>
      </c>
      <c r="X411" s="41">
        <f t="shared" si="182"/>
        <v>1.7857142857142856E-2</v>
      </c>
      <c r="Y411" s="21">
        <v>6</v>
      </c>
      <c r="Z411" s="41">
        <f t="shared" si="183"/>
        <v>9.8360655737704916E-2</v>
      </c>
      <c r="AA411" s="21">
        <v>6</v>
      </c>
      <c r="AB411" s="41">
        <f t="shared" si="184"/>
        <v>0.10714285714285714</v>
      </c>
      <c r="AC411" s="21">
        <v>53</v>
      </c>
      <c r="AD411" s="41">
        <f t="shared" si="166"/>
        <v>0.86885245901639341</v>
      </c>
      <c r="AE411" s="21">
        <v>49</v>
      </c>
      <c r="AF411" s="41">
        <f t="shared" si="185"/>
        <v>0.875</v>
      </c>
      <c r="AG411" s="21">
        <v>1</v>
      </c>
      <c r="AH411" s="41">
        <f t="shared" si="167"/>
        <v>1.6393442622950821E-2</v>
      </c>
      <c r="AI411" s="21">
        <v>1</v>
      </c>
      <c r="AJ411" s="41">
        <f t="shared" si="186"/>
        <v>1.7857142857142856E-2</v>
      </c>
      <c r="AK411" s="21">
        <v>2</v>
      </c>
      <c r="AL411" s="41">
        <f t="shared" si="168"/>
        <v>3.2786885245901641E-2</v>
      </c>
      <c r="AM411" s="21">
        <v>3</v>
      </c>
      <c r="AN411" s="41">
        <f t="shared" si="187"/>
        <v>5.3571428571428568E-2</v>
      </c>
      <c r="AO411" s="21">
        <v>34</v>
      </c>
      <c r="AP411" s="41">
        <f t="shared" si="169"/>
        <v>0.55737704918032782</v>
      </c>
      <c r="AQ411" s="21">
        <v>30</v>
      </c>
      <c r="AR411" s="41">
        <f t="shared" si="188"/>
        <v>0.5357142857142857</v>
      </c>
      <c r="AS411" s="21">
        <v>14</v>
      </c>
      <c r="AT411" s="41">
        <f t="shared" si="170"/>
        <v>0.22950819672131148</v>
      </c>
      <c r="AU411" s="21">
        <v>12</v>
      </c>
      <c r="AV411" s="41">
        <f t="shared" si="189"/>
        <v>0.21428571428571427</v>
      </c>
      <c r="AW411" s="21">
        <v>9</v>
      </c>
      <c r="AX411" s="41">
        <f t="shared" si="171"/>
        <v>0.14754098360655737</v>
      </c>
      <c r="AY411" s="21">
        <v>9</v>
      </c>
      <c r="AZ411" s="41">
        <f t="shared" si="190"/>
        <v>0.16071428571428573</v>
      </c>
      <c r="BA411" s="21">
        <v>1</v>
      </c>
      <c r="BB411" s="41">
        <f t="shared" si="172"/>
        <v>1.6393442622950821E-2</v>
      </c>
      <c r="BC411" s="21">
        <v>1</v>
      </c>
      <c r="BD411" s="41">
        <f t="shared" si="191"/>
        <v>1.7857142857142856E-2</v>
      </c>
      <c r="BE411" s="21">
        <v>61</v>
      </c>
      <c r="BF411" s="21">
        <v>56</v>
      </c>
    </row>
    <row r="412" spans="1:58" ht="15.75" customHeight="1" x14ac:dyDescent="0.25">
      <c r="A412" s="44">
        <v>2022</v>
      </c>
      <c r="B412" s="39">
        <v>172097</v>
      </c>
      <c r="C412" s="37" t="str">
        <f>VLOOKUP(B412,procv!$A$2:$D$142,4,FALSE)</f>
        <v>Ilha do Bananal</v>
      </c>
      <c r="D412" s="37" t="s">
        <v>137</v>
      </c>
      <c r="E412" s="21">
        <v>0</v>
      </c>
      <c r="F412" s="42">
        <f t="shared" si="173"/>
        <v>0</v>
      </c>
      <c r="G412" s="21">
        <v>0</v>
      </c>
      <c r="H412" s="42">
        <f t="shared" si="174"/>
        <v>0</v>
      </c>
      <c r="I412" s="21">
        <v>6</v>
      </c>
      <c r="J412" s="41">
        <f t="shared" si="175"/>
        <v>3.5502958579881658E-2</v>
      </c>
      <c r="K412" s="21">
        <v>0</v>
      </c>
      <c r="L412" s="41">
        <f t="shared" si="176"/>
        <v>0</v>
      </c>
      <c r="M412" s="21">
        <v>156</v>
      </c>
      <c r="N412" s="41">
        <f t="shared" si="177"/>
        <v>0.92307692307692313</v>
      </c>
      <c r="O412" s="21">
        <v>62</v>
      </c>
      <c r="P412" s="41">
        <f t="shared" si="178"/>
        <v>1</v>
      </c>
      <c r="Q412" s="21">
        <v>7</v>
      </c>
      <c r="R412" s="41">
        <f t="shared" si="179"/>
        <v>4.142011834319527E-2</v>
      </c>
      <c r="S412" s="21">
        <v>0</v>
      </c>
      <c r="T412" s="41">
        <f t="shared" si="180"/>
        <v>0</v>
      </c>
      <c r="U412" s="21">
        <v>8</v>
      </c>
      <c r="V412" s="41">
        <f t="shared" si="181"/>
        <v>4.7337278106508875E-2</v>
      </c>
      <c r="W412" s="21">
        <v>4</v>
      </c>
      <c r="X412" s="41">
        <f t="shared" si="182"/>
        <v>6.4516129032258063E-2</v>
      </c>
      <c r="Y412" s="21">
        <v>14</v>
      </c>
      <c r="Z412" s="41">
        <f t="shared" si="183"/>
        <v>8.2840236686390539E-2</v>
      </c>
      <c r="AA412" s="21">
        <v>5</v>
      </c>
      <c r="AB412" s="41">
        <f t="shared" si="184"/>
        <v>8.0645161290322578E-2</v>
      </c>
      <c r="AC412" s="21">
        <v>147</v>
      </c>
      <c r="AD412" s="41">
        <f t="shared" si="166"/>
        <v>0.86982248520710059</v>
      </c>
      <c r="AE412" s="21">
        <v>53</v>
      </c>
      <c r="AF412" s="41">
        <f t="shared" si="185"/>
        <v>0.85483870967741937</v>
      </c>
      <c r="AG412" s="21">
        <v>3</v>
      </c>
      <c r="AH412" s="41">
        <f t="shared" si="167"/>
        <v>1.7751479289940829E-2</v>
      </c>
      <c r="AI412" s="21">
        <v>1</v>
      </c>
      <c r="AJ412" s="41">
        <f t="shared" si="186"/>
        <v>1.6129032258064516E-2</v>
      </c>
      <c r="AK412" s="21">
        <v>7</v>
      </c>
      <c r="AL412" s="41">
        <f t="shared" si="168"/>
        <v>4.142011834319527E-2</v>
      </c>
      <c r="AM412" s="21">
        <v>4</v>
      </c>
      <c r="AN412" s="41">
        <f t="shared" si="187"/>
        <v>6.4516129032258063E-2</v>
      </c>
      <c r="AO412" s="21">
        <v>102</v>
      </c>
      <c r="AP412" s="41">
        <f t="shared" si="169"/>
        <v>0.60355029585798814</v>
      </c>
      <c r="AQ412" s="21">
        <v>39</v>
      </c>
      <c r="AR412" s="41">
        <f t="shared" si="188"/>
        <v>0.62903225806451613</v>
      </c>
      <c r="AS412" s="21">
        <v>30</v>
      </c>
      <c r="AT412" s="41">
        <f t="shared" si="170"/>
        <v>0.17751479289940827</v>
      </c>
      <c r="AU412" s="21">
        <v>7</v>
      </c>
      <c r="AV412" s="41">
        <f t="shared" si="189"/>
        <v>0.11290322580645161</v>
      </c>
      <c r="AW412" s="21">
        <v>16</v>
      </c>
      <c r="AX412" s="41">
        <f t="shared" si="171"/>
        <v>9.4674556213017749E-2</v>
      </c>
      <c r="AY412" s="21">
        <v>4</v>
      </c>
      <c r="AZ412" s="41">
        <f t="shared" si="190"/>
        <v>6.4516129032258063E-2</v>
      </c>
      <c r="BA412" s="21">
        <v>11</v>
      </c>
      <c r="BB412" s="41">
        <f t="shared" si="172"/>
        <v>6.5088757396449703E-2</v>
      </c>
      <c r="BC412" s="21">
        <v>7</v>
      </c>
      <c r="BD412" s="41">
        <f t="shared" si="191"/>
        <v>0.11290322580645161</v>
      </c>
      <c r="BE412" s="21">
        <v>169</v>
      </c>
      <c r="BF412" s="21">
        <v>62</v>
      </c>
    </row>
    <row r="413" spans="1:58" ht="15.75" customHeight="1" x14ac:dyDescent="0.25">
      <c r="A413" s="44">
        <v>2022</v>
      </c>
      <c r="B413" s="39">
        <v>172110</v>
      </c>
      <c r="C413" s="37" t="str">
        <f>VLOOKUP(B413,procv!$A$2:$D$142,4,FALSE)</f>
        <v>Capim Dourado</v>
      </c>
      <c r="D413" s="37" t="s">
        <v>138</v>
      </c>
      <c r="E413" s="21">
        <v>6</v>
      </c>
      <c r="F413" s="42">
        <f t="shared" si="173"/>
        <v>8.708272859216255E-3</v>
      </c>
      <c r="G413" s="21">
        <v>5</v>
      </c>
      <c r="H413" s="42">
        <f t="shared" si="174"/>
        <v>9.5785440613026813E-3</v>
      </c>
      <c r="I413" s="21">
        <v>12</v>
      </c>
      <c r="J413" s="41">
        <f t="shared" si="175"/>
        <v>1.741654571843251E-2</v>
      </c>
      <c r="K413" s="21">
        <v>8</v>
      </c>
      <c r="L413" s="41">
        <f t="shared" si="176"/>
        <v>1.532567049808429E-2</v>
      </c>
      <c r="M413" s="21">
        <v>631</v>
      </c>
      <c r="N413" s="41">
        <f t="shared" si="177"/>
        <v>0.9158200290275762</v>
      </c>
      <c r="O413" s="21">
        <v>474</v>
      </c>
      <c r="P413" s="41">
        <f t="shared" si="178"/>
        <v>0.90804597701149425</v>
      </c>
      <c r="Q413" s="21">
        <v>40</v>
      </c>
      <c r="R413" s="41">
        <f t="shared" si="179"/>
        <v>5.8055152394775038E-2</v>
      </c>
      <c r="S413" s="21">
        <v>35</v>
      </c>
      <c r="T413" s="41">
        <f t="shared" si="180"/>
        <v>6.7049808429118771E-2</v>
      </c>
      <c r="U413" s="21">
        <v>56</v>
      </c>
      <c r="V413" s="41">
        <f t="shared" si="181"/>
        <v>8.1277213352685049E-2</v>
      </c>
      <c r="W413" s="21">
        <v>48</v>
      </c>
      <c r="X413" s="41">
        <f t="shared" si="182"/>
        <v>9.1954022988505746E-2</v>
      </c>
      <c r="Y413" s="21">
        <v>67</v>
      </c>
      <c r="Z413" s="41">
        <f t="shared" si="183"/>
        <v>9.7242380261248179E-2</v>
      </c>
      <c r="AA413" s="21">
        <v>62</v>
      </c>
      <c r="AB413" s="41">
        <f t="shared" si="184"/>
        <v>0.11877394636015326</v>
      </c>
      <c r="AC413" s="21">
        <v>566</v>
      </c>
      <c r="AD413" s="41">
        <f t="shared" ref="AD413:AD441" si="192">IFERROR(AC413/$BE413,0)</f>
        <v>0.82148040638606679</v>
      </c>
      <c r="AE413" s="21">
        <v>412</v>
      </c>
      <c r="AF413" s="41">
        <f t="shared" si="185"/>
        <v>0.78927203065134099</v>
      </c>
      <c r="AG413" s="21">
        <v>23</v>
      </c>
      <c r="AH413" s="41">
        <f t="shared" ref="AH413:AH441" si="193">IFERROR(AG413/$BE413,0)</f>
        <v>3.3381712626995644E-2</v>
      </c>
      <c r="AI413" s="21">
        <v>22</v>
      </c>
      <c r="AJ413" s="41">
        <f t="shared" si="186"/>
        <v>4.2145593869731802E-2</v>
      </c>
      <c r="AK413" s="21">
        <v>28</v>
      </c>
      <c r="AL413" s="41">
        <f t="shared" ref="AL413:AL441" si="194">IFERROR(AK413/$BE413,0)</f>
        <v>4.0638606676342524E-2</v>
      </c>
      <c r="AM413" s="21">
        <v>20</v>
      </c>
      <c r="AN413" s="41">
        <f t="shared" si="187"/>
        <v>3.8314176245210725E-2</v>
      </c>
      <c r="AO413" s="21">
        <v>392</v>
      </c>
      <c r="AP413" s="41">
        <f t="shared" ref="AP413:AP441" si="195">IFERROR(AO413/$BE413,0)</f>
        <v>0.56894049346879538</v>
      </c>
      <c r="AQ413" s="21">
        <v>289</v>
      </c>
      <c r="AR413" s="41">
        <f t="shared" si="188"/>
        <v>0.55363984674329503</v>
      </c>
      <c r="AS413" s="21">
        <v>125</v>
      </c>
      <c r="AT413" s="41">
        <f t="shared" ref="AT413:AT441" si="196">IFERROR(AS413/$BE413,0)</f>
        <v>0.18142235123367198</v>
      </c>
      <c r="AU413" s="21">
        <v>87</v>
      </c>
      <c r="AV413" s="41">
        <f t="shared" si="189"/>
        <v>0.16666666666666666</v>
      </c>
      <c r="AW413" s="21">
        <v>72</v>
      </c>
      <c r="AX413" s="41">
        <f t="shared" ref="AX413:AX441" si="197">IFERROR(AW413/$BE413,0)</f>
        <v>0.10449927431059507</v>
      </c>
      <c r="AY413" s="21">
        <v>63</v>
      </c>
      <c r="AZ413" s="41">
        <f t="shared" si="190"/>
        <v>0.1206896551724138</v>
      </c>
      <c r="BA413" s="21">
        <v>49</v>
      </c>
      <c r="BB413" s="41">
        <f t="shared" ref="BB413:BB441" si="198">IFERROR(BA413/$BE413,0)</f>
        <v>7.1117561683599423E-2</v>
      </c>
      <c r="BC413" s="21">
        <v>41</v>
      </c>
      <c r="BD413" s="41">
        <f t="shared" si="191"/>
        <v>7.8544061302681989E-2</v>
      </c>
      <c r="BE413" s="21">
        <v>689</v>
      </c>
      <c r="BF413" s="21">
        <v>522</v>
      </c>
    </row>
    <row r="414" spans="1:58" ht="15.75" customHeight="1" x14ac:dyDescent="0.25">
      <c r="A414" s="44">
        <v>2022</v>
      </c>
      <c r="B414" s="39">
        <v>172120</v>
      </c>
      <c r="C414" s="37" t="str">
        <f>VLOOKUP(B414,procv!$A$2:$D$142,4,FALSE)</f>
        <v>Bico do Papagaio</v>
      </c>
      <c r="D414" s="37" t="s">
        <v>139</v>
      </c>
      <c r="E414" s="21">
        <v>12</v>
      </c>
      <c r="F414" s="42">
        <f t="shared" si="173"/>
        <v>9.6930533117932146E-3</v>
      </c>
      <c r="G414" s="21">
        <v>13</v>
      </c>
      <c r="H414" s="42">
        <f t="shared" si="174"/>
        <v>1.2757605495583905E-2</v>
      </c>
      <c r="I414" s="21">
        <v>45</v>
      </c>
      <c r="J414" s="41">
        <f t="shared" si="175"/>
        <v>3.6348949919224556E-2</v>
      </c>
      <c r="K414" s="21">
        <v>43</v>
      </c>
      <c r="L414" s="41">
        <f t="shared" si="176"/>
        <v>4.2198233562315994E-2</v>
      </c>
      <c r="M414" s="20">
        <v>1112</v>
      </c>
      <c r="N414" s="41">
        <f t="shared" si="177"/>
        <v>0.89822294022617122</v>
      </c>
      <c r="O414" s="21">
        <v>907</v>
      </c>
      <c r="P414" s="41">
        <f t="shared" si="178"/>
        <v>0.89008832188420017</v>
      </c>
      <c r="Q414" s="21">
        <v>69</v>
      </c>
      <c r="R414" s="41">
        <f t="shared" si="179"/>
        <v>5.5735056542810989E-2</v>
      </c>
      <c r="S414" s="21">
        <v>56</v>
      </c>
      <c r="T414" s="41">
        <f t="shared" si="180"/>
        <v>5.49558390578999E-2</v>
      </c>
      <c r="U414" s="21">
        <v>103</v>
      </c>
      <c r="V414" s="41">
        <f t="shared" si="181"/>
        <v>8.319870759289176E-2</v>
      </c>
      <c r="W414" s="21">
        <v>92</v>
      </c>
      <c r="X414" s="41">
        <f t="shared" si="182"/>
        <v>9.0284592737978411E-2</v>
      </c>
      <c r="Y414" s="21">
        <v>122</v>
      </c>
      <c r="Z414" s="41">
        <f t="shared" si="183"/>
        <v>9.8546042003231013E-2</v>
      </c>
      <c r="AA414" s="21">
        <v>105</v>
      </c>
      <c r="AB414" s="41">
        <f t="shared" si="184"/>
        <v>0.10304219823356231</v>
      </c>
      <c r="AC414" s="20">
        <v>1013</v>
      </c>
      <c r="AD414" s="41">
        <f t="shared" si="192"/>
        <v>0.81825525040387725</v>
      </c>
      <c r="AE414" s="21">
        <v>822</v>
      </c>
      <c r="AF414" s="41">
        <f t="shared" si="185"/>
        <v>0.80667320902845929</v>
      </c>
      <c r="AG414" s="21">
        <v>64</v>
      </c>
      <c r="AH414" s="41">
        <f t="shared" si="193"/>
        <v>5.1696284329563816E-2</v>
      </c>
      <c r="AI414" s="21">
        <v>75</v>
      </c>
      <c r="AJ414" s="41">
        <f t="shared" si="186"/>
        <v>7.3601570166830221E-2</v>
      </c>
      <c r="AK414" s="21">
        <v>61</v>
      </c>
      <c r="AL414" s="41">
        <f t="shared" si="194"/>
        <v>4.9273021001615507E-2</v>
      </c>
      <c r="AM414" s="21">
        <v>57</v>
      </c>
      <c r="AN414" s="41">
        <f t="shared" si="187"/>
        <v>5.5937193326790972E-2</v>
      </c>
      <c r="AO414" s="21">
        <v>750</v>
      </c>
      <c r="AP414" s="41">
        <f t="shared" si="195"/>
        <v>0.60581583198707589</v>
      </c>
      <c r="AQ414" s="21">
        <v>611</v>
      </c>
      <c r="AR414" s="41">
        <f t="shared" si="188"/>
        <v>0.59960745829244355</v>
      </c>
      <c r="AS414" s="21">
        <v>177</v>
      </c>
      <c r="AT414" s="41">
        <f t="shared" si="196"/>
        <v>0.14297253634894991</v>
      </c>
      <c r="AU414" s="21">
        <v>124</v>
      </c>
      <c r="AV414" s="41">
        <f t="shared" si="189"/>
        <v>0.12168792934249265</v>
      </c>
      <c r="AW414" s="21">
        <v>83</v>
      </c>
      <c r="AX414" s="41">
        <f t="shared" si="197"/>
        <v>6.7043618739903069E-2</v>
      </c>
      <c r="AY414" s="21">
        <v>70</v>
      </c>
      <c r="AZ414" s="41">
        <f t="shared" si="190"/>
        <v>6.8694798822374878E-2</v>
      </c>
      <c r="BA414" s="21">
        <v>103</v>
      </c>
      <c r="BB414" s="41">
        <f t="shared" si="198"/>
        <v>8.319870759289176E-2</v>
      </c>
      <c r="BC414" s="21">
        <v>82</v>
      </c>
      <c r="BD414" s="41">
        <f t="shared" si="191"/>
        <v>8.0471050049067711E-2</v>
      </c>
      <c r="BE414" s="20">
        <v>1238</v>
      </c>
      <c r="BF414" s="20">
        <v>1019</v>
      </c>
    </row>
    <row r="415" spans="1:58" ht="15.75" customHeight="1" x14ac:dyDescent="0.25">
      <c r="A415" s="44">
        <v>2022</v>
      </c>
      <c r="B415" s="39">
        <v>172125</v>
      </c>
      <c r="C415" s="37" t="str">
        <f>VLOOKUP(B415,procv!$A$2:$D$142,4,FALSE)</f>
        <v>Cerrado Tocantins Araguaia</v>
      </c>
      <c r="D415" s="37" t="s">
        <v>140</v>
      </c>
      <c r="E415" s="21">
        <v>1</v>
      </c>
      <c r="F415" s="42">
        <f t="shared" si="173"/>
        <v>6.8493150684931503E-3</v>
      </c>
      <c r="G415" s="21">
        <v>0</v>
      </c>
      <c r="H415" s="42">
        <f t="shared" si="174"/>
        <v>0</v>
      </c>
      <c r="I415" s="21">
        <v>4</v>
      </c>
      <c r="J415" s="41">
        <f t="shared" si="175"/>
        <v>2.7397260273972601E-2</v>
      </c>
      <c r="K415" s="21">
        <v>2</v>
      </c>
      <c r="L415" s="41">
        <f t="shared" si="176"/>
        <v>3.0769230769230771E-2</v>
      </c>
      <c r="M415" s="21">
        <v>136</v>
      </c>
      <c r="N415" s="41">
        <f t="shared" si="177"/>
        <v>0.93150684931506844</v>
      </c>
      <c r="O415" s="21">
        <v>60</v>
      </c>
      <c r="P415" s="41">
        <f t="shared" si="178"/>
        <v>0.92307692307692313</v>
      </c>
      <c r="Q415" s="21">
        <v>5</v>
      </c>
      <c r="R415" s="41">
        <f t="shared" si="179"/>
        <v>3.4246575342465752E-2</v>
      </c>
      <c r="S415" s="21">
        <v>3</v>
      </c>
      <c r="T415" s="41">
        <f t="shared" si="180"/>
        <v>4.6153846153846156E-2</v>
      </c>
      <c r="U415" s="21">
        <v>5</v>
      </c>
      <c r="V415" s="41">
        <f t="shared" si="181"/>
        <v>3.4246575342465752E-2</v>
      </c>
      <c r="W415" s="21">
        <v>3</v>
      </c>
      <c r="X415" s="41">
        <f t="shared" si="182"/>
        <v>4.6153846153846156E-2</v>
      </c>
      <c r="Y415" s="21">
        <v>4</v>
      </c>
      <c r="Z415" s="41">
        <f t="shared" si="183"/>
        <v>2.7397260273972601E-2</v>
      </c>
      <c r="AA415" s="21">
        <v>2</v>
      </c>
      <c r="AB415" s="41">
        <f t="shared" si="184"/>
        <v>3.0769230769230771E-2</v>
      </c>
      <c r="AC415" s="21">
        <v>137</v>
      </c>
      <c r="AD415" s="41">
        <f t="shared" si="192"/>
        <v>0.93835616438356162</v>
      </c>
      <c r="AE415" s="21">
        <v>60</v>
      </c>
      <c r="AF415" s="41">
        <f t="shared" si="185"/>
        <v>0.92307692307692313</v>
      </c>
      <c r="AG415" s="21">
        <v>1</v>
      </c>
      <c r="AH415" s="41">
        <f t="shared" si="193"/>
        <v>6.8493150684931503E-3</v>
      </c>
      <c r="AI415" s="21">
        <v>1</v>
      </c>
      <c r="AJ415" s="41">
        <f t="shared" si="186"/>
        <v>1.5384615384615385E-2</v>
      </c>
      <c r="AK415" s="21">
        <v>6</v>
      </c>
      <c r="AL415" s="41">
        <f t="shared" si="194"/>
        <v>4.1095890410958902E-2</v>
      </c>
      <c r="AM415" s="21">
        <v>7</v>
      </c>
      <c r="AN415" s="41">
        <f t="shared" si="187"/>
        <v>0.1076923076923077</v>
      </c>
      <c r="AO415" s="21">
        <v>107</v>
      </c>
      <c r="AP415" s="41">
        <f t="shared" si="195"/>
        <v>0.73287671232876717</v>
      </c>
      <c r="AQ415" s="21">
        <v>47</v>
      </c>
      <c r="AR415" s="41">
        <f t="shared" si="188"/>
        <v>0.72307692307692306</v>
      </c>
      <c r="AS415" s="21">
        <v>20</v>
      </c>
      <c r="AT415" s="41">
        <f t="shared" si="196"/>
        <v>0.13698630136986301</v>
      </c>
      <c r="AU415" s="21">
        <v>5</v>
      </c>
      <c r="AV415" s="41">
        <f t="shared" si="189"/>
        <v>7.6923076923076927E-2</v>
      </c>
      <c r="AW415" s="21">
        <v>6</v>
      </c>
      <c r="AX415" s="41">
        <f t="shared" si="197"/>
        <v>4.1095890410958902E-2</v>
      </c>
      <c r="AY415" s="21">
        <v>2</v>
      </c>
      <c r="AZ415" s="41">
        <f t="shared" si="190"/>
        <v>3.0769230769230771E-2</v>
      </c>
      <c r="BA415" s="21">
        <v>6</v>
      </c>
      <c r="BB415" s="41">
        <f t="shared" si="198"/>
        <v>4.1095890410958902E-2</v>
      </c>
      <c r="BC415" s="21">
        <v>3</v>
      </c>
      <c r="BD415" s="41">
        <f t="shared" si="191"/>
        <v>4.6153846153846156E-2</v>
      </c>
      <c r="BE415" s="21">
        <v>146</v>
      </c>
      <c r="BF415" s="21">
        <v>65</v>
      </c>
    </row>
    <row r="416" spans="1:58" ht="15.75" customHeight="1" x14ac:dyDescent="0.25">
      <c r="A416" s="44">
        <v>2022</v>
      </c>
      <c r="B416" s="39">
        <v>172130</v>
      </c>
      <c r="C416" s="37" t="str">
        <f>VLOOKUP(B416,procv!$A$2:$D$142,4,FALSE)</f>
        <v>Cerrado Tocantins Araguaia</v>
      </c>
      <c r="D416" s="37" t="s">
        <v>141</v>
      </c>
      <c r="E416" s="21">
        <v>1</v>
      </c>
      <c r="F416" s="42">
        <f t="shared" si="173"/>
        <v>1.3698630136986301E-2</v>
      </c>
      <c r="G416" s="21">
        <v>0</v>
      </c>
      <c r="H416" s="42">
        <f t="shared" si="174"/>
        <v>0</v>
      </c>
      <c r="I416" s="21">
        <v>2</v>
      </c>
      <c r="J416" s="41">
        <f t="shared" si="175"/>
        <v>2.7397260273972601E-2</v>
      </c>
      <c r="K416" s="21">
        <v>0</v>
      </c>
      <c r="L416" s="41">
        <f t="shared" si="176"/>
        <v>0</v>
      </c>
      <c r="M416" s="21">
        <v>67</v>
      </c>
      <c r="N416" s="41">
        <f t="shared" si="177"/>
        <v>0.9178082191780822</v>
      </c>
      <c r="O416" s="21">
        <v>3</v>
      </c>
      <c r="P416" s="41">
        <f t="shared" si="178"/>
        <v>1</v>
      </c>
      <c r="Q416" s="21">
        <v>3</v>
      </c>
      <c r="R416" s="41">
        <f t="shared" si="179"/>
        <v>4.1095890410958902E-2</v>
      </c>
      <c r="S416" s="21">
        <v>0</v>
      </c>
      <c r="T416" s="41">
        <f t="shared" si="180"/>
        <v>0</v>
      </c>
      <c r="U416" s="21">
        <v>4</v>
      </c>
      <c r="V416" s="41">
        <f t="shared" si="181"/>
        <v>5.4794520547945202E-2</v>
      </c>
      <c r="W416" s="21">
        <v>0</v>
      </c>
      <c r="X416" s="41">
        <f t="shared" si="182"/>
        <v>0</v>
      </c>
      <c r="Y416" s="21">
        <v>5</v>
      </c>
      <c r="Z416" s="41">
        <f t="shared" si="183"/>
        <v>6.8493150684931503E-2</v>
      </c>
      <c r="AA416" s="21">
        <v>0</v>
      </c>
      <c r="AB416" s="41">
        <f t="shared" si="184"/>
        <v>0</v>
      </c>
      <c r="AC416" s="21">
        <v>64</v>
      </c>
      <c r="AD416" s="41">
        <f t="shared" si="192"/>
        <v>0.87671232876712324</v>
      </c>
      <c r="AE416" s="21">
        <v>3</v>
      </c>
      <c r="AF416" s="41">
        <f t="shared" si="185"/>
        <v>1</v>
      </c>
      <c r="AG416" s="21">
        <v>1</v>
      </c>
      <c r="AH416" s="41">
        <f t="shared" si="193"/>
        <v>1.3698630136986301E-2</v>
      </c>
      <c r="AI416" s="21">
        <v>0</v>
      </c>
      <c r="AJ416" s="41">
        <f t="shared" si="186"/>
        <v>0</v>
      </c>
      <c r="AK416" s="21">
        <v>2</v>
      </c>
      <c r="AL416" s="41">
        <f t="shared" si="194"/>
        <v>2.7397260273972601E-2</v>
      </c>
      <c r="AM416" s="21">
        <v>0</v>
      </c>
      <c r="AN416" s="41">
        <f t="shared" si="187"/>
        <v>0</v>
      </c>
      <c r="AO416" s="21">
        <v>49</v>
      </c>
      <c r="AP416" s="41">
        <f t="shared" si="195"/>
        <v>0.67123287671232879</v>
      </c>
      <c r="AQ416" s="21">
        <v>3</v>
      </c>
      <c r="AR416" s="41">
        <f t="shared" si="188"/>
        <v>1</v>
      </c>
      <c r="AS416" s="21">
        <v>13</v>
      </c>
      <c r="AT416" s="41">
        <f t="shared" si="196"/>
        <v>0.17808219178082191</v>
      </c>
      <c r="AU416" s="21">
        <v>0</v>
      </c>
      <c r="AV416" s="41">
        <f t="shared" si="189"/>
        <v>0</v>
      </c>
      <c r="AW416" s="21">
        <v>6</v>
      </c>
      <c r="AX416" s="41">
        <f t="shared" si="197"/>
        <v>8.2191780821917804E-2</v>
      </c>
      <c r="AY416" s="21">
        <v>0</v>
      </c>
      <c r="AZ416" s="41">
        <f t="shared" si="190"/>
        <v>0</v>
      </c>
      <c r="BA416" s="21">
        <v>2</v>
      </c>
      <c r="BB416" s="41">
        <f t="shared" si="198"/>
        <v>2.7397260273972601E-2</v>
      </c>
      <c r="BC416" s="21">
        <v>0</v>
      </c>
      <c r="BD416" s="41">
        <f t="shared" si="191"/>
        <v>0</v>
      </c>
      <c r="BE416" s="21">
        <v>73</v>
      </c>
      <c r="BF416" s="21">
        <v>3</v>
      </c>
    </row>
    <row r="417" spans="1:58" ht="15.75" customHeight="1" x14ac:dyDescent="0.25">
      <c r="A417" s="44">
        <v>2022</v>
      </c>
      <c r="B417" s="39">
        <v>172208</v>
      </c>
      <c r="C417" s="37" t="str">
        <f>VLOOKUP(B417,procv!$A$2:$D$142,4,FALSE)</f>
        <v>Médio Norte Araguaia</v>
      </c>
      <c r="D417" s="37" t="s">
        <v>142</v>
      </c>
      <c r="E417" s="21">
        <v>7</v>
      </c>
      <c r="F417" s="42">
        <f t="shared" si="173"/>
        <v>1.1804384485666104E-2</v>
      </c>
      <c r="G417" s="21">
        <v>4</v>
      </c>
      <c r="H417" s="42">
        <f t="shared" si="174"/>
        <v>1.1080332409972299E-2</v>
      </c>
      <c r="I417" s="21">
        <v>19</v>
      </c>
      <c r="J417" s="41">
        <f t="shared" si="175"/>
        <v>3.2040472175379427E-2</v>
      </c>
      <c r="K417" s="21">
        <v>12</v>
      </c>
      <c r="L417" s="41">
        <f t="shared" si="176"/>
        <v>3.3240997229916899E-2</v>
      </c>
      <c r="M417" s="21">
        <v>517</v>
      </c>
      <c r="N417" s="41">
        <f t="shared" si="177"/>
        <v>0.87183811129848232</v>
      </c>
      <c r="O417" s="21">
        <v>324</v>
      </c>
      <c r="P417" s="41">
        <f t="shared" si="178"/>
        <v>0.89750692520775621</v>
      </c>
      <c r="Q417" s="21">
        <v>50</v>
      </c>
      <c r="R417" s="41">
        <f t="shared" si="179"/>
        <v>8.4317032040472181E-2</v>
      </c>
      <c r="S417" s="21">
        <v>21</v>
      </c>
      <c r="T417" s="41">
        <f t="shared" si="180"/>
        <v>5.817174515235457E-2</v>
      </c>
      <c r="U417" s="21">
        <v>34</v>
      </c>
      <c r="V417" s="41">
        <f t="shared" si="181"/>
        <v>5.733558178752108E-2</v>
      </c>
      <c r="W417" s="21">
        <v>20</v>
      </c>
      <c r="X417" s="41">
        <f t="shared" si="182"/>
        <v>5.5401662049861494E-2</v>
      </c>
      <c r="Y417" s="21">
        <v>47</v>
      </c>
      <c r="Z417" s="41">
        <f t="shared" si="183"/>
        <v>7.9258010118043842E-2</v>
      </c>
      <c r="AA417" s="21">
        <v>28</v>
      </c>
      <c r="AB417" s="41">
        <f t="shared" si="184"/>
        <v>7.7562326869806089E-2</v>
      </c>
      <c r="AC417" s="21">
        <v>512</v>
      </c>
      <c r="AD417" s="41">
        <f t="shared" si="192"/>
        <v>0.86340640809443503</v>
      </c>
      <c r="AE417" s="21">
        <v>313</v>
      </c>
      <c r="AF417" s="41">
        <f t="shared" si="185"/>
        <v>0.86703601108033246</v>
      </c>
      <c r="AG417" s="21">
        <v>11</v>
      </c>
      <c r="AH417" s="41">
        <f t="shared" si="193"/>
        <v>1.8549747048903879E-2</v>
      </c>
      <c r="AI417" s="21">
        <v>9</v>
      </c>
      <c r="AJ417" s="41">
        <f t="shared" si="186"/>
        <v>2.4930747922437674E-2</v>
      </c>
      <c r="AK417" s="21">
        <v>20</v>
      </c>
      <c r="AL417" s="41">
        <f t="shared" si="194"/>
        <v>3.3726812816188868E-2</v>
      </c>
      <c r="AM417" s="21">
        <v>21</v>
      </c>
      <c r="AN417" s="41">
        <f t="shared" si="187"/>
        <v>5.817174515235457E-2</v>
      </c>
      <c r="AO417" s="21">
        <v>361</v>
      </c>
      <c r="AP417" s="41">
        <f t="shared" si="195"/>
        <v>0.60876897133220909</v>
      </c>
      <c r="AQ417" s="21">
        <v>229</v>
      </c>
      <c r="AR417" s="41">
        <f t="shared" si="188"/>
        <v>0.63434903047091418</v>
      </c>
      <c r="AS417" s="21">
        <v>102</v>
      </c>
      <c r="AT417" s="41">
        <f t="shared" si="196"/>
        <v>0.17200674536256325</v>
      </c>
      <c r="AU417" s="21">
        <v>52</v>
      </c>
      <c r="AV417" s="41">
        <f t="shared" si="189"/>
        <v>0.1440443213296399</v>
      </c>
      <c r="AW417" s="21">
        <v>60</v>
      </c>
      <c r="AX417" s="41">
        <f t="shared" si="197"/>
        <v>0.10118043844856661</v>
      </c>
      <c r="AY417" s="21">
        <v>32</v>
      </c>
      <c r="AZ417" s="41">
        <f t="shared" si="190"/>
        <v>8.8642659279778394E-2</v>
      </c>
      <c r="BA417" s="21">
        <v>39</v>
      </c>
      <c r="BB417" s="41">
        <f t="shared" si="198"/>
        <v>6.5767284991568295E-2</v>
      </c>
      <c r="BC417" s="21">
        <v>18</v>
      </c>
      <c r="BD417" s="41">
        <f t="shared" si="191"/>
        <v>4.9861495844875349E-2</v>
      </c>
      <c r="BE417" s="21">
        <v>593</v>
      </c>
      <c r="BF417" s="21">
        <v>361</v>
      </c>
    </row>
    <row r="418" spans="1:58" ht="15.75" customHeight="1" x14ac:dyDescent="0.25">
      <c r="A418" s="44">
        <v>2022</v>
      </c>
      <c r="B418" s="39">
        <v>172210</v>
      </c>
      <c r="C418" s="37" t="str">
        <f>VLOOKUP(B418,procv!$A$2:$D$142,4,FALSE)</f>
        <v>Médio Norte Araguaia</v>
      </c>
      <c r="D418" s="37" t="s">
        <v>143</v>
      </c>
      <c r="E418" s="21">
        <v>3</v>
      </c>
      <c r="F418" s="42">
        <f t="shared" si="173"/>
        <v>5.3191489361702126E-3</v>
      </c>
      <c r="G418" s="21">
        <v>2</v>
      </c>
      <c r="H418" s="42">
        <f t="shared" si="174"/>
        <v>5.6980056980056983E-3</v>
      </c>
      <c r="I418" s="21">
        <v>23</v>
      </c>
      <c r="J418" s="41">
        <f t="shared" si="175"/>
        <v>4.0780141843971635E-2</v>
      </c>
      <c r="K418" s="21">
        <v>15</v>
      </c>
      <c r="L418" s="41">
        <f t="shared" si="176"/>
        <v>4.2735042735042736E-2</v>
      </c>
      <c r="M418" s="21">
        <v>520</v>
      </c>
      <c r="N418" s="41">
        <f t="shared" si="177"/>
        <v>0.92198581560283688</v>
      </c>
      <c r="O418" s="21">
        <v>321</v>
      </c>
      <c r="P418" s="41">
        <f t="shared" si="178"/>
        <v>0.9145299145299145</v>
      </c>
      <c r="Q418" s="21">
        <v>18</v>
      </c>
      <c r="R418" s="41">
        <f t="shared" si="179"/>
        <v>3.1914893617021274E-2</v>
      </c>
      <c r="S418" s="21">
        <v>13</v>
      </c>
      <c r="T418" s="41">
        <f t="shared" si="180"/>
        <v>3.7037037037037035E-2</v>
      </c>
      <c r="U418" s="21">
        <v>30</v>
      </c>
      <c r="V418" s="41">
        <f t="shared" si="181"/>
        <v>5.3191489361702128E-2</v>
      </c>
      <c r="W418" s="21">
        <v>19</v>
      </c>
      <c r="X418" s="41">
        <f t="shared" si="182"/>
        <v>5.4131054131054131E-2</v>
      </c>
      <c r="Y418" s="21">
        <v>44</v>
      </c>
      <c r="Z418" s="41">
        <f t="shared" si="183"/>
        <v>7.8014184397163122E-2</v>
      </c>
      <c r="AA418" s="21">
        <v>29</v>
      </c>
      <c r="AB418" s="41">
        <f t="shared" si="184"/>
        <v>8.2621082621082614E-2</v>
      </c>
      <c r="AC418" s="21">
        <v>489</v>
      </c>
      <c r="AD418" s="41">
        <f t="shared" si="192"/>
        <v>0.86702127659574468</v>
      </c>
      <c r="AE418" s="21">
        <v>302</v>
      </c>
      <c r="AF418" s="41">
        <f t="shared" si="185"/>
        <v>0.86039886039886038</v>
      </c>
      <c r="AG418" s="21">
        <v>14</v>
      </c>
      <c r="AH418" s="41">
        <f t="shared" si="193"/>
        <v>2.4822695035460994E-2</v>
      </c>
      <c r="AI418" s="21">
        <v>11</v>
      </c>
      <c r="AJ418" s="41">
        <f t="shared" si="186"/>
        <v>3.1339031339031341E-2</v>
      </c>
      <c r="AK418" s="21">
        <v>32</v>
      </c>
      <c r="AL418" s="41">
        <f t="shared" si="194"/>
        <v>5.6737588652482268E-2</v>
      </c>
      <c r="AM418" s="21">
        <v>25</v>
      </c>
      <c r="AN418" s="41">
        <f t="shared" si="187"/>
        <v>7.1225071225071226E-2</v>
      </c>
      <c r="AO418" s="21">
        <v>362</v>
      </c>
      <c r="AP418" s="41">
        <f t="shared" si="195"/>
        <v>0.64184397163120566</v>
      </c>
      <c r="AQ418" s="21">
        <v>231</v>
      </c>
      <c r="AR418" s="41">
        <f t="shared" si="188"/>
        <v>0.65811965811965811</v>
      </c>
      <c r="AS418" s="21">
        <v>95</v>
      </c>
      <c r="AT418" s="41">
        <f t="shared" si="196"/>
        <v>0.16843971631205673</v>
      </c>
      <c r="AU418" s="21">
        <v>49</v>
      </c>
      <c r="AV418" s="41">
        <f t="shared" si="189"/>
        <v>0.1396011396011396</v>
      </c>
      <c r="AW418" s="21">
        <v>38</v>
      </c>
      <c r="AX418" s="41">
        <f t="shared" si="197"/>
        <v>6.7375886524822695E-2</v>
      </c>
      <c r="AY418" s="21">
        <v>19</v>
      </c>
      <c r="AZ418" s="41">
        <f t="shared" si="190"/>
        <v>5.4131054131054131E-2</v>
      </c>
      <c r="BA418" s="21">
        <v>23</v>
      </c>
      <c r="BB418" s="41">
        <f t="shared" si="198"/>
        <v>4.0780141843971635E-2</v>
      </c>
      <c r="BC418" s="21">
        <v>16</v>
      </c>
      <c r="BD418" s="41">
        <f t="shared" si="191"/>
        <v>4.5584045584045586E-2</v>
      </c>
      <c r="BE418" s="21">
        <v>564</v>
      </c>
      <c r="BF418" s="21">
        <v>351</v>
      </c>
    </row>
    <row r="419" spans="1:58" ht="15.75" customHeight="1" x14ac:dyDescent="0.25">
      <c r="A419" s="44">
        <v>2021</v>
      </c>
      <c r="B419" s="39">
        <v>170025</v>
      </c>
      <c r="C419" s="38" t="s">
        <v>144</v>
      </c>
      <c r="D419" s="38" t="s">
        <v>5</v>
      </c>
      <c r="E419" s="21">
        <v>0</v>
      </c>
      <c r="F419" s="42">
        <f t="shared" si="173"/>
        <v>0</v>
      </c>
      <c r="G419" s="21">
        <v>0</v>
      </c>
      <c r="H419" s="42">
        <f t="shared" si="174"/>
        <v>0</v>
      </c>
      <c r="I419" s="21">
        <v>4</v>
      </c>
      <c r="J419" s="41">
        <f t="shared" si="175"/>
        <v>2.4390243902439025E-2</v>
      </c>
      <c r="K419" s="21">
        <v>2</v>
      </c>
      <c r="L419" s="41">
        <f t="shared" si="176"/>
        <v>3.0303030303030304E-2</v>
      </c>
      <c r="M419" s="21">
        <v>144</v>
      </c>
      <c r="N419" s="41">
        <f t="shared" si="177"/>
        <v>0.87804878048780488</v>
      </c>
      <c r="O419" s="21">
        <v>61</v>
      </c>
      <c r="P419" s="41">
        <f t="shared" si="178"/>
        <v>0.9242424242424242</v>
      </c>
      <c r="Q419" s="21">
        <v>16</v>
      </c>
      <c r="R419" s="41">
        <f t="shared" si="179"/>
        <v>9.7560975609756101E-2</v>
      </c>
      <c r="S419" s="21">
        <v>3</v>
      </c>
      <c r="T419" s="41">
        <f t="shared" si="180"/>
        <v>4.5454545454545456E-2</v>
      </c>
      <c r="U419" s="21">
        <v>8</v>
      </c>
      <c r="V419" s="41">
        <f t="shared" si="181"/>
        <v>4.878048780487805E-2</v>
      </c>
      <c r="W419" s="21">
        <v>3</v>
      </c>
      <c r="X419" s="41">
        <f t="shared" si="182"/>
        <v>4.5454545454545456E-2</v>
      </c>
      <c r="Y419" s="21">
        <v>9</v>
      </c>
      <c r="Z419" s="41">
        <f t="shared" si="183"/>
        <v>5.4878048780487805E-2</v>
      </c>
      <c r="AA419" s="21">
        <v>6</v>
      </c>
      <c r="AB419" s="41">
        <f t="shared" si="184"/>
        <v>9.0909090909090912E-2</v>
      </c>
      <c r="AC419" s="21">
        <v>147</v>
      </c>
      <c r="AD419" s="41">
        <f t="shared" si="192"/>
        <v>0.89634146341463417</v>
      </c>
      <c r="AE419" s="21">
        <v>57</v>
      </c>
      <c r="AF419" s="41">
        <f t="shared" si="185"/>
        <v>0.86363636363636365</v>
      </c>
      <c r="AG419" s="21">
        <v>2</v>
      </c>
      <c r="AH419" s="41">
        <f t="shared" si="193"/>
        <v>1.2195121951219513E-2</v>
      </c>
      <c r="AI419" s="21">
        <v>4</v>
      </c>
      <c r="AJ419" s="41">
        <f t="shared" si="186"/>
        <v>6.0606060606060608E-2</v>
      </c>
      <c r="AK419" s="21">
        <v>5</v>
      </c>
      <c r="AL419" s="41">
        <f t="shared" si="194"/>
        <v>3.048780487804878E-2</v>
      </c>
      <c r="AM419" s="21">
        <v>2</v>
      </c>
      <c r="AN419" s="41">
        <f t="shared" si="187"/>
        <v>3.0303030303030304E-2</v>
      </c>
      <c r="AO419" s="21">
        <v>106</v>
      </c>
      <c r="AP419" s="41">
        <f t="shared" si="195"/>
        <v>0.64634146341463417</v>
      </c>
      <c r="AQ419" s="21">
        <v>44</v>
      </c>
      <c r="AR419" s="41">
        <f t="shared" si="188"/>
        <v>0.66666666666666663</v>
      </c>
      <c r="AS419" s="21">
        <v>22</v>
      </c>
      <c r="AT419" s="41">
        <f t="shared" si="196"/>
        <v>0.13414634146341464</v>
      </c>
      <c r="AU419" s="21">
        <v>7</v>
      </c>
      <c r="AV419" s="41">
        <f t="shared" si="189"/>
        <v>0.10606060606060606</v>
      </c>
      <c r="AW419" s="21">
        <v>14</v>
      </c>
      <c r="AX419" s="41">
        <f t="shared" si="197"/>
        <v>8.5365853658536592E-2</v>
      </c>
      <c r="AY419" s="21">
        <v>4</v>
      </c>
      <c r="AZ419" s="41">
        <f t="shared" si="190"/>
        <v>6.0606060606060608E-2</v>
      </c>
      <c r="BA419" s="21">
        <v>15</v>
      </c>
      <c r="BB419" s="41">
        <f t="shared" si="198"/>
        <v>9.1463414634146339E-2</v>
      </c>
      <c r="BC419" s="21">
        <v>5</v>
      </c>
      <c r="BD419" s="41">
        <f t="shared" si="191"/>
        <v>7.575757575757576E-2</v>
      </c>
      <c r="BE419" s="21">
        <v>164</v>
      </c>
      <c r="BF419" s="21">
        <v>66</v>
      </c>
    </row>
    <row r="420" spans="1:58" ht="15.75" customHeight="1" x14ac:dyDescent="0.25">
      <c r="A420" s="44">
        <v>2021</v>
      </c>
      <c r="B420" s="39">
        <v>170030</v>
      </c>
      <c r="C420" s="38" t="s">
        <v>145</v>
      </c>
      <c r="D420" s="38" t="s">
        <v>6</v>
      </c>
      <c r="E420" s="21">
        <v>1</v>
      </c>
      <c r="F420" s="42">
        <f t="shared" si="173"/>
        <v>5.7471264367816091E-3</v>
      </c>
      <c r="G420" s="21">
        <v>1</v>
      </c>
      <c r="H420" s="42">
        <f t="shared" si="174"/>
        <v>6.369426751592357E-3</v>
      </c>
      <c r="I420" s="21">
        <v>4</v>
      </c>
      <c r="J420" s="41">
        <f t="shared" si="175"/>
        <v>2.2988505747126436E-2</v>
      </c>
      <c r="K420" s="21">
        <v>3</v>
      </c>
      <c r="L420" s="41">
        <f t="shared" si="176"/>
        <v>1.9108280254777069E-2</v>
      </c>
      <c r="M420" s="21">
        <v>159</v>
      </c>
      <c r="N420" s="41">
        <f t="shared" si="177"/>
        <v>0.91379310344827591</v>
      </c>
      <c r="O420" s="21">
        <v>144</v>
      </c>
      <c r="P420" s="41">
        <f t="shared" si="178"/>
        <v>0.91719745222929938</v>
      </c>
      <c r="Q420" s="21">
        <v>10</v>
      </c>
      <c r="R420" s="41">
        <f t="shared" si="179"/>
        <v>5.7471264367816091E-2</v>
      </c>
      <c r="S420" s="21">
        <v>9</v>
      </c>
      <c r="T420" s="41">
        <f t="shared" si="180"/>
        <v>5.7324840764331211E-2</v>
      </c>
      <c r="U420" s="21">
        <v>10</v>
      </c>
      <c r="V420" s="41">
        <f t="shared" si="181"/>
        <v>5.7471264367816091E-2</v>
      </c>
      <c r="W420" s="21">
        <v>9</v>
      </c>
      <c r="X420" s="41">
        <f t="shared" si="182"/>
        <v>5.7324840764331211E-2</v>
      </c>
      <c r="Y420" s="21">
        <v>6</v>
      </c>
      <c r="Z420" s="41">
        <f t="shared" si="183"/>
        <v>3.4482758620689655E-2</v>
      </c>
      <c r="AA420" s="21">
        <v>5</v>
      </c>
      <c r="AB420" s="41">
        <f t="shared" si="184"/>
        <v>3.1847133757961783E-2</v>
      </c>
      <c r="AC420" s="21">
        <v>158</v>
      </c>
      <c r="AD420" s="41">
        <f t="shared" si="192"/>
        <v>0.90804597701149425</v>
      </c>
      <c r="AE420" s="21">
        <v>143</v>
      </c>
      <c r="AF420" s="41">
        <f t="shared" si="185"/>
        <v>0.91082802547770703</v>
      </c>
      <c r="AG420" s="21">
        <v>15</v>
      </c>
      <c r="AH420" s="41">
        <f t="shared" si="193"/>
        <v>8.6206896551724144E-2</v>
      </c>
      <c r="AI420" s="21">
        <v>14</v>
      </c>
      <c r="AJ420" s="41">
        <f t="shared" si="186"/>
        <v>8.9171974522292988E-2</v>
      </c>
      <c r="AK420" s="21">
        <v>12</v>
      </c>
      <c r="AL420" s="41">
        <f t="shared" si="194"/>
        <v>6.8965517241379309E-2</v>
      </c>
      <c r="AM420" s="21">
        <v>13</v>
      </c>
      <c r="AN420" s="41">
        <f t="shared" si="187"/>
        <v>8.2802547770700632E-2</v>
      </c>
      <c r="AO420" s="21">
        <v>120</v>
      </c>
      <c r="AP420" s="41">
        <f t="shared" si="195"/>
        <v>0.68965517241379315</v>
      </c>
      <c r="AQ420" s="21">
        <v>110</v>
      </c>
      <c r="AR420" s="41">
        <f t="shared" si="188"/>
        <v>0.70063694267515919</v>
      </c>
      <c r="AS420" s="21">
        <v>10</v>
      </c>
      <c r="AT420" s="41">
        <f t="shared" si="196"/>
        <v>5.7471264367816091E-2</v>
      </c>
      <c r="AU420" s="21">
        <v>6</v>
      </c>
      <c r="AV420" s="41">
        <f t="shared" si="189"/>
        <v>3.8216560509554139E-2</v>
      </c>
      <c r="AW420" s="21">
        <v>8</v>
      </c>
      <c r="AX420" s="41">
        <f t="shared" si="197"/>
        <v>4.5977011494252873E-2</v>
      </c>
      <c r="AY420" s="21">
        <v>6</v>
      </c>
      <c r="AZ420" s="41">
        <f t="shared" si="190"/>
        <v>3.8216560509554139E-2</v>
      </c>
      <c r="BA420" s="21">
        <v>9</v>
      </c>
      <c r="BB420" s="41">
        <f t="shared" si="198"/>
        <v>5.1724137931034482E-2</v>
      </c>
      <c r="BC420" s="21">
        <v>8</v>
      </c>
      <c r="BD420" s="41">
        <f t="shared" si="191"/>
        <v>5.0955414012738856E-2</v>
      </c>
      <c r="BE420" s="21">
        <v>174</v>
      </c>
      <c r="BF420" s="21">
        <v>157</v>
      </c>
    </row>
    <row r="421" spans="1:58" ht="15.75" customHeight="1" x14ac:dyDescent="0.25">
      <c r="A421" s="44">
        <v>2021</v>
      </c>
      <c r="B421" s="39">
        <v>170035</v>
      </c>
      <c r="C421" s="38" t="s">
        <v>146</v>
      </c>
      <c r="D421" s="38" t="s">
        <v>7</v>
      </c>
      <c r="E421" s="21">
        <v>3</v>
      </c>
      <c r="F421" s="42">
        <f t="shared" si="173"/>
        <v>1.3215859030837005E-2</v>
      </c>
      <c r="G421" s="21">
        <v>1</v>
      </c>
      <c r="H421" s="42">
        <f t="shared" si="174"/>
        <v>7.874015748031496E-3</v>
      </c>
      <c r="I421" s="21">
        <v>5</v>
      </c>
      <c r="J421" s="41">
        <f t="shared" si="175"/>
        <v>2.2026431718061675E-2</v>
      </c>
      <c r="K421" s="21">
        <v>2</v>
      </c>
      <c r="L421" s="41">
        <f t="shared" si="176"/>
        <v>1.5748031496062992E-2</v>
      </c>
      <c r="M421" s="21">
        <v>202</v>
      </c>
      <c r="N421" s="41">
        <f t="shared" si="177"/>
        <v>0.88986784140969166</v>
      </c>
      <c r="O421" s="21">
        <v>116</v>
      </c>
      <c r="P421" s="41">
        <f t="shared" si="178"/>
        <v>0.91338582677165359</v>
      </c>
      <c r="Q421" s="21">
        <v>17</v>
      </c>
      <c r="R421" s="41">
        <f t="shared" si="179"/>
        <v>7.4889867841409691E-2</v>
      </c>
      <c r="S421" s="21">
        <v>8</v>
      </c>
      <c r="T421" s="41">
        <f t="shared" si="180"/>
        <v>6.2992125984251968E-2</v>
      </c>
      <c r="U421" s="21">
        <v>14</v>
      </c>
      <c r="V421" s="41">
        <f t="shared" si="181"/>
        <v>6.1674008810572688E-2</v>
      </c>
      <c r="W421" s="21">
        <v>8</v>
      </c>
      <c r="X421" s="41">
        <f t="shared" si="182"/>
        <v>6.2992125984251968E-2</v>
      </c>
      <c r="Y421" s="21">
        <v>11</v>
      </c>
      <c r="Z421" s="41">
        <f t="shared" si="183"/>
        <v>4.8458149779735685E-2</v>
      </c>
      <c r="AA421" s="21">
        <v>8</v>
      </c>
      <c r="AB421" s="41">
        <f t="shared" si="184"/>
        <v>6.2992125984251968E-2</v>
      </c>
      <c r="AC421" s="21">
        <v>202</v>
      </c>
      <c r="AD421" s="41">
        <f t="shared" si="192"/>
        <v>0.88986784140969166</v>
      </c>
      <c r="AE421" s="21">
        <v>111</v>
      </c>
      <c r="AF421" s="41">
        <f t="shared" si="185"/>
        <v>0.87401574803149606</v>
      </c>
      <c r="AG421" s="21">
        <v>17</v>
      </c>
      <c r="AH421" s="41">
        <f t="shared" si="193"/>
        <v>7.4889867841409691E-2</v>
      </c>
      <c r="AI421" s="21">
        <v>5</v>
      </c>
      <c r="AJ421" s="41">
        <f t="shared" si="186"/>
        <v>3.937007874015748E-2</v>
      </c>
      <c r="AK421" s="21">
        <v>13</v>
      </c>
      <c r="AL421" s="41">
        <f t="shared" si="194"/>
        <v>5.7268722466960353E-2</v>
      </c>
      <c r="AM421" s="21">
        <v>6</v>
      </c>
      <c r="AN421" s="41">
        <f t="shared" si="187"/>
        <v>4.7244094488188976E-2</v>
      </c>
      <c r="AO421" s="21">
        <v>123</v>
      </c>
      <c r="AP421" s="41">
        <f t="shared" si="195"/>
        <v>0.54185022026431717</v>
      </c>
      <c r="AQ421" s="21">
        <v>79</v>
      </c>
      <c r="AR421" s="41">
        <f t="shared" si="188"/>
        <v>0.62204724409448819</v>
      </c>
      <c r="AS421" s="21">
        <v>42</v>
      </c>
      <c r="AT421" s="41">
        <f t="shared" si="196"/>
        <v>0.18502202643171806</v>
      </c>
      <c r="AU421" s="21">
        <v>19</v>
      </c>
      <c r="AV421" s="41">
        <f t="shared" si="189"/>
        <v>0.14960629921259844</v>
      </c>
      <c r="AW421" s="21">
        <v>17</v>
      </c>
      <c r="AX421" s="41">
        <f t="shared" si="197"/>
        <v>7.4889867841409691E-2</v>
      </c>
      <c r="AY421" s="21">
        <v>10</v>
      </c>
      <c r="AZ421" s="41">
        <f t="shared" si="190"/>
        <v>7.874015748031496E-2</v>
      </c>
      <c r="BA421" s="21">
        <v>15</v>
      </c>
      <c r="BB421" s="41">
        <f t="shared" si="198"/>
        <v>6.6079295154185022E-2</v>
      </c>
      <c r="BC421" s="21">
        <v>8</v>
      </c>
      <c r="BD421" s="41">
        <f t="shared" si="191"/>
        <v>6.2992125984251968E-2</v>
      </c>
      <c r="BE421" s="21">
        <v>227</v>
      </c>
      <c r="BF421" s="21">
        <v>127</v>
      </c>
    </row>
    <row r="422" spans="1:58" ht="15.75" customHeight="1" x14ac:dyDescent="0.25">
      <c r="A422" s="44">
        <v>2021</v>
      </c>
      <c r="B422" s="39">
        <v>170040</v>
      </c>
      <c r="C422" s="38" t="s">
        <v>147</v>
      </c>
      <c r="D422" s="38" t="s">
        <v>8</v>
      </c>
      <c r="E422" s="21">
        <v>0</v>
      </c>
      <c r="F422" s="42">
        <f t="shared" si="173"/>
        <v>0</v>
      </c>
      <c r="G422" s="21">
        <v>0</v>
      </c>
      <c r="H422" s="42">
        <f t="shared" si="174"/>
        <v>0</v>
      </c>
      <c r="I422" s="21">
        <v>0</v>
      </c>
      <c r="J422" s="41">
        <f t="shared" si="175"/>
        <v>0</v>
      </c>
      <c r="K422" s="21">
        <v>0</v>
      </c>
      <c r="L422" s="41">
        <f t="shared" si="176"/>
        <v>0</v>
      </c>
      <c r="M422" s="21">
        <v>15</v>
      </c>
      <c r="N422" s="41">
        <f t="shared" si="177"/>
        <v>0.9375</v>
      </c>
      <c r="O422" s="21">
        <v>4</v>
      </c>
      <c r="P422" s="41">
        <f t="shared" si="178"/>
        <v>0.8</v>
      </c>
      <c r="Q422" s="21">
        <v>1</v>
      </c>
      <c r="R422" s="41">
        <f t="shared" si="179"/>
        <v>6.25E-2</v>
      </c>
      <c r="S422" s="21">
        <v>1</v>
      </c>
      <c r="T422" s="41">
        <f t="shared" si="180"/>
        <v>0.2</v>
      </c>
      <c r="U422" s="21">
        <v>3</v>
      </c>
      <c r="V422" s="41">
        <f t="shared" si="181"/>
        <v>0.1875</v>
      </c>
      <c r="W422" s="21">
        <v>1</v>
      </c>
      <c r="X422" s="41">
        <f t="shared" si="182"/>
        <v>0.2</v>
      </c>
      <c r="Y422" s="21">
        <v>1</v>
      </c>
      <c r="Z422" s="41">
        <f t="shared" si="183"/>
        <v>6.25E-2</v>
      </c>
      <c r="AA422" s="21">
        <v>0</v>
      </c>
      <c r="AB422" s="41">
        <f t="shared" si="184"/>
        <v>0</v>
      </c>
      <c r="AC422" s="21">
        <v>12</v>
      </c>
      <c r="AD422" s="41">
        <f t="shared" si="192"/>
        <v>0.75</v>
      </c>
      <c r="AE422" s="21">
        <v>4</v>
      </c>
      <c r="AF422" s="41">
        <f t="shared" si="185"/>
        <v>0.8</v>
      </c>
      <c r="AG422" s="21">
        <v>0</v>
      </c>
      <c r="AH422" s="41">
        <f t="shared" si="193"/>
        <v>0</v>
      </c>
      <c r="AI422" s="21">
        <v>0</v>
      </c>
      <c r="AJ422" s="41">
        <f t="shared" si="186"/>
        <v>0</v>
      </c>
      <c r="AK422" s="21">
        <v>0</v>
      </c>
      <c r="AL422" s="41">
        <f t="shared" si="194"/>
        <v>0</v>
      </c>
      <c r="AM422" s="21">
        <v>0</v>
      </c>
      <c r="AN422" s="41">
        <f t="shared" si="187"/>
        <v>0</v>
      </c>
      <c r="AO422" s="21">
        <v>10</v>
      </c>
      <c r="AP422" s="41">
        <f t="shared" si="195"/>
        <v>0.625</v>
      </c>
      <c r="AQ422" s="21">
        <v>4</v>
      </c>
      <c r="AR422" s="41">
        <f t="shared" si="188"/>
        <v>0.8</v>
      </c>
      <c r="AS422" s="21">
        <v>3</v>
      </c>
      <c r="AT422" s="41">
        <f t="shared" si="196"/>
        <v>0.1875</v>
      </c>
      <c r="AU422" s="21">
        <v>1</v>
      </c>
      <c r="AV422" s="41">
        <f t="shared" si="189"/>
        <v>0.2</v>
      </c>
      <c r="AW422" s="21">
        <v>1</v>
      </c>
      <c r="AX422" s="41">
        <f t="shared" si="197"/>
        <v>6.25E-2</v>
      </c>
      <c r="AY422" s="21">
        <v>0</v>
      </c>
      <c r="AZ422" s="41">
        <f t="shared" si="190"/>
        <v>0</v>
      </c>
      <c r="BA422" s="21">
        <v>2</v>
      </c>
      <c r="BB422" s="41">
        <f t="shared" si="198"/>
        <v>0.125</v>
      </c>
      <c r="BC422" s="21">
        <v>0</v>
      </c>
      <c r="BD422" s="41">
        <f t="shared" si="191"/>
        <v>0</v>
      </c>
      <c r="BE422" s="21">
        <v>16</v>
      </c>
      <c r="BF422" s="21">
        <v>5</v>
      </c>
    </row>
    <row r="423" spans="1:58" ht="15.75" customHeight="1" x14ac:dyDescent="0.25">
      <c r="A423" s="44">
        <v>2021</v>
      </c>
      <c r="B423" s="39">
        <v>170070</v>
      </c>
      <c r="C423" s="38" t="s">
        <v>146</v>
      </c>
      <c r="D423" s="38" t="s">
        <v>9</v>
      </c>
      <c r="E423" s="21">
        <v>6</v>
      </c>
      <c r="F423" s="42">
        <f t="shared" si="173"/>
        <v>2.5974025974025976E-2</v>
      </c>
      <c r="G423" s="21">
        <v>6</v>
      </c>
      <c r="H423" s="42">
        <f t="shared" si="174"/>
        <v>3.1914893617021274E-2</v>
      </c>
      <c r="I423" s="21">
        <v>4</v>
      </c>
      <c r="J423" s="41">
        <f t="shared" si="175"/>
        <v>1.7316017316017316E-2</v>
      </c>
      <c r="K423" s="21">
        <v>3</v>
      </c>
      <c r="L423" s="41">
        <f t="shared" si="176"/>
        <v>1.5957446808510637E-2</v>
      </c>
      <c r="M423" s="21">
        <v>190</v>
      </c>
      <c r="N423" s="41">
        <f t="shared" si="177"/>
        <v>0.82251082251082253</v>
      </c>
      <c r="O423" s="21">
        <v>150</v>
      </c>
      <c r="P423" s="41">
        <f t="shared" si="178"/>
        <v>0.7978723404255319</v>
      </c>
      <c r="Q423" s="21">
        <v>31</v>
      </c>
      <c r="R423" s="41">
        <f t="shared" si="179"/>
        <v>0.13419913419913421</v>
      </c>
      <c r="S423" s="21">
        <v>29</v>
      </c>
      <c r="T423" s="41">
        <f t="shared" si="180"/>
        <v>0.15425531914893617</v>
      </c>
      <c r="U423" s="21">
        <v>29</v>
      </c>
      <c r="V423" s="41">
        <f t="shared" si="181"/>
        <v>0.12554112554112554</v>
      </c>
      <c r="W423" s="21">
        <v>29</v>
      </c>
      <c r="X423" s="41">
        <f t="shared" si="182"/>
        <v>0.15425531914893617</v>
      </c>
      <c r="Y423" s="21">
        <v>15</v>
      </c>
      <c r="Z423" s="41">
        <f t="shared" si="183"/>
        <v>6.4935064935064929E-2</v>
      </c>
      <c r="AA423" s="21">
        <v>14</v>
      </c>
      <c r="AB423" s="41">
        <f t="shared" si="184"/>
        <v>7.4468085106382975E-2</v>
      </c>
      <c r="AC423" s="21">
        <v>188</v>
      </c>
      <c r="AD423" s="41">
        <f t="shared" si="192"/>
        <v>0.81385281385281383</v>
      </c>
      <c r="AE423" s="21">
        <v>146</v>
      </c>
      <c r="AF423" s="41">
        <f t="shared" si="185"/>
        <v>0.77659574468085102</v>
      </c>
      <c r="AG423" s="21">
        <v>13</v>
      </c>
      <c r="AH423" s="41">
        <f t="shared" si="193"/>
        <v>5.627705627705628E-2</v>
      </c>
      <c r="AI423" s="21">
        <v>14</v>
      </c>
      <c r="AJ423" s="41">
        <f t="shared" si="186"/>
        <v>7.4468085106382975E-2</v>
      </c>
      <c r="AK423" s="21">
        <v>9</v>
      </c>
      <c r="AL423" s="41">
        <f t="shared" si="194"/>
        <v>3.896103896103896E-2</v>
      </c>
      <c r="AM423" s="21">
        <v>10</v>
      </c>
      <c r="AN423" s="41">
        <f t="shared" si="187"/>
        <v>5.3191489361702128E-2</v>
      </c>
      <c r="AO423" s="21">
        <v>110</v>
      </c>
      <c r="AP423" s="41">
        <f t="shared" si="195"/>
        <v>0.47619047619047616</v>
      </c>
      <c r="AQ423" s="21">
        <v>81</v>
      </c>
      <c r="AR423" s="41">
        <f t="shared" si="188"/>
        <v>0.43085106382978722</v>
      </c>
      <c r="AS423" s="21">
        <v>40</v>
      </c>
      <c r="AT423" s="41">
        <f t="shared" si="196"/>
        <v>0.17316017316017315</v>
      </c>
      <c r="AU423" s="21">
        <v>30</v>
      </c>
      <c r="AV423" s="41">
        <f t="shared" si="189"/>
        <v>0.15957446808510639</v>
      </c>
      <c r="AW423" s="21">
        <v>28</v>
      </c>
      <c r="AX423" s="41">
        <f t="shared" si="197"/>
        <v>0.12121212121212122</v>
      </c>
      <c r="AY423" s="21">
        <v>24</v>
      </c>
      <c r="AZ423" s="41">
        <f t="shared" si="190"/>
        <v>0.1276595744680851</v>
      </c>
      <c r="BA423" s="21">
        <v>32</v>
      </c>
      <c r="BB423" s="41">
        <f t="shared" si="198"/>
        <v>0.13852813852813853</v>
      </c>
      <c r="BC423" s="21">
        <v>30</v>
      </c>
      <c r="BD423" s="41">
        <f t="shared" si="191"/>
        <v>0.15957446808510639</v>
      </c>
      <c r="BE423" s="21">
        <v>231</v>
      </c>
      <c r="BF423" s="21">
        <v>188</v>
      </c>
    </row>
    <row r="424" spans="1:58" ht="15.75" customHeight="1" x14ac:dyDescent="0.25">
      <c r="A424" s="44">
        <v>2021</v>
      </c>
      <c r="B424" s="39">
        <v>170100</v>
      </c>
      <c r="C424" s="38" t="s">
        <v>145</v>
      </c>
      <c r="D424" s="38" t="s">
        <v>10</v>
      </c>
      <c r="E424" s="21">
        <v>7</v>
      </c>
      <c r="F424" s="42">
        <f t="shared" si="173"/>
        <v>1.9337016574585635E-2</v>
      </c>
      <c r="G424" s="21">
        <v>8</v>
      </c>
      <c r="H424" s="42">
        <f t="shared" si="174"/>
        <v>3.2786885245901641E-2</v>
      </c>
      <c r="I424" s="21">
        <v>11</v>
      </c>
      <c r="J424" s="41">
        <f t="shared" si="175"/>
        <v>3.0386740331491711E-2</v>
      </c>
      <c r="K424" s="21">
        <v>11</v>
      </c>
      <c r="L424" s="41">
        <f t="shared" si="176"/>
        <v>4.5081967213114756E-2</v>
      </c>
      <c r="M424" s="21">
        <v>301</v>
      </c>
      <c r="N424" s="41">
        <f t="shared" si="177"/>
        <v>0.83149171270718236</v>
      </c>
      <c r="O424" s="21">
        <v>193</v>
      </c>
      <c r="P424" s="41">
        <f t="shared" si="178"/>
        <v>0.79098360655737709</v>
      </c>
      <c r="Q424" s="21">
        <v>43</v>
      </c>
      <c r="R424" s="41">
        <f t="shared" si="179"/>
        <v>0.11878453038674033</v>
      </c>
      <c r="S424" s="21">
        <v>32</v>
      </c>
      <c r="T424" s="41">
        <f t="shared" si="180"/>
        <v>0.13114754098360656</v>
      </c>
      <c r="U424" s="21">
        <v>28</v>
      </c>
      <c r="V424" s="41">
        <f t="shared" si="181"/>
        <v>7.7348066298342538E-2</v>
      </c>
      <c r="W424" s="21">
        <v>31</v>
      </c>
      <c r="X424" s="41">
        <f t="shared" si="182"/>
        <v>0.12704918032786885</v>
      </c>
      <c r="Y424" s="21">
        <v>24</v>
      </c>
      <c r="Z424" s="41">
        <f t="shared" si="183"/>
        <v>6.6298342541436461E-2</v>
      </c>
      <c r="AA424" s="21">
        <v>17</v>
      </c>
      <c r="AB424" s="41">
        <f t="shared" si="184"/>
        <v>6.9672131147540978E-2</v>
      </c>
      <c r="AC424" s="21">
        <v>310</v>
      </c>
      <c r="AD424" s="41">
        <f t="shared" si="192"/>
        <v>0.85635359116022103</v>
      </c>
      <c r="AE424" s="21">
        <v>196</v>
      </c>
      <c r="AF424" s="41">
        <f t="shared" si="185"/>
        <v>0.80327868852459017</v>
      </c>
      <c r="AG424" s="21">
        <v>15</v>
      </c>
      <c r="AH424" s="41">
        <f t="shared" si="193"/>
        <v>4.1436464088397788E-2</v>
      </c>
      <c r="AI424" s="21">
        <v>15</v>
      </c>
      <c r="AJ424" s="41">
        <f t="shared" si="186"/>
        <v>6.1475409836065573E-2</v>
      </c>
      <c r="AK424" s="21">
        <v>19</v>
      </c>
      <c r="AL424" s="41">
        <f t="shared" si="194"/>
        <v>5.2486187845303865E-2</v>
      </c>
      <c r="AM424" s="21">
        <v>14</v>
      </c>
      <c r="AN424" s="41">
        <f t="shared" si="187"/>
        <v>5.737704918032787E-2</v>
      </c>
      <c r="AO424" s="21">
        <v>197</v>
      </c>
      <c r="AP424" s="41">
        <f t="shared" si="195"/>
        <v>0.54419889502762431</v>
      </c>
      <c r="AQ424" s="21">
        <v>132</v>
      </c>
      <c r="AR424" s="41">
        <f t="shared" si="188"/>
        <v>0.54098360655737709</v>
      </c>
      <c r="AS424" s="21">
        <v>59</v>
      </c>
      <c r="AT424" s="41">
        <f t="shared" si="196"/>
        <v>0.16298342541436464</v>
      </c>
      <c r="AU424" s="21">
        <v>28</v>
      </c>
      <c r="AV424" s="41">
        <f t="shared" si="189"/>
        <v>0.11475409836065574</v>
      </c>
      <c r="AW424" s="21">
        <v>34</v>
      </c>
      <c r="AX424" s="41">
        <f t="shared" si="197"/>
        <v>9.3922651933701654E-2</v>
      </c>
      <c r="AY424" s="21">
        <v>23</v>
      </c>
      <c r="AZ424" s="41">
        <f t="shared" si="190"/>
        <v>9.4262295081967207E-2</v>
      </c>
      <c r="BA424" s="21">
        <v>38</v>
      </c>
      <c r="BB424" s="41">
        <f t="shared" si="198"/>
        <v>0.10497237569060773</v>
      </c>
      <c r="BC424" s="21">
        <v>32</v>
      </c>
      <c r="BD424" s="41">
        <f t="shared" si="191"/>
        <v>0.13114754098360656</v>
      </c>
      <c r="BE424" s="21">
        <v>362</v>
      </c>
      <c r="BF424" s="21">
        <v>244</v>
      </c>
    </row>
    <row r="425" spans="1:58" ht="15.75" customHeight="1" x14ac:dyDescent="0.25">
      <c r="A425" s="44">
        <v>2021</v>
      </c>
      <c r="B425" s="39">
        <v>170105</v>
      </c>
      <c r="C425" s="38" t="s">
        <v>145</v>
      </c>
      <c r="D425" s="38" t="s">
        <v>11</v>
      </c>
      <c r="E425" s="21">
        <v>1</v>
      </c>
      <c r="F425" s="42">
        <f t="shared" si="173"/>
        <v>8.0645161290322578E-3</v>
      </c>
      <c r="G425" s="21">
        <v>0</v>
      </c>
      <c r="H425" s="42">
        <f t="shared" si="174"/>
        <v>0</v>
      </c>
      <c r="I425" s="21">
        <v>6</v>
      </c>
      <c r="J425" s="41">
        <f t="shared" si="175"/>
        <v>4.8387096774193547E-2</v>
      </c>
      <c r="K425" s="21">
        <v>4</v>
      </c>
      <c r="L425" s="41">
        <f t="shared" si="176"/>
        <v>5.4054054054054057E-2</v>
      </c>
      <c r="M425" s="21">
        <v>106</v>
      </c>
      <c r="N425" s="41">
        <f t="shared" si="177"/>
        <v>0.85483870967741937</v>
      </c>
      <c r="O425" s="21">
        <v>62</v>
      </c>
      <c r="P425" s="41">
        <f t="shared" si="178"/>
        <v>0.83783783783783783</v>
      </c>
      <c r="Q425" s="21">
        <v>11</v>
      </c>
      <c r="R425" s="41">
        <f t="shared" si="179"/>
        <v>8.8709677419354843E-2</v>
      </c>
      <c r="S425" s="21">
        <v>8</v>
      </c>
      <c r="T425" s="41">
        <f t="shared" si="180"/>
        <v>0.10810810810810811</v>
      </c>
      <c r="U425" s="21">
        <v>7</v>
      </c>
      <c r="V425" s="41">
        <f t="shared" si="181"/>
        <v>5.6451612903225805E-2</v>
      </c>
      <c r="W425" s="21">
        <v>5</v>
      </c>
      <c r="X425" s="41">
        <f t="shared" si="182"/>
        <v>6.7567567567567571E-2</v>
      </c>
      <c r="Y425" s="21">
        <v>6</v>
      </c>
      <c r="Z425" s="41">
        <f t="shared" si="183"/>
        <v>4.8387096774193547E-2</v>
      </c>
      <c r="AA425" s="21">
        <v>4</v>
      </c>
      <c r="AB425" s="41">
        <f t="shared" si="184"/>
        <v>5.4054054054054057E-2</v>
      </c>
      <c r="AC425" s="21">
        <v>111</v>
      </c>
      <c r="AD425" s="41">
        <f t="shared" si="192"/>
        <v>0.89516129032258063</v>
      </c>
      <c r="AE425" s="21">
        <v>65</v>
      </c>
      <c r="AF425" s="41">
        <f t="shared" si="185"/>
        <v>0.8783783783783784</v>
      </c>
      <c r="AG425" s="21">
        <v>7</v>
      </c>
      <c r="AH425" s="41">
        <f t="shared" si="193"/>
        <v>5.6451612903225805E-2</v>
      </c>
      <c r="AI425" s="21">
        <v>6</v>
      </c>
      <c r="AJ425" s="41">
        <f t="shared" si="186"/>
        <v>8.1081081081081086E-2</v>
      </c>
      <c r="AK425" s="21">
        <v>6</v>
      </c>
      <c r="AL425" s="41">
        <f t="shared" si="194"/>
        <v>4.8387096774193547E-2</v>
      </c>
      <c r="AM425" s="21">
        <v>3</v>
      </c>
      <c r="AN425" s="41">
        <f t="shared" si="187"/>
        <v>4.0540540540540543E-2</v>
      </c>
      <c r="AO425" s="21">
        <v>65</v>
      </c>
      <c r="AP425" s="41">
        <f t="shared" si="195"/>
        <v>0.52419354838709675</v>
      </c>
      <c r="AQ425" s="21">
        <v>38</v>
      </c>
      <c r="AR425" s="41">
        <f t="shared" si="188"/>
        <v>0.51351351351351349</v>
      </c>
      <c r="AS425" s="21">
        <v>23</v>
      </c>
      <c r="AT425" s="41">
        <f t="shared" si="196"/>
        <v>0.18548387096774194</v>
      </c>
      <c r="AU425" s="21">
        <v>11</v>
      </c>
      <c r="AV425" s="41">
        <f t="shared" si="189"/>
        <v>0.14864864864864866</v>
      </c>
      <c r="AW425" s="21">
        <v>12</v>
      </c>
      <c r="AX425" s="41">
        <f t="shared" si="197"/>
        <v>9.6774193548387094E-2</v>
      </c>
      <c r="AY425" s="21">
        <v>6</v>
      </c>
      <c r="AZ425" s="41">
        <f t="shared" si="190"/>
        <v>8.1081081081081086E-2</v>
      </c>
      <c r="BA425" s="21">
        <v>11</v>
      </c>
      <c r="BB425" s="41">
        <f t="shared" si="198"/>
        <v>8.8709677419354843E-2</v>
      </c>
      <c r="BC425" s="21">
        <v>10</v>
      </c>
      <c r="BD425" s="41">
        <f t="shared" si="191"/>
        <v>0.13513513513513514</v>
      </c>
      <c r="BE425" s="21">
        <v>124</v>
      </c>
      <c r="BF425" s="21">
        <v>74</v>
      </c>
    </row>
    <row r="426" spans="1:58" ht="15.75" customHeight="1" x14ac:dyDescent="0.25">
      <c r="A426" s="44">
        <v>2021</v>
      </c>
      <c r="B426" s="39">
        <v>170110</v>
      </c>
      <c r="C426" s="38" t="s">
        <v>148</v>
      </c>
      <c r="D426" s="38" t="s">
        <v>12</v>
      </c>
      <c r="E426" s="21">
        <v>1</v>
      </c>
      <c r="F426" s="42">
        <f t="shared" si="173"/>
        <v>6.993006993006993E-3</v>
      </c>
      <c r="G426" s="21">
        <v>1</v>
      </c>
      <c r="H426" s="42">
        <f t="shared" si="174"/>
        <v>1.2500000000000001E-2</v>
      </c>
      <c r="I426" s="21">
        <v>3</v>
      </c>
      <c r="J426" s="41">
        <f t="shared" si="175"/>
        <v>2.097902097902098E-2</v>
      </c>
      <c r="K426" s="21">
        <v>1</v>
      </c>
      <c r="L426" s="41">
        <f t="shared" si="176"/>
        <v>1.2500000000000001E-2</v>
      </c>
      <c r="M426" s="21">
        <v>131</v>
      </c>
      <c r="N426" s="41">
        <f t="shared" si="177"/>
        <v>0.91608391608391604</v>
      </c>
      <c r="O426" s="21">
        <v>71</v>
      </c>
      <c r="P426" s="41">
        <f t="shared" si="178"/>
        <v>0.88749999999999996</v>
      </c>
      <c r="Q426" s="21">
        <v>8</v>
      </c>
      <c r="R426" s="41">
        <f t="shared" si="179"/>
        <v>5.5944055944055944E-2</v>
      </c>
      <c r="S426" s="21">
        <v>7</v>
      </c>
      <c r="T426" s="41">
        <f t="shared" si="180"/>
        <v>8.7499999999999994E-2</v>
      </c>
      <c r="U426" s="21">
        <v>3</v>
      </c>
      <c r="V426" s="41">
        <f t="shared" si="181"/>
        <v>2.097902097902098E-2</v>
      </c>
      <c r="W426" s="21">
        <v>1</v>
      </c>
      <c r="X426" s="41">
        <f t="shared" si="182"/>
        <v>1.2500000000000001E-2</v>
      </c>
      <c r="Y426" s="21">
        <v>7</v>
      </c>
      <c r="Z426" s="41">
        <f t="shared" si="183"/>
        <v>4.8951048951048952E-2</v>
      </c>
      <c r="AA426" s="21">
        <v>5</v>
      </c>
      <c r="AB426" s="41">
        <f t="shared" si="184"/>
        <v>6.25E-2</v>
      </c>
      <c r="AC426" s="21">
        <v>133</v>
      </c>
      <c r="AD426" s="41">
        <f t="shared" si="192"/>
        <v>0.93006993006993011</v>
      </c>
      <c r="AE426" s="21">
        <v>74</v>
      </c>
      <c r="AF426" s="41">
        <f t="shared" si="185"/>
        <v>0.92500000000000004</v>
      </c>
      <c r="AG426" s="21">
        <v>9</v>
      </c>
      <c r="AH426" s="41">
        <f t="shared" si="193"/>
        <v>6.2937062937062943E-2</v>
      </c>
      <c r="AI426" s="21">
        <v>2</v>
      </c>
      <c r="AJ426" s="41">
        <f t="shared" si="186"/>
        <v>2.5000000000000001E-2</v>
      </c>
      <c r="AK426" s="21">
        <v>9</v>
      </c>
      <c r="AL426" s="41">
        <f t="shared" si="194"/>
        <v>6.2937062937062943E-2</v>
      </c>
      <c r="AM426" s="21">
        <v>4</v>
      </c>
      <c r="AN426" s="41">
        <f t="shared" si="187"/>
        <v>0.05</v>
      </c>
      <c r="AO426" s="21">
        <v>96</v>
      </c>
      <c r="AP426" s="41">
        <f t="shared" si="195"/>
        <v>0.67132867132867136</v>
      </c>
      <c r="AQ426" s="21">
        <v>58</v>
      </c>
      <c r="AR426" s="41">
        <f t="shared" si="188"/>
        <v>0.72499999999999998</v>
      </c>
      <c r="AS426" s="21">
        <v>13</v>
      </c>
      <c r="AT426" s="41">
        <f t="shared" si="196"/>
        <v>9.0909090909090912E-2</v>
      </c>
      <c r="AU426" s="21">
        <v>8</v>
      </c>
      <c r="AV426" s="41">
        <f t="shared" si="189"/>
        <v>0.1</v>
      </c>
      <c r="AW426" s="21">
        <v>10</v>
      </c>
      <c r="AX426" s="41">
        <f t="shared" si="197"/>
        <v>6.9930069930069935E-2</v>
      </c>
      <c r="AY426" s="21">
        <v>5</v>
      </c>
      <c r="AZ426" s="41">
        <f t="shared" si="190"/>
        <v>6.25E-2</v>
      </c>
      <c r="BA426" s="21">
        <v>6</v>
      </c>
      <c r="BB426" s="41">
        <f t="shared" si="198"/>
        <v>4.195804195804196E-2</v>
      </c>
      <c r="BC426" s="21">
        <v>3</v>
      </c>
      <c r="BD426" s="41">
        <f t="shared" si="191"/>
        <v>3.7499999999999999E-2</v>
      </c>
      <c r="BE426" s="21">
        <v>143</v>
      </c>
      <c r="BF426" s="21">
        <v>80</v>
      </c>
    </row>
    <row r="427" spans="1:58" ht="15.75" customHeight="1" x14ac:dyDescent="0.25">
      <c r="A427" s="44">
        <v>2021</v>
      </c>
      <c r="B427" s="39">
        <v>170130</v>
      </c>
      <c r="C427" s="38" t="s">
        <v>149</v>
      </c>
      <c r="D427" s="38" t="s">
        <v>13</v>
      </c>
      <c r="E427" s="21">
        <v>2</v>
      </c>
      <c r="F427" s="42">
        <f t="shared" si="173"/>
        <v>7.575757575757576E-3</v>
      </c>
      <c r="G427" s="21">
        <v>1</v>
      </c>
      <c r="H427" s="42">
        <f t="shared" si="174"/>
        <v>7.9365079365079361E-3</v>
      </c>
      <c r="I427" s="21">
        <v>15</v>
      </c>
      <c r="J427" s="41">
        <f t="shared" si="175"/>
        <v>5.6818181818181816E-2</v>
      </c>
      <c r="K427" s="21">
        <v>9</v>
      </c>
      <c r="L427" s="41">
        <f t="shared" si="176"/>
        <v>7.1428571428571425E-2</v>
      </c>
      <c r="M427" s="21">
        <v>226</v>
      </c>
      <c r="N427" s="41">
        <f t="shared" si="177"/>
        <v>0.85606060606060608</v>
      </c>
      <c r="O427" s="21">
        <v>105</v>
      </c>
      <c r="P427" s="41">
        <f t="shared" si="178"/>
        <v>0.83333333333333337</v>
      </c>
      <c r="Q427" s="21">
        <v>21</v>
      </c>
      <c r="R427" s="41">
        <f t="shared" si="179"/>
        <v>7.9545454545454544E-2</v>
      </c>
      <c r="S427" s="21">
        <v>11</v>
      </c>
      <c r="T427" s="41">
        <f t="shared" si="180"/>
        <v>8.7301587301587297E-2</v>
      </c>
      <c r="U427" s="21">
        <v>10</v>
      </c>
      <c r="V427" s="41">
        <f t="shared" si="181"/>
        <v>3.787878787878788E-2</v>
      </c>
      <c r="W427" s="21">
        <v>8</v>
      </c>
      <c r="X427" s="41">
        <f t="shared" si="182"/>
        <v>6.3492063492063489E-2</v>
      </c>
      <c r="Y427" s="21">
        <v>24</v>
      </c>
      <c r="Z427" s="41">
        <f t="shared" si="183"/>
        <v>9.0909090909090912E-2</v>
      </c>
      <c r="AA427" s="21">
        <v>16</v>
      </c>
      <c r="AB427" s="41">
        <f t="shared" si="184"/>
        <v>0.12698412698412698</v>
      </c>
      <c r="AC427" s="21">
        <v>230</v>
      </c>
      <c r="AD427" s="41">
        <f t="shared" si="192"/>
        <v>0.87121212121212122</v>
      </c>
      <c r="AE427" s="21">
        <v>102</v>
      </c>
      <c r="AF427" s="41">
        <f t="shared" si="185"/>
        <v>0.80952380952380953</v>
      </c>
      <c r="AG427" s="21">
        <v>17</v>
      </c>
      <c r="AH427" s="41">
        <f t="shared" si="193"/>
        <v>6.4393939393939392E-2</v>
      </c>
      <c r="AI427" s="21">
        <v>8</v>
      </c>
      <c r="AJ427" s="41">
        <f t="shared" si="186"/>
        <v>6.3492063492063489E-2</v>
      </c>
      <c r="AK427" s="21">
        <v>15</v>
      </c>
      <c r="AL427" s="41">
        <f t="shared" si="194"/>
        <v>5.6818181818181816E-2</v>
      </c>
      <c r="AM427" s="21">
        <v>11</v>
      </c>
      <c r="AN427" s="41">
        <f t="shared" si="187"/>
        <v>8.7301587301587297E-2</v>
      </c>
      <c r="AO427" s="21">
        <v>145</v>
      </c>
      <c r="AP427" s="41">
        <f t="shared" si="195"/>
        <v>0.5492424242424242</v>
      </c>
      <c r="AQ427" s="21">
        <v>75</v>
      </c>
      <c r="AR427" s="41">
        <f t="shared" si="188"/>
        <v>0.59523809523809523</v>
      </c>
      <c r="AS427" s="21">
        <v>47</v>
      </c>
      <c r="AT427" s="41">
        <f t="shared" si="196"/>
        <v>0.17803030303030304</v>
      </c>
      <c r="AU427" s="21">
        <v>14</v>
      </c>
      <c r="AV427" s="41">
        <f t="shared" si="189"/>
        <v>0.1111111111111111</v>
      </c>
      <c r="AW427" s="21">
        <v>19</v>
      </c>
      <c r="AX427" s="41">
        <f t="shared" si="197"/>
        <v>7.1969696969696975E-2</v>
      </c>
      <c r="AY427" s="21">
        <v>8</v>
      </c>
      <c r="AZ427" s="41">
        <f t="shared" si="190"/>
        <v>6.3492063492063489E-2</v>
      </c>
      <c r="BA427" s="21">
        <v>21</v>
      </c>
      <c r="BB427" s="41">
        <f t="shared" si="198"/>
        <v>7.9545454545454544E-2</v>
      </c>
      <c r="BC427" s="21">
        <v>10</v>
      </c>
      <c r="BD427" s="41">
        <f t="shared" si="191"/>
        <v>7.9365079365079361E-2</v>
      </c>
      <c r="BE427" s="21">
        <v>264</v>
      </c>
      <c r="BF427" s="21">
        <v>126</v>
      </c>
    </row>
    <row r="428" spans="1:58" ht="15.75" customHeight="1" x14ac:dyDescent="0.25">
      <c r="A428" s="44">
        <v>2021</v>
      </c>
      <c r="B428" s="39">
        <v>170190</v>
      </c>
      <c r="C428" s="38" t="s">
        <v>144</v>
      </c>
      <c r="D428" s="38" t="s">
        <v>14</v>
      </c>
      <c r="E428" s="21">
        <v>1</v>
      </c>
      <c r="F428" s="42">
        <f t="shared" si="173"/>
        <v>4.1841004184100415E-3</v>
      </c>
      <c r="G428" s="21">
        <v>0</v>
      </c>
      <c r="H428" s="42">
        <f t="shared" si="174"/>
        <v>0</v>
      </c>
      <c r="I428" s="21">
        <v>7</v>
      </c>
      <c r="J428" s="41">
        <f t="shared" si="175"/>
        <v>2.9288702928870293E-2</v>
      </c>
      <c r="K428" s="21">
        <v>4</v>
      </c>
      <c r="L428" s="41">
        <f t="shared" si="176"/>
        <v>2.4242424242424242E-2</v>
      </c>
      <c r="M428" s="21">
        <v>211</v>
      </c>
      <c r="N428" s="41">
        <f t="shared" si="177"/>
        <v>0.88284518828451886</v>
      </c>
      <c r="O428" s="21">
        <v>154</v>
      </c>
      <c r="P428" s="41">
        <f t="shared" si="178"/>
        <v>0.93333333333333335</v>
      </c>
      <c r="Q428" s="21">
        <v>20</v>
      </c>
      <c r="R428" s="41">
        <f t="shared" si="179"/>
        <v>8.3682008368200833E-2</v>
      </c>
      <c r="S428" s="21">
        <v>7</v>
      </c>
      <c r="T428" s="41">
        <f t="shared" si="180"/>
        <v>4.2424242424242427E-2</v>
      </c>
      <c r="U428" s="21">
        <v>28</v>
      </c>
      <c r="V428" s="41">
        <f t="shared" si="181"/>
        <v>0.11715481171548117</v>
      </c>
      <c r="W428" s="21">
        <v>19</v>
      </c>
      <c r="X428" s="41">
        <f t="shared" si="182"/>
        <v>0.11515151515151516</v>
      </c>
      <c r="Y428" s="21">
        <v>16</v>
      </c>
      <c r="Z428" s="41">
        <f t="shared" si="183"/>
        <v>6.6945606694560664E-2</v>
      </c>
      <c r="AA428" s="21">
        <v>13</v>
      </c>
      <c r="AB428" s="41">
        <f t="shared" si="184"/>
        <v>7.8787878787878782E-2</v>
      </c>
      <c r="AC428" s="21">
        <v>195</v>
      </c>
      <c r="AD428" s="41">
        <f t="shared" si="192"/>
        <v>0.81589958158995812</v>
      </c>
      <c r="AE428" s="21">
        <v>133</v>
      </c>
      <c r="AF428" s="41">
        <f t="shared" si="185"/>
        <v>0.80606060606060603</v>
      </c>
      <c r="AG428" s="21">
        <v>12</v>
      </c>
      <c r="AH428" s="41">
        <f t="shared" si="193"/>
        <v>5.0209205020920501E-2</v>
      </c>
      <c r="AI428" s="21">
        <v>9</v>
      </c>
      <c r="AJ428" s="41">
        <f t="shared" si="186"/>
        <v>5.4545454545454543E-2</v>
      </c>
      <c r="AK428" s="21">
        <v>10</v>
      </c>
      <c r="AL428" s="41">
        <f t="shared" si="194"/>
        <v>4.1841004184100417E-2</v>
      </c>
      <c r="AM428" s="21">
        <v>9</v>
      </c>
      <c r="AN428" s="41">
        <f t="shared" si="187"/>
        <v>5.4545454545454543E-2</v>
      </c>
      <c r="AO428" s="21">
        <v>131</v>
      </c>
      <c r="AP428" s="41">
        <f t="shared" si="195"/>
        <v>0.54811715481171552</v>
      </c>
      <c r="AQ428" s="21">
        <v>91</v>
      </c>
      <c r="AR428" s="41">
        <f t="shared" si="188"/>
        <v>0.55151515151515151</v>
      </c>
      <c r="AS428" s="21">
        <v>31</v>
      </c>
      <c r="AT428" s="41">
        <f t="shared" si="196"/>
        <v>0.1297071129707113</v>
      </c>
      <c r="AU428" s="21">
        <v>23</v>
      </c>
      <c r="AV428" s="41">
        <f t="shared" si="189"/>
        <v>0.1393939393939394</v>
      </c>
      <c r="AW428" s="21">
        <v>27</v>
      </c>
      <c r="AX428" s="41">
        <f t="shared" si="197"/>
        <v>0.11297071129707113</v>
      </c>
      <c r="AY428" s="21">
        <v>15</v>
      </c>
      <c r="AZ428" s="41">
        <f t="shared" si="190"/>
        <v>9.0909090909090912E-2</v>
      </c>
      <c r="BA428" s="21">
        <v>28</v>
      </c>
      <c r="BB428" s="41">
        <f t="shared" si="198"/>
        <v>0.11715481171548117</v>
      </c>
      <c r="BC428" s="21">
        <v>18</v>
      </c>
      <c r="BD428" s="41">
        <f t="shared" si="191"/>
        <v>0.10909090909090909</v>
      </c>
      <c r="BE428" s="21">
        <v>239</v>
      </c>
      <c r="BF428" s="21">
        <v>165</v>
      </c>
    </row>
    <row r="429" spans="1:58" ht="15.75" customHeight="1" x14ac:dyDescent="0.25">
      <c r="A429" s="44">
        <v>2021</v>
      </c>
      <c r="B429" s="39">
        <v>170200</v>
      </c>
      <c r="C429" s="38" t="s">
        <v>146</v>
      </c>
      <c r="D429" s="38" t="s">
        <v>15</v>
      </c>
      <c r="E429" s="21">
        <v>0</v>
      </c>
      <c r="F429" s="42">
        <f t="shared" si="173"/>
        <v>0</v>
      </c>
      <c r="G429" s="21">
        <v>0</v>
      </c>
      <c r="H429" s="42">
        <f t="shared" si="174"/>
        <v>0</v>
      </c>
      <c r="I429" s="21">
        <v>7</v>
      </c>
      <c r="J429" s="41">
        <f t="shared" si="175"/>
        <v>1.7369727047146403E-2</v>
      </c>
      <c r="K429" s="21">
        <v>3</v>
      </c>
      <c r="L429" s="41">
        <f t="shared" si="176"/>
        <v>1.8404907975460124E-2</v>
      </c>
      <c r="M429" s="21">
        <v>359</v>
      </c>
      <c r="N429" s="41">
        <f t="shared" si="177"/>
        <v>0.89081885856079401</v>
      </c>
      <c r="O429" s="21">
        <v>146</v>
      </c>
      <c r="P429" s="41">
        <f t="shared" si="178"/>
        <v>0.89570552147239269</v>
      </c>
      <c r="Q429" s="21">
        <v>37</v>
      </c>
      <c r="R429" s="41">
        <f t="shared" si="179"/>
        <v>9.1811414392059559E-2</v>
      </c>
      <c r="S429" s="21">
        <v>14</v>
      </c>
      <c r="T429" s="41">
        <f t="shared" si="180"/>
        <v>8.5889570552147243E-2</v>
      </c>
      <c r="U429" s="21">
        <v>7</v>
      </c>
      <c r="V429" s="41">
        <f t="shared" si="181"/>
        <v>1.7369727047146403E-2</v>
      </c>
      <c r="W429" s="21">
        <v>3</v>
      </c>
      <c r="X429" s="41">
        <f t="shared" si="182"/>
        <v>1.8404907975460124E-2</v>
      </c>
      <c r="Y429" s="21">
        <v>33</v>
      </c>
      <c r="Z429" s="41">
        <f t="shared" si="183"/>
        <v>8.1885856079404462E-2</v>
      </c>
      <c r="AA429" s="21">
        <v>16</v>
      </c>
      <c r="AB429" s="41">
        <f t="shared" si="184"/>
        <v>9.815950920245399E-2</v>
      </c>
      <c r="AC429" s="21">
        <v>363</v>
      </c>
      <c r="AD429" s="41">
        <f t="shared" si="192"/>
        <v>0.90074441687344908</v>
      </c>
      <c r="AE429" s="21">
        <v>144</v>
      </c>
      <c r="AF429" s="41">
        <f t="shared" si="185"/>
        <v>0.8834355828220859</v>
      </c>
      <c r="AG429" s="21">
        <v>4</v>
      </c>
      <c r="AH429" s="41">
        <f t="shared" si="193"/>
        <v>9.9255583126550868E-3</v>
      </c>
      <c r="AI429" s="21">
        <v>5</v>
      </c>
      <c r="AJ429" s="41">
        <f t="shared" si="186"/>
        <v>3.0674846625766871E-2</v>
      </c>
      <c r="AK429" s="21">
        <v>10</v>
      </c>
      <c r="AL429" s="41">
        <f t="shared" si="194"/>
        <v>2.4813895781637719E-2</v>
      </c>
      <c r="AM429" s="21">
        <v>5</v>
      </c>
      <c r="AN429" s="41">
        <f t="shared" si="187"/>
        <v>3.0674846625766871E-2</v>
      </c>
      <c r="AO429" s="21">
        <v>225</v>
      </c>
      <c r="AP429" s="41">
        <f t="shared" si="195"/>
        <v>0.55831265508684869</v>
      </c>
      <c r="AQ429" s="21">
        <v>93</v>
      </c>
      <c r="AR429" s="41">
        <f t="shared" si="188"/>
        <v>0.57055214723926384</v>
      </c>
      <c r="AS429" s="21">
        <v>98</v>
      </c>
      <c r="AT429" s="41">
        <f t="shared" si="196"/>
        <v>0.24317617866004962</v>
      </c>
      <c r="AU429" s="21">
        <v>36</v>
      </c>
      <c r="AV429" s="41">
        <f t="shared" si="189"/>
        <v>0.22085889570552147</v>
      </c>
      <c r="AW429" s="21">
        <v>48</v>
      </c>
      <c r="AX429" s="41">
        <f t="shared" si="197"/>
        <v>0.11910669975186104</v>
      </c>
      <c r="AY429" s="21">
        <v>13</v>
      </c>
      <c r="AZ429" s="41">
        <f t="shared" si="190"/>
        <v>7.9754601226993863E-2</v>
      </c>
      <c r="BA429" s="21">
        <v>18</v>
      </c>
      <c r="BB429" s="41">
        <f t="shared" si="198"/>
        <v>4.4665012406947889E-2</v>
      </c>
      <c r="BC429" s="21">
        <v>11</v>
      </c>
      <c r="BD429" s="41">
        <f t="shared" si="191"/>
        <v>6.7484662576687116E-2</v>
      </c>
      <c r="BE429" s="21">
        <v>403</v>
      </c>
      <c r="BF429" s="21">
        <v>163</v>
      </c>
    </row>
    <row r="430" spans="1:58" ht="15.75" customHeight="1" x14ac:dyDescent="0.25">
      <c r="A430" s="44">
        <v>2021</v>
      </c>
      <c r="B430" s="39">
        <v>170210</v>
      </c>
      <c r="C430" s="38" t="s">
        <v>149</v>
      </c>
      <c r="D430" s="38" t="s">
        <v>16</v>
      </c>
      <c r="E430" s="21">
        <v>71</v>
      </c>
      <c r="F430" s="42">
        <f t="shared" si="173"/>
        <v>1.5039186613005719E-2</v>
      </c>
      <c r="G430" s="21">
        <v>36</v>
      </c>
      <c r="H430" s="42">
        <f t="shared" si="174"/>
        <v>1.7208413001912046E-2</v>
      </c>
      <c r="I430" s="21">
        <v>144</v>
      </c>
      <c r="J430" s="41">
        <f t="shared" si="175"/>
        <v>3.0502012285532724E-2</v>
      </c>
      <c r="K430" s="21">
        <v>66</v>
      </c>
      <c r="L430" s="41">
        <f t="shared" si="176"/>
        <v>3.1548757170172081E-2</v>
      </c>
      <c r="M430" s="20">
        <v>4262</v>
      </c>
      <c r="N430" s="41">
        <f t="shared" si="177"/>
        <v>0.9027748358398644</v>
      </c>
      <c r="O430" s="20">
        <v>1959</v>
      </c>
      <c r="P430" s="41">
        <f t="shared" si="178"/>
        <v>0.93642447418738051</v>
      </c>
      <c r="Q430" s="21">
        <v>244</v>
      </c>
      <c r="R430" s="41">
        <f t="shared" si="179"/>
        <v>5.1683965261597117E-2</v>
      </c>
      <c r="S430" s="21">
        <v>31</v>
      </c>
      <c r="T430" s="41">
        <f t="shared" si="180"/>
        <v>1.4818355640535373E-2</v>
      </c>
      <c r="U430" s="21">
        <v>89</v>
      </c>
      <c r="V430" s="41">
        <f t="shared" si="181"/>
        <v>1.885193814869731E-2</v>
      </c>
      <c r="W430" s="21">
        <v>17</v>
      </c>
      <c r="X430" s="41">
        <f t="shared" si="182"/>
        <v>8.126195028680689E-3</v>
      </c>
      <c r="Y430" s="21">
        <v>182</v>
      </c>
      <c r="Z430" s="41">
        <f t="shared" si="183"/>
        <v>3.8551154416437194E-2</v>
      </c>
      <c r="AA430" s="21">
        <v>39</v>
      </c>
      <c r="AB430" s="41">
        <f t="shared" si="184"/>
        <v>1.8642447418738051E-2</v>
      </c>
      <c r="AC430" s="20">
        <v>4450</v>
      </c>
      <c r="AD430" s="41">
        <f t="shared" si="192"/>
        <v>0.94259690743486546</v>
      </c>
      <c r="AE430" s="20">
        <v>2036</v>
      </c>
      <c r="AF430" s="41">
        <f t="shared" si="185"/>
        <v>0.97323135755258128</v>
      </c>
      <c r="AG430" s="21">
        <v>253</v>
      </c>
      <c r="AH430" s="41">
        <f t="shared" si="193"/>
        <v>5.3590341029442913E-2</v>
      </c>
      <c r="AI430" s="21">
        <v>189</v>
      </c>
      <c r="AJ430" s="41">
        <f t="shared" si="186"/>
        <v>9.0344168260038243E-2</v>
      </c>
      <c r="AK430" s="21">
        <v>169</v>
      </c>
      <c r="AL430" s="41">
        <f t="shared" si="194"/>
        <v>3.5797500529548824E-2</v>
      </c>
      <c r="AM430" s="21">
        <v>67</v>
      </c>
      <c r="AN430" s="41">
        <f t="shared" si="187"/>
        <v>3.2026768642447419E-2</v>
      </c>
      <c r="AO430" s="20">
        <v>3334</v>
      </c>
      <c r="AP430" s="41">
        <f t="shared" si="195"/>
        <v>0.70620631222198682</v>
      </c>
      <c r="AQ430" s="20">
        <v>1687</v>
      </c>
      <c r="AR430" s="41">
        <f t="shared" si="188"/>
        <v>0.80640535372848954</v>
      </c>
      <c r="AS430" s="21">
        <v>584</v>
      </c>
      <c r="AT430" s="41">
        <f t="shared" si="196"/>
        <v>0.12370260538021606</v>
      </c>
      <c r="AU430" s="21">
        <v>105</v>
      </c>
      <c r="AV430" s="41">
        <f t="shared" si="189"/>
        <v>5.0191204588910132E-2</v>
      </c>
      <c r="AW430" s="21">
        <v>242</v>
      </c>
      <c r="AX430" s="41">
        <f t="shared" si="197"/>
        <v>5.126032620207583E-2</v>
      </c>
      <c r="AY430" s="21">
        <v>23</v>
      </c>
      <c r="AZ430" s="41">
        <f t="shared" si="190"/>
        <v>1.0994263862332695E-2</v>
      </c>
      <c r="BA430" s="21">
        <v>139</v>
      </c>
      <c r="BB430" s="41">
        <f t="shared" si="198"/>
        <v>2.9442914636729507E-2</v>
      </c>
      <c r="BC430" s="21">
        <v>21</v>
      </c>
      <c r="BD430" s="41">
        <f t="shared" si="191"/>
        <v>1.0038240917782026E-2</v>
      </c>
      <c r="BE430" s="20">
        <v>4721</v>
      </c>
      <c r="BF430" s="20">
        <v>2092</v>
      </c>
    </row>
    <row r="431" spans="1:58" ht="15.75" customHeight="1" x14ac:dyDescent="0.25">
      <c r="A431" s="44">
        <v>2021</v>
      </c>
      <c r="B431" s="39">
        <v>170215</v>
      </c>
      <c r="C431" s="38" t="s">
        <v>149</v>
      </c>
      <c r="D431" s="38" t="s">
        <v>17</v>
      </c>
      <c r="E431" s="21">
        <v>4</v>
      </c>
      <c r="F431" s="42">
        <f t="shared" si="173"/>
        <v>9.876543209876543E-3</v>
      </c>
      <c r="G431" s="21">
        <v>0</v>
      </c>
      <c r="H431" s="42">
        <f t="shared" si="174"/>
        <v>0</v>
      </c>
      <c r="I431" s="21">
        <v>11</v>
      </c>
      <c r="J431" s="41">
        <f t="shared" si="175"/>
        <v>2.7160493827160494E-2</v>
      </c>
      <c r="K431" s="21">
        <v>5</v>
      </c>
      <c r="L431" s="41">
        <f t="shared" si="176"/>
        <v>2.3255813953488372E-2</v>
      </c>
      <c r="M431" s="21">
        <v>370</v>
      </c>
      <c r="N431" s="41">
        <f t="shared" si="177"/>
        <v>0.9135802469135802</v>
      </c>
      <c r="O431" s="21">
        <v>200</v>
      </c>
      <c r="P431" s="41">
        <f t="shared" si="178"/>
        <v>0.93023255813953487</v>
      </c>
      <c r="Q431" s="21">
        <v>20</v>
      </c>
      <c r="R431" s="41">
        <f t="shared" si="179"/>
        <v>4.9382716049382713E-2</v>
      </c>
      <c r="S431" s="21">
        <v>10</v>
      </c>
      <c r="T431" s="41">
        <f t="shared" si="180"/>
        <v>4.6511627906976744E-2</v>
      </c>
      <c r="U431" s="21">
        <v>17</v>
      </c>
      <c r="V431" s="41">
        <f t="shared" si="181"/>
        <v>4.1975308641975309E-2</v>
      </c>
      <c r="W431" s="21">
        <v>7</v>
      </c>
      <c r="X431" s="41">
        <f t="shared" si="182"/>
        <v>3.255813953488372E-2</v>
      </c>
      <c r="Y431" s="21">
        <v>17</v>
      </c>
      <c r="Z431" s="41">
        <f t="shared" si="183"/>
        <v>4.1975308641975309E-2</v>
      </c>
      <c r="AA431" s="21">
        <v>8</v>
      </c>
      <c r="AB431" s="41">
        <f t="shared" si="184"/>
        <v>3.7209302325581395E-2</v>
      </c>
      <c r="AC431" s="21">
        <v>371</v>
      </c>
      <c r="AD431" s="41">
        <f t="shared" si="192"/>
        <v>0.91604938271604941</v>
      </c>
      <c r="AE431" s="21">
        <v>200</v>
      </c>
      <c r="AF431" s="41">
        <f t="shared" si="185"/>
        <v>0.93023255813953487</v>
      </c>
      <c r="AG431" s="21">
        <v>20</v>
      </c>
      <c r="AH431" s="41">
        <f t="shared" si="193"/>
        <v>4.9382716049382713E-2</v>
      </c>
      <c r="AI431" s="21">
        <v>9</v>
      </c>
      <c r="AJ431" s="41">
        <f t="shared" si="186"/>
        <v>4.1860465116279069E-2</v>
      </c>
      <c r="AK431" s="21">
        <v>25</v>
      </c>
      <c r="AL431" s="41">
        <f t="shared" si="194"/>
        <v>6.1728395061728392E-2</v>
      </c>
      <c r="AM431" s="21">
        <v>14</v>
      </c>
      <c r="AN431" s="41">
        <f t="shared" si="187"/>
        <v>6.5116279069767441E-2</v>
      </c>
      <c r="AO431" s="21">
        <v>247</v>
      </c>
      <c r="AP431" s="41">
        <f t="shared" si="195"/>
        <v>0.6098765432098765</v>
      </c>
      <c r="AQ431" s="21">
        <v>152</v>
      </c>
      <c r="AR431" s="41">
        <f t="shared" si="188"/>
        <v>0.7069767441860465</v>
      </c>
      <c r="AS431" s="21">
        <v>61</v>
      </c>
      <c r="AT431" s="41">
        <f t="shared" si="196"/>
        <v>0.1506172839506173</v>
      </c>
      <c r="AU431" s="21">
        <v>20</v>
      </c>
      <c r="AV431" s="41">
        <f t="shared" si="189"/>
        <v>9.3023255813953487E-2</v>
      </c>
      <c r="AW431" s="21">
        <v>31</v>
      </c>
      <c r="AX431" s="41">
        <f t="shared" si="197"/>
        <v>7.6543209876543214E-2</v>
      </c>
      <c r="AY431" s="21">
        <v>8</v>
      </c>
      <c r="AZ431" s="41">
        <f t="shared" si="190"/>
        <v>3.7209302325581395E-2</v>
      </c>
      <c r="BA431" s="21">
        <v>21</v>
      </c>
      <c r="BB431" s="41">
        <f t="shared" si="198"/>
        <v>5.185185185185185E-2</v>
      </c>
      <c r="BC431" s="21">
        <v>12</v>
      </c>
      <c r="BD431" s="41">
        <f t="shared" si="191"/>
        <v>5.5813953488372092E-2</v>
      </c>
      <c r="BE431" s="21">
        <v>405</v>
      </c>
      <c r="BF431" s="21">
        <v>215</v>
      </c>
    </row>
    <row r="432" spans="1:58" ht="15.75" customHeight="1" x14ac:dyDescent="0.25">
      <c r="A432" s="44">
        <v>2021</v>
      </c>
      <c r="B432" s="39">
        <v>170220</v>
      </c>
      <c r="C432" s="38" t="s">
        <v>145</v>
      </c>
      <c r="D432" s="38" t="s">
        <v>18</v>
      </c>
      <c r="E432" s="21">
        <v>12</v>
      </c>
      <c r="F432" s="42">
        <f t="shared" si="173"/>
        <v>7.9522862823061622E-3</v>
      </c>
      <c r="G432" s="21">
        <v>3</v>
      </c>
      <c r="H432" s="42">
        <f t="shared" si="174"/>
        <v>3.3407572383073497E-3</v>
      </c>
      <c r="I432" s="21">
        <v>65</v>
      </c>
      <c r="J432" s="41">
        <f t="shared" si="175"/>
        <v>4.3074884029158385E-2</v>
      </c>
      <c r="K432" s="21">
        <v>46</v>
      </c>
      <c r="L432" s="41">
        <f t="shared" si="176"/>
        <v>5.1224944320712694E-2</v>
      </c>
      <c r="M432" s="20">
        <v>1357</v>
      </c>
      <c r="N432" s="41">
        <f t="shared" si="177"/>
        <v>0.89927104042412198</v>
      </c>
      <c r="O432" s="21">
        <v>802</v>
      </c>
      <c r="P432" s="41">
        <f t="shared" si="178"/>
        <v>0.89309576837416482</v>
      </c>
      <c r="Q432" s="21">
        <v>75</v>
      </c>
      <c r="R432" s="41">
        <f t="shared" si="179"/>
        <v>4.9701789264413522E-2</v>
      </c>
      <c r="S432" s="21">
        <v>47</v>
      </c>
      <c r="T432" s="41">
        <f t="shared" si="180"/>
        <v>5.2338530066815145E-2</v>
      </c>
      <c r="U432" s="21">
        <v>141</v>
      </c>
      <c r="V432" s="41">
        <f t="shared" si="181"/>
        <v>9.3439363817097415E-2</v>
      </c>
      <c r="W432" s="21">
        <v>90</v>
      </c>
      <c r="X432" s="41">
        <f t="shared" si="182"/>
        <v>0.10022271714922049</v>
      </c>
      <c r="Y432" s="21">
        <v>141</v>
      </c>
      <c r="Z432" s="41">
        <f t="shared" si="183"/>
        <v>9.3439363817097415E-2</v>
      </c>
      <c r="AA432" s="21">
        <v>89</v>
      </c>
      <c r="AB432" s="41">
        <f t="shared" si="184"/>
        <v>9.9109131403118042E-2</v>
      </c>
      <c r="AC432" s="20">
        <v>1227</v>
      </c>
      <c r="AD432" s="41">
        <f t="shared" si="192"/>
        <v>0.81312127236580511</v>
      </c>
      <c r="AE432" s="21">
        <v>719</v>
      </c>
      <c r="AF432" s="41">
        <f t="shared" si="185"/>
        <v>0.80066815144766146</v>
      </c>
      <c r="AG432" s="21">
        <v>49</v>
      </c>
      <c r="AH432" s="41">
        <f t="shared" si="193"/>
        <v>3.2471835652750164E-2</v>
      </c>
      <c r="AI432" s="21">
        <v>29</v>
      </c>
      <c r="AJ432" s="41">
        <f t="shared" si="186"/>
        <v>3.2293986636971049E-2</v>
      </c>
      <c r="AK432" s="21">
        <v>77</v>
      </c>
      <c r="AL432" s="41">
        <f t="shared" si="194"/>
        <v>5.1027170311464545E-2</v>
      </c>
      <c r="AM432" s="21">
        <v>58</v>
      </c>
      <c r="AN432" s="41">
        <f t="shared" si="187"/>
        <v>6.4587973273942098E-2</v>
      </c>
      <c r="AO432" s="21">
        <v>935</v>
      </c>
      <c r="AP432" s="41">
        <f t="shared" si="195"/>
        <v>0.61961563949635523</v>
      </c>
      <c r="AQ432" s="21">
        <v>580</v>
      </c>
      <c r="AR432" s="41">
        <f t="shared" si="188"/>
        <v>0.6458797327394209</v>
      </c>
      <c r="AS432" s="21">
        <v>217</v>
      </c>
      <c r="AT432" s="41">
        <f t="shared" si="196"/>
        <v>0.14380384360503645</v>
      </c>
      <c r="AU432" s="21">
        <v>94</v>
      </c>
      <c r="AV432" s="41">
        <f t="shared" si="189"/>
        <v>0.10467706013363029</v>
      </c>
      <c r="AW432" s="21">
        <v>109</v>
      </c>
      <c r="AX432" s="41">
        <f t="shared" si="197"/>
        <v>7.2233267064280987E-2</v>
      </c>
      <c r="AY432" s="21">
        <v>61</v>
      </c>
      <c r="AZ432" s="41">
        <f t="shared" si="190"/>
        <v>6.7928730512249444E-2</v>
      </c>
      <c r="BA432" s="21">
        <v>122</v>
      </c>
      <c r="BB432" s="41">
        <f t="shared" si="198"/>
        <v>8.0848243870112663E-2</v>
      </c>
      <c r="BC432" s="21">
        <v>76</v>
      </c>
      <c r="BD432" s="41">
        <f t="shared" si="191"/>
        <v>8.4632516703786187E-2</v>
      </c>
      <c r="BE432" s="20">
        <v>1509</v>
      </c>
      <c r="BF432" s="21">
        <v>898</v>
      </c>
    </row>
    <row r="433" spans="1:58" ht="15.75" customHeight="1" x14ac:dyDescent="0.25">
      <c r="A433" s="44">
        <v>2021</v>
      </c>
      <c r="B433" s="39">
        <v>170230</v>
      </c>
      <c r="C433" s="38" t="s">
        <v>150</v>
      </c>
      <c r="D433" s="38" t="s">
        <v>19</v>
      </c>
      <c r="E433" s="21">
        <v>1</v>
      </c>
      <c r="F433" s="42">
        <f t="shared" si="173"/>
        <v>8.6206896551724137E-3</v>
      </c>
      <c r="G433" s="21">
        <v>1</v>
      </c>
      <c r="H433" s="42">
        <f t="shared" si="174"/>
        <v>1.1363636363636364E-2</v>
      </c>
      <c r="I433" s="21">
        <v>2</v>
      </c>
      <c r="J433" s="41">
        <f t="shared" si="175"/>
        <v>1.7241379310344827E-2</v>
      </c>
      <c r="K433" s="21">
        <v>2</v>
      </c>
      <c r="L433" s="41">
        <f t="shared" si="176"/>
        <v>2.2727272727272728E-2</v>
      </c>
      <c r="M433" s="21">
        <v>106</v>
      </c>
      <c r="N433" s="41">
        <f t="shared" si="177"/>
        <v>0.91379310344827591</v>
      </c>
      <c r="O433" s="21">
        <v>80</v>
      </c>
      <c r="P433" s="41">
        <f t="shared" si="178"/>
        <v>0.90909090909090906</v>
      </c>
      <c r="Q433" s="21">
        <v>7</v>
      </c>
      <c r="R433" s="41">
        <f t="shared" si="179"/>
        <v>6.0344827586206899E-2</v>
      </c>
      <c r="S433" s="21">
        <v>5</v>
      </c>
      <c r="T433" s="41">
        <f t="shared" si="180"/>
        <v>5.6818181818181816E-2</v>
      </c>
      <c r="U433" s="21">
        <v>6</v>
      </c>
      <c r="V433" s="41">
        <f t="shared" si="181"/>
        <v>5.1724137931034482E-2</v>
      </c>
      <c r="W433" s="21">
        <v>6</v>
      </c>
      <c r="X433" s="41">
        <f t="shared" si="182"/>
        <v>6.8181818181818177E-2</v>
      </c>
      <c r="Y433" s="21">
        <v>9</v>
      </c>
      <c r="Z433" s="41">
        <f t="shared" si="183"/>
        <v>7.7586206896551727E-2</v>
      </c>
      <c r="AA433" s="21">
        <v>7</v>
      </c>
      <c r="AB433" s="41">
        <f t="shared" si="184"/>
        <v>7.9545454545454544E-2</v>
      </c>
      <c r="AC433" s="21">
        <v>101</v>
      </c>
      <c r="AD433" s="41">
        <f t="shared" si="192"/>
        <v>0.87068965517241381</v>
      </c>
      <c r="AE433" s="21">
        <v>75</v>
      </c>
      <c r="AF433" s="41">
        <f t="shared" si="185"/>
        <v>0.85227272727272729</v>
      </c>
      <c r="AG433" s="21">
        <v>7</v>
      </c>
      <c r="AH433" s="41">
        <f t="shared" si="193"/>
        <v>6.0344827586206899E-2</v>
      </c>
      <c r="AI433" s="21">
        <v>7</v>
      </c>
      <c r="AJ433" s="41">
        <f t="shared" si="186"/>
        <v>7.9545454545454544E-2</v>
      </c>
      <c r="AK433" s="21">
        <v>10</v>
      </c>
      <c r="AL433" s="41">
        <f t="shared" si="194"/>
        <v>8.6206896551724144E-2</v>
      </c>
      <c r="AM433" s="21">
        <v>10</v>
      </c>
      <c r="AN433" s="41">
        <f t="shared" si="187"/>
        <v>0.11363636363636363</v>
      </c>
      <c r="AO433" s="21">
        <v>71</v>
      </c>
      <c r="AP433" s="41">
        <f t="shared" si="195"/>
        <v>0.61206896551724133</v>
      </c>
      <c r="AQ433" s="21">
        <v>52</v>
      </c>
      <c r="AR433" s="41">
        <f t="shared" si="188"/>
        <v>0.59090909090909094</v>
      </c>
      <c r="AS433" s="21">
        <v>15</v>
      </c>
      <c r="AT433" s="41">
        <f t="shared" si="196"/>
        <v>0.12931034482758622</v>
      </c>
      <c r="AU433" s="21">
        <v>7</v>
      </c>
      <c r="AV433" s="41">
        <f t="shared" si="189"/>
        <v>7.9545454545454544E-2</v>
      </c>
      <c r="AW433" s="21">
        <v>4</v>
      </c>
      <c r="AX433" s="41">
        <f t="shared" si="197"/>
        <v>3.4482758620689655E-2</v>
      </c>
      <c r="AY433" s="21">
        <v>3</v>
      </c>
      <c r="AZ433" s="41">
        <f t="shared" si="190"/>
        <v>3.4090909090909088E-2</v>
      </c>
      <c r="BA433" s="21">
        <v>9</v>
      </c>
      <c r="BB433" s="41">
        <f t="shared" si="198"/>
        <v>7.7586206896551727E-2</v>
      </c>
      <c r="BC433" s="21">
        <v>9</v>
      </c>
      <c r="BD433" s="41">
        <f t="shared" si="191"/>
        <v>0.10227272727272728</v>
      </c>
      <c r="BE433" s="21">
        <v>116</v>
      </c>
      <c r="BF433" s="21">
        <v>88</v>
      </c>
    </row>
    <row r="434" spans="1:58" ht="15.75" customHeight="1" x14ac:dyDescent="0.25">
      <c r="A434" s="44">
        <v>2021</v>
      </c>
      <c r="B434" s="39">
        <v>170240</v>
      </c>
      <c r="C434" s="38" t="s">
        <v>147</v>
      </c>
      <c r="D434" s="38" t="s">
        <v>20</v>
      </c>
      <c r="E434" s="21">
        <v>3</v>
      </c>
      <c r="F434" s="42">
        <f t="shared" si="173"/>
        <v>0.05</v>
      </c>
      <c r="G434" s="21">
        <v>0</v>
      </c>
      <c r="H434" s="42">
        <f t="shared" si="174"/>
        <v>0</v>
      </c>
      <c r="I434" s="21">
        <v>2</v>
      </c>
      <c r="J434" s="41">
        <f t="shared" si="175"/>
        <v>3.3333333333333333E-2</v>
      </c>
      <c r="K434" s="21">
        <v>0</v>
      </c>
      <c r="L434" s="41">
        <f t="shared" si="176"/>
        <v>0</v>
      </c>
      <c r="M434" s="21">
        <v>52</v>
      </c>
      <c r="N434" s="41">
        <f t="shared" si="177"/>
        <v>0.8666666666666667</v>
      </c>
      <c r="O434" s="21">
        <v>5</v>
      </c>
      <c r="P434" s="41">
        <f t="shared" si="178"/>
        <v>0.83333333333333337</v>
      </c>
      <c r="Q434" s="21">
        <v>3</v>
      </c>
      <c r="R434" s="41">
        <f t="shared" si="179"/>
        <v>0.05</v>
      </c>
      <c r="S434" s="21">
        <v>1</v>
      </c>
      <c r="T434" s="41">
        <f t="shared" si="180"/>
        <v>0.16666666666666666</v>
      </c>
      <c r="U434" s="21">
        <v>3</v>
      </c>
      <c r="V434" s="41">
        <f t="shared" si="181"/>
        <v>0.05</v>
      </c>
      <c r="W434" s="21">
        <v>0</v>
      </c>
      <c r="X434" s="41">
        <f t="shared" si="182"/>
        <v>0</v>
      </c>
      <c r="Y434" s="21">
        <v>6</v>
      </c>
      <c r="Z434" s="41">
        <f t="shared" si="183"/>
        <v>0.1</v>
      </c>
      <c r="AA434" s="21">
        <v>0</v>
      </c>
      <c r="AB434" s="41">
        <f t="shared" si="184"/>
        <v>0</v>
      </c>
      <c r="AC434" s="21">
        <v>51</v>
      </c>
      <c r="AD434" s="41">
        <f t="shared" si="192"/>
        <v>0.85</v>
      </c>
      <c r="AE434" s="21">
        <v>6</v>
      </c>
      <c r="AF434" s="41">
        <f t="shared" si="185"/>
        <v>1</v>
      </c>
      <c r="AG434" s="21">
        <v>4</v>
      </c>
      <c r="AH434" s="41">
        <f t="shared" si="193"/>
        <v>6.6666666666666666E-2</v>
      </c>
      <c r="AI434" s="21">
        <v>0</v>
      </c>
      <c r="AJ434" s="41">
        <f t="shared" si="186"/>
        <v>0</v>
      </c>
      <c r="AK434" s="21">
        <v>5</v>
      </c>
      <c r="AL434" s="41">
        <f t="shared" si="194"/>
        <v>8.3333333333333329E-2</v>
      </c>
      <c r="AM434" s="21">
        <v>0</v>
      </c>
      <c r="AN434" s="41">
        <f t="shared" si="187"/>
        <v>0</v>
      </c>
      <c r="AO434" s="21">
        <v>38</v>
      </c>
      <c r="AP434" s="41">
        <f t="shared" si="195"/>
        <v>0.6333333333333333</v>
      </c>
      <c r="AQ434" s="21">
        <v>4</v>
      </c>
      <c r="AR434" s="41">
        <f t="shared" si="188"/>
        <v>0.66666666666666663</v>
      </c>
      <c r="AS434" s="21">
        <v>4</v>
      </c>
      <c r="AT434" s="41">
        <f t="shared" si="196"/>
        <v>6.6666666666666666E-2</v>
      </c>
      <c r="AU434" s="21">
        <v>1</v>
      </c>
      <c r="AV434" s="41">
        <f t="shared" si="189"/>
        <v>0.16666666666666666</v>
      </c>
      <c r="AW434" s="21">
        <v>5</v>
      </c>
      <c r="AX434" s="41">
        <f t="shared" si="197"/>
        <v>8.3333333333333329E-2</v>
      </c>
      <c r="AY434" s="21">
        <v>0</v>
      </c>
      <c r="AZ434" s="41">
        <f t="shared" si="190"/>
        <v>0</v>
      </c>
      <c r="BA434" s="21">
        <v>4</v>
      </c>
      <c r="BB434" s="41">
        <f t="shared" si="198"/>
        <v>6.6666666666666666E-2</v>
      </c>
      <c r="BC434" s="21">
        <v>1</v>
      </c>
      <c r="BD434" s="41">
        <f t="shared" si="191"/>
        <v>0.16666666666666666</v>
      </c>
      <c r="BE434" s="21">
        <v>60</v>
      </c>
      <c r="BF434" s="21">
        <v>6</v>
      </c>
    </row>
    <row r="435" spans="1:58" ht="15.75" customHeight="1" x14ac:dyDescent="0.25">
      <c r="A435" s="44">
        <v>2021</v>
      </c>
      <c r="B435" s="39">
        <v>170255</v>
      </c>
      <c r="C435" s="38" t="s">
        <v>145</v>
      </c>
      <c r="D435" s="38" t="s">
        <v>21</v>
      </c>
      <c r="E435" s="21">
        <v>6</v>
      </c>
      <c r="F435" s="42">
        <f t="shared" si="173"/>
        <v>8.2987551867219917E-3</v>
      </c>
      <c r="G435" s="21">
        <v>3</v>
      </c>
      <c r="H435" s="42">
        <f t="shared" si="174"/>
        <v>6.7720090293453723E-3</v>
      </c>
      <c r="I435" s="21">
        <v>25</v>
      </c>
      <c r="J435" s="41">
        <f t="shared" si="175"/>
        <v>3.4578146611341634E-2</v>
      </c>
      <c r="K435" s="21">
        <v>17</v>
      </c>
      <c r="L435" s="41">
        <f t="shared" si="176"/>
        <v>3.8374717832957109E-2</v>
      </c>
      <c r="M435" s="21">
        <v>653</v>
      </c>
      <c r="N435" s="41">
        <f t="shared" si="177"/>
        <v>0.90318118948824344</v>
      </c>
      <c r="O435" s="21">
        <v>399</v>
      </c>
      <c r="P435" s="41">
        <f t="shared" si="178"/>
        <v>0.90067720090293457</v>
      </c>
      <c r="Q435" s="21">
        <v>39</v>
      </c>
      <c r="R435" s="41">
        <f t="shared" si="179"/>
        <v>5.3941908713692949E-2</v>
      </c>
      <c r="S435" s="21">
        <v>24</v>
      </c>
      <c r="T435" s="41">
        <f t="shared" si="180"/>
        <v>5.4176072234762979E-2</v>
      </c>
      <c r="U435" s="21">
        <v>35</v>
      </c>
      <c r="V435" s="41">
        <f t="shared" si="181"/>
        <v>4.8409405255878286E-2</v>
      </c>
      <c r="W435" s="21">
        <v>26</v>
      </c>
      <c r="X435" s="41">
        <f t="shared" si="182"/>
        <v>5.8690744920993229E-2</v>
      </c>
      <c r="Y435" s="21">
        <v>68</v>
      </c>
      <c r="Z435" s="41">
        <f t="shared" si="183"/>
        <v>9.4052558782849238E-2</v>
      </c>
      <c r="AA435" s="21">
        <v>46</v>
      </c>
      <c r="AB435" s="41">
        <f t="shared" si="184"/>
        <v>0.10383747178329571</v>
      </c>
      <c r="AC435" s="21">
        <v>620</v>
      </c>
      <c r="AD435" s="41">
        <f t="shared" si="192"/>
        <v>0.85753803596127243</v>
      </c>
      <c r="AE435" s="21">
        <v>371</v>
      </c>
      <c r="AF435" s="41">
        <f t="shared" si="185"/>
        <v>0.83747178329571104</v>
      </c>
      <c r="AG435" s="21">
        <v>19</v>
      </c>
      <c r="AH435" s="41">
        <f t="shared" si="193"/>
        <v>2.6279391424619641E-2</v>
      </c>
      <c r="AI435" s="21">
        <v>12</v>
      </c>
      <c r="AJ435" s="41">
        <f t="shared" si="186"/>
        <v>2.7088036117381489E-2</v>
      </c>
      <c r="AK435" s="21">
        <v>20</v>
      </c>
      <c r="AL435" s="41">
        <f t="shared" si="194"/>
        <v>2.7662517289073305E-2</v>
      </c>
      <c r="AM435" s="21">
        <v>18</v>
      </c>
      <c r="AN435" s="41">
        <f t="shared" si="187"/>
        <v>4.0632054176072234E-2</v>
      </c>
      <c r="AO435" s="21">
        <v>491</v>
      </c>
      <c r="AP435" s="41">
        <f t="shared" si="195"/>
        <v>0.67911479944674968</v>
      </c>
      <c r="AQ435" s="21">
        <v>313</v>
      </c>
      <c r="AR435" s="41">
        <f t="shared" si="188"/>
        <v>0.7065462753950339</v>
      </c>
      <c r="AS435" s="21">
        <v>98</v>
      </c>
      <c r="AT435" s="41">
        <f t="shared" si="196"/>
        <v>0.13554633471645919</v>
      </c>
      <c r="AU435" s="21">
        <v>52</v>
      </c>
      <c r="AV435" s="41">
        <f t="shared" si="189"/>
        <v>0.11738148984198646</v>
      </c>
      <c r="AW435" s="21">
        <v>54</v>
      </c>
      <c r="AX435" s="41">
        <f t="shared" si="197"/>
        <v>7.4688796680497924E-2</v>
      </c>
      <c r="AY435" s="21">
        <v>18</v>
      </c>
      <c r="AZ435" s="41">
        <f t="shared" si="190"/>
        <v>4.0632054176072234E-2</v>
      </c>
      <c r="BA435" s="21">
        <v>41</v>
      </c>
      <c r="BB435" s="41">
        <f t="shared" si="198"/>
        <v>5.6708160442600276E-2</v>
      </c>
      <c r="BC435" s="21">
        <v>30</v>
      </c>
      <c r="BD435" s="41">
        <f t="shared" si="191"/>
        <v>6.772009029345373E-2</v>
      </c>
      <c r="BE435" s="21">
        <v>723</v>
      </c>
      <c r="BF435" s="21">
        <v>443</v>
      </c>
    </row>
    <row r="436" spans="1:58" ht="15.75" customHeight="1" x14ac:dyDescent="0.25">
      <c r="A436" s="44">
        <v>2021</v>
      </c>
      <c r="B436" s="39">
        <v>170270</v>
      </c>
      <c r="C436" s="38" t="s">
        <v>147</v>
      </c>
      <c r="D436" s="38" t="s">
        <v>22</v>
      </c>
      <c r="E436" s="21">
        <v>0</v>
      </c>
      <c r="F436" s="42">
        <f t="shared" si="173"/>
        <v>0</v>
      </c>
      <c r="G436" s="21">
        <v>0</v>
      </c>
      <c r="H436" s="42">
        <f t="shared" si="174"/>
        <v>0</v>
      </c>
      <c r="I436" s="21">
        <v>2</v>
      </c>
      <c r="J436" s="41">
        <f t="shared" si="175"/>
        <v>2.5000000000000001E-2</v>
      </c>
      <c r="K436" s="21">
        <v>2</v>
      </c>
      <c r="L436" s="41">
        <f t="shared" si="176"/>
        <v>2.7397260273972601E-2</v>
      </c>
      <c r="M436" s="21">
        <v>71</v>
      </c>
      <c r="N436" s="41">
        <f t="shared" si="177"/>
        <v>0.88749999999999996</v>
      </c>
      <c r="O436" s="21">
        <v>66</v>
      </c>
      <c r="P436" s="41">
        <f t="shared" si="178"/>
        <v>0.90410958904109584</v>
      </c>
      <c r="Q436" s="21">
        <v>7</v>
      </c>
      <c r="R436" s="41">
        <f t="shared" si="179"/>
        <v>8.7499999999999994E-2</v>
      </c>
      <c r="S436" s="21">
        <v>5</v>
      </c>
      <c r="T436" s="41">
        <f t="shared" si="180"/>
        <v>6.8493150684931503E-2</v>
      </c>
      <c r="U436" s="21">
        <v>2</v>
      </c>
      <c r="V436" s="41">
        <f t="shared" si="181"/>
        <v>2.5000000000000001E-2</v>
      </c>
      <c r="W436" s="21">
        <v>2</v>
      </c>
      <c r="X436" s="41">
        <f t="shared" si="182"/>
        <v>2.7397260273972601E-2</v>
      </c>
      <c r="Y436" s="21">
        <v>3</v>
      </c>
      <c r="Z436" s="41">
        <f t="shared" si="183"/>
        <v>3.7499999999999999E-2</v>
      </c>
      <c r="AA436" s="21">
        <v>3</v>
      </c>
      <c r="AB436" s="41">
        <f t="shared" si="184"/>
        <v>4.1095890410958902E-2</v>
      </c>
      <c r="AC436" s="21">
        <v>75</v>
      </c>
      <c r="AD436" s="41">
        <f t="shared" si="192"/>
        <v>0.9375</v>
      </c>
      <c r="AE436" s="21">
        <v>68</v>
      </c>
      <c r="AF436" s="41">
        <f t="shared" si="185"/>
        <v>0.93150684931506844</v>
      </c>
      <c r="AG436" s="21">
        <v>3</v>
      </c>
      <c r="AH436" s="41">
        <f t="shared" si="193"/>
        <v>3.7499999999999999E-2</v>
      </c>
      <c r="AI436" s="21">
        <v>3</v>
      </c>
      <c r="AJ436" s="41">
        <f t="shared" si="186"/>
        <v>4.1095890410958902E-2</v>
      </c>
      <c r="AK436" s="21">
        <v>5</v>
      </c>
      <c r="AL436" s="41">
        <f t="shared" si="194"/>
        <v>6.25E-2</v>
      </c>
      <c r="AM436" s="21">
        <v>4</v>
      </c>
      <c r="AN436" s="41">
        <f t="shared" si="187"/>
        <v>5.4794520547945202E-2</v>
      </c>
      <c r="AO436" s="21">
        <v>56</v>
      </c>
      <c r="AP436" s="41">
        <f t="shared" si="195"/>
        <v>0.7</v>
      </c>
      <c r="AQ436" s="21">
        <v>52</v>
      </c>
      <c r="AR436" s="41">
        <f t="shared" si="188"/>
        <v>0.71232876712328763</v>
      </c>
      <c r="AS436" s="21">
        <v>9</v>
      </c>
      <c r="AT436" s="41">
        <f t="shared" si="196"/>
        <v>0.1125</v>
      </c>
      <c r="AU436" s="21">
        <v>8</v>
      </c>
      <c r="AV436" s="41">
        <f t="shared" si="189"/>
        <v>0.1095890410958904</v>
      </c>
      <c r="AW436" s="21">
        <v>1</v>
      </c>
      <c r="AX436" s="41">
        <f t="shared" si="197"/>
        <v>1.2500000000000001E-2</v>
      </c>
      <c r="AY436" s="21">
        <v>1</v>
      </c>
      <c r="AZ436" s="41">
        <f t="shared" si="190"/>
        <v>1.3698630136986301E-2</v>
      </c>
      <c r="BA436" s="21">
        <v>6</v>
      </c>
      <c r="BB436" s="41">
        <f t="shared" si="198"/>
        <v>7.4999999999999997E-2</v>
      </c>
      <c r="BC436" s="21">
        <v>5</v>
      </c>
      <c r="BD436" s="41">
        <f t="shared" si="191"/>
        <v>6.8493150684931503E-2</v>
      </c>
      <c r="BE436" s="21">
        <v>80</v>
      </c>
      <c r="BF436" s="21">
        <v>73</v>
      </c>
    </row>
    <row r="437" spans="1:58" ht="15.75" customHeight="1" x14ac:dyDescent="0.25">
      <c r="A437" s="44">
        <v>2021</v>
      </c>
      <c r="B437" s="39">
        <v>170290</v>
      </c>
      <c r="C437" s="38" t="s">
        <v>145</v>
      </c>
      <c r="D437" s="38" t="s">
        <v>23</v>
      </c>
      <c r="E437" s="21">
        <v>8</v>
      </c>
      <c r="F437" s="42">
        <f t="shared" si="173"/>
        <v>1.9184652278177457E-2</v>
      </c>
      <c r="G437" s="21">
        <v>7</v>
      </c>
      <c r="H437" s="42">
        <f t="shared" si="174"/>
        <v>1.876675603217158E-2</v>
      </c>
      <c r="I437" s="21">
        <v>8</v>
      </c>
      <c r="J437" s="41">
        <f t="shared" si="175"/>
        <v>1.9184652278177457E-2</v>
      </c>
      <c r="K437" s="21">
        <v>9</v>
      </c>
      <c r="L437" s="41">
        <f t="shared" si="176"/>
        <v>2.4128686327077747E-2</v>
      </c>
      <c r="M437" s="21">
        <v>365</v>
      </c>
      <c r="N437" s="41">
        <f t="shared" si="177"/>
        <v>0.87529976019184652</v>
      </c>
      <c r="O437" s="21">
        <v>323</v>
      </c>
      <c r="P437" s="41">
        <f t="shared" si="178"/>
        <v>0.86595174262734587</v>
      </c>
      <c r="Q437" s="21">
        <v>36</v>
      </c>
      <c r="R437" s="41">
        <f t="shared" si="179"/>
        <v>8.6330935251798566E-2</v>
      </c>
      <c r="S437" s="21">
        <v>34</v>
      </c>
      <c r="T437" s="41">
        <f t="shared" si="180"/>
        <v>9.1152815013404831E-2</v>
      </c>
      <c r="U437" s="21">
        <v>28</v>
      </c>
      <c r="V437" s="41">
        <f t="shared" si="181"/>
        <v>6.7146282973621102E-2</v>
      </c>
      <c r="W437" s="21">
        <v>27</v>
      </c>
      <c r="X437" s="41">
        <f t="shared" si="182"/>
        <v>7.2386058981233251E-2</v>
      </c>
      <c r="Y437" s="21">
        <v>33</v>
      </c>
      <c r="Z437" s="41">
        <f t="shared" si="183"/>
        <v>7.9136690647482008E-2</v>
      </c>
      <c r="AA437" s="21">
        <v>33</v>
      </c>
      <c r="AB437" s="41">
        <f t="shared" si="184"/>
        <v>8.8471849865951746E-2</v>
      </c>
      <c r="AC437" s="21">
        <v>356</v>
      </c>
      <c r="AD437" s="41">
        <f t="shared" si="192"/>
        <v>0.8537170263788969</v>
      </c>
      <c r="AE437" s="21">
        <v>313</v>
      </c>
      <c r="AF437" s="41">
        <f t="shared" si="185"/>
        <v>0.83914209115281502</v>
      </c>
      <c r="AG437" s="21">
        <v>40</v>
      </c>
      <c r="AH437" s="41">
        <f t="shared" si="193"/>
        <v>9.5923261390887291E-2</v>
      </c>
      <c r="AI437" s="21">
        <v>37</v>
      </c>
      <c r="AJ437" s="41">
        <f t="shared" si="186"/>
        <v>9.9195710455764072E-2</v>
      </c>
      <c r="AK437" s="21">
        <v>19</v>
      </c>
      <c r="AL437" s="41">
        <f t="shared" si="194"/>
        <v>4.5563549160671464E-2</v>
      </c>
      <c r="AM437" s="21">
        <v>21</v>
      </c>
      <c r="AN437" s="41">
        <f t="shared" si="187"/>
        <v>5.6300268096514748E-2</v>
      </c>
      <c r="AO437" s="21">
        <v>244</v>
      </c>
      <c r="AP437" s="41">
        <f t="shared" si="195"/>
        <v>0.5851318944844125</v>
      </c>
      <c r="AQ437" s="21">
        <v>219</v>
      </c>
      <c r="AR437" s="41">
        <f t="shared" si="188"/>
        <v>0.58713136729222515</v>
      </c>
      <c r="AS437" s="21">
        <v>51</v>
      </c>
      <c r="AT437" s="41">
        <f t="shared" si="196"/>
        <v>0.1223021582733813</v>
      </c>
      <c r="AU437" s="21">
        <v>38</v>
      </c>
      <c r="AV437" s="41">
        <f t="shared" si="189"/>
        <v>0.10187667560321716</v>
      </c>
      <c r="AW437" s="21">
        <v>29</v>
      </c>
      <c r="AX437" s="41">
        <f t="shared" si="197"/>
        <v>6.9544364508393283E-2</v>
      </c>
      <c r="AY437" s="21">
        <v>26</v>
      </c>
      <c r="AZ437" s="41">
        <f t="shared" si="190"/>
        <v>6.9705093833780166E-2</v>
      </c>
      <c r="BA437" s="21">
        <v>34</v>
      </c>
      <c r="BB437" s="41">
        <f t="shared" si="198"/>
        <v>8.1534772182254203E-2</v>
      </c>
      <c r="BC437" s="21">
        <v>32</v>
      </c>
      <c r="BD437" s="41">
        <f t="shared" si="191"/>
        <v>8.5790884718498661E-2</v>
      </c>
      <c r="BE437" s="21">
        <v>417</v>
      </c>
      <c r="BF437" s="21">
        <v>373</v>
      </c>
    </row>
    <row r="438" spans="1:58" ht="15.75" customHeight="1" x14ac:dyDescent="0.25">
      <c r="A438" s="44">
        <v>2021</v>
      </c>
      <c r="B438" s="39">
        <v>170300</v>
      </c>
      <c r="C438" s="38" t="s">
        <v>149</v>
      </c>
      <c r="D438" s="38" t="s">
        <v>24</v>
      </c>
      <c r="E438" s="21">
        <v>4</v>
      </c>
      <c r="F438" s="42">
        <f t="shared" si="173"/>
        <v>1.1527377521613832E-2</v>
      </c>
      <c r="G438" s="21">
        <v>3</v>
      </c>
      <c r="H438" s="42">
        <f t="shared" si="174"/>
        <v>1.0416666666666666E-2</v>
      </c>
      <c r="I438" s="21">
        <v>12</v>
      </c>
      <c r="J438" s="41">
        <f t="shared" si="175"/>
        <v>3.4582132564841501E-2</v>
      </c>
      <c r="K438" s="21">
        <v>10</v>
      </c>
      <c r="L438" s="41">
        <f t="shared" si="176"/>
        <v>3.4722222222222224E-2</v>
      </c>
      <c r="M438" s="21">
        <v>307</v>
      </c>
      <c r="N438" s="41">
        <f t="shared" si="177"/>
        <v>0.88472622478386165</v>
      </c>
      <c r="O438" s="21">
        <v>256</v>
      </c>
      <c r="P438" s="41">
        <f t="shared" si="178"/>
        <v>0.88888888888888884</v>
      </c>
      <c r="Q438" s="21">
        <v>24</v>
      </c>
      <c r="R438" s="41">
        <f t="shared" si="179"/>
        <v>6.9164265129683003E-2</v>
      </c>
      <c r="S438" s="21">
        <v>19</v>
      </c>
      <c r="T438" s="41">
        <f t="shared" si="180"/>
        <v>6.5972222222222224E-2</v>
      </c>
      <c r="U438" s="21">
        <v>17</v>
      </c>
      <c r="V438" s="41">
        <f t="shared" si="181"/>
        <v>4.8991354466858789E-2</v>
      </c>
      <c r="W438" s="21">
        <v>17</v>
      </c>
      <c r="X438" s="41">
        <f t="shared" si="182"/>
        <v>5.9027777777777776E-2</v>
      </c>
      <c r="Y438" s="21">
        <v>25</v>
      </c>
      <c r="Z438" s="41">
        <f t="shared" si="183"/>
        <v>7.2046109510086456E-2</v>
      </c>
      <c r="AA438" s="21">
        <v>25</v>
      </c>
      <c r="AB438" s="41">
        <f t="shared" si="184"/>
        <v>8.6805555555555552E-2</v>
      </c>
      <c r="AC438" s="21">
        <v>305</v>
      </c>
      <c r="AD438" s="41">
        <f t="shared" si="192"/>
        <v>0.87896253602305474</v>
      </c>
      <c r="AE438" s="21">
        <v>246</v>
      </c>
      <c r="AF438" s="41">
        <f t="shared" si="185"/>
        <v>0.85416666666666663</v>
      </c>
      <c r="AG438" s="21">
        <v>21</v>
      </c>
      <c r="AH438" s="41">
        <f t="shared" si="193"/>
        <v>6.0518731988472622E-2</v>
      </c>
      <c r="AI438" s="21">
        <v>21</v>
      </c>
      <c r="AJ438" s="41">
        <f t="shared" si="186"/>
        <v>7.2916666666666671E-2</v>
      </c>
      <c r="AK438" s="21">
        <v>24</v>
      </c>
      <c r="AL438" s="41">
        <f t="shared" si="194"/>
        <v>6.9164265129683003E-2</v>
      </c>
      <c r="AM438" s="21">
        <v>19</v>
      </c>
      <c r="AN438" s="41">
        <f t="shared" si="187"/>
        <v>6.5972222222222224E-2</v>
      </c>
      <c r="AO438" s="21">
        <v>194</v>
      </c>
      <c r="AP438" s="41">
        <f t="shared" si="195"/>
        <v>0.55907780979827093</v>
      </c>
      <c r="AQ438" s="21">
        <v>160</v>
      </c>
      <c r="AR438" s="41">
        <f t="shared" si="188"/>
        <v>0.55555555555555558</v>
      </c>
      <c r="AS438" s="21">
        <v>52</v>
      </c>
      <c r="AT438" s="41">
        <f t="shared" si="196"/>
        <v>0.14985590778097982</v>
      </c>
      <c r="AU438" s="21">
        <v>37</v>
      </c>
      <c r="AV438" s="41">
        <f t="shared" si="189"/>
        <v>0.12847222222222221</v>
      </c>
      <c r="AW438" s="21">
        <v>27</v>
      </c>
      <c r="AX438" s="41">
        <f t="shared" si="197"/>
        <v>7.7809798270893377E-2</v>
      </c>
      <c r="AY438" s="21">
        <v>25</v>
      </c>
      <c r="AZ438" s="41">
        <f t="shared" si="190"/>
        <v>8.6805555555555552E-2</v>
      </c>
      <c r="BA438" s="21">
        <v>29</v>
      </c>
      <c r="BB438" s="41">
        <f t="shared" si="198"/>
        <v>8.3573487031700283E-2</v>
      </c>
      <c r="BC438" s="21">
        <v>26</v>
      </c>
      <c r="BD438" s="41">
        <f t="shared" si="191"/>
        <v>9.0277777777777776E-2</v>
      </c>
      <c r="BE438" s="21">
        <v>347</v>
      </c>
      <c r="BF438" s="21">
        <v>288</v>
      </c>
    </row>
    <row r="439" spans="1:58" ht="15.75" customHeight="1" x14ac:dyDescent="0.25">
      <c r="A439" s="44">
        <v>2021</v>
      </c>
      <c r="B439" s="39">
        <v>170305</v>
      </c>
      <c r="C439" s="38" t="s">
        <v>150</v>
      </c>
      <c r="D439" s="38" t="s">
        <v>25</v>
      </c>
      <c r="E439" s="21">
        <v>0</v>
      </c>
      <c r="F439" s="42">
        <f t="shared" si="173"/>
        <v>0</v>
      </c>
      <c r="G439" s="21">
        <v>0</v>
      </c>
      <c r="H439" s="42">
        <f t="shared" si="174"/>
        <v>0</v>
      </c>
      <c r="I439" s="21">
        <v>0</v>
      </c>
      <c r="J439" s="41">
        <f t="shared" si="175"/>
        <v>0</v>
      </c>
      <c r="K439" s="21">
        <v>0</v>
      </c>
      <c r="L439" s="41">
        <f t="shared" si="176"/>
        <v>0</v>
      </c>
      <c r="M439" s="21">
        <v>151</v>
      </c>
      <c r="N439" s="41">
        <f t="shared" si="177"/>
        <v>0.89349112426035504</v>
      </c>
      <c r="O439" s="21">
        <v>78</v>
      </c>
      <c r="P439" s="41">
        <f t="shared" si="178"/>
        <v>0.9285714285714286</v>
      </c>
      <c r="Q439" s="21">
        <v>18</v>
      </c>
      <c r="R439" s="41">
        <f t="shared" si="179"/>
        <v>0.10650887573964497</v>
      </c>
      <c r="S439" s="21">
        <v>6</v>
      </c>
      <c r="T439" s="41">
        <f t="shared" si="180"/>
        <v>7.1428571428571425E-2</v>
      </c>
      <c r="U439" s="21">
        <v>6</v>
      </c>
      <c r="V439" s="41">
        <f t="shared" si="181"/>
        <v>3.5502958579881658E-2</v>
      </c>
      <c r="W439" s="21">
        <v>7</v>
      </c>
      <c r="X439" s="41">
        <f t="shared" si="182"/>
        <v>8.3333333333333329E-2</v>
      </c>
      <c r="Y439" s="21">
        <v>10</v>
      </c>
      <c r="Z439" s="41">
        <f t="shared" si="183"/>
        <v>5.9171597633136092E-2</v>
      </c>
      <c r="AA439" s="21">
        <v>9</v>
      </c>
      <c r="AB439" s="41">
        <f t="shared" si="184"/>
        <v>0.10714285714285714</v>
      </c>
      <c r="AC439" s="21">
        <v>153</v>
      </c>
      <c r="AD439" s="41">
        <f t="shared" si="192"/>
        <v>0.90532544378698221</v>
      </c>
      <c r="AE439" s="21">
        <v>68</v>
      </c>
      <c r="AF439" s="41">
        <f t="shared" si="185"/>
        <v>0.80952380952380953</v>
      </c>
      <c r="AG439" s="21">
        <v>0</v>
      </c>
      <c r="AH439" s="41">
        <f t="shared" si="193"/>
        <v>0</v>
      </c>
      <c r="AI439" s="21">
        <v>0</v>
      </c>
      <c r="AJ439" s="41">
        <f t="shared" si="186"/>
        <v>0</v>
      </c>
      <c r="AK439" s="21">
        <v>3</v>
      </c>
      <c r="AL439" s="41">
        <f t="shared" si="194"/>
        <v>1.7751479289940829E-2</v>
      </c>
      <c r="AM439" s="21">
        <v>1</v>
      </c>
      <c r="AN439" s="41">
        <f t="shared" si="187"/>
        <v>1.1904761904761904E-2</v>
      </c>
      <c r="AO439" s="21">
        <v>92</v>
      </c>
      <c r="AP439" s="41">
        <f t="shared" si="195"/>
        <v>0.54437869822485208</v>
      </c>
      <c r="AQ439" s="21">
        <v>46</v>
      </c>
      <c r="AR439" s="41">
        <f t="shared" si="188"/>
        <v>0.54761904761904767</v>
      </c>
      <c r="AS439" s="21">
        <v>47</v>
      </c>
      <c r="AT439" s="41">
        <f t="shared" si="196"/>
        <v>0.27810650887573962</v>
      </c>
      <c r="AU439" s="21">
        <v>19</v>
      </c>
      <c r="AV439" s="41">
        <f t="shared" si="189"/>
        <v>0.22619047619047619</v>
      </c>
      <c r="AW439" s="21">
        <v>13</v>
      </c>
      <c r="AX439" s="41">
        <f t="shared" si="197"/>
        <v>7.6923076923076927E-2</v>
      </c>
      <c r="AY439" s="21">
        <v>6</v>
      </c>
      <c r="AZ439" s="41">
        <f t="shared" si="190"/>
        <v>7.1428571428571425E-2</v>
      </c>
      <c r="BA439" s="21">
        <v>14</v>
      </c>
      <c r="BB439" s="41">
        <f t="shared" si="198"/>
        <v>8.2840236686390539E-2</v>
      </c>
      <c r="BC439" s="21">
        <v>12</v>
      </c>
      <c r="BD439" s="41">
        <f t="shared" si="191"/>
        <v>0.14285714285714285</v>
      </c>
      <c r="BE439" s="21">
        <v>169</v>
      </c>
      <c r="BF439" s="21">
        <v>84</v>
      </c>
    </row>
    <row r="440" spans="1:58" ht="15.75" customHeight="1" x14ac:dyDescent="0.25">
      <c r="A440" s="44">
        <v>2021</v>
      </c>
      <c r="B440" s="39">
        <v>170307</v>
      </c>
      <c r="C440" s="38" t="s">
        <v>149</v>
      </c>
      <c r="D440" s="38" t="s">
        <v>26</v>
      </c>
      <c r="E440" s="21">
        <v>2</v>
      </c>
      <c r="F440" s="42">
        <f t="shared" si="173"/>
        <v>7.2992700729927005E-3</v>
      </c>
      <c r="G440" s="21">
        <v>1</v>
      </c>
      <c r="H440" s="42">
        <f t="shared" si="174"/>
        <v>9.2592592592592587E-3</v>
      </c>
      <c r="I440" s="21">
        <v>6</v>
      </c>
      <c r="J440" s="41">
        <f t="shared" si="175"/>
        <v>2.1897810218978103E-2</v>
      </c>
      <c r="K440" s="21">
        <v>4</v>
      </c>
      <c r="L440" s="41">
        <f t="shared" si="176"/>
        <v>3.7037037037037035E-2</v>
      </c>
      <c r="M440" s="21">
        <v>252</v>
      </c>
      <c r="N440" s="41">
        <f t="shared" si="177"/>
        <v>0.91970802919708028</v>
      </c>
      <c r="O440" s="21">
        <v>98</v>
      </c>
      <c r="P440" s="41">
        <f t="shared" si="178"/>
        <v>0.90740740740740744</v>
      </c>
      <c r="Q440" s="21">
        <v>14</v>
      </c>
      <c r="R440" s="41">
        <f t="shared" si="179"/>
        <v>5.1094890510948905E-2</v>
      </c>
      <c r="S440" s="21">
        <v>5</v>
      </c>
      <c r="T440" s="41">
        <f t="shared" si="180"/>
        <v>4.6296296296296294E-2</v>
      </c>
      <c r="U440" s="21">
        <v>10</v>
      </c>
      <c r="V440" s="41">
        <f t="shared" si="181"/>
        <v>3.6496350364963501E-2</v>
      </c>
      <c r="W440" s="21">
        <v>3</v>
      </c>
      <c r="X440" s="41">
        <f t="shared" si="182"/>
        <v>2.7777777777777776E-2</v>
      </c>
      <c r="Y440" s="21">
        <v>14</v>
      </c>
      <c r="Z440" s="41">
        <f t="shared" si="183"/>
        <v>5.1094890510948905E-2</v>
      </c>
      <c r="AA440" s="21">
        <v>8</v>
      </c>
      <c r="AB440" s="41">
        <f t="shared" si="184"/>
        <v>7.407407407407407E-2</v>
      </c>
      <c r="AC440" s="21">
        <v>250</v>
      </c>
      <c r="AD440" s="41">
        <f t="shared" si="192"/>
        <v>0.91240875912408759</v>
      </c>
      <c r="AE440" s="21">
        <v>97</v>
      </c>
      <c r="AF440" s="41">
        <f t="shared" si="185"/>
        <v>0.89814814814814814</v>
      </c>
      <c r="AG440" s="21">
        <v>7</v>
      </c>
      <c r="AH440" s="41">
        <f t="shared" si="193"/>
        <v>2.5547445255474453E-2</v>
      </c>
      <c r="AI440" s="21">
        <v>2</v>
      </c>
      <c r="AJ440" s="41">
        <f t="shared" si="186"/>
        <v>1.8518518518518517E-2</v>
      </c>
      <c r="AK440" s="21">
        <v>12</v>
      </c>
      <c r="AL440" s="41">
        <f t="shared" si="194"/>
        <v>4.3795620437956206E-2</v>
      </c>
      <c r="AM440" s="21">
        <v>4</v>
      </c>
      <c r="AN440" s="41">
        <f t="shared" si="187"/>
        <v>3.7037037037037035E-2</v>
      </c>
      <c r="AO440" s="21">
        <v>183</v>
      </c>
      <c r="AP440" s="41">
        <f t="shared" si="195"/>
        <v>0.66788321167883213</v>
      </c>
      <c r="AQ440" s="21">
        <v>77</v>
      </c>
      <c r="AR440" s="41">
        <f t="shared" si="188"/>
        <v>0.71296296296296291</v>
      </c>
      <c r="AS440" s="21">
        <v>44</v>
      </c>
      <c r="AT440" s="41">
        <f t="shared" si="196"/>
        <v>0.16058394160583941</v>
      </c>
      <c r="AU440" s="21">
        <v>15</v>
      </c>
      <c r="AV440" s="41">
        <f t="shared" si="189"/>
        <v>0.1388888888888889</v>
      </c>
      <c r="AW440" s="21">
        <v>17</v>
      </c>
      <c r="AX440" s="41">
        <f t="shared" si="197"/>
        <v>6.2043795620437957E-2</v>
      </c>
      <c r="AY440" s="21">
        <v>6</v>
      </c>
      <c r="AZ440" s="41">
        <f t="shared" si="190"/>
        <v>5.5555555555555552E-2</v>
      </c>
      <c r="BA440" s="21">
        <v>11</v>
      </c>
      <c r="BB440" s="41">
        <f t="shared" si="198"/>
        <v>4.0145985401459854E-2</v>
      </c>
      <c r="BC440" s="21">
        <v>4</v>
      </c>
      <c r="BD440" s="41">
        <f t="shared" si="191"/>
        <v>3.7037037037037035E-2</v>
      </c>
      <c r="BE440" s="21">
        <v>274</v>
      </c>
      <c r="BF440" s="21">
        <v>108</v>
      </c>
    </row>
    <row r="441" spans="1:58" ht="15.75" customHeight="1" x14ac:dyDescent="0.25">
      <c r="A441" s="44">
        <v>2021</v>
      </c>
      <c r="B441" s="39">
        <v>170310</v>
      </c>
      <c r="C441" s="38" t="s">
        <v>144</v>
      </c>
      <c r="D441" s="38" t="s">
        <v>27</v>
      </c>
      <c r="E441" s="21">
        <v>1</v>
      </c>
      <c r="F441" s="42">
        <f t="shared" si="173"/>
        <v>8.4745762711864406E-3</v>
      </c>
      <c r="G441" s="21">
        <v>0</v>
      </c>
      <c r="H441" s="42">
        <f t="shared" si="174"/>
        <v>0</v>
      </c>
      <c r="I441" s="21">
        <v>2</v>
      </c>
      <c r="J441" s="41">
        <f t="shared" si="175"/>
        <v>1.6949152542372881E-2</v>
      </c>
      <c r="K441" s="21">
        <v>0</v>
      </c>
      <c r="L441" s="41">
        <f t="shared" si="176"/>
        <v>0</v>
      </c>
      <c r="M441" s="21">
        <v>100</v>
      </c>
      <c r="N441" s="41">
        <f t="shared" si="177"/>
        <v>0.84745762711864403</v>
      </c>
      <c r="O441" s="21">
        <v>6</v>
      </c>
      <c r="P441" s="41">
        <f t="shared" si="178"/>
        <v>0.8571428571428571</v>
      </c>
      <c r="Q441" s="21">
        <v>15</v>
      </c>
      <c r="R441" s="41">
        <f t="shared" si="179"/>
        <v>0.1271186440677966</v>
      </c>
      <c r="S441" s="21">
        <v>1</v>
      </c>
      <c r="T441" s="41">
        <f t="shared" si="180"/>
        <v>0.14285714285714285</v>
      </c>
      <c r="U441" s="21">
        <v>8</v>
      </c>
      <c r="V441" s="41">
        <f t="shared" si="181"/>
        <v>6.7796610169491525E-2</v>
      </c>
      <c r="W441" s="21">
        <v>1</v>
      </c>
      <c r="X441" s="41">
        <f t="shared" si="182"/>
        <v>0.14285714285714285</v>
      </c>
      <c r="Y441" s="21">
        <v>6</v>
      </c>
      <c r="Z441" s="41">
        <f t="shared" si="183"/>
        <v>5.0847457627118647E-2</v>
      </c>
      <c r="AA441" s="21">
        <v>0</v>
      </c>
      <c r="AB441" s="41">
        <f t="shared" si="184"/>
        <v>0</v>
      </c>
      <c r="AC441" s="21">
        <v>104</v>
      </c>
      <c r="AD441" s="41">
        <f t="shared" si="192"/>
        <v>0.88135593220338981</v>
      </c>
      <c r="AE441" s="21">
        <v>6</v>
      </c>
      <c r="AF441" s="41">
        <f t="shared" si="185"/>
        <v>0.8571428571428571</v>
      </c>
      <c r="AG441" s="21">
        <v>1</v>
      </c>
      <c r="AH441" s="41">
        <f t="shared" si="193"/>
        <v>8.4745762711864406E-3</v>
      </c>
      <c r="AI441" s="21">
        <v>0</v>
      </c>
      <c r="AJ441" s="41">
        <f t="shared" si="186"/>
        <v>0</v>
      </c>
      <c r="AK441" s="21">
        <v>5</v>
      </c>
      <c r="AL441" s="41">
        <f t="shared" si="194"/>
        <v>4.2372881355932202E-2</v>
      </c>
      <c r="AM441" s="21">
        <v>0</v>
      </c>
      <c r="AN441" s="41">
        <f t="shared" si="187"/>
        <v>0</v>
      </c>
      <c r="AO441" s="21">
        <v>51</v>
      </c>
      <c r="AP441" s="41">
        <f t="shared" si="195"/>
        <v>0.43220338983050849</v>
      </c>
      <c r="AQ441" s="21">
        <v>3</v>
      </c>
      <c r="AR441" s="41">
        <f t="shared" si="188"/>
        <v>0.42857142857142855</v>
      </c>
      <c r="AS441" s="21">
        <v>32</v>
      </c>
      <c r="AT441" s="41">
        <f t="shared" si="196"/>
        <v>0.2711864406779661</v>
      </c>
      <c r="AU441" s="21">
        <v>2</v>
      </c>
      <c r="AV441" s="41">
        <f t="shared" si="189"/>
        <v>0.2857142857142857</v>
      </c>
      <c r="AW441" s="21">
        <v>15</v>
      </c>
      <c r="AX441" s="41">
        <f t="shared" si="197"/>
        <v>0.1271186440677966</v>
      </c>
      <c r="AY441" s="21">
        <v>1</v>
      </c>
      <c r="AZ441" s="41">
        <f t="shared" si="190"/>
        <v>0.14285714285714285</v>
      </c>
      <c r="BA441" s="21">
        <v>14</v>
      </c>
      <c r="BB441" s="41">
        <f t="shared" si="198"/>
        <v>0.11864406779661017</v>
      </c>
      <c r="BC441" s="21">
        <v>1</v>
      </c>
      <c r="BD441" s="41">
        <f t="shared" si="191"/>
        <v>0.14285714285714285</v>
      </c>
      <c r="BE441" s="21">
        <v>118</v>
      </c>
      <c r="BF441" s="21">
        <v>7</v>
      </c>
    </row>
    <row r="442" spans="1:58" ht="15.75" customHeight="1" x14ac:dyDescent="0.25">
      <c r="A442" s="44">
        <v>2021</v>
      </c>
      <c r="B442" s="39">
        <v>170320</v>
      </c>
      <c r="C442" s="38" t="s">
        <v>150</v>
      </c>
      <c r="D442" s="38" t="s">
        <v>28</v>
      </c>
      <c r="E442" s="21">
        <v>1</v>
      </c>
      <c r="F442" s="42">
        <f t="shared" si="173"/>
        <v>1.0752688172043012E-2</v>
      </c>
      <c r="G442" s="21">
        <v>1</v>
      </c>
      <c r="H442" s="42">
        <f t="shared" si="174"/>
        <v>1.0869565217391304E-2</v>
      </c>
      <c r="I442" s="21">
        <v>2</v>
      </c>
      <c r="J442" s="41">
        <f t="shared" si="175"/>
        <v>2.1505376344086023E-2</v>
      </c>
      <c r="K442" s="21">
        <v>2</v>
      </c>
      <c r="L442" s="41">
        <f t="shared" si="176"/>
        <v>2.1739130434782608E-2</v>
      </c>
      <c r="M442" s="21">
        <v>83</v>
      </c>
      <c r="N442" s="41">
        <f t="shared" si="177"/>
        <v>0.89247311827956988</v>
      </c>
      <c r="O442" s="21">
        <v>82</v>
      </c>
      <c r="P442" s="41">
        <f t="shared" si="178"/>
        <v>0.89130434782608692</v>
      </c>
      <c r="Q442" s="21">
        <v>7</v>
      </c>
      <c r="R442" s="41">
        <f t="shared" si="179"/>
        <v>7.5268817204301078E-2</v>
      </c>
      <c r="S442" s="21">
        <v>7</v>
      </c>
      <c r="T442" s="41">
        <f t="shared" si="180"/>
        <v>7.6086956521739135E-2</v>
      </c>
      <c r="U442" s="21">
        <v>8</v>
      </c>
      <c r="V442" s="41">
        <f t="shared" si="181"/>
        <v>8.6021505376344093E-2</v>
      </c>
      <c r="W442" s="21">
        <v>8</v>
      </c>
      <c r="X442" s="41">
        <f t="shared" si="182"/>
        <v>8.6956521739130432E-2</v>
      </c>
      <c r="Y442" s="21">
        <v>6</v>
      </c>
      <c r="Z442" s="41">
        <f t="shared" si="183"/>
        <v>6.4516129032258063E-2</v>
      </c>
      <c r="AA442" s="21">
        <v>6</v>
      </c>
      <c r="AB442" s="41">
        <f t="shared" si="184"/>
        <v>6.5217391304347824E-2</v>
      </c>
      <c r="AC442" s="21">
        <v>79</v>
      </c>
      <c r="AD442" s="41">
        <f t="shared" ref="AD442:AD505" si="199">IFERROR(AC442/$BE442,0)</f>
        <v>0.84946236559139787</v>
      </c>
      <c r="AE442" s="21">
        <v>78</v>
      </c>
      <c r="AF442" s="41">
        <f t="shared" si="185"/>
        <v>0.84782608695652173</v>
      </c>
      <c r="AG442" s="21">
        <v>2</v>
      </c>
      <c r="AH442" s="41">
        <f t="shared" ref="AH442:AH505" si="200">IFERROR(AG442/$BE442,0)</f>
        <v>2.1505376344086023E-2</v>
      </c>
      <c r="AI442" s="21">
        <v>2</v>
      </c>
      <c r="AJ442" s="41">
        <f t="shared" si="186"/>
        <v>2.1739130434782608E-2</v>
      </c>
      <c r="AK442" s="21">
        <v>5</v>
      </c>
      <c r="AL442" s="41">
        <f t="shared" ref="AL442:AL505" si="201">IFERROR(AK442/$BE442,0)</f>
        <v>5.3763440860215055E-2</v>
      </c>
      <c r="AM442" s="21">
        <v>5</v>
      </c>
      <c r="AN442" s="41">
        <f t="shared" si="187"/>
        <v>5.434782608695652E-2</v>
      </c>
      <c r="AO442" s="21">
        <v>54</v>
      </c>
      <c r="AP442" s="41">
        <f t="shared" ref="AP442:AP505" si="202">IFERROR(AO442/$BE442,0)</f>
        <v>0.58064516129032262</v>
      </c>
      <c r="AQ442" s="21">
        <v>54</v>
      </c>
      <c r="AR442" s="41">
        <f t="shared" si="188"/>
        <v>0.58695652173913049</v>
      </c>
      <c r="AS442" s="21">
        <v>14</v>
      </c>
      <c r="AT442" s="41">
        <f t="shared" ref="AT442:AT505" si="203">IFERROR(AS442/$BE442,0)</f>
        <v>0.15053763440860216</v>
      </c>
      <c r="AU442" s="21">
        <v>13</v>
      </c>
      <c r="AV442" s="41">
        <f t="shared" si="189"/>
        <v>0.14130434782608695</v>
      </c>
      <c r="AW442" s="21">
        <v>10</v>
      </c>
      <c r="AX442" s="41">
        <f t="shared" ref="AX442:AX505" si="204">IFERROR(AW442/$BE442,0)</f>
        <v>0.10752688172043011</v>
      </c>
      <c r="AY442" s="21">
        <v>10</v>
      </c>
      <c r="AZ442" s="41">
        <f t="shared" si="190"/>
        <v>0.10869565217391304</v>
      </c>
      <c r="BA442" s="21">
        <v>8</v>
      </c>
      <c r="BB442" s="41">
        <f t="shared" ref="BB442:BB505" si="205">IFERROR(BA442/$BE442,0)</f>
        <v>8.6021505376344093E-2</v>
      </c>
      <c r="BC442" s="21">
        <v>8</v>
      </c>
      <c r="BD442" s="41">
        <f t="shared" si="191"/>
        <v>8.6956521739130432E-2</v>
      </c>
      <c r="BE442" s="21">
        <v>93</v>
      </c>
      <c r="BF442" s="21">
        <v>92</v>
      </c>
    </row>
    <row r="443" spans="1:58" ht="15.75" customHeight="1" x14ac:dyDescent="0.25">
      <c r="A443" s="44">
        <v>2021</v>
      </c>
      <c r="B443" s="39">
        <v>170330</v>
      </c>
      <c r="C443" s="38" t="s">
        <v>150</v>
      </c>
      <c r="D443" s="38" t="s">
        <v>29</v>
      </c>
      <c r="E443" s="21">
        <v>1</v>
      </c>
      <c r="F443" s="42">
        <f t="shared" si="173"/>
        <v>7.4074074074074077E-3</v>
      </c>
      <c r="G443" s="21">
        <v>1</v>
      </c>
      <c r="H443" s="42">
        <f t="shared" si="174"/>
        <v>1.2987012987012988E-2</v>
      </c>
      <c r="I443" s="21">
        <v>7</v>
      </c>
      <c r="J443" s="41">
        <f t="shared" si="175"/>
        <v>5.185185185185185E-2</v>
      </c>
      <c r="K443" s="21">
        <v>5</v>
      </c>
      <c r="L443" s="41">
        <f t="shared" si="176"/>
        <v>6.4935064935064929E-2</v>
      </c>
      <c r="M443" s="21">
        <v>118</v>
      </c>
      <c r="N443" s="41">
        <f t="shared" si="177"/>
        <v>0.87407407407407411</v>
      </c>
      <c r="O443" s="21">
        <v>64</v>
      </c>
      <c r="P443" s="41">
        <f t="shared" si="178"/>
        <v>0.83116883116883122</v>
      </c>
      <c r="Q443" s="21">
        <v>9</v>
      </c>
      <c r="R443" s="41">
        <f t="shared" si="179"/>
        <v>6.6666666666666666E-2</v>
      </c>
      <c r="S443" s="21">
        <v>7</v>
      </c>
      <c r="T443" s="41">
        <f t="shared" si="180"/>
        <v>9.0909090909090912E-2</v>
      </c>
      <c r="U443" s="21">
        <v>10</v>
      </c>
      <c r="V443" s="41">
        <f t="shared" si="181"/>
        <v>7.407407407407407E-2</v>
      </c>
      <c r="W443" s="21">
        <v>3</v>
      </c>
      <c r="X443" s="41">
        <f t="shared" si="182"/>
        <v>3.896103896103896E-2</v>
      </c>
      <c r="Y443" s="21">
        <v>13</v>
      </c>
      <c r="Z443" s="41">
        <f t="shared" si="183"/>
        <v>9.6296296296296297E-2</v>
      </c>
      <c r="AA443" s="21">
        <v>5</v>
      </c>
      <c r="AB443" s="41">
        <f t="shared" si="184"/>
        <v>6.4935064935064929E-2</v>
      </c>
      <c r="AC443" s="21">
        <v>112</v>
      </c>
      <c r="AD443" s="41">
        <f t="shared" si="199"/>
        <v>0.82962962962962961</v>
      </c>
      <c r="AE443" s="21">
        <v>69</v>
      </c>
      <c r="AF443" s="41">
        <f t="shared" si="185"/>
        <v>0.89610389610389607</v>
      </c>
      <c r="AG443" s="21">
        <v>4</v>
      </c>
      <c r="AH443" s="41">
        <f t="shared" si="200"/>
        <v>2.9629629629629631E-2</v>
      </c>
      <c r="AI443" s="21">
        <v>2</v>
      </c>
      <c r="AJ443" s="41">
        <f t="shared" si="186"/>
        <v>2.5974025974025976E-2</v>
      </c>
      <c r="AK443" s="21">
        <v>12</v>
      </c>
      <c r="AL443" s="41">
        <f t="shared" si="201"/>
        <v>8.8888888888888892E-2</v>
      </c>
      <c r="AM443" s="21">
        <v>8</v>
      </c>
      <c r="AN443" s="41">
        <f t="shared" si="187"/>
        <v>0.1038961038961039</v>
      </c>
      <c r="AO443" s="21">
        <v>81</v>
      </c>
      <c r="AP443" s="41">
        <f t="shared" si="202"/>
        <v>0.6</v>
      </c>
      <c r="AQ443" s="21">
        <v>49</v>
      </c>
      <c r="AR443" s="41">
        <f t="shared" si="188"/>
        <v>0.63636363636363635</v>
      </c>
      <c r="AS443" s="21">
        <v>18</v>
      </c>
      <c r="AT443" s="41">
        <f t="shared" si="203"/>
        <v>0.13333333333333333</v>
      </c>
      <c r="AU443" s="21">
        <v>10</v>
      </c>
      <c r="AV443" s="41">
        <f t="shared" si="189"/>
        <v>0.12987012987012986</v>
      </c>
      <c r="AW443" s="21">
        <v>14</v>
      </c>
      <c r="AX443" s="41">
        <f t="shared" si="204"/>
        <v>0.1037037037037037</v>
      </c>
      <c r="AY443" s="21">
        <v>5</v>
      </c>
      <c r="AZ443" s="41">
        <f t="shared" si="190"/>
        <v>6.4935064935064929E-2</v>
      </c>
      <c r="BA443" s="21">
        <v>6</v>
      </c>
      <c r="BB443" s="41">
        <f t="shared" si="205"/>
        <v>4.4444444444444446E-2</v>
      </c>
      <c r="BC443" s="21">
        <v>3</v>
      </c>
      <c r="BD443" s="41">
        <f t="shared" si="191"/>
        <v>3.896103896103896E-2</v>
      </c>
      <c r="BE443" s="21">
        <v>135</v>
      </c>
      <c r="BF443" s="21">
        <v>77</v>
      </c>
    </row>
    <row r="444" spans="1:58" ht="15.75" customHeight="1" x14ac:dyDescent="0.25">
      <c r="A444" s="44">
        <v>2021</v>
      </c>
      <c r="B444" s="39">
        <v>170360</v>
      </c>
      <c r="C444" s="38" t="s">
        <v>150</v>
      </c>
      <c r="D444" s="38" t="s">
        <v>30</v>
      </c>
      <c r="E444" s="21">
        <v>2</v>
      </c>
      <c r="F444" s="42">
        <f t="shared" si="173"/>
        <v>3.1746031746031744E-2</v>
      </c>
      <c r="G444" s="21">
        <v>1</v>
      </c>
      <c r="H444" s="42">
        <f t="shared" si="174"/>
        <v>2.5000000000000001E-2</v>
      </c>
      <c r="I444" s="21">
        <v>2</v>
      </c>
      <c r="J444" s="41">
        <f t="shared" si="175"/>
        <v>3.1746031746031744E-2</v>
      </c>
      <c r="K444" s="21">
        <v>1</v>
      </c>
      <c r="L444" s="41">
        <f t="shared" si="176"/>
        <v>2.5000000000000001E-2</v>
      </c>
      <c r="M444" s="21">
        <v>54</v>
      </c>
      <c r="N444" s="41">
        <f t="shared" si="177"/>
        <v>0.8571428571428571</v>
      </c>
      <c r="O444" s="21">
        <v>36</v>
      </c>
      <c r="P444" s="41">
        <f t="shared" si="178"/>
        <v>0.9</v>
      </c>
      <c r="Q444" s="21">
        <v>5</v>
      </c>
      <c r="R444" s="41">
        <f t="shared" si="179"/>
        <v>7.9365079365079361E-2</v>
      </c>
      <c r="S444" s="21">
        <v>2</v>
      </c>
      <c r="T444" s="41">
        <f t="shared" si="180"/>
        <v>0.05</v>
      </c>
      <c r="U444" s="21">
        <v>8</v>
      </c>
      <c r="V444" s="41">
        <f t="shared" si="181"/>
        <v>0.12698412698412698</v>
      </c>
      <c r="W444" s="21">
        <v>2</v>
      </c>
      <c r="X444" s="41">
        <f t="shared" si="182"/>
        <v>0.05</v>
      </c>
      <c r="Y444" s="21">
        <v>11</v>
      </c>
      <c r="Z444" s="41">
        <f t="shared" si="183"/>
        <v>0.17460317460317459</v>
      </c>
      <c r="AA444" s="21">
        <v>7</v>
      </c>
      <c r="AB444" s="41">
        <f t="shared" si="184"/>
        <v>0.17499999999999999</v>
      </c>
      <c r="AC444" s="21">
        <v>44</v>
      </c>
      <c r="AD444" s="41">
        <f t="shared" si="199"/>
        <v>0.69841269841269837</v>
      </c>
      <c r="AE444" s="21">
        <v>31</v>
      </c>
      <c r="AF444" s="41">
        <f t="shared" si="185"/>
        <v>0.77500000000000002</v>
      </c>
      <c r="AG444" s="21">
        <v>6</v>
      </c>
      <c r="AH444" s="41">
        <f t="shared" si="200"/>
        <v>9.5238095238095233E-2</v>
      </c>
      <c r="AI444" s="21">
        <v>3</v>
      </c>
      <c r="AJ444" s="41">
        <f t="shared" si="186"/>
        <v>7.4999999999999997E-2</v>
      </c>
      <c r="AK444" s="21">
        <v>2</v>
      </c>
      <c r="AL444" s="41">
        <f t="shared" si="201"/>
        <v>3.1746031746031744E-2</v>
      </c>
      <c r="AM444" s="21">
        <v>1</v>
      </c>
      <c r="AN444" s="41">
        <f t="shared" si="187"/>
        <v>2.5000000000000001E-2</v>
      </c>
      <c r="AO444" s="21">
        <v>23</v>
      </c>
      <c r="AP444" s="41">
        <f t="shared" si="202"/>
        <v>0.36507936507936506</v>
      </c>
      <c r="AQ444" s="21">
        <v>22</v>
      </c>
      <c r="AR444" s="41">
        <f t="shared" si="188"/>
        <v>0.55000000000000004</v>
      </c>
      <c r="AS444" s="21">
        <v>14</v>
      </c>
      <c r="AT444" s="41">
        <f t="shared" si="203"/>
        <v>0.22222222222222221</v>
      </c>
      <c r="AU444" s="21">
        <v>8</v>
      </c>
      <c r="AV444" s="41">
        <f t="shared" si="189"/>
        <v>0.2</v>
      </c>
      <c r="AW444" s="21">
        <v>7</v>
      </c>
      <c r="AX444" s="41">
        <f t="shared" si="204"/>
        <v>0.1111111111111111</v>
      </c>
      <c r="AY444" s="21">
        <v>2</v>
      </c>
      <c r="AZ444" s="41">
        <f t="shared" si="190"/>
        <v>0.05</v>
      </c>
      <c r="BA444" s="21">
        <v>11</v>
      </c>
      <c r="BB444" s="41">
        <f t="shared" si="205"/>
        <v>0.17460317460317459</v>
      </c>
      <c r="BC444" s="21">
        <v>4</v>
      </c>
      <c r="BD444" s="41">
        <f t="shared" si="191"/>
        <v>0.1</v>
      </c>
      <c r="BE444" s="21">
        <v>63</v>
      </c>
      <c r="BF444" s="21">
        <v>40</v>
      </c>
    </row>
    <row r="445" spans="1:58" ht="15.75" customHeight="1" x14ac:dyDescent="0.25">
      <c r="A445" s="44">
        <v>2021</v>
      </c>
      <c r="B445" s="39">
        <v>170370</v>
      </c>
      <c r="C445" s="38" t="s">
        <v>151</v>
      </c>
      <c r="D445" s="38" t="s">
        <v>31</v>
      </c>
      <c r="E445" s="21">
        <v>1</v>
      </c>
      <c r="F445" s="42">
        <f t="shared" si="173"/>
        <v>1.0101010101010102E-2</v>
      </c>
      <c r="G445" s="21">
        <v>1</v>
      </c>
      <c r="H445" s="42">
        <f t="shared" si="174"/>
        <v>1.0416666666666666E-2</v>
      </c>
      <c r="I445" s="21">
        <v>3</v>
      </c>
      <c r="J445" s="41">
        <f t="shared" si="175"/>
        <v>3.0303030303030304E-2</v>
      </c>
      <c r="K445" s="21">
        <v>3</v>
      </c>
      <c r="L445" s="41">
        <f t="shared" si="176"/>
        <v>3.125E-2</v>
      </c>
      <c r="M445" s="21">
        <v>87</v>
      </c>
      <c r="N445" s="41">
        <f t="shared" si="177"/>
        <v>0.87878787878787878</v>
      </c>
      <c r="O445" s="21">
        <v>84</v>
      </c>
      <c r="P445" s="41">
        <f t="shared" si="178"/>
        <v>0.875</v>
      </c>
      <c r="Q445" s="21">
        <v>8</v>
      </c>
      <c r="R445" s="41">
        <f t="shared" si="179"/>
        <v>8.0808080808080815E-2</v>
      </c>
      <c r="S445" s="21">
        <v>8</v>
      </c>
      <c r="T445" s="41">
        <f t="shared" si="180"/>
        <v>8.3333333333333329E-2</v>
      </c>
      <c r="U445" s="21">
        <v>5</v>
      </c>
      <c r="V445" s="41">
        <f t="shared" si="181"/>
        <v>5.0505050505050504E-2</v>
      </c>
      <c r="W445" s="21">
        <v>5</v>
      </c>
      <c r="X445" s="41">
        <f t="shared" si="182"/>
        <v>5.2083333333333336E-2</v>
      </c>
      <c r="Y445" s="21">
        <v>7</v>
      </c>
      <c r="Z445" s="41">
        <f t="shared" si="183"/>
        <v>7.0707070707070704E-2</v>
      </c>
      <c r="AA445" s="21">
        <v>8</v>
      </c>
      <c r="AB445" s="41">
        <f t="shared" si="184"/>
        <v>8.3333333333333329E-2</v>
      </c>
      <c r="AC445" s="21">
        <v>87</v>
      </c>
      <c r="AD445" s="41">
        <f t="shared" si="199"/>
        <v>0.87878787878787878</v>
      </c>
      <c r="AE445" s="21">
        <v>83</v>
      </c>
      <c r="AF445" s="41">
        <f t="shared" si="185"/>
        <v>0.86458333333333337</v>
      </c>
      <c r="AG445" s="21">
        <v>3</v>
      </c>
      <c r="AH445" s="41">
        <f t="shared" si="200"/>
        <v>3.0303030303030304E-2</v>
      </c>
      <c r="AI445" s="21">
        <v>3</v>
      </c>
      <c r="AJ445" s="41">
        <f t="shared" si="186"/>
        <v>3.125E-2</v>
      </c>
      <c r="AK445" s="21">
        <v>9</v>
      </c>
      <c r="AL445" s="41">
        <f t="shared" si="201"/>
        <v>9.0909090909090912E-2</v>
      </c>
      <c r="AM445" s="21">
        <v>8</v>
      </c>
      <c r="AN445" s="41">
        <f t="shared" si="187"/>
        <v>8.3333333333333329E-2</v>
      </c>
      <c r="AO445" s="21">
        <v>63</v>
      </c>
      <c r="AP445" s="41">
        <f t="shared" si="202"/>
        <v>0.63636363636363635</v>
      </c>
      <c r="AQ445" s="21">
        <v>61</v>
      </c>
      <c r="AR445" s="41">
        <f t="shared" si="188"/>
        <v>0.63541666666666663</v>
      </c>
      <c r="AS445" s="21">
        <v>14</v>
      </c>
      <c r="AT445" s="41">
        <f t="shared" si="203"/>
        <v>0.14141414141414141</v>
      </c>
      <c r="AU445" s="21">
        <v>13</v>
      </c>
      <c r="AV445" s="41">
        <f t="shared" si="189"/>
        <v>0.13541666666666666</v>
      </c>
      <c r="AW445" s="21">
        <v>3</v>
      </c>
      <c r="AX445" s="41">
        <f t="shared" si="204"/>
        <v>3.0303030303030304E-2</v>
      </c>
      <c r="AY445" s="21">
        <v>4</v>
      </c>
      <c r="AZ445" s="41">
        <f t="shared" si="190"/>
        <v>4.1666666666666664E-2</v>
      </c>
      <c r="BA445" s="21">
        <v>7</v>
      </c>
      <c r="BB445" s="41">
        <f t="shared" si="205"/>
        <v>7.0707070707070704E-2</v>
      </c>
      <c r="BC445" s="21">
        <v>7</v>
      </c>
      <c r="BD445" s="41">
        <f t="shared" si="191"/>
        <v>7.2916666666666671E-2</v>
      </c>
      <c r="BE445" s="21">
        <v>99</v>
      </c>
      <c r="BF445" s="21">
        <v>96</v>
      </c>
    </row>
    <row r="446" spans="1:58" ht="15.75" customHeight="1" x14ac:dyDescent="0.25">
      <c r="A446" s="44">
        <v>2021</v>
      </c>
      <c r="B446" s="39">
        <v>170380</v>
      </c>
      <c r="C446" s="38" t="s">
        <v>145</v>
      </c>
      <c r="D446" s="38" t="s">
        <v>32</v>
      </c>
      <c r="E446" s="21">
        <v>4</v>
      </c>
      <c r="F446" s="42">
        <f t="shared" si="173"/>
        <v>9.1954022988505746E-3</v>
      </c>
      <c r="G446" s="21">
        <v>2</v>
      </c>
      <c r="H446" s="42">
        <f t="shared" si="174"/>
        <v>7.3800738007380072E-3</v>
      </c>
      <c r="I446" s="21">
        <v>7</v>
      </c>
      <c r="J446" s="41">
        <f t="shared" si="175"/>
        <v>1.6091954022988506E-2</v>
      </c>
      <c r="K446" s="21">
        <v>5</v>
      </c>
      <c r="L446" s="41">
        <f t="shared" si="176"/>
        <v>1.8450184501845018E-2</v>
      </c>
      <c r="M446" s="21">
        <v>395</v>
      </c>
      <c r="N446" s="41">
        <f t="shared" si="177"/>
        <v>0.90804597701149425</v>
      </c>
      <c r="O446" s="21">
        <v>248</v>
      </c>
      <c r="P446" s="41">
        <f t="shared" si="178"/>
        <v>0.91512915129151295</v>
      </c>
      <c r="Q446" s="21">
        <v>29</v>
      </c>
      <c r="R446" s="41">
        <f t="shared" si="179"/>
        <v>6.6666666666666666E-2</v>
      </c>
      <c r="S446" s="21">
        <v>16</v>
      </c>
      <c r="T446" s="41">
        <f t="shared" si="180"/>
        <v>5.9040590405904057E-2</v>
      </c>
      <c r="U446" s="21">
        <v>26</v>
      </c>
      <c r="V446" s="41">
        <f t="shared" si="181"/>
        <v>5.9770114942528735E-2</v>
      </c>
      <c r="W446" s="21">
        <v>16</v>
      </c>
      <c r="X446" s="41">
        <f t="shared" si="182"/>
        <v>5.9040590405904057E-2</v>
      </c>
      <c r="Y446" s="21">
        <v>23</v>
      </c>
      <c r="Z446" s="41">
        <f t="shared" si="183"/>
        <v>5.2873563218390804E-2</v>
      </c>
      <c r="AA446" s="21">
        <v>15</v>
      </c>
      <c r="AB446" s="41">
        <f t="shared" si="184"/>
        <v>5.5350553505535055E-2</v>
      </c>
      <c r="AC446" s="21">
        <v>386</v>
      </c>
      <c r="AD446" s="41">
        <f t="shared" si="199"/>
        <v>0.88735632183908042</v>
      </c>
      <c r="AE446" s="21">
        <v>240</v>
      </c>
      <c r="AF446" s="41">
        <f t="shared" si="185"/>
        <v>0.88560885608856088</v>
      </c>
      <c r="AG446" s="21">
        <v>15</v>
      </c>
      <c r="AH446" s="41">
        <f t="shared" si="200"/>
        <v>3.4482758620689655E-2</v>
      </c>
      <c r="AI446" s="21">
        <v>16</v>
      </c>
      <c r="AJ446" s="41">
        <f t="shared" si="186"/>
        <v>5.9040590405904057E-2</v>
      </c>
      <c r="AK446" s="21">
        <v>18</v>
      </c>
      <c r="AL446" s="41">
        <f t="shared" si="201"/>
        <v>4.1379310344827586E-2</v>
      </c>
      <c r="AM446" s="21">
        <v>13</v>
      </c>
      <c r="AN446" s="41">
        <f t="shared" si="187"/>
        <v>4.797047970479705E-2</v>
      </c>
      <c r="AO446" s="21">
        <v>244</v>
      </c>
      <c r="AP446" s="41">
        <f t="shared" si="202"/>
        <v>0.56091954022988511</v>
      </c>
      <c r="AQ446" s="21">
        <v>154</v>
      </c>
      <c r="AR446" s="41">
        <f t="shared" si="188"/>
        <v>0.56826568265682653</v>
      </c>
      <c r="AS446" s="21">
        <v>74</v>
      </c>
      <c r="AT446" s="41">
        <f t="shared" si="203"/>
        <v>0.17011494252873563</v>
      </c>
      <c r="AU446" s="21">
        <v>37</v>
      </c>
      <c r="AV446" s="41">
        <f t="shared" si="189"/>
        <v>0.13653136531365315</v>
      </c>
      <c r="AW446" s="21">
        <v>55</v>
      </c>
      <c r="AX446" s="41">
        <f t="shared" si="204"/>
        <v>0.12643678160919541</v>
      </c>
      <c r="AY446" s="21">
        <v>30</v>
      </c>
      <c r="AZ446" s="41">
        <f t="shared" si="190"/>
        <v>0.11070110701107011</v>
      </c>
      <c r="BA446" s="21">
        <v>29</v>
      </c>
      <c r="BB446" s="41">
        <f t="shared" si="205"/>
        <v>6.6666666666666666E-2</v>
      </c>
      <c r="BC446" s="21">
        <v>21</v>
      </c>
      <c r="BD446" s="41">
        <f t="shared" si="191"/>
        <v>7.7490774907749083E-2</v>
      </c>
      <c r="BE446" s="21">
        <v>435</v>
      </c>
      <c r="BF446" s="21">
        <v>271</v>
      </c>
    </row>
    <row r="447" spans="1:58" ht="15.75" customHeight="1" x14ac:dyDescent="0.25">
      <c r="A447" s="44">
        <v>2021</v>
      </c>
      <c r="B447" s="39">
        <v>170382</v>
      </c>
      <c r="C447" s="38" t="s">
        <v>145</v>
      </c>
      <c r="D447" s="38" t="s">
        <v>33</v>
      </c>
      <c r="E447" s="21">
        <v>0</v>
      </c>
      <c r="F447" s="42">
        <f t="shared" si="173"/>
        <v>0</v>
      </c>
      <c r="G447" s="21">
        <v>0</v>
      </c>
      <c r="H447" s="42">
        <f t="shared" si="174"/>
        <v>0</v>
      </c>
      <c r="I447" s="21">
        <v>0</v>
      </c>
      <c r="J447" s="41">
        <f t="shared" si="175"/>
        <v>0</v>
      </c>
      <c r="K447" s="21">
        <v>0</v>
      </c>
      <c r="L447" s="41">
        <f t="shared" si="176"/>
        <v>0</v>
      </c>
      <c r="M447" s="21">
        <v>95</v>
      </c>
      <c r="N447" s="41">
        <f t="shared" si="177"/>
        <v>0.94059405940594054</v>
      </c>
      <c r="O447" s="21">
        <v>91</v>
      </c>
      <c r="P447" s="41">
        <f t="shared" si="178"/>
        <v>0.95789473684210524</v>
      </c>
      <c r="Q447" s="21">
        <v>6</v>
      </c>
      <c r="R447" s="41">
        <f t="shared" si="179"/>
        <v>5.9405940594059403E-2</v>
      </c>
      <c r="S447" s="21">
        <v>4</v>
      </c>
      <c r="T447" s="41">
        <f t="shared" si="180"/>
        <v>4.2105263157894736E-2</v>
      </c>
      <c r="U447" s="21">
        <v>1</v>
      </c>
      <c r="V447" s="41">
        <f t="shared" si="181"/>
        <v>9.9009900990099011E-3</v>
      </c>
      <c r="W447" s="21">
        <v>1</v>
      </c>
      <c r="X447" s="41">
        <f t="shared" si="182"/>
        <v>1.0526315789473684E-2</v>
      </c>
      <c r="Y447" s="21">
        <v>15</v>
      </c>
      <c r="Z447" s="41">
        <f t="shared" si="183"/>
        <v>0.14851485148514851</v>
      </c>
      <c r="AA447" s="21">
        <v>15</v>
      </c>
      <c r="AB447" s="41">
        <f t="shared" si="184"/>
        <v>0.15789473684210525</v>
      </c>
      <c r="AC447" s="21">
        <v>85</v>
      </c>
      <c r="AD447" s="41">
        <f t="shared" si="199"/>
        <v>0.84158415841584155</v>
      </c>
      <c r="AE447" s="21">
        <v>79</v>
      </c>
      <c r="AF447" s="41">
        <f t="shared" si="185"/>
        <v>0.83157894736842108</v>
      </c>
      <c r="AG447" s="21">
        <v>0</v>
      </c>
      <c r="AH447" s="41">
        <f t="shared" si="200"/>
        <v>0</v>
      </c>
      <c r="AI447" s="21">
        <v>0</v>
      </c>
      <c r="AJ447" s="41">
        <f t="shared" si="186"/>
        <v>0</v>
      </c>
      <c r="AK447" s="21">
        <v>6</v>
      </c>
      <c r="AL447" s="41">
        <f t="shared" si="201"/>
        <v>5.9405940594059403E-2</v>
      </c>
      <c r="AM447" s="21">
        <v>4</v>
      </c>
      <c r="AN447" s="41">
        <f t="shared" si="187"/>
        <v>4.2105263157894736E-2</v>
      </c>
      <c r="AO447" s="21">
        <v>57</v>
      </c>
      <c r="AP447" s="41">
        <f t="shared" si="202"/>
        <v>0.5643564356435643</v>
      </c>
      <c r="AQ447" s="21">
        <v>54</v>
      </c>
      <c r="AR447" s="41">
        <f t="shared" si="188"/>
        <v>0.56842105263157894</v>
      </c>
      <c r="AS447" s="21">
        <v>23</v>
      </c>
      <c r="AT447" s="41">
        <f t="shared" si="203"/>
        <v>0.22772277227722773</v>
      </c>
      <c r="AU447" s="21">
        <v>24</v>
      </c>
      <c r="AV447" s="41">
        <f t="shared" si="189"/>
        <v>0.25263157894736843</v>
      </c>
      <c r="AW447" s="21">
        <v>11</v>
      </c>
      <c r="AX447" s="41">
        <f t="shared" si="204"/>
        <v>0.10891089108910891</v>
      </c>
      <c r="AY447" s="21">
        <v>9</v>
      </c>
      <c r="AZ447" s="41">
        <f t="shared" si="190"/>
        <v>9.4736842105263161E-2</v>
      </c>
      <c r="BA447" s="21">
        <v>4</v>
      </c>
      <c r="BB447" s="41">
        <f t="shared" si="205"/>
        <v>3.9603960396039604E-2</v>
      </c>
      <c r="BC447" s="21">
        <v>4</v>
      </c>
      <c r="BD447" s="41">
        <f t="shared" si="191"/>
        <v>4.2105263157894736E-2</v>
      </c>
      <c r="BE447" s="21">
        <v>101</v>
      </c>
      <c r="BF447" s="21">
        <v>95</v>
      </c>
    </row>
    <row r="448" spans="1:58" ht="15.75" customHeight="1" x14ac:dyDescent="0.25">
      <c r="A448" s="44">
        <v>2021</v>
      </c>
      <c r="B448" s="39">
        <v>170384</v>
      </c>
      <c r="C448" s="38" t="s">
        <v>149</v>
      </c>
      <c r="D448" s="38" t="s">
        <v>34</v>
      </c>
      <c r="E448" s="21">
        <v>6</v>
      </c>
      <c r="F448" s="42">
        <f t="shared" si="173"/>
        <v>1.0526315789473684E-2</v>
      </c>
      <c r="G448" s="21">
        <v>3</v>
      </c>
      <c r="H448" s="42">
        <f t="shared" si="174"/>
        <v>9.6774193548387101E-3</v>
      </c>
      <c r="I448" s="21">
        <v>12</v>
      </c>
      <c r="J448" s="41">
        <f t="shared" si="175"/>
        <v>2.1052631578947368E-2</v>
      </c>
      <c r="K448" s="21">
        <v>9</v>
      </c>
      <c r="L448" s="41">
        <f t="shared" si="176"/>
        <v>2.903225806451613E-2</v>
      </c>
      <c r="M448" s="21">
        <v>524</v>
      </c>
      <c r="N448" s="41">
        <f t="shared" si="177"/>
        <v>0.91929824561403506</v>
      </c>
      <c r="O448" s="21">
        <v>289</v>
      </c>
      <c r="P448" s="41">
        <f t="shared" si="178"/>
        <v>0.93225806451612903</v>
      </c>
      <c r="Q448" s="21">
        <v>28</v>
      </c>
      <c r="R448" s="41">
        <f t="shared" si="179"/>
        <v>4.912280701754386E-2</v>
      </c>
      <c r="S448" s="21">
        <v>9</v>
      </c>
      <c r="T448" s="41">
        <f t="shared" si="180"/>
        <v>2.903225806451613E-2</v>
      </c>
      <c r="U448" s="21">
        <v>19</v>
      </c>
      <c r="V448" s="41">
        <f t="shared" si="181"/>
        <v>3.3333333333333333E-2</v>
      </c>
      <c r="W448" s="21">
        <v>9</v>
      </c>
      <c r="X448" s="41">
        <f t="shared" si="182"/>
        <v>2.903225806451613E-2</v>
      </c>
      <c r="Y448" s="21">
        <v>39</v>
      </c>
      <c r="Z448" s="41">
        <f t="shared" si="183"/>
        <v>6.8421052631578952E-2</v>
      </c>
      <c r="AA448" s="21">
        <v>29</v>
      </c>
      <c r="AB448" s="41">
        <f t="shared" si="184"/>
        <v>9.3548387096774197E-2</v>
      </c>
      <c r="AC448" s="21">
        <v>512</v>
      </c>
      <c r="AD448" s="41">
        <f t="shared" si="199"/>
        <v>0.89824561403508774</v>
      </c>
      <c r="AE448" s="21">
        <v>272</v>
      </c>
      <c r="AF448" s="41">
        <f t="shared" si="185"/>
        <v>0.8774193548387097</v>
      </c>
      <c r="AG448" s="21">
        <v>12</v>
      </c>
      <c r="AH448" s="41">
        <f t="shared" si="200"/>
        <v>2.1052631578947368E-2</v>
      </c>
      <c r="AI448" s="21">
        <v>10</v>
      </c>
      <c r="AJ448" s="41">
        <f t="shared" si="186"/>
        <v>3.2258064516129031E-2</v>
      </c>
      <c r="AK448" s="21">
        <v>12</v>
      </c>
      <c r="AL448" s="41">
        <f t="shared" si="201"/>
        <v>2.1052631578947368E-2</v>
      </c>
      <c r="AM448" s="21">
        <v>8</v>
      </c>
      <c r="AN448" s="41">
        <f t="shared" si="187"/>
        <v>2.5806451612903226E-2</v>
      </c>
      <c r="AO448" s="21">
        <v>394</v>
      </c>
      <c r="AP448" s="41">
        <f t="shared" si="202"/>
        <v>0.69122807017543864</v>
      </c>
      <c r="AQ448" s="21">
        <v>235</v>
      </c>
      <c r="AR448" s="41">
        <f t="shared" si="188"/>
        <v>0.75806451612903225</v>
      </c>
      <c r="AS448" s="21">
        <v>100</v>
      </c>
      <c r="AT448" s="41">
        <f t="shared" si="203"/>
        <v>0.17543859649122806</v>
      </c>
      <c r="AU448" s="21">
        <v>35</v>
      </c>
      <c r="AV448" s="41">
        <f t="shared" si="189"/>
        <v>0.11290322580645161</v>
      </c>
      <c r="AW448" s="21">
        <v>32</v>
      </c>
      <c r="AX448" s="41">
        <f t="shared" si="204"/>
        <v>5.6140350877192984E-2</v>
      </c>
      <c r="AY448" s="21">
        <v>12</v>
      </c>
      <c r="AZ448" s="41">
        <f t="shared" si="190"/>
        <v>3.870967741935484E-2</v>
      </c>
      <c r="BA448" s="21">
        <v>20</v>
      </c>
      <c r="BB448" s="41">
        <f t="shared" si="205"/>
        <v>3.5087719298245612E-2</v>
      </c>
      <c r="BC448" s="21">
        <v>10</v>
      </c>
      <c r="BD448" s="41">
        <f t="shared" si="191"/>
        <v>3.2258064516129031E-2</v>
      </c>
      <c r="BE448" s="21">
        <v>570</v>
      </c>
      <c r="BF448" s="21">
        <v>310</v>
      </c>
    </row>
    <row r="449" spans="1:58" ht="15.75" customHeight="1" x14ac:dyDescent="0.25">
      <c r="A449" s="44">
        <v>2021</v>
      </c>
      <c r="B449" s="39">
        <v>170386</v>
      </c>
      <c r="C449" s="38" t="s">
        <v>146</v>
      </c>
      <c r="D449" s="38" t="s">
        <v>35</v>
      </c>
      <c r="E449" s="21">
        <v>3</v>
      </c>
      <c r="F449" s="42">
        <f t="shared" si="173"/>
        <v>1.4492753623188406E-2</v>
      </c>
      <c r="G449" s="21">
        <v>3</v>
      </c>
      <c r="H449" s="42">
        <f t="shared" si="174"/>
        <v>2.4390243902439025E-2</v>
      </c>
      <c r="I449" s="21">
        <v>5</v>
      </c>
      <c r="J449" s="41">
        <f t="shared" si="175"/>
        <v>2.4154589371980676E-2</v>
      </c>
      <c r="K449" s="21">
        <v>5</v>
      </c>
      <c r="L449" s="41">
        <f t="shared" si="176"/>
        <v>4.065040650406504E-2</v>
      </c>
      <c r="M449" s="21">
        <v>182</v>
      </c>
      <c r="N449" s="41">
        <f t="shared" si="177"/>
        <v>0.87922705314009664</v>
      </c>
      <c r="O449" s="21">
        <v>102</v>
      </c>
      <c r="P449" s="41">
        <f t="shared" si="178"/>
        <v>0.82926829268292679</v>
      </c>
      <c r="Q449" s="21">
        <v>17</v>
      </c>
      <c r="R449" s="41">
        <f t="shared" si="179"/>
        <v>8.2125603864734303E-2</v>
      </c>
      <c r="S449" s="21">
        <v>13</v>
      </c>
      <c r="T449" s="41">
        <f t="shared" si="180"/>
        <v>0.10569105691056911</v>
      </c>
      <c r="U449" s="21">
        <v>15</v>
      </c>
      <c r="V449" s="41">
        <f t="shared" si="181"/>
        <v>7.2463768115942032E-2</v>
      </c>
      <c r="W449" s="21">
        <v>12</v>
      </c>
      <c r="X449" s="41">
        <f t="shared" si="182"/>
        <v>9.7560975609756101E-2</v>
      </c>
      <c r="Y449" s="21">
        <v>24</v>
      </c>
      <c r="Z449" s="41">
        <f t="shared" si="183"/>
        <v>0.11594202898550725</v>
      </c>
      <c r="AA449" s="21">
        <v>17</v>
      </c>
      <c r="AB449" s="41">
        <f t="shared" si="184"/>
        <v>0.13821138211382114</v>
      </c>
      <c r="AC449" s="21">
        <v>168</v>
      </c>
      <c r="AD449" s="41">
        <f t="shared" si="199"/>
        <v>0.81159420289855078</v>
      </c>
      <c r="AE449" s="21">
        <v>94</v>
      </c>
      <c r="AF449" s="41">
        <f t="shared" si="185"/>
        <v>0.76422764227642281</v>
      </c>
      <c r="AG449" s="21">
        <v>7</v>
      </c>
      <c r="AH449" s="41">
        <f t="shared" si="200"/>
        <v>3.3816425120772944E-2</v>
      </c>
      <c r="AI449" s="21">
        <v>5</v>
      </c>
      <c r="AJ449" s="41">
        <f t="shared" si="186"/>
        <v>4.065040650406504E-2</v>
      </c>
      <c r="AK449" s="21">
        <v>10</v>
      </c>
      <c r="AL449" s="41">
        <f t="shared" si="201"/>
        <v>4.8309178743961352E-2</v>
      </c>
      <c r="AM449" s="21">
        <v>9</v>
      </c>
      <c r="AN449" s="41">
        <f t="shared" si="187"/>
        <v>7.3170731707317069E-2</v>
      </c>
      <c r="AO449" s="21">
        <v>102</v>
      </c>
      <c r="AP449" s="41">
        <f t="shared" si="202"/>
        <v>0.49275362318840582</v>
      </c>
      <c r="AQ449" s="21">
        <v>60</v>
      </c>
      <c r="AR449" s="41">
        <f t="shared" si="188"/>
        <v>0.48780487804878048</v>
      </c>
      <c r="AS449" s="21">
        <v>37</v>
      </c>
      <c r="AT449" s="41">
        <f t="shared" si="203"/>
        <v>0.17874396135265699</v>
      </c>
      <c r="AU449" s="21">
        <v>18</v>
      </c>
      <c r="AV449" s="41">
        <f t="shared" si="189"/>
        <v>0.14634146341463414</v>
      </c>
      <c r="AW449" s="21">
        <v>29</v>
      </c>
      <c r="AX449" s="41">
        <f t="shared" si="204"/>
        <v>0.14009661835748793</v>
      </c>
      <c r="AY449" s="21">
        <v>18</v>
      </c>
      <c r="AZ449" s="41">
        <f t="shared" si="190"/>
        <v>0.14634146341463414</v>
      </c>
      <c r="BA449" s="21">
        <v>22</v>
      </c>
      <c r="BB449" s="41">
        <f t="shared" si="205"/>
        <v>0.10628019323671498</v>
      </c>
      <c r="BC449" s="21">
        <v>13</v>
      </c>
      <c r="BD449" s="41">
        <f t="shared" si="191"/>
        <v>0.10569105691056911</v>
      </c>
      <c r="BE449" s="21">
        <v>207</v>
      </c>
      <c r="BF449" s="21">
        <v>123</v>
      </c>
    </row>
    <row r="450" spans="1:58" ht="15.75" customHeight="1" x14ac:dyDescent="0.25">
      <c r="A450" s="44">
        <v>2021</v>
      </c>
      <c r="B450" s="39">
        <v>170388</v>
      </c>
      <c r="C450" s="38" t="s">
        <v>149</v>
      </c>
      <c r="D450" s="38" t="s">
        <v>36</v>
      </c>
      <c r="E450" s="21">
        <v>3</v>
      </c>
      <c r="F450" s="42">
        <f t="shared" ref="F450:F513" si="206">IFERROR(E450/$BE450,0)</f>
        <v>2.5862068965517241E-2</v>
      </c>
      <c r="G450" s="21">
        <v>4</v>
      </c>
      <c r="H450" s="42">
        <f t="shared" ref="H450:H513" si="207">IFERROR(G450/$BF450,0)</f>
        <v>6.7796610169491525E-2</v>
      </c>
      <c r="I450" s="21">
        <v>4</v>
      </c>
      <c r="J450" s="41">
        <f t="shared" ref="J450:J513" si="208">IFERROR(I450/$BE450,0)</f>
        <v>3.4482758620689655E-2</v>
      </c>
      <c r="K450" s="21">
        <v>4</v>
      </c>
      <c r="L450" s="41">
        <f t="shared" ref="L450:L513" si="209">IFERROR(K450/$BF450,0)</f>
        <v>6.7796610169491525E-2</v>
      </c>
      <c r="M450" s="21">
        <v>102</v>
      </c>
      <c r="N450" s="41">
        <f t="shared" ref="N450:N513" si="210">IFERROR(M450/$BE450,0)</f>
        <v>0.87931034482758619</v>
      </c>
      <c r="O450" s="21">
        <v>50</v>
      </c>
      <c r="P450" s="41">
        <f t="shared" ref="P450:P513" si="211">IFERROR(O450/$BF450,0)</f>
        <v>0.84745762711864403</v>
      </c>
      <c r="Q450" s="21">
        <v>7</v>
      </c>
      <c r="R450" s="41">
        <f t="shared" ref="R450:R513" si="212">IFERROR(Q450/$BE450,0)</f>
        <v>6.0344827586206899E-2</v>
      </c>
      <c r="S450" s="21">
        <v>1</v>
      </c>
      <c r="T450" s="41">
        <f t="shared" ref="T450:T513" si="213">IFERROR(S450/$BF450,0)</f>
        <v>1.6949152542372881E-2</v>
      </c>
      <c r="U450" s="21">
        <v>11</v>
      </c>
      <c r="V450" s="41">
        <f t="shared" ref="V450:V513" si="214">IFERROR(U450/$BE450,0)</f>
        <v>9.4827586206896547E-2</v>
      </c>
      <c r="W450" s="21">
        <v>8</v>
      </c>
      <c r="X450" s="41">
        <f t="shared" ref="X450:X513" si="215">IFERROR(W450/$BF450,0)</f>
        <v>0.13559322033898305</v>
      </c>
      <c r="Y450" s="21">
        <v>8</v>
      </c>
      <c r="Z450" s="41">
        <f t="shared" ref="Z450:Z513" si="216">IFERROR(Y450/$BE450,0)</f>
        <v>6.8965517241379309E-2</v>
      </c>
      <c r="AA450" s="21">
        <v>8</v>
      </c>
      <c r="AB450" s="41">
        <f t="shared" ref="AB450:AB513" si="217">IFERROR(AA450/$BF450,0)</f>
        <v>0.13559322033898305</v>
      </c>
      <c r="AC450" s="21">
        <v>97</v>
      </c>
      <c r="AD450" s="41">
        <f t="shared" si="199"/>
        <v>0.83620689655172409</v>
      </c>
      <c r="AE450" s="21">
        <v>43</v>
      </c>
      <c r="AF450" s="41">
        <f t="shared" ref="AF450:AF513" si="218">IFERROR(AE450/$BF450,0)</f>
        <v>0.72881355932203384</v>
      </c>
      <c r="AG450" s="21">
        <v>8</v>
      </c>
      <c r="AH450" s="41">
        <f t="shared" si="200"/>
        <v>6.8965517241379309E-2</v>
      </c>
      <c r="AI450" s="21">
        <v>5</v>
      </c>
      <c r="AJ450" s="41">
        <f t="shared" ref="AJ450:AJ513" si="219">IFERROR(AI450/$BF450,0)</f>
        <v>8.4745762711864403E-2</v>
      </c>
      <c r="AK450" s="21">
        <v>4</v>
      </c>
      <c r="AL450" s="41">
        <f t="shared" si="201"/>
        <v>3.4482758620689655E-2</v>
      </c>
      <c r="AM450" s="21">
        <v>2</v>
      </c>
      <c r="AN450" s="41">
        <f t="shared" ref="AN450:AN513" si="220">IFERROR(AM450/$BF450,0)</f>
        <v>3.3898305084745763E-2</v>
      </c>
      <c r="AO450" s="21">
        <v>65</v>
      </c>
      <c r="AP450" s="41">
        <f t="shared" si="202"/>
        <v>0.56034482758620685</v>
      </c>
      <c r="AQ450" s="21">
        <v>36</v>
      </c>
      <c r="AR450" s="41">
        <f t="shared" ref="AR450:AR513" si="221">IFERROR(AQ450/$BF450,0)</f>
        <v>0.61016949152542377</v>
      </c>
      <c r="AS450" s="21">
        <v>24</v>
      </c>
      <c r="AT450" s="41">
        <f t="shared" si="203"/>
        <v>0.20689655172413793</v>
      </c>
      <c r="AU450" s="21">
        <v>10</v>
      </c>
      <c r="AV450" s="41">
        <f t="shared" ref="AV450:AV513" si="222">IFERROR(AU450/$BF450,0)</f>
        <v>0.16949152542372881</v>
      </c>
      <c r="AW450" s="21">
        <v>8</v>
      </c>
      <c r="AX450" s="41">
        <f t="shared" si="204"/>
        <v>6.8965517241379309E-2</v>
      </c>
      <c r="AY450" s="21">
        <v>3</v>
      </c>
      <c r="AZ450" s="41">
        <f t="shared" ref="AZ450:AZ513" si="223">IFERROR(AY450/$BF450,0)</f>
        <v>5.0847457627118647E-2</v>
      </c>
      <c r="BA450" s="21">
        <v>7</v>
      </c>
      <c r="BB450" s="41">
        <f t="shared" si="205"/>
        <v>6.0344827586206899E-2</v>
      </c>
      <c r="BC450" s="21">
        <v>3</v>
      </c>
      <c r="BD450" s="41">
        <f t="shared" ref="BD450:BD513" si="224">IFERROR(BC450/$BF450,0)</f>
        <v>5.0847457627118647E-2</v>
      </c>
      <c r="BE450" s="21">
        <v>116</v>
      </c>
      <c r="BF450" s="21">
        <v>59</v>
      </c>
    </row>
    <row r="451" spans="1:58" ht="15.75" customHeight="1" x14ac:dyDescent="0.25">
      <c r="A451" s="44">
        <v>2021</v>
      </c>
      <c r="B451" s="39">
        <v>170389</v>
      </c>
      <c r="C451" s="38" t="s">
        <v>145</v>
      </c>
      <c r="D451" s="38" t="s">
        <v>37</v>
      </c>
      <c r="E451" s="21">
        <v>1</v>
      </c>
      <c r="F451" s="42">
        <f t="shared" si="206"/>
        <v>6.2500000000000003E-3</v>
      </c>
      <c r="G451" s="21">
        <v>0</v>
      </c>
      <c r="H451" s="42">
        <f t="shared" si="207"/>
        <v>0</v>
      </c>
      <c r="I451" s="21">
        <v>2</v>
      </c>
      <c r="J451" s="41">
        <f t="shared" si="208"/>
        <v>1.2500000000000001E-2</v>
      </c>
      <c r="K451" s="21">
        <v>1</v>
      </c>
      <c r="L451" s="41">
        <f t="shared" si="209"/>
        <v>7.1942446043165471E-3</v>
      </c>
      <c r="M451" s="21">
        <v>146</v>
      </c>
      <c r="N451" s="41">
        <f t="shared" si="210"/>
        <v>0.91249999999999998</v>
      </c>
      <c r="O451" s="21">
        <v>128</v>
      </c>
      <c r="P451" s="41">
        <f t="shared" si="211"/>
        <v>0.92086330935251803</v>
      </c>
      <c r="Q451" s="21">
        <v>11</v>
      </c>
      <c r="R451" s="41">
        <f t="shared" si="212"/>
        <v>6.8750000000000006E-2</v>
      </c>
      <c r="S451" s="21">
        <v>10</v>
      </c>
      <c r="T451" s="41">
        <f t="shared" si="213"/>
        <v>7.1942446043165464E-2</v>
      </c>
      <c r="U451" s="21">
        <v>5</v>
      </c>
      <c r="V451" s="41">
        <f t="shared" si="214"/>
        <v>3.125E-2</v>
      </c>
      <c r="W451" s="21">
        <v>4</v>
      </c>
      <c r="X451" s="41">
        <f t="shared" si="215"/>
        <v>2.8776978417266189E-2</v>
      </c>
      <c r="Y451" s="21">
        <v>19</v>
      </c>
      <c r="Z451" s="41">
        <f t="shared" si="216"/>
        <v>0.11874999999999999</v>
      </c>
      <c r="AA451" s="21">
        <v>18</v>
      </c>
      <c r="AB451" s="41">
        <f t="shared" si="217"/>
        <v>0.12949640287769784</v>
      </c>
      <c r="AC451" s="21">
        <v>136</v>
      </c>
      <c r="AD451" s="41">
        <f t="shared" si="199"/>
        <v>0.85</v>
      </c>
      <c r="AE451" s="21">
        <v>117</v>
      </c>
      <c r="AF451" s="41">
        <f t="shared" si="218"/>
        <v>0.84172661870503596</v>
      </c>
      <c r="AG451" s="21">
        <v>1</v>
      </c>
      <c r="AH451" s="41">
        <f t="shared" si="200"/>
        <v>6.2500000000000003E-3</v>
      </c>
      <c r="AI451" s="21">
        <v>1</v>
      </c>
      <c r="AJ451" s="41">
        <f t="shared" si="219"/>
        <v>7.1942446043165471E-3</v>
      </c>
      <c r="AK451" s="21">
        <v>3</v>
      </c>
      <c r="AL451" s="41">
        <f t="shared" si="201"/>
        <v>1.8749999999999999E-2</v>
      </c>
      <c r="AM451" s="21">
        <v>5</v>
      </c>
      <c r="AN451" s="41">
        <f t="shared" si="220"/>
        <v>3.5971223021582732E-2</v>
      </c>
      <c r="AO451" s="21">
        <v>101</v>
      </c>
      <c r="AP451" s="41">
        <f t="shared" si="202"/>
        <v>0.63124999999999998</v>
      </c>
      <c r="AQ451" s="21">
        <v>88</v>
      </c>
      <c r="AR451" s="41">
        <f t="shared" si="221"/>
        <v>0.63309352517985606</v>
      </c>
      <c r="AS451" s="21">
        <v>28</v>
      </c>
      <c r="AT451" s="41">
        <f t="shared" si="203"/>
        <v>0.17499999999999999</v>
      </c>
      <c r="AU451" s="21">
        <v>21</v>
      </c>
      <c r="AV451" s="41">
        <f t="shared" si="222"/>
        <v>0.15107913669064749</v>
      </c>
      <c r="AW451" s="21">
        <v>16</v>
      </c>
      <c r="AX451" s="41">
        <f t="shared" si="204"/>
        <v>0.1</v>
      </c>
      <c r="AY451" s="21">
        <v>16</v>
      </c>
      <c r="AZ451" s="41">
        <f t="shared" si="223"/>
        <v>0.11510791366906475</v>
      </c>
      <c r="BA451" s="21">
        <v>11</v>
      </c>
      <c r="BB451" s="41">
        <f t="shared" si="205"/>
        <v>6.8750000000000006E-2</v>
      </c>
      <c r="BC451" s="21">
        <v>8</v>
      </c>
      <c r="BD451" s="41">
        <f t="shared" si="224"/>
        <v>5.7553956834532377E-2</v>
      </c>
      <c r="BE451" s="21">
        <v>160</v>
      </c>
      <c r="BF451" s="21">
        <v>139</v>
      </c>
    </row>
    <row r="452" spans="1:58" ht="15.75" customHeight="1" x14ac:dyDescent="0.25">
      <c r="A452" s="44">
        <v>2021</v>
      </c>
      <c r="B452" s="39">
        <v>170390</v>
      </c>
      <c r="C452" s="38" t="s">
        <v>144</v>
      </c>
      <c r="D452" s="38" t="s">
        <v>38</v>
      </c>
      <c r="E452" s="21">
        <v>5</v>
      </c>
      <c r="F452" s="42">
        <f t="shared" si="206"/>
        <v>4.6296296296296294E-2</v>
      </c>
      <c r="G452" s="21">
        <v>1</v>
      </c>
      <c r="H452" s="42">
        <f t="shared" si="207"/>
        <v>1.2048192771084338E-2</v>
      </c>
      <c r="I452" s="21">
        <v>6</v>
      </c>
      <c r="J452" s="41">
        <f t="shared" si="208"/>
        <v>5.5555555555555552E-2</v>
      </c>
      <c r="K452" s="21">
        <v>5</v>
      </c>
      <c r="L452" s="41">
        <f t="shared" si="209"/>
        <v>6.0240963855421686E-2</v>
      </c>
      <c r="M452" s="21">
        <v>85</v>
      </c>
      <c r="N452" s="41">
        <f t="shared" si="210"/>
        <v>0.78703703703703709</v>
      </c>
      <c r="O452" s="21">
        <v>67</v>
      </c>
      <c r="P452" s="41">
        <f t="shared" si="211"/>
        <v>0.80722891566265065</v>
      </c>
      <c r="Q452" s="21">
        <v>12</v>
      </c>
      <c r="R452" s="41">
        <f t="shared" si="212"/>
        <v>0.1111111111111111</v>
      </c>
      <c r="S452" s="21">
        <v>10</v>
      </c>
      <c r="T452" s="41">
        <f t="shared" si="213"/>
        <v>0.12048192771084337</v>
      </c>
      <c r="U452" s="21">
        <v>11</v>
      </c>
      <c r="V452" s="41">
        <f t="shared" si="214"/>
        <v>0.10185185185185185</v>
      </c>
      <c r="W452" s="21">
        <v>7</v>
      </c>
      <c r="X452" s="41">
        <f t="shared" si="215"/>
        <v>8.4337349397590355E-2</v>
      </c>
      <c r="Y452" s="21">
        <v>13</v>
      </c>
      <c r="Z452" s="41">
        <f t="shared" si="216"/>
        <v>0.12037037037037036</v>
      </c>
      <c r="AA452" s="21">
        <v>13</v>
      </c>
      <c r="AB452" s="41">
        <f t="shared" si="217"/>
        <v>0.15662650602409639</v>
      </c>
      <c r="AC452" s="21">
        <v>84</v>
      </c>
      <c r="AD452" s="41">
        <f t="shared" si="199"/>
        <v>0.77777777777777779</v>
      </c>
      <c r="AE452" s="21">
        <v>63</v>
      </c>
      <c r="AF452" s="41">
        <f t="shared" si="218"/>
        <v>0.75903614457831325</v>
      </c>
      <c r="AG452" s="21">
        <v>8</v>
      </c>
      <c r="AH452" s="41">
        <f t="shared" si="200"/>
        <v>7.407407407407407E-2</v>
      </c>
      <c r="AI452" s="21">
        <v>7</v>
      </c>
      <c r="AJ452" s="41">
        <f t="shared" si="219"/>
        <v>8.4337349397590355E-2</v>
      </c>
      <c r="AK452" s="21">
        <v>2</v>
      </c>
      <c r="AL452" s="41">
        <f t="shared" si="201"/>
        <v>1.8518518518518517E-2</v>
      </c>
      <c r="AM452" s="21">
        <v>1</v>
      </c>
      <c r="AN452" s="41">
        <f t="shared" si="220"/>
        <v>1.2048192771084338E-2</v>
      </c>
      <c r="AO452" s="21">
        <v>65</v>
      </c>
      <c r="AP452" s="41">
        <f t="shared" si="202"/>
        <v>0.60185185185185186</v>
      </c>
      <c r="AQ452" s="21">
        <v>48</v>
      </c>
      <c r="AR452" s="41">
        <f t="shared" si="221"/>
        <v>0.57831325301204817</v>
      </c>
      <c r="AS452" s="21">
        <v>13</v>
      </c>
      <c r="AT452" s="41">
        <f t="shared" si="203"/>
        <v>0.12037037037037036</v>
      </c>
      <c r="AU452" s="21">
        <v>10</v>
      </c>
      <c r="AV452" s="41">
        <f t="shared" si="222"/>
        <v>0.12048192771084337</v>
      </c>
      <c r="AW452" s="21">
        <v>6</v>
      </c>
      <c r="AX452" s="41">
        <f t="shared" si="204"/>
        <v>5.5555555555555552E-2</v>
      </c>
      <c r="AY452" s="21">
        <v>4</v>
      </c>
      <c r="AZ452" s="41">
        <f t="shared" si="223"/>
        <v>4.8192771084337352E-2</v>
      </c>
      <c r="BA452" s="21">
        <v>14</v>
      </c>
      <c r="BB452" s="41">
        <f t="shared" si="205"/>
        <v>0.12962962962962962</v>
      </c>
      <c r="BC452" s="21">
        <v>13</v>
      </c>
      <c r="BD452" s="41">
        <f t="shared" si="224"/>
        <v>0.15662650602409639</v>
      </c>
      <c r="BE452" s="21">
        <v>108</v>
      </c>
      <c r="BF452" s="21">
        <v>83</v>
      </c>
    </row>
    <row r="453" spans="1:58" ht="15.75" customHeight="1" x14ac:dyDescent="0.25">
      <c r="A453" s="44">
        <v>2021</v>
      </c>
      <c r="B453" s="39">
        <v>170410</v>
      </c>
      <c r="C453" s="38" t="s">
        <v>150</v>
      </c>
      <c r="D453" s="38" t="s">
        <v>39</v>
      </c>
      <c r="E453" s="21">
        <v>1</v>
      </c>
      <c r="F453" s="42">
        <f t="shared" si="206"/>
        <v>1.3333333333333334E-2</v>
      </c>
      <c r="G453" s="21">
        <v>2</v>
      </c>
      <c r="H453" s="42">
        <f t="shared" si="207"/>
        <v>2.9411764705882353E-2</v>
      </c>
      <c r="I453" s="21">
        <v>3</v>
      </c>
      <c r="J453" s="41">
        <f t="shared" si="208"/>
        <v>0.04</v>
      </c>
      <c r="K453" s="21">
        <v>3</v>
      </c>
      <c r="L453" s="41">
        <f t="shared" si="209"/>
        <v>4.4117647058823532E-2</v>
      </c>
      <c r="M453" s="21">
        <v>64</v>
      </c>
      <c r="N453" s="41">
        <f t="shared" si="210"/>
        <v>0.85333333333333339</v>
      </c>
      <c r="O453" s="21">
        <v>56</v>
      </c>
      <c r="P453" s="41">
        <f t="shared" si="211"/>
        <v>0.82352941176470584</v>
      </c>
      <c r="Q453" s="21">
        <v>7</v>
      </c>
      <c r="R453" s="41">
        <f t="shared" si="212"/>
        <v>9.3333333333333338E-2</v>
      </c>
      <c r="S453" s="21">
        <v>7</v>
      </c>
      <c r="T453" s="41">
        <f t="shared" si="213"/>
        <v>0.10294117647058823</v>
      </c>
      <c r="U453" s="21">
        <v>7</v>
      </c>
      <c r="V453" s="41">
        <f t="shared" si="214"/>
        <v>9.3333333333333338E-2</v>
      </c>
      <c r="W453" s="21">
        <v>6</v>
      </c>
      <c r="X453" s="41">
        <f t="shared" si="215"/>
        <v>8.8235294117647065E-2</v>
      </c>
      <c r="Y453" s="21">
        <v>8</v>
      </c>
      <c r="Z453" s="41">
        <f t="shared" si="216"/>
        <v>0.10666666666666667</v>
      </c>
      <c r="AA453" s="21">
        <v>6</v>
      </c>
      <c r="AB453" s="41">
        <f t="shared" si="217"/>
        <v>8.8235294117647065E-2</v>
      </c>
      <c r="AC453" s="21">
        <v>60</v>
      </c>
      <c r="AD453" s="41">
        <f t="shared" si="199"/>
        <v>0.8</v>
      </c>
      <c r="AE453" s="21">
        <v>56</v>
      </c>
      <c r="AF453" s="41">
        <f t="shared" si="218"/>
        <v>0.82352941176470584</v>
      </c>
      <c r="AG453" s="21">
        <v>4</v>
      </c>
      <c r="AH453" s="41">
        <f t="shared" si="200"/>
        <v>5.3333333333333337E-2</v>
      </c>
      <c r="AI453" s="21">
        <v>5</v>
      </c>
      <c r="AJ453" s="41">
        <f t="shared" si="219"/>
        <v>7.3529411764705885E-2</v>
      </c>
      <c r="AK453" s="21">
        <v>3</v>
      </c>
      <c r="AL453" s="41">
        <f t="shared" si="201"/>
        <v>0.04</v>
      </c>
      <c r="AM453" s="21">
        <v>3</v>
      </c>
      <c r="AN453" s="41">
        <f t="shared" si="220"/>
        <v>4.4117647058823532E-2</v>
      </c>
      <c r="AO453" s="21">
        <v>45</v>
      </c>
      <c r="AP453" s="41">
        <f t="shared" si="202"/>
        <v>0.6</v>
      </c>
      <c r="AQ453" s="21">
        <v>40</v>
      </c>
      <c r="AR453" s="41">
        <f t="shared" si="221"/>
        <v>0.58823529411764708</v>
      </c>
      <c r="AS453" s="21">
        <v>8</v>
      </c>
      <c r="AT453" s="41">
        <f t="shared" si="203"/>
        <v>0.10666666666666667</v>
      </c>
      <c r="AU453" s="21">
        <v>7</v>
      </c>
      <c r="AV453" s="41">
        <f t="shared" si="222"/>
        <v>0.10294117647058823</v>
      </c>
      <c r="AW453" s="21">
        <v>6</v>
      </c>
      <c r="AX453" s="41">
        <f t="shared" si="204"/>
        <v>0.08</v>
      </c>
      <c r="AY453" s="21">
        <v>5</v>
      </c>
      <c r="AZ453" s="41">
        <f t="shared" si="223"/>
        <v>7.3529411764705885E-2</v>
      </c>
      <c r="BA453" s="21">
        <v>9</v>
      </c>
      <c r="BB453" s="41">
        <f t="shared" si="205"/>
        <v>0.12</v>
      </c>
      <c r="BC453" s="21">
        <v>8</v>
      </c>
      <c r="BD453" s="41">
        <f t="shared" si="224"/>
        <v>0.11764705882352941</v>
      </c>
      <c r="BE453" s="21">
        <v>75</v>
      </c>
      <c r="BF453" s="21">
        <v>68</v>
      </c>
    </row>
    <row r="454" spans="1:58" ht="15.75" customHeight="1" x14ac:dyDescent="0.25">
      <c r="A454" s="44">
        <v>2021</v>
      </c>
      <c r="B454" s="39">
        <v>170510</v>
      </c>
      <c r="C454" s="38" t="s">
        <v>151</v>
      </c>
      <c r="D454" s="38" t="s">
        <v>40</v>
      </c>
      <c r="E454" s="21">
        <v>1</v>
      </c>
      <c r="F454" s="42">
        <f t="shared" si="206"/>
        <v>7.6335877862595417E-3</v>
      </c>
      <c r="G454" s="21">
        <v>0</v>
      </c>
      <c r="H454" s="42">
        <f t="shared" si="207"/>
        <v>0</v>
      </c>
      <c r="I454" s="21">
        <v>3</v>
      </c>
      <c r="J454" s="41">
        <f t="shared" si="208"/>
        <v>2.2900763358778626E-2</v>
      </c>
      <c r="K454" s="21">
        <v>1</v>
      </c>
      <c r="L454" s="41">
        <f t="shared" si="209"/>
        <v>9.0909090909090905E-3</v>
      </c>
      <c r="M454" s="21">
        <v>120</v>
      </c>
      <c r="N454" s="41">
        <f t="shared" si="210"/>
        <v>0.91603053435114501</v>
      </c>
      <c r="O454" s="21">
        <v>104</v>
      </c>
      <c r="P454" s="41">
        <f t="shared" si="211"/>
        <v>0.94545454545454544</v>
      </c>
      <c r="Q454" s="21">
        <v>7</v>
      </c>
      <c r="R454" s="41">
        <f t="shared" si="212"/>
        <v>5.3435114503816793E-2</v>
      </c>
      <c r="S454" s="21">
        <v>5</v>
      </c>
      <c r="T454" s="41">
        <f t="shared" si="213"/>
        <v>4.5454545454545456E-2</v>
      </c>
      <c r="U454" s="21">
        <v>9</v>
      </c>
      <c r="V454" s="41">
        <f t="shared" si="214"/>
        <v>6.8702290076335881E-2</v>
      </c>
      <c r="W454" s="21">
        <v>4</v>
      </c>
      <c r="X454" s="41">
        <f t="shared" si="215"/>
        <v>3.6363636363636362E-2</v>
      </c>
      <c r="Y454" s="21">
        <v>10</v>
      </c>
      <c r="Z454" s="41">
        <f t="shared" si="216"/>
        <v>7.6335877862595422E-2</v>
      </c>
      <c r="AA454" s="21">
        <v>9</v>
      </c>
      <c r="AB454" s="41">
        <f t="shared" si="217"/>
        <v>8.1818181818181818E-2</v>
      </c>
      <c r="AC454" s="21">
        <v>112</v>
      </c>
      <c r="AD454" s="41">
        <f t="shared" si="199"/>
        <v>0.85496183206106868</v>
      </c>
      <c r="AE454" s="21">
        <v>97</v>
      </c>
      <c r="AF454" s="41">
        <f t="shared" si="218"/>
        <v>0.88181818181818183</v>
      </c>
      <c r="AG454" s="21">
        <v>3</v>
      </c>
      <c r="AH454" s="41">
        <f t="shared" si="200"/>
        <v>2.2900763358778626E-2</v>
      </c>
      <c r="AI454" s="21">
        <v>3</v>
      </c>
      <c r="AJ454" s="41">
        <f t="shared" si="219"/>
        <v>2.7272727272727271E-2</v>
      </c>
      <c r="AK454" s="21">
        <v>8</v>
      </c>
      <c r="AL454" s="41">
        <f t="shared" si="201"/>
        <v>6.1068702290076333E-2</v>
      </c>
      <c r="AM454" s="21">
        <v>8</v>
      </c>
      <c r="AN454" s="41">
        <f t="shared" si="220"/>
        <v>7.2727272727272724E-2</v>
      </c>
      <c r="AO454" s="21">
        <v>96</v>
      </c>
      <c r="AP454" s="41">
        <f t="shared" si="202"/>
        <v>0.73282442748091603</v>
      </c>
      <c r="AQ454" s="21">
        <v>81</v>
      </c>
      <c r="AR454" s="41">
        <f t="shared" si="221"/>
        <v>0.73636363636363633</v>
      </c>
      <c r="AS454" s="21">
        <v>11</v>
      </c>
      <c r="AT454" s="41">
        <f t="shared" si="203"/>
        <v>8.3969465648854963E-2</v>
      </c>
      <c r="AU454" s="21">
        <v>7</v>
      </c>
      <c r="AV454" s="41">
        <f t="shared" si="222"/>
        <v>6.363636363636363E-2</v>
      </c>
      <c r="AW454" s="21">
        <v>6</v>
      </c>
      <c r="AX454" s="41">
        <f t="shared" si="204"/>
        <v>4.5801526717557252E-2</v>
      </c>
      <c r="AY454" s="21">
        <v>4</v>
      </c>
      <c r="AZ454" s="41">
        <f t="shared" si="223"/>
        <v>3.6363636363636362E-2</v>
      </c>
      <c r="BA454" s="21">
        <v>7</v>
      </c>
      <c r="BB454" s="41">
        <f t="shared" si="205"/>
        <v>5.3435114503816793E-2</v>
      </c>
      <c r="BC454" s="21">
        <v>7</v>
      </c>
      <c r="BD454" s="41">
        <f t="shared" si="224"/>
        <v>6.363636363636363E-2</v>
      </c>
      <c r="BE454" s="21">
        <v>131</v>
      </c>
      <c r="BF454" s="21">
        <v>110</v>
      </c>
    </row>
    <row r="455" spans="1:58" ht="15.75" customHeight="1" x14ac:dyDescent="0.25">
      <c r="A455" s="44">
        <v>2021</v>
      </c>
      <c r="B455" s="39">
        <v>170460</v>
      </c>
      <c r="C455" s="38" t="s">
        <v>144</v>
      </c>
      <c r="D455" s="38" t="s">
        <v>41</v>
      </c>
      <c r="E455" s="21">
        <v>0</v>
      </c>
      <c r="F455" s="42">
        <f t="shared" si="206"/>
        <v>0</v>
      </c>
      <c r="G455" s="21">
        <v>0</v>
      </c>
      <c r="H455" s="42">
        <f t="shared" si="207"/>
        <v>0</v>
      </c>
      <c r="I455" s="21">
        <v>1</v>
      </c>
      <c r="J455" s="41">
        <f t="shared" si="208"/>
        <v>2.1739130434782608E-2</v>
      </c>
      <c r="K455" s="21">
        <v>1</v>
      </c>
      <c r="L455" s="41">
        <f t="shared" si="209"/>
        <v>2.1276595744680851E-2</v>
      </c>
      <c r="M455" s="21">
        <v>41</v>
      </c>
      <c r="N455" s="41">
        <f t="shared" si="210"/>
        <v>0.89130434782608692</v>
      </c>
      <c r="O455" s="21">
        <v>41</v>
      </c>
      <c r="P455" s="41">
        <f t="shared" si="211"/>
        <v>0.87234042553191493</v>
      </c>
      <c r="Q455" s="21">
        <v>4</v>
      </c>
      <c r="R455" s="41">
        <f t="shared" si="212"/>
        <v>8.6956521739130432E-2</v>
      </c>
      <c r="S455" s="21">
        <v>5</v>
      </c>
      <c r="T455" s="41">
        <f t="shared" si="213"/>
        <v>0.10638297872340426</v>
      </c>
      <c r="U455" s="21">
        <v>4</v>
      </c>
      <c r="V455" s="41">
        <f t="shared" si="214"/>
        <v>8.6956521739130432E-2</v>
      </c>
      <c r="W455" s="21">
        <v>4</v>
      </c>
      <c r="X455" s="41">
        <f t="shared" si="215"/>
        <v>8.5106382978723402E-2</v>
      </c>
      <c r="Y455" s="21">
        <v>1</v>
      </c>
      <c r="Z455" s="41">
        <f t="shared" si="216"/>
        <v>2.1739130434782608E-2</v>
      </c>
      <c r="AA455" s="21">
        <v>1</v>
      </c>
      <c r="AB455" s="41">
        <f t="shared" si="217"/>
        <v>2.1276595744680851E-2</v>
      </c>
      <c r="AC455" s="21">
        <v>41</v>
      </c>
      <c r="AD455" s="41">
        <f t="shared" si="199"/>
        <v>0.89130434782608692</v>
      </c>
      <c r="AE455" s="21">
        <v>42</v>
      </c>
      <c r="AF455" s="41">
        <f t="shared" si="218"/>
        <v>0.8936170212765957</v>
      </c>
      <c r="AG455" s="21">
        <v>0</v>
      </c>
      <c r="AH455" s="41">
        <f t="shared" si="200"/>
        <v>0</v>
      </c>
      <c r="AI455" s="21">
        <v>0</v>
      </c>
      <c r="AJ455" s="41">
        <f t="shared" si="219"/>
        <v>0</v>
      </c>
      <c r="AK455" s="21">
        <v>2</v>
      </c>
      <c r="AL455" s="41">
        <f t="shared" si="201"/>
        <v>4.3478260869565216E-2</v>
      </c>
      <c r="AM455" s="21">
        <v>2</v>
      </c>
      <c r="AN455" s="41">
        <f t="shared" si="220"/>
        <v>4.2553191489361701E-2</v>
      </c>
      <c r="AO455" s="21">
        <v>34</v>
      </c>
      <c r="AP455" s="41">
        <f t="shared" si="202"/>
        <v>0.73913043478260865</v>
      </c>
      <c r="AQ455" s="21">
        <v>34</v>
      </c>
      <c r="AR455" s="41">
        <f t="shared" si="221"/>
        <v>0.72340425531914898</v>
      </c>
      <c r="AS455" s="21">
        <v>5</v>
      </c>
      <c r="AT455" s="41">
        <f t="shared" si="203"/>
        <v>0.10869565217391304</v>
      </c>
      <c r="AU455" s="21">
        <v>6</v>
      </c>
      <c r="AV455" s="41">
        <f t="shared" si="222"/>
        <v>0.1276595744680851</v>
      </c>
      <c r="AW455" s="21">
        <v>4</v>
      </c>
      <c r="AX455" s="41">
        <f t="shared" si="204"/>
        <v>8.6956521739130432E-2</v>
      </c>
      <c r="AY455" s="21">
        <v>4</v>
      </c>
      <c r="AZ455" s="41">
        <f t="shared" si="223"/>
        <v>8.5106382978723402E-2</v>
      </c>
      <c r="BA455" s="21">
        <v>1</v>
      </c>
      <c r="BB455" s="41">
        <f t="shared" si="205"/>
        <v>2.1739130434782608E-2</v>
      </c>
      <c r="BC455" s="21">
        <v>1</v>
      </c>
      <c r="BD455" s="41">
        <f t="shared" si="224"/>
        <v>2.1276595744680851E-2</v>
      </c>
      <c r="BE455" s="21">
        <v>46</v>
      </c>
      <c r="BF455" s="21">
        <v>47</v>
      </c>
    </row>
    <row r="456" spans="1:58" ht="15.75" customHeight="1" x14ac:dyDescent="0.25">
      <c r="A456" s="44">
        <v>2021</v>
      </c>
      <c r="B456" s="39">
        <v>170550</v>
      </c>
      <c r="C456" s="38" t="s">
        <v>150</v>
      </c>
      <c r="D456" s="38" t="s">
        <v>42</v>
      </c>
      <c r="E456" s="21">
        <v>5</v>
      </c>
      <c r="F456" s="42">
        <f t="shared" si="206"/>
        <v>7.0028011204481795E-3</v>
      </c>
      <c r="G456" s="21">
        <v>3</v>
      </c>
      <c r="H456" s="42">
        <f t="shared" si="207"/>
        <v>8.9820359281437123E-3</v>
      </c>
      <c r="I456" s="21">
        <v>16</v>
      </c>
      <c r="J456" s="41">
        <f t="shared" si="208"/>
        <v>2.2408963585434174E-2</v>
      </c>
      <c r="K456" s="21">
        <v>7</v>
      </c>
      <c r="L456" s="41">
        <f t="shared" si="209"/>
        <v>2.0958083832335328E-2</v>
      </c>
      <c r="M456" s="21">
        <v>624</v>
      </c>
      <c r="N456" s="41">
        <f t="shared" si="210"/>
        <v>0.87394957983193278</v>
      </c>
      <c r="O456" s="21">
        <v>294</v>
      </c>
      <c r="P456" s="41">
        <f t="shared" si="211"/>
        <v>0.88023952095808389</v>
      </c>
      <c r="Q456" s="21">
        <v>69</v>
      </c>
      <c r="R456" s="41">
        <f t="shared" si="212"/>
        <v>9.6638655462184878E-2</v>
      </c>
      <c r="S456" s="21">
        <v>30</v>
      </c>
      <c r="T456" s="41">
        <f t="shared" si="213"/>
        <v>8.9820359281437126E-2</v>
      </c>
      <c r="U456" s="21">
        <v>43</v>
      </c>
      <c r="V456" s="41">
        <f t="shared" si="214"/>
        <v>6.0224089635854343E-2</v>
      </c>
      <c r="W456" s="21">
        <v>32</v>
      </c>
      <c r="X456" s="41">
        <f t="shared" si="215"/>
        <v>9.580838323353294E-2</v>
      </c>
      <c r="Y456" s="21">
        <v>49</v>
      </c>
      <c r="Z456" s="41">
        <f t="shared" si="216"/>
        <v>6.8627450980392163E-2</v>
      </c>
      <c r="AA456" s="21">
        <v>32</v>
      </c>
      <c r="AB456" s="41">
        <f t="shared" si="217"/>
        <v>9.580838323353294E-2</v>
      </c>
      <c r="AC456" s="21">
        <v>622</v>
      </c>
      <c r="AD456" s="41">
        <f t="shared" si="199"/>
        <v>0.87114845938375352</v>
      </c>
      <c r="AE456" s="21">
        <v>270</v>
      </c>
      <c r="AF456" s="41">
        <f t="shared" si="218"/>
        <v>0.80838323353293418</v>
      </c>
      <c r="AG456" s="21">
        <v>19</v>
      </c>
      <c r="AH456" s="41">
        <f t="shared" si="200"/>
        <v>2.661064425770308E-2</v>
      </c>
      <c r="AI456" s="21">
        <v>17</v>
      </c>
      <c r="AJ456" s="41">
        <f t="shared" si="219"/>
        <v>5.089820359281437E-2</v>
      </c>
      <c r="AK456" s="21">
        <v>27</v>
      </c>
      <c r="AL456" s="41">
        <f t="shared" si="201"/>
        <v>3.7815126050420166E-2</v>
      </c>
      <c r="AM456" s="21">
        <v>19</v>
      </c>
      <c r="AN456" s="41">
        <f t="shared" si="220"/>
        <v>5.6886227544910177E-2</v>
      </c>
      <c r="AO456" s="21">
        <v>429</v>
      </c>
      <c r="AP456" s="41">
        <f t="shared" si="202"/>
        <v>0.60084033613445376</v>
      </c>
      <c r="AQ456" s="21">
        <v>192</v>
      </c>
      <c r="AR456" s="41">
        <f t="shared" si="221"/>
        <v>0.57485029940119758</v>
      </c>
      <c r="AS456" s="21">
        <v>120</v>
      </c>
      <c r="AT456" s="41">
        <f t="shared" si="203"/>
        <v>0.16806722689075632</v>
      </c>
      <c r="AU456" s="21">
        <v>50</v>
      </c>
      <c r="AV456" s="41">
        <f t="shared" si="222"/>
        <v>0.1497005988023952</v>
      </c>
      <c r="AW456" s="21">
        <v>57</v>
      </c>
      <c r="AX456" s="41">
        <f t="shared" si="204"/>
        <v>7.9831932773109238E-2</v>
      </c>
      <c r="AY456" s="21">
        <v>21</v>
      </c>
      <c r="AZ456" s="41">
        <f t="shared" si="223"/>
        <v>6.2874251497005984E-2</v>
      </c>
      <c r="BA456" s="21">
        <v>62</v>
      </c>
      <c r="BB456" s="41">
        <f t="shared" si="205"/>
        <v>8.683473389355742E-2</v>
      </c>
      <c r="BC456" s="21">
        <v>35</v>
      </c>
      <c r="BD456" s="41">
        <f t="shared" si="224"/>
        <v>0.10479041916167664</v>
      </c>
      <c r="BE456" s="21">
        <v>714</v>
      </c>
      <c r="BF456" s="21">
        <v>334</v>
      </c>
    </row>
    <row r="457" spans="1:58" ht="15.75" customHeight="1" x14ac:dyDescent="0.25">
      <c r="A457" s="44">
        <v>2021</v>
      </c>
      <c r="B457" s="39">
        <v>171670</v>
      </c>
      <c r="C457" s="38" t="s">
        <v>150</v>
      </c>
      <c r="D457" s="38" t="s">
        <v>43</v>
      </c>
      <c r="E457" s="21">
        <v>2</v>
      </c>
      <c r="F457" s="42">
        <f t="shared" si="206"/>
        <v>8.0971659919028341E-3</v>
      </c>
      <c r="G457" s="21">
        <v>1</v>
      </c>
      <c r="H457" s="42">
        <f t="shared" si="207"/>
        <v>7.1428571428571426E-3</v>
      </c>
      <c r="I457" s="21">
        <v>3</v>
      </c>
      <c r="J457" s="41">
        <f t="shared" si="208"/>
        <v>1.2145748987854251E-2</v>
      </c>
      <c r="K457" s="21">
        <v>2</v>
      </c>
      <c r="L457" s="41">
        <f t="shared" si="209"/>
        <v>1.4285714285714285E-2</v>
      </c>
      <c r="M457" s="21">
        <v>225</v>
      </c>
      <c r="N457" s="41">
        <f t="shared" si="210"/>
        <v>0.91093117408906887</v>
      </c>
      <c r="O457" s="21">
        <v>125</v>
      </c>
      <c r="P457" s="41">
        <f t="shared" si="211"/>
        <v>0.8928571428571429</v>
      </c>
      <c r="Q457" s="21">
        <v>17</v>
      </c>
      <c r="R457" s="41">
        <f t="shared" si="212"/>
        <v>6.8825910931174086E-2</v>
      </c>
      <c r="S457" s="21">
        <v>12</v>
      </c>
      <c r="T457" s="41">
        <f t="shared" si="213"/>
        <v>8.5714285714285715E-2</v>
      </c>
      <c r="U457" s="21">
        <v>13</v>
      </c>
      <c r="V457" s="41">
        <f t="shared" si="214"/>
        <v>5.2631578947368418E-2</v>
      </c>
      <c r="W457" s="21">
        <v>11</v>
      </c>
      <c r="X457" s="41">
        <f t="shared" si="215"/>
        <v>7.857142857142857E-2</v>
      </c>
      <c r="Y457" s="21">
        <v>11</v>
      </c>
      <c r="Z457" s="41">
        <f t="shared" si="216"/>
        <v>4.4534412955465584E-2</v>
      </c>
      <c r="AA457" s="21">
        <v>7</v>
      </c>
      <c r="AB457" s="41">
        <f t="shared" si="217"/>
        <v>0.05</v>
      </c>
      <c r="AC457" s="21">
        <v>223</v>
      </c>
      <c r="AD457" s="41">
        <f t="shared" si="199"/>
        <v>0.90283400809716596</v>
      </c>
      <c r="AE457" s="21">
        <v>122</v>
      </c>
      <c r="AF457" s="41">
        <f t="shared" si="218"/>
        <v>0.87142857142857144</v>
      </c>
      <c r="AG457" s="21">
        <v>11</v>
      </c>
      <c r="AH457" s="41">
        <f t="shared" si="200"/>
        <v>4.4534412955465584E-2</v>
      </c>
      <c r="AI457" s="21">
        <v>11</v>
      </c>
      <c r="AJ457" s="41">
        <f t="shared" si="219"/>
        <v>7.857142857142857E-2</v>
      </c>
      <c r="AK457" s="21">
        <v>12</v>
      </c>
      <c r="AL457" s="41">
        <f t="shared" si="201"/>
        <v>4.8582995951417005E-2</v>
      </c>
      <c r="AM457" s="21">
        <v>7</v>
      </c>
      <c r="AN457" s="41">
        <f t="shared" si="220"/>
        <v>0.05</v>
      </c>
      <c r="AO457" s="21">
        <v>156</v>
      </c>
      <c r="AP457" s="41">
        <f t="shared" si="202"/>
        <v>0.63157894736842102</v>
      </c>
      <c r="AQ457" s="21">
        <v>84</v>
      </c>
      <c r="AR457" s="41">
        <f t="shared" si="221"/>
        <v>0.6</v>
      </c>
      <c r="AS457" s="21">
        <v>44</v>
      </c>
      <c r="AT457" s="41">
        <f t="shared" si="203"/>
        <v>0.17813765182186234</v>
      </c>
      <c r="AU457" s="21">
        <v>19</v>
      </c>
      <c r="AV457" s="41">
        <f t="shared" si="222"/>
        <v>0.1357142857142857</v>
      </c>
      <c r="AW457" s="21">
        <v>14</v>
      </c>
      <c r="AX457" s="41">
        <f t="shared" si="204"/>
        <v>5.6680161943319839E-2</v>
      </c>
      <c r="AY457" s="21">
        <v>10</v>
      </c>
      <c r="AZ457" s="41">
        <f t="shared" si="223"/>
        <v>7.1428571428571425E-2</v>
      </c>
      <c r="BA457" s="21">
        <v>10</v>
      </c>
      <c r="BB457" s="41">
        <f t="shared" si="205"/>
        <v>4.048582995951417E-2</v>
      </c>
      <c r="BC457" s="21">
        <v>9</v>
      </c>
      <c r="BD457" s="41">
        <f t="shared" si="224"/>
        <v>6.4285714285714279E-2</v>
      </c>
      <c r="BE457" s="21">
        <v>247</v>
      </c>
      <c r="BF457" s="21">
        <v>140</v>
      </c>
    </row>
    <row r="458" spans="1:58" ht="15.75" customHeight="1" x14ac:dyDescent="0.25">
      <c r="A458" s="44">
        <v>2021</v>
      </c>
      <c r="B458" s="39">
        <v>170555</v>
      </c>
      <c r="C458" s="38" t="s">
        <v>147</v>
      </c>
      <c r="D458" s="38" t="s">
        <v>44</v>
      </c>
      <c r="E458" s="21">
        <v>1</v>
      </c>
      <c r="F458" s="42">
        <f t="shared" si="206"/>
        <v>4.4247787610619468E-3</v>
      </c>
      <c r="G458" s="21">
        <v>1</v>
      </c>
      <c r="H458" s="42">
        <f t="shared" si="207"/>
        <v>6.9444444444444441E-3</v>
      </c>
      <c r="I458" s="21">
        <v>11</v>
      </c>
      <c r="J458" s="41">
        <f t="shared" si="208"/>
        <v>4.8672566371681415E-2</v>
      </c>
      <c r="K458" s="21">
        <v>9</v>
      </c>
      <c r="L458" s="41">
        <f t="shared" si="209"/>
        <v>6.25E-2</v>
      </c>
      <c r="M458" s="21">
        <v>192</v>
      </c>
      <c r="N458" s="41">
        <f t="shared" si="210"/>
        <v>0.84955752212389379</v>
      </c>
      <c r="O458" s="21">
        <v>123</v>
      </c>
      <c r="P458" s="41">
        <f t="shared" si="211"/>
        <v>0.85416666666666663</v>
      </c>
      <c r="Q458" s="21">
        <v>22</v>
      </c>
      <c r="R458" s="41">
        <f t="shared" si="212"/>
        <v>9.7345132743362831E-2</v>
      </c>
      <c r="S458" s="21">
        <v>11</v>
      </c>
      <c r="T458" s="41">
        <f t="shared" si="213"/>
        <v>7.6388888888888895E-2</v>
      </c>
      <c r="U458" s="21">
        <v>12</v>
      </c>
      <c r="V458" s="41">
        <f t="shared" si="214"/>
        <v>5.3097345132743362E-2</v>
      </c>
      <c r="W458" s="21">
        <v>7</v>
      </c>
      <c r="X458" s="41">
        <f t="shared" si="215"/>
        <v>4.8611111111111112E-2</v>
      </c>
      <c r="Y458" s="21">
        <v>14</v>
      </c>
      <c r="Z458" s="41">
        <f t="shared" si="216"/>
        <v>6.1946902654867256E-2</v>
      </c>
      <c r="AA458" s="21">
        <v>11</v>
      </c>
      <c r="AB458" s="41">
        <f t="shared" si="217"/>
        <v>7.6388888888888895E-2</v>
      </c>
      <c r="AC458" s="21">
        <v>200</v>
      </c>
      <c r="AD458" s="41">
        <f t="shared" si="199"/>
        <v>0.88495575221238942</v>
      </c>
      <c r="AE458" s="21">
        <v>126</v>
      </c>
      <c r="AF458" s="41">
        <f t="shared" si="218"/>
        <v>0.875</v>
      </c>
      <c r="AG458" s="21">
        <v>21</v>
      </c>
      <c r="AH458" s="41">
        <f t="shared" si="200"/>
        <v>9.2920353982300891E-2</v>
      </c>
      <c r="AI458" s="21">
        <v>18</v>
      </c>
      <c r="AJ458" s="41">
        <f t="shared" si="219"/>
        <v>0.125</v>
      </c>
      <c r="AK458" s="21">
        <v>15</v>
      </c>
      <c r="AL458" s="41">
        <f t="shared" si="201"/>
        <v>6.637168141592921E-2</v>
      </c>
      <c r="AM458" s="21">
        <v>10</v>
      </c>
      <c r="AN458" s="41">
        <f t="shared" si="220"/>
        <v>6.9444444444444448E-2</v>
      </c>
      <c r="AO458" s="21">
        <v>112</v>
      </c>
      <c r="AP458" s="41">
        <f t="shared" si="202"/>
        <v>0.49557522123893805</v>
      </c>
      <c r="AQ458" s="21">
        <v>67</v>
      </c>
      <c r="AR458" s="41">
        <f t="shared" si="221"/>
        <v>0.46527777777777779</v>
      </c>
      <c r="AS458" s="21">
        <v>32</v>
      </c>
      <c r="AT458" s="41">
        <f t="shared" si="203"/>
        <v>0.1415929203539823</v>
      </c>
      <c r="AU458" s="21">
        <v>16</v>
      </c>
      <c r="AV458" s="41">
        <f t="shared" si="222"/>
        <v>0.1111111111111111</v>
      </c>
      <c r="AW458" s="21">
        <v>27</v>
      </c>
      <c r="AX458" s="41">
        <f t="shared" si="204"/>
        <v>0.11946902654867257</v>
      </c>
      <c r="AY458" s="21">
        <v>19</v>
      </c>
      <c r="AZ458" s="41">
        <f t="shared" si="223"/>
        <v>0.13194444444444445</v>
      </c>
      <c r="BA458" s="21">
        <v>19</v>
      </c>
      <c r="BB458" s="41">
        <f t="shared" si="205"/>
        <v>8.4070796460176997E-2</v>
      </c>
      <c r="BC458" s="21">
        <v>14</v>
      </c>
      <c r="BD458" s="41">
        <f t="shared" si="224"/>
        <v>9.7222222222222224E-2</v>
      </c>
      <c r="BE458" s="21">
        <v>226</v>
      </c>
      <c r="BF458" s="21">
        <v>144</v>
      </c>
    </row>
    <row r="459" spans="1:58" ht="15.75" customHeight="1" x14ac:dyDescent="0.25">
      <c r="A459" s="44">
        <v>2021</v>
      </c>
      <c r="B459" s="39">
        <v>170560</v>
      </c>
      <c r="C459" s="38" t="s">
        <v>147</v>
      </c>
      <c r="D459" s="38" t="s">
        <v>45</v>
      </c>
      <c r="E459" s="21">
        <v>2</v>
      </c>
      <c r="F459" s="42">
        <f t="shared" si="206"/>
        <v>9.6153846153846159E-3</v>
      </c>
      <c r="G459" s="21">
        <v>2</v>
      </c>
      <c r="H459" s="42">
        <f t="shared" si="207"/>
        <v>9.852216748768473E-3</v>
      </c>
      <c r="I459" s="21">
        <v>9</v>
      </c>
      <c r="J459" s="41">
        <f t="shared" si="208"/>
        <v>4.3269230769230768E-2</v>
      </c>
      <c r="K459" s="21">
        <v>9</v>
      </c>
      <c r="L459" s="41">
        <f t="shared" si="209"/>
        <v>4.4334975369458129E-2</v>
      </c>
      <c r="M459" s="21">
        <v>177</v>
      </c>
      <c r="N459" s="41">
        <f t="shared" si="210"/>
        <v>0.85096153846153844</v>
      </c>
      <c r="O459" s="21">
        <v>171</v>
      </c>
      <c r="P459" s="41">
        <f t="shared" si="211"/>
        <v>0.8423645320197044</v>
      </c>
      <c r="Q459" s="21">
        <v>20</v>
      </c>
      <c r="R459" s="41">
        <f t="shared" si="212"/>
        <v>9.6153846153846159E-2</v>
      </c>
      <c r="S459" s="21">
        <v>21</v>
      </c>
      <c r="T459" s="41">
        <f t="shared" si="213"/>
        <v>0.10344827586206896</v>
      </c>
      <c r="U459" s="21">
        <v>29</v>
      </c>
      <c r="V459" s="41">
        <f t="shared" si="214"/>
        <v>0.13942307692307693</v>
      </c>
      <c r="W459" s="21">
        <v>29</v>
      </c>
      <c r="X459" s="41">
        <f t="shared" si="215"/>
        <v>0.14285714285714285</v>
      </c>
      <c r="Y459" s="21">
        <v>12</v>
      </c>
      <c r="Z459" s="41">
        <f t="shared" si="216"/>
        <v>5.7692307692307696E-2</v>
      </c>
      <c r="AA459" s="21">
        <v>12</v>
      </c>
      <c r="AB459" s="41">
        <f t="shared" si="217"/>
        <v>5.9113300492610835E-2</v>
      </c>
      <c r="AC459" s="21">
        <v>167</v>
      </c>
      <c r="AD459" s="41">
        <f t="shared" si="199"/>
        <v>0.80288461538461542</v>
      </c>
      <c r="AE459" s="21">
        <v>162</v>
      </c>
      <c r="AF459" s="41">
        <f t="shared" si="218"/>
        <v>0.79802955665024633</v>
      </c>
      <c r="AG459" s="21">
        <v>3</v>
      </c>
      <c r="AH459" s="41">
        <f t="shared" si="200"/>
        <v>1.4423076923076924E-2</v>
      </c>
      <c r="AI459" s="21">
        <v>3</v>
      </c>
      <c r="AJ459" s="41">
        <f t="shared" si="219"/>
        <v>1.4778325123152709E-2</v>
      </c>
      <c r="AK459" s="21">
        <v>10</v>
      </c>
      <c r="AL459" s="41">
        <f t="shared" si="201"/>
        <v>4.807692307692308E-2</v>
      </c>
      <c r="AM459" s="21">
        <v>10</v>
      </c>
      <c r="AN459" s="41">
        <f t="shared" si="220"/>
        <v>4.9261083743842367E-2</v>
      </c>
      <c r="AO459" s="21">
        <v>125</v>
      </c>
      <c r="AP459" s="41">
        <f t="shared" si="202"/>
        <v>0.60096153846153844</v>
      </c>
      <c r="AQ459" s="21">
        <v>121</v>
      </c>
      <c r="AR459" s="41">
        <f t="shared" si="221"/>
        <v>0.59605911330049266</v>
      </c>
      <c r="AS459" s="21">
        <v>27</v>
      </c>
      <c r="AT459" s="41">
        <f t="shared" si="203"/>
        <v>0.12980769230769232</v>
      </c>
      <c r="AU459" s="21">
        <v>25</v>
      </c>
      <c r="AV459" s="41">
        <f t="shared" si="222"/>
        <v>0.12315270935960591</v>
      </c>
      <c r="AW459" s="21">
        <v>19</v>
      </c>
      <c r="AX459" s="41">
        <f t="shared" si="204"/>
        <v>9.1346153846153841E-2</v>
      </c>
      <c r="AY459" s="21">
        <v>19</v>
      </c>
      <c r="AZ459" s="41">
        <f t="shared" si="223"/>
        <v>9.3596059113300489E-2</v>
      </c>
      <c r="BA459" s="21">
        <v>24</v>
      </c>
      <c r="BB459" s="41">
        <f t="shared" si="205"/>
        <v>0.11538461538461539</v>
      </c>
      <c r="BC459" s="21">
        <v>25</v>
      </c>
      <c r="BD459" s="41">
        <f t="shared" si="224"/>
        <v>0.12315270935960591</v>
      </c>
      <c r="BE459" s="21">
        <v>208</v>
      </c>
      <c r="BF459" s="21">
        <v>203</v>
      </c>
    </row>
    <row r="460" spans="1:58" ht="15.75" customHeight="1" x14ac:dyDescent="0.25">
      <c r="A460" s="44">
        <v>2021</v>
      </c>
      <c r="B460" s="39">
        <v>170600</v>
      </c>
      <c r="C460" s="38" t="s">
        <v>150</v>
      </c>
      <c r="D460" s="38" t="s">
        <v>46</v>
      </c>
      <c r="E460" s="21">
        <v>6</v>
      </c>
      <c r="F460" s="42">
        <f t="shared" si="206"/>
        <v>3.4285714285714287E-2</v>
      </c>
      <c r="G460" s="21">
        <v>5</v>
      </c>
      <c r="H460" s="42">
        <f t="shared" si="207"/>
        <v>4.5871559633027525E-2</v>
      </c>
      <c r="I460" s="21">
        <v>8</v>
      </c>
      <c r="J460" s="41">
        <f t="shared" si="208"/>
        <v>4.5714285714285714E-2</v>
      </c>
      <c r="K460" s="21">
        <v>4</v>
      </c>
      <c r="L460" s="41">
        <f t="shared" si="209"/>
        <v>3.669724770642202E-2</v>
      </c>
      <c r="M460" s="21">
        <v>151</v>
      </c>
      <c r="N460" s="41">
        <f t="shared" si="210"/>
        <v>0.86285714285714288</v>
      </c>
      <c r="O460" s="21">
        <v>92</v>
      </c>
      <c r="P460" s="41">
        <f t="shared" si="211"/>
        <v>0.84403669724770647</v>
      </c>
      <c r="Q460" s="21">
        <v>10</v>
      </c>
      <c r="R460" s="41">
        <f t="shared" si="212"/>
        <v>5.7142857142857141E-2</v>
      </c>
      <c r="S460" s="21">
        <v>8</v>
      </c>
      <c r="T460" s="41">
        <f t="shared" si="213"/>
        <v>7.3394495412844041E-2</v>
      </c>
      <c r="U460" s="21">
        <v>21</v>
      </c>
      <c r="V460" s="41">
        <f t="shared" si="214"/>
        <v>0.12</v>
      </c>
      <c r="W460" s="21">
        <v>13</v>
      </c>
      <c r="X460" s="41">
        <f t="shared" si="215"/>
        <v>0.11926605504587157</v>
      </c>
      <c r="Y460" s="21">
        <v>17</v>
      </c>
      <c r="Z460" s="41">
        <f t="shared" si="216"/>
        <v>9.7142857142857142E-2</v>
      </c>
      <c r="AA460" s="21">
        <v>14</v>
      </c>
      <c r="AB460" s="41">
        <f t="shared" si="217"/>
        <v>0.12844036697247707</v>
      </c>
      <c r="AC460" s="21">
        <v>137</v>
      </c>
      <c r="AD460" s="41">
        <f t="shared" si="199"/>
        <v>0.78285714285714281</v>
      </c>
      <c r="AE460" s="21">
        <v>82</v>
      </c>
      <c r="AF460" s="41">
        <f t="shared" si="218"/>
        <v>0.75229357798165142</v>
      </c>
      <c r="AG460" s="21">
        <v>9</v>
      </c>
      <c r="AH460" s="41">
        <f t="shared" si="200"/>
        <v>5.1428571428571428E-2</v>
      </c>
      <c r="AI460" s="21">
        <v>7</v>
      </c>
      <c r="AJ460" s="41">
        <f t="shared" si="219"/>
        <v>6.4220183486238536E-2</v>
      </c>
      <c r="AK460" s="21">
        <v>8</v>
      </c>
      <c r="AL460" s="41">
        <f t="shared" si="201"/>
        <v>4.5714285714285714E-2</v>
      </c>
      <c r="AM460" s="21">
        <v>5</v>
      </c>
      <c r="AN460" s="41">
        <f t="shared" si="220"/>
        <v>4.5871559633027525E-2</v>
      </c>
      <c r="AO460" s="21">
        <v>89</v>
      </c>
      <c r="AP460" s="41">
        <f t="shared" si="202"/>
        <v>0.50857142857142856</v>
      </c>
      <c r="AQ460" s="21">
        <v>54</v>
      </c>
      <c r="AR460" s="41">
        <f t="shared" si="221"/>
        <v>0.49541284403669728</v>
      </c>
      <c r="AS460" s="21">
        <v>28</v>
      </c>
      <c r="AT460" s="41">
        <f t="shared" si="203"/>
        <v>0.16</v>
      </c>
      <c r="AU460" s="21">
        <v>18</v>
      </c>
      <c r="AV460" s="41">
        <f t="shared" si="222"/>
        <v>0.16513761467889909</v>
      </c>
      <c r="AW460" s="21">
        <v>20</v>
      </c>
      <c r="AX460" s="41">
        <f t="shared" si="204"/>
        <v>0.11428571428571428</v>
      </c>
      <c r="AY460" s="21">
        <v>13</v>
      </c>
      <c r="AZ460" s="41">
        <f t="shared" si="223"/>
        <v>0.11926605504587157</v>
      </c>
      <c r="BA460" s="21">
        <v>21</v>
      </c>
      <c r="BB460" s="41">
        <f t="shared" si="205"/>
        <v>0.12</v>
      </c>
      <c r="BC460" s="21">
        <v>12</v>
      </c>
      <c r="BD460" s="41">
        <f t="shared" si="224"/>
        <v>0.11009174311926606</v>
      </c>
      <c r="BE460" s="21">
        <v>175</v>
      </c>
      <c r="BF460" s="21">
        <v>109</v>
      </c>
    </row>
    <row r="461" spans="1:58" ht="15.75" customHeight="1" x14ac:dyDescent="0.25">
      <c r="A461" s="44">
        <v>2021</v>
      </c>
      <c r="B461" s="39">
        <v>170610</v>
      </c>
      <c r="C461" s="38" t="s">
        <v>144</v>
      </c>
      <c r="D461" s="38" t="s">
        <v>47</v>
      </c>
      <c r="E461" s="21">
        <v>7</v>
      </c>
      <c r="F461" s="42">
        <f t="shared" si="206"/>
        <v>2.8806584362139918E-2</v>
      </c>
      <c r="G461" s="21">
        <v>4</v>
      </c>
      <c r="H461" s="42">
        <f t="shared" si="207"/>
        <v>2.6315789473684209E-2</v>
      </c>
      <c r="I461" s="21">
        <v>7</v>
      </c>
      <c r="J461" s="41">
        <f t="shared" si="208"/>
        <v>2.8806584362139918E-2</v>
      </c>
      <c r="K461" s="21">
        <v>4</v>
      </c>
      <c r="L461" s="41">
        <f t="shared" si="209"/>
        <v>2.6315789473684209E-2</v>
      </c>
      <c r="M461" s="21">
        <v>206</v>
      </c>
      <c r="N461" s="41">
        <f t="shared" si="210"/>
        <v>0.84773662551440332</v>
      </c>
      <c r="O461" s="21">
        <v>126</v>
      </c>
      <c r="P461" s="41">
        <f t="shared" si="211"/>
        <v>0.82894736842105265</v>
      </c>
      <c r="Q461" s="21">
        <v>23</v>
      </c>
      <c r="R461" s="41">
        <f t="shared" si="212"/>
        <v>9.4650205761316872E-2</v>
      </c>
      <c r="S461" s="21">
        <v>18</v>
      </c>
      <c r="T461" s="41">
        <f t="shared" si="213"/>
        <v>0.11842105263157894</v>
      </c>
      <c r="U461" s="21">
        <v>20</v>
      </c>
      <c r="V461" s="41">
        <f t="shared" si="214"/>
        <v>8.2304526748971193E-2</v>
      </c>
      <c r="W461" s="21">
        <v>14</v>
      </c>
      <c r="X461" s="41">
        <f t="shared" si="215"/>
        <v>9.2105263157894732E-2</v>
      </c>
      <c r="Y461" s="21">
        <v>12</v>
      </c>
      <c r="Z461" s="41">
        <f t="shared" si="216"/>
        <v>4.9382716049382713E-2</v>
      </c>
      <c r="AA461" s="21">
        <v>8</v>
      </c>
      <c r="AB461" s="41">
        <f t="shared" si="217"/>
        <v>5.2631578947368418E-2</v>
      </c>
      <c r="AC461" s="21">
        <v>211</v>
      </c>
      <c r="AD461" s="41">
        <f t="shared" si="199"/>
        <v>0.86831275720164613</v>
      </c>
      <c r="AE461" s="21">
        <v>130</v>
      </c>
      <c r="AF461" s="41">
        <f t="shared" si="218"/>
        <v>0.85526315789473684</v>
      </c>
      <c r="AG461" s="21">
        <v>16</v>
      </c>
      <c r="AH461" s="41">
        <f t="shared" si="200"/>
        <v>6.584362139917696E-2</v>
      </c>
      <c r="AI461" s="21">
        <v>10</v>
      </c>
      <c r="AJ461" s="41">
        <f t="shared" si="219"/>
        <v>6.5789473684210523E-2</v>
      </c>
      <c r="AK461" s="21">
        <v>22</v>
      </c>
      <c r="AL461" s="41">
        <f t="shared" si="201"/>
        <v>9.0534979423868317E-2</v>
      </c>
      <c r="AM461" s="21">
        <v>17</v>
      </c>
      <c r="AN461" s="41">
        <f t="shared" si="220"/>
        <v>0.1118421052631579</v>
      </c>
      <c r="AO461" s="21">
        <v>138</v>
      </c>
      <c r="AP461" s="41">
        <f t="shared" si="202"/>
        <v>0.5679012345679012</v>
      </c>
      <c r="AQ461" s="21">
        <v>82</v>
      </c>
      <c r="AR461" s="41">
        <f t="shared" si="221"/>
        <v>0.53947368421052633</v>
      </c>
      <c r="AS461" s="21">
        <v>27</v>
      </c>
      <c r="AT461" s="41">
        <f t="shared" si="203"/>
        <v>0.1111111111111111</v>
      </c>
      <c r="AU461" s="21">
        <v>15</v>
      </c>
      <c r="AV461" s="41">
        <f t="shared" si="222"/>
        <v>9.8684210526315791E-2</v>
      </c>
      <c r="AW461" s="21">
        <v>19</v>
      </c>
      <c r="AX461" s="41">
        <f t="shared" si="204"/>
        <v>7.8189300411522639E-2</v>
      </c>
      <c r="AY461" s="21">
        <v>11</v>
      </c>
      <c r="AZ461" s="41">
        <f t="shared" si="223"/>
        <v>7.2368421052631582E-2</v>
      </c>
      <c r="BA461" s="21">
        <v>21</v>
      </c>
      <c r="BB461" s="41">
        <f t="shared" si="205"/>
        <v>8.6419753086419748E-2</v>
      </c>
      <c r="BC461" s="21">
        <v>17</v>
      </c>
      <c r="BD461" s="41">
        <f t="shared" si="224"/>
        <v>0.1118421052631579</v>
      </c>
      <c r="BE461" s="21">
        <v>243</v>
      </c>
      <c r="BF461" s="21">
        <v>152</v>
      </c>
    </row>
    <row r="462" spans="1:58" ht="15.75" customHeight="1" x14ac:dyDescent="0.25">
      <c r="A462" s="44">
        <v>2021</v>
      </c>
      <c r="B462" s="39">
        <v>170625</v>
      </c>
      <c r="C462" s="38" t="s">
        <v>146</v>
      </c>
      <c r="D462" s="38" t="s">
        <v>48</v>
      </c>
      <c r="E462" s="21">
        <v>0</v>
      </c>
      <c r="F462" s="42">
        <f t="shared" si="206"/>
        <v>0</v>
      </c>
      <c r="G462" s="21">
        <v>0</v>
      </c>
      <c r="H462" s="42">
        <f t="shared" si="207"/>
        <v>0</v>
      </c>
      <c r="I462" s="21">
        <v>0</v>
      </c>
      <c r="J462" s="41">
        <f t="shared" si="208"/>
        <v>0</v>
      </c>
      <c r="K462" s="21">
        <v>0</v>
      </c>
      <c r="L462" s="41">
        <f t="shared" si="209"/>
        <v>0</v>
      </c>
      <c r="M462" s="21">
        <v>39</v>
      </c>
      <c r="N462" s="41">
        <f t="shared" si="210"/>
        <v>0.9285714285714286</v>
      </c>
      <c r="O462" s="21">
        <v>6</v>
      </c>
      <c r="P462" s="41">
        <f t="shared" si="211"/>
        <v>0.8571428571428571</v>
      </c>
      <c r="Q462" s="21">
        <v>3</v>
      </c>
      <c r="R462" s="41">
        <f t="shared" si="212"/>
        <v>7.1428571428571425E-2</v>
      </c>
      <c r="S462" s="21">
        <v>1</v>
      </c>
      <c r="T462" s="41">
        <f t="shared" si="213"/>
        <v>0.14285714285714285</v>
      </c>
      <c r="U462" s="21">
        <v>5</v>
      </c>
      <c r="V462" s="41">
        <f t="shared" si="214"/>
        <v>0.11904761904761904</v>
      </c>
      <c r="W462" s="21">
        <v>1</v>
      </c>
      <c r="X462" s="41">
        <f t="shared" si="215"/>
        <v>0.14285714285714285</v>
      </c>
      <c r="Y462" s="21">
        <v>4</v>
      </c>
      <c r="Z462" s="41">
        <f t="shared" si="216"/>
        <v>9.5238095238095233E-2</v>
      </c>
      <c r="AA462" s="21">
        <v>0</v>
      </c>
      <c r="AB462" s="41">
        <f t="shared" si="217"/>
        <v>0</v>
      </c>
      <c r="AC462" s="21">
        <v>33</v>
      </c>
      <c r="AD462" s="41">
        <f t="shared" si="199"/>
        <v>0.7857142857142857</v>
      </c>
      <c r="AE462" s="21">
        <v>6</v>
      </c>
      <c r="AF462" s="41">
        <f t="shared" si="218"/>
        <v>0.8571428571428571</v>
      </c>
      <c r="AG462" s="21">
        <v>1</v>
      </c>
      <c r="AH462" s="41">
        <f t="shared" si="200"/>
        <v>2.3809523809523808E-2</v>
      </c>
      <c r="AI462" s="21">
        <v>0</v>
      </c>
      <c r="AJ462" s="41">
        <f t="shared" si="219"/>
        <v>0</v>
      </c>
      <c r="AK462" s="21">
        <v>0</v>
      </c>
      <c r="AL462" s="41">
        <f t="shared" si="201"/>
        <v>0</v>
      </c>
      <c r="AM462" s="21">
        <v>0</v>
      </c>
      <c r="AN462" s="41">
        <f t="shared" si="220"/>
        <v>0</v>
      </c>
      <c r="AO462" s="21">
        <v>15</v>
      </c>
      <c r="AP462" s="41">
        <f t="shared" si="202"/>
        <v>0.35714285714285715</v>
      </c>
      <c r="AQ462" s="21">
        <v>3</v>
      </c>
      <c r="AR462" s="41">
        <f t="shared" si="221"/>
        <v>0.42857142857142855</v>
      </c>
      <c r="AS462" s="21">
        <v>10</v>
      </c>
      <c r="AT462" s="41">
        <f t="shared" si="203"/>
        <v>0.23809523809523808</v>
      </c>
      <c r="AU462" s="21">
        <v>1</v>
      </c>
      <c r="AV462" s="41">
        <f t="shared" si="222"/>
        <v>0.14285714285714285</v>
      </c>
      <c r="AW462" s="21">
        <v>8</v>
      </c>
      <c r="AX462" s="41">
        <f t="shared" si="204"/>
        <v>0.19047619047619047</v>
      </c>
      <c r="AY462" s="21">
        <v>2</v>
      </c>
      <c r="AZ462" s="41">
        <f t="shared" si="223"/>
        <v>0.2857142857142857</v>
      </c>
      <c r="BA462" s="21">
        <v>8</v>
      </c>
      <c r="BB462" s="41">
        <f t="shared" si="205"/>
        <v>0.19047619047619047</v>
      </c>
      <c r="BC462" s="21">
        <v>1</v>
      </c>
      <c r="BD462" s="41">
        <f t="shared" si="224"/>
        <v>0.14285714285714285</v>
      </c>
      <c r="BE462" s="21">
        <v>42</v>
      </c>
      <c r="BF462" s="21">
        <v>7</v>
      </c>
    </row>
    <row r="463" spans="1:58" ht="15.75" customHeight="1" x14ac:dyDescent="0.25">
      <c r="A463" s="44">
        <v>2021</v>
      </c>
      <c r="B463" s="39">
        <v>170650</v>
      </c>
      <c r="C463" s="38" t="s">
        <v>149</v>
      </c>
      <c r="D463" s="38" t="s">
        <v>49</v>
      </c>
      <c r="E463" s="21">
        <v>0</v>
      </c>
      <c r="F463" s="42">
        <f t="shared" si="206"/>
        <v>0</v>
      </c>
      <c r="G463" s="21">
        <v>0</v>
      </c>
      <c r="H463" s="42">
        <f t="shared" si="207"/>
        <v>0</v>
      </c>
      <c r="I463" s="21">
        <v>3</v>
      </c>
      <c r="J463" s="41">
        <f t="shared" si="208"/>
        <v>2.097902097902098E-2</v>
      </c>
      <c r="K463" s="21">
        <v>2</v>
      </c>
      <c r="L463" s="41">
        <f t="shared" si="209"/>
        <v>1.5625E-2</v>
      </c>
      <c r="M463" s="21">
        <v>128</v>
      </c>
      <c r="N463" s="41">
        <f t="shared" si="210"/>
        <v>0.8951048951048951</v>
      </c>
      <c r="O463" s="21">
        <v>117</v>
      </c>
      <c r="P463" s="41">
        <f t="shared" si="211"/>
        <v>0.9140625</v>
      </c>
      <c r="Q463" s="21">
        <v>12</v>
      </c>
      <c r="R463" s="41">
        <f t="shared" si="212"/>
        <v>8.3916083916083919E-2</v>
      </c>
      <c r="S463" s="21">
        <v>9</v>
      </c>
      <c r="T463" s="41">
        <f t="shared" si="213"/>
        <v>7.03125E-2</v>
      </c>
      <c r="U463" s="21">
        <v>7</v>
      </c>
      <c r="V463" s="41">
        <f t="shared" si="214"/>
        <v>4.8951048951048952E-2</v>
      </c>
      <c r="W463" s="21">
        <v>6</v>
      </c>
      <c r="X463" s="41">
        <f t="shared" si="215"/>
        <v>4.6875E-2</v>
      </c>
      <c r="Y463" s="21">
        <v>10</v>
      </c>
      <c r="Z463" s="41">
        <f t="shared" si="216"/>
        <v>6.9930069930069935E-2</v>
      </c>
      <c r="AA463" s="21">
        <v>8</v>
      </c>
      <c r="AB463" s="41">
        <f t="shared" si="217"/>
        <v>6.25E-2</v>
      </c>
      <c r="AC463" s="21">
        <v>126</v>
      </c>
      <c r="AD463" s="41">
        <f t="shared" si="199"/>
        <v>0.88111888111888115</v>
      </c>
      <c r="AE463" s="21">
        <v>114</v>
      </c>
      <c r="AF463" s="41">
        <f t="shared" si="218"/>
        <v>0.890625</v>
      </c>
      <c r="AG463" s="21">
        <v>3</v>
      </c>
      <c r="AH463" s="41">
        <f t="shared" si="200"/>
        <v>2.097902097902098E-2</v>
      </c>
      <c r="AI463" s="21">
        <v>3</v>
      </c>
      <c r="AJ463" s="41">
        <f t="shared" si="219"/>
        <v>2.34375E-2</v>
      </c>
      <c r="AK463" s="21">
        <v>8</v>
      </c>
      <c r="AL463" s="41">
        <f t="shared" si="201"/>
        <v>5.5944055944055944E-2</v>
      </c>
      <c r="AM463" s="21">
        <v>7</v>
      </c>
      <c r="AN463" s="41">
        <f t="shared" si="220"/>
        <v>5.46875E-2</v>
      </c>
      <c r="AO463" s="21">
        <v>90</v>
      </c>
      <c r="AP463" s="41">
        <f t="shared" si="202"/>
        <v>0.62937062937062938</v>
      </c>
      <c r="AQ463" s="21">
        <v>82</v>
      </c>
      <c r="AR463" s="41">
        <f t="shared" si="221"/>
        <v>0.640625</v>
      </c>
      <c r="AS463" s="21">
        <v>20</v>
      </c>
      <c r="AT463" s="41">
        <f t="shared" si="203"/>
        <v>0.13986013986013987</v>
      </c>
      <c r="AU463" s="21">
        <v>17</v>
      </c>
      <c r="AV463" s="41">
        <f t="shared" si="222"/>
        <v>0.1328125</v>
      </c>
      <c r="AW463" s="21">
        <v>13</v>
      </c>
      <c r="AX463" s="41">
        <f t="shared" si="204"/>
        <v>9.0909090909090912E-2</v>
      </c>
      <c r="AY463" s="21">
        <v>11</v>
      </c>
      <c r="AZ463" s="41">
        <f t="shared" si="223"/>
        <v>8.59375E-2</v>
      </c>
      <c r="BA463" s="21">
        <v>9</v>
      </c>
      <c r="BB463" s="41">
        <f t="shared" si="205"/>
        <v>6.2937062937062943E-2</v>
      </c>
      <c r="BC463" s="21">
        <v>8</v>
      </c>
      <c r="BD463" s="41">
        <f t="shared" si="224"/>
        <v>6.25E-2</v>
      </c>
      <c r="BE463" s="21">
        <v>143</v>
      </c>
      <c r="BF463" s="21">
        <v>128</v>
      </c>
    </row>
    <row r="464" spans="1:58" ht="15.75" customHeight="1" x14ac:dyDescent="0.25">
      <c r="A464" s="44">
        <v>2021</v>
      </c>
      <c r="B464" s="39">
        <v>170700</v>
      </c>
      <c r="C464" s="38" t="s">
        <v>147</v>
      </c>
      <c r="D464" s="38" t="s">
        <v>50</v>
      </c>
      <c r="E464" s="21">
        <v>6</v>
      </c>
      <c r="F464" s="42">
        <f t="shared" si="206"/>
        <v>8.9153046062407128E-3</v>
      </c>
      <c r="G464" s="21">
        <v>3</v>
      </c>
      <c r="H464" s="42">
        <f t="shared" si="207"/>
        <v>9.0090090090090089E-3</v>
      </c>
      <c r="I464" s="21">
        <v>19</v>
      </c>
      <c r="J464" s="41">
        <f t="shared" si="208"/>
        <v>2.8231797919762259E-2</v>
      </c>
      <c r="K464" s="21">
        <v>12</v>
      </c>
      <c r="L464" s="41">
        <f t="shared" si="209"/>
        <v>3.6036036036036036E-2</v>
      </c>
      <c r="M464" s="21">
        <v>611</v>
      </c>
      <c r="N464" s="41">
        <f t="shared" si="210"/>
        <v>0.90787518573551262</v>
      </c>
      <c r="O464" s="21">
        <v>296</v>
      </c>
      <c r="P464" s="41">
        <f t="shared" si="211"/>
        <v>0.88888888888888884</v>
      </c>
      <c r="Q464" s="21">
        <v>37</v>
      </c>
      <c r="R464" s="41">
        <f t="shared" si="212"/>
        <v>5.4977711738484397E-2</v>
      </c>
      <c r="S464" s="21">
        <v>22</v>
      </c>
      <c r="T464" s="41">
        <f t="shared" si="213"/>
        <v>6.6066066066066062E-2</v>
      </c>
      <c r="U464" s="21">
        <v>26</v>
      </c>
      <c r="V464" s="41">
        <f t="shared" si="214"/>
        <v>3.8632986627043092E-2</v>
      </c>
      <c r="W464" s="21">
        <v>19</v>
      </c>
      <c r="X464" s="41">
        <f t="shared" si="215"/>
        <v>5.7057057057057055E-2</v>
      </c>
      <c r="Y464" s="21">
        <v>53</v>
      </c>
      <c r="Z464" s="41">
        <f t="shared" si="216"/>
        <v>7.8751857355126298E-2</v>
      </c>
      <c r="AA464" s="21">
        <v>36</v>
      </c>
      <c r="AB464" s="41">
        <f t="shared" si="217"/>
        <v>0.10810810810810811</v>
      </c>
      <c r="AC464" s="21">
        <v>594</v>
      </c>
      <c r="AD464" s="41">
        <f t="shared" si="199"/>
        <v>0.88261515601783058</v>
      </c>
      <c r="AE464" s="21">
        <v>278</v>
      </c>
      <c r="AF464" s="41">
        <f t="shared" si="218"/>
        <v>0.83483483483483478</v>
      </c>
      <c r="AG464" s="21">
        <v>16</v>
      </c>
      <c r="AH464" s="41">
        <f t="shared" si="200"/>
        <v>2.3774145616641901E-2</v>
      </c>
      <c r="AI464" s="21">
        <v>12</v>
      </c>
      <c r="AJ464" s="41">
        <f t="shared" si="219"/>
        <v>3.6036036036036036E-2</v>
      </c>
      <c r="AK464" s="21">
        <v>23</v>
      </c>
      <c r="AL464" s="41">
        <f t="shared" si="201"/>
        <v>3.4175334323922731E-2</v>
      </c>
      <c r="AM464" s="21">
        <v>17</v>
      </c>
      <c r="AN464" s="41">
        <f t="shared" si="220"/>
        <v>5.1051051051051052E-2</v>
      </c>
      <c r="AO464" s="21">
        <v>461</v>
      </c>
      <c r="AP464" s="41">
        <f t="shared" si="202"/>
        <v>0.68499257057949481</v>
      </c>
      <c r="AQ464" s="21">
        <v>230</v>
      </c>
      <c r="AR464" s="41">
        <f t="shared" si="221"/>
        <v>0.69069069069069067</v>
      </c>
      <c r="AS464" s="21">
        <v>100</v>
      </c>
      <c r="AT464" s="41">
        <f t="shared" si="203"/>
        <v>0.14858841010401189</v>
      </c>
      <c r="AU464" s="21">
        <v>32</v>
      </c>
      <c r="AV464" s="41">
        <f t="shared" si="222"/>
        <v>9.6096096096096095E-2</v>
      </c>
      <c r="AW464" s="21">
        <v>41</v>
      </c>
      <c r="AX464" s="41">
        <f t="shared" si="204"/>
        <v>6.0921248142644872E-2</v>
      </c>
      <c r="AY464" s="21">
        <v>20</v>
      </c>
      <c r="AZ464" s="41">
        <f t="shared" si="223"/>
        <v>6.006006006006006E-2</v>
      </c>
      <c r="BA464" s="21">
        <v>32</v>
      </c>
      <c r="BB464" s="41">
        <f t="shared" si="205"/>
        <v>4.7548291233283801E-2</v>
      </c>
      <c r="BC464" s="21">
        <v>22</v>
      </c>
      <c r="BD464" s="41">
        <f t="shared" si="224"/>
        <v>6.6066066066066062E-2</v>
      </c>
      <c r="BE464" s="21">
        <v>673</v>
      </c>
      <c r="BF464" s="21">
        <v>333</v>
      </c>
    </row>
    <row r="465" spans="1:58" ht="15.75" customHeight="1" x14ac:dyDescent="0.25">
      <c r="A465" s="44">
        <v>2021</v>
      </c>
      <c r="B465" s="39">
        <v>170710</v>
      </c>
      <c r="C465" s="38" t="s">
        <v>144</v>
      </c>
      <c r="D465" s="38" t="s">
        <v>51</v>
      </c>
      <c r="E465" s="21">
        <v>4</v>
      </c>
      <c r="F465" s="42">
        <f t="shared" si="206"/>
        <v>1.3651877133105802E-2</v>
      </c>
      <c r="G465" s="21">
        <v>3</v>
      </c>
      <c r="H465" s="42">
        <f t="shared" si="207"/>
        <v>1.4018691588785047E-2</v>
      </c>
      <c r="I465" s="21">
        <v>9</v>
      </c>
      <c r="J465" s="41">
        <f t="shared" si="208"/>
        <v>3.0716723549488054E-2</v>
      </c>
      <c r="K465" s="21">
        <v>8</v>
      </c>
      <c r="L465" s="41">
        <f t="shared" si="209"/>
        <v>3.7383177570093455E-2</v>
      </c>
      <c r="M465" s="21">
        <v>264</v>
      </c>
      <c r="N465" s="41">
        <f t="shared" si="210"/>
        <v>0.90102389078498291</v>
      </c>
      <c r="O465" s="21">
        <v>196</v>
      </c>
      <c r="P465" s="41">
        <f t="shared" si="211"/>
        <v>0.91588785046728971</v>
      </c>
      <c r="Q465" s="21">
        <v>16</v>
      </c>
      <c r="R465" s="41">
        <f t="shared" si="212"/>
        <v>5.4607508532423209E-2</v>
      </c>
      <c r="S465" s="21">
        <v>7</v>
      </c>
      <c r="T465" s="41">
        <f t="shared" si="213"/>
        <v>3.2710280373831772E-2</v>
      </c>
      <c r="U465" s="21">
        <v>25</v>
      </c>
      <c r="V465" s="41">
        <f t="shared" si="214"/>
        <v>8.5324232081911269E-2</v>
      </c>
      <c r="W465" s="21">
        <v>18</v>
      </c>
      <c r="X465" s="41">
        <f t="shared" si="215"/>
        <v>8.4112149532710276E-2</v>
      </c>
      <c r="Y465" s="21">
        <v>27</v>
      </c>
      <c r="Z465" s="41">
        <f t="shared" si="216"/>
        <v>9.2150170648464161E-2</v>
      </c>
      <c r="AA465" s="21">
        <v>21</v>
      </c>
      <c r="AB465" s="41">
        <f t="shared" si="217"/>
        <v>9.8130841121495324E-2</v>
      </c>
      <c r="AC465" s="21">
        <v>241</v>
      </c>
      <c r="AD465" s="41">
        <f t="shared" si="199"/>
        <v>0.8225255972696246</v>
      </c>
      <c r="AE465" s="21">
        <v>175</v>
      </c>
      <c r="AF465" s="41">
        <f t="shared" si="218"/>
        <v>0.81775700934579443</v>
      </c>
      <c r="AG465" s="21">
        <v>16</v>
      </c>
      <c r="AH465" s="41">
        <f t="shared" si="200"/>
        <v>5.4607508532423209E-2</v>
      </c>
      <c r="AI465" s="21">
        <v>13</v>
      </c>
      <c r="AJ465" s="41">
        <f t="shared" si="219"/>
        <v>6.0747663551401869E-2</v>
      </c>
      <c r="AK465" s="21">
        <v>20</v>
      </c>
      <c r="AL465" s="41">
        <f t="shared" si="201"/>
        <v>6.8259385665529013E-2</v>
      </c>
      <c r="AM465" s="21">
        <v>18</v>
      </c>
      <c r="AN465" s="41">
        <f t="shared" si="220"/>
        <v>8.4112149532710276E-2</v>
      </c>
      <c r="AO465" s="21">
        <v>181</v>
      </c>
      <c r="AP465" s="41">
        <f t="shared" si="202"/>
        <v>0.61774744027303752</v>
      </c>
      <c r="AQ465" s="21">
        <v>133</v>
      </c>
      <c r="AR465" s="41">
        <f t="shared" si="221"/>
        <v>0.62149532710280375</v>
      </c>
      <c r="AS465" s="21">
        <v>47</v>
      </c>
      <c r="AT465" s="41">
        <f t="shared" si="203"/>
        <v>0.16040955631399317</v>
      </c>
      <c r="AU465" s="21">
        <v>32</v>
      </c>
      <c r="AV465" s="41">
        <f t="shared" si="222"/>
        <v>0.14953271028037382</v>
      </c>
      <c r="AW465" s="21">
        <v>17</v>
      </c>
      <c r="AX465" s="41">
        <f t="shared" si="204"/>
        <v>5.8020477815699661E-2</v>
      </c>
      <c r="AY465" s="21">
        <v>12</v>
      </c>
      <c r="AZ465" s="41">
        <f t="shared" si="223"/>
        <v>5.6074766355140186E-2</v>
      </c>
      <c r="BA465" s="21">
        <v>12</v>
      </c>
      <c r="BB465" s="41">
        <f t="shared" si="205"/>
        <v>4.0955631399317405E-2</v>
      </c>
      <c r="BC465" s="21">
        <v>6</v>
      </c>
      <c r="BD465" s="41">
        <f t="shared" si="224"/>
        <v>2.8037383177570093E-2</v>
      </c>
      <c r="BE465" s="21">
        <v>293</v>
      </c>
      <c r="BF465" s="21">
        <v>214</v>
      </c>
    </row>
    <row r="466" spans="1:58" ht="15.75" customHeight="1" x14ac:dyDescent="0.25">
      <c r="A466" s="44">
        <v>2021</v>
      </c>
      <c r="B466" s="39">
        <v>170720</v>
      </c>
      <c r="C466" s="38" t="s">
        <v>144</v>
      </c>
      <c r="D466" s="38" t="s">
        <v>52</v>
      </c>
      <c r="E466" s="21">
        <v>5</v>
      </c>
      <c r="F466" s="42">
        <f t="shared" si="206"/>
        <v>2.5510204081632654E-2</v>
      </c>
      <c r="G466" s="21">
        <v>5</v>
      </c>
      <c r="H466" s="42">
        <f t="shared" si="207"/>
        <v>2.8248587570621469E-2</v>
      </c>
      <c r="I466" s="21">
        <v>7</v>
      </c>
      <c r="J466" s="41">
        <f t="shared" si="208"/>
        <v>3.5714285714285712E-2</v>
      </c>
      <c r="K466" s="21">
        <v>6</v>
      </c>
      <c r="L466" s="41">
        <f t="shared" si="209"/>
        <v>3.3898305084745763E-2</v>
      </c>
      <c r="M466" s="21">
        <v>160</v>
      </c>
      <c r="N466" s="41">
        <f t="shared" si="210"/>
        <v>0.81632653061224492</v>
      </c>
      <c r="O466" s="21">
        <v>143</v>
      </c>
      <c r="P466" s="41">
        <f t="shared" si="211"/>
        <v>0.80790960451977401</v>
      </c>
      <c r="Q466" s="21">
        <v>24</v>
      </c>
      <c r="R466" s="41">
        <f t="shared" si="212"/>
        <v>0.12244897959183673</v>
      </c>
      <c r="S466" s="21">
        <v>23</v>
      </c>
      <c r="T466" s="41">
        <f t="shared" si="213"/>
        <v>0.12994350282485875</v>
      </c>
      <c r="U466" s="21">
        <v>21</v>
      </c>
      <c r="V466" s="41">
        <f t="shared" si="214"/>
        <v>0.10714285714285714</v>
      </c>
      <c r="W466" s="21">
        <v>16</v>
      </c>
      <c r="X466" s="41">
        <f t="shared" si="215"/>
        <v>9.03954802259887E-2</v>
      </c>
      <c r="Y466" s="21">
        <v>4</v>
      </c>
      <c r="Z466" s="41">
        <f t="shared" si="216"/>
        <v>2.0408163265306121E-2</v>
      </c>
      <c r="AA466" s="21">
        <v>2</v>
      </c>
      <c r="AB466" s="41">
        <f t="shared" si="217"/>
        <v>1.1299435028248588E-2</v>
      </c>
      <c r="AC466" s="21">
        <v>171</v>
      </c>
      <c r="AD466" s="41">
        <f t="shared" si="199"/>
        <v>0.87244897959183676</v>
      </c>
      <c r="AE466" s="21">
        <v>159</v>
      </c>
      <c r="AF466" s="41">
        <f t="shared" si="218"/>
        <v>0.89830508474576276</v>
      </c>
      <c r="AG466" s="21">
        <v>12</v>
      </c>
      <c r="AH466" s="41">
        <f t="shared" si="200"/>
        <v>6.1224489795918366E-2</v>
      </c>
      <c r="AI466" s="21">
        <v>14</v>
      </c>
      <c r="AJ466" s="41">
        <f t="shared" si="219"/>
        <v>7.909604519774012E-2</v>
      </c>
      <c r="AK466" s="21">
        <v>16</v>
      </c>
      <c r="AL466" s="41">
        <f t="shared" si="201"/>
        <v>8.1632653061224483E-2</v>
      </c>
      <c r="AM466" s="21">
        <v>15</v>
      </c>
      <c r="AN466" s="41">
        <f t="shared" si="220"/>
        <v>8.4745762711864403E-2</v>
      </c>
      <c r="AO466" s="21">
        <v>108</v>
      </c>
      <c r="AP466" s="41">
        <f t="shared" si="202"/>
        <v>0.55102040816326525</v>
      </c>
      <c r="AQ466" s="21">
        <v>95</v>
      </c>
      <c r="AR466" s="41">
        <f t="shared" si="221"/>
        <v>0.53672316384180796</v>
      </c>
      <c r="AS466" s="21">
        <v>18</v>
      </c>
      <c r="AT466" s="41">
        <f t="shared" si="203"/>
        <v>9.1836734693877556E-2</v>
      </c>
      <c r="AU466" s="21">
        <v>17</v>
      </c>
      <c r="AV466" s="41">
        <f t="shared" si="222"/>
        <v>9.6045197740112997E-2</v>
      </c>
      <c r="AW466" s="21">
        <v>9</v>
      </c>
      <c r="AX466" s="41">
        <f t="shared" si="204"/>
        <v>4.5918367346938778E-2</v>
      </c>
      <c r="AY466" s="21">
        <v>8</v>
      </c>
      <c r="AZ466" s="41">
        <f t="shared" si="223"/>
        <v>4.519774011299435E-2</v>
      </c>
      <c r="BA466" s="21">
        <v>33</v>
      </c>
      <c r="BB466" s="41">
        <f t="shared" si="205"/>
        <v>0.1683673469387755</v>
      </c>
      <c r="BC466" s="21">
        <v>28</v>
      </c>
      <c r="BD466" s="41">
        <f t="shared" si="224"/>
        <v>0.15819209039548024</v>
      </c>
      <c r="BE466" s="21">
        <v>196</v>
      </c>
      <c r="BF466" s="21">
        <v>177</v>
      </c>
    </row>
    <row r="467" spans="1:58" ht="15.75" customHeight="1" x14ac:dyDescent="0.25">
      <c r="A467" s="44">
        <v>2021</v>
      </c>
      <c r="B467" s="39">
        <v>170730</v>
      </c>
      <c r="C467" s="38" t="s">
        <v>146</v>
      </c>
      <c r="D467" s="38" t="s">
        <v>53</v>
      </c>
      <c r="E467" s="21">
        <v>5</v>
      </c>
      <c r="F467" s="42">
        <f t="shared" si="206"/>
        <v>3.0303030303030304E-2</v>
      </c>
      <c r="G467" s="21">
        <v>3</v>
      </c>
      <c r="H467" s="42">
        <f t="shared" si="207"/>
        <v>2.4390243902439025E-2</v>
      </c>
      <c r="I467" s="21">
        <v>14</v>
      </c>
      <c r="J467" s="41">
        <f t="shared" si="208"/>
        <v>8.4848484848484854E-2</v>
      </c>
      <c r="K467" s="21">
        <v>13</v>
      </c>
      <c r="L467" s="41">
        <f t="shared" si="209"/>
        <v>0.10569105691056911</v>
      </c>
      <c r="M467" s="21">
        <v>135</v>
      </c>
      <c r="N467" s="41">
        <f t="shared" si="210"/>
        <v>0.81818181818181823</v>
      </c>
      <c r="O467" s="21">
        <v>96</v>
      </c>
      <c r="P467" s="41">
        <f t="shared" si="211"/>
        <v>0.78048780487804881</v>
      </c>
      <c r="Q467" s="21">
        <v>11</v>
      </c>
      <c r="R467" s="41">
        <f t="shared" si="212"/>
        <v>6.6666666666666666E-2</v>
      </c>
      <c r="S467" s="21">
        <v>11</v>
      </c>
      <c r="T467" s="41">
        <f t="shared" si="213"/>
        <v>8.943089430894309E-2</v>
      </c>
      <c r="U467" s="21">
        <v>27</v>
      </c>
      <c r="V467" s="41">
        <f t="shared" si="214"/>
        <v>0.16363636363636364</v>
      </c>
      <c r="W467" s="21">
        <v>26</v>
      </c>
      <c r="X467" s="41">
        <f t="shared" si="215"/>
        <v>0.21138211382113822</v>
      </c>
      <c r="Y467" s="21">
        <v>16</v>
      </c>
      <c r="Z467" s="41">
        <f t="shared" si="216"/>
        <v>9.696969696969697E-2</v>
      </c>
      <c r="AA467" s="21">
        <v>11</v>
      </c>
      <c r="AB467" s="41">
        <f t="shared" si="217"/>
        <v>8.943089430894309E-2</v>
      </c>
      <c r="AC467" s="21">
        <v>122</v>
      </c>
      <c r="AD467" s="41">
        <f t="shared" si="199"/>
        <v>0.73939393939393938</v>
      </c>
      <c r="AE467" s="21">
        <v>86</v>
      </c>
      <c r="AF467" s="41">
        <f t="shared" si="218"/>
        <v>0.69918699186991873</v>
      </c>
      <c r="AG467" s="21">
        <v>8</v>
      </c>
      <c r="AH467" s="41">
        <f t="shared" si="200"/>
        <v>4.8484848484848485E-2</v>
      </c>
      <c r="AI467" s="21">
        <v>5</v>
      </c>
      <c r="AJ467" s="41">
        <f t="shared" si="219"/>
        <v>4.065040650406504E-2</v>
      </c>
      <c r="AK467" s="21">
        <v>10</v>
      </c>
      <c r="AL467" s="41">
        <f t="shared" si="201"/>
        <v>6.0606060606060608E-2</v>
      </c>
      <c r="AM467" s="21">
        <v>8</v>
      </c>
      <c r="AN467" s="41">
        <f t="shared" si="220"/>
        <v>6.5040650406504072E-2</v>
      </c>
      <c r="AO467" s="21">
        <v>99</v>
      </c>
      <c r="AP467" s="41">
        <f t="shared" si="202"/>
        <v>0.6</v>
      </c>
      <c r="AQ467" s="21">
        <v>71</v>
      </c>
      <c r="AR467" s="41">
        <f t="shared" si="221"/>
        <v>0.57723577235772361</v>
      </c>
      <c r="AS467" s="21">
        <v>18</v>
      </c>
      <c r="AT467" s="41">
        <f t="shared" si="203"/>
        <v>0.10909090909090909</v>
      </c>
      <c r="AU467" s="21">
        <v>12</v>
      </c>
      <c r="AV467" s="41">
        <f t="shared" si="222"/>
        <v>9.7560975609756101E-2</v>
      </c>
      <c r="AW467" s="21">
        <v>15</v>
      </c>
      <c r="AX467" s="41">
        <f t="shared" si="204"/>
        <v>9.0909090909090912E-2</v>
      </c>
      <c r="AY467" s="21">
        <v>13</v>
      </c>
      <c r="AZ467" s="41">
        <f t="shared" si="223"/>
        <v>0.10569105691056911</v>
      </c>
      <c r="BA467" s="21">
        <v>15</v>
      </c>
      <c r="BB467" s="41">
        <f t="shared" si="205"/>
        <v>9.0909090909090912E-2</v>
      </c>
      <c r="BC467" s="21">
        <v>14</v>
      </c>
      <c r="BD467" s="41">
        <f t="shared" si="224"/>
        <v>0.11382113821138211</v>
      </c>
      <c r="BE467" s="21">
        <v>165</v>
      </c>
      <c r="BF467" s="21">
        <v>123</v>
      </c>
    </row>
    <row r="468" spans="1:58" ht="15.75" customHeight="1" x14ac:dyDescent="0.25">
      <c r="A468" s="44">
        <v>2021</v>
      </c>
      <c r="B468" s="39">
        <v>170740</v>
      </c>
      <c r="C468" s="38" t="s">
        <v>145</v>
      </c>
      <c r="D468" s="38" t="s">
        <v>54</v>
      </c>
      <c r="E468" s="21">
        <v>10</v>
      </c>
      <c r="F468" s="42">
        <f t="shared" si="206"/>
        <v>1.8484288354898338E-2</v>
      </c>
      <c r="G468" s="21">
        <v>9</v>
      </c>
      <c r="H468" s="42">
        <f t="shared" si="207"/>
        <v>2.4456521739130436E-2</v>
      </c>
      <c r="I468" s="21">
        <v>32</v>
      </c>
      <c r="J468" s="41">
        <f t="shared" si="208"/>
        <v>5.9149722735674676E-2</v>
      </c>
      <c r="K468" s="21">
        <v>23</v>
      </c>
      <c r="L468" s="41">
        <f t="shared" si="209"/>
        <v>6.25E-2</v>
      </c>
      <c r="M468" s="21">
        <v>469</v>
      </c>
      <c r="N468" s="41">
        <f t="shared" si="210"/>
        <v>0.86691312384473196</v>
      </c>
      <c r="O468" s="21">
        <v>316</v>
      </c>
      <c r="P468" s="41">
        <f t="shared" si="211"/>
        <v>0.85869565217391308</v>
      </c>
      <c r="Q468" s="21">
        <v>30</v>
      </c>
      <c r="R468" s="41">
        <f t="shared" si="212"/>
        <v>5.545286506469501E-2</v>
      </c>
      <c r="S468" s="21">
        <v>20</v>
      </c>
      <c r="T468" s="41">
        <f t="shared" si="213"/>
        <v>5.434782608695652E-2</v>
      </c>
      <c r="U468" s="21">
        <v>32</v>
      </c>
      <c r="V468" s="41">
        <f t="shared" si="214"/>
        <v>5.9149722735674676E-2</v>
      </c>
      <c r="W468" s="21">
        <v>19</v>
      </c>
      <c r="X468" s="41">
        <f t="shared" si="215"/>
        <v>5.1630434782608696E-2</v>
      </c>
      <c r="Y468" s="21">
        <v>40</v>
      </c>
      <c r="Z468" s="41">
        <f t="shared" si="216"/>
        <v>7.3937153419593352E-2</v>
      </c>
      <c r="AA468" s="21">
        <v>31</v>
      </c>
      <c r="AB468" s="41">
        <f t="shared" si="217"/>
        <v>8.4239130434782608E-2</v>
      </c>
      <c r="AC468" s="21">
        <v>469</v>
      </c>
      <c r="AD468" s="41">
        <f t="shared" si="199"/>
        <v>0.86691312384473196</v>
      </c>
      <c r="AE468" s="21">
        <v>318</v>
      </c>
      <c r="AF468" s="41">
        <f t="shared" si="218"/>
        <v>0.86413043478260865</v>
      </c>
      <c r="AG468" s="21">
        <v>18</v>
      </c>
      <c r="AH468" s="41">
        <f t="shared" si="200"/>
        <v>3.3271719038817003E-2</v>
      </c>
      <c r="AI468" s="21">
        <v>19</v>
      </c>
      <c r="AJ468" s="41">
        <f t="shared" si="219"/>
        <v>5.1630434782608696E-2</v>
      </c>
      <c r="AK468" s="21">
        <v>27</v>
      </c>
      <c r="AL468" s="41">
        <f t="shared" si="201"/>
        <v>4.9907578558225509E-2</v>
      </c>
      <c r="AM468" s="21">
        <v>21</v>
      </c>
      <c r="AN468" s="41">
        <f t="shared" si="220"/>
        <v>5.7065217391304345E-2</v>
      </c>
      <c r="AO468" s="21">
        <v>377</v>
      </c>
      <c r="AP468" s="41">
        <f t="shared" si="202"/>
        <v>0.69685767097966733</v>
      </c>
      <c r="AQ468" s="21">
        <v>258</v>
      </c>
      <c r="AR468" s="41">
        <f t="shared" si="221"/>
        <v>0.70108695652173914</v>
      </c>
      <c r="AS468" s="21">
        <v>72</v>
      </c>
      <c r="AT468" s="41">
        <f t="shared" si="203"/>
        <v>0.13308687615526801</v>
      </c>
      <c r="AU468" s="21">
        <v>40</v>
      </c>
      <c r="AV468" s="41">
        <f t="shared" si="222"/>
        <v>0.10869565217391304</v>
      </c>
      <c r="AW468" s="21">
        <v>31</v>
      </c>
      <c r="AX468" s="41">
        <f t="shared" si="204"/>
        <v>5.730129390018484E-2</v>
      </c>
      <c r="AY468" s="21">
        <v>19</v>
      </c>
      <c r="AZ468" s="41">
        <f t="shared" si="223"/>
        <v>5.1630434782608696E-2</v>
      </c>
      <c r="BA468" s="21">
        <v>16</v>
      </c>
      <c r="BB468" s="41">
        <f t="shared" si="205"/>
        <v>2.9574861367837338E-2</v>
      </c>
      <c r="BC468" s="21">
        <v>11</v>
      </c>
      <c r="BD468" s="41">
        <f t="shared" si="224"/>
        <v>2.9891304347826088E-2</v>
      </c>
      <c r="BE468" s="21">
        <v>541</v>
      </c>
      <c r="BF468" s="21">
        <v>368</v>
      </c>
    </row>
    <row r="469" spans="1:58" ht="15.75" customHeight="1" x14ac:dyDescent="0.25">
      <c r="A469" s="44">
        <v>2021</v>
      </c>
      <c r="B469" s="39">
        <v>170755</v>
      </c>
      <c r="C469" s="38" t="s">
        <v>151</v>
      </c>
      <c r="D469" s="38" t="s">
        <v>55</v>
      </c>
      <c r="E469" s="21">
        <v>0</v>
      </c>
      <c r="F469" s="42">
        <f t="shared" si="206"/>
        <v>0</v>
      </c>
      <c r="G469" s="21">
        <v>0</v>
      </c>
      <c r="H469" s="42">
        <f t="shared" si="207"/>
        <v>0</v>
      </c>
      <c r="I469" s="21">
        <v>0</v>
      </c>
      <c r="J469" s="41">
        <f t="shared" si="208"/>
        <v>0</v>
      </c>
      <c r="K469" s="21">
        <v>0</v>
      </c>
      <c r="L469" s="41">
        <f t="shared" si="209"/>
        <v>0</v>
      </c>
      <c r="M469" s="21">
        <v>28</v>
      </c>
      <c r="N469" s="41">
        <f t="shared" si="210"/>
        <v>0.90322580645161288</v>
      </c>
      <c r="O469" s="21">
        <v>0</v>
      </c>
      <c r="P469" s="41">
        <f t="shared" si="211"/>
        <v>0</v>
      </c>
      <c r="Q469" s="21">
        <v>3</v>
      </c>
      <c r="R469" s="41">
        <f t="shared" si="212"/>
        <v>9.6774193548387094E-2</v>
      </c>
      <c r="S469" s="21">
        <v>0</v>
      </c>
      <c r="T469" s="41">
        <f t="shared" si="213"/>
        <v>0</v>
      </c>
      <c r="U469" s="21">
        <v>0</v>
      </c>
      <c r="V469" s="41">
        <f t="shared" si="214"/>
        <v>0</v>
      </c>
      <c r="W469" s="21">
        <v>0</v>
      </c>
      <c r="X469" s="41">
        <f t="shared" si="215"/>
        <v>0</v>
      </c>
      <c r="Y469" s="21">
        <v>0</v>
      </c>
      <c r="Z469" s="41">
        <f t="shared" si="216"/>
        <v>0</v>
      </c>
      <c r="AA469" s="21">
        <v>0</v>
      </c>
      <c r="AB469" s="41">
        <f t="shared" si="217"/>
        <v>0</v>
      </c>
      <c r="AC469" s="21">
        <v>31</v>
      </c>
      <c r="AD469" s="41">
        <f t="shared" si="199"/>
        <v>1</v>
      </c>
      <c r="AE469" s="21">
        <v>0</v>
      </c>
      <c r="AF469" s="41">
        <f t="shared" si="218"/>
        <v>0</v>
      </c>
      <c r="AG469" s="21">
        <v>0</v>
      </c>
      <c r="AH469" s="41">
        <f t="shared" si="200"/>
        <v>0</v>
      </c>
      <c r="AI469" s="21">
        <v>0</v>
      </c>
      <c r="AJ469" s="41">
        <f t="shared" si="219"/>
        <v>0</v>
      </c>
      <c r="AK469" s="21">
        <v>1</v>
      </c>
      <c r="AL469" s="41">
        <f t="shared" si="201"/>
        <v>3.2258064516129031E-2</v>
      </c>
      <c r="AM469" s="21">
        <v>0</v>
      </c>
      <c r="AN469" s="41">
        <f t="shared" si="220"/>
        <v>0</v>
      </c>
      <c r="AO469" s="21">
        <v>17</v>
      </c>
      <c r="AP469" s="41">
        <f t="shared" si="202"/>
        <v>0.54838709677419351</v>
      </c>
      <c r="AQ469" s="21">
        <v>0</v>
      </c>
      <c r="AR469" s="41">
        <f t="shared" si="221"/>
        <v>0</v>
      </c>
      <c r="AS469" s="21">
        <v>10</v>
      </c>
      <c r="AT469" s="41">
        <f t="shared" si="203"/>
        <v>0.32258064516129031</v>
      </c>
      <c r="AU469" s="21">
        <v>0</v>
      </c>
      <c r="AV469" s="41">
        <f t="shared" si="222"/>
        <v>0</v>
      </c>
      <c r="AW469" s="21">
        <v>3</v>
      </c>
      <c r="AX469" s="41">
        <f t="shared" si="204"/>
        <v>9.6774193548387094E-2</v>
      </c>
      <c r="AY469" s="21">
        <v>0</v>
      </c>
      <c r="AZ469" s="41">
        <f t="shared" si="223"/>
        <v>0</v>
      </c>
      <c r="BA469" s="21">
        <v>0</v>
      </c>
      <c r="BB469" s="41">
        <f t="shared" si="205"/>
        <v>0</v>
      </c>
      <c r="BC469" s="21">
        <v>0</v>
      </c>
      <c r="BD469" s="41">
        <f t="shared" si="224"/>
        <v>0</v>
      </c>
      <c r="BE469" s="21">
        <v>31</v>
      </c>
      <c r="BF469" s="21">
        <v>0</v>
      </c>
    </row>
    <row r="470" spans="1:58" ht="15.75" customHeight="1" x14ac:dyDescent="0.25">
      <c r="A470" s="44">
        <v>2021</v>
      </c>
      <c r="B470" s="39">
        <v>170765</v>
      </c>
      <c r="C470" s="38" t="s">
        <v>146</v>
      </c>
      <c r="D470" s="38" t="s">
        <v>56</v>
      </c>
      <c r="E470" s="21">
        <v>0</v>
      </c>
      <c r="F470" s="42">
        <f t="shared" si="206"/>
        <v>0</v>
      </c>
      <c r="G470" s="21">
        <v>0</v>
      </c>
      <c r="H470" s="42">
        <f t="shared" si="207"/>
        <v>0</v>
      </c>
      <c r="I470" s="21">
        <v>8</v>
      </c>
      <c r="J470" s="41">
        <f t="shared" si="208"/>
        <v>7.0175438596491224E-2</v>
      </c>
      <c r="K470" s="21">
        <v>8</v>
      </c>
      <c r="L470" s="41">
        <f t="shared" si="209"/>
        <v>8.0808080808080815E-2</v>
      </c>
      <c r="M470" s="21">
        <v>92</v>
      </c>
      <c r="N470" s="41">
        <f t="shared" si="210"/>
        <v>0.80701754385964908</v>
      </c>
      <c r="O470" s="21">
        <v>78</v>
      </c>
      <c r="P470" s="41">
        <f t="shared" si="211"/>
        <v>0.78787878787878785</v>
      </c>
      <c r="Q470" s="21">
        <v>14</v>
      </c>
      <c r="R470" s="41">
        <f t="shared" si="212"/>
        <v>0.12280701754385964</v>
      </c>
      <c r="S470" s="21">
        <v>13</v>
      </c>
      <c r="T470" s="41">
        <f t="shared" si="213"/>
        <v>0.13131313131313133</v>
      </c>
      <c r="U470" s="21">
        <v>4</v>
      </c>
      <c r="V470" s="41">
        <f t="shared" si="214"/>
        <v>3.5087719298245612E-2</v>
      </c>
      <c r="W470" s="21">
        <v>3</v>
      </c>
      <c r="X470" s="41">
        <f t="shared" si="215"/>
        <v>3.0303030303030304E-2</v>
      </c>
      <c r="Y470" s="21">
        <v>6</v>
      </c>
      <c r="Z470" s="41">
        <f t="shared" si="216"/>
        <v>5.2631578947368418E-2</v>
      </c>
      <c r="AA470" s="21">
        <v>6</v>
      </c>
      <c r="AB470" s="41">
        <f t="shared" si="217"/>
        <v>6.0606060606060608E-2</v>
      </c>
      <c r="AC470" s="21">
        <v>104</v>
      </c>
      <c r="AD470" s="41">
        <f t="shared" si="199"/>
        <v>0.91228070175438591</v>
      </c>
      <c r="AE470" s="21">
        <v>90</v>
      </c>
      <c r="AF470" s="41">
        <f t="shared" si="218"/>
        <v>0.90909090909090906</v>
      </c>
      <c r="AG470" s="21">
        <v>6</v>
      </c>
      <c r="AH470" s="41">
        <f t="shared" si="200"/>
        <v>5.2631578947368418E-2</v>
      </c>
      <c r="AI470" s="21">
        <v>6</v>
      </c>
      <c r="AJ470" s="41">
        <f t="shared" si="219"/>
        <v>6.0606060606060608E-2</v>
      </c>
      <c r="AK470" s="21">
        <v>7</v>
      </c>
      <c r="AL470" s="41">
        <f t="shared" si="201"/>
        <v>6.1403508771929821E-2</v>
      </c>
      <c r="AM470" s="21">
        <v>7</v>
      </c>
      <c r="AN470" s="41">
        <f t="shared" si="220"/>
        <v>7.0707070707070704E-2</v>
      </c>
      <c r="AO470" s="21">
        <v>63</v>
      </c>
      <c r="AP470" s="41">
        <f t="shared" si="202"/>
        <v>0.55263157894736847</v>
      </c>
      <c r="AQ470" s="21">
        <v>57</v>
      </c>
      <c r="AR470" s="41">
        <f t="shared" si="221"/>
        <v>0.5757575757575758</v>
      </c>
      <c r="AS470" s="21">
        <v>10</v>
      </c>
      <c r="AT470" s="41">
        <f t="shared" si="203"/>
        <v>8.771929824561403E-2</v>
      </c>
      <c r="AU470" s="21">
        <v>5</v>
      </c>
      <c r="AV470" s="41">
        <f t="shared" si="222"/>
        <v>5.0505050505050504E-2</v>
      </c>
      <c r="AW470" s="21">
        <v>15</v>
      </c>
      <c r="AX470" s="41">
        <f t="shared" si="204"/>
        <v>0.13157894736842105</v>
      </c>
      <c r="AY470" s="21">
        <v>13</v>
      </c>
      <c r="AZ470" s="41">
        <f t="shared" si="223"/>
        <v>0.13131313131313133</v>
      </c>
      <c r="BA470" s="21">
        <v>13</v>
      </c>
      <c r="BB470" s="41">
        <f t="shared" si="205"/>
        <v>0.11403508771929824</v>
      </c>
      <c r="BC470" s="21">
        <v>11</v>
      </c>
      <c r="BD470" s="41">
        <f t="shared" si="224"/>
        <v>0.1111111111111111</v>
      </c>
      <c r="BE470" s="21">
        <v>114</v>
      </c>
      <c r="BF470" s="21">
        <v>99</v>
      </c>
    </row>
    <row r="471" spans="1:58" ht="15.75" customHeight="1" x14ac:dyDescent="0.25">
      <c r="A471" s="44">
        <v>2021</v>
      </c>
      <c r="B471" s="39">
        <v>170770</v>
      </c>
      <c r="C471" s="38" t="s">
        <v>149</v>
      </c>
      <c r="D471" s="38" t="s">
        <v>57</v>
      </c>
      <c r="E471" s="21">
        <v>4</v>
      </c>
      <c r="F471" s="42">
        <f t="shared" si="206"/>
        <v>1.2500000000000001E-2</v>
      </c>
      <c r="G471" s="21">
        <v>3</v>
      </c>
      <c r="H471" s="42">
        <f t="shared" si="207"/>
        <v>1.0067114093959731E-2</v>
      </c>
      <c r="I471" s="21">
        <v>10</v>
      </c>
      <c r="J471" s="41">
        <f t="shared" si="208"/>
        <v>3.125E-2</v>
      </c>
      <c r="K471" s="21">
        <v>8</v>
      </c>
      <c r="L471" s="41">
        <f t="shared" si="209"/>
        <v>2.6845637583892617E-2</v>
      </c>
      <c r="M471" s="21">
        <v>294</v>
      </c>
      <c r="N471" s="41">
        <f t="shared" si="210"/>
        <v>0.91874999999999996</v>
      </c>
      <c r="O471" s="21">
        <v>274</v>
      </c>
      <c r="P471" s="41">
        <f t="shared" si="211"/>
        <v>0.91946308724832215</v>
      </c>
      <c r="Q471" s="21">
        <v>12</v>
      </c>
      <c r="R471" s="41">
        <f t="shared" si="212"/>
        <v>3.7499999999999999E-2</v>
      </c>
      <c r="S471" s="21">
        <v>13</v>
      </c>
      <c r="T471" s="41">
        <f t="shared" si="213"/>
        <v>4.3624161073825503E-2</v>
      </c>
      <c r="U471" s="21">
        <v>20</v>
      </c>
      <c r="V471" s="41">
        <f t="shared" si="214"/>
        <v>6.25E-2</v>
      </c>
      <c r="W471" s="21">
        <v>18</v>
      </c>
      <c r="X471" s="41">
        <f t="shared" si="215"/>
        <v>6.0402684563758392E-2</v>
      </c>
      <c r="Y471" s="21">
        <v>31</v>
      </c>
      <c r="Z471" s="41">
        <f t="shared" si="216"/>
        <v>9.6875000000000003E-2</v>
      </c>
      <c r="AA471" s="21">
        <v>25</v>
      </c>
      <c r="AB471" s="41">
        <f t="shared" si="217"/>
        <v>8.3892617449664433E-2</v>
      </c>
      <c r="AC471" s="21">
        <v>269</v>
      </c>
      <c r="AD471" s="41">
        <f t="shared" si="199"/>
        <v>0.84062499999999996</v>
      </c>
      <c r="AE471" s="21">
        <v>255</v>
      </c>
      <c r="AF471" s="41">
        <f t="shared" si="218"/>
        <v>0.85570469798657722</v>
      </c>
      <c r="AG471" s="21">
        <v>9</v>
      </c>
      <c r="AH471" s="41">
        <f t="shared" si="200"/>
        <v>2.8125000000000001E-2</v>
      </c>
      <c r="AI471" s="21">
        <v>8</v>
      </c>
      <c r="AJ471" s="41">
        <f t="shared" si="219"/>
        <v>2.6845637583892617E-2</v>
      </c>
      <c r="AK471" s="21">
        <v>16</v>
      </c>
      <c r="AL471" s="41">
        <f t="shared" si="201"/>
        <v>0.05</v>
      </c>
      <c r="AM471" s="21">
        <v>17</v>
      </c>
      <c r="AN471" s="41">
        <f t="shared" si="220"/>
        <v>5.7046979865771813E-2</v>
      </c>
      <c r="AO471" s="21">
        <v>218</v>
      </c>
      <c r="AP471" s="41">
        <f t="shared" si="202"/>
        <v>0.68125000000000002</v>
      </c>
      <c r="AQ471" s="21">
        <v>203</v>
      </c>
      <c r="AR471" s="41">
        <f t="shared" si="221"/>
        <v>0.68120805369127513</v>
      </c>
      <c r="AS471" s="21">
        <v>47</v>
      </c>
      <c r="AT471" s="41">
        <f t="shared" si="203"/>
        <v>0.14687500000000001</v>
      </c>
      <c r="AU471" s="21">
        <v>41</v>
      </c>
      <c r="AV471" s="41">
        <f t="shared" si="222"/>
        <v>0.13758389261744966</v>
      </c>
      <c r="AW471" s="21">
        <v>14</v>
      </c>
      <c r="AX471" s="41">
        <f t="shared" si="204"/>
        <v>4.3749999999999997E-2</v>
      </c>
      <c r="AY471" s="21">
        <v>13</v>
      </c>
      <c r="AZ471" s="41">
        <f t="shared" si="223"/>
        <v>4.3624161073825503E-2</v>
      </c>
      <c r="BA471" s="21">
        <v>16</v>
      </c>
      <c r="BB471" s="41">
        <f t="shared" si="205"/>
        <v>0.05</v>
      </c>
      <c r="BC471" s="21">
        <v>16</v>
      </c>
      <c r="BD471" s="41">
        <f t="shared" si="224"/>
        <v>5.3691275167785234E-2</v>
      </c>
      <c r="BE471" s="21">
        <v>320</v>
      </c>
      <c r="BF471" s="21">
        <v>298</v>
      </c>
    </row>
    <row r="472" spans="1:58" ht="15.75" customHeight="1" x14ac:dyDescent="0.25">
      <c r="A472" s="44">
        <v>2021</v>
      </c>
      <c r="B472" s="39">
        <v>170820</v>
      </c>
      <c r="C472" s="38" t="s">
        <v>146</v>
      </c>
      <c r="D472" s="38" t="s">
        <v>58</v>
      </c>
      <c r="E472" s="21">
        <v>1</v>
      </c>
      <c r="F472" s="42">
        <f t="shared" si="206"/>
        <v>2.2026431718061676E-3</v>
      </c>
      <c r="G472" s="21">
        <v>1</v>
      </c>
      <c r="H472" s="42">
        <f t="shared" si="207"/>
        <v>2.34192037470726E-3</v>
      </c>
      <c r="I472" s="21">
        <v>17</v>
      </c>
      <c r="J472" s="41">
        <f t="shared" si="208"/>
        <v>3.7444933920704845E-2</v>
      </c>
      <c r="K472" s="21">
        <v>15</v>
      </c>
      <c r="L472" s="41">
        <f t="shared" si="209"/>
        <v>3.5128805620608897E-2</v>
      </c>
      <c r="M472" s="21">
        <v>405</v>
      </c>
      <c r="N472" s="41">
        <f t="shared" si="210"/>
        <v>0.89207048458149785</v>
      </c>
      <c r="O472" s="21">
        <v>382</v>
      </c>
      <c r="P472" s="41">
        <f t="shared" si="211"/>
        <v>0.8946135831381733</v>
      </c>
      <c r="Q472" s="21">
        <v>31</v>
      </c>
      <c r="R472" s="41">
        <f t="shared" si="212"/>
        <v>6.8281938325991193E-2</v>
      </c>
      <c r="S472" s="21">
        <v>29</v>
      </c>
      <c r="T472" s="41">
        <f t="shared" si="213"/>
        <v>6.7915690866510545E-2</v>
      </c>
      <c r="U472" s="21">
        <v>14</v>
      </c>
      <c r="V472" s="41">
        <f t="shared" si="214"/>
        <v>3.0837004405286344E-2</v>
      </c>
      <c r="W472" s="21">
        <v>12</v>
      </c>
      <c r="X472" s="41">
        <f t="shared" si="215"/>
        <v>2.8103044496487119E-2</v>
      </c>
      <c r="Y472" s="21">
        <v>20</v>
      </c>
      <c r="Z472" s="41">
        <f t="shared" si="216"/>
        <v>4.405286343612335E-2</v>
      </c>
      <c r="AA472" s="21">
        <v>19</v>
      </c>
      <c r="AB472" s="41">
        <f t="shared" si="217"/>
        <v>4.449648711943794E-2</v>
      </c>
      <c r="AC472" s="21">
        <v>420</v>
      </c>
      <c r="AD472" s="41">
        <f t="shared" si="199"/>
        <v>0.92511013215859028</v>
      </c>
      <c r="AE472" s="21">
        <v>396</v>
      </c>
      <c r="AF472" s="41">
        <f t="shared" si="218"/>
        <v>0.92740046838407497</v>
      </c>
      <c r="AG472" s="21">
        <v>14</v>
      </c>
      <c r="AH472" s="41">
        <f t="shared" si="200"/>
        <v>3.0837004405286344E-2</v>
      </c>
      <c r="AI472" s="21">
        <v>15</v>
      </c>
      <c r="AJ472" s="41">
        <f t="shared" si="219"/>
        <v>3.5128805620608897E-2</v>
      </c>
      <c r="AK472" s="21">
        <v>29</v>
      </c>
      <c r="AL472" s="41">
        <f t="shared" si="201"/>
        <v>6.3876651982378851E-2</v>
      </c>
      <c r="AM472" s="21">
        <v>27</v>
      </c>
      <c r="AN472" s="41">
        <f t="shared" si="220"/>
        <v>6.323185011709602E-2</v>
      </c>
      <c r="AO472" s="21">
        <v>300</v>
      </c>
      <c r="AP472" s="41">
        <f t="shared" si="202"/>
        <v>0.66079295154185025</v>
      </c>
      <c r="AQ472" s="21">
        <v>281</v>
      </c>
      <c r="AR472" s="41">
        <f t="shared" si="221"/>
        <v>0.65807962529274</v>
      </c>
      <c r="AS472" s="21">
        <v>67</v>
      </c>
      <c r="AT472" s="41">
        <f t="shared" si="203"/>
        <v>0.14757709251101322</v>
      </c>
      <c r="AU472" s="21">
        <v>62</v>
      </c>
      <c r="AV472" s="41">
        <f t="shared" si="222"/>
        <v>0.14519906323185011</v>
      </c>
      <c r="AW472" s="21">
        <v>19</v>
      </c>
      <c r="AX472" s="41">
        <f t="shared" si="204"/>
        <v>4.185022026431718E-2</v>
      </c>
      <c r="AY472" s="21">
        <v>18</v>
      </c>
      <c r="AZ472" s="41">
        <f t="shared" si="223"/>
        <v>4.2154566744730677E-2</v>
      </c>
      <c r="BA472" s="21">
        <v>25</v>
      </c>
      <c r="BB472" s="41">
        <f t="shared" si="205"/>
        <v>5.5066079295154183E-2</v>
      </c>
      <c r="BC472" s="21">
        <v>24</v>
      </c>
      <c r="BD472" s="41">
        <f t="shared" si="224"/>
        <v>5.6206088992974239E-2</v>
      </c>
      <c r="BE472" s="21">
        <v>454</v>
      </c>
      <c r="BF472" s="21">
        <v>427</v>
      </c>
    </row>
    <row r="473" spans="1:58" ht="15.75" customHeight="1" x14ac:dyDescent="0.25">
      <c r="A473" s="44">
        <v>2021</v>
      </c>
      <c r="B473" s="39">
        <v>170830</v>
      </c>
      <c r="C473" s="38" t="s">
        <v>150</v>
      </c>
      <c r="D473" s="38" t="s">
        <v>59</v>
      </c>
      <c r="E473" s="21">
        <v>0</v>
      </c>
      <c r="F473" s="42">
        <f t="shared" si="206"/>
        <v>0</v>
      </c>
      <c r="G473" s="21">
        <v>0</v>
      </c>
      <c r="H473" s="42">
        <f t="shared" si="207"/>
        <v>0</v>
      </c>
      <c r="I473" s="21">
        <v>1</v>
      </c>
      <c r="J473" s="41">
        <f t="shared" si="208"/>
        <v>6.7114093959731542E-3</v>
      </c>
      <c r="K473" s="21">
        <v>1</v>
      </c>
      <c r="L473" s="41">
        <f t="shared" si="209"/>
        <v>7.874015748031496E-3</v>
      </c>
      <c r="M473" s="21">
        <v>134</v>
      </c>
      <c r="N473" s="41">
        <f t="shared" si="210"/>
        <v>0.89932885906040272</v>
      </c>
      <c r="O473" s="21">
        <v>113</v>
      </c>
      <c r="P473" s="41">
        <f t="shared" si="211"/>
        <v>0.88976377952755903</v>
      </c>
      <c r="Q473" s="21">
        <v>14</v>
      </c>
      <c r="R473" s="41">
        <f t="shared" si="212"/>
        <v>9.3959731543624164E-2</v>
      </c>
      <c r="S473" s="21">
        <v>13</v>
      </c>
      <c r="T473" s="41">
        <f t="shared" si="213"/>
        <v>0.10236220472440945</v>
      </c>
      <c r="U473" s="21">
        <v>11</v>
      </c>
      <c r="V473" s="41">
        <f t="shared" si="214"/>
        <v>7.3825503355704702E-2</v>
      </c>
      <c r="W473" s="21">
        <v>7</v>
      </c>
      <c r="X473" s="41">
        <f t="shared" si="215"/>
        <v>5.5118110236220472E-2</v>
      </c>
      <c r="Y473" s="21">
        <v>12</v>
      </c>
      <c r="Z473" s="41">
        <f t="shared" si="216"/>
        <v>8.0536912751677847E-2</v>
      </c>
      <c r="AA473" s="21">
        <v>12</v>
      </c>
      <c r="AB473" s="41">
        <f t="shared" si="217"/>
        <v>9.4488188976377951E-2</v>
      </c>
      <c r="AC473" s="21">
        <v>126</v>
      </c>
      <c r="AD473" s="41">
        <f t="shared" si="199"/>
        <v>0.84563758389261745</v>
      </c>
      <c r="AE473" s="21">
        <v>108</v>
      </c>
      <c r="AF473" s="41">
        <f t="shared" si="218"/>
        <v>0.85039370078740162</v>
      </c>
      <c r="AG473" s="21">
        <v>5</v>
      </c>
      <c r="AH473" s="41">
        <f t="shared" si="200"/>
        <v>3.3557046979865772E-2</v>
      </c>
      <c r="AI473" s="21">
        <v>5</v>
      </c>
      <c r="AJ473" s="41">
        <f t="shared" si="219"/>
        <v>3.937007874015748E-2</v>
      </c>
      <c r="AK473" s="21">
        <v>3</v>
      </c>
      <c r="AL473" s="41">
        <f t="shared" si="201"/>
        <v>2.0134228187919462E-2</v>
      </c>
      <c r="AM473" s="21">
        <v>2</v>
      </c>
      <c r="AN473" s="41">
        <f t="shared" si="220"/>
        <v>1.5748031496062992E-2</v>
      </c>
      <c r="AO473" s="21">
        <v>85</v>
      </c>
      <c r="AP473" s="41">
        <f t="shared" si="202"/>
        <v>0.57046979865771807</v>
      </c>
      <c r="AQ473" s="21">
        <v>75</v>
      </c>
      <c r="AR473" s="41">
        <f t="shared" si="221"/>
        <v>0.59055118110236215</v>
      </c>
      <c r="AS473" s="21">
        <v>36</v>
      </c>
      <c r="AT473" s="41">
        <f t="shared" si="203"/>
        <v>0.24161073825503357</v>
      </c>
      <c r="AU473" s="21">
        <v>29</v>
      </c>
      <c r="AV473" s="41">
        <f t="shared" si="222"/>
        <v>0.2283464566929134</v>
      </c>
      <c r="AW473" s="21">
        <v>7</v>
      </c>
      <c r="AX473" s="41">
        <f t="shared" si="204"/>
        <v>4.6979865771812082E-2</v>
      </c>
      <c r="AY473" s="21">
        <v>6</v>
      </c>
      <c r="AZ473" s="41">
        <f t="shared" si="223"/>
        <v>4.7244094488188976E-2</v>
      </c>
      <c r="BA473" s="21">
        <v>13</v>
      </c>
      <c r="BB473" s="41">
        <f t="shared" si="205"/>
        <v>8.7248322147651006E-2</v>
      </c>
      <c r="BC473" s="21">
        <v>10</v>
      </c>
      <c r="BD473" s="41">
        <f t="shared" si="224"/>
        <v>7.874015748031496E-2</v>
      </c>
      <c r="BE473" s="21">
        <v>149</v>
      </c>
      <c r="BF473" s="21">
        <v>127</v>
      </c>
    </row>
    <row r="474" spans="1:58" ht="15.75" customHeight="1" x14ac:dyDescent="0.25">
      <c r="A474" s="44">
        <v>2021</v>
      </c>
      <c r="B474" s="39">
        <v>170900</v>
      </c>
      <c r="C474" s="38" t="s">
        <v>149</v>
      </c>
      <c r="D474" s="38" t="s">
        <v>60</v>
      </c>
      <c r="E474" s="21">
        <v>7</v>
      </c>
      <c r="F474" s="42">
        <f t="shared" si="206"/>
        <v>1.8181818181818181E-2</v>
      </c>
      <c r="G474" s="21">
        <v>6</v>
      </c>
      <c r="H474" s="42">
        <f t="shared" si="207"/>
        <v>2.2140221402214021E-2</v>
      </c>
      <c r="I474" s="21">
        <v>13</v>
      </c>
      <c r="J474" s="41">
        <f t="shared" si="208"/>
        <v>3.3766233766233764E-2</v>
      </c>
      <c r="K474" s="21">
        <v>10</v>
      </c>
      <c r="L474" s="41">
        <f t="shared" si="209"/>
        <v>3.6900369003690037E-2</v>
      </c>
      <c r="M474" s="21">
        <v>347</v>
      </c>
      <c r="N474" s="41">
        <f t="shared" si="210"/>
        <v>0.90129870129870127</v>
      </c>
      <c r="O474" s="21">
        <v>242</v>
      </c>
      <c r="P474" s="41">
        <f t="shared" si="211"/>
        <v>0.8929889298892989</v>
      </c>
      <c r="Q474" s="21">
        <v>18</v>
      </c>
      <c r="R474" s="41">
        <f t="shared" si="212"/>
        <v>4.6753246753246755E-2</v>
      </c>
      <c r="S474" s="21">
        <v>13</v>
      </c>
      <c r="T474" s="41">
        <f t="shared" si="213"/>
        <v>4.797047970479705E-2</v>
      </c>
      <c r="U474" s="21">
        <v>24</v>
      </c>
      <c r="V474" s="41">
        <f t="shared" si="214"/>
        <v>6.2337662337662338E-2</v>
      </c>
      <c r="W474" s="21">
        <v>13</v>
      </c>
      <c r="X474" s="41">
        <f t="shared" si="215"/>
        <v>4.797047970479705E-2</v>
      </c>
      <c r="Y474" s="21">
        <v>31</v>
      </c>
      <c r="Z474" s="41">
        <f t="shared" si="216"/>
        <v>8.0519480519480519E-2</v>
      </c>
      <c r="AA474" s="21">
        <v>21</v>
      </c>
      <c r="AB474" s="41">
        <f t="shared" si="217"/>
        <v>7.7490774907749083E-2</v>
      </c>
      <c r="AC474" s="21">
        <v>330</v>
      </c>
      <c r="AD474" s="41">
        <f t="shared" si="199"/>
        <v>0.8571428571428571</v>
      </c>
      <c r="AE474" s="21">
        <v>237</v>
      </c>
      <c r="AF474" s="41">
        <f t="shared" si="218"/>
        <v>0.87453874538745391</v>
      </c>
      <c r="AG474" s="21">
        <v>30</v>
      </c>
      <c r="AH474" s="41">
        <f t="shared" si="200"/>
        <v>7.792207792207792E-2</v>
      </c>
      <c r="AI474" s="21">
        <v>26</v>
      </c>
      <c r="AJ474" s="41">
        <f t="shared" si="219"/>
        <v>9.5940959409594101E-2</v>
      </c>
      <c r="AK474" s="21">
        <v>11</v>
      </c>
      <c r="AL474" s="41">
        <f t="shared" si="201"/>
        <v>2.8571428571428571E-2</v>
      </c>
      <c r="AM474" s="21">
        <v>8</v>
      </c>
      <c r="AN474" s="41">
        <f t="shared" si="220"/>
        <v>2.9520295202952029E-2</v>
      </c>
      <c r="AO474" s="21">
        <v>223</v>
      </c>
      <c r="AP474" s="41">
        <f t="shared" si="202"/>
        <v>0.57922077922077919</v>
      </c>
      <c r="AQ474" s="21">
        <v>164</v>
      </c>
      <c r="AR474" s="41">
        <f t="shared" si="221"/>
        <v>0.60516605166051662</v>
      </c>
      <c r="AS474" s="21">
        <v>65</v>
      </c>
      <c r="AT474" s="41">
        <f t="shared" si="203"/>
        <v>0.16883116883116883</v>
      </c>
      <c r="AU474" s="21">
        <v>37</v>
      </c>
      <c r="AV474" s="41">
        <f t="shared" si="222"/>
        <v>0.13653136531365315</v>
      </c>
      <c r="AW474" s="21">
        <v>31</v>
      </c>
      <c r="AX474" s="41">
        <f t="shared" si="204"/>
        <v>8.0519480519480519E-2</v>
      </c>
      <c r="AY474" s="21">
        <v>18</v>
      </c>
      <c r="AZ474" s="41">
        <f t="shared" si="223"/>
        <v>6.6420664206642069E-2</v>
      </c>
      <c r="BA474" s="21">
        <v>25</v>
      </c>
      <c r="BB474" s="41">
        <f t="shared" si="205"/>
        <v>6.4935064935064929E-2</v>
      </c>
      <c r="BC474" s="21">
        <v>18</v>
      </c>
      <c r="BD474" s="41">
        <f t="shared" si="224"/>
        <v>6.6420664206642069E-2</v>
      </c>
      <c r="BE474" s="21">
        <v>385</v>
      </c>
      <c r="BF474" s="21">
        <v>271</v>
      </c>
    </row>
    <row r="475" spans="1:58" ht="15.75" customHeight="1" x14ac:dyDescent="0.25">
      <c r="A475" s="44">
        <v>2021</v>
      </c>
      <c r="B475" s="39">
        <v>170930</v>
      </c>
      <c r="C475" s="38" t="s">
        <v>150</v>
      </c>
      <c r="D475" s="38" t="s">
        <v>61</v>
      </c>
      <c r="E475" s="21">
        <v>2</v>
      </c>
      <c r="F475" s="42">
        <f t="shared" si="206"/>
        <v>4.0241448692152921E-3</v>
      </c>
      <c r="G475" s="21">
        <v>1</v>
      </c>
      <c r="H475" s="42">
        <f t="shared" si="207"/>
        <v>4.048582995951417E-3</v>
      </c>
      <c r="I475" s="21">
        <v>7</v>
      </c>
      <c r="J475" s="41">
        <f t="shared" si="208"/>
        <v>1.4084507042253521E-2</v>
      </c>
      <c r="K475" s="21">
        <v>3</v>
      </c>
      <c r="L475" s="41">
        <f t="shared" si="209"/>
        <v>1.2145748987854251E-2</v>
      </c>
      <c r="M475" s="21">
        <v>451</v>
      </c>
      <c r="N475" s="41">
        <f t="shared" si="210"/>
        <v>0.90744466800804824</v>
      </c>
      <c r="O475" s="21">
        <v>227</v>
      </c>
      <c r="P475" s="41">
        <f t="shared" si="211"/>
        <v>0.91902834008097167</v>
      </c>
      <c r="Q475" s="21">
        <v>37</v>
      </c>
      <c r="R475" s="41">
        <f t="shared" si="212"/>
        <v>7.4446680080482899E-2</v>
      </c>
      <c r="S475" s="21">
        <v>16</v>
      </c>
      <c r="T475" s="41">
        <f t="shared" si="213"/>
        <v>6.4777327935222673E-2</v>
      </c>
      <c r="U475" s="21">
        <v>15</v>
      </c>
      <c r="V475" s="41">
        <f t="shared" si="214"/>
        <v>3.0181086519114688E-2</v>
      </c>
      <c r="W475" s="21">
        <v>10</v>
      </c>
      <c r="X475" s="41">
        <f t="shared" si="215"/>
        <v>4.048582995951417E-2</v>
      </c>
      <c r="Y475" s="21">
        <v>38</v>
      </c>
      <c r="Z475" s="41">
        <f t="shared" si="216"/>
        <v>7.6458752515090544E-2</v>
      </c>
      <c r="AA475" s="21">
        <v>23</v>
      </c>
      <c r="AB475" s="41">
        <f t="shared" si="217"/>
        <v>9.3117408906882596E-2</v>
      </c>
      <c r="AC475" s="21">
        <v>444</v>
      </c>
      <c r="AD475" s="41">
        <f t="shared" si="199"/>
        <v>0.89336016096579474</v>
      </c>
      <c r="AE475" s="21">
        <v>214</v>
      </c>
      <c r="AF475" s="41">
        <f t="shared" si="218"/>
        <v>0.8663967611336032</v>
      </c>
      <c r="AG475" s="21">
        <v>4</v>
      </c>
      <c r="AH475" s="41">
        <f t="shared" si="200"/>
        <v>8.0482897384305842E-3</v>
      </c>
      <c r="AI475" s="21">
        <v>0</v>
      </c>
      <c r="AJ475" s="41">
        <f t="shared" si="219"/>
        <v>0</v>
      </c>
      <c r="AK475" s="21">
        <v>8</v>
      </c>
      <c r="AL475" s="41">
        <f t="shared" si="201"/>
        <v>1.6096579476861168E-2</v>
      </c>
      <c r="AM475" s="21">
        <v>4</v>
      </c>
      <c r="AN475" s="41">
        <f t="shared" si="220"/>
        <v>1.6194331983805668E-2</v>
      </c>
      <c r="AO475" s="21">
        <v>323</v>
      </c>
      <c r="AP475" s="41">
        <f t="shared" si="202"/>
        <v>0.64989939637826966</v>
      </c>
      <c r="AQ475" s="21">
        <v>163</v>
      </c>
      <c r="AR475" s="41">
        <f t="shared" si="221"/>
        <v>0.65991902834008098</v>
      </c>
      <c r="AS475" s="21">
        <v>89</v>
      </c>
      <c r="AT475" s="41">
        <f t="shared" si="203"/>
        <v>0.17907444668008049</v>
      </c>
      <c r="AU475" s="21">
        <v>44</v>
      </c>
      <c r="AV475" s="41">
        <f t="shared" si="222"/>
        <v>0.17813765182186234</v>
      </c>
      <c r="AW475" s="21">
        <v>44</v>
      </c>
      <c r="AX475" s="41">
        <f t="shared" si="204"/>
        <v>8.8531187122736416E-2</v>
      </c>
      <c r="AY475" s="21">
        <v>18</v>
      </c>
      <c r="AZ475" s="41">
        <f t="shared" si="223"/>
        <v>7.28744939271255E-2</v>
      </c>
      <c r="BA475" s="21">
        <v>29</v>
      </c>
      <c r="BB475" s="41">
        <f t="shared" si="205"/>
        <v>5.8350100603621731E-2</v>
      </c>
      <c r="BC475" s="21">
        <v>18</v>
      </c>
      <c r="BD475" s="41">
        <f t="shared" si="224"/>
        <v>7.28744939271255E-2</v>
      </c>
      <c r="BE475" s="21">
        <v>497</v>
      </c>
      <c r="BF475" s="21">
        <v>247</v>
      </c>
    </row>
    <row r="476" spans="1:58" ht="15.75" customHeight="1" x14ac:dyDescent="0.25">
      <c r="A476" s="44">
        <v>2021</v>
      </c>
      <c r="B476" s="39">
        <v>170950</v>
      </c>
      <c r="C476" s="38" t="s">
        <v>146</v>
      </c>
      <c r="D476" s="38" t="s">
        <v>62</v>
      </c>
      <c r="E476" s="21">
        <v>166</v>
      </c>
      <c r="F476" s="42">
        <f t="shared" si="206"/>
        <v>8.7552742616033755E-2</v>
      </c>
      <c r="G476" s="21">
        <v>164</v>
      </c>
      <c r="H476" s="42">
        <f t="shared" si="207"/>
        <v>0.1453900709219858</v>
      </c>
      <c r="I476" s="21">
        <v>288</v>
      </c>
      <c r="J476" s="41">
        <f t="shared" si="208"/>
        <v>0.15189873417721519</v>
      </c>
      <c r="K476" s="21">
        <v>290</v>
      </c>
      <c r="L476" s="41">
        <f t="shared" si="209"/>
        <v>0.25709219858156029</v>
      </c>
      <c r="M476" s="20">
        <v>1345</v>
      </c>
      <c r="N476" s="41">
        <f t="shared" si="210"/>
        <v>0.70938818565400841</v>
      </c>
      <c r="O476" s="21">
        <v>645</v>
      </c>
      <c r="P476" s="41">
        <f t="shared" si="211"/>
        <v>0.57180851063829785</v>
      </c>
      <c r="Q476" s="21">
        <v>97</v>
      </c>
      <c r="R476" s="41">
        <f t="shared" si="212"/>
        <v>5.1160337552742616E-2</v>
      </c>
      <c r="S476" s="21">
        <v>29</v>
      </c>
      <c r="T476" s="41">
        <f t="shared" si="213"/>
        <v>2.5709219858156027E-2</v>
      </c>
      <c r="U476" s="21">
        <v>178</v>
      </c>
      <c r="V476" s="41">
        <f t="shared" si="214"/>
        <v>9.3881856540084394E-2</v>
      </c>
      <c r="W476" s="21">
        <v>170</v>
      </c>
      <c r="X476" s="41">
        <f t="shared" si="215"/>
        <v>0.15070921985815602</v>
      </c>
      <c r="Y476" s="21">
        <v>366</v>
      </c>
      <c r="Z476" s="41">
        <f t="shared" si="216"/>
        <v>0.19303797468354431</v>
      </c>
      <c r="AA476" s="21">
        <v>356</v>
      </c>
      <c r="AB476" s="41">
        <f t="shared" si="217"/>
        <v>0.31560283687943264</v>
      </c>
      <c r="AC476" s="20">
        <v>1352</v>
      </c>
      <c r="AD476" s="41">
        <f t="shared" si="199"/>
        <v>0.71308016877637126</v>
      </c>
      <c r="AE476" s="21">
        <v>602</v>
      </c>
      <c r="AF476" s="41">
        <f t="shared" si="218"/>
        <v>0.53368794326241131</v>
      </c>
      <c r="AG476" s="21">
        <v>209</v>
      </c>
      <c r="AH476" s="41">
        <f t="shared" si="200"/>
        <v>0.11023206751054852</v>
      </c>
      <c r="AI476" s="21">
        <v>198</v>
      </c>
      <c r="AJ476" s="41">
        <f t="shared" si="219"/>
        <v>0.17553191489361702</v>
      </c>
      <c r="AK476" s="21">
        <v>67</v>
      </c>
      <c r="AL476" s="41">
        <f t="shared" si="201"/>
        <v>3.5337552742616032E-2</v>
      </c>
      <c r="AM476" s="21">
        <v>46</v>
      </c>
      <c r="AN476" s="41">
        <f t="shared" si="220"/>
        <v>4.0780141843971635E-2</v>
      </c>
      <c r="AO476" s="20">
        <v>1256</v>
      </c>
      <c r="AP476" s="41">
        <f t="shared" si="202"/>
        <v>0.66244725738396626</v>
      </c>
      <c r="AQ476" s="21">
        <v>781</v>
      </c>
      <c r="AR476" s="41">
        <f t="shared" si="221"/>
        <v>0.69237588652482274</v>
      </c>
      <c r="AS476" s="21">
        <v>210</v>
      </c>
      <c r="AT476" s="41">
        <f t="shared" si="203"/>
        <v>0.11075949367088607</v>
      </c>
      <c r="AU476" s="21">
        <v>51</v>
      </c>
      <c r="AV476" s="41">
        <f t="shared" si="222"/>
        <v>4.5212765957446811E-2</v>
      </c>
      <c r="AW476" s="21">
        <v>86</v>
      </c>
      <c r="AX476" s="41">
        <f t="shared" si="204"/>
        <v>4.5358649789029537E-2</v>
      </c>
      <c r="AY476" s="21">
        <v>24</v>
      </c>
      <c r="AZ476" s="41">
        <f t="shared" si="223"/>
        <v>2.1276595744680851E-2</v>
      </c>
      <c r="BA476" s="21">
        <v>68</v>
      </c>
      <c r="BB476" s="41">
        <f t="shared" si="205"/>
        <v>3.5864978902953586E-2</v>
      </c>
      <c r="BC476" s="21">
        <v>28</v>
      </c>
      <c r="BD476" s="41">
        <f t="shared" si="224"/>
        <v>2.4822695035460994E-2</v>
      </c>
      <c r="BE476" s="20">
        <v>1896</v>
      </c>
      <c r="BF476" s="20">
        <v>1128</v>
      </c>
    </row>
    <row r="477" spans="1:58" ht="15.75" customHeight="1" x14ac:dyDescent="0.25">
      <c r="A477" s="44">
        <v>2021</v>
      </c>
      <c r="B477" s="39">
        <v>170980</v>
      </c>
      <c r="C477" s="38" t="s">
        <v>151</v>
      </c>
      <c r="D477" s="38" t="s">
        <v>63</v>
      </c>
      <c r="E477" s="21">
        <v>1</v>
      </c>
      <c r="F477" s="42">
        <f t="shared" si="206"/>
        <v>1.0101010101010102E-2</v>
      </c>
      <c r="G477" s="21">
        <v>0</v>
      </c>
      <c r="H477" s="42">
        <f t="shared" si="207"/>
        <v>0</v>
      </c>
      <c r="I477" s="21">
        <v>0</v>
      </c>
      <c r="J477" s="41">
        <f t="shared" si="208"/>
        <v>0</v>
      </c>
      <c r="K477" s="21">
        <v>0</v>
      </c>
      <c r="L477" s="41">
        <f t="shared" si="209"/>
        <v>0</v>
      </c>
      <c r="M477" s="21">
        <v>89</v>
      </c>
      <c r="N477" s="41">
        <f t="shared" si="210"/>
        <v>0.89898989898989901</v>
      </c>
      <c r="O477" s="21">
        <v>54</v>
      </c>
      <c r="P477" s="41">
        <f t="shared" si="211"/>
        <v>0.9</v>
      </c>
      <c r="Q477" s="21">
        <v>9</v>
      </c>
      <c r="R477" s="41">
        <f t="shared" si="212"/>
        <v>9.0909090909090912E-2</v>
      </c>
      <c r="S477" s="21">
        <v>6</v>
      </c>
      <c r="T477" s="41">
        <f t="shared" si="213"/>
        <v>0.1</v>
      </c>
      <c r="U477" s="21">
        <v>1</v>
      </c>
      <c r="V477" s="41">
        <f t="shared" si="214"/>
        <v>1.0101010101010102E-2</v>
      </c>
      <c r="W477" s="21">
        <v>4</v>
      </c>
      <c r="X477" s="41">
        <f t="shared" si="215"/>
        <v>6.6666666666666666E-2</v>
      </c>
      <c r="Y477" s="21">
        <v>5</v>
      </c>
      <c r="Z477" s="41">
        <f t="shared" si="216"/>
        <v>5.0505050505050504E-2</v>
      </c>
      <c r="AA477" s="21">
        <v>4</v>
      </c>
      <c r="AB477" s="41">
        <f t="shared" si="217"/>
        <v>6.6666666666666666E-2</v>
      </c>
      <c r="AC477" s="21">
        <v>93</v>
      </c>
      <c r="AD477" s="41">
        <f t="shared" si="199"/>
        <v>0.93939393939393945</v>
      </c>
      <c r="AE477" s="21">
        <v>52</v>
      </c>
      <c r="AF477" s="41">
        <f t="shared" si="218"/>
        <v>0.8666666666666667</v>
      </c>
      <c r="AG477" s="21">
        <v>3</v>
      </c>
      <c r="AH477" s="41">
        <f t="shared" si="200"/>
        <v>3.0303030303030304E-2</v>
      </c>
      <c r="AI477" s="21">
        <v>2</v>
      </c>
      <c r="AJ477" s="41">
        <f t="shared" si="219"/>
        <v>3.3333333333333333E-2</v>
      </c>
      <c r="AK477" s="21">
        <v>3</v>
      </c>
      <c r="AL477" s="41">
        <f t="shared" si="201"/>
        <v>3.0303030303030304E-2</v>
      </c>
      <c r="AM477" s="21">
        <v>2</v>
      </c>
      <c r="AN477" s="41">
        <f t="shared" si="220"/>
        <v>3.3333333333333333E-2</v>
      </c>
      <c r="AO477" s="21">
        <v>67</v>
      </c>
      <c r="AP477" s="41">
        <f t="shared" si="202"/>
        <v>0.6767676767676768</v>
      </c>
      <c r="AQ477" s="21">
        <v>35</v>
      </c>
      <c r="AR477" s="41">
        <f t="shared" si="221"/>
        <v>0.58333333333333337</v>
      </c>
      <c r="AS477" s="21">
        <v>12</v>
      </c>
      <c r="AT477" s="41">
        <f t="shared" si="203"/>
        <v>0.12121212121212122</v>
      </c>
      <c r="AU477" s="21">
        <v>7</v>
      </c>
      <c r="AV477" s="41">
        <f t="shared" si="222"/>
        <v>0.11666666666666667</v>
      </c>
      <c r="AW477" s="21">
        <v>7</v>
      </c>
      <c r="AX477" s="41">
        <f t="shared" si="204"/>
        <v>7.0707070707070704E-2</v>
      </c>
      <c r="AY477" s="21">
        <v>7</v>
      </c>
      <c r="AZ477" s="41">
        <f t="shared" si="223"/>
        <v>0.11666666666666667</v>
      </c>
      <c r="BA477" s="21">
        <v>7</v>
      </c>
      <c r="BB477" s="41">
        <f t="shared" si="205"/>
        <v>7.0707070707070704E-2</v>
      </c>
      <c r="BC477" s="21">
        <v>7</v>
      </c>
      <c r="BD477" s="41">
        <f t="shared" si="224"/>
        <v>0.11666666666666667</v>
      </c>
      <c r="BE477" s="21">
        <v>99</v>
      </c>
      <c r="BF477" s="21">
        <v>60</v>
      </c>
    </row>
    <row r="478" spans="1:58" ht="15.75" customHeight="1" x14ac:dyDescent="0.25">
      <c r="A478" s="44">
        <v>2021</v>
      </c>
      <c r="B478" s="39">
        <v>171050</v>
      </c>
      <c r="C478" s="38" t="s">
        <v>150</v>
      </c>
      <c r="D478" s="38" t="s">
        <v>64</v>
      </c>
      <c r="E478" s="21">
        <v>1</v>
      </c>
      <c r="F478" s="42">
        <f t="shared" si="206"/>
        <v>4.2735042735042739E-3</v>
      </c>
      <c r="G478" s="21">
        <v>1</v>
      </c>
      <c r="H478" s="42">
        <f t="shared" si="207"/>
        <v>4.6948356807511738E-3</v>
      </c>
      <c r="I478" s="21">
        <v>6</v>
      </c>
      <c r="J478" s="41">
        <f t="shared" si="208"/>
        <v>2.564102564102564E-2</v>
      </c>
      <c r="K478" s="21">
        <v>4</v>
      </c>
      <c r="L478" s="41">
        <f t="shared" si="209"/>
        <v>1.8779342723004695E-2</v>
      </c>
      <c r="M478" s="21">
        <v>206</v>
      </c>
      <c r="N478" s="41">
        <f t="shared" si="210"/>
        <v>0.88034188034188032</v>
      </c>
      <c r="O478" s="21">
        <v>189</v>
      </c>
      <c r="P478" s="41">
        <f t="shared" si="211"/>
        <v>0.88732394366197187</v>
      </c>
      <c r="Q478" s="21">
        <v>21</v>
      </c>
      <c r="R478" s="41">
        <f t="shared" si="212"/>
        <v>8.9743589743589744E-2</v>
      </c>
      <c r="S478" s="21">
        <v>19</v>
      </c>
      <c r="T478" s="41">
        <f t="shared" si="213"/>
        <v>8.9201877934272297E-2</v>
      </c>
      <c r="U478" s="21">
        <v>21</v>
      </c>
      <c r="V478" s="41">
        <f t="shared" si="214"/>
        <v>8.9743589743589744E-2</v>
      </c>
      <c r="W478" s="21">
        <v>19</v>
      </c>
      <c r="X478" s="41">
        <f t="shared" si="215"/>
        <v>8.9201877934272297E-2</v>
      </c>
      <c r="Y478" s="21">
        <v>23</v>
      </c>
      <c r="Z478" s="41">
        <f t="shared" si="216"/>
        <v>9.8290598290598288E-2</v>
      </c>
      <c r="AA478" s="21">
        <v>23</v>
      </c>
      <c r="AB478" s="41">
        <f t="shared" si="217"/>
        <v>0.107981220657277</v>
      </c>
      <c r="AC478" s="21">
        <v>190</v>
      </c>
      <c r="AD478" s="41">
        <f t="shared" si="199"/>
        <v>0.81196581196581197</v>
      </c>
      <c r="AE478" s="21">
        <v>171</v>
      </c>
      <c r="AF478" s="41">
        <f t="shared" si="218"/>
        <v>0.80281690140845074</v>
      </c>
      <c r="AG478" s="21">
        <v>3</v>
      </c>
      <c r="AH478" s="41">
        <f t="shared" si="200"/>
        <v>1.282051282051282E-2</v>
      </c>
      <c r="AI478" s="21">
        <v>3</v>
      </c>
      <c r="AJ478" s="41">
        <f t="shared" si="219"/>
        <v>1.4084507042253521E-2</v>
      </c>
      <c r="AK478" s="21">
        <v>8</v>
      </c>
      <c r="AL478" s="41">
        <f t="shared" si="201"/>
        <v>3.4188034188034191E-2</v>
      </c>
      <c r="AM478" s="21">
        <v>5</v>
      </c>
      <c r="AN478" s="41">
        <f t="shared" si="220"/>
        <v>2.3474178403755867E-2</v>
      </c>
      <c r="AO478" s="21">
        <v>128</v>
      </c>
      <c r="AP478" s="41">
        <f t="shared" si="202"/>
        <v>0.54700854700854706</v>
      </c>
      <c r="AQ478" s="21">
        <v>118</v>
      </c>
      <c r="AR478" s="41">
        <f t="shared" si="221"/>
        <v>0.5539906103286385</v>
      </c>
      <c r="AS478" s="21">
        <v>50</v>
      </c>
      <c r="AT478" s="41">
        <f t="shared" si="203"/>
        <v>0.21367521367521367</v>
      </c>
      <c r="AU478" s="21">
        <v>48</v>
      </c>
      <c r="AV478" s="41">
        <f t="shared" si="222"/>
        <v>0.22535211267605634</v>
      </c>
      <c r="AW478" s="21">
        <v>17</v>
      </c>
      <c r="AX478" s="41">
        <f t="shared" si="204"/>
        <v>7.2649572649572655E-2</v>
      </c>
      <c r="AY478" s="21">
        <v>14</v>
      </c>
      <c r="AZ478" s="41">
        <f t="shared" si="223"/>
        <v>6.5727699530516437E-2</v>
      </c>
      <c r="BA478" s="21">
        <v>28</v>
      </c>
      <c r="BB478" s="41">
        <f t="shared" si="205"/>
        <v>0.11965811965811966</v>
      </c>
      <c r="BC478" s="21">
        <v>25</v>
      </c>
      <c r="BD478" s="41">
        <f t="shared" si="224"/>
        <v>0.11737089201877934</v>
      </c>
      <c r="BE478" s="21">
        <v>234</v>
      </c>
      <c r="BF478" s="21">
        <v>213</v>
      </c>
    </row>
    <row r="479" spans="1:58" ht="15.75" customHeight="1" x14ac:dyDescent="0.25">
      <c r="A479" s="44">
        <v>2021</v>
      </c>
      <c r="B479" s="39">
        <v>171070</v>
      </c>
      <c r="C479" s="38" t="s">
        <v>145</v>
      </c>
      <c r="D479" s="38" t="s">
        <v>65</v>
      </c>
      <c r="E479" s="21">
        <v>3</v>
      </c>
      <c r="F479" s="42">
        <f t="shared" si="206"/>
        <v>0.01</v>
      </c>
      <c r="G479" s="21">
        <v>1</v>
      </c>
      <c r="H479" s="42">
        <f t="shared" si="207"/>
        <v>4.4843049327354259E-3</v>
      </c>
      <c r="I479" s="21">
        <v>5</v>
      </c>
      <c r="J479" s="41">
        <f t="shared" si="208"/>
        <v>1.6666666666666666E-2</v>
      </c>
      <c r="K479" s="21">
        <v>6</v>
      </c>
      <c r="L479" s="41">
        <f t="shared" si="209"/>
        <v>2.6905829596412557E-2</v>
      </c>
      <c r="M479" s="21">
        <v>275</v>
      </c>
      <c r="N479" s="41">
        <f t="shared" si="210"/>
        <v>0.91666666666666663</v>
      </c>
      <c r="O479" s="21">
        <v>202</v>
      </c>
      <c r="P479" s="41">
        <f t="shared" si="211"/>
        <v>0.905829596412556</v>
      </c>
      <c r="Q479" s="21">
        <v>17</v>
      </c>
      <c r="R479" s="41">
        <f t="shared" si="212"/>
        <v>5.6666666666666664E-2</v>
      </c>
      <c r="S479" s="21">
        <v>14</v>
      </c>
      <c r="T479" s="41">
        <f t="shared" si="213"/>
        <v>6.2780269058295965E-2</v>
      </c>
      <c r="U479" s="21">
        <v>25</v>
      </c>
      <c r="V479" s="41">
        <f t="shared" si="214"/>
        <v>8.3333333333333329E-2</v>
      </c>
      <c r="W479" s="21">
        <v>22</v>
      </c>
      <c r="X479" s="41">
        <f t="shared" si="215"/>
        <v>9.8654708520179366E-2</v>
      </c>
      <c r="Y479" s="21">
        <v>22</v>
      </c>
      <c r="Z479" s="41">
        <f t="shared" si="216"/>
        <v>7.3333333333333334E-2</v>
      </c>
      <c r="AA479" s="21">
        <v>16</v>
      </c>
      <c r="AB479" s="41">
        <f t="shared" si="217"/>
        <v>7.1748878923766815E-2</v>
      </c>
      <c r="AC479" s="21">
        <v>253</v>
      </c>
      <c r="AD479" s="41">
        <f t="shared" si="199"/>
        <v>0.84333333333333338</v>
      </c>
      <c r="AE479" s="21">
        <v>185</v>
      </c>
      <c r="AF479" s="41">
        <f t="shared" si="218"/>
        <v>0.82959641255605376</v>
      </c>
      <c r="AG479" s="21">
        <v>14</v>
      </c>
      <c r="AH479" s="41">
        <f t="shared" si="200"/>
        <v>4.6666666666666669E-2</v>
      </c>
      <c r="AI479" s="21">
        <v>12</v>
      </c>
      <c r="AJ479" s="41">
        <f t="shared" si="219"/>
        <v>5.3811659192825115E-2</v>
      </c>
      <c r="AK479" s="21">
        <v>14</v>
      </c>
      <c r="AL479" s="41">
        <f t="shared" si="201"/>
        <v>4.6666666666666669E-2</v>
      </c>
      <c r="AM479" s="21">
        <v>17</v>
      </c>
      <c r="AN479" s="41">
        <f t="shared" si="220"/>
        <v>7.623318385650224E-2</v>
      </c>
      <c r="AO479" s="21">
        <v>191</v>
      </c>
      <c r="AP479" s="41">
        <f t="shared" si="202"/>
        <v>0.63666666666666671</v>
      </c>
      <c r="AQ479" s="21">
        <v>132</v>
      </c>
      <c r="AR479" s="41">
        <f t="shared" si="221"/>
        <v>0.59192825112107628</v>
      </c>
      <c r="AS479" s="21">
        <v>37</v>
      </c>
      <c r="AT479" s="41">
        <f t="shared" si="203"/>
        <v>0.12333333333333334</v>
      </c>
      <c r="AU479" s="21">
        <v>25</v>
      </c>
      <c r="AV479" s="41">
        <f t="shared" si="222"/>
        <v>0.11210762331838565</v>
      </c>
      <c r="AW479" s="21">
        <v>19</v>
      </c>
      <c r="AX479" s="41">
        <f t="shared" si="204"/>
        <v>6.3333333333333339E-2</v>
      </c>
      <c r="AY479" s="21">
        <v>17</v>
      </c>
      <c r="AZ479" s="41">
        <f t="shared" si="223"/>
        <v>7.623318385650224E-2</v>
      </c>
      <c r="BA479" s="21">
        <v>25</v>
      </c>
      <c r="BB479" s="41">
        <f t="shared" si="205"/>
        <v>8.3333333333333329E-2</v>
      </c>
      <c r="BC479" s="21">
        <v>20</v>
      </c>
      <c r="BD479" s="41">
        <f t="shared" si="224"/>
        <v>8.9686098654708515E-2</v>
      </c>
      <c r="BE479" s="21">
        <v>300</v>
      </c>
      <c r="BF479" s="21">
        <v>223</v>
      </c>
    </row>
    <row r="480" spans="1:58" ht="15.75" customHeight="1" x14ac:dyDescent="0.25">
      <c r="A480" s="44">
        <v>2021</v>
      </c>
      <c r="B480" s="39">
        <v>171090</v>
      </c>
      <c r="C480" s="38" t="s">
        <v>150</v>
      </c>
      <c r="D480" s="38" t="s">
        <v>66</v>
      </c>
      <c r="E480" s="21">
        <v>0</v>
      </c>
      <c r="F480" s="42">
        <f t="shared" si="206"/>
        <v>0</v>
      </c>
      <c r="G480" s="21">
        <v>0</v>
      </c>
      <c r="H480" s="42">
        <f t="shared" si="207"/>
        <v>0</v>
      </c>
      <c r="I480" s="21">
        <v>4</v>
      </c>
      <c r="J480" s="41">
        <f t="shared" si="208"/>
        <v>2.9629629629629631E-2</v>
      </c>
      <c r="K480" s="21">
        <v>4</v>
      </c>
      <c r="L480" s="41">
        <f t="shared" si="209"/>
        <v>3.1746031746031744E-2</v>
      </c>
      <c r="M480" s="21">
        <v>121</v>
      </c>
      <c r="N480" s="41">
        <f t="shared" si="210"/>
        <v>0.89629629629629626</v>
      </c>
      <c r="O480" s="21">
        <v>113</v>
      </c>
      <c r="P480" s="41">
        <f t="shared" si="211"/>
        <v>0.89682539682539686</v>
      </c>
      <c r="Q480" s="21">
        <v>10</v>
      </c>
      <c r="R480" s="41">
        <f t="shared" si="212"/>
        <v>7.407407407407407E-2</v>
      </c>
      <c r="S480" s="21">
        <v>9</v>
      </c>
      <c r="T480" s="41">
        <f t="shared" si="213"/>
        <v>7.1428571428571425E-2</v>
      </c>
      <c r="U480" s="21">
        <v>12</v>
      </c>
      <c r="V480" s="41">
        <f t="shared" si="214"/>
        <v>8.8888888888888892E-2</v>
      </c>
      <c r="W480" s="21">
        <v>12</v>
      </c>
      <c r="X480" s="41">
        <f t="shared" si="215"/>
        <v>9.5238095238095233E-2</v>
      </c>
      <c r="Y480" s="21">
        <v>17</v>
      </c>
      <c r="Z480" s="41">
        <f t="shared" si="216"/>
        <v>0.12592592592592591</v>
      </c>
      <c r="AA480" s="21">
        <v>16</v>
      </c>
      <c r="AB480" s="41">
        <f t="shared" si="217"/>
        <v>0.12698412698412698</v>
      </c>
      <c r="AC480" s="21">
        <v>106</v>
      </c>
      <c r="AD480" s="41">
        <f t="shared" si="199"/>
        <v>0.78518518518518521</v>
      </c>
      <c r="AE480" s="21">
        <v>98</v>
      </c>
      <c r="AF480" s="41">
        <f t="shared" si="218"/>
        <v>0.77777777777777779</v>
      </c>
      <c r="AG480" s="21">
        <v>1</v>
      </c>
      <c r="AH480" s="41">
        <f t="shared" si="200"/>
        <v>7.4074074074074077E-3</v>
      </c>
      <c r="AI480" s="21">
        <v>1</v>
      </c>
      <c r="AJ480" s="41">
        <f t="shared" si="219"/>
        <v>7.9365079365079361E-3</v>
      </c>
      <c r="AK480" s="21">
        <v>3</v>
      </c>
      <c r="AL480" s="41">
        <f t="shared" si="201"/>
        <v>2.2222222222222223E-2</v>
      </c>
      <c r="AM480" s="21">
        <v>3</v>
      </c>
      <c r="AN480" s="41">
        <f t="shared" si="220"/>
        <v>2.3809523809523808E-2</v>
      </c>
      <c r="AO480" s="21">
        <v>85</v>
      </c>
      <c r="AP480" s="41">
        <f t="shared" si="202"/>
        <v>0.62962962962962965</v>
      </c>
      <c r="AQ480" s="21">
        <v>78</v>
      </c>
      <c r="AR480" s="41">
        <f t="shared" si="221"/>
        <v>0.61904761904761907</v>
      </c>
      <c r="AS480" s="21">
        <v>24</v>
      </c>
      <c r="AT480" s="41">
        <f t="shared" si="203"/>
        <v>0.17777777777777778</v>
      </c>
      <c r="AU480" s="21">
        <v>23</v>
      </c>
      <c r="AV480" s="41">
        <f t="shared" si="222"/>
        <v>0.18253968253968253</v>
      </c>
      <c r="AW480" s="21">
        <v>10</v>
      </c>
      <c r="AX480" s="41">
        <f t="shared" si="204"/>
        <v>7.407407407407407E-2</v>
      </c>
      <c r="AY480" s="21">
        <v>9</v>
      </c>
      <c r="AZ480" s="41">
        <f t="shared" si="223"/>
        <v>7.1428571428571425E-2</v>
      </c>
      <c r="BA480" s="21">
        <v>12</v>
      </c>
      <c r="BB480" s="41">
        <f t="shared" si="205"/>
        <v>8.8888888888888892E-2</v>
      </c>
      <c r="BC480" s="21">
        <v>12</v>
      </c>
      <c r="BD480" s="41">
        <f t="shared" si="224"/>
        <v>9.5238095238095233E-2</v>
      </c>
      <c r="BE480" s="21">
        <v>135</v>
      </c>
      <c r="BF480" s="21">
        <v>126</v>
      </c>
    </row>
    <row r="481" spans="1:58" ht="15.75" customHeight="1" x14ac:dyDescent="0.25">
      <c r="A481" s="44">
        <v>2021</v>
      </c>
      <c r="B481" s="39">
        <v>171110</v>
      </c>
      <c r="C481" s="38" t="s">
        <v>150</v>
      </c>
      <c r="D481" s="38" t="s">
        <v>67</v>
      </c>
      <c r="E481" s="21">
        <v>0</v>
      </c>
      <c r="F481" s="42">
        <f t="shared" si="206"/>
        <v>0</v>
      </c>
      <c r="G481" s="21">
        <v>0</v>
      </c>
      <c r="H481" s="42">
        <f t="shared" si="207"/>
        <v>0</v>
      </c>
      <c r="I481" s="21">
        <v>3</v>
      </c>
      <c r="J481" s="41">
        <f t="shared" si="208"/>
        <v>0.04</v>
      </c>
      <c r="K481" s="21">
        <v>3</v>
      </c>
      <c r="L481" s="41">
        <f t="shared" si="209"/>
        <v>5.7692307692307696E-2</v>
      </c>
      <c r="M481" s="21">
        <v>66</v>
      </c>
      <c r="N481" s="41">
        <f t="shared" si="210"/>
        <v>0.88</v>
      </c>
      <c r="O481" s="21">
        <v>45</v>
      </c>
      <c r="P481" s="41">
        <f t="shared" si="211"/>
        <v>0.86538461538461542</v>
      </c>
      <c r="Q481" s="21">
        <v>6</v>
      </c>
      <c r="R481" s="41">
        <f t="shared" si="212"/>
        <v>0.08</v>
      </c>
      <c r="S481" s="21">
        <v>4</v>
      </c>
      <c r="T481" s="41">
        <f t="shared" si="213"/>
        <v>7.6923076923076927E-2</v>
      </c>
      <c r="U481" s="21">
        <v>2</v>
      </c>
      <c r="V481" s="41">
        <f t="shared" si="214"/>
        <v>2.6666666666666668E-2</v>
      </c>
      <c r="W481" s="21">
        <v>1</v>
      </c>
      <c r="X481" s="41">
        <f t="shared" si="215"/>
        <v>1.9230769230769232E-2</v>
      </c>
      <c r="Y481" s="21">
        <v>3</v>
      </c>
      <c r="Z481" s="41">
        <f t="shared" si="216"/>
        <v>0.04</v>
      </c>
      <c r="AA481" s="21">
        <v>3</v>
      </c>
      <c r="AB481" s="41">
        <f t="shared" si="217"/>
        <v>5.7692307692307696E-2</v>
      </c>
      <c r="AC481" s="21">
        <v>70</v>
      </c>
      <c r="AD481" s="41">
        <f t="shared" si="199"/>
        <v>0.93333333333333335</v>
      </c>
      <c r="AE481" s="21">
        <v>48</v>
      </c>
      <c r="AF481" s="41">
        <f t="shared" si="218"/>
        <v>0.92307692307692313</v>
      </c>
      <c r="AG481" s="21">
        <v>1</v>
      </c>
      <c r="AH481" s="41">
        <f t="shared" si="200"/>
        <v>1.3333333333333334E-2</v>
      </c>
      <c r="AI481" s="21">
        <v>1</v>
      </c>
      <c r="AJ481" s="41">
        <f t="shared" si="219"/>
        <v>1.9230769230769232E-2</v>
      </c>
      <c r="AK481" s="21">
        <v>1</v>
      </c>
      <c r="AL481" s="41">
        <f t="shared" si="201"/>
        <v>1.3333333333333334E-2</v>
      </c>
      <c r="AM481" s="21">
        <v>1</v>
      </c>
      <c r="AN481" s="41">
        <f t="shared" si="220"/>
        <v>1.9230769230769232E-2</v>
      </c>
      <c r="AO481" s="21">
        <v>51</v>
      </c>
      <c r="AP481" s="41">
        <f t="shared" si="202"/>
        <v>0.68</v>
      </c>
      <c r="AQ481" s="21">
        <v>37</v>
      </c>
      <c r="AR481" s="41">
        <f t="shared" si="221"/>
        <v>0.71153846153846156</v>
      </c>
      <c r="AS481" s="21">
        <v>15</v>
      </c>
      <c r="AT481" s="41">
        <f t="shared" si="203"/>
        <v>0.2</v>
      </c>
      <c r="AU481" s="21">
        <v>8</v>
      </c>
      <c r="AV481" s="41">
        <f t="shared" si="222"/>
        <v>0.15384615384615385</v>
      </c>
      <c r="AW481" s="21">
        <v>3</v>
      </c>
      <c r="AX481" s="41">
        <f t="shared" si="204"/>
        <v>0.04</v>
      </c>
      <c r="AY481" s="21">
        <v>2</v>
      </c>
      <c r="AZ481" s="41">
        <f t="shared" si="223"/>
        <v>3.8461538461538464E-2</v>
      </c>
      <c r="BA481" s="21">
        <v>4</v>
      </c>
      <c r="BB481" s="41">
        <f t="shared" si="205"/>
        <v>5.3333333333333337E-2</v>
      </c>
      <c r="BC481" s="21">
        <v>3</v>
      </c>
      <c r="BD481" s="41">
        <f t="shared" si="224"/>
        <v>5.7692307692307696E-2</v>
      </c>
      <c r="BE481" s="21">
        <v>75</v>
      </c>
      <c r="BF481" s="21">
        <v>52</v>
      </c>
    </row>
    <row r="482" spans="1:58" ht="15.75" customHeight="1" x14ac:dyDescent="0.25">
      <c r="A482" s="44">
        <v>2021</v>
      </c>
      <c r="B482" s="39">
        <v>171150</v>
      </c>
      <c r="C482" s="38" t="s">
        <v>146</v>
      </c>
      <c r="D482" s="38" t="s">
        <v>68</v>
      </c>
      <c r="E482" s="21">
        <v>1</v>
      </c>
      <c r="F482" s="42">
        <f t="shared" si="206"/>
        <v>1.098901098901099E-2</v>
      </c>
      <c r="G482" s="21">
        <v>1</v>
      </c>
      <c r="H482" s="42">
        <f t="shared" si="207"/>
        <v>1.2048192771084338E-2</v>
      </c>
      <c r="I482" s="21">
        <v>4</v>
      </c>
      <c r="J482" s="41">
        <f t="shared" si="208"/>
        <v>4.3956043956043959E-2</v>
      </c>
      <c r="K482" s="21">
        <v>4</v>
      </c>
      <c r="L482" s="41">
        <f t="shared" si="209"/>
        <v>4.8192771084337352E-2</v>
      </c>
      <c r="M482" s="21">
        <v>76</v>
      </c>
      <c r="N482" s="41">
        <f t="shared" si="210"/>
        <v>0.8351648351648352</v>
      </c>
      <c r="O482" s="21">
        <v>68</v>
      </c>
      <c r="P482" s="41">
        <f t="shared" si="211"/>
        <v>0.81927710843373491</v>
      </c>
      <c r="Q482" s="21">
        <v>10</v>
      </c>
      <c r="R482" s="41">
        <f t="shared" si="212"/>
        <v>0.10989010989010989</v>
      </c>
      <c r="S482" s="21">
        <v>10</v>
      </c>
      <c r="T482" s="41">
        <f t="shared" si="213"/>
        <v>0.12048192771084337</v>
      </c>
      <c r="U482" s="21">
        <v>10</v>
      </c>
      <c r="V482" s="41">
        <f t="shared" si="214"/>
        <v>0.10989010989010989</v>
      </c>
      <c r="W482" s="21">
        <v>10</v>
      </c>
      <c r="X482" s="41">
        <f t="shared" si="215"/>
        <v>0.12048192771084337</v>
      </c>
      <c r="Y482" s="21">
        <v>7</v>
      </c>
      <c r="Z482" s="41">
        <f t="shared" si="216"/>
        <v>7.6923076923076927E-2</v>
      </c>
      <c r="AA482" s="21">
        <v>5</v>
      </c>
      <c r="AB482" s="41">
        <f t="shared" si="217"/>
        <v>6.0240963855421686E-2</v>
      </c>
      <c r="AC482" s="21">
        <v>74</v>
      </c>
      <c r="AD482" s="41">
        <f t="shared" si="199"/>
        <v>0.81318681318681318</v>
      </c>
      <c r="AE482" s="21">
        <v>68</v>
      </c>
      <c r="AF482" s="41">
        <f t="shared" si="218"/>
        <v>0.81927710843373491</v>
      </c>
      <c r="AG482" s="21">
        <v>4</v>
      </c>
      <c r="AH482" s="41">
        <f t="shared" si="200"/>
        <v>4.3956043956043959E-2</v>
      </c>
      <c r="AI482" s="21">
        <v>3</v>
      </c>
      <c r="AJ482" s="41">
        <f t="shared" si="219"/>
        <v>3.614457831325301E-2</v>
      </c>
      <c r="AK482" s="21">
        <v>4</v>
      </c>
      <c r="AL482" s="41">
        <f t="shared" si="201"/>
        <v>4.3956043956043959E-2</v>
      </c>
      <c r="AM482" s="21">
        <v>5</v>
      </c>
      <c r="AN482" s="41">
        <f t="shared" si="220"/>
        <v>6.0240963855421686E-2</v>
      </c>
      <c r="AO482" s="21">
        <v>47</v>
      </c>
      <c r="AP482" s="41">
        <f t="shared" si="202"/>
        <v>0.51648351648351654</v>
      </c>
      <c r="AQ482" s="21">
        <v>41</v>
      </c>
      <c r="AR482" s="41">
        <f t="shared" si="221"/>
        <v>0.49397590361445781</v>
      </c>
      <c r="AS482" s="21">
        <v>18</v>
      </c>
      <c r="AT482" s="41">
        <f t="shared" si="203"/>
        <v>0.19780219780219779</v>
      </c>
      <c r="AU482" s="21">
        <v>18</v>
      </c>
      <c r="AV482" s="41">
        <f t="shared" si="222"/>
        <v>0.21686746987951808</v>
      </c>
      <c r="AW482" s="21">
        <v>8</v>
      </c>
      <c r="AX482" s="41">
        <f t="shared" si="204"/>
        <v>8.7912087912087919E-2</v>
      </c>
      <c r="AY482" s="21">
        <v>6</v>
      </c>
      <c r="AZ482" s="41">
        <f t="shared" si="223"/>
        <v>7.2289156626506021E-2</v>
      </c>
      <c r="BA482" s="21">
        <v>10</v>
      </c>
      <c r="BB482" s="41">
        <f t="shared" si="205"/>
        <v>0.10989010989010989</v>
      </c>
      <c r="BC482" s="21">
        <v>10</v>
      </c>
      <c r="BD482" s="41">
        <f t="shared" si="224"/>
        <v>0.12048192771084337</v>
      </c>
      <c r="BE482" s="21">
        <v>91</v>
      </c>
      <c r="BF482" s="21">
        <v>83</v>
      </c>
    </row>
    <row r="483" spans="1:58" ht="15.75" customHeight="1" x14ac:dyDescent="0.25">
      <c r="A483" s="44">
        <v>2021</v>
      </c>
      <c r="B483" s="39">
        <v>171180</v>
      </c>
      <c r="C483" s="38" t="s">
        <v>150</v>
      </c>
      <c r="D483" s="38" t="s">
        <v>69</v>
      </c>
      <c r="E483" s="21">
        <v>0</v>
      </c>
      <c r="F483" s="42">
        <f t="shared" si="206"/>
        <v>0</v>
      </c>
      <c r="G483" s="21">
        <v>0</v>
      </c>
      <c r="H483" s="42">
        <f t="shared" si="207"/>
        <v>0</v>
      </c>
      <c r="I483" s="21">
        <v>1</v>
      </c>
      <c r="J483" s="41">
        <f t="shared" si="208"/>
        <v>1.5151515151515152E-2</v>
      </c>
      <c r="K483" s="21">
        <v>0</v>
      </c>
      <c r="L483" s="41">
        <f t="shared" si="209"/>
        <v>0</v>
      </c>
      <c r="M483" s="21">
        <v>61</v>
      </c>
      <c r="N483" s="41">
        <f t="shared" si="210"/>
        <v>0.9242424242424242</v>
      </c>
      <c r="O483" s="21">
        <v>54</v>
      </c>
      <c r="P483" s="41">
        <f t="shared" si="211"/>
        <v>0.94736842105263153</v>
      </c>
      <c r="Q483" s="21">
        <v>4</v>
      </c>
      <c r="R483" s="41">
        <f t="shared" si="212"/>
        <v>6.0606060606060608E-2</v>
      </c>
      <c r="S483" s="21">
        <v>3</v>
      </c>
      <c r="T483" s="41">
        <f t="shared" si="213"/>
        <v>5.2631578947368418E-2</v>
      </c>
      <c r="U483" s="21">
        <v>1</v>
      </c>
      <c r="V483" s="41">
        <f t="shared" si="214"/>
        <v>1.5151515151515152E-2</v>
      </c>
      <c r="W483" s="21">
        <v>1</v>
      </c>
      <c r="X483" s="41">
        <f t="shared" si="215"/>
        <v>1.7543859649122806E-2</v>
      </c>
      <c r="Y483" s="21">
        <v>5</v>
      </c>
      <c r="Z483" s="41">
        <f t="shared" si="216"/>
        <v>7.575757575757576E-2</v>
      </c>
      <c r="AA483" s="21">
        <v>4</v>
      </c>
      <c r="AB483" s="41">
        <f t="shared" si="217"/>
        <v>7.0175438596491224E-2</v>
      </c>
      <c r="AC483" s="21">
        <v>60</v>
      </c>
      <c r="AD483" s="41">
        <f t="shared" si="199"/>
        <v>0.90909090909090906</v>
      </c>
      <c r="AE483" s="21">
        <v>52</v>
      </c>
      <c r="AF483" s="41">
        <f t="shared" si="218"/>
        <v>0.91228070175438591</v>
      </c>
      <c r="AG483" s="21">
        <v>1</v>
      </c>
      <c r="AH483" s="41">
        <f t="shared" si="200"/>
        <v>1.5151515151515152E-2</v>
      </c>
      <c r="AI483" s="21">
        <v>1</v>
      </c>
      <c r="AJ483" s="41">
        <f t="shared" si="219"/>
        <v>1.7543859649122806E-2</v>
      </c>
      <c r="AK483" s="21">
        <v>2</v>
      </c>
      <c r="AL483" s="41">
        <f t="shared" si="201"/>
        <v>3.0303030303030304E-2</v>
      </c>
      <c r="AM483" s="21">
        <v>1</v>
      </c>
      <c r="AN483" s="41">
        <f t="shared" si="220"/>
        <v>1.7543859649122806E-2</v>
      </c>
      <c r="AO483" s="21">
        <v>48</v>
      </c>
      <c r="AP483" s="41">
        <f t="shared" si="202"/>
        <v>0.72727272727272729</v>
      </c>
      <c r="AQ483" s="21">
        <v>42</v>
      </c>
      <c r="AR483" s="41">
        <f t="shared" si="221"/>
        <v>0.73684210526315785</v>
      </c>
      <c r="AS483" s="21">
        <v>6</v>
      </c>
      <c r="AT483" s="41">
        <f t="shared" si="203"/>
        <v>9.0909090909090912E-2</v>
      </c>
      <c r="AU483" s="21">
        <v>5</v>
      </c>
      <c r="AV483" s="41">
        <f t="shared" si="222"/>
        <v>8.771929824561403E-2</v>
      </c>
      <c r="AW483" s="21">
        <v>6</v>
      </c>
      <c r="AX483" s="41">
        <f t="shared" si="204"/>
        <v>9.0909090909090912E-2</v>
      </c>
      <c r="AY483" s="21">
        <v>6</v>
      </c>
      <c r="AZ483" s="41">
        <f t="shared" si="223"/>
        <v>0.10526315789473684</v>
      </c>
      <c r="BA483" s="21">
        <v>3</v>
      </c>
      <c r="BB483" s="41">
        <f t="shared" si="205"/>
        <v>4.5454545454545456E-2</v>
      </c>
      <c r="BC483" s="21">
        <v>2</v>
      </c>
      <c r="BD483" s="41">
        <f t="shared" si="224"/>
        <v>3.5087719298245612E-2</v>
      </c>
      <c r="BE483" s="21">
        <v>66</v>
      </c>
      <c r="BF483" s="21">
        <v>57</v>
      </c>
    </row>
    <row r="484" spans="1:58" ht="15.75" customHeight="1" x14ac:dyDescent="0.25">
      <c r="A484" s="44">
        <v>2021</v>
      </c>
      <c r="B484" s="39">
        <v>171190</v>
      </c>
      <c r="C484" s="38" t="s">
        <v>144</v>
      </c>
      <c r="D484" s="38" t="s">
        <v>70</v>
      </c>
      <c r="E484" s="21">
        <v>7</v>
      </c>
      <c r="F484" s="42">
        <f t="shared" si="206"/>
        <v>1.4893617021276596E-2</v>
      </c>
      <c r="G484" s="21">
        <v>3</v>
      </c>
      <c r="H484" s="42">
        <f t="shared" si="207"/>
        <v>1.0638297872340425E-2</v>
      </c>
      <c r="I484" s="21">
        <v>10</v>
      </c>
      <c r="J484" s="41">
        <f t="shared" si="208"/>
        <v>2.1276595744680851E-2</v>
      </c>
      <c r="K484" s="21">
        <v>7</v>
      </c>
      <c r="L484" s="41">
        <f t="shared" si="209"/>
        <v>2.4822695035460994E-2</v>
      </c>
      <c r="M484" s="21">
        <v>421</v>
      </c>
      <c r="N484" s="41">
        <f t="shared" si="210"/>
        <v>0.89574468085106385</v>
      </c>
      <c r="O484" s="21">
        <v>255</v>
      </c>
      <c r="P484" s="41">
        <f t="shared" si="211"/>
        <v>0.9042553191489362</v>
      </c>
      <c r="Q484" s="21">
        <v>32</v>
      </c>
      <c r="R484" s="41">
        <f t="shared" si="212"/>
        <v>6.8085106382978725E-2</v>
      </c>
      <c r="S484" s="21">
        <v>17</v>
      </c>
      <c r="T484" s="41">
        <f t="shared" si="213"/>
        <v>6.0283687943262408E-2</v>
      </c>
      <c r="U484" s="21">
        <v>19</v>
      </c>
      <c r="V484" s="41">
        <f t="shared" si="214"/>
        <v>4.042553191489362E-2</v>
      </c>
      <c r="W484" s="21">
        <v>15</v>
      </c>
      <c r="X484" s="41">
        <f t="shared" si="215"/>
        <v>5.3191489361702128E-2</v>
      </c>
      <c r="Y484" s="21">
        <v>34</v>
      </c>
      <c r="Z484" s="41">
        <f t="shared" si="216"/>
        <v>7.2340425531914887E-2</v>
      </c>
      <c r="AA484" s="21">
        <v>25</v>
      </c>
      <c r="AB484" s="41">
        <f t="shared" si="217"/>
        <v>8.8652482269503549E-2</v>
      </c>
      <c r="AC484" s="21">
        <v>417</v>
      </c>
      <c r="AD484" s="41">
        <f t="shared" si="199"/>
        <v>0.88723404255319149</v>
      </c>
      <c r="AE484" s="21">
        <v>242</v>
      </c>
      <c r="AF484" s="41">
        <f t="shared" si="218"/>
        <v>0.85815602836879434</v>
      </c>
      <c r="AG484" s="21">
        <v>13</v>
      </c>
      <c r="AH484" s="41">
        <f t="shared" si="200"/>
        <v>2.7659574468085105E-2</v>
      </c>
      <c r="AI484" s="21">
        <v>10</v>
      </c>
      <c r="AJ484" s="41">
        <f t="shared" si="219"/>
        <v>3.5460992907801421E-2</v>
      </c>
      <c r="AK484" s="21">
        <v>23</v>
      </c>
      <c r="AL484" s="41">
        <f t="shared" si="201"/>
        <v>4.8936170212765959E-2</v>
      </c>
      <c r="AM484" s="21">
        <v>11</v>
      </c>
      <c r="AN484" s="41">
        <f t="shared" si="220"/>
        <v>3.9007092198581561E-2</v>
      </c>
      <c r="AO484" s="21">
        <v>292</v>
      </c>
      <c r="AP484" s="41">
        <f t="shared" si="202"/>
        <v>0.62127659574468086</v>
      </c>
      <c r="AQ484" s="21">
        <v>187</v>
      </c>
      <c r="AR484" s="41">
        <f t="shared" si="221"/>
        <v>0.66312056737588654</v>
      </c>
      <c r="AS484" s="21">
        <v>82</v>
      </c>
      <c r="AT484" s="41">
        <f t="shared" si="203"/>
        <v>0.17446808510638298</v>
      </c>
      <c r="AU484" s="21">
        <v>44</v>
      </c>
      <c r="AV484" s="41">
        <f t="shared" si="222"/>
        <v>0.15602836879432624</v>
      </c>
      <c r="AW484" s="21">
        <v>29</v>
      </c>
      <c r="AX484" s="41">
        <f t="shared" si="204"/>
        <v>6.1702127659574467E-2</v>
      </c>
      <c r="AY484" s="21">
        <v>11</v>
      </c>
      <c r="AZ484" s="41">
        <f t="shared" si="223"/>
        <v>3.9007092198581561E-2</v>
      </c>
      <c r="BA484" s="21">
        <v>31</v>
      </c>
      <c r="BB484" s="41">
        <f t="shared" si="205"/>
        <v>6.5957446808510636E-2</v>
      </c>
      <c r="BC484" s="21">
        <v>19</v>
      </c>
      <c r="BD484" s="41">
        <f t="shared" si="224"/>
        <v>6.7375886524822695E-2</v>
      </c>
      <c r="BE484" s="21">
        <v>470</v>
      </c>
      <c r="BF484" s="21">
        <v>282</v>
      </c>
    </row>
    <row r="485" spans="1:58" ht="15.75" customHeight="1" x14ac:dyDescent="0.25">
      <c r="A485" s="44">
        <v>2021</v>
      </c>
      <c r="B485" s="39">
        <v>171195</v>
      </c>
      <c r="C485" s="38" t="s">
        <v>148</v>
      </c>
      <c r="D485" s="38" t="s">
        <v>71</v>
      </c>
      <c r="E485" s="21">
        <v>7</v>
      </c>
      <c r="F485" s="42">
        <f t="shared" si="206"/>
        <v>2.5179856115107913E-2</v>
      </c>
      <c r="G485" s="21">
        <v>5</v>
      </c>
      <c r="H485" s="42">
        <f t="shared" si="207"/>
        <v>3.125E-2</v>
      </c>
      <c r="I485" s="21">
        <v>16</v>
      </c>
      <c r="J485" s="41">
        <f t="shared" si="208"/>
        <v>5.7553956834532377E-2</v>
      </c>
      <c r="K485" s="21">
        <v>13</v>
      </c>
      <c r="L485" s="41">
        <f t="shared" si="209"/>
        <v>8.1250000000000003E-2</v>
      </c>
      <c r="M485" s="21">
        <v>239</v>
      </c>
      <c r="N485" s="41">
        <f t="shared" si="210"/>
        <v>0.85971223021582732</v>
      </c>
      <c r="O485" s="21">
        <v>133</v>
      </c>
      <c r="P485" s="41">
        <f t="shared" si="211"/>
        <v>0.83125000000000004</v>
      </c>
      <c r="Q485" s="21">
        <v>16</v>
      </c>
      <c r="R485" s="41">
        <f t="shared" si="212"/>
        <v>5.7553956834532377E-2</v>
      </c>
      <c r="S485" s="21">
        <v>9</v>
      </c>
      <c r="T485" s="41">
        <f t="shared" si="213"/>
        <v>5.6250000000000001E-2</v>
      </c>
      <c r="U485" s="21">
        <v>14</v>
      </c>
      <c r="V485" s="41">
        <f t="shared" si="214"/>
        <v>5.0359712230215826E-2</v>
      </c>
      <c r="W485" s="21">
        <v>10</v>
      </c>
      <c r="X485" s="41">
        <f t="shared" si="215"/>
        <v>6.25E-2</v>
      </c>
      <c r="Y485" s="21">
        <v>26</v>
      </c>
      <c r="Z485" s="41">
        <f t="shared" si="216"/>
        <v>9.3525179856115109E-2</v>
      </c>
      <c r="AA485" s="21">
        <v>15</v>
      </c>
      <c r="AB485" s="41">
        <f t="shared" si="217"/>
        <v>9.375E-2</v>
      </c>
      <c r="AC485" s="21">
        <v>238</v>
      </c>
      <c r="AD485" s="41">
        <f t="shared" si="199"/>
        <v>0.85611510791366907</v>
      </c>
      <c r="AE485" s="21">
        <v>135</v>
      </c>
      <c r="AF485" s="41">
        <f t="shared" si="218"/>
        <v>0.84375</v>
      </c>
      <c r="AG485" s="21">
        <v>16</v>
      </c>
      <c r="AH485" s="41">
        <f t="shared" si="200"/>
        <v>5.7553956834532377E-2</v>
      </c>
      <c r="AI485" s="21">
        <v>15</v>
      </c>
      <c r="AJ485" s="41">
        <f t="shared" si="219"/>
        <v>9.375E-2</v>
      </c>
      <c r="AK485" s="21">
        <v>12</v>
      </c>
      <c r="AL485" s="41">
        <f t="shared" si="201"/>
        <v>4.3165467625899283E-2</v>
      </c>
      <c r="AM485" s="21">
        <v>7</v>
      </c>
      <c r="AN485" s="41">
        <f t="shared" si="220"/>
        <v>4.3749999999999997E-2</v>
      </c>
      <c r="AO485" s="21">
        <v>189</v>
      </c>
      <c r="AP485" s="41">
        <f t="shared" si="202"/>
        <v>0.67985611510791366</v>
      </c>
      <c r="AQ485" s="21">
        <v>109</v>
      </c>
      <c r="AR485" s="41">
        <f t="shared" si="221"/>
        <v>0.68125000000000002</v>
      </c>
      <c r="AS485" s="21">
        <v>34</v>
      </c>
      <c r="AT485" s="41">
        <f t="shared" si="203"/>
        <v>0.1223021582733813</v>
      </c>
      <c r="AU485" s="21">
        <v>12</v>
      </c>
      <c r="AV485" s="41">
        <f t="shared" si="222"/>
        <v>7.4999999999999997E-2</v>
      </c>
      <c r="AW485" s="21">
        <v>14</v>
      </c>
      <c r="AX485" s="41">
        <f t="shared" si="204"/>
        <v>5.0359712230215826E-2</v>
      </c>
      <c r="AY485" s="21">
        <v>5</v>
      </c>
      <c r="AZ485" s="41">
        <f t="shared" si="223"/>
        <v>3.125E-2</v>
      </c>
      <c r="BA485" s="21">
        <v>13</v>
      </c>
      <c r="BB485" s="41">
        <f t="shared" si="205"/>
        <v>4.6762589928057555E-2</v>
      </c>
      <c r="BC485" s="21">
        <v>12</v>
      </c>
      <c r="BD485" s="41">
        <f t="shared" si="224"/>
        <v>7.4999999999999997E-2</v>
      </c>
      <c r="BE485" s="21">
        <v>278</v>
      </c>
      <c r="BF485" s="21">
        <v>160</v>
      </c>
    </row>
    <row r="486" spans="1:58" ht="15.75" customHeight="1" x14ac:dyDescent="0.25">
      <c r="A486" s="44">
        <v>2021</v>
      </c>
      <c r="B486" s="39">
        <v>171200</v>
      </c>
      <c r="C486" s="38" t="s">
        <v>148</v>
      </c>
      <c r="D486" s="38" t="s">
        <v>72</v>
      </c>
      <c r="E486" s="21">
        <v>4</v>
      </c>
      <c r="F486" s="42">
        <f t="shared" si="206"/>
        <v>4.7619047619047616E-2</v>
      </c>
      <c r="G486" s="21">
        <v>2</v>
      </c>
      <c r="H486" s="42">
        <f t="shared" si="207"/>
        <v>3.5714285714285712E-2</v>
      </c>
      <c r="I486" s="21">
        <v>5</v>
      </c>
      <c r="J486" s="41">
        <f t="shared" si="208"/>
        <v>5.9523809523809521E-2</v>
      </c>
      <c r="K486" s="21">
        <v>5</v>
      </c>
      <c r="L486" s="41">
        <f t="shared" si="209"/>
        <v>8.9285714285714288E-2</v>
      </c>
      <c r="M486" s="21">
        <v>69</v>
      </c>
      <c r="N486" s="41">
        <f t="shared" si="210"/>
        <v>0.8214285714285714</v>
      </c>
      <c r="O486" s="21">
        <v>45</v>
      </c>
      <c r="P486" s="41">
        <f t="shared" si="211"/>
        <v>0.8035714285714286</v>
      </c>
      <c r="Q486" s="21">
        <v>6</v>
      </c>
      <c r="R486" s="41">
        <f t="shared" si="212"/>
        <v>7.1428571428571425E-2</v>
      </c>
      <c r="S486" s="21">
        <v>4</v>
      </c>
      <c r="T486" s="41">
        <f t="shared" si="213"/>
        <v>7.1428571428571425E-2</v>
      </c>
      <c r="U486" s="21">
        <v>4</v>
      </c>
      <c r="V486" s="41">
        <f t="shared" si="214"/>
        <v>4.7619047619047616E-2</v>
      </c>
      <c r="W486" s="21">
        <v>3</v>
      </c>
      <c r="X486" s="41">
        <f t="shared" si="215"/>
        <v>5.3571428571428568E-2</v>
      </c>
      <c r="Y486" s="21">
        <v>8</v>
      </c>
      <c r="Z486" s="41">
        <f t="shared" si="216"/>
        <v>9.5238095238095233E-2</v>
      </c>
      <c r="AA486" s="21">
        <v>7</v>
      </c>
      <c r="AB486" s="41">
        <f t="shared" si="217"/>
        <v>0.125</v>
      </c>
      <c r="AC486" s="21">
        <v>72</v>
      </c>
      <c r="AD486" s="41">
        <f t="shared" si="199"/>
        <v>0.8571428571428571</v>
      </c>
      <c r="AE486" s="21">
        <v>46</v>
      </c>
      <c r="AF486" s="41">
        <f t="shared" si="218"/>
        <v>0.8214285714285714</v>
      </c>
      <c r="AG486" s="21">
        <v>4</v>
      </c>
      <c r="AH486" s="41">
        <f t="shared" si="200"/>
        <v>4.7619047619047616E-2</v>
      </c>
      <c r="AI486" s="21">
        <v>4</v>
      </c>
      <c r="AJ486" s="41">
        <f t="shared" si="219"/>
        <v>7.1428571428571425E-2</v>
      </c>
      <c r="AK486" s="21">
        <v>2</v>
      </c>
      <c r="AL486" s="41">
        <f t="shared" si="201"/>
        <v>2.3809523809523808E-2</v>
      </c>
      <c r="AM486" s="21">
        <v>1</v>
      </c>
      <c r="AN486" s="41">
        <f t="shared" si="220"/>
        <v>1.7857142857142856E-2</v>
      </c>
      <c r="AO486" s="21">
        <v>44</v>
      </c>
      <c r="AP486" s="41">
        <f t="shared" si="202"/>
        <v>0.52380952380952384</v>
      </c>
      <c r="AQ486" s="21">
        <v>29</v>
      </c>
      <c r="AR486" s="41">
        <f t="shared" si="221"/>
        <v>0.5178571428571429</v>
      </c>
      <c r="AS486" s="21">
        <v>21</v>
      </c>
      <c r="AT486" s="41">
        <f t="shared" si="203"/>
        <v>0.25</v>
      </c>
      <c r="AU486" s="21">
        <v>12</v>
      </c>
      <c r="AV486" s="41">
        <f t="shared" si="222"/>
        <v>0.21428571428571427</v>
      </c>
      <c r="AW486" s="21">
        <v>12</v>
      </c>
      <c r="AX486" s="41">
        <f t="shared" si="204"/>
        <v>0.14285714285714285</v>
      </c>
      <c r="AY486" s="21">
        <v>9</v>
      </c>
      <c r="AZ486" s="41">
        <f t="shared" si="223"/>
        <v>0.16071428571428573</v>
      </c>
      <c r="BA486" s="21">
        <v>1</v>
      </c>
      <c r="BB486" s="41">
        <f t="shared" si="205"/>
        <v>1.1904761904761904E-2</v>
      </c>
      <c r="BC486" s="21">
        <v>1</v>
      </c>
      <c r="BD486" s="41">
        <f t="shared" si="224"/>
        <v>1.7857142857142856E-2</v>
      </c>
      <c r="BE486" s="21">
        <v>84</v>
      </c>
      <c r="BF486" s="21">
        <v>56</v>
      </c>
    </row>
    <row r="487" spans="1:58" ht="15.75" customHeight="1" x14ac:dyDescent="0.25">
      <c r="A487" s="44">
        <v>2021</v>
      </c>
      <c r="B487" s="39">
        <v>171215</v>
      </c>
      <c r="C487" s="38" t="s">
        <v>147</v>
      </c>
      <c r="D487" s="38" t="s">
        <v>73</v>
      </c>
      <c r="E487" s="21">
        <v>1</v>
      </c>
      <c r="F487" s="42">
        <f t="shared" si="206"/>
        <v>1.0526315789473684E-2</v>
      </c>
      <c r="G487" s="21">
        <v>0</v>
      </c>
      <c r="H487" s="42">
        <f t="shared" si="207"/>
        <v>0</v>
      </c>
      <c r="I487" s="21">
        <v>3</v>
      </c>
      <c r="J487" s="41">
        <f t="shared" si="208"/>
        <v>3.1578947368421054E-2</v>
      </c>
      <c r="K487" s="21">
        <v>2</v>
      </c>
      <c r="L487" s="41">
        <f t="shared" si="209"/>
        <v>3.8461538461538464E-2</v>
      </c>
      <c r="M487" s="21">
        <v>82</v>
      </c>
      <c r="N487" s="41">
        <f t="shared" si="210"/>
        <v>0.86315789473684212</v>
      </c>
      <c r="O487" s="21">
        <v>48</v>
      </c>
      <c r="P487" s="41">
        <f t="shared" si="211"/>
        <v>0.92307692307692313</v>
      </c>
      <c r="Q487" s="21">
        <v>9</v>
      </c>
      <c r="R487" s="41">
        <f t="shared" si="212"/>
        <v>9.4736842105263161E-2</v>
      </c>
      <c r="S487" s="21">
        <v>2</v>
      </c>
      <c r="T487" s="41">
        <f t="shared" si="213"/>
        <v>3.8461538461538464E-2</v>
      </c>
      <c r="U487" s="21">
        <v>2</v>
      </c>
      <c r="V487" s="41">
        <f t="shared" si="214"/>
        <v>2.1052631578947368E-2</v>
      </c>
      <c r="W487" s="21">
        <v>1</v>
      </c>
      <c r="X487" s="41">
        <f t="shared" si="215"/>
        <v>1.9230769230769232E-2</v>
      </c>
      <c r="Y487" s="21">
        <v>6</v>
      </c>
      <c r="Z487" s="41">
        <f t="shared" si="216"/>
        <v>6.3157894736842107E-2</v>
      </c>
      <c r="AA487" s="21">
        <v>5</v>
      </c>
      <c r="AB487" s="41">
        <f t="shared" si="217"/>
        <v>9.6153846153846159E-2</v>
      </c>
      <c r="AC487" s="21">
        <v>87</v>
      </c>
      <c r="AD487" s="41">
        <f t="shared" si="199"/>
        <v>0.91578947368421049</v>
      </c>
      <c r="AE487" s="21">
        <v>46</v>
      </c>
      <c r="AF487" s="41">
        <f t="shared" si="218"/>
        <v>0.88461538461538458</v>
      </c>
      <c r="AG487" s="21">
        <v>7</v>
      </c>
      <c r="AH487" s="41">
        <f t="shared" si="200"/>
        <v>7.3684210526315783E-2</v>
      </c>
      <c r="AI487" s="21">
        <v>3</v>
      </c>
      <c r="AJ487" s="41">
        <f t="shared" si="219"/>
        <v>5.7692307692307696E-2</v>
      </c>
      <c r="AK487" s="21">
        <v>2</v>
      </c>
      <c r="AL487" s="41">
        <f t="shared" si="201"/>
        <v>2.1052631578947368E-2</v>
      </c>
      <c r="AM487" s="21">
        <v>2</v>
      </c>
      <c r="AN487" s="41">
        <f t="shared" si="220"/>
        <v>3.8461538461538464E-2</v>
      </c>
      <c r="AO487" s="21">
        <v>54</v>
      </c>
      <c r="AP487" s="41">
        <f t="shared" si="202"/>
        <v>0.56842105263157894</v>
      </c>
      <c r="AQ487" s="21">
        <v>29</v>
      </c>
      <c r="AR487" s="41">
        <f t="shared" si="221"/>
        <v>0.55769230769230771</v>
      </c>
      <c r="AS487" s="21">
        <v>20</v>
      </c>
      <c r="AT487" s="41">
        <f t="shared" si="203"/>
        <v>0.21052631578947367</v>
      </c>
      <c r="AU487" s="21">
        <v>15</v>
      </c>
      <c r="AV487" s="41">
        <f t="shared" si="222"/>
        <v>0.28846153846153844</v>
      </c>
      <c r="AW487" s="21">
        <v>10</v>
      </c>
      <c r="AX487" s="41">
        <f t="shared" si="204"/>
        <v>0.10526315789473684</v>
      </c>
      <c r="AY487" s="21">
        <v>3</v>
      </c>
      <c r="AZ487" s="41">
        <f t="shared" si="223"/>
        <v>5.7692307692307696E-2</v>
      </c>
      <c r="BA487" s="21">
        <v>2</v>
      </c>
      <c r="BB487" s="41">
        <f t="shared" si="205"/>
        <v>2.1052631578947368E-2</v>
      </c>
      <c r="BC487" s="21">
        <v>0</v>
      </c>
      <c r="BD487" s="41">
        <f t="shared" si="224"/>
        <v>0</v>
      </c>
      <c r="BE487" s="21">
        <v>95</v>
      </c>
      <c r="BF487" s="21">
        <v>52</v>
      </c>
    </row>
    <row r="488" spans="1:58" ht="15.75" customHeight="1" x14ac:dyDescent="0.25">
      <c r="A488" s="44">
        <v>2021</v>
      </c>
      <c r="B488" s="39">
        <v>171240</v>
      </c>
      <c r="C488" s="38" t="s">
        <v>148</v>
      </c>
      <c r="D488" s="38" t="s">
        <v>74</v>
      </c>
      <c r="E488" s="21">
        <v>0</v>
      </c>
      <c r="F488" s="42">
        <f t="shared" si="206"/>
        <v>0</v>
      </c>
      <c r="G488" s="21">
        <v>0</v>
      </c>
      <c r="H488" s="42">
        <f t="shared" si="207"/>
        <v>0</v>
      </c>
      <c r="I488" s="21">
        <v>1</v>
      </c>
      <c r="J488" s="41">
        <f t="shared" si="208"/>
        <v>0.04</v>
      </c>
      <c r="K488" s="21">
        <v>1</v>
      </c>
      <c r="L488" s="41">
        <f t="shared" si="209"/>
        <v>4.1666666666666664E-2</v>
      </c>
      <c r="M488" s="21">
        <v>21</v>
      </c>
      <c r="N488" s="41">
        <f t="shared" si="210"/>
        <v>0.84</v>
      </c>
      <c r="O488" s="21">
        <v>21</v>
      </c>
      <c r="P488" s="41">
        <f t="shared" si="211"/>
        <v>0.875</v>
      </c>
      <c r="Q488" s="21">
        <v>3</v>
      </c>
      <c r="R488" s="41">
        <f t="shared" si="212"/>
        <v>0.12</v>
      </c>
      <c r="S488" s="21">
        <v>2</v>
      </c>
      <c r="T488" s="41">
        <f t="shared" si="213"/>
        <v>8.3333333333333329E-2</v>
      </c>
      <c r="U488" s="21">
        <v>2</v>
      </c>
      <c r="V488" s="41">
        <f t="shared" si="214"/>
        <v>0.08</v>
      </c>
      <c r="W488" s="21">
        <v>2</v>
      </c>
      <c r="X488" s="41">
        <f t="shared" si="215"/>
        <v>8.3333333333333329E-2</v>
      </c>
      <c r="Y488" s="21">
        <v>4</v>
      </c>
      <c r="Z488" s="41">
        <f t="shared" si="216"/>
        <v>0.16</v>
      </c>
      <c r="AA488" s="21">
        <v>4</v>
      </c>
      <c r="AB488" s="41">
        <f t="shared" si="217"/>
        <v>0.16666666666666666</v>
      </c>
      <c r="AC488" s="21">
        <v>19</v>
      </c>
      <c r="AD488" s="41">
        <f t="shared" si="199"/>
        <v>0.76</v>
      </c>
      <c r="AE488" s="21">
        <v>18</v>
      </c>
      <c r="AF488" s="41">
        <f t="shared" si="218"/>
        <v>0.75</v>
      </c>
      <c r="AG488" s="21">
        <v>1</v>
      </c>
      <c r="AH488" s="41">
        <f t="shared" si="200"/>
        <v>0.04</v>
      </c>
      <c r="AI488" s="21">
        <v>1</v>
      </c>
      <c r="AJ488" s="41">
        <f t="shared" si="219"/>
        <v>4.1666666666666664E-2</v>
      </c>
      <c r="AK488" s="21">
        <v>0</v>
      </c>
      <c r="AL488" s="41">
        <f t="shared" si="201"/>
        <v>0</v>
      </c>
      <c r="AM488" s="21">
        <v>0</v>
      </c>
      <c r="AN488" s="41">
        <f t="shared" si="220"/>
        <v>0</v>
      </c>
      <c r="AO488" s="21">
        <v>15</v>
      </c>
      <c r="AP488" s="41">
        <f t="shared" si="202"/>
        <v>0.6</v>
      </c>
      <c r="AQ488" s="21">
        <v>15</v>
      </c>
      <c r="AR488" s="41">
        <f t="shared" si="221"/>
        <v>0.625</v>
      </c>
      <c r="AS488" s="21">
        <v>4</v>
      </c>
      <c r="AT488" s="41">
        <f t="shared" si="203"/>
        <v>0.16</v>
      </c>
      <c r="AU488" s="21">
        <v>4</v>
      </c>
      <c r="AV488" s="41">
        <f t="shared" si="222"/>
        <v>0.16666666666666666</v>
      </c>
      <c r="AW488" s="21">
        <v>2</v>
      </c>
      <c r="AX488" s="41">
        <f t="shared" si="204"/>
        <v>0.08</v>
      </c>
      <c r="AY488" s="21">
        <v>2</v>
      </c>
      <c r="AZ488" s="41">
        <f t="shared" si="223"/>
        <v>8.3333333333333329E-2</v>
      </c>
      <c r="BA488" s="21">
        <v>3</v>
      </c>
      <c r="BB488" s="41">
        <f t="shared" si="205"/>
        <v>0.12</v>
      </c>
      <c r="BC488" s="21">
        <v>2</v>
      </c>
      <c r="BD488" s="41">
        <f t="shared" si="224"/>
        <v>8.3333333333333329E-2</v>
      </c>
      <c r="BE488" s="21">
        <v>25</v>
      </c>
      <c r="BF488" s="21">
        <v>24</v>
      </c>
    </row>
    <row r="489" spans="1:58" ht="15.75" customHeight="1" x14ac:dyDescent="0.25">
      <c r="A489" s="44">
        <v>2021</v>
      </c>
      <c r="B489" s="39">
        <v>171245</v>
      </c>
      <c r="C489" s="38" t="s">
        <v>145</v>
      </c>
      <c r="D489" s="38" t="s">
        <v>75</v>
      </c>
      <c r="E489" s="21">
        <v>2</v>
      </c>
      <c r="F489" s="42">
        <f t="shared" si="206"/>
        <v>1.1764705882352941E-2</v>
      </c>
      <c r="G489" s="21">
        <v>0</v>
      </c>
      <c r="H489" s="42">
        <f t="shared" si="207"/>
        <v>0</v>
      </c>
      <c r="I489" s="21">
        <v>6</v>
      </c>
      <c r="J489" s="41">
        <f t="shared" si="208"/>
        <v>3.5294117647058823E-2</v>
      </c>
      <c r="K489" s="21">
        <v>5</v>
      </c>
      <c r="L489" s="41">
        <f t="shared" si="209"/>
        <v>5.3191489361702128E-2</v>
      </c>
      <c r="M489" s="21">
        <v>154</v>
      </c>
      <c r="N489" s="41">
        <f t="shared" si="210"/>
        <v>0.90588235294117647</v>
      </c>
      <c r="O489" s="21">
        <v>87</v>
      </c>
      <c r="P489" s="41">
        <f t="shared" si="211"/>
        <v>0.92553191489361697</v>
      </c>
      <c r="Q489" s="21">
        <v>8</v>
      </c>
      <c r="R489" s="41">
        <f t="shared" si="212"/>
        <v>4.7058823529411764E-2</v>
      </c>
      <c r="S489" s="21">
        <v>2</v>
      </c>
      <c r="T489" s="41">
        <f t="shared" si="213"/>
        <v>2.1276595744680851E-2</v>
      </c>
      <c r="U489" s="21">
        <v>10</v>
      </c>
      <c r="V489" s="41">
        <f t="shared" si="214"/>
        <v>5.8823529411764705E-2</v>
      </c>
      <c r="W489" s="21">
        <v>7</v>
      </c>
      <c r="X489" s="41">
        <f t="shared" si="215"/>
        <v>7.4468085106382975E-2</v>
      </c>
      <c r="Y489" s="21">
        <v>21</v>
      </c>
      <c r="Z489" s="41">
        <f t="shared" si="216"/>
        <v>0.12352941176470589</v>
      </c>
      <c r="AA489" s="21">
        <v>11</v>
      </c>
      <c r="AB489" s="41">
        <f t="shared" si="217"/>
        <v>0.11702127659574468</v>
      </c>
      <c r="AC489" s="21">
        <v>139</v>
      </c>
      <c r="AD489" s="41">
        <f t="shared" si="199"/>
        <v>0.81764705882352939</v>
      </c>
      <c r="AE489" s="21">
        <v>76</v>
      </c>
      <c r="AF489" s="41">
        <f t="shared" si="218"/>
        <v>0.80851063829787229</v>
      </c>
      <c r="AG489" s="21">
        <v>3</v>
      </c>
      <c r="AH489" s="41">
        <f t="shared" si="200"/>
        <v>1.7647058823529412E-2</v>
      </c>
      <c r="AI489" s="21">
        <v>2</v>
      </c>
      <c r="AJ489" s="41">
        <f t="shared" si="219"/>
        <v>2.1276595744680851E-2</v>
      </c>
      <c r="AK489" s="21">
        <v>3</v>
      </c>
      <c r="AL489" s="41">
        <f t="shared" si="201"/>
        <v>1.7647058823529412E-2</v>
      </c>
      <c r="AM489" s="21">
        <v>3</v>
      </c>
      <c r="AN489" s="41">
        <f t="shared" si="220"/>
        <v>3.1914893617021274E-2</v>
      </c>
      <c r="AO489" s="21">
        <v>102</v>
      </c>
      <c r="AP489" s="41">
        <f t="shared" si="202"/>
        <v>0.6</v>
      </c>
      <c r="AQ489" s="21">
        <v>61</v>
      </c>
      <c r="AR489" s="41">
        <f t="shared" si="221"/>
        <v>0.64893617021276595</v>
      </c>
      <c r="AS489" s="21">
        <v>42</v>
      </c>
      <c r="AT489" s="41">
        <f t="shared" si="203"/>
        <v>0.24705882352941178</v>
      </c>
      <c r="AU489" s="21">
        <v>20</v>
      </c>
      <c r="AV489" s="41">
        <f t="shared" si="222"/>
        <v>0.21276595744680851</v>
      </c>
      <c r="AW489" s="21">
        <v>9</v>
      </c>
      <c r="AX489" s="41">
        <f t="shared" si="204"/>
        <v>5.2941176470588235E-2</v>
      </c>
      <c r="AY489" s="21">
        <v>1</v>
      </c>
      <c r="AZ489" s="41">
        <f t="shared" si="223"/>
        <v>1.0638297872340425E-2</v>
      </c>
      <c r="BA489" s="21">
        <v>11</v>
      </c>
      <c r="BB489" s="41">
        <f t="shared" si="205"/>
        <v>6.4705882352941183E-2</v>
      </c>
      <c r="BC489" s="21">
        <v>7</v>
      </c>
      <c r="BD489" s="41">
        <f t="shared" si="224"/>
        <v>7.4468085106382975E-2</v>
      </c>
      <c r="BE489" s="21">
        <v>170</v>
      </c>
      <c r="BF489" s="21">
        <v>94</v>
      </c>
    </row>
    <row r="490" spans="1:58" ht="15.75" customHeight="1" x14ac:dyDescent="0.25">
      <c r="A490" s="44">
        <v>2021</v>
      </c>
      <c r="B490" s="39">
        <v>171250</v>
      </c>
      <c r="C490" s="38" t="s">
        <v>144</v>
      </c>
      <c r="D490" s="38" t="s">
        <v>76</v>
      </c>
      <c r="E490" s="21">
        <v>0</v>
      </c>
      <c r="F490" s="42">
        <f t="shared" si="206"/>
        <v>0</v>
      </c>
      <c r="G490" s="21">
        <v>0</v>
      </c>
      <c r="H490" s="42">
        <f t="shared" si="207"/>
        <v>0</v>
      </c>
      <c r="I490" s="21">
        <v>5</v>
      </c>
      <c r="J490" s="41">
        <f t="shared" si="208"/>
        <v>3.5211267605633804E-2</v>
      </c>
      <c r="K490" s="21">
        <v>5</v>
      </c>
      <c r="L490" s="41">
        <f t="shared" si="209"/>
        <v>4.716981132075472E-2</v>
      </c>
      <c r="M490" s="21">
        <v>122</v>
      </c>
      <c r="N490" s="41">
        <f t="shared" si="210"/>
        <v>0.85915492957746475</v>
      </c>
      <c r="O490" s="21">
        <v>91</v>
      </c>
      <c r="P490" s="41">
        <f t="shared" si="211"/>
        <v>0.85849056603773588</v>
      </c>
      <c r="Q490" s="21">
        <v>15</v>
      </c>
      <c r="R490" s="41">
        <f t="shared" si="212"/>
        <v>0.10563380281690141</v>
      </c>
      <c r="S490" s="21">
        <v>10</v>
      </c>
      <c r="T490" s="41">
        <f t="shared" si="213"/>
        <v>9.4339622641509441E-2</v>
      </c>
      <c r="U490" s="21">
        <v>3</v>
      </c>
      <c r="V490" s="41">
        <f t="shared" si="214"/>
        <v>2.1126760563380281E-2</v>
      </c>
      <c r="W490" s="21">
        <v>3</v>
      </c>
      <c r="X490" s="41">
        <f t="shared" si="215"/>
        <v>2.8301886792452831E-2</v>
      </c>
      <c r="Y490" s="21">
        <v>9</v>
      </c>
      <c r="Z490" s="41">
        <f t="shared" si="216"/>
        <v>6.3380281690140844E-2</v>
      </c>
      <c r="AA490" s="21">
        <v>8</v>
      </c>
      <c r="AB490" s="41">
        <f t="shared" si="217"/>
        <v>7.5471698113207544E-2</v>
      </c>
      <c r="AC490" s="21">
        <v>130</v>
      </c>
      <c r="AD490" s="41">
        <f t="shared" si="199"/>
        <v>0.91549295774647887</v>
      </c>
      <c r="AE490" s="21">
        <v>95</v>
      </c>
      <c r="AF490" s="41">
        <f t="shared" si="218"/>
        <v>0.89622641509433965</v>
      </c>
      <c r="AG490" s="21">
        <v>7</v>
      </c>
      <c r="AH490" s="41">
        <f t="shared" si="200"/>
        <v>4.9295774647887321E-2</v>
      </c>
      <c r="AI490" s="21">
        <v>5</v>
      </c>
      <c r="AJ490" s="41">
        <f t="shared" si="219"/>
        <v>4.716981132075472E-2</v>
      </c>
      <c r="AK490" s="21">
        <v>4</v>
      </c>
      <c r="AL490" s="41">
        <f t="shared" si="201"/>
        <v>2.8169014084507043E-2</v>
      </c>
      <c r="AM490" s="21">
        <v>3</v>
      </c>
      <c r="AN490" s="41">
        <f t="shared" si="220"/>
        <v>2.8301886792452831E-2</v>
      </c>
      <c r="AO490" s="21">
        <v>89</v>
      </c>
      <c r="AP490" s="41">
        <f t="shared" si="202"/>
        <v>0.62676056338028174</v>
      </c>
      <c r="AQ490" s="21">
        <v>61</v>
      </c>
      <c r="AR490" s="41">
        <f t="shared" si="221"/>
        <v>0.57547169811320753</v>
      </c>
      <c r="AS490" s="21">
        <v>19</v>
      </c>
      <c r="AT490" s="41">
        <f t="shared" si="203"/>
        <v>0.13380281690140844</v>
      </c>
      <c r="AU490" s="21">
        <v>16</v>
      </c>
      <c r="AV490" s="41">
        <f t="shared" si="222"/>
        <v>0.15094339622641509</v>
      </c>
      <c r="AW490" s="21">
        <v>12</v>
      </c>
      <c r="AX490" s="41">
        <f t="shared" si="204"/>
        <v>8.4507042253521125E-2</v>
      </c>
      <c r="AY490" s="21">
        <v>12</v>
      </c>
      <c r="AZ490" s="41">
        <f t="shared" si="223"/>
        <v>0.11320754716981132</v>
      </c>
      <c r="BA490" s="21">
        <v>11</v>
      </c>
      <c r="BB490" s="41">
        <f t="shared" si="205"/>
        <v>7.746478873239436E-2</v>
      </c>
      <c r="BC490" s="21">
        <v>9</v>
      </c>
      <c r="BD490" s="41">
        <f t="shared" si="224"/>
        <v>8.4905660377358486E-2</v>
      </c>
      <c r="BE490" s="21">
        <v>142</v>
      </c>
      <c r="BF490" s="21">
        <v>106</v>
      </c>
    </row>
    <row r="491" spans="1:58" ht="15.75" customHeight="1" x14ac:dyDescent="0.25">
      <c r="A491" s="44">
        <v>2021</v>
      </c>
      <c r="B491" s="39">
        <v>171270</v>
      </c>
      <c r="C491" s="38" t="s">
        <v>151</v>
      </c>
      <c r="D491" s="38" t="s">
        <v>77</v>
      </c>
      <c r="E491" s="21">
        <v>2</v>
      </c>
      <c r="F491" s="42">
        <f t="shared" si="206"/>
        <v>1.3422818791946308E-2</v>
      </c>
      <c r="G491" s="21">
        <v>2</v>
      </c>
      <c r="H491" s="42">
        <f t="shared" si="207"/>
        <v>2.7397260273972601E-2</v>
      </c>
      <c r="I491" s="21">
        <v>2</v>
      </c>
      <c r="J491" s="41">
        <f t="shared" si="208"/>
        <v>1.3422818791946308E-2</v>
      </c>
      <c r="K491" s="21">
        <v>3</v>
      </c>
      <c r="L491" s="41">
        <f t="shared" si="209"/>
        <v>4.1095890410958902E-2</v>
      </c>
      <c r="M491" s="21">
        <v>138</v>
      </c>
      <c r="N491" s="41">
        <f t="shared" si="210"/>
        <v>0.9261744966442953</v>
      </c>
      <c r="O491" s="21">
        <v>64</v>
      </c>
      <c r="P491" s="41">
        <f t="shared" si="211"/>
        <v>0.87671232876712324</v>
      </c>
      <c r="Q491" s="21">
        <v>7</v>
      </c>
      <c r="R491" s="41">
        <f t="shared" si="212"/>
        <v>4.6979865771812082E-2</v>
      </c>
      <c r="S491" s="21">
        <v>4</v>
      </c>
      <c r="T491" s="41">
        <f t="shared" si="213"/>
        <v>5.4794520547945202E-2</v>
      </c>
      <c r="U491" s="21">
        <v>8</v>
      </c>
      <c r="V491" s="41">
        <f t="shared" si="214"/>
        <v>5.3691275167785234E-2</v>
      </c>
      <c r="W491" s="21">
        <v>4</v>
      </c>
      <c r="X491" s="41">
        <f t="shared" si="215"/>
        <v>5.4794520547945202E-2</v>
      </c>
      <c r="Y491" s="21">
        <v>22</v>
      </c>
      <c r="Z491" s="41">
        <f t="shared" si="216"/>
        <v>0.1476510067114094</v>
      </c>
      <c r="AA491" s="21">
        <v>10</v>
      </c>
      <c r="AB491" s="41">
        <f t="shared" si="217"/>
        <v>0.13698630136986301</v>
      </c>
      <c r="AC491" s="21">
        <v>119</v>
      </c>
      <c r="AD491" s="41">
        <f t="shared" si="199"/>
        <v>0.79865771812080533</v>
      </c>
      <c r="AE491" s="21">
        <v>59</v>
      </c>
      <c r="AF491" s="41">
        <f t="shared" si="218"/>
        <v>0.80821917808219179</v>
      </c>
      <c r="AG491" s="21">
        <v>5</v>
      </c>
      <c r="AH491" s="41">
        <f t="shared" si="200"/>
        <v>3.3557046979865772E-2</v>
      </c>
      <c r="AI491" s="21">
        <v>4</v>
      </c>
      <c r="AJ491" s="41">
        <f t="shared" si="219"/>
        <v>5.4794520547945202E-2</v>
      </c>
      <c r="AK491" s="21">
        <v>1</v>
      </c>
      <c r="AL491" s="41">
        <f t="shared" si="201"/>
        <v>6.7114093959731542E-3</v>
      </c>
      <c r="AM491" s="21">
        <v>1</v>
      </c>
      <c r="AN491" s="41">
        <f t="shared" si="220"/>
        <v>1.3698630136986301E-2</v>
      </c>
      <c r="AO491" s="21">
        <v>85</v>
      </c>
      <c r="AP491" s="41">
        <f t="shared" si="202"/>
        <v>0.57046979865771807</v>
      </c>
      <c r="AQ491" s="21">
        <v>45</v>
      </c>
      <c r="AR491" s="41">
        <f t="shared" si="221"/>
        <v>0.61643835616438358</v>
      </c>
      <c r="AS491" s="21">
        <v>35</v>
      </c>
      <c r="AT491" s="41">
        <f t="shared" si="203"/>
        <v>0.2348993288590604</v>
      </c>
      <c r="AU491" s="21">
        <v>10</v>
      </c>
      <c r="AV491" s="41">
        <f t="shared" si="222"/>
        <v>0.13698630136986301</v>
      </c>
      <c r="AW491" s="21">
        <v>17</v>
      </c>
      <c r="AX491" s="41">
        <f t="shared" si="204"/>
        <v>0.11409395973154363</v>
      </c>
      <c r="AY491" s="21">
        <v>9</v>
      </c>
      <c r="AZ491" s="41">
        <f t="shared" si="223"/>
        <v>0.12328767123287671</v>
      </c>
      <c r="BA491" s="21">
        <v>6</v>
      </c>
      <c r="BB491" s="41">
        <f t="shared" si="205"/>
        <v>4.0268456375838924E-2</v>
      </c>
      <c r="BC491" s="21">
        <v>4</v>
      </c>
      <c r="BD491" s="41">
        <f t="shared" si="224"/>
        <v>5.4794520547945202E-2</v>
      </c>
      <c r="BE491" s="21">
        <v>149</v>
      </c>
      <c r="BF491" s="21">
        <v>73</v>
      </c>
    </row>
    <row r="492" spans="1:58" ht="15.75" customHeight="1" x14ac:dyDescent="0.25">
      <c r="A492" s="44">
        <v>2021</v>
      </c>
      <c r="B492" s="39">
        <v>171280</v>
      </c>
      <c r="C492" s="38" t="s">
        <v>145</v>
      </c>
      <c r="D492" s="38" t="s">
        <v>78</v>
      </c>
      <c r="E492" s="21">
        <v>0</v>
      </c>
      <c r="F492" s="42">
        <f t="shared" si="206"/>
        <v>0</v>
      </c>
      <c r="G492" s="21">
        <v>0</v>
      </c>
      <c r="H492" s="42">
        <f t="shared" si="207"/>
        <v>0</v>
      </c>
      <c r="I492" s="21">
        <v>1</v>
      </c>
      <c r="J492" s="41">
        <f t="shared" si="208"/>
        <v>4.830917874396135E-3</v>
      </c>
      <c r="K492" s="21">
        <v>0</v>
      </c>
      <c r="L492" s="41">
        <f t="shared" si="209"/>
        <v>0</v>
      </c>
      <c r="M492" s="21">
        <v>195</v>
      </c>
      <c r="N492" s="41">
        <f t="shared" si="210"/>
        <v>0.94202898550724634</v>
      </c>
      <c r="O492" s="21">
        <v>105</v>
      </c>
      <c r="P492" s="41">
        <f t="shared" si="211"/>
        <v>0.95454545454545459</v>
      </c>
      <c r="Q492" s="21">
        <v>11</v>
      </c>
      <c r="R492" s="41">
        <f t="shared" si="212"/>
        <v>5.3140096618357488E-2</v>
      </c>
      <c r="S492" s="21">
        <v>5</v>
      </c>
      <c r="T492" s="41">
        <f t="shared" si="213"/>
        <v>4.5454545454545456E-2</v>
      </c>
      <c r="U492" s="21">
        <v>16</v>
      </c>
      <c r="V492" s="41">
        <f t="shared" si="214"/>
        <v>7.7294685990338161E-2</v>
      </c>
      <c r="W492" s="21">
        <v>7</v>
      </c>
      <c r="X492" s="41">
        <f t="shared" si="215"/>
        <v>6.363636363636363E-2</v>
      </c>
      <c r="Y492" s="21">
        <v>9</v>
      </c>
      <c r="Z492" s="41">
        <f t="shared" si="216"/>
        <v>4.3478260869565216E-2</v>
      </c>
      <c r="AA492" s="21">
        <v>6</v>
      </c>
      <c r="AB492" s="41">
        <f t="shared" si="217"/>
        <v>5.4545454545454543E-2</v>
      </c>
      <c r="AC492" s="21">
        <v>182</v>
      </c>
      <c r="AD492" s="41">
        <f t="shared" si="199"/>
        <v>0.87922705314009664</v>
      </c>
      <c r="AE492" s="21">
        <v>97</v>
      </c>
      <c r="AF492" s="41">
        <f t="shared" si="218"/>
        <v>0.88181818181818183</v>
      </c>
      <c r="AG492" s="21">
        <v>1</v>
      </c>
      <c r="AH492" s="41">
        <f t="shared" si="200"/>
        <v>4.830917874396135E-3</v>
      </c>
      <c r="AI492" s="21">
        <v>1</v>
      </c>
      <c r="AJ492" s="41">
        <f t="shared" si="219"/>
        <v>9.0909090909090905E-3</v>
      </c>
      <c r="AK492" s="21">
        <v>10</v>
      </c>
      <c r="AL492" s="41">
        <f t="shared" si="201"/>
        <v>4.8309178743961352E-2</v>
      </c>
      <c r="AM492" s="21">
        <v>9</v>
      </c>
      <c r="AN492" s="41">
        <f t="shared" si="220"/>
        <v>8.1818181818181818E-2</v>
      </c>
      <c r="AO492" s="21">
        <v>131</v>
      </c>
      <c r="AP492" s="41">
        <f t="shared" si="202"/>
        <v>0.63285024154589375</v>
      </c>
      <c r="AQ492" s="21">
        <v>69</v>
      </c>
      <c r="AR492" s="41">
        <f t="shared" si="221"/>
        <v>0.62727272727272732</v>
      </c>
      <c r="AS492" s="21">
        <v>33</v>
      </c>
      <c r="AT492" s="41">
        <f t="shared" si="203"/>
        <v>0.15942028985507245</v>
      </c>
      <c r="AU492" s="21">
        <v>17</v>
      </c>
      <c r="AV492" s="41">
        <f t="shared" si="222"/>
        <v>0.15454545454545454</v>
      </c>
      <c r="AW492" s="21">
        <v>14</v>
      </c>
      <c r="AX492" s="41">
        <f t="shared" si="204"/>
        <v>6.7632850241545889E-2</v>
      </c>
      <c r="AY492" s="21">
        <v>3</v>
      </c>
      <c r="AZ492" s="41">
        <f t="shared" si="223"/>
        <v>2.7272727272727271E-2</v>
      </c>
      <c r="BA492" s="21">
        <v>18</v>
      </c>
      <c r="BB492" s="41">
        <f t="shared" si="205"/>
        <v>8.6956521739130432E-2</v>
      </c>
      <c r="BC492" s="21">
        <v>11</v>
      </c>
      <c r="BD492" s="41">
        <f t="shared" si="224"/>
        <v>0.1</v>
      </c>
      <c r="BE492" s="21">
        <v>207</v>
      </c>
      <c r="BF492" s="21">
        <v>110</v>
      </c>
    </row>
    <row r="493" spans="1:58" ht="15.75" customHeight="1" x14ac:dyDescent="0.25">
      <c r="A493" s="44">
        <v>2021</v>
      </c>
      <c r="B493" s="39">
        <v>171320</v>
      </c>
      <c r="C493" s="38" t="s">
        <v>148</v>
      </c>
      <c r="D493" s="38" t="s">
        <v>79</v>
      </c>
      <c r="E493" s="21">
        <v>9</v>
      </c>
      <c r="F493" s="42">
        <f t="shared" si="206"/>
        <v>1.3138686131386862E-2</v>
      </c>
      <c r="G493" s="21">
        <v>4</v>
      </c>
      <c r="H493" s="42">
        <f t="shared" si="207"/>
        <v>9.852216748768473E-3</v>
      </c>
      <c r="I493" s="21">
        <v>16</v>
      </c>
      <c r="J493" s="41">
        <f t="shared" si="208"/>
        <v>2.3357664233576641E-2</v>
      </c>
      <c r="K493" s="21">
        <v>9</v>
      </c>
      <c r="L493" s="41">
        <f t="shared" si="209"/>
        <v>2.2167487684729065E-2</v>
      </c>
      <c r="M493" s="21">
        <v>600</v>
      </c>
      <c r="N493" s="41">
        <f t="shared" si="210"/>
        <v>0.87591240875912413</v>
      </c>
      <c r="O493" s="21">
        <v>369</v>
      </c>
      <c r="P493" s="41">
        <f t="shared" si="211"/>
        <v>0.90886699507389157</v>
      </c>
      <c r="Q493" s="21">
        <v>60</v>
      </c>
      <c r="R493" s="41">
        <f t="shared" si="212"/>
        <v>8.7591240875912413E-2</v>
      </c>
      <c r="S493" s="21">
        <v>24</v>
      </c>
      <c r="T493" s="41">
        <f t="shared" si="213"/>
        <v>5.9113300492610835E-2</v>
      </c>
      <c r="U493" s="21">
        <v>68</v>
      </c>
      <c r="V493" s="41">
        <f t="shared" si="214"/>
        <v>9.9270072992700728E-2</v>
      </c>
      <c r="W493" s="21">
        <v>32</v>
      </c>
      <c r="X493" s="41">
        <f t="shared" si="215"/>
        <v>7.8817733990147784E-2</v>
      </c>
      <c r="Y493" s="21">
        <v>48</v>
      </c>
      <c r="Z493" s="41">
        <f t="shared" si="216"/>
        <v>7.0072992700729933E-2</v>
      </c>
      <c r="AA493" s="21">
        <v>35</v>
      </c>
      <c r="AB493" s="41">
        <f t="shared" si="217"/>
        <v>8.6206896551724144E-2</v>
      </c>
      <c r="AC493" s="21">
        <v>569</v>
      </c>
      <c r="AD493" s="41">
        <f t="shared" si="199"/>
        <v>0.83065693430656939</v>
      </c>
      <c r="AE493" s="21">
        <v>339</v>
      </c>
      <c r="AF493" s="41">
        <f t="shared" si="218"/>
        <v>0.83497536945812811</v>
      </c>
      <c r="AG493" s="21">
        <v>19</v>
      </c>
      <c r="AH493" s="41">
        <f t="shared" si="200"/>
        <v>2.7737226277372264E-2</v>
      </c>
      <c r="AI493" s="21">
        <v>14</v>
      </c>
      <c r="AJ493" s="41">
        <f t="shared" si="219"/>
        <v>3.4482758620689655E-2</v>
      </c>
      <c r="AK493" s="21">
        <v>38</v>
      </c>
      <c r="AL493" s="41">
        <f t="shared" si="201"/>
        <v>5.5474452554744529E-2</v>
      </c>
      <c r="AM493" s="21">
        <v>24</v>
      </c>
      <c r="AN493" s="41">
        <f t="shared" si="220"/>
        <v>5.9113300492610835E-2</v>
      </c>
      <c r="AO493" s="21">
        <v>381</v>
      </c>
      <c r="AP493" s="41">
        <f t="shared" si="202"/>
        <v>0.55620437956204383</v>
      </c>
      <c r="AQ493" s="21">
        <v>260</v>
      </c>
      <c r="AR493" s="41">
        <f t="shared" si="221"/>
        <v>0.64039408866995073</v>
      </c>
      <c r="AS493" s="21">
        <v>105</v>
      </c>
      <c r="AT493" s="41">
        <f t="shared" si="203"/>
        <v>0.15328467153284672</v>
      </c>
      <c r="AU493" s="21">
        <v>46</v>
      </c>
      <c r="AV493" s="41">
        <f t="shared" si="222"/>
        <v>0.11330049261083744</v>
      </c>
      <c r="AW493" s="21">
        <v>64</v>
      </c>
      <c r="AX493" s="41">
        <f t="shared" si="204"/>
        <v>9.3430656934306563E-2</v>
      </c>
      <c r="AY493" s="21">
        <v>32</v>
      </c>
      <c r="AZ493" s="41">
        <f t="shared" si="223"/>
        <v>7.8817733990147784E-2</v>
      </c>
      <c r="BA493" s="21">
        <v>78</v>
      </c>
      <c r="BB493" s="41">
        <f t="shared" si="205"/>
        <v>0.11386861313868613</v>
      </c>
      <c r="BC493" s="21">
        <v>30</v>
      </c>
      <c r="BD493" s="41">
        <f t="shared" si="224"/>
        <v>7.3891625615763554E-2</v>
      </c>
      <c r="BE493" s="21">
        <v>685</v>
      </c>
      <c r="BF493" s="21">
        <v>406</v>
      </c>
    </row>
    <row r="494" spans="1:58" ht="15.75" customHeight="1" x14ac:dyDescent="0.25">
      <c r="A494" s="44">
        <v>2021</v>
      </c>
      <c r="B494" s="39">
        <v>171330</v>
      </c>
      <c r="C494" s="38" t="s">
        <v>148</v>
      </c>
      <c r="D494" s="38" t="s">
        <v>80</v>
      </c>
      <c r="E494" s="21">
        <v>2</v>
      </c>
      <c r="F494" s="42">
        <f t="shared" si="206"/>
        <v>3.1250000000000002E-3</v>
      </c>
      <c r="G494" s="21">
        <v>1</v>
      </c>
      <c r="H494" s="42">
        <f t="shared" si="207"/>
        <v>3.0959752321981426E-3</v>
      </c>
      <c r="I494" s="21">
        <v>7</v>
      </c>
      <c r="J494" s="41">
        <f t="shared" si="208"/>
        <v>1.0937499999999999E-2</v>
      </c>
      <c r="K494" s="21">
        <v>5</v>
      </c>
      <c r="L494" s="41">
        <f t="shared" si="209"/>
        <v>1.5479876160990712E-2</v>
      </c>
      <c r="M494" s="21">
        <v>577</v>
      </c>
      <c r="N494" s="41">
        <f t="shared" si="210"/>
        <v>0.90156250000000004</v>
      </c>
      <c r="O494" s="21">
        <v>293</v>
      </c>
      <c r="P494" s="41">
        <f t="shared" si="211"/>
        <v>0.90712074303405577</v>
      </c>
      <c r="Q494" s="21">
        <v>54</v>
      </c>
      <c r="R494" s="41">
        <f t="shared" si="212"/>
        <v>8.4375000000000006E-2</v>
      </c>
      <c r="S494" s="21">
        <v>24</v>
      </c>
      <c r="T494" s="41">
        <f t="shared" si="213"/>
        <v>7.4303405572755415E-2</v>
      </c>
      <c r="U494" s="21">
        <v>18</v>
      </c>
      <c r="V494" s="41">
        <f t="shared" si="214"/>
        <v>2.8125000000000001E-2</v>
      </c>
      <c r="W494" s="21">
        <v>11</v>
      </c>
      <c r="X494" s="41">
        <f t="shared" si="215"/>
        <v>3.4055727554179564E-2</v>
      </c>
      <c r="Y494" s="21">
        <v>28</v>
      </c>
      <c r="Z494" s="41">
        <f t="shared" si="216"/>
        <v>4.3749999999999997E-2</v>
      </c>
      <c r="AA494" s="21">
        <v>15</v>
      </c>
      <c r="AB494" s="41">
        <f t="shared" si="217"/>
        <v>4.6439628482972138E-2</v>
      </c>
      <c r="AC494" s="21">
        <v>594</v>
      </c>
      <c r="AD494" s="41">
        <f t="shared" si="199"/>
        <v>0.92812499999999998</v>
      </c>
      <c r="AE494" s="21">
        <v>297</v>
      </c>
      <c r="AF494" s="41">
        <f t="shared" si="218"/>
        <v>0.91950464396284826</v>
      </c>
      <c r="AG494" s="21">
        <v>8</v>
      </c>
      <c r="AH494" s="41">
        <f t="shared" si="200"/>
        <v>1.2500000000000001E-2</v>
      </c>
      <c r="AI494" s="21">
        <v>10</v>
      </c>
      <c r="AJ494" s="41">
        <f t="shared" si="219"/>
        <v>3.0959752321981424E-2</v>
      </c>
      <c r="AK494" s="21">
        <v>21</v>
      </c>
      <c r="AL494" s="41">
        <f t="shared" si="201"/>
        <v>3.2812500000000001E-2</v>
      </c>
      <c r="AM494" s="21">
        <v>20</v>
      </c>
      <c r="AN494" s="41">
        <f t="shared" si="220"/>
        <v>6.1919504643962849E-2</v>
      </c>
      <c r="AO494" s="21">
        <v>427</v>
      </c>
      <c r="AP494" s="41">
        <f t="shared" si="202"/>
        <v>0.66718750000000004</v>
      </c>
      <c r="AQ494" s="21">
        <v>204</v>
      </c>
      <c r="AR494" s="41">
        <f t="shared" si="221"/>
        <v>0.63157894736842102</v>
      </c>
      <c r="AS494" s="21">
        <v>110</v>
      </c>
      <c r="AT494" s="41">
        <f t="shared" si="203"/>
        <v>0.171875</v>
      </c>
      <c r="AU494" s="21">
        <v>52</v>
      </c>
      <c r="AV494" s="41">
        <f t="shared" si="222"/>
        <v>0.1609907120743034</v>
      </c>
      <c r="AW494" s="21">
        <v>38</v>
      </c>
      <c r="AX494" s="41">
        <f t="shared" si="204"/>
        <v>5.9374999999999997E-2</v>
      </c>
      <c r="AY494" s="21">
        <v>18</v>
      </c>
      <c r="AZ494" s="41">
        <f t="shared" si="223"/>
        <v>5.5727554179566562E-2</v>
      </c>
      <c r="BA494" s="21">
        <v>36</v>
      </c>
      <c r="BB494" s="41">
        <f t="shared" si="205"/>
        <v>5.6250000000000001E-2</v>
      </c>
      <c r="BC494" s="21">
        <v>19</v>
      </c>
      <c r="BD494" s="41">
        <f t="shared" si="224"/>
        <v>5.8823529411764705E-2</v>
      </c>
      <c r="BE494" s="21">
        <v>640</v>
      </c>
      <c r="BF494" s="21">
        <v>323</v>
      </c>
    </row>
    <row r="495" spans="1:58" ht="15.75" customHeight="1" x14ac:dyDescent="0.25">
      <c r="A495" s="44">
        <v>2021</v>
      </c>
      <c r="B495" s="39">
        <v>171360</v>
      </c>
      <c r="C495" s="38" t="s">
        <v>151</v>
      </c>
      <c r="D495" s="38" t="s">
        <v>81</v>
      </c>
      <c r="E495" s="21">
        <v>1</v>
      </c>
      <c r="F495" s="42">
        <f t="shared" si="206"/>
        <v>6.3291139240506328E-3</v>
      </c>
      <c r="G495" s="21">
        <v>1</v>
      </c>
      <c r="H495" s="42">
        <f t="shared" si="207"/>
        <v>0.05</v>
      </c>
      <c r="I495" s="21">
        <v>3</v>
      </c>
      <c r="J495" s="41">
        <f t="shared" si="208"/>
        <v>1.8987341772151899E-2</v>
      </c>
      <c r="K495" s="21">
        <v>0</v>
      </c>
      <c r="L495" s="41">
        <f t="shared" si="209"/>
        <v>0</v>
      </c>
      <c r="M495" s="21">
        <v>146</v>
      </c>
      <c r="N495" s="41">
        <f t="shared" si="210"/>
        <v>0.92405063291139244</v>
      </c>
      <c r="O495" s="21">
        <v>16</v>
      </c>
      <c r="P495" s="41">
        <f t="shared" si="211"/>
        <v>0.8</v>
      </c>
      <c r="Q495" s="21">
        <v>8</v>
      </c>
      <c r="R495" s="41">
        <f t="shared" si="212"/>
        <v>5.0632911392405063E-2</v>
      </c>
      <c r="S495" s="21">
        <v>3</v>
      </c>
      <c r="T495" s="41">
        <f t="shared" si="213"/>
        <v>0.15</v>
      </c>
      <c r="U495" s="21">
        <v>1</v>
      </c>
      <c r="V495" s="41">
        <f t="shared" si="214"/>
        <v>6.3291139240506328E-3</v>
      </c>
      <c r="W495" s="21">
        <v>0</v>
      </c>
      <c r="X495" s="41">
        <f t="shared" si="215"/>
        <v>0</v>
      </c>
      <c r="Y495" s="21">
        <v>15</v>
      </c>
      <c r="Z495" s="41">
        <f t="shared" si="216"/>
        <v>9.49367088607595E-2</v>
      </c>
      <c r="AA495" s="21">
        <v>4</v>
      </c>
      <c r="AB495" s="41">
        <f t="shared" si="217"/>
        <v>0.2</v>
      </c>
      <c r="AC495" s="21">
        <v>142</v>
      </c>
      <c r="AD495" s="41">
        <f t="shared" si="199"/>
        <v>0.89873417721518989</v>
      </c>
      <c r="AE495" s="21">
        <v>16</v>
      </c>
      <c r="AF495" s="41">
        <f t="shared" si="218"/>
        <v>0.8</v>
      </c>
      <c r="AG495" s="21">
        <v>2</v>
      </c>
      <c r="AH495" s="41">
        <f t="shared" si="200"/>
        <v>1.2658227848101266E-2</v>
      </c>
      <c r="AI495" s="21">
        <v>1</v>
      </c>
      <c r="AJ495" s="41">
        <f t="shared" si="219"/>
        <v>0.05</v>
      </c>
      <c r="AK495" s="21">
        <v>2</v>
      </c>
      <c r="AL495" s="41">
        <f t="shared" si="201"/>
        <v>1.2658227848101266E-2</v>
      </c>
      <c r="AM495" s="21">
        <v>0</v>
      </c>
      <c r="AN495" s="41">
        <f t="shared" si="220"/>
        <v>0</v>
      </c>
      <c r="AO495" s="21">
        <v>115</v>
      </c>
      <c r="AP495" s="41">
        <f t="shared" si="202"/>
        <v>0.72784810126582278</v>
      </c>
      <c r="AQ495" s="21">
        <v>13</v>
      </c>
      <c r="AR495" s="41">
        <f t="shared" si="221"/>
        <v>0.65</v>
      </c>
      <c r="AS495" s="21">
        <v>28</v>
      </c>
      <c r="AT495" s="41">
        <f t="shared" si="203"/>
        <v>0.17721518987341772</v>
      </c>
      <c r="AU495" s="21">
        <v>4</v>
      </c>
      <c r="AV495" s="41">
        <f t="shared" si="222"/>
        <v>0.2</v>
      </c>
      <c r="AW495" s="21">
        <v>6</v>
      </c>
      <c r="AX495" s="41">
        <f t="shared" si="204"/>
        <v>3.7974683544303799E-2</v>
      </c>
      <c r="AY495" s="21">
        <v>2</v>
      </c>
      <c r="AZ495" s="41">
        <f t="shared" si="223"/>
        <v>0.1</v>
      </c>
      <c r="BA495" s="21">
        <v>5</v>
      </c>
      <c r="BB495" s="41">
        <f t="shared" si="205"/>
        <v>3.1645569620253167E-2</v>
      </c>
      <c r="BC495" s="21">
        <v>0</v>
      </c>
      <c r="BD495" s="41">
        <f t="shared" si="224"/>
        <v>0</v>
      </c>
      <c r="BE495" s="21">
        <v>158</v>
      </c>
      <c r="BF495" s="21">
        <v>20</v>
      </c>
    </row>
    <row r="496" spans="1:58" ht="15.75" customHeight="1" x14ac:dyDescent="0.25">
      <c r="A496" s="44">
        <v>2021</v>
      </c>
      <c r="B496" s="39">
        <v>171370</v>
      </c>
      <c r="C496" s="38" t="s">
        <v>144</v>
      </c>
      <c r="D496" s="38" t="s">
        <v>82</v>
      </c>
      <c r="E496" s="21">
        <v>1</v>
      </c>
      <c r="F496" s="42">
        <f t="shared" si="206"/>
        <v>1.7857142857142856E-2</v>
      </c>
      <c r="G496" s="21">
        <v>1</v>
      </c>
      <c r="H496" s="42">
        <f t="shared" si="207"/>
        <v>2.1276595744680851E-2</v>
      </c>
      <c r="I496" s="21">
        <v>3</v>
      </c>
      <c r="J496" s="41">
        <f t="shared" si="208"/>
        <v>5.3571428571428568E-2</v>
      </c>
      <c r="K496" s="21">
        <v>3</v>
      </c>
      <c r="L496" s="41">
        <f t="shared" si="209"/>
        <v>6.3829787234042548E-2</v>
      </c>
      <c r="M496" s="21">
        <v>43</v>
      </c>
      <c r="N496" s="41">
        <f t="shared" si="210"/>
        <v>0.7678571428571429</v>
      </c>
      <c r="O496" s="21">
        <v>35</v>
      </c>
      <c r="P496" s="41">
        <f t="shared" si="211"/>
        <v>0.74468085106382975</v>
      </c>
      <c r="Q496" s="21">
        <v>9</v>
      </c>
      <c r="R496" s="41">
        <f t="shared" si="212"/>
        <v>0.16071428571428573</v>
      </c>
      <c r="S496" s="21">
        <v>8</v>
      </c>
      <c r="T496" s="41">
        <f t="shared" si="213"/>
        <v>0.1702127659574468</v>
      </c>
      <c r="U496" s="21">
        <v>2</v>
      </c>
      <c r="V496" s="41">
        <f t="shared" si="214"/>
        <v>3.5714285714285712E-2</v>
      </c>
      <c r="W496" s="21">
        <v>3</v>
      </c>
      <c r="X496" s="41">
        <f t="shared" si="215"/>
        <v>6.3829787234042548E-2</v>
      </c>
      <c r="Y496" s="21">
        <v>1</v>
      </c>
      <c r="Z496" s="41">
        <f t="shared" si="216"/>
        <v>1.7857142857142856E-2</v>
      </c>
      <c r="AA496" s="21">
        <v>1</v>
      </c>
      <c r="AB496" s="41">
        <f t="shared" si="217"/>
        <v>2.1276595744680851E-2</v>
      </c>
      <c r="AC496" s="21">
        <v>53</v>
      </c>
      <c r="AD496" s="41">
        <f t="shared" si="199"/>
        <v>0.9464285714285714</v>
      </c>
      <c r="AE496" s="21">
        <v>43</v>
      </c>
      <c r="AF496" s="41">
        <f t="shared" si="218"/>
        <v>0.91489361702127658</v>
      </c>
      <c r="AG496" s="21">
        <v>4</v>
      </c>
      <c r="AH496" s="41">
        <f t="shared" si="200"/>
        <v>7.1428571428571425E-2</v>
      </c>
      <c r="AI496" s="21">
        <v>3</v>
      </c>
      <c r="AJ496" s="41">
        <f t="shared" si="219"/>
        <v>6.3829787234042548E-2</v>
      </c>
      <c r="AK496" s="21">
        <v>4</v>
      </c>
      <c r="AL496" s="41">
        <f t="shared" si="201"/>
        <v>7.1428571428571425E-2</v>
      </c>
      <c r="AM496" s="21">
        <v>4</v>
      </c>
      <c r="AN496" s="41">
        <f t="shared" si="220"/>
        <v>8.5106382978723402E-2</v>
      </c>
      <c r="AO496" s="21">
        <v>29</v>
      </c>
      <c r="AP496" s="41">
        <f t="shared" si="202"/>
        <v>0.5178571428571429</v>
      </c>
      <c r="AQ496" s="21">
        <v>24</v>
      </c>
      <c r="AR496" s="41">
        <f t="shared" si="221"/>
        <v>0.51063829787234039</v>
      </c>
      <c r="AS496" s="21">
        <v>6</v>
      </c>
      <c r="AT496" s="41">
        <f t="shared" si="203"/>
        <v>0.10714285714285714</v>
      </c>
      <c r="AU496" s="21">
        <v>3</v>
      </c>
      <c r="AV496" s="41">
        <f t="shared" si="222"/>
        <v>6.3829787234042548E-2</v>
      </c>
      <c r="AW496" s="21">
        <v>3</v>
      </c>
      <c r="AX496" s="41">
        <f t="shared" si="204"/>
        <v>5.3571428571428568E-2</v>
      </c>
      <c r="AY496" s="21">
        <v>2</v>
      </c>
      <c r="AZ496" s="41">
        <f t="shared" si="223"/>
        <v>4.2553191489361701E-2</v>
      </c>
      <c r="BA496" s="21">
        <v>10</v>
      </c>
      <c r="BB496" s="41">
        <f t="shared" si="205"/>
        <v>0.17857142857142858</v>
      </c>
      <c r="BC496" s="21">
        <v>11</v>
      </c>
      <c r="BD496" s="41">
        <f t="shared" si="224"/>
        <v>0.23404255319148937</v>
      </c>
      <c r="BE496" s="21">
        <v>56</v>
      </c>
      <c r="BF496" s="21">
        <v>47</v>
      </c>
    </row>
    <row r="497" spans="1:58" ht="15.75" customHeight="1" x14ac:dyDescent="0.25">
      <c r="A497" s="44">
        <v>2021</v>
      </c>
      <c r="B497" s="39">
        <v>171395</v>
      </c>
      <c r="C497" s="38" t="s">
        <v>149</v>
      </c>
      <c r="D497" s="38" t="s">
        <v>83</v>
      </c>
      <c r="E497" s="21">
        <v>0</v>
      </c>
      <c r="F497" s="42">
        <f t="shared" si="206"/>
        <v>0</v>
      </c>
      <c r="G497" s="21">
        <v>0</v>
      </c>
      <c r="H497" s="42">
        <f t="shared" si="207"/>
        <v>0</v>
      </c>
      <c r="I497" s="21">
        <v>6</v>
      </c>
      <c r="J497" s="41">
        <f t="shared" si="208"/>
        <v>2.7397260273972601E-2</v>
      </c>
      <c r="K497" s="21">
        <v>3</v>
      </c>
      <c r="L497" s="41">
        <f t="shared" si="209"/>
        <v>1.6216216216216217E-2</v>
      </c>
      <c r="M497" s="21">
        <v>189</v>
      </c>
      <c r="N497" s="41">
        <f t="shared" si="210"/>
        <v>0.86301369863013699</v>
      </c>
      <c r="O497" s="21">
        <v>171</v>
      </c>
      <c r="P497" s="41">
        <f t="shared" si="211"/>
        <v>0.92432432432432432</v>
      </c>
      <c r="Q497" s="21">
        <v>24</v>
      </c>
      <c r="R497" s="41">
        <f t="shared" si="212"/>
        <v>0.1095890410958904</v>
      </c>
      <c r="S497" s="21">
        <v>11</v>
      </c>
      <c r="T497" s="41">
        <f t="shared" si="213"/>
        <v>5.9459459459459463E-2</v>
      </c>
      <c r="U497" s="21">
        <v>14</v>
      </c>
      <c r="V497" s="41">
        <f t="shared" si="214"/>
        <v>6.3926940639269403E-2</v>
      </c>
      <c r="W497" s="21">
        <v>12</v>
      </c>
      <c r="X497" s="41">
        <f t="shared" si="215"/>
        <v>6.4864864864864868E-2</v>
      </c>
      <c r="Y497" s="21">
        <v>20</v>
      </c>
      <c r="Z497" s="41">
        <f t="shared" si="216"/>
        <v>9.1324200913242004E-2</v>
      </c>
      <c r="AA497" s="21">
        <v>19</v>
      </c>
      <c r="AB497" s="41">
        <f t="shared" si="217"/>
        <v>0.10270270270270271</v>
      </c>
      <c r="AC497" s="21">
        <v>185</v>
      </c>
      <c r="AD497" s="41">
        <f t="shared" si="199"/>
        <v>0.84474885844748859</v>
      </c>
      <c r="AE497" s="21">
        <v>154</v>
      </c>
      <c r="AF497" s="41">
        <f t="shared" si="218"/>
        <v>0.83243243243243248</v>
      </c>
      <c r="AG497" s="21">
        <v>17</v>
      </c>
      <c r="AH497" s="41">
        <f t="shared" si="200"/>
        <v>7.7625570776255703E-2</v>
      </c>
      <c r="AI497" s="21">
        <v>4</v>
      </c>
      <c r="AJ497" s="41">
        <f t="shared" si="219"/>
        <v>2.1621621621621623E-2</v>
      </c>
      <c r="AK497" s="21">
        <v>7</v>
      </c>
      <c r="AL497" s="41">
        <f t="shared" si="201"/>
        <v>3.1963470319634701E-2</v>
      </c>
      <c r="AM497" s="21">
        <v>5</v>
      </c>
      <c r="AN497" s="41">
        <f t="shared" si="220"/>
        <v>2.7027027027027029E-2</v>
      </c>
      <c r="AO497" s="21">
        <v>145</v>
      </c>
      <c r="AP497" s="41">
        <f t="shared" si="202"/>
        <v>0.66210045662100458</v>
      </c>
      <c r="AQ497" s="21">
        <v>136</v>
      </c>
      <c r="AR497" s="41">
        <f t="shared" si="221"/>
        <v>0.73513513513513518</v>
      </c>
      <c r="AS497" s="21">
        <v>18</v>
      </c>
      <c r="AT497" s="41">
        <f t="shared" si="203"/>
        <v>8.2191780821917804E-2</v>
      </c>
      <c r="AU497" s="21">
        <v>17</v>
      </c>
      <c r="AV497" s="41">
        <f t="shared" si="222"/>
        <v>9.1891891891891897E-2</v>
      </c>
      <c r="AW497" s="21">
        <v>11</v>
      </c>
      <c r="AX497" s="41">
        <f t="shared" si="204"/>
        <v>5.0228310502283102E-2</v>
      </c>
      <c r="AY497" s="21">
        <v>8</v>
      </c>
      <c r="AZ497" s="41">
        <f t="shared" si="223"/>
        <v>4.3243243243243246E-2</v>
      </c>
      <c r="BA497" s="21">
        <v>21</v>
      </c>
      <c r="BB497" s="41">
        <f t="shared" si="205"/>
        <v>9.5890410958904104E-2</v>
      </c>
      <c r="BC497" s="21">
        <v>15</v>
      </c>
      <c r="BD497" s="41">
        <f t="shared" si="224"/>
        <v>8.1081081081081086E-2</v>
      </c>
      <c r="BE497" s="21">
        <v>219</v>
      </c>
      <c r="BF497" s="21">
        <v>185</v>
      </c>
    </row>
    <row r="498" spans="1:58" ht="15.75" customHeight="1" x14ac:dyDescent="0.25">
      <c r="A498" s="44">
        <v>2021</v>
      </c>
      <c r="B498" s="39">
        <v>171420</v>
      </c>
      <c r="C498" s="38" t="s">
        <v>151</v>
      </c>
      <c r="D498" s="38" t="s">
        <v>84</v>
      </c>
      <c r="E498" s="21">
        <v>6</v>
      </c>
      <c r="F498" s="42">
        <f t="shared" si="206"/>
        <v>1.5957446808510637E-2</v>
      </c>
      <c r="G498" s="21">
        <v>0</v>
      </c>
      <c r="H498" s="42">
        <f t="shared" si="207"/>
        <v>0</v>
      </c>
      <c r="I498" s="21">
        <v>7</v>
      </c>
      <c r="J498" s="41">
        <f t="shared" si="208"/>
        <v>1.8617021276595744E-2</v>
      </c>
      <c r="K498" s="21">
        <v>1</v>
      </c>
      <c r="L498" s="41">
        <f t="shared" si="209"/>
        <v>1.4084507042253521E-2</v>
      </c>
      <c r="M498" s="21">
        <v>345</v>
      </c>
      <c r="N498" s="41">
        <f t="shared" si="210"/>
        <v>0.91755319148936165</v>
      </c>
      <c r="O498" s="21">
        <v>67</v>
      </c>
      <c r="P498" s="41">
        <f t="shared" si="211"/>
        <v>0.94366197183098588</v>
      </c>
      <c r="Q498" s="21">
        <v>18</v>
      </c>
      <c r="R498" s="41">
        <f t="shared" si="212"/>
        <v>4.7872340425531915E-2</v>
      </c>
      <c r="S498" s="21">
        <v>3</v>
      </c>
      <c r="T498" s="41">
        <f t="shared" si="213"/>
        <v>4.2253521126760563E-2</v>
      </c>
      <c r="U498" s="21">
        <v>14</v>
      </c>
      <c r="V498" s="41">
        <f t="shared" si="214"/>
        <v>3.7234042553191488E-2</v>
      </c>
      <c r="W498" s="21">
        <v>1</v>
      </c>
      <c r="X498" s="41">
        <f t="shared" si="215"/>
        <v>1.4084507042253521E-2</v>
      </c>
      <c r="Y498" s="21">
        <v>20</v>
      </c>
      <c r="Z498" s="41">
        <f t="shared" si="216"/>
        <v>5.3191489361702128E-2</v>
      </c>
      <c r="AA498" s="21">
        <v>5</v>
      </c>
      <c r="AB498" s="41">
        <f t="shared" si="217"/>
        <v>7.0422535211267609E-2</v>
      </c>
      <c r="AC498" s="21">
        <v>342</v>
      </c>
      <c r="AD498" s="41">
        <f t="shared" si="199"/>
        <v>0.90957446808510634</v>
      </c>
      <c r="AE498" s="21">
        <v>65</v>
      </c>
      <c r="AF498" s="41">
        <f t="shared" si="218"/>
        <v>0.91549295774647887</v>
      </c>
      <c r="AG498" s="21">
        <v>10</v>
      </c>
      <c r="AH498" s="41">
        <f t="shared" si="200"/>
        <v>2.6595744680851064E-2</v>
      </c>
      <c r="AI498" s="21">
        <v>3</v>
      </c>
      <c r="AJ498" s="41">
        <f t="shared" si="219"/>
        <v>4.2253521126760563E-2</v>
      </c>
      <c r="AK498" s="21">
        <v>10</v>
      </c>
      <c r="AL498" s="41">
        <f t="shared" si="201"/>
        <v>2.6595744680851064E-2</v>
      </c>
      <c r="AM498" s="21">
        <v>5</v>
      </c>
      <c r="AN498" s="41">
        <f t="shared" si="220"/>
        <v>7.0422535211267609E-2</v>
      </c>
      <c r="AO498" s="21">
        <v>253</v>
      </c>
      <c r="AP498" s="41">
        <f t="shared" si="202"/>
        <v>0.6728723404255319</v>
      </c>
      <c r="AQ498" s="21">
        <v>54</v>
      </c>
      <c r="AR498" s="41">
        <f t="shared" si="221"/>
        <v>0.76056338028169013</v>
      </c>
      <c r="AS498" s="21">
        <v>61</v>
      </c>
      <c r="AT498" s="41">
        <f t="shared" si="203"/>
        <v>0.16223404255319149</v>
      </c>
      <c r="AU498" s="21">
        <v>6</v>
      </c>
      <c r="AV498" s="41">
        <f t="shared" si="222"/>
        <v>8.4507042253521125E-2</v>
      </c>
      <c r="AW498" s="21">
        <v>27</v>
      </c>
      <c r="AX498" s="41">
        <f t="shared" si="204"/>
        <v>7.1808510638297879E-2</v>
      </c>
      <c r="AY498" s="21">
        <v>2</v>
      </c>
      <c r="AZ498" s="41">
        <f t="shared" si="223"/>
        <v>2.8169014084507043E-2</v>
      </c>
      <c r="BA498" s="21">
        <v>15</v>
      </c>
      <c r="BB498" s="41">
        <f t="shared" si="205"/>
        <v>3.9893617021276598E-2</v>
      </c>
      <c r="BC498" s="21">
        <v>1</v>
      </c>
      <c r="BD498" s="41">
        <f t="shared" si="224"/>
        <v>1.4084507042253521E-2</v>
      </c>
      <c r="BE498" s="21">
        <v>376</v>
      </c>
      <c r="BF498" s="21">
        <v>71</v>
      </c>
    </row>
    <row r="499" spans="1:58" ht="15.75" customHeight="1" x14ac:dyDescent="0.25">
      <c r="A499" s="44">
        <v>2021</v>
      </c>
      <c r="B499" s="39">
        <v>171430</v>
      </c>
      <c r="C499" s="38" t="s">
        <v>145</v>
      </c>
      <c r="D499" s="38" t="s">
        <v>85</v>
      </c>
      <c r="E499" s="21">
        <v>1</v>
      </c>
      <c r="F499" s="42">
        <f t="shared" si="206"/>
        <v>4.9019607843137254E-3</v>
      </c>
      <c r="G499" s="21">
        <v>1</v>
      </c>
      <c r="H499" s="42">
        <f t="shared" si="207"/>
        <v>6.369426751592357E-3</v>
      </c>
      <c r="I499" s="21">
        <v>5</v>
      </c>
      <c r="J499" s="41">
        <f t="shared" si="208"/>
        <v>2.4509803921568627E-2</v>
      </c>
      <c r="K499" s="21">
        <v>5</v>
      </c>
      <c r="L499" s="41">
        <f t="shared" si="209"/>
        <v>3.1847133757961783E-2</v>
      </c>
      <c r="M499" s="21">
        <v>143</v>
      </c>
      <c r="N499" s="41">
        <f t="shared" si="210"/>
        <v>0.7009803921568627</v>
      </c>
      <c r="O499" s="21">
        <v>101</v>
      </c>
      <c r="P499" s="41">
        <f t="shared" si="211"/>
        <v>0.64331210191082799</v>
      </c>
      <c r="Q499" s="21">
        <v>55</v>
      </c>
      <c r="R499" s="41">
        <f t="shared" si="212"/>
        <v>0.26960784313725489</v>
      </c>
      <c r="S499" s="21">
        <v>50</v>
      </c>
      <c r="T499" s="41">
        <f t="shared" si="213"/>
        <v>0.31847133757961782</v>
      </c>
      <c r="U499" s="21">
        <v>29</v>
      </c>
      <c r="V499" s="41">
        <f t="shared" si="214"/>
        <v>0.14215686274509803</v>
      </c>
      <c r="W499" s="21">
        <v>29</v>
      </c>
      <c r="X499" s="41">
        <f t="shared" si="215"/>
        <v>0.18471337579617833</v>
      </c>
      <c r="Y499" s="21">
        <v>23</v>
      </c>
      <c r="Z499" s="41">
        <f t="shared" si="216"/>
        <v>0.11274509803921569</v>
      </c>
      <c r="AA499" s="21">
        <v>19</v>
      </c>
      <c r="AB499" s="41">
        <f t="shared" si="217"/>
        <v>0.12101910828025478</v>
      </c>
      <c r="AC499" s="21">
        <v>152</v>
      </c>
      <c r="AD499" s="41">
        <f t="shared" si="199"/>
        <v>0.74509803921568629</v>
      </c>
      <c r="AE499" s="21">
        <v>109</v>
      </c>
      <c r="AF499" s="41">
        <f t="shared" si="218"/>
        <v>0.69426751592356684</v>
      </c>
      <c r="AG499" s="21">
        <v>6</v>
      </c>
      <c r="AH499" s="41">
        <f t="shared" si="200"/>
        <v>2.9411764705882353E-2</v>
      </c>
      <c r="AI499" s="21">
        <v>5</v>
      </c>
      <c r="AJ499" s="41">
        <f t="shared" si="219"/>
        <v>3.1847133757961783E-2</v>
      </c>
      <c r="AK499" s="21">
        <v>6</v>
      </c>
      <c r="AL499" s="41">
        <f t="shared" si="201"/>
        <v>2.9411764705882353E-2</v>
      </c>
      <c r="AM499" s="21">
        <v>5</v>
      </c>
      <c r="AN499" s="41">
        <f t="shared" si="220"/>
        <v>3.1847133757961783E-2</v>
      </c>
      <c r="AO499" s="21">
        <v>100</v>
      </c>
      <c r="AP499" s="41">
        <f t="shared" si="202"/>
        <v>0.49019607843137253</v>
      </c>
      <c r="AQ499" s="21">
        <v>70</v>
      </c>
      <c r="AR499" s="41">
        <f t="shared" si="221"/>
        <v>0.44585987261146498</v>
      </c>
      <c r="AS499" s="21">
        <v>27</v>
      </c>
      <c r="AT499" s="41">
        <f t="shared" si="203"/>
        <v>0.13235294117647059</v>
      </c>
      <c r="AU499" s="21">
        <v>15</v>
      </c>
      <c r="AV499" s="41">
        <f t="shared" si="222"/>
        <v>9.5541401273885357E-2</v>
      </c>
      <c r="AW499" s="21">
        <v>6</v>
      </c>
      <c r="AX499" s="41">
        <f t="shared" si="204"/>
        <v>2.9411764705882353E-2</v>
      </c>
      <c r="AY499" s="21">
        <v>7</v>
      </c>
      <c r="AZ499" s="41">
        <f t="shared" si="223"/>
        <v>4.4585987261146494E-2</v>
      </c>
      <c r="BA499" s="21">
        <v>59</v>
      </c>
      <c r="BB499" s="41">
        <f t="shared" si="205"/>
        <v>0.28921568627450983</v>
      </c>
      <c r="BC499" s="21">
        <v>55</v>
      </c>
      <c r="BD499" s="41">
        <f t="shared" si="224"/>
        <v>0.3503184713375796</v>
      </c>
      <c r="BE499" s="21">
        <v>204</v>
      </c>
      <c r="BF499" s="21">
        <v>157</v>
      </c>
    </row>
    <row r="500" spans="1:58" ht="15.75" customHeight="1" x14ac:dyDescent="0.25">
      <c r="A500" s="44">
        <v>2021</v>
      </c>
      <c r="B500" s="39">
        <v>171488</v>
      </c>
      <c r="C500" s="38" t="s">
        <v>149</v>
      </c>
      <c r="D500" s="38" t="s">
        <v>86</v>
      </c>
      <c r="E500" s="21">
        <v>1</v>
      </c>
      <c r="F500" s="42">
        <f t="shared" si="206"/>
        <v>3.5460992907801418E-3</v>
      </c>
      <c r="G500" s="21">
        <v>0</v>
      </c>
      <c r="H500" s="42">
        <f t="shared" si="207"/>
        <v>0</v>
      </c>
      <c r="I500" s="21">
        <v>8</v>
      </c>
      <c r="J500" s="41">
        <f t="shared" si="208"/>
        <v>2.8368794326241134E-2</v>
      </c>
      <c r="K500" s="21">
        <v>2</v>
      </c>
      <c r="L500" s="41">
        <f t="shared" si="209"/>
        <v>1.1695906432748537E-2</v>
      </c>
      <c r="M500" s="21">
        <v>245</v>
      </c>
      <c r="N500" s="41">
        <f t="shared" si="210"/>
        <v>0.86879432624113473</v>
      </c>
      <c r="O500" s="21">
        <v>147</v>
      </c>
      <c r="P500" s="41">
        <f t="shared" si="211"/>
        <v>0.85964912280701755</v>
      </c>
      <c r="Q500" s="21">
        <v>28</v>
      </c>
      <c r="R500" s="41">
        <f t="shared" si="212"/>
        <v>9.9290780141843976E-2</v>
      </c>
      <c r="S500" s="21">
        <v>22</v>
      </c>
      <c r="T500" s="41">
        <f t="shared" si="213"/>
        <v>0.12865497076023391</v>
      </c>
      <c r="U500" s="21">
        <v>27</v>
      </c>
      <c r="V500" s="41">
        <f t="shared" si="214"/>
        <v>9.5744680851063829E-2</v>
      </c>
      <c r="W500" s="21">
        <v>21</v>
      </c>
      <c r="X500" s="41">
        <f t="shared" si="215"/>
        <v>0.12280701754385964</v>
      </c>
      <c r="Y500" s="21">
        <v>13</v>
      </c>
      <c r="Z500" s="41">
        <f t="shared" si="216"/>
        <v>4.6099290780141841E-2</v>
      </c>
      <c r="AA500" s="21">
        <v>8</v>
      </c>
      <c r="AB500" s="41">
        <f t="shared" si="217"/>
        <v>4.6783625730994149E-2</v>
      </c>
      <c r="AC500" s="21">
        <v>242</v>
      </c>
      <c r="AD500" s="41">
        <f t="shared" si="199"/>
        <v>0.85815602836879434</v>
      </c>
      <c r="AE500" s="21">
        <v>142</v>
      </c>
      <c r="AF500" s="41">
        <f t="shared" si="218"/>
        <v>0.83040935672514615</v>
      </c>
      <c r="AG500" s="21">
        <v>23</v>
      </c>
      <c r="AH500" s="41">
        <f t="shared" si="200"/>
        <v>8.1560283687943269E-2</v>
      </c>
      <c r="AI500" s="21">
        <v>11</v>
      </c>
      <c r="AJ500" s="41">
        <f t="shared" si="219"/>
        <v>6.4327485380116955E-2</v>
      </c>
      <c r="AK500" s="21">
        <v>16</v>
      </c>
      <c r="AL500" s="41">
        <f t="shared" si="201"/>
        <v>5.6737588652482268E-2</v>
      </c>
      <c r="AM500" s="21">
        <v>11</v>
      </c>
      <c r="AN500" s="41">
        <f t="shared" si="220"/>
        <v>6.4327485380116955E-2</v>
      </c>
      <c r="AO500" s="21">
        <v>151</v>
      </c>
      <c r="AP500" s="41">
        <f t="shared" si="202"/>
        <v>0.53546099290780147</v>
      </c>
      <c r="AQ500" s="21">
        <v>82</v>
      </c>
      <c r="AR500" s="41">
        <f t="shared" si="221"/>
        <v>0.47953216374269003</v>
      </c>
      <c r="AS500" s="21">
        <v>37</v>
      </c>
      <c r="AT500" s="41">
        <f t="shared" si="203"/>
        <v>0.13120567375886524</v>
      </c>
      <c r="AU500" s="21">
        <v>22</v>
      </c>
      <c r="AV500" s="41">
        <f t="shared" si="222"/>
        <v>0.12865497076023391</v>
      </c>
      <c r="AW500" s="21">
        <v>20</v>
      </c>
      <c r="AX500" s="41">
        <f t="shared" si="204"/>
        <v>7.0921985815602842E-2</v>
      </c>
      <c r="AY500" s="21">
        <v>17</v>
      </c>
      <c r="AZ500" s="41">
        <f t="shared" si="223"/>
        <v>9.9415204678362568E-2</v>
      </c>
      <c r="BA500" s="21">
        <v>35</v>
      </c>
      <c r="BB500" s="41">
        <f t="shared" si="205"/>
        <v>0.12411347517730496</v>
      </c>
      <c r="BC500" s="21">
        <v>28</v>
      </c>
      <c r="BD500" s="41">
        <f t="shared" si="224"/>
        <v>0.16374269005847952</v>
      </c>
      <c r="BE500" s="21">
        <v>282</v>
      </c>
      <c r="BF500" s="21">
        <v>171</v>
      </c>
    </row>
    <row r="501" spans="1:58" ht="15.75" customHeight="1" x14ac:dyDescent="0.25">
      <c r="A501" s="44">
        <v>2021</v>
      </c>
      <c r="B501" s="39">
        <v>171500</v>
      </c>
      <c r="C501" s="38" t="s">
        <v>144</v>
      </c>
      <c r="D501" s="38" t="s">
        <v>87</v>
      </c>
      <c r="E501" s="21">
        <v>0</v>
      </c>
      <c r="F501" s="42">
        <f t="shared" si="206"/>
        <v>0</v>
      </c>
      <c r="G501" s="21">
        <v>0</v>
      </c>
      <c r="H501" s="42">
        <f t="shared" si="207"/>
        <v>0</v>
      </c>
      <c r="I501" s="21">
        <v>3</v>
      </c>
      <c r="J501" s="41">
        <f t="shared" si="208"/>
        <v>1.8987341772151899E-2</v>
      </c>
      <c r="K501" s="21">
        <v>2</v>
      </c>
      <c r="L501" s="41">
        <f t="shared" si="209"/>
        <v>1.5151515151515152E-2</v>
      </c>
      <c r="M501" s="21">
        <v>141</v>
      </c>
      <c r="N501" s="41">
        <f t="shared" si="210"/>
        <v>0.89240506329113922</v>
      </c>
      <c r="O501" s="21">
        <v>117</v>
      </c>
      <c r="P501" s="41">
        <f t="shared" si="211"/>
        <v>0.88636363636363635</v>
      </c>
      <c r="Q501" s="21">
        <v>14</v>
      </c>
      <c r="R501" s="41">
        <f t="shared" si="212"/>
        <v>8.8607594936708861E-2</v>
      </c>
      <c r="S501" s="21">
        <v>13</v>
      </c>
      <c r="T501" s="41">
        <f t="shared" si="213"/>
        <v>9.8484848484848481E-2</v>
      </c>
      <c r="U501" s="21">
        <v>7</v>
      </c>
      <c r="V501" s="41">
        <f t="shared" si="214"/>
        <v>4.4303797468354431E-2</v>
      </c>
      <c r="W501" s="21">
        <v>5</v>
      </c>
      <c r="X501" s="41">
        <f t="shared" si="215"/>
        <v>3.787878787878788E-2</v>
      </c>
      <c r="Y501" s="21">
        <v>6</v>
      </c>
      <c r="Z501" s="41">
        <f t="shared" si="216"/>
        <v>3.7974683544303799E-2</v>
      </c>
      <c r="AA501" s="21">
        <v>6</v>
      </c>
      <c r="AB501" s="41">
        <f t="shared" si="217"/>
        <v>4.5454545454545456E-2</v>
      </c>
      <c r="AC501" s="21">
        <v>145</v>
      </c>
      <c r="AD501" s="41">
        <f t="shared" si="199"/>
        <v>0.91772151898734178</v>
      </c>
      <c r="AE501" s="21">
        <v>121</v>
      </c>
      <c r="AF501" s="41">
        <f t="shared" si="218"/>
        <v>0.91666666666666663</v>
      </c>
      <c r="AG501" s="21">
        <v>7</v>
      </c>
      <c r="AH501" s="41">
        <f t="shared" si="200"/>
        <v>4.4303797468354431E-2</v>
      </c>
      <c r="AI501" s="21">
        <v>5</v>
      </c>
      <c r="AJ501" s="41">
        <f t="shared" si="219"/>
        <v>3.787878787878788E-2</v>
      </c>
      <c r="AK501" s="21">
        <v>8</v>
      </c>
      <c r="AL501" s="41">
        <f t="shared" si="201"/>
        <v>5.0632911392405063E-2</v>
      </c>
      <c r="AM501" s="21">
        <v>9</v>
      </c>
      <c r="AN501" s="41">
        <f t="shared" si="220"/>
        <v>6.8181818181818177E-2</v>
      </c>
      <c r="AO501" s="21">
        <v>86</v>
      </c>
      <c r="AP501" s="41">
        <f t="shared" si="202"/>
        <v>0.54430379746835444</v>
      </c>
      <c r="AQ501" s="21">
        <v>75</v>
      </c>
      <c r="AR501" s="41">
        <f t="shared" si="221"/>
        <v>0.56818181818181823</v>
      </c>
      <c r="AS501" s="21">
        <v>35</v>
      </c>
      <c r="AT501" s="41">
        <f t="shared" si="203"/>
        <v>0.22151898734177214</v>
      </c>
      <c r="AU501" s="21">
        <v>28</v>
      </c>
      <c r="AV501" s="41">
        <f t="shared" si="222"/>
        <v>0.21212121212121213</v>
      </c>
      <c r="AW501" s="21">
        <v>11</v>
      </c>
      <c r="AX501" s="41">
        <f t="shared" si="204"/>
        <v>6.9620253164556958E-2</v>
      </c>
      <c r="AY501" s="21">
        <v>6</v>
      </c>
      <c r="AZ501" s="41">
        <f t="shared" si="223"/>
        <v>4.5454545454545456E-2</v>
      </c>
      <c r="BA501" s="21">
        <v>11</v>
      </c>
      <c r="BB501" s="41">
        <f t="shared" si="205"/>
        <v>6.9620253164556958E-2</v>
      </c>
      <c r="BC501" s="21">
        <v>9</v>
      </c>
      <c r="BD501" s="41">
        <f t="shared" si="224"/>
        <v>6.8181818181818177E-2</v>
      </c>
      <c r="BE501" s="21">
        <v>158</v>
      </c>
      <c r="BF501" s="21">
        <v>132</v>
      </c>
    </row>
    <row r="502" spans="1:58" ht="15.75" customHeight="1" x14ac:dyDescent="0.25">
      <c r="A502" s="44">
        <v>2021</v>
      </c>
      <c r="B502" s="39">
        <v>171510</v>
      </c>
      <c r="C502" s="38" t="s">
        <v>148</v>
      </c>
      <c r="D502" s="38" t="s">
        <v>88</v>
      </c>
      <c r="E502" s="21">
        <v>4</v>
      </c>
      <c r="F502" s="42">
        <f t="shared" si="206"/>
        <v>4.3010752688172046E-2</v>
      </c>
      <c r="G502" s="21">
        <v>0</v>
      </c>
      <c r="H502" s="42">
        <f t="shared" si="207"/>
        <v>0</v>
      </c>
      <c r="I502" s="21">
        <v>2</v>
      </c>
      <c r="J502" s="41">
        <f t="shared" si="208"/>
        <v>2.1505376344086023E-2</v>
      </c>
      <c r="K502" s="21">
        <v>0</v>
      </c>
      <c r="L502" s="41">
        <f t="shared" si="209"/>
        <v>0</v>
      </c>
      <c r="M502" s="21">
        <v>83</v>
      </c>
      <c r="N502" s="41">
        <f t="shared" si="210"/>
        <v>0.89247311827956988</v>
      </c>
      <c r="O502" s="21">
        <v>2</v>
      </c>
      <c r="P502" s="41">
        <f t="shared" si="211"/>
        <v>1</v>
      </c>
      <c r="Q502" s="21">
        <v>4</v>
      </c>
      <c r="R502" s="41">
        <f t="shared" si="212"/>
        <v>4.3010752688172046E-2</v>
      </c>
      <c r="S502" s="21">
        <v>0</v>
      </c>
      <c r="T502" s="41">
        <f t="shared" si="213"/>
        <v>0</v>
      </c>
      <c r="U502" s="21">
        <v>3</v>
      </c>
      <c r="V502" s="41">
        <f t="shared" si="214"/>
        <v>3.2258064516129031E-2</v>
      </c>
      <c r="W502" s="21">
        <v>0</v>
      </c>
      <c r="X502" s="41">
        <f t="shared" si="215"/>
        <v>0</v>
      </c>
      <c r="Y502" s="21">
        <v>11</v>
      </c>
      <c r="Z502" s="41">
        <f t="shared" si="216"/>
        <v>0.11827956989247312</v>
      </c>
      <c r="AA502" s="21">
        <v>1</v>
      </c>
      <c r="AB502" s="41">
        <f t="shared" si="217"/>
        <v>0.5</v>
      </c>
      <c r="AC502" s="21">
        <v>79</v>
      </c>
      <c r="AD502" s="41">
        <f t="shared" si="199"/>
        <v>0.84946236559139787</v>
      </c>
      <c r="AE502" s="21">
        <v>1</v>
      </c>
      <c r="AF502" s="41">
        <f t="shared" si="218"/>
        <v>0.5</v>
      </c>
      <c r="AG502" s="21">
        <v>3</v>
      </c>
      <c r="AH502" s="41">
        <f t="shared" si="200"/>
        <v>3.2258064516129031E-2</v>
      </c>
      <c r="AI502" s="21">
        <v>1</v>
      </c>
      <c r="AJ502" s="41">
        <f t="shared" si="219"/>
        <v>0.5</v>
      </c>
      <c r="AK502" s="21">
        <v>2</v>
      </c>
      <c r="AL502" s="41">
        <f t="shared" si="201"/>
        <v>2.1505376344086023E-2</v>
      </c>
      <c r="AM502" s="21">
        <v>0</v>
      </c>
      <c r="AN502" s="41">
        <f t="shared" si="220"/>
        <v>0</v>
      </c>
      <c r="AO502" s="21">
        <v>64</v>
      </c>
      <c r="AP502" s="41">
        <f t="shared" si="202"/>
        <v>0.68817204301075274</v>
      </c>
      <c r="AQ502" s="21">
        <v>0</v>
      </c>
      <c r="AR502" s="41">
        <f t="shared" si="221"/>
        <v>0</v>
      </c>
      <c r="AS502" s="21">
        <v>17</v>
      </c>
      <c r="AT502" s="41">
        <f t="shared" si="203"/>
        <v>0.18279569892473119</v>
      </c>
      <c r="AU502" s="21">
        <v>1</v>
      </c>
      <c r="AV502" s="41">
        <f t="shared" si="222"/>
        <v>0.5</v>
      </c>
      <c r="AW502" s="21">
        <v>2</v>
      </c>
      <c r="AX502" s="41">
        <f t="shared" si="204"/>
        <v>2.1505376344086023E-2</v>
      </c>
      <c r="AY502" s="21">
        <v>0</v>
      </c>
      <c r="AZ502" s="41">
        <f t="shared" si="223"/>
        <v>0</v>
      </c>
      <c r="BA502" s="21">
        <v>5</v>
      </c>
      <c r="BB502" s="41">
        <f t="shared" si="205"/>
        <v>5.3763440860215055E-2</v>
      </c>
      <c r="BC502" s="21">
        <v>0</v>
      </c>
      <c r="BD502" s="41">
        <f t="shared" si="224"/>
        <v>0</v>
      </c>
      <c r="BE502" s="21">
        <v>93</v>
      </c>
      <c r="BF502" s="21">
        <v>2</v>
      </c>
    </row>
    <row r="503" spans="1:58" ht="15.75" customHeight="1" x14ac:dyDescent="0.25">
      <c r="A503" s="44">
        <v>2021</v>
      </c>
      <c r="B503" s="39">
        <v>171515</v>
      </c>
      <c r="C503" s="38" t="s">
        <v>147</v>
      </c>
      <c r="D503" s="38" t="s">
        <v>89</v>
      </c>
      <c r="E503" s="21">
        <v>0</v>
      </c>
      <c r="F503" s="42">
        <f t="shared" si="206"/>
        <v>0</v>
      </c>
      <c r="G503" s="21">
        <v>0</v>
      </c>
      <c r="H503" s="42">
        <f t="shared" si="207"/>
        <v>0</v>
      </c>
      <c r="I503" s="21">
        <v>4</v>
      </c>
      <c r="J503" s="41">
        <f t="shared" si="208"/>
        <v>3.6036036036036036E-2</v>
      </c>
      <c r="K503" s="21">
        <v>5</v>
      </c>
      <c r="L503" s="41">
        <f t="shared" si="209"/>
        <v>0.10638297872340426</v>
      </c>
      <c r="M503" s="21">
        <v>98</v>
      </c>
      <c r="N503" s="41">
        <f t="shared" si="210"/>
        <v>0.88288288288288286</v>
      </c>
      <c r="O503" s="21">
        <v>39</v>
      </c>
      <c r="P503" s="41">
        <f t="shared" si="211"/>
        <v>0.82978723404255317</v>
      </c>
      <c r="Q503" s="21">
        <v>9</v>
      </c>
      <c r="R503" s="41">
        <f t="shared" si="212"/>
        <v>8.1081081081081086E-2</v>
      </c>
      <c r="S503" s="21">
        <v>3</v>
      </c>
      <c r="T503" s="41">
        <f t="shared" si="213"/>
        <v>6.3829787234042548E-2</v>
      </c>
      <c r="U503" s="21">
        <v>0</v>
      </c>
      <c r="V503" s="41">
        <f t="shared" si="214"/>
        <v>0</v>
      </c>
      <c r="W503" s="21">
        <v>1</v>
      </c>
      <c r="X503" s="41">
        <f t="shared" si="215"/>
        <v>2.1276595744680851E-2</v>
      </c>
      <c r="Y503" s="21">
        <v>2</v>
      </c>
      <c r="Z503" s="41">
        <f t="shared" si="216"/>
        <v>1.8018018018018018E-2</v>
      </c>
      <c r="AA503" s="21">
        <v>0</v>
      </c>
      <c r="AB503" s="41">
        <f t="shared" si="217"/>
        <v>0</v>
      </c>
      <c r="AC503" s="21">
        <v>109</v>
      </c>
      <c r="AD503" s="41">
        <f t="shared" si="199"/>
        <v>0.98198198198198194</v>
      </c>
      <c r="AE503" s="21">
        <v>46</v>
      </c>
      <c r="AF503" s="41">
        <f t="shared" si="218"/>
        <v>0.97872340425531912</v>
      </c>
      <c r="AG503" s="21">
        <v>6</v>
      </c>
      <c r="AH503" s="41">
        <f t="shared" si="200"/>
        <v>5.4054054054054057E-2</v>
      </c>
      <c r="AI503" s="21">
        <v>4</v>
      </c>
      <c r="AJ503" s="41">
        <f t="shared" si="219"/>
        <v>8.5106382978723402E-2</v>
      </c>
      <c r="AK503" s="21">
        <v>1</v>
      </c>
      <c r="AL503" s="41">
        <f t="shared" si="201"/>
        <v>9.0090090090090089E-3</v>
      </c>
      <c r="AM503" s="21">
        <v>3</v>
      </c>
      <c r="AN503" s="41">
        <f t="shared" si="220"/>
        <v>6.3829787234042548E-2</v>
      </c>
      <c r="AO503" s="21">
        <v>76</v>
      </c>
      <c r="AP503" s="41">
        <f t="shared" si="202"/>
        <v>0.68468468468468469</v>
      </c>
      <c r="AQ503" s="21">
        <v>33</v>
      </c>
      <c r="AR503" s="41">
        <f t="shared" si="221"/>
        <v>0.7021276595744681</v>
      </c>
      <c r="AS503" s="21">
        <v>19</v>
      </c>
      <c r="AT503" s="41">
        <f t="shared" si="203"/>
        <v>0.17117117117117117</v>
      </c>
      <c r="AU503" s="21">
        <v>3</v>
      </c>
      <c r="AV503" s="41">
        <f t="shared" si="222"/>
        <v>6.3829787234042548E-2</v>
      </c>
      <c r="AW503" s="21">
        <v>5</v>
      </c>
      <c r="AX503" s="41">
        <f t="shared" si="204"/>
        <v>4.5045045045045043E-2</v>
      </c>
      <c r="AY503" s="21">
        <v>1</v>
      </c>
      <c r="AZ503" s="41">
        <f t="shared" si="223"/>
        <v>2.1276595744680851E-2</v>
      </c>
      <c r="BA503" s="21">
        <v>4</v>
      </c>
      <c r="BB503" s="41">
        <f t="shared" si="205"/>
        <v>3.6036036036036036E-2</v>
      </c>
      <c r="BC503" s="21">
        <v>3</v>
      </c>
      <c r="BD503" s="41">
        <f t="shared" si="224"/>
        <v>6.3829787234042548E-2</v>
      </c>
      <c r="BE503" s="21">
        <v>111</v>
      </c>
      <c r="BF503" s="21">
        <v>47</v>
      </c>
    </row>
    <row r="504" spans="1:58" ht="15.75" customHeight="1" x14ac:dyDescent="0.25">
      <c r="A504" s="44">
        <v>2021</v>
      </c>
      <c r="B504" s="39">
        <v>171525</v>
      </c>
      <c r="C504" s="38" t="s">
        <v>147</v>
      </c>
      <c r="D504" s="38" t="s">
        <v>90</v>
      </c>
      <c r="E504" s="21">
        <v>1</v>
      </c>
      <c r="F504" s="42">
        <f t="shared" si="206"/>
        <v>1.2500000000000001E-2</v>
      </c>
      <c r="G504" s="21">
        <v>1</v>
      </c>
      <c r="H504" s="42">
        <f t="shared" si="207"/>
        <v>1.3333333333333334E-2</v>
      </c>
      <c r="I504" s="21">
        <v>4</v>
      </c>
      <c r="J504" s="41">
        <f t="shared" si="208"/>
        <v>0.05</v>
      </c>
      <c r="K504" s="21">
        <v>4</v>
      </c>
      <c r="L504" s="41">
        <f t="shared" si="209"/>
        <v>5.3333333333333337E-2</v>
      </c>
      <c r="M504" s="21">
        <v>68</v>
      </c>
      <c r="N504" s="41">
        <f t="shared" si="210"/>
        <v>0.85</v>
      </c>
      <c r="O504" s="21">
        <v>64</v>
      </c>
      <c r="P504" s="41">
        <f t="shared" si="211"/>
        <v>0.85333333333333339</v>
      </c>
      <c r="Q504" s="21">
        <v>7</v>
      </c>
      <c r="R504" s="41">
        <f t="shared" si="212"/>
        <v>8.7499999999999994E-2</v>
      </c>
      <c r="S504" s="21">
        <v>6</v>
      </c>
      <c r="T504" s="41">
        <f t="shared" si="213"/>
        <v>0.08</v>
      </c>
      <c r="U504" s="21">
        <v>6</v>
      </c>
      <c r="V504" s="41">
        <f t="shared" si="214"/>
        <v>7.4999999999999997E-2</v>
      </c>
      <c r="W504" s="21">
        <v>6</v>
      </c>
      <c r="X504" s="41">
        <f t="shared" si="215"/>
        <v>0.08</v>
      </c>
      <c r="Y504" s="21">
        <v>6</v>
      </c>
      <c r="Z504" s="41">
        <f t="shared" si="216"/>
        <v>7.4999999999999997E-2</v>
      </c>
      <c r="AA504" s="21">
        <v>7</v>
      </c>
      <c r="AB504" s="41">
        <f t="shared" si="217"/>
        <v>9.3333333333333338E-2</v>
      </c>
      <c r="AC504" s="21">
        <v>68</v>
      </c>
      <c r="AD504" s="41">
        <f t="shared" si="199"/>
        <v>0.85</v>
      </c>
      <c r="AE504" s="21">
        <v>62</v>
      </c>
      <c r="AF504" s="41">
        <f t="shared" si="218"/>
        <v>0.82666666666666666</v>
      </c>
      <c r="AG504" s="21">
        <v>6</v>
      </c>
      <c r="AH504" s="41">
        <f t="shared" si="200"/>
        <v>7.4999999999999997E-2</v>
      </c>
      <c r="AI504" s="21">
        <v>6</v>
      </c>
      <c r="AJ504" s="41">
        <f t="shared" si="219"/>
        <v>0.08</v>
      </c>
      <c r="AK504" s="21">
        <v>2</v>
      </c>
      <c r="AL504" s="41">
        <f t="shared" si="201"/>
        <v>2.5000000000000001E-2</v>
      </c>
      <c r="AM504" s="21">
        <v>2</v>
      </c>
      <c r="AN504" s="41">
        <f t="shared" si="220"/>
        <v>2.6666666666666668E-2</v>
      </c>
      <c r="AO504" s="21">
        <v>46</v>
      </c>
      <c r="AP504" s="41">
        <f t="shared" si="202"/>
        <v>0.57499999999999996</v>
      </c>
      <c r="AQ504" s="21">
        <v>44</v>
      </c>
      <c r="AR504" s="41">
        <f t="shared" si="221"/>
        <v>0.58666666666666667</v>
      </c>
      <c r="AS504" s="21">
        <v>17</v>
      </c>
      <c r="AT504" s="41">
        <f t="shared" si="203"/>
        <v>0.21249999999999999</v>
      </c>
      <c r="AU504" s="21">
        <v>14</v>
      </c>
      <c r="AV504" s="41">
        <f t="shared" si="222"/>
        <v>0.18666666666666668</v>
      </c>
      <c r="AW504" s="21">
        <v>4</v>
      </c>
      <c r="AX504" s="41">
        <f t="shared" si="204"/>
        <v>0.05</v>
      </c>
      <c r="AY504" s="21">
        <v>4</v>
      </c>
      <c r="AZ504" s="41">
        <f t="shared" si="223"/>
        <v>5.3333333333333337E-2</v>
      </c>
      <c r="BA504" s="21">
        <v>5</v>
      </c>
      <c r="BB504" s="41">
        <f t="shared" si="205"/>
        <v>6.25E-2</v>
      </c>
      <c r="BC504" s="21">
        <v>5</v>
      </c>
      <c r="BD504" s="41">
        <f t="shared" si="224"/>
        <v>6.6666666666666666E-2</v>
      </c>
      <c r="BE504" s="21">
        <v>80</v>
      </c>
      <c r="BF504" s="21">
        <v>75</v>
      </c>
    </row>
    <row r="505" spans="1:58" ht="15.75" customHeight="1" x14ac:dyDescent="0.25">
      <c r="A505" s="44">
        <v>2021</v>
      </c>
      <c r="B505" s="39">
        <v>171550</v>
      </c>
      <c r="C505" s="38" t="s">
        <v>151</v>
      </c>
      <c r="D505" s="38" t="s">
        <v>91</v>
      </c>
      <c r="E505" s="21">
        <v>0</v>
      </c>
      <c r="F505" s="42">
        <f t="shared" si="206"/>
        <v>0</v>
      </c>
      <c r="G505" s="21">
        <v>0</v>
      </c>
      <c r="H505" s="42">
        <f t="shared" si="207"/>
        <v>0</v>
      </c>
      <c r="I505" s="21">
        <v>1</v>
      </c>
      <c r="J505" s="41">
        <f t="shared" si="208"/>
        <v>1.0526315789473684E-2</v>
      </c>
      <c r="K505" s="21">
        <v>2</v>
      </c>
      <c r="L505" s="41">
        <f t="shared" si="209"/>
        <v>3.2786885245901641E-2</v>
      </c>
      <c r="M505" s="21">
        <v>87</v>
      </c>
      <c r="N505" s="41">
        <f t="shared" si="210"/>
        <v>0.91578947368421049</v>
      </c>
      <c r="O505" s="21">
        <v>53</v>
      </c>
      <c r="P505" s="41">
        <f t="shared" si="211"/>
        <v>0.86885245901639341</v>
      </c>
      <c r="Q505" s="21">
        <v>7</v>
      </c>
      <c r="R505" s="41">
        <f t="shared" si="212"/>
        <v>7.3684210526315783E-2</v>
      </c>
      <c r="S505" s="21">
        <v>6</v>
      </c>
      <c r="T505" s="41">
        <f t="shared" si="213"/>
        <v>9.8360655737704916E-2</v>
      </c>
      <c r="U505" s="21">
        <v>3</v>
      </c>
      <c r="V505" s="41">
        <f t="shared" si="214"/>
        <v>3.1578947368421054E-2</v>
      </c>
      <c r="W505" s="21">
        <v>2</v>
      </c>
      <c r="X505" s="41">
        <f t="shared" si="215"/>
        <v>3.2786885245901641E-2</v>
      </c>
      <c r="Y505" s="21">
        <v>2</v>
      </c>
      <c r="Z505" s="41">
        <f t="shared" si="216"/>
        <v>2.1052631578947368E-2</v>
      </c>
      <c r="AA505" s="21">
        <v>3</v>
      </c>
      <c r="AB505" s="41">
        <f t="shared" si="217"/>
        <v>4.9180327868852458E-2</v>
      </c>
      <c r="AC505" s="21">
        <v>90</v>
      </c>
      <c r="AD505" s="41">
        <f t="shared" si="199"/>
        <v>0.94736842105263153</v>
      </c>
      <c r="AE505" s="21">
        <v>56</v>
      </c>
      <c r="AF505" s="41">
        <f t="shared" si="218"/>
        <v>0.91803278688524592</v>
      </c>
      <c r="AG505" s="21">
        <v>0</v>
      </c>
      <c r="AH505" s="41">
        <f t="shared" si="200"/>
        <v>0</v>
      </c>
      <c r="AI505" s="21">
        <v>1</v>
      </c>
      <c r="AJ505" s="41">
        <f t="shared" si="219"/>
        <v>1.6393442622950821E-2</v>
      </c>
      <c r="AK505" s="21">
        <v>1</v>
      </c>
      <c r="AL505" s="41">
        <f t="shared" si="201"/>
        <v>1.0526315789473684E-2</v>
      </c>
      <c r="AM505" s="21">
        <v>2</v>
      </c>
      <c r="AN505" s="41">
        <f t="shared" si="220"/>
        <v>3.2786885245901641E-2</v>
      </c>
      <c r="AO505" s="21">
        <v>69</v>
      </c>
      <c r="AP505" s="41">
        <f t="shared" si="202"/>
        <v>0.72631578947368425</v>
      </c>
      <c r="AQ505" s="21">
        <v>38</v>
      </c>
      <c r="AR505" s="41">
        <f t="shared" si="221"/>
        <v>0.62295081967213117</v>
      </c>
      <c r="AS505" s="21">
        <v>13</v>
      </c>
      <c r="AT505" s="41">
        <f t="shared" si="203"/>
        <v>0.1368421052631579</v>
      </c>
      <c r="AU505" s="21">
        <v>10</v>
      </c>
      <c r="AV505" s="41">
        <f t="shared" si="222"/>
        <v>0.16393442622950818</v>
      </c>
      <c r="AW505" s="21">
        <v>8</v>
      </c>
      <c r="AX505" s="41">
        <f t="shared" si="204"/>
        <v>8.4210526315789472E-2</v>
      </c>
      <c r="AY505" s="21">
        <v>5</v>
      </c>
      <c r="AZ505" s="41">
        <f t="shared" si="223"/>
        <v>8.1967213114754092E-2</v>
      </c>
      <c r="BA505" s="21">
        <v>4</v>
      </c>
      <c r="BB505" s="41">
        <f t="shared" si="205"/>
        <v>4.2105263157894736E-2</v>
      </c>
      <c r="BC505" s="21">
        <v>5</v>
      </c>
      <c r="BD505" s="41">
        <f t="shared" si="224"/>
        <v>8.1967213114754092E-2</v>
      </c>
      <c r="BE505" s="21">
        <v>95</v>
      </c>
      <c r="BF505" s="21">
        <v>61</v>
      </c>
    </row>
    <row r="506" spans="1:58" ht="15.75" customHeight="1" x14ac:dyDescent="0.25">
      <c r="A506" s="44">
        <v>2021</v>
      </c>
      <c r="B506" s="39">
        <v>172100</v>
      </c>
      <c r="C506" s="38" t="s">
        <v>148</v>
      </c>
      <c r="D506" s="38" t="s">
        <v>92</v>
      </c>
      <c r="E506" s="21">
        <v>54</v>
      </c>
      <c r="F506" s="42">
        <f t="shared" si="206"/>
        <v>9.6102509343299527E-3</v>
      </c>
      <c r="G506" s="21">
        <v>36</v>
      </c>
      <c r="H506" s="42">
        <f t="shared" si="207"/>
        <v>1.4504431909750202E-2</v>
      </c>
      <c r="I506" s="21">
        <v>161</v>
      </c>
      <c r="J506" s="41">
        <f t="shared" si="208"/>
        <v>2.8652785193094856E-2</v>
      </c>
      <c r="K506" s="21">
        <v>96</v>
      </c>
      <c r="L506" s="41">
        <f t="shared" si="209"/>
        <v>3.8678485092667206E-2</v>
      </c>
      <c r="M506" s="20">
        <v>4872</v>
      </c>
      <c r="N506" s="41">
        <f t="shared" si="210"/>
        <v>0.86705819540843565</v>
      </c>
      <c r="O506" s="20">
        <v>2088</v>
      </c>
      <c r="P506" s="41">
        <f t="shared" si="211"/>
        <v>0.84125705076551172</v>
      </c>
      <c r="Q506" s="21">
        <v>532</v>
      </c>
      <c r="R506" s="41">
        <f t="shared" si="212"/>
        <v>9.4678768464139529E-2</v>
      </c>
      <c r="S506" s="21">
        <v>262</v>
      </c>
      <c r="T506" s="41">
        <f t="shared" si="213"/>
        <v>0.10556003223207092</v>
      </c>
      <c r="U506" s="21">
        <v>253</v>
      </c>
      <c r="V506" s="41">
        <f t="shared" si="214"/>
        <v>4.5025805303434772E-2</v>
      </c>
      <c r="W506" s="21">
        <v>199</v>
      </c>
      <c r="X506" s="41">
        <f t="shared" si="215"/>
        <v>8.0177276390008059E-2</v>
      </c>
      <c r="Y506" s="21">
        <v>325</v>
      </c>
      <c r="Z506" s="41">
        <f t="shared" si="216"/>
        <v>5.7839473215874709E-2</v>
      </c>
      <c r="AA506" s="21">
        <v>183</v>
      </c>
      <c r="AB506" s="41">
        <f t="shared" si="217"/>
        <v>7.3730862207896861E-2</v>
      </c>
      <c r="AC506" s="20">
        <v>5041</v>
      </c>
      <c r="AD506" s="41">
        <f t="shared" ref="AD506:AD537" si="225">IFERROR(AC506/$BE506,0)</f>
        <v>0.89713472148069051</v>
      </c>
      <c r="AE506" s="20">
        <v>2101</v>
      </c>
      <c r="AF506" s="41">
        <f t="shared" si="218"/>
        <v>0.84649476228847709</v>
      </c>
      <c r="AG506" s="21">
        <v>201</v>
      </c>
      <c r="AH506" s="41">
        <f t="shared" ref="AH506:AH537" si="226">IFERROR(AG506/$BE506,0)</f>
        <v>3.5771489588894818E-2</v>
      </c>
      <c r="AI506" s="21">
        <v>169</v>
      </c>
      <c r="AJ506" s="41">
        <f t="shared" si="219"/>
        <v>6.8090249798549551E-2</v>
      </c>
      <c r="AK506" s="21">
        <v>257</v>
      </c>
      <c r="AL506" s="41">
        <f t="shared" ref="AL506:AL537" si="227">IFERROR(AK506/$BE506,0)</f>
        <v>4.5737675743014773E-2</v>
      </c>
      <c r="AM506" s="21">
        <v>158</v>
      </c>
      <c r="AN506" s="41">
        <f t="shared" si="220"/>
        <v>6.3658340048348111E-2</v>
      </c>
      <c r="AO506" s="20">
        <v>3366</v>
      </c>
      <c r="AP506" s="41">
        <f t="shared" ref="AP506:AP537" si="228">IFERROR(AO506/$BE506,0)</f>
        <v>0.59903897490656699</v>
      </c>
      <c r="AQ506" s="20">
        <v>1347</v>
      </c>
      <c r="AR506" s="41">
        <f t="shared" si="221"/>
        <v>0.54270749395648665</v>
      </c>
      <c r="AS506" s="21">
        <v>972</v>
      </c>
      <c r="AT506" s="41">
        <f t="shared" ref="AT506:AT537" si="229">IFERROR(AS506/$BE506,0)</f>
        <v>0.17298451681793914</v>
      </c>
      <c r="AU506" s="21">
        <v>369</v>
      </c>
      <c r="AV506" s="41">
        <f t="shared" si="222"/>
        <v>0.14867042707493958</v>
      </c>
      <c r="AW506" s="21">
        <v>426</v>
      </c>
      <c r="AX506" s="41">
        <f t="shared" ref="AX506:AX537" si="230">IFERROR(AW506/$BE506,0)</f>
        <v>7.5814201815269627E-2</v>
      </c>
      <c r="AY506" s="21">
        <v>165</v>
      </c>
      <c r="AZ506" s="41">
        <f t="shared" si="223"/>
        <v>6.6478646253021759E-2</v>
      </c>
      <c r="BA506" s="21">
        <v>397</v>
      </c>
      <c r="BB506" s="41">
        <f t="shared" ref="BB506:BB537" si="231">IFERROR(BA506/$BE506,0)</f>
        <v>7.0653141128314653E-2</v>
      </c>
      <c r="BC506" s="21">
        <v>275</v>
      </c>
      <c r="BD506" s="41">
        <f t="shared" si="224"/>
        <v>0.11079774375503626</v>
      </c>
      <c r="BE506" s="20">
        <v>5619</v>
      </c>
      <c r="BF506" s="20">
        <v>2482</v>
      </c>
    </row>
    <row r="507" spans="1:58" ht="15.75" customHeight="1" x14ac:dyDescent="0.25">
      <c r="A507" s="44">
        <v>2021</v>
      </c>
      <c r="B507" s="39">
        <v>171570</v>
      </c>
      <c r="C507" s="38" t="s">
        <v>150</v>
      </c>
      <c r="D507" s="38" t="s">
        <v>93</v>
      </c>
      <c r="E507" s="21">
        <v>3</v>
      </c>
      <c r="F507" s="42">
        <f t="shared" si="206"/>
        <v>1.3698630136986301E-2</v>
      </c>
      <c r="G507" s="21">
        <v>2</v>
      </c>
      <c r="H507" s="42">
        <f t="shared" si="207"/>
        <v>1.3422818791946308E-2</v>
      </c>
      <c r="I507" s="21">
        <v>6</v>
      </c>
      <c r="J507" s="41">
        <f t="shared" si="208"/>
        <v>2.7397260273972601E-2</v>
      </c>
      <c r="K507" s="21">
        <v>4</v>
      </c>
      <c r="L507" s="41">
        <f t="shared" si="209"/>
        <v>2.6845637583892617E-2</v>
      </c>
      <c r="M507" s="21">
        <v>201</v>
      </c>
      <c r="N507" s="41">
        <f t="shared" si="210"/>
        <v>0.9178082191780822</v>
      </c>
      <c r="O507" s="21">
        <v>139</v>
      </c>
      <c r="P507" s="41">
        <f t="shared" si="211"/>
        <v>0.93288590604026844</v>
      </c>
      <c r="Q507" s="21">
        <v>9</v>
      </c>
      <c r="R507" s="41">
        <f t="shared" si="212"/>
        <v>4.1095890410958902E-2</v>
      </c>
      <c r="S507" s="21">
        <v>4</v>
      </c>
      <c r="T507" s="41">
        <f t="shared" si="213"/>
        <v>2.6845637583892617E-2</v>
      </c>
      <c r="U507" s="21">
        <v>18</v>
      </c>
      <c r="V507" s="41">
        <f t="shared" si="214"/>
        <v>8.2191780821917804E-2</v>
      </c>
      <c r="W507" s="21">
        <v>11</v>
      </c>
      <c r="X507" s="41">
        <f t="shared" si="215"/>
        <v>7.3825503355704702E-2</v>
      </c>
      <c r="Y507" s="21">
        <v>26</v>
      </c>
      <c r="Z507" s="41">
        <f t="shared" si="216"/>
        <v>0.11872146118721461</v>
      </c>
      <c r="AA507" s="21">
        <v>17</v>
      </c>
      <c r="AB507" s="41">
        <f t="shared" si="217"/>
        <v>0.11409395973154363</v>
      </c>
      <c r="AC507" s="21">
        <v>175</v>
      </c>
      <c r="AD507" s="41">
        <f t="shared" si="225"/>
        <v>0.79908675799086759</v>
      </c>
      <c r="AE507" s="21">
        <v>121</v>
      </c>
      <c r="AF507" s="41">
        <f t="shared" si="218"/>
        <v>0.81208053691275173</v>
      </c>
      <c r="AG507" s="21">
        <v>4</v>
      </c>
      <c r="AH507" s="41">
        <f t="shared" si="226"/>
        <v>1.8264840182648401E-2</v>
      </c>
      <c r="AI507" s="21">
        <v>4</v>
      </c>
      <c r="AJ507" s="41">
        <f t="shared" si="219"/>
        <v>2.6845637583892617E-2</v>
      </c>
      <c r="AK507" s="21">
        <v>10</v>
      </c>
      <c r="AL507" s="41">
        <f t="shared" si="227"/>
        <v>4.5662100456621002E-2</v>
      </c>
      <c r="AM507" s="21">
        <v>7</v>
      </c>
      <c r="AN507" s="41">
        <f t="shared" si="220"/>
        <v>4.6979865771812082E-2</v>
      </c>
      <c r="AO507" s="21">
        <v>133</v>
      </c>
      <c r="AP507" s="41">
        <f t="shared" si="228"/>
        <v>0.60730593607305938</v>
      </c>
      <c r="AQ507" s="21">
        <v>95</v>
      </c>
      <c r="AR507" s="41">
        <f t="shared" si="221"/>
        <v>0.63758389261744963</v>
      </c>
      <c r="AS507" s="21">
        <v>35</v>
      </c>
      <c r="AT507" s="41">
        <f t="shared" si="229"/>
        <v>0.15981735159817351</v>
      </c>
      <c r="AU507" s="21">
        <v>24</v>
      </c>
      <c r="AV507" s="41">
        <f t="shared" si="222"/>
        <v>0.16107382550335569</v>
      </c>
      <c r="AW507" s="21">
        <v>21</v>
      </c>
      <c r="AX507" s="41">
        <f t="shared" si="230"/>
        <v>9.5890410958904104E-2</v>
      </c>
      <c r="AY507" s="21">
        <v>13</v>
      </c>
      <c r="AZ507" s="41">
        <f t="shared" si="223"/>
        <v>8.7248322147651006E-2</v>
      </c>
      <c r="BA507" s="21">
        <v>16</v>
      </c>
      <c r="BB507" s="41">
        <f t="shared" si="231"/>
        <v>7.3059360730593603E-2</v>
      </c>
      <c r="BC507" s="21">
        <v>6</v>
      </c>
      <c r="BD507" s="41">
        <f t="shared" si="224"/>
        <v>4.0268456375838924E-2</v>
      </c>
      <c r="BE507" s="21">
        <v>219</v>
      </c>
      <c r="BF507" s="21">
        <v>149</v>
      </c>
    </row>
    <row r="508" spans="1:58" ht="15.75" customHeight="1" x14ac:dyDescent="0.25">
      <c r="A508" s="44">
        <v>2021</v>
      </c>
      <c r="B508" s="39">
        <v>171380</v>
      </c>
      <c r="C508" s="38" t="s">
        <v>145</v>
      </c>
      <c r="D508" s="38" t="s">
        <v>94</v>
      </c>
      <c r="E508" s="21">
        <v>0</v>
      </c>
      <c r="F508" s="42">
        <f t="shared" si="206"/>
        <v>0</v>
      </c>
      <c r="G508" s="21">
        <v>0</v>
      </c>
      <c r="H508" s="42">
        <f t="shared" si="207"/>
        <v>0</v>
      </c>
      <c r="I508" s="21">
        <v>0</v>
      </c>
      <c r="J508" s="41">
        <f t="shared" si="208"/>
        <v>0</v>
      </c>
      <c r="K508" s="21">
        <v>0</v>
      </c>
      <c r="L508" s="41">
        <f t="shared" si="209"/>
        <v>0</v>
      </c>
      <c r="M508" s="21">
        <v>17</v>
      </c>
      <c r="N508" s="41">
        <f t="shared" si="210"/>
        <v>1</v>
      </c>
      <c r="O508" s="21">
        <v>1</v>
      </c>
      <c r="P508" s="41">
        <f t="shared" si="211"/>
        <v>1</v>
      </c>
      <c r="Q508" s="21">
        <v>0</v>
      </c>
      <c r="R508" s="41">
        <f t="shared" si="212"/>
        <v>0</v>
      </c>
      <c r="S508" s="21">
        <v>0</v>
      </c>
      <c r="T508" s="41">
        <f t="shared" si="213"/>
        <v>0</v>
      </c>
      <c r="U508" s="21">
        <v>1</v>
      </c>
      <c r="V508" s="41">
        <f t="shared" si="214"/>
        <v>5.8823529411764705E-2</v>
      </c>
      <c r="W508" s="21">
        <v>0</v>
      </c>
      <c r="X508" s="41">
        <f t="shared" si="215"/>
        <v>0</v>
      </c>
      <c r="Y508" s="21">
        <v>1</v>
      </c>
      <c r="Z508" s="41">
        <f t="shared" si="216"/>
        <v>5.8823529411764705E-2</v>
      </c>
      <c r="AA508" s="21">
        <v>0</v>
      </c>
      <c r="AB508" s="41">
        <f t="shared" si="217"/>
        <v>0</v>
      </c>
      <c r="AC508" s="21">
        <v>15</v>
      </c>
      <c r="AD508" s="41">
        <f t="shared" si="225"/>
        <v>0.88235294117647056</v>
      </c>
      <c r="AE508" s="21">
        <v>1</v>
      </c>
      <c r="AF508" s="41">
        <f t="shared" si="218"/>
        <v>1</v>
      </c>
      <c r="AG508" s="21">
        <v>1</v>
      </c>
      <c r="AH508" s="41">
        <f t="shared" si="226"/>
        <v>5.8823529411764705E-2</v>
      </c>
      <c r="AI508" s="21">
        <v>0</v>
      </c>
      <c r="AJ508" s="41">
        <f t="shared" si="219"/>
        <v>0</v>
      </c>
      <c r="AK508" s="21">
        <v>0</v>
      </c>
      <c r="AL508" s="41">
        <f t="shared" si="227"/>
        <v>0</v>
      </c>
      <c r="AM508" s="21">
        <v>0</v>
      </c>
      <c r="AN508" s="41">
        <f t="shared" si="220"/>
        <v>0</v>
      </c>
      <c r="AO508" s="21">
        <v>9</v>
      </c>
      <c r="AP508" s="41">
        <f t="shared" si="228"/>
        <v>0.52941176470588236</v>
      </c>
      <c r="AQ508" s="21">
        <v>1</v>
      </c>
      <c r="AR508" s="41">
        <f t="shared" si="221"/>
        <v>1</v>
      </c>
      <c r="AS508" s="21">
        <v>3</v>
      </c>
      <c r="AT508" s="41">
        <f t="shared" si="229"/>
        <v>0.17647058823529413</v>
      </c>
      <c r="AU508" s="21">
        <v>0</v>
      </c>
      <c r="AV508" s="41">
        <f t="shared" si="222"/>
        <v>0</v>
      </c>
      <c r="AW508" s="21">
        <v>2</v>
      </c>
      <c r="AX508" s="41">
        <f t="shared" si="230"/>
        <v>0.11764705882352941</v>
      </c>
      <c r="AY508" s="21">
        <v>0</v>
      </c>
      <c r="AZ508" s="41">
        <f t="shared" si="223"/>
        <v>0</v>
      </c>
      <c r="BA508" s="21">
        <v>2</v>
      </c>
      <c r="BB508" s="41">
        <f t="shared" si="231"/>
        <v>0.11764705882352941</v>
      </c>
      <c r="BC508" s="21">
        <v>0</v>
      </c>
      <c r="BD508" s="41">
        <f t="shared" si="224"/>
        <v>0</v>
      </c>
      <c r="BE508" s="21">
        <v>17</v>
      </c>
      <c r="BF508" s="21">
        <v>1</v>
      </c>
    </row>
    <row r="509" spans="1:58" ht="15.75" customHeight="1" x14ac:dyDescent="0.25">
      <c r="A509" s="44">
        <v>2021</v>
      </c>
      <c r="B509" s="39">
        <v>171575</v>
      </c>
      <c r="C509" s="38" t="s">
        <v>146</v>
      </c>
      <c r="D509" s="38" t="s">
        <v>95</v>
      </c>
      <c r="E509" s="21">
        <v>2</v>
      </c>
      <c r="F509" s="42">
        <f t="shared" si="206"/>
        <v>9.852216748768473E-3</v>
      </c>
      <c r="G509" s="21">
        <v>0</v>
      </c>
      <c r="H509" s="42">
        <f t="shared" si="207"/>
        <v>0</v>
      </c>
      <c r="I509" s="21">
        <v>5</v>
      </c>
      <c r="J509" s="41">
        <f t="shared" si="208"/>
        <v>2.4630541871921183E-2</v>
      </c>
      <c r="K509" s="21">
        <v>3</v>
      </c>
      <c r="L509" s="41">
        <f t="shared" si="209"/>
        <v>2.5423728813559324E-2</v>
      </c>
      <c r="M509" s="21">
        <v>182</v>
      </c>
      <c r="N509" s="41">
        <f t="shared" si="210"/>
        <v>0.89655172413793105</v>
      </c>
      <c r="O509" s="21">
        <v>106</v>
      </c>
      <c r="P509" s="41">
        <f t="shared" si="211"/>
        <v>0.89830508474576276</v>
      </c>
      <c r="Q509" s="21">
        <v>14</v>
      </c>
      <c r="R509" s="41">
        <f t="shared" si="212"/>
        <v>6.8965517241379309E-2</v>
      </c>
      <c r="S509" s="21">
        <v>9</v>
      </c>
      <c r="T509" s="41">
        <f t="shared" si="213"/>
        <v>7.6271186440677971E-2</v>
      </c>
      <c r="U509" s="21">
        <v>7</v>
      </c>
      <c r="V509" s="41">
        <f t="shared" si="214"/>
        <v>3.4482758620689655E-2</v>
      </c>
      <c r="W509" s="21">
        <v>3</v>
      </c>
      <c r="X509" s="41">
        <f t="shared" si="215"/>
        <v>2.5423728813559324E-2</v>
      </c>
      <c r="Y509" s="21">
        <v>8</v>
      </c>
      <c r="Z509" s="41">
        <f t="shared" si="216"/>
        <v>3.9408866995073892E-2</v>
      </c>
      <c r="AA509" s="21">
        <v>5</v>
      </c>
      <c r="AB509" s="41">
        <f t="shared" si="217"/>
        <v>4.2372881355932202E-2</v>
      </c>
      <c r="AC509" s="21">
        <v>188</v>
      </c>
      <c r="AD509" s="41">
        <f t="shared" si="225"/>
        <v>0.92610837438423643</v>
      </c>
      <c r="AE509" s="21">
        <v>110</v>
      </c>
      <c r="AF509" s="41">
        <f t="shared" si="218"/>
        <v>0.93220338983050843</v>
      </c>
      <c r="AG509" s="21">
        <v>11</v>
      </c>
      <c r="AH509" s="41">
        <f t="shared" si="226"/>
        <v>5.4187192118226604E-2</v>
      </c>
      <c r="AI509" s="21">
        <v>3</v>
      </c>
      <c r="AJ509" s="41">
        <f t="shared" si="219"/>
        <v>2.5423728813559324E-2</v>
      </c>
      <c r="AK509" s="21">
        <v>8</v>
      </c>
      <c r="AL509" s="41">
        <f t="shared" si="227"/>
        <v>3.9408866995073892E-2</v>
      </c>
      <c r="AM509" s="21">
        <v>3</v>
      </c>
      <c r="AN509" s="41">
        <f t="shared" si="220"/>
        <v>2.5423728813559324E-2</v>
      </c>
      <c r="AO509" s="21">
        <v>127</v>
      </c>
      <c r="AP509" s="41">
        <f t="shared" si="228"/>
        <v>0.62561576354679804</v>
      </c>
      <c r="AQ509" s="21">
        <v>78</v>
      </c>
      <c r="AR509" s="41">
        <f t="shared" si="221"/>
        <v>0.66101694915254239</v>
      </c>
      <c r="AS509" s="21">
        <v>39</v>
      </c>
      <c r="AT509" s="41">
        <f t="shared" si="229"/>
        <v>0.19211822660098521</v>
      </c>
      <c r="AU509" s="21">
        <v>23</v>
      </c>
      <c r="AV509" s="41">
        <f t="shared" si="222"/>
        <v>0.19491525423728814</v>
      </c>
      <c r="AW509" s="21">
        <v>9</v>
      </c>
      <c r="AX509" s="41">
        <f t="shared" si="230"/>
        <v>4.4334975369458129E-2</v>
      </c>
      <c r="AY509" s="21">
        <v>5</v>
      </c>
      <c r="AZ509" s="41">
        <f t="shared" si="223"/>
        <v>4.2372881355932202E-2</v>
      </c>
      <c r="BA509" s="21">
        <v>9</v>
      </c>
      <c r="BB509" s="41">
        <f t="shared" si="231"/>
        <v>4.4334975369458129E-2</v>
      </c>
      <c r="BC509" s="21">
        <v>6</v>
      </c>
      <c r="BD509" s="41">
        <f t="shared" si="224"/>
        <v>5.0847457627118647E-2</v>
      </c>
      <c r="BE509" s="21">
        <v>203</v>
      </c>
      <c r="BF509" s="21">
        <v>118</v>
      </c>
    </row>
    <row r="510" spans="1:58" ht="15.75" customHeight="1" x14ac:dyDescent="0.25">
      <c r="A510" s="44">
        <v>2021</v>
      </c>
      <c r="B510" s="39">
        <v>171610</v>
      </c>
      <c r="C510" s="38" t="s">
        <v>144</v>
      </c>
      <c r="D510" s="38" t="s">
        <v>96</v>
      </c>
      <c r="E510" s="21">
        <v>6</v>
      </c>
      <c r="F510" s="42">
        <f t="shared" si="206"/>
        <v>9.1883614088820835E-3</v>
      </c>
      <c r="G510" s="21">
        <v>1</v>
      </c>
      <c r="H510" s="42">
        <f t="shared" si="207"/>
        <v>3.3003300330033004E-3</v>
      </c>
      <c r="I510" s="21">
        <v>9</v>
      </c>
      <c r="J510" s="41">
        <f t="shared" si="208"/>
        <v>1.3782542113323124E-2</v>
      </c>
      <c r="K510" s="21">
        <v>4</v>
      </c>
      <c r="L510" s="41">
        <f t="shared" si="209"/>
        <v>1.3201320132013201E-2</v>
      </c>
      <c r="M510" s="21">
        <v>579</v>
      </c>
      <c r="N510" s="41">
        <f t="shared" si="210"/>
        <v>0.88667687595712097</v>
      </c>
      <c r="O510" s="21">
        <v>268</v>
      </c>
      <c r="P510" s="41">
        <f t="shared" si="211"/>
        <v>0.88448844884488453</v>
      </c>
      <c r="Q510" s="21">
        <v>59</v>
      </c>
      <c r="R510" s="41">
        <f t="shared" si="212"/>
        <v>9.0352220520673807E-2</v>
      </c>
      <c r="S510" s="21">
        <v>30</v>
      </c>
      <c r="T510" s="41">
        <f t="shared" si="213"/>
        <v>9.9009900990099015E-2</v>
      </c>
      <c r="U510" s="21">
        <v>23</v>
      </c>
      <c r="V510" s="41">
        <f t="shared" si="214"/>
        <v>3.5222052067381319E-2</v>
      </c>
      <c r="W510" s="21">
        <v>10</v>
      </c>
      <c r="X510" s="41">
        <f t="shared" si="215"/>
        <v>3.3003300330033E-2</v>
      </c>
      <c r="Y510" s="21">
        <v>29</v>
      </c>
      <c r="Z510" s="41">
        <f t="shared" si="216"/>
        <v>4.44104134762634E-2</v>
      </c>
      <c r="AA510" s="21">
        <v>13</v>
      </c>
      <c r="AB510" s="41">
        <f t="shared" si="217"/>
        <v>4.2904290429042903E-2</v>
      </c>
      <c r="AC510" s="21">
        <v>601</v>
      </c>
      <c r="AD510" s="41">
        <f t="shared" si="225"/>
        <v>0.92036753445635533</v>
      </c>
      <c r="AE510" s="21">
        <v>280</v>
      </c>
      <c r="AF510" s="41">
        <f t="shared" si="218"/>
        <v>0.92409240924092406</v>
      </c>
      <c r="AG510" s="21">
        <v>15</v>
      </c>
      <c r="AH510" s="41">
        <f t="shared" si="226"/>
        <v>2.2970903522205207E-2</v>
      </c>
      <c r="AI510" s="21">
        <v>12</v>
      </c>
      <c r="AJ510" s="41">
        <f t="shared" si="219"/>
        <v>3.9603960396039604E-2</v>
      </c>
      <c r="AK510" s="21">
        <v>15</v>
      </c>
      <c r="AL510" s="41">
        <f t="shared" si="227"/>
        <v>2.2970903522205207E-2</v>
      </c>
      <c r="AM510" s="21">
        <v>13</v>
      </c>
      <c r="AN510" s="41">
        <f t="shared" si="220"/>
        <v>4.2904290429042903E-2</v>
      </c>
      <c r="AO510" s="21">
        <v>425</v>
      </c>
      <c r="AP510" s="41">
        <f t="shared" si="228"/>
        <v>0.65084226646248089</v>
      </c>
      <c r="AQ510" s="21">
        <v>197</v>
      </c>
      <c r="AR510" s="41">
        <f t="shared" si="221"/>
        <v>0.65016501650165015</v>
      </c>
      <c r="AS510" s="21">
        <v>123</v>
      </c>
      <c r="AT510" s="41">
        <f t="shared" si="229"/>
        <v>0.18836140888208269</v>
      </c>
      <c r="AU510" s="21">
        <v>41</v>
      </c>
      <c r="AV510" s="41">
        <f t="shared" si="222"/>
        <v>0.13531353135313531</v>
      </c>
      <c r="AW510" s="21">
        <v>44</v>
      </c>
      <c r="AX510" s="41">
        <f t="shared" si="230"/>
        <v>6.738131699846861E-2</v>
      </c>
      <c r="AY510" s="21">
        <v>19</v>
      </c>
      <c r="AZ510" s="41">
        <f t="shared" si="223"/>
        <v>6.2706270627062702E-2</v>
      </c>
      <c r="BA510" s="21">
        <v>31</v>
      </c>
      <c r="BB510" s="41">
        <f t="shared" si="231"/>
        <v>4.7473200612557429E-2</v>
      </c>
      <c r="BC510" s="21">
        <v>21</v>
      </c>
      <c r="BD510" s="41">
        <f t="shared" si="224"/>
        <v>6.9306930693069313E-2</v>
      </c>
      <c r="BE510" s="21">
        <v>653</v>
      </c>
      <c r="BF510" s="21">
        <v>303</v>
      </c>
    </row>
    <row r="511" spans="1:58" ht="15.75" customHeight="1" x14ac:dyDescent="0.25">
      <c r="A511" s="44">
        <v>2021</v>
      </c>
      <c r="B511" s="39">
        <v>171620</v>
      </c>
      <c r="C511" s="38" t="s">
        <v>147</v>
      </c>
      <c r="D511" s="38" t="s">
        <v>97</v>
      </c>
      <c r="E511" s="21">
        <v>6</v>
      </c>
      <c r="F511" s="42">
        <f t="shared" si="206"/>
        <v>1.1152416356877323E-2</v>
      </c>
      <c r="G511" s="21">
        <v>0</v>
      </c>
      <c r="H511" s="42">
        <f t="shared" si="207"/>
        <v>0</v>
      </c>
      <c r="I511" s="21">
        <v>26</v>
      </c>
      <c r="J511" s="41">
        <f t="shared" si="208"/>
        <v>4.8327137546468404E-2</v>
      </c>
      <c r="K511" s="21">
        <v>10</v>
      </c>
      <c r="L511" s="41">
        <f t="shared" si="209"/>
        <v>6.6225165562913912E-2</v>
      </c>
      <c r="M511" s="21">
        <v>480</v>
      </c>
      <c r="N511" s="41">
        <f t="shared" si="210"/>
        <v>0.89219330855018586</v>
      </c>
      <c r="O511" s="21">
        <v>135</v>
      </c>
      <c r="P511" s="41">
        <f t="shared" si="211"/>
        <v>0.89403973509933776</v>
      </c>
      <c r="Q511" s="21">
        <v>26</v>
      </c>
      <c r="R511" s="41">
        <f t="shared" si="212"/>
        <v>4.8327137546468404E-2</v>
      </c>
      <c r="S511" s="21">
        <v>6</v>
      </c>
      <c r="T511" s="41">
        <f t="shared" si="213"/>
        <v>3.9735099337748346E-2</v>
      </c>
      <c r="U511" s="21">
        <v>42</v>
      </c>
      <c r="V511" s="41">
        <f t="shared" si="214"/>
        <v>7.8066914498141265E-2</v>
      </c>
      <c r="W511" s="21">
        <v>10</v>
      </c>
      <c r="X511" s="41">
        <f t="shared" si="215"/>
        <v>6.6225165562913912E-2</v>
      </c>
      <c r="Y511" s="21">
        <v>43</v>
      </c>
      <c r="Z511" s="41">
        <f t="shared" si="216"/>
        <v>7.9925650557620811E-2</v>
      </c>
      <c r="AA511" s="21">
        <v>14</v>
      </c>
      <c r="AB511" s="41">
        <f t="shared" si="217"/>
        <v>9.2715231788079472E-2</v>
      </c>
      <c r="AC511" s="21">
        <v>453</v>
      </c>
      <c r="AD511" s="41">
        <f t="shared" si="225"/>
        <v>0.84200743494423791</v>
      </c>
      <c r="AE511" s="21">
        <v>127</v>
      </c>
      <c r="AF511" s="41">
        <f t="shared" si="218"/>
        <v>0.84105960264900659</v>
      </c>
      <c r="AG511" s="21">
        <v>30</v>
      </c>
      <c r="AH511" s="41">
        <f t="shared" si="226"/>
        <v>5.5762081784386616E-2</v>
      </c>
      <c r="AI511" s="21">
        <v>9</v>
      </c>
      <c r="AJ511" s="41">
        <f t="shared" si="219"/>
        <v>5.9602649006622516E-2</v>
      </c>
      <c r="AK511" s="21">
        <v>31</v>
      </c>
      <c r="AL511" s="41">
        <f t="shared" si="227"/>
        <v>5.7620817843866169E-2</v>
      </c>
      <c r="AM511" s="21">
        <v>12</v>
      </c>
      <c r="AN511" s="41">
        <f t="shared" si="220"/>
        <v>7.9470198675496692E-2</v>
      </c>
      <c r="AO511" s="21">
        <v>324</v>
      </c>
      <c r="AP511" s="41">
        <f t="shared" si="228"/>
        <v>0.60223048327137552</v>
      </c>
      <c r="AQ511" s="21">
        <v>96</v>
      </c>
      <c r="AR511" s="41">
        <f t="shared" si="221"/>
        <v>0.63576158940397354</v>
      </c>
      <c r="AS511" s="21">
        <v>80</v>
      </c>
      <c r="AT511" s="41">
        <f t="shared" si="229"/>
        <v>0.14869888475836432</v>
      </c>
      <c r="AU511" s="21">
        <v>24</v>
      </c>
      <c r="AV511" s="41">
        <f t="shared" si="222"/>
        <v>0.15894039735099338</v>
      </c>
      <c r="AW511" s="21">
        <v>38</v>
      </c>
      <c r="AX511" s="41">
        <f t="shared" si="230"/>
        <v>7.0631970260223054E-2</v>
      </c>
      <c r="AY511" s="21">
        <v>5</v>
      </c>
      <c r="AZ511" s="41">
        <f t="shared" si="223"/>
        <v>3.3112582781456956E-2</v>
      </c>
      <c r="BA511" s="21">
        <v>35</v>
      </c>
      <c r="BB511" s="41">
        <f t="shared" si="231"/>
        <v>6.5055762081784388E-2</v>
      </c>
      <c r="BC511" s="21">
        <v>5</v>
      </c>
      <c r="BD511" s="41">
        <f t="shared" si="224"/>
        <v>3.3112582781456956E-2</v>
      </c>
      <c r="BE511" s="21">
        <v>538</v>
      </c>
      <c r="BF511" s="21">
        <v>151</v>
      </c>
    </row>
    <row r="512" spans="1:58" ht="15.75" customHeight="1" x14ac:dyDescent="0.25">
      <c r="A512" s="44">
        <v>2021</v>
      </c>
      <c r="B512" s="39">
        <v>171630</v>
      </c>
      <c r="C512" s="38" t="s">
        <v>149</v>
      </c>
      <c r="D512" s="38" t="s">
        <v>98</v>
      </c>
      <c r="E512" s="21">
        <v>1</v>
      </c>
      <c r="F512" s="42">
        <f t="shared" si="206"/>
        <v>4.6511627906976744E-3</v>
      </c>
      <c r="G512" s="21">
        <v>1</v>
      </c>
      <c r="H512" s="42">
        <f t="shared" si="207"/>
        <v>7.1942446043165471E-3</v>
      </c>
      <c r="I512" s="21">
        <v>7</v>
      </c>
      <c r="J512" s="41">
        <f t="shared" si="208"/>
        <v>3.255813953488372E-2</v>
      </c>
      <c r="K512" s="21">
        <v>5</v>
      </c>
      <c r="L512" s="41">
        <f t="shared" si="209"/>
        <v>3.5971223021582732E-2</v>
      </c>
      <c r="M512" s="21">
        <v>190</v>
      </c>
      <c r="N512" s="41">
        <f t="shared" si="210"/>
        <v>0.88372093023255816</v>
      </c>
      <c r="O512" s="21">
        <v>121</v>
      </c>
      <c r="P512" s="41">
        <f t="shared" si="211"/>
        <v>0.87050359712230219</v>
      </c>
      <c r="Q512" s="21">
        <v>17</v>
      </c>
      <c r="R512" s="41">
        <f t="shared" si="212"/>
        <v>7.9069767441860464E-2</v>
      </c>
      <c r="S512" s="21">
        <v>12</v>
      </c>
      <c r="T512" s="41">
        <f t="shared" si="213"/>
        <v>8.6330935251798566E-2</v>
      </c>
      <c r="U512" s="21">
        <v>11</v>
      </c>
      <c r="V512" s="41">
        <f t="shared" si="214"/>
        <v>5.1162790697674418E-2</v>
      </c>
      <c r="W512" s="21">
        <v>11</v>
      </c>
      <c r="X512" s="41">
        <f t="shared" si="215"/>
        <v>7.9136690647482008E-2</v>
      </c>
      <c r="Y512" s="21">
        <v>8</v>
      </c>
      <c r="Z512" s="41">
        <f t="shared" si="216"/>
        <v>3.7209302325581395E-2</v>
      </c>
      <c r="AA512" s="21">
        <v>7</v>
      </c>
      <c r="AB512" s="41">
        <f t="shared" si="217"/>
        <v>5.0359712230215826E-2</v>
      </c>
      <c r="AC512" s="21">
        <v>196</v>
      </c>
      <c r="AD512" s="41">
        <f t="shared" si="225"/>
        <v>0.91162790697674423</v>
      </c>
      <c r="AE512" s="21">
        <v>121</v>
      </c>
      <c r="AF512" s="41">
        <f t="shared" si="218"/>
        <v>0.87050359712230219</v>
      </c>
      <c r="AG512" s="21">
        <v>7</v>
      </c>
      <c r="AH512" s="41">
        <f t="shared" si="226"/>
        <v>3.255813953488372E-2</v>
      </c>
      <c r="AI512" s="21">
        <v>6</v>
      </c>
      <c r="AJ512" s="41">
        <f t="shared" si="219"/>
        <v>4.3165467625899283E-2</v>
      </c>
      <c r="AK512" s="21">
        <v>7</v>
      </c>
      <c r="AL512" s="41">
        <f t="shared" si="227"/>
        <v>3.255813953488372E-2</v>
      </c>
      <c r="AM512" s="21">
        <v>8</v>
      </c>
      <c r="AN512" s="41">
        <f t="shared" si="220"/>
        <v>5.7553956834532377E-2</v>
      </c>
      <c r="AO512" s="21">
        <v>136</v>
      </c>
      <c r="AP512" s="41">
        <f t="shared" si="228"/>
        <v>0.63255813953488371</v>
      </c>
      <c r="AQ512" s="21">
        <v>77</v>
      </c>
      <c r="AR512" s="41">
        <f t="shared" si="221"/>
        <v>0.5539568345323741</v>
      </c>
      <c r="AS512" s="21">
        <v>45</v>
      </c>
      <c r="AT512" s="41">
        <f t="shared" si="229"/>
        <v>0.20930232558139536</v>
      </c>
      <c r="AU512" s="21">
        <v>29</v>
      </c>
      <c r="AV512" s="41">
        <f t="shared" si="222"/>
        <v>0.20863309352517986</v>
      </c>
      <c r="AW512" s="21">
        <v>3</v>
      </c>
      <c r="AX512" s="41">
        <f t="shared" si="230"/>
        <v>1.3953488372093023E-2</v>
      </c>
      <c r="AY512" s="21">
        <v>4</v>
      </c>
      <c r="AZ512" s="41">
        <f t="shared" si="223"/>
        <v>2.8776978417266189E-2</v>
      </c>
      <c r="BA512" s="21">
        <v>17</v>
      </c>
      <c r="BB512" s="41">
        <f t="shared" si="231"/>
        <v>7.9069767441860464E-2</v>
      </c>
      <c r="BC512" s="21">
        <v>15</v>
      </c>
      <c r="BD512" s="41">
        <f t="shared" si="224"/>
        <v>0.1079136690647482</v>
      </c>
      <c r="BE512" s="21">
        <v>215</v>
      </c>
      <c r="BF512" s="21">
        <v>139</v>
      </c>
    </row>
    <row r="513" spans="1:58" ht="15.75" customHeight="1" x14ac:dyDescent="0.25">
      <c r="A513" s="44">
        <v>2021</v>
      </c>
      <c r="B513" s="39">
        <v>171650</v>
      </c>
      <c r="C513" s="38" t="s">
        <v>150</v>
      </c>
      <c r="D513" s="38" t="s">
        <v>99</v>
      </c>
      <c r="E513" s="21">
        <v>0</v>
      </c>
      <c r="F513" s="42">
        <f t="shared" si="206"/>
        <v>0</v>
      </c>
      <c r="G513" s="21">
        <v>1</v>
      </c>
      <c r="H513" s="42">
        <f t="shared" si="207"/>
        <v>4.807692307692308E-3</v>
      </c>
      <c r="I513" s="21">
        <v>10</v>
      </c>
      <c r="J513" s="41">
        <f t="shared" si="208"/>
        <v>2.6315789473684209E-2</v>
      </c>
      <c r="K513" s="21">
        <v>1</v>
      </c>
      <c r="L513" s="41">
        <f t="shared" si="209"/>
        <v>4.807692307692308E-3</v>
      </c>
      <c r="M513" s="21">
        <v>346</v>
      </c>
      <c r="N513" s="41">
        <f t="shared" si="210"/>
        <v>0.91052631578947374</v>
      </c>
      <c r="O513" s="21">
        <v>191</v>
      </c>
      <c r="P513" s="41">
        <f t="shared" si="211"/>
        <v>0.91826923076923073</v>
      </c>
      <c r="Q513" s="21">
        <v>24</v>
      </c>
      <c r="R513" s="41">
        <f t="shared" si="212"/>
        <v>6.3157894736842107E-2</v>
      </c>
      <c r="S513" s="21">
        <v>15</v>
      </c>
      <c r="T513" s="41">
        <f t="shared" si="213"/>
        <v>7.2115384615384609E-2</v>
      </c>
      <c r="U513" s="21">
        <v>25</v>
      </c>
      <c r="V513" s="41">
        <f t="shared" si="214"/>
        <v>6.5789473684210523E-2</v>
      </c>
      <c r="W513" s="21">
        <v>5</v>
      </c>
      <c r="X513" s="41">
        <f t="shared" si="215"/>
        <v>2.403846153846154E-2</v>
      </c>
      <c r="Y513" s="21">
        <v>38</v>
      </c>
      <c r="Z513" s="41">
        <f t="shared" si="216"/>
        <v>0.1</v>
      </c>
      <c r="AA513" s="21">
        <v>22</v>
      </c>
      <c r="AB513" s="41">
        <f t="shared" si="217"/>
        <v>0.10576923076923077</v>
      </c>
      <c r="AC513" s="21">
        <v>317</v>
      </c>
      <c r="AD513" s="41">
        <f t="shared" si="225"/>
        <v>0.83421052631578951</v>
      </c>
      <c r="AE513" s="21">
        <v>181</v>
      </c>
      <c r="AF513" s="41">
        <f t="shared" si="218"/>
        <v>0.87019230769230771</v>
      </c>
      <c r="AG513" s="21">
        <v>6</v>
      </c>
      <c r="AH513" s="41">
        <f t="shared" si="226"/>
        <v>1.5789473684210527E-2</v>
      </c>
      <c r="AI513" s="21">
        <v>6</v>
      </c>
      <c r="AJ513" s="41">
        <f t="shared" si="219"/>
        <v>2.8846153846153848E-2</v>
      </c>
      <c r="AK513" s="21">
        <v>11</v>
      </c>
      <c r="AL513" s="41">
        <f t="shared" si="227"/>
        <v>2.8947368421052631E-2</v>
      </c>
      <c r="AM513" s="21">
        <v>4</v>
      </c>
      <c r="AN513" s="41">
        <f t="shared" si="220"/>
        <v>1.9230769230769232E-2</v>
      </c>
      <c r="AO513" s="21">
        <v>221</v>
      </c>
      <c r="AP513" s="41">
        <f t="shared" si="228"/>
        <v>0.58157894736842108</v>
      </c>
      <c r="AQ513" s="21">
        <v>138</v>
      </c>
      <c r="AR513" s="41">
        <f t="shared" si="221"/>
        <v>0.66346153846153844</v>
      </c>
      <c r="AS513" s="21">
        <v>71</v>
      </c>
      <c r="AT513" s="41">
        <f t="shared" si="229"/>
        <v>0.18684210526315789</v>
      </c>
      <c r="AU513" s="21">
        <v>31</v>
      </c>
      <c r="AV513" s="41">
        <f t="shared" si="222"/>
        <v>0.14903846153846154</v>
      </c>
      <c r="AW513" s="21">
        <v>37</v>
      </c>
      <c r="AX513" s="41">
        <f t="shared" si="230"/>
        <v>9.7368421052631576E-2</v>
      </c>
      <c r="AY513" s="21">
        <v>17</v>
      </c>
      <c r="AZ513" s="41">
        <f t="shared" si="223"/>
        <v>8.1730769230769232E-2</v>
      </c>
      <c r="BA513" s="21">
        <v>34</v>
      </c>
      <c r="BB513" s="41">
        <f t="shared" si="231"/>
        <v>8.9473684210526316E-2</v>
      </c>
      <c r="BC513" s="21">
        <v>12</v>
      </c>
      <c r="BD513" s="41">
        <f t="shared" si="224"/>
        <v>5.7692307692307696E-2</v>
      </c>
      <c r="BE513" s="21">
        <v>380</v>
      </c>
      <c r="BF513" s="21">
        <v>208</v>
      </c>
    </row>
    <row r="514" spans="1:58" ht="15.75" customHeight="1" x14ac:dyDescent="0.25">
      <c r="A514" s="44">
        <v>2021</v>
      </c>
      <c r="B514" s="39">
        <v>171660</v>
      </c>
      <c r="C514" s="38" t="s">
        <v>146</v>
      </c>
      <c r="D514" s="38" t="s">
        <v>100</v>
      </c>
      <c r="E514" s="21">
        <v>4</v>
      </c>
      <c r="F514" s="42">
        <f t="shared" ref="F514:F577" si="232">IFERROR(E514/$BE514,0)</f>
        <v>9.9502487562189053E-3</v>
      </c>
      <c r="G514" s="21">
        <v>1</v>
      </c>
      <c r="H514" s="42">
        <f t="shared" ref="H514:H577" si="233">IFERROR(G514/$BF514,0)</f>
        <v>5.4945054945054949E-3</v>
      </c>
      <c r="I514" s="21">
        <v>20</v>
      </c>
      <c r="J514" s="41">
        <f t="shared" ref="J514:J577" si="234">IFERROR(I514/$BE514,0)</f>
        <v>4.975124378109453E-2</v>
      </c>
      <c r="K514" s="21">
        <v>6</v>
      </c>
      <c r="L514" s="41">
        <f t="shared" ref="L514:L577" si="235">IFERROR(K514/$BF514,0)</f>
        <v>3.2967032967032968E-2</v>
      </c>
      <c r="M514" s="21">
        <v>353</v>
      </c>
      <c r="N514" s="41">
        <f t="shared" ref="N514:N577" si="236">IFERROR(M514/$BE514,0)</f>
        <v>0.87810945273631846</v>
      </c>
      <c r="O514" s="21">
        <v>164</v>
      </c>
      <c r="P514" s="41">
        <f t="shared" ref="P514:P577" si="237">IFERROR(O514/$BF514,0)</f>
        <v>0.90109890109890112</v>
      </c>
      <c r="Q514" s="21">
        <v>25</v>
      </c>
      <c r="R514" s="41">
        <f t="shared" ref="R514:R577" si="238">IFERROR(Q514/$BE514,0)</f>
        <v>6.2189054726368161E-2</v>
      </c>
      <c r="S514" s="21">
        <v>11</v>
      </c>
      <c r="T514" s="41">
        <f t="shared" ref="T514:T577" si="239">IFERROR(S514/$BF514,0)</f>
        <v>6.043956043956044E-2</v>
      </c>
      <c r="U514" s="21">
        <v>22</v>
      </c>
      <c r="V514" s="41">
        <f t="shared" ref="V514:V577" si="240">IFERROR(U514/$BE514,0)</f>
        <v>5.4726368159203981E-2</v>
      </c>
      <c r="W514" s="21">
        <v>8</v>
      </c>
      <c r="X514" s="41">
        <f t="shared" ref="X514:X577" si="241">IFERROR(W514/$BF514,0)</f>
        <v>4.3956043956043959E-2</v>
      </c>
      <c r="Y514" s="21">
        <v>23</v>
      </c>
      <c r="Z514" s="41">
        <f t="shared" ref="Z514:Z577" si="242">IFERROR(Y514/$BE514,0)</f>
        <v>5.721393034825871E-2</v>
      </c>
      <c r="AA514" s="21">
        <v>11</v>
      </c>
      <c r="AB514" s="41">
        <f t="shared" ref="AB514:AB577" si="243">IFERROR(AA514/$BF514,0)</f>
        <v>6.043956043956044E-2</v>
      </c>
      <c r="AC514" s="21">
        <v>357</v>
      </c>
      <c r="AD514" s="41">
        <f t="shared" si="225"/>
        <v>0.88805970149253732</v>
      </c>
      <c r="AE514" s="21">
        <v>163</v>
      </c>
      <c r="AF514" s="41">
        <f t="shared" ref="AF514:AF577" si="244">IFERROR(AE514/$BF514,0)</f>
        <v>0.89560439560439564</v>
      </c>
      <c r="AG514" s="21">
        <v>26</v>
      </c>
      <c r="AH514" s="41">
        <f t="shared" si="226"/>
        <v>6.4676616915422883E-2</v>
      </c>
      <c r="AI514" s="21">
        <v>7</v>
      </c>
      <c r="AJ514" s="41">
        <f t="shared" ref="AJ514:AJ577" si="245">IFERROR(AI514/$BF514,0)</f>
        <v>3.8461538461538464E-2</v>
      </c>
      <c r="AK514" s="21">
        <v>28</v>
      </c>
      <c r="AL514" s="41">
        <f t="shared" si="227"/>
        <v>6.965174129353234E-2</v>
      </c>
      <c r="AM514" s="21">
        <v>10</v>
      </c>
      <c r="AN514" s="41">
        <f t="shared" ref="AN514:AN577" si="246">IFERROR(AM514/$BF514,0)</f>
        <v>5.4945054945054944E-2</v>
      </c>
      <c r="AO514" s="21">
        <v>226</v>
      </c>
      <c r="AP514" s="41">
        <f t="shared" si="228"/>
        <v>0.56218905472636815</v>
      </c>
      <c r="AQ514" s="21">
        <v>113</v>
      </c>
      <c r="AR514" s="41">
        <f t="shared" ref="AR514:AR577" si="247">IFERROR(AQ514/$BF514,0)</f>
        <v>0.62087912087912089</v>
      </c>
      <c r="AS514" s="21">
        <v>64</v>
      </c>
      <c r="AT514" s="41">
        <f t="shared" si="229"/>
        <v>0.15920398009950248</v>
      </c>
      <c r="AU514" s="21">
        <v>25</v>
      </c>
      <c r="AV514" s="41">
        <f t="shared" ref="AV514:AV577" si="248">IFERROR(AU514/$BF514,0)</f>
        <v>0.13736263736263737</v>
      </c>
      <c r="AW514" s="21">
        <v>34</v>
      </c>
      <c r="AX514" s="41">
        <f t="shared" si="230"/>
        <v>8.45771144278607E-2</v>
      </c>
      <c r="AY514" s="21">
        <v>14</v>
      </c>
      <c r="AZ514" s="41">
        <f t="shared" ref="AZ514:AZ577" si="249">IFERROR(AY514/$BF514,0)</f>
        <v>7.6923076923076927E-2</v>
      </c>
      <c r="BA514" s="21">
        <v>24</v>
      </c>
      <c r="BB514" s="41">
        <f t="shared" si="231"/>
        <v>5.9701492537313432E-2</v>
      </c>
      <c r="BC514" s="21">
        <v>13</v>
      </c>
      <c r="BD514" s="41">
        <f t="shared" ref="BD514:BD577" si="250">IFERROR(BC514/$BF514,0)</f>
        <v>7.1428571428571425E-2</v>
      </c>
      <c r="BE514" s="21">
        <v>402</v>
      </c>
      <c r="BF514" s="21">
        <v>182</v>
      </c>
    </row>
    <row r="515" spans="1:58" ht="15.75" customHeight="1" x14ac:dyDescent="0.25">
      <c r="A515" s="44">
        <v>2021</v>
      </c>
      <c r="B515" s="39">
        <v>171665</v>
      </c>
      <c r="C515" s="38" t="s">
        <v>150</v>
      </c>
      <c r="D515" s="38" t="s">
        <v>101</v>
      </c>
      <c r="E515" s="21">
        <v>2</v>
      </c>
      <c r="F515" s="42">
        <f t="shared" si="232"/>
        <v>2.0202020202020204E-2</v>
      </c>
      <c r="G515" s="21">
        <v>0</v>
      </c>
      <c r="H515" s="42">
        <f t="shared" si="233"/>
        <v>0</v>
      </c>
      <c r="I515" s="21">
        <v>1</v>
      </c>
      <c r="J515" s="41">
        <f t="shared" si="234"/>
        <v>1.0101010101010102E-2</v>
      </c>
      <c r="K515" s="21">
        <v>0</v>
      </c>
      <c r="L515" s="41">
        <f t="shared" si="235"/>
        <v>0</v>
      </c>
      <c r="M515" s="21">
        <v>84</v>
      </c>
      <c r="N515" s="41">
        <f t="shared" si="236"/>
        <v>0.84848484848484851</v>
      </c>
      <c r="O515" s="21">
        <v>39</v>
      </c>
      <c r="P515" s="41">
        <f t="shared" si="237"/>
        <v>0.8125</v>
      </c>
      <c r="Q515" s="21">
        <v>12</v>
      </c>
      <c r="R515" s="41">
        <f t="shared" si="238"/>
        <v>0.12121212121212122</v>
      </c>
      <c r="S515" s="21">
        <v>9</v>
      </c>
      <c r="T515" s="41">
        <f t="shared" si="239"/>
        <v>0.1875</v>
      </c>
      <c r="U515" s="21">
        <v>6</v>
      </c>
      <c r="V515" s="41">
        <f t="shared" si="240"/>
        <v>6.0606060606060608E-2</v>
      </c>
      <c r="W515" s="21">
        <v>5</v>
      </c>
      <c r="X515" s="41">
        <f t="shared" si="241"/>
        <v>0.10416666666666667</v>
      </c>
      <c r="Y515" s="21">
        <v>4</v>
      </c>
      <c r="Z515" s="41">
        <f t="shared" si="242"/>
        <v>4.0404040404040407E-2</v>
      </c>
      <c r="AA515" s="21">
        <v>5</v>
      </c>
      <c r="AB515" s="41">
        <f t="shared" si="243"/>
        <v>0.10416666666666667</v>
      </c>
      <c r="AC515" s="21">
        <v>89</v>
      </c>
      <c r="AD515" s="41">
        <f t="shared" si="225"/>
        <v>0.89898989898989901</v>
      </c>
      <c r="AE515" s="21">
        <v>38</v>
      </c>
      <c r="AF515" s="41">
        <f t="shared" si="244"/>
        <v>0.79166666666666663</v>
      </c>
      <c r="AG515" s="21">
        <v>4</v>
      </c>
      <c r="AH515" s="41">
        <f t="shared" si="226"/>
        <v>4.0404040404040407E-2</v>
      </c>
      <c r="AI515" s="21">
        <v>1</v>
      </c>
      <c r="AJ515" s="41">
        <f t="shared" si="245"/>
        <v>2.0833333333333332E-2</v>
      </c>
      <c r="AK515" s="21">
        <v>3</v>
      </c>
      <c r="AL515" s="41">
        <f t="shared" si="227"/>
        <v>3.0303030303030304E-2</v>
      </c>
      <c r="AM515" s="21">
        <v>0</v>
      </c>
      <c r="AN515" s="41">
        <f t="shared" si="246"/>
        <v>0</v>
      </c>
      <c r="AO515" s="21">
        <v>55</v>
      </c>
      <c r="AP515" s="41">
        <f t="shared" si="228"/>
        <v>0.55555555555555558</v>
      </c>
      <c r="AQ515" s="21">
        <v>22</v>
      </c>
      <c r="AR515" s="41">
        <f t="shared" si="247"/>
        <v>0.45833333333333331</v>
      </c>
      <c r="AS515" s="21">
        <v>16</v>
      </c>
      <c r="AT515" s="41">
        <f t="shared" si="229"/>
        <v>0.16161616161616163</v>
      </c>
      <c r="AU515" s="21">
        <v>5</v>
      </c>
      <c r="AV515" s="41">
        <f t="shared" si="248"/>
        <v>0.10416666666666667</v>
      </c>
      <c r="AW515" s="21">
        <v>8</v>
      </c>
      <c r="AX515" s="41">
        <f t="shared" si="230"/>
        <v>8.0808080808080815E-2</v>
      </c>
      <c r="AY515" s="21">
        <v>9</v>
      </c>
      <c r="AZ515" s="41">
        <f t="shared" si="249"/>
        <v>0.1875</v>
      </c>
      <c r="BA515" s="21">
        <v>13</v>
      </c>
      <c r="BB515" s="41">
        <f t="shared" si="231"/>
        <v>0.13131313131313133</v>
      </c>
      <c r="BC515" s="21">
        <v>11</v>
      </c>
      <c r="BD515" s="41">
        <f t="shared" si="250"/>
        <v>0.22916666666666666</v>
      </c>
      <c r="BE515" s="21">
        <v>99</v>
      </c>
      <c r="BF515" s="21">
        <v>48</v>
      </c>
    </row>
    <row r="516" spans="1:58" ht="15.75" customHeight="1" x14ac:dyDescent="0.25">
      <c r="A516" s="44">
        <v>2021</v>
      </c>
      <c r="B516" s="39">
        <v>171700</v>
      </c>
      <c r="C516" s="38" t="s">
        <v>151</v>
      </c>
      <c r="D516" s="38" t="s">
        <v>102</v>
      </c>
      <c r="E516" s="21">
        <v>0</v>
      </c>
      <c r="F516" s="42">
        <f t="shared" si="232"/>
        <v>0</v>
      </c>
      <c r="G516" s="21">
        <v>0</v>
      </c>
      <c r="H516" s="42">
        <f t="shared" si="233"/>
        <v>0</v>
      </c>
      <c r="I516" s="21">
        <v>1</v>
      </c>
      <c r="J516" s="41">
        <f t="shared" si="234"/>
        <v>1.5151515151515152E-2</v>
      </c>
      <c r="K516" s="21">
        <v>1</v>
      </c>
      <c r="L516" s="41">
        <f t="shared" si="235"/>
        <v>1.8518518518518517E-2</v>
      </c>
      <c r="M516" s="21">
        <v>60</v>
      </c>
      <c r="N516" s="41">
        <f t="shared" si="236"/>
        <v>0.90909090909090906</v>
      </c>
      <c r="O516" s="21">
        <v>49</v>
      </c>
      <c r="P516" s="41">
        <f t="shared" si="237"/>
        <v>0.90740740740740744</v>
      </c>
      <c r="Q516" s="21">
        <v>5</v>
      </c>
      <c r="R516" s="41">
        <f t="shared" si="238"/>
        <v>7.575757575757576E-2</v>
      </c>
      <c r="S516" s="21">
        <v>4</v>
      </c>
      <c r="T516" s="41">
        <f t="shared" si="239"/>
        <v>7.407407407407407E-2</v>
      </c>
      <c r="U516" s="21">
        <v>6</v>
      </c>
      <c r="V516" s="41">
        <f t="shared" si="240"/>
        <v>9.0909090909090912E-2</v>
      </c>
      <c r="W516" s="21">
        <v>4</v>
      </c>
      <c r="X516" s="41">
        <f t="shared" si="241"/>
        <v>7.407407407407407E-2</v>
      </c>
      <c r="Y516" s="21">
        <v>4</v>
      </c>
      <c r="Z516" s="41">
        <f t="shared" si="242"/>
        <v>6.0606060606060608E-2</v>
      </c>
      <c r="AA516" s="21">
        <v>3</v>
      </c>
      <c r="AB516" s="41">
        <f t="shared" si="243"/>
        <v>5.5555555555555552E-2</v>
      </c>
      <c r="AC516" s="21">
        <v>56</v>
      </c>
      <c r="AD516" s="41">
        <f t="shared" si="225"/>
        <v>0.84848484848484851</v>
      </c>
      <c r="AE516" s="21">
        <v>47</v>
      </c>
      <c r="AF516" s="41">
        <f t="shared" si="244"/>
        <v>0.87037037037037035</v>
      </c>
      <c r="AG516" s="21">
        <v>4</v>
      </c>
      <c r="AH516" s="41">
        <f t="shared" si="226"/>
        <v>6.0606060606060608E-2</v>
      </c>
      <c r="AI516" s="21">
        <v>4</v>
      </c>
      <c r="AJ516" s="41">
        <f t="shared" si="245"/>
        <v>7.407407407407407E-2</v>
      </c>
      <c r="AK516" s="21">
        <v>2</v>
      </c>
      <c r="AL516" s="41">
        <f t="shared" si="227"/>
        <v>3.0303030303030304E-2</v>
      </c>
      <c r="AM516" s="21">
        <v>2</v>
      </c>
      <c r="AN516" s="41">
        <f t="shared" si="246"/>
        <v>3.7037037037037035E-2</v>
      </c>
      <c r="AO516" s="21">
        <v>37</v>
      </c>
      <c r="AP516" s="41">
        <f t="shared" si="228"/>
        <v>0.56060606060606055</v>
      </c>
      <c r="AQ516" s="21">
        <v>31</v>
      </c>
      <c r="AR516" s="41">
        <f t="shared" si="247"/>
        <v>0.57407407407407407</v>
      </c>
      <c r="AS516" s="21">
        <v>7</v>
      </c>
      <c r="AT516" s="41">
        <f t="shared" si="229"/>
        <v>0.10606060606060606</v>
      </c>
      <c r="AU516" s="21">
        <v>6</v>
      </c>
      <c r="AV516" s="41">
        <f t="shared" si="248"/>
        <v>0.1111111111111111</v>
      </c>
      <c r="AW516" s="21">
        <v>8</v>
      </c>
      <c r="AX516" s="41">
        <f t="shared" si="230"/>
        <v>0.12121212121212122</v>
      </c>
      <c r="AY516" s="21">
        <v>5</v>
      </c>
      <c r="AZ516" s="41">
        <f t="shared" si="249"/>
        <v>9.2592592592592587E-2</v>
      </c>
      <c r="BA516" s="21">
        <v>8</v>
      </c>
      <c r="BB516" s="41">
        <f t="shared" si="231"/>
        <v>0.12121212121212122</v>
      </c>
      <c r="BC516" s="21">
        <v>6</v>
      </c>
      <c r="BD516" s="41">
        <f t="shared" si="250"/>
        <v>0.1111111111111111</v>
      </c>
      <c r="BE516" s="21">
        <v>66</v>
      </c>
      <c r="BF516" s="21">
        <v>54</v>
      </c>
    </row>
    <row r="517" spans="1:58" ht="15.75" customHeight="1" x14ac:dyDescent="0.25">
      <c r="A517" s="44">
        <v>2021</v>
      </c>
      <c r="B517" s="39">
        <v>171720</v>
      </c>
      <c r="C517" s="38" t="s">
        <v>149</v>
      </c>
      <c r="D517" s="38" t="s">
        <v>103</v>
      </c>
      <c r="E517" s="21">
        <v>5</v>
      </c>
      <c r="F517" s="42">
        <f t="shared" si="232"/>
        <v>3.90625E-2</v>
      </c>
      <c r="G517" s="21">
        <v>4</v>
      </c>
      <c r="H517" s="42">
        <f t="shared" si="233"/>
        <v>0.05</v>
      </c>
      <c r="I517" s="21">
        <v>2</v>
      </c>
      <c r="J517" s="41">
        <f t="shared" si="234"/>
        <v>1.5625E-2</v>
      </c>
      <c r="K517" s="21">
        <v>1</v>
      </c>
      <c r="L517" s="41">
        <f t="shared" si="235"/>
        <v>1.2500000000000001E-2</v>
      </c>
      <c r="M517" s="21">
        <v>108</v>
      </c>
      <c r="N517" s="41">
        <f t="shared" si="236"/>
        <v>0.84375</v>
      </c>
      <c r="O517" s="21">
        <v>64</v>
      </c>
      <c r="P517" s="41">
        <f t="shared" si="237"/>
        <v>0.8</v>
      </c>
      <c r="Q517" s="21">
        <v>13</v>
      </c>
      <c r="R517" s="41">
        <f t="shared" si="238"/>
        <v>0.1015625</v>
      </c>
      <c r="S517" s="21">
        <v>11</v>
      </c>
      <c r="T517" s="41">
        <f t="shared" si="239"/>
        <v>0.13750000000000001</v>
      </c>
      <c r="U517" s="21">
        <v>8</v>
      </c>
      <c r="V517" s="41">
        <f t="shared" si="240"/>
        <v>6.25E-2</v>
      </c>
      <c r="W517" s="21">
        <v>7</v>
      </c>
      <c r="X517" s="41">
        <f t="shared" si="241"/>
        <v>8.7499999999999994E-2</v>
      </c>
      <c r="Y517" s="21">
        <v>7</v>
      </c>
      <c r="Z517" s="41">
        <f t="shared" si="242"/>
        <v>5.46875E-2</v>
      </c>
      <c r="AA517" s="21">
        <v>5</v>
      </c>
      <c r="AB517" s="41">
        <f t="shared" si="243"/>
        <v>6.25E-2</v>
      </c>
      <c r="AC517" s="21">
        <v>113</v>
      </c>
      <c r="AD517" s="41">
        <f t="shared" si="225"/>
        <v>0.8828125</v>
      </c>
      <c r="AE517" s="21">
        <v>68</v>
      </c>
      <c r="AF517" s="41">
        <f t="shared" si="244"/>
        <v>0.85</v>
      </c>
      <c r="AG517" s="21">
        <v>8</v>
      </c>
      <c r="AH517" s="41">
        <f t="shared" si="226"/>
        <v>6.25E-2</v>
      </c>
      <c r="AI517" s="21">
        <v>5</v>
      </c>
      <c r="AJ517" s="41">
        <f t="shared" si="245"/>
        <v>6.25E-2</v>
      </c>
      <c r="AK517" s="21">
        <v>4</v>
      </c>
      <c r="AL517" s="41">
        <f t="shared" si="227"/>
        <v>3.125E-2</v>
      </c>
      <c r="AM517" s="21">
        <v>5</v>
      </c>
      <c r="AN517" s="41">
        <f t="shared" si="246"/>
        <v>6.25E-2</v>
      </c>
      <c r="AO517" s="21">
        <v>72</v>
      </c>
      <c r="AP517" s="41">
        <f t="shared" si="228"/>
        <v>0.5625</v>
      </c>
      <c r="AQ517" s="21">
        <v>42</v>
      </c>
      <c r="AR517" s="41">
        <f t="shared" si="247"/>
        <v>0.52500000000000002</v>
      </c>
      <c r="AS517" s="21">
        <v>22</v>
      </c>
      <c r="AT517" s="41">
        <f t="shared" si="229"/>
        <v>0.171875</v>
      </c>
      <c r="AU517" s="21">
        <v>12</v>
      </c>
      <c r="AV517" s="41">
        <f t="shared" si="248"/>
        <v>0.15</v>
      </c>
      <c r="AW517" s="21">
        <v>10</v>
      </c>
      <c r="AX517" s="41">
        <f t="shared" si="230"/>
        <v>7.8125E-2</v>
      </c>
      <c r="AY517" s="21">
        <v>6</v>
      </c>
      <c r="AZ517" s="41">
        <f t="shared" si="249"/>
        <v>7.4999999999999997E-2</v>
      </c>
      <c r="BA517" s="21">
        <v>12</v>
      </c>
      <c r="BB517" s="41">
        <f t="shared" si="231"/>
        <v>9.375E-2</v>
      </c>
      <c r="BC517" s="21">
        <v>10</v>
      </c>
      <c r="BD517" s="41">
        <f t="shared" si="250"/>
        <v>0.125</v>
      </c>
      <c r="BE517" s="21">
        <v>128</v>
      </c>
      <c r="BF517" s="21">
        <v>80</v>
      </c>
    </row>
    <row r="518" spans="1:58" ht="15.75" customHeight="1" x14ac:dyDescent="0.25">
      <c r="A518" s="44">
        <v>2021</v>
      </c>
      <c r="B518" s="39">
        <v>171750</v>
      </c>
      <c r="C518" s="38" t="s">
        <v>144</v>
      </c>
      <c r="D518" s="38" t="s">
        <v>104</v>
      </c>
      <c r="E518" s="21">
        <v>2</v>
      </c>
      <c r="F518" s="42">
        <f t="shared" si="232"/>
        <v>8.2644628099173556E-3</v>
      </c>
      <c r="G518" s="21">
        <v>0</v>
      </c>
      <c r="H518" s="42">
        <f t="shared" si="233"/>
        <v>0</v>
      </c>
      <c r="I518" s="21">
        <v>8</v>
      </c>
      <c r="J518" s="41">
        <f t="shared" si="234"/>
        <v>3.3057851239669422E-2</v>
      </c>
      <c r="K518" s="21">
        <v>1</v>
      </c>
      <c r="L518" s="41">
        <f t="shared" si="235"/>
        <v>0.1111111111111111</v>
      </c>
      <c r="M518" s="21">
        <v>213</v>
      </c>
      <c r="N518" s="41">
        <f t="shared" si="236"/>
        <v>0.8801652892561983</v>
      </c>
      <c r="O518" s="21">
        <v>7</v>
      </c>
      <c r="P518" s="41">
        <f t="shared" si="237"/>
        <v>0.77777777777777779</v>
      </c>
      <c r="Q518" s="21">
        <v>19</v>
      </c>
      <c r="R518" s="41">
        <f t="shared" si="238"/>
        <v>7.8512396694214878E-2</v>
      </c>
      <c r="S518" s="21">
        <v>1</v>
      </c>
      <c r="T518" s="41">
        <f t="shared" si="239"/>
        <v>0.1111111111111111</v>
      </c>
      <c r="U518" s="21">
        <v>11</v>
      </c>
      <c r="V518" s="41">
        <f t="shared" si="240"/>
        <v>4.5454545454545456E-2</v>
      </c>
      <c r="W518" s="21">
        <v>1</v>
      </c>
      <c r="X518" s="41">
        <f t="shared" si="241"/>
        <v>0.1111111111111111</v>
      </c>
      <c r="Y518" s="21">
        <v>6</v>
      </c>
      <c r="Z518" s="41">
        <f t="shared" si="242"/>
        <v>2.4793388429752067E-2</v>
      </c>
      <c r="AA518" s="21">
        <v>0</v>
      </c>
      <c r="AB518" s="41">
        <f t="shared" si="243"/>
        <v>0</v>
      </c>
      <c r="AC518" s="21">
        <v>225</v>
      </c>
      <c r="AD518" s="41">
        <f t="shared" si="225"/>
        <v>0.92975206611570249</v>
      </c>
      <c r="AE518" s="21">
        <v>8</v>
      </c>
      <c r="AF518" s="41">
        <f t="shared" si="244"/>
        <v>0.88888888888888884</v>
      </c>
      <c r="AG518" s="21">
        <v>2</v>
      </c>
      <c r="AH518" s="41">
        <f t="shared" si="226"/>
        <v>8.2644628099173556E-3</v>
      </c>
      <c r="AI518" s="21">
        <v>0</v>
      </c>
      <c r="AJ518" s="41">
        <f t="shared" si="245"/>
        <v>0</v>
      </c>
      <c r="AK518" s="21">
        <v>7</v>
      </c>
      <c r="AL518" s="41">
        <f t="shared" si="227"/>
        <v>2.8925619834710745E-2</v>
      </c>
      <c r="AM518" s="21">
        <v>0</v>
      </c>
      <c r="AN518" s="41">
        <f t="shared" si="246"/>
        <v>0</v>
      </c>
      <c r="AO518" s="21">
        <v>150</v>
      </c>
      <c r="AP518" s="41">
        <f t="shared" si="228"/>
        <v>0.6198347107438017</v>
      </c>
      <c r="AQ518" s="21">
        <v>5</v>
      </c>
      <c r="AR518" s="41">
        <f t="shared" si="247"/>
        <v>0.55555555555555558</v>
      </c>
      <c r="AS518" s="21">
        <v>47</v>
      </c>
      <c r="AT518" s="41">
        <f t="shared" si="229"/>
        <v>0.19421487603305784</v>
      </c>
      <c r="AU518" s="21">
        <v>2</v>
      </c>
      <c r="AV518" s="41">
        <f t="shared" si="248"/>
        <v>0.22222222222222221</v>
      </c>
      <c r="AW518" s="21">
        <v>25</v>
      </c>
      <c r="AX518" s="41">
        <f t="shared" si="230"/>
        <v>0.10330578512396695</v>
      </c>
      <c r="AY518" s="21">
        <v>2</v>
      </c>
      <c r="AZ518" s="41">
        <f t="shared" si="249"/>
        <v>0.22222222222222221</v>
      </c>
      <c r="BA518" s="21">
        <v>11</v>
      </c>
      <c r="BB518" s="41">
        <f t="shared" si="231"/>
        <v>4.5454545454545456E-2</v>
      </c>
      <c r="BC518" s="21">
        <v>0</v>
      </c>
      <c r="BD518" s="41">
        <f t="shared" si="250"/>
        <v>0</v>
      </c>
      <c r="BE518" s="21">
        <v>242</v>
      </c>
      <c r="BF518" s="21">
        <v>9</v>
      </c>
    </row>
    <row r="519" spans="1:58" ht="15.75" customHeight="1" x14ac:dyDescent="0.25">
      <c r="A519" s="44">
        <v>2021</v>
      </c>
      <c r="B519" s="39">
        <v>171780</v>
      </c>
      <c r="C519" s="38" t="s">
        <v>147</v>
      </c>
      <c r="D519" s="38" t="s">
        <v>105</v>
      </c>
      <c r="E519" s="21">
        <v>1</v>
      </c>
      <c r="F519" s="42">
        <f t="shared" si="232"/>
        <v>6.41025641025641E-3</v>
      </c>
      <c r="G519" s="21">
        <v>1</v>
      </c>
      <c r="H519" s="42">
        <f t="shared" si="233"/>
        <v>8.3333333333333332E-3</v>
      </c>
      <c r="I519" s="21">
        <v>1</v>
      </c>
      <c r="J519" s="41">
        <f t="shared" si="234"/>
        <v>6.41025641025641E-3</v>
      </c>
      <c r="K519" s="21">
        <v>1</v>
      </c>
      <c r="L519" s="41">
        <f t="shared" si="235"/>
        <v>8.3333333333333332E-3</v>
      </c>
      <c r="M519" s="21">
        <v>142</v>
      </c>
      <c r="N519" s="41">
        <f t="shared" si="236"/>
        <v>0.91025641025641024</v>
      </c>
      <c r="O519" s="21">
        <v>110</v>
      </c>
      <c r="P519" s="41">
        <f t="shared" si="237"/>
        <v>0.91666666666666663</v>
      </c>
      <c r="Q519" s="21">
        <v>12</v>
      </c>
      <c r="R519" s="41">
        <f t="shared" si="238"/>
        <v>7.6923076923076927E-2</v>
      </c>
      <c r="S519" s="21">
        <v>8</v>
      </c>
      <c r="T519" s="41">
        <f t="shared" si="239"/>
        <v>6.6666666666666666E-2</v>
      </c>
      <c r="U519" s="21">
        <v>2</v>
      </c>
      <c r="V519" s="41">
        <f t="shared" si="240"/>
        <v>1.282051282051282E-2</v>
      </c>
      <c r="W519" s="21">
        <v>3</v>
      </c>
      <c r="X519" s="41">
        <f t="shared" si="241"/>
        <v>2.5000000000000001E-2</v>
      </c>
      <c r="Y519" s="21">
        <v>10</v>
      </c>
      <c r="Z519" s="41">
        <f t="shared" si="242"/>
        <v>6.4102564102564097E-2</v>
      </c>
      <c r="AA519" s="21">
        <v>8</v>
      </c>
      <c r="AB519" s="41">
        <f t="shared" si="243"/>
        <v>6.6666666666666666E-2</v>
      </c>
      <c r="AC519" s="21">
        <v>144</v>
      </c>
      <c r="AD519" s="41">
        <f t="shared" si="225"/>
        <v>0.92307692307692313</v>
      </c>
      <c r="AE519" s="21">
        <v>109</v>
      </c>
      <c r="AF519" s="41">
        <f t="shared" si="244"/>
        <v>0.90833333333333333</v>
      </c>
      <c r="AG519" s="21">
        <v>3</v>
      </c>
      <c r="AH519" s="41">
        <f t="shared" si="226"/>
        <v>1.9230769230769232E-2</v>
      </c>
      <c r="AI519" s="21">
        <v>3</v>
      </c>
      <c r="AJ519" s="41">
        <f t="shared" si="245"/>
        <v>2.5000000000000001E-2</v>
      </c>
      <c r="AK519" s="21">
        <v>8</v>
      </c>
      <c r="AL519" s="41">
        <f t="shared" si="227"/>
        <v>5.128205128205128E-2</v>
      </c>
      <c r="AM519" s="21">
        <v>6</v>
      </c>
      <c r="AN519" s="41">
        <f t="shared" si="246"/>
        <v>0.05</v>
      </c>
      <c r="AO519" s="21">
        <v>108</v>
      </c>
      <c r="AP519" s="41">
        <f t="shared" si="228"/>
        <v>0.69230769230769229</v>
      </c>
      <c r="AQ519" s="21">
        <v>86</v>
      </c>
      <c r="AR519" s="41">
        <f t="shared" si="247"/>
        <v>0.71666666666666667</v>
      </c>
      <c r="AS519" s="21">
        <v>23</v>
      </c>
      <c r="AT519" s="41">
        <f t="shared" si="229"/>
        <v>0.14743589743589744</v>
      </c>
      <c r="AU519" s="21">
        <v>17</v>
      </c>
      <c r="AV519" s="41">
        <f t="shared" si="248"/>
        <v>0.14166666666666666</v>
      </c>
      <c r="AW519" s="21">
        <v>6</v>
      </c>
      <c r="AX519" s="41">
        <f t="shared" si="230"/>
        <v>3.8461538461538464E-2</v>
      </c>
      <c r="AY519" s="21">
        <v>2</v>
      </c>
      <c r="AZ519" s="41">
        <f t="shared" si="249"/>
        <v>1.6666666666666666E-2</v>
      </c>
      <c r="BA519" s="21">
        <v>8</v>
      </c>
      <c r="BB519" s="41">
        <f t="shared" si="231"/>
        <v>5.128205128205128E-2</v>
      </c>
      <c r="BC519" s="21">
        <v>6</v>
      </c>
      <c r="BD519" s="41">
        <f t="shared" si="250"/>
        <v>0.05</v>
      </c>
      <c r="BE519" s="21">
        <v>156</v>
      </c>
      <c r="BF519" s="21">
        <v>120</v>
      </c>
    </row>
    <row r="520" spans="1:58" ht="15.75" customHeight="1" x14ac:dyDescent="0.25">
      <c r="A520" s="44">
        <v>2021</v>
      </c>
      <c r="B520" s="39">
        <v>171790</v>
      </c>
      <c r="C520" s="38" t="s">
        <v>151</v>
      </c>
      <c r="D520" s="38" t="s">
        <v>106</v>
      </c>
      <c r="E520" s="21">
        <v>0</v>
      </c>
      <c r="F520" s="42">
        <f t="shared" si="232"/>
        <v>0</v>
      </c>
      <c r="G520" s="21">
        <v>0</v>
      </c>
      <c r="H520" s="42">
        <f t="shared" si="233"/>
        <v>0</v>
      </c>
      <c r="I520" s="21">
        <v>8</v>
      </c>
      <c r="J520" s="41">
        <f t="shared" si="234"/>
        <v>4.5977011494252873E-2</v>
      </c>
      <c r="K520" s="21">
        <v>8</v>
      </c>
      <c r="L520" s="41">
        <f t="shared" si="235"/>
        <v>4.6783625730994149E-2</v>
      </c>
      <c r="M520" s="21">
        <v>157</v>
      </c>
      <c r="N520" s="41">
        <f t="shared" si="236"/>
        <v>0.9022988505747126</v>
      </c>
      <c r="O520" s="21">
        <v>154</v>
      </c>
      <c r="P520" s="41">
        <f t="shared" si="237"/>
        <v>0.90058479532163738</v>
      </c>
      <c r="Q520" s="21">
        <v>9</v>
      </c>
      <c r="R520" s="41">
        <f t="shared" si="238"/>
        <v>5.1724137931034482E-2</v>
      </c>
      <c r="S520" s="21">
        <v>9</v>
      </c>
      <c r="T520" s="41">
        <f t="shared" si="239"/>
        <v>5.2631578947368418E-2</v>
      </c>
      <c r="U520" s="21">
        <v>6</v>
      </c>
      <c r="V520" s="41">
        <f t="shared" si="240"/>
        <v>3.4482758620689655E-2</v>
      </c>
      <c r="W520" s="21">
        <v>4</v>
      </c>
      <c r="X520" s="41">
        <f t="shared" si="241"/>
        <v>2.3391812865497075E-2</v>
      </c>
      <c r="Y520" s="21">
        <v>15</v>
      </c>
      <c r="Z520" s="41">
        <f t="shared" si="242"/>
        <v>8.6206896551724144E-2</v>
      </c>
      <c r="AA520" s="21">
        <v>15</v>
      </c>
      <c r="AB520" s="41">
        <f t="shared" si="243"/>
        <v>8.771929824561403E-2</v>
      </c>
      <c r="AC520" s="21">
        <v>153</v>
      </c>
      <c r="AD520" s="41">
        <f t="shared" si="225"/>
        <v>0.87931034482758619</v>
      </c>
      <c r="AE520" s="21">
        <v>152</v>
      </c>
      <c r="AF520" s="41">
        <f t="shared" si="244"/>
        <v>0.88888888888888884</v>
      </c>
      <c r="AG520" s="21">
        <v>4</v>
      </c>
      <c r="AH520" s="41">
        <f t="shared" si="226"/>
        <v>2.2988505747126436E-2</v>
      </c>
      <c r="AI520" s="21">
        <v>4</v>
      </c>
      <c r="AJ520" s="41">
        <f t="shared" si="245"/>
        <v>2.3391812865497075E-2</v>
      </c>
      <c r="AK520" s="21">
        <v>10</v>
      </c>
      <c r="AL520" s="41">
        <f t="shared" si="227"/>
        <v>5.7471264367816091E-2</v>
      </c>
      <c r="AM520" s="21">
        <v>12</v>
      </c>
      <c r="AN520" s="41">
        <f t="shared" si="246"/>
        <v>7.0175438596491224E-2</v>
      </c>
      <c r="AO520" s="21">
        <v>125</v>
      </c>
      <c r="AP520" s="41">
        <f t="shared" si="228"/>
        <v>0.7183908045977011</v>
      </c>
      <c r="AQ520" s="21">
        <v>123</v>
      </c>
      <c r="AR520" s="41">
        <f t="shared" si="247"/>
        <v>0.7192982456140351</v>
      </c>
      <c r="AS520" s="21">
        <v>17</v>
      </c>
      <c r="AT520" s="41">
        <f t="shared" si="229"/>
        <v>9.7701149425287362E-2</v>
      </c>
      <c r="AU520" s="21">
        <v>15</v>
      </c>
      <c r="AV520" s="41">
        <f t="shared" si="248"/>
        <v>8.771929824561403E-2</v>
      </c>
      <c r="AW520" s="21">
        <v>9</v>
      </c>
      <c r="AX520" s="41">
        <f t="shared" si="230"/>
        <v>5.1724137931034482E-2</v>
      </c>
      <c r="AY520" s="21">
        <v>9</v>
      </c>
      <c r="AZ520" s="41">
        <f t="shared" si="249"/>
        <v>5.2631578947368418E-2</v>
      </c>
      <c r="BA520" s="21">
        <v>9</v>
      </c>
      <c r="BB520" s="41">
        <f t="shared" si="231"/>
        <v>5.1724137931034482E-2</v>
      </c>
      <c r="BC520" s="21">
        <v>8</v>
      </c>
      <c r="BD520" s="41">
        <f t="shared" si="250"/>
        <v>4.6783625730994149E-2</v>
      </c>
      <c r="BE520" s="21">
        <v>174</v>
      </c>
      <c r="BF520" s="21">
        <v>171</v>
      </c>
    </row>
    <row r="521" spans="1:58" ht="15.75" customHeight="1" x14ac:dyDescent="0.25">
      <c r="A521" s="44">
        <v>2021</v>
      </c>
      <c r="B521" s="39">
        <v>171800</v>
      </c>
      <c r="C521" s="38" t="s">
        <v>147</v>
      </c>
      <c r="D521" s="38" t="s">
        <v>107</v>
      </c>
      <c r="E521" s="21">
        <v>0</v>
      </c>
      <c r="F521" s="42">
        <f t="shared" si="232"/>
        <v>0</v>
      </c>
      <c r="G521" s="21">
        <v>0</v>
      </c>
      <c r="H521" s="42">
        <f t="shared" si="233"/>
        <v>0</v>
      </c>
      <c r="I521" s="21">
        <v>1</v>
      </c>
      <c r="J521" s="41">
        <f t="shared" si="234"/>
        <v>1.1627906976744186E-2</v>
      </c>
      <c r="K521" s="21">
        <v>1</v>
      </c>
      <c r="L521" s="41">
        <f t="shared" si="235"/>
        <v>1.2048192771084338E-2</v>
      </c>
      <c r="M521" s="21">
        <v>83</v>
      </c>
      <c r="N521" s="41">
        <f t="shared" si="236"/>
        <v>0.96511627906976749</v>
      </c>
      <c r="O521" s="21">
        <v>80</v>
      </c>
      <c r="P521" s="41">
        <f t="shared" si="237"/>
        <v>0.96385542168674698</v>
      </c>
      <c r="Q521" s="21">
        <v>2</v>
      </c>
      <c r="R521" s="41">
        <f t="shared" si="238"/>
        <v>2.3255813953488372E-2</v>
      </c>
      <c r="S521" s="21">
        <v>2</v>
      </c>
      <c r="T521" s="41">
        <f t="shared" si="239"/>
        <v>2.4096385542168676E-2</v>
      </c>
      <c r="U521" s="21">
        <v>2</v>
      </c>
      <c r="V521" s="41">
        <f t="shared" si="240"/>
        <v>2.3255813953488372E-2</v>
      </c>
      <c r="W521" s="21">
        <v>2</v>
      </c>
      <c r="X521" s="41">
        <f t="shared" si="241"/>
        <v>2.4096385542168676E-2</v>
      </c>
      <c r="Y521" s="21">
        <v>2</v>
      </c>
      <c r="Z521" s="41">
        <f t="shared" si="242"/>
        <v>2.3255813953488372E-2</v>
      </c>
      <c r="AA521" s="21">
        <v>2</v>
      </c>
      <c r="AB521" s="41">
        <f t="shared" si="243"/>
        <v>2.4096385542168676E-2</v>
      </c>
      <c r="AC521" s="21">
        <v>82</v>
      </c>
      <c r="AD521" s="41">
        <f t="shared" si="225"/>
        <v>0.95348837209302328</v>
      </c>
      <c r="AE521" s="21">
        <v>79</v>
      </c>
      <c r="AF521" s="41">
        <f t="shared" si="244"/>
        <v>0.95180722891566261</v>
      </c>
      <c r="AG521" s="21">
        <v>3</v>
      </c>
      <c r="AH521" s="41">
        <f t="shared" si="226"/>
        <v>3.4883720930232558E-2</v>
      </c>
      <c r="AI521" s="21">
        <v>3</v>
      </c>
      <c r="AJ521" s="41">
        <f t="shared" si="245"/>
        <v>3.614457831325301E-2</v>
      </c>
      <c r="AK521" s="21">
        <v>6</v>
      </c>
      <c r="AL521" s="41">
        <f t="shared" si="227"/>
        <v>6.9767441860465115E-2</v>
      </c>
      <c r="AM521" s="21">
        <v>6</v>
      </c>
      <c r="AN521" s="41">
        <f t="shared" si="246"/>
        <v>7.2289156626506021E-2</v>
      </c>
      <c r="AO521" s="21">
        <v>62</v>
      </c>
      <c r="AP521" s="41">
        <f t="shared" si="228"/>
        <v>0.72093023255813948</v>
      </c>
      <c r="AQ521" s="21">
        <v>59</v>
      </c>
      <c r="AR521" s="41">
        <f t="shared" si="247"/>
        <v>0.71084337349397586</v>
      </c>
      <c r="AS521" s="21">
        <v>8</v>
      </c>
      <c r="AT521" s="41">
        <f t="shared" si="229"/>
        <v>9.3023255813953487E-2</v>
      </c>
      <c r="AU521" s="21">
        <v>8</v>
      </c>
      <c r="AV521" s="41">
        <f t="shared" si="248"/>
        <v>9.6385542168674704E-2</v>
      </c>
      <c r="AW521" s="21">
        <v>4</v>
      </c>
      <c r="AX521" s="41">
        <f t="shared" si="230"/>
        <v>4.6511627906976744E-2</v>
      </c>
      <c r="AY521" s="21">
        <v>4</v>
      </c>
      <c r="AZ521" s="41">
        <f t="shared" si="249"/>
        <v>4.8192771084337352E-2</v>
      </c>
      <c r="BA521" s="21">
        <v>3</v>
      </c>
      <c r="BB521" s="41">
        <f t="shared" si="231"/>
        <v>3.4883720930232558E-2</v>
      </c>
      <c r="BC521" s="21">
        <v>3</v>
      </c>
      <c r="BD521" s="41">
        <f t="shared" si="250"/>
        <v>3.614457831325301E-2</v>
      </c>
      <c r="BE521" s="21">
        <v>86</v>
      </c>
      <c r="BF521" s="21">
        <v>83</v>
      </c>
    </row>
    <row r="522" spans="1:58" ht="15.75" customHeight="1" x14ac:dyDescent="0.25">
      <c r="A522" s="44">
        <v>2021</v>
      </c>
      <c r="B522" s="39">
        <v>171820</v>
      </c>
      <c r="C522" s="38" t="s">
        <v>151</v>
      </c>
      <c r="D522" s="38" t="s">
        <v>108</v>
      </c>
      <c r="E522" s="21">
        <v>24</v>
      </c>
      <c r="F522" s="42">
        <f t="shared" si="232"/>
        <v>1.6736401673640166E-2</v>
      </c>
      <c r="G522" s="21">
        <v>9</v>
      </c>
      <c r="H522" s="42">
        <f t="shared" si="233"/>
        <v>1.1968085106382979E-2</v>
      </c>
      <c r="I522" s="21">
        <v>53</v>
      </c>
      <c r="J522" s="41">
        <f t="shared" si="234"/>
        <v>3.6959553695955369E-2</v>
      </c>
      <c r="K522" s="21">
        <v>30</v>
      </c>
      <c r="L522" s="41">
        <f t="shared" si="235"/>
        <v>3.9893617021276598E-2</v>
      </c>
      <c r="M522" s="20">
        <v>1279</v>
      </c>
      <c r="N522" s="41">
        <f t="shared" si="236"/>
        <v>0.89191073919107389</v>
      </c>
      <c r="O522" s="21">
        <v>678</v>
      </c>
      <c r="P522" s="41">
        <f t="shared" si="237"/>
        <v>0.90159574468085102</v>
      </c>
      <c r="Q522" s="21">
        <v>78</v>
      </c>
      <c r="R522" s="41">
        <f t="shared" si="238"/>
        <v>5.4393305439330547E-2</v>
      </c>
      <c r="S522" s="21">
        <v>35</v>
      </c>
      <c r="T522" s="41">
        <f t="shared" si="239"/>
        <v>4.6542553191489359E-2</v>
      </c>
      <c r="U522" s="21">
        <v>89</v>
      </c>
      <c r="V522" s="41">
        <f t="shared" si="240"/>
        <v>6.2064156206415623E-2</v>
      </c>
      <c r="W522" s="21">
        <v>45</v>
      </c>
      <c r="X522" s="41">
        <f t="shared" si="241"/>
        <v>5.9840425531914897E-2</v>
      </c>
      <c r="Y522" s="21">
        <v>96</v>
      </c>
      <c r="Z522" s="41">
        <f t="shared" si="242"/>
        <v>6.6945606694560664E-2</v>
      </c>
      <c r="AA522" s="21">
        <v>61</v>
      </c>
      <c r="AB522" s="41">
        <f t="shared" si="243"/>
        <v>8.1117021276595744E-2</v>
      </c>
      <c r="AC522" s="20">
        <v>1249</v>
      </c>
      <c r="AD522" s="41">
        <f t="shared" si="225"/>
        <v>0.87099023709902368</v>
      </c>
      <c r="AE522" s="21">
        <v>646</v>
      </c>
      <c r="AF522" s="41">
        <f t="shared" si="244"/>
        <v>0.85904255319148937</v>
      </c>
      <c r="AG522" s="21">
        <v>65</v>
      </c>
      <c r="AH522" s="41">
        <f t="shared" si="226"/>
        <v>4.5327754532775454E-2</v>
      </c>
      <c r="AI522" s="21">
        <v>39</v>
      </c>
      <c r="AJ522" s="41">
        <f t="shared" si="245"/>
        <v>5.1861702127659573E-2</v>
      </c>
      <c r="AK522" s="21">
        <v>59</v>
      </c>
      <c r="AL522" s="41">
        <f t="shared" si="227"/>
        <v>4.1143654114365415E-2</v>
      </c>
      <c r="AM522" s="21">
        <v>35</v>
      </c>
      <c r="AN522" s="41">
        <f t="shared" si="246"/>
        <v>4.6542553191489359E-2</v>
      </c>
      <c r="AO522" s="21">
        <v>965</v>
      </c>
      <c r="AP522" s="41">
        <f t="shared" si="228"/>
        <v>0.67294281729428174</v>
      </c>
      <c r="AQ522" s="21">
        <v>517</v>
      </c>
      <c r="AR522" s="41">
        <f t="shared" si="247"/>
        <v>0.6875</v>
      </c>
      <c r="AS522" s="21">
        <v>184</v>
      </c>
      <c r="AT522" s="41">
        <f t="shared" si="229"/>
        <v>0.12831241283124128</v>
      </c>
      <c r="AU522" s="21">
        <v>89</v>
      </c>
      <c r="AV522" s="41">
        <f t="shared" si="248"/>
        <v>0.11835106382978723</v>
      </c>
      <c r="AW522" s="21">
        <v>86</v>
      </c>
      <c r="AX522" s="41">
        <f t="shared" si="230"/>
        <v>5.9972105997210597E-2</v>
      </c>
      <c r="AY522" s="21">
        <v>30</v>
      </c>
      <c r="AZ522" s="41">
        <f t="shared" si="249"/>
        <v>3.9893617021276598E-2</v>
      </c>
      <c r="BA522" s="21">
        <v>75</v>
      </c>
      <c r="BB522" s="41">
        <f t="shared" si="231"/>
        <v>5.2301255230125521E-2</v>
      </c>
      <c r="BC522" s="21">
        <v>42</v>
      </c>
      <c r="BD522" s="41">
        <f t="shared" si="250"/>
        <v>5.5851063829787231E-2</v>
      </c>
      <c r="BE522" s="20">
        <v>1434</v>
      </c>
      <c r="BF522" s="21">
        <v>752</v>
      </c>
    </row>
    <row r="523" spans="1:58" ht="15.75" customHeight="1" x14ac:dyDescent="0.25">
      <c r="A523" s="44">
        <v>2021</v>
      </c>
      <c r="B523" s="39">
        <v>171830</v>
      </c>
      <c r="C523" s="38" t="s">
        <v>145</v>
      </c>
      <c r="D523" s="38" t="s">
        <v>109</v>
      </c>
      <c r="E523" s="21">
        <v>4</v>
      </c>
      <c r="F523" s="42">
        <f t="shared" si="232"/>
        <v>1.3289036544850499E-2</v>
      </c>
      <c r="G523" s="21">
        <v>2</v>
      </c>
      <c r="H523" s="42">
        <f t="shared" si="233"/>
        <v>8.5470085470085479E-3</v>
      </c>
      <c r="I523" s="21">
        <v>12</v>
      </c>
      <c r="J523" s="41">
        <f t="shared" si="234"/>
        <v>3.9867109634551492E-2</v>
      </c>
      <c r="K523" s="21">
        <v>10</v>
      </c>
      <c r="L523" s="41">
        <f t="shared" si="235"/>
        <v>4.2735042735042736E-2</v>
      </c>
      <c r="M523" s="21">
        <v>266</v>
      </c>
      <c r="N523" s="41">
        <f t="shared" si="236"/>
        <v>0.88372093023255816</v>
      </c>
      <c r="O523" s="21">
        <v>207</v>
      </c>
      <c r="P523" s="41">
        <f t="shared" si="237"/>
        <v>0.88461538461538458</v>
      </c>
      <c r="Q523" s="21">
        <v>19</v>
      </c>
      <c r="R523" s="41">
        <f t="shared" si="238"/>
        <v>6.3122923588039864E-2</v>
      </c>
      <c r="S523" s="21">
        <v>15</v>
      </c>
      <c r="T523" s="41">
        <f t="shared" si="239"/>
        <v>6.4102564102564097E-2</v>
      </c>
      <c r="U523" s="21">
        <v>12</v>
      </c>
      <c r="V523" s="41">
        <f t="shared" si="240"/>
        <v>3.9867109634551492E-2</v>
      </c>
      <c r="W523" s="21">
        <v>14</v>
      </c>
      <c r="X523" s="41">
        <f t="shared" si="241"/>
        <v>5.9829059829059832E-2</v>
      </c>
      <c r="Y523" s="21">
        <v>19</v>
      </c>
      <c r="Z523" s="41">
        <f t="shared" si="242"/>
        <v>6.3122923588039864E-2</v>
      </c>
      <c r="AA523" s="21">
        <v>18</v>
      </c>
      <c r="AB523" s="41">
        <f t="shared" si="243"/>
        <v>7.6923076923076927E-2</v>
      </c>
      <c r="AC523" s="21">
        <v>270</v>
      </c>
      <c r="AD523" s="41">
        <f t="shared" si="225"/>
        <v>0.89700996677740863</v>
      </c>
      <c r="AE523" s="21">
        <v>202</v>
      </c>
      <c r="AF523" s="41">
        <f t="shared" si="244"/>
        <v>0.86324786324786329</v>
      </c>
      <c r="AG523" s="21">
        <v>8</v>
      </c>
      <c r="AH523" s="41">
        <f t="shared" si="226"/>
        <v>2.6578073089700997E-2</v>
      </c>
      <c r="AI523" s="21">
        <v>7</v>
      </c>
      <c r="AJ523" s="41">
        <f t="shared" si="245"/>
        <v>2.9914529914529916E-2</v>
      </c>
      <c r="AK523" s="21">
        <v>18</v>
      </c>
      <c r="AL523" s="41">
        <f t="shared" si="227"/>
        <v>5.9800664451827246E-2</v>
      </c>
      <c r="AM523" s="21">
        <v>15</v>
      </c>
      <c r="AN523" s="41">
        <f t="shared" si="246"/>
        <v>6.4102564102564097E-2</v>
      </c>
      <c r="AO523" s="21">
        <v>211</v>
      </c>
      <c r="AP523" s="41">
        <f t="shared" si="228"/>
        <v>0.70099667774086383</v>
      </c>
      <c r="AQ523" s="21">
        <v>161</v>
      </c>
      <c r="AR523" s="41">
        <f t="shared" si="247"/>
        <v>0.68803418803418803</v>
      </c>
      <c r="AS523" s="21">
        <v>33</v>
      </c>
      <c r="AT523" s="41">
        <f t="shared" si="229"/>
        <v>0.10963455149501661</v>
      </c>
      <c r="AU523" s="21">
        <v>23</v>
      </c>
      <c r="AV523" s="41">
        <f t="shared" si="248"/>
        <v>9.8290598290598288E-2</v>
      </c>
      <c r="AW523" s="21">
        <v>11</v>
      </c>
      <c r="AX523" s="41">
        <f t="shared" si="230"/>
        <v>3.6544850498338874E-2</v>
      </c>
      <c r="AY523" s="21">
        <v>6</v>
      </c>
      <c r="AZ523" s="41">
        <f t="shared" si="249"/>
        <v>2.564102564102564E-2</v>
      </c>
      <c r="BA523" s="21">
        <v>20</v>
      </c>
      <c r="BB523" s="41">
        <f t="shared" si="231"/>
        <v>6.6445182724252497E-2</v>
      </c>
      <c r="BC523" s="21">
        <v>22</v>
      </c>
      <c r="BD523" s="41">
        <f t="shared" si="250"/>
        <v>9.4017094017094016E-2</v>
      </c>
      <c r="BE523" s="21">
        <v>301</v>
      </c>
      <c r="BF523" s="21">
        <v>234</v>
      </c>
    </row>
    <row r="524" spans="1:58" ht="15.75" customHeight="1" x14ac:dyDescent="0.25">
      <c r="A524" s="44">
        <v>2021</v>
      </c>
      <c r="B524" s="39">
        <v>171840</v>
      </c>
      <c r="C524" s="38" t="s">
        <v>150</v>
      </c>
      <c r="D524" s="38" t="s">
        <v>110</v>
      </c>
      <c r="E524" s="21">
        <v>0</v>
      </c>
      <c r="F524" s="42">
        <f t="shared" si="232"/>
        <v>0</v>
      </c>
      <c r="G524" s="21">
        <v>0</v>
      </c>
      <c r="H524" s="42">
        <f t="shared" si="233"/>
        <v>0</v>
      </c>
      <c r="I524" s="21">
        <v>5</v>
      </c>
      <c r="J524" s="41">
        <f t="shared" si="234"/>
        <v>4.0983606557377046E-2</v>
      </c>
      <c r="K524" s="21">
        <v>4</v>
      </c>
      <c r="L524" s="41">
        <f t="shared" si="235"/>
        <v>6.8965517241379309E-2</v>
      </c>
      <c r="M524" s="21">
        <v>105</v>
      </c>
      <c r="N524" s="41">
        <f t="shared" si="236"/>
        <v>0.86065573770491799</v>
      </c>
      <c r="O524" s="21">
        <v>48</v>
      </c>
      <c r="P524" s="41">
        <f t="shared" si="237"/>
        <v>0.82758620689655171</v>
      </c>
      <c r="Q524" s="21">
        <v>12</v>
      </c>
      <c r="R524" s="41">
        <f t="shared" si="238"/>
        <v>9.8360655737704916E-2</v>
      </c>
      <c r="S524" s="21">
        <v>6</v>
      </c>
      <c r="T524" s="41">
        <f t="shared" si="239"/>
        <v>0.10344827586206896</v>
      </c>
      <c r="U524" s="21">
        <v>8</v>
      </c>
      <c r="V524" s="41">
        <f t="shared" si="240"/>
        <v>6.5573770491803282E-2</v>
      </c>
      <c r="W524" s="21">
        <v>4</v>
      </c>
      <c r="X524" s="41">
        <f t="shared" si="241"/>
        <v>6.8965517241379309E-2</v>
      </c>
      <c r="Y524" s="21">
        <v>7</v>
      </c>
      <c r="Z524" s="41">
        <f t="shared" si="242"/>
        <v>5.737704918032787E-2</v>
      </c>
      <c r="AA524" s="21">
        <v>6</v>
      </c>
      <c r="AB524" s="41">
        <f t="shared" si="243"/>
        <v>0.10344827586206896</v>
      </c>
      <c r="AC524" s="21">
        <v>107</v>
      </c>
      <c r="AD524" s="41">
        <f t="shared" si="225"/>
        <v>0.87704918032786883</v>
      </c>
      <c r="AE524" s="21">
        <v>48</v>
      </c>
      <c r="AF524" s="41">
        <f t="shared" si="244"/>
        <v>0.82758620689655171</v>
      </c>
      <c r="AG524" s="21">
        <v>5</v>
      </c>
      <c r="AH524" s="41">
        <f t="shared" si="226"/>
        <v>4.0983606557377046E-2</v>
      </c>
      <c r="AI524" s="21">
        <v>3</v>
      </c>
      <c r="AJ524" s="41">
        <f t="shared" si="245"/>
        <v>5.1724137931034482E-2</v>
      </c>
      <c r="AK524" s="21">
        <v>2</v>
      </c>
      <c r="AL524" s="41">
        <f t="shared" si="227"/>
        <v>1.6393442622950821E-2</v>
      </c>
      <c r="AM524" s="21">
        <v>1</v>
      </c>
      <c r="AN524" s="41">
        <f t="shared" si="246"/>
        <v>1.7241379310344827E-2</v>
      </c>
      <c r="AO524" s="21">
        <v>77</v>
      </c>
      <c r="AP524" s="41">
        <f t="shared" si="228"/>
        <v>0.63114754098360659</v>
      </c>
      <c r="AQ524" s="21">
        <v>36</v>
      </c>
      <c r="AR524" s="41">
        <f t="shared" si="247"/>
        <v>0.62068965517241381</v>
      </c>
      <c r="AS524" s="21">
        <v>22</v>
      </c>
      <c r="AT524" s="41">
        <f t="shared" si="229"/>
        <v>0.18032786885245902</v>
      </c>
      <c r="AU524" s="21">
        <v>11</v>
      </c>
      <c r="AV524" s="41">
        <f t="shared" si="248"/>
        <v>0.18965517241379309</v>
      </c>
      <c r="AW524" s="21">
        <v>7</v>
      </c>
      <c r="AX524" s="41">
        <f t="shared" si="230"/>
        <v>5.737704918032787E-2</v>
      </c>
      <c r="AY524" s="21">
        <v>3</v>
      </c>
      <c r="AZ524" s="41">
        <f t="shared" si="249"/>
        <v>5.1724137931034482E-2</v>
      </c>
      <c r="BA524" s="21">
        <v>9</v>
      </c>
      <c r="BB524" s="41">
        <f t="shared" si="231"/>
        <v>7.3770491803278687E-2</v>
      </c>
      <c r="BC524" s="21">
        <v>4</v>
      </c>
      <c r="BD524" s="41">
        <f t="shared" si="250"/>
        <v>6.8965517241379309E-2</v>
      </c>
      <c r="BE524" s="21">
        <v>122</v>
      </c>
      <c r="BF524" s="21">
        <v>58</v>
      </c>
    </row>
    <row r="525" spans="1:58" ht="15.75" customHeight="1" x14ac:dyDescent="0.25">
      <c r="A525" s="44">
        <v>2021</v>
      </c>
      <c r="B525" s="39">
        <v>171845</v>
      </c>
      <c r="C525" s="38" t="s">
        <v>144</v>
      </c>
      <c r="D525" s="38" t="s">
        <v>111</v>
      </c>
      <c r="E525" s="21">
        <v>0</v>
      </c>
      <c r="F525" s="42">
        <f t="shared" si="232"/>
        <v>0</v>
      </c>
      <c r="G525" s="21">
        <v>0</v>
      </c>
      <c r="H525" s="42">
        <f t="shared" si="233"/>
        <v>0</v>
      </c>
      <c r="I525" s="21">
        <v>1</v>
      </c>
      <c r="J525" s="41">
        <f t="shared" si="234"/>
        <v>1.2987012987012988E-2</v>
      </c>
      <c r="K525" s="21">
        <v>1</v>
      </c>
      <c r="L525" s="41">
        <f t="shared" si="235"/>
        <v>1.5151515151515152E-2</v>
      </c>
      <c r="M525" s="21">
        <v>75</v>
      </c>
      <c r="N525" s="41">
        <f t="shared" si="236"/>
        <v>0.97402597402597402</v>
      </c>
      <c r="O525" s="21">
        <v>64</v>
      </c>
      <c r="P525" s="41">
        <f t="shared" si="237"/>
        <v>0.96969696969696972</v>
      </c>
      <c r="Q525" s="21">
        <v>1</v>
      </c>
      <c r="R525" s="41">
        <f t="shared" si="238"/>
        <v>1.2987012987012988E-2</v>
      </c>
      <c r="S525" s="21">
        <v>1</v>
      </c>
      <c r="T525" s="41">
        <f t="shared" si="239"/>
        <v>1.5151515151515152E-2</v>
      </c>
      <c r="U525" s="21">
        <v>1</v>
      </c>
      <c r="V525" s="41">
        <f t="shared" si="240"/>
        <v>1.2987012987012988E-2</v>
      </c>
      <c r="W525" s="21">
        <v>1</v>
      </c>
      <c r="X525" s="41">
        <f t="shared" si="241"/>
        <v>1.5151515151515152E-2</v>
      </c>
      <c r="Y525" s="21">
        <v>10</v>
      </c>
      <c r="Z525" s="41">
        <f t="shared" si="242"/>
        <v>0.12987012987012986</v>
      </c>
      <c r="AA525" s="21">
        <v>10</v>
      </c>
      <c r="AB525" s="41">
        <f t="shared" si="243"/>
        <v>0.15151515151515152</v>
      </c>
      <c r="AC525" s="21">
        <v>66</v>
      </c>
      <c r="AD525" s="41">
        <f t="shared" si="225"/>
        <v>0.8571428571428571</v>
      </c>
      <c r="AE525" s="21">
        <v>55</v>
      </c>
      <c r="AF525" s="41">
        <f t="shared" si="244"/>
        <v>0.83333333333333337</v>
      </c>
      <c r="AG525" s="21">
        <v>1</v>
      </c>
      <c r="AH525" s="41">
        <f t="shared" si="226"/>
        <v>1.2987012987012988E-2</v>
      </c>
      <c r="AI525" s="21">
        <v>1</v>
      </c>
      <c r="AJ525" s="41">
        <f t="shared" si="245"/>
        <v>1.5151515151515152E-2</v>
      </c>
      <c r="AK525" s="21">
        <v>2</v>
      </c>
      <c r="AL525" s="41">
        <f t="shared" si="227"/>
        <v>2.5974025974025976E-2</v>
      </c>
      <c r="AM525" s="21">
        <v>2</v>
      </c>
      <c r="AN525" s="41">
        <f t="shared" si="246"/>
        <v>3.0303030303030304E-2</v>
      </c>
      <c r="AO525" s="21">
        <v>53</v>
      </c>
      <c r="AP525" s="41">
        <f t="shared" si="228"/>
        <v>0.68831168831168832</v>
      </c>
      <c r="AQ525" s="21">
        <v>43</v>
      </c>
      <c r="AR525" s="41">
        <f t="shared" si="247"/>
        <v>0.65151515151515149</v>
      </c>
      <c r="AS525" s="21">
        <v>12</v>
      </c>
      <c r="AT525" s="41">
        <f t="shared" si="229"/>
        <v>0.15584415584415584</v>
      </c>
      <c r="AU525" s="21">
        <v>11</v>
      </c>
      <c r="AV525" s="41">
        <f t="shared" si="248"/>
        <v>0.16666666666666666</v>
      </c>
      <c r="AW525" s="21">
        <v>6</v>
      </c>
      <c r="AX525" s="41">
        <f t="shared" si="230"/>
        <v>7.792207792207792E-2</v>
      </c>
      <c r="AY525" s="21">
        <v>6</v>
      </c>
      <c r="AZ525" s="41">
        <f t="shared" si="249"/>
        <v>9.0909090909090912E-2</v>
      </c>
      <c r="BA525" s="21">
        <v>3</v>
      </c>
      <c r="BB525" s="41">
        <f t="shared" si="231"/>
        <v>3.896103896103896E-2</v>
      </c>
      <c r="BC525" s="21">
        <v>3</v>
      </c>
      <c r="BD525" s="41">
        <f t="shared" si="250"/>
        <v>4.5454545454545456E-2</v>
      </c>
      <c r="BE525" s="21">
        <v>77</v>
      </c>
      <c r="BF525" s="21">
        <v>66</v>
      </c>
    </row>
    <row r="526" spans="1:58" ht="15.75" customHeight="1" x14ac:dyDescent="0.25">
      <c r="A526" s="44">
        <v>2021</v>
      </c>
      <c r="B526" s="39">
        <v>171850</v>
      </c>
      <c r="C526" s="38" t="s">
        <v>150</v>
      </c>
      <c r="D526" s="38" t="s">
        <v>112</v>
      </c>
      <c r="E526" s="21">
        <v>6</v>
      </c>
      <c r="F526" s="42">
        <f t="shared" si="232"/>
        <v>3.4285714285714287E-2</v>
      </c>
      <c r="G526" s="21">
        <v>5</v>
      </c>
      <c r="H526" s="42">
        <f t="shared" si="233"/>
        <v>4.4247787610619468E-2</v>
      </c>
      <c r="I526" s="21">
        <v>4</v>
      </c>
      <c r="J526" s="41">
        <f t="shared" si="234"/>
        <v>2.2857142857142857E-2</v>
      </c>
      <c r="K526" s="21">
        <v>4</v>
      </c>
      <c r="L526" s="41">
        <f t="shared" si="235"/>
        <v>3.5398230088495575E-2</v>
      </c>
      <c r="M526" s="21">
        <v>154</v>
      </c>
      <c r="N526" s="41">
        <f t="shared" si="236"/>
        <v>0.88</v>
      </c>
      <c r="O526" s="21">
        <v>96</v>
      </c>
      <c r="P526" s="41">
        <f t="shared" si="237"/>
        <v>0.84955752212389379</v>
      </c>
      <c r="Q526" s="21">
        <v>11</v>
      </c>
      <c r="R526" s="41">
        <f t="shared" si="238"/>
        <v>6.2857142857142861E-2</v>
      </c>
      <c r="S526" s="21">
        <v>8</v>
      </c>
      <c r="T526" s="41">
        <f t="shared" si="239"/>
        <v>7.0796460176991149E-2</v>
      </c>
      <c r="U526" s="21">
        <v>15</v>
      </c>
      <c r="V526" s="41">
        <f t="shared" si="240"/>
        <v>8.5714285714285715E-2</v>
      </c>
      <c r="W526" s="21">
        <v>10</v>
      </c>
      <c r="X526" s="41">
        <f t="shared" si="241"/>
        <v>8.8495575221238937E-2</v>
      </c>
      <c r="Y526" s="21">
        <v>16</v>
      </c>
      <c r="Z526" s="41">
        <f t="shared" si="242"/>
        <v>9.1428571428571428E-2</v>
      </c>
      <c r="AA526" s="21">
        <v>12</v>
      </c>
      <c r="AB526" s="41">
        <f t="shared" si="243"/>
        <v>0.10619469026548672</v>
      </c>
      <c r="AC526" s="21">
        <v>144</v>
      </c>
      <c r="AD526" s="41">
        <f t="shared" si="225"/>
        <v>0.82285714285714284</v>
      </c>
      <c r="AE526" s="21">
        <v>91</v>
      </c>
      <c r="AF526" s="41">
        <f t="shared" si="244"/>
        <v>0.80530973451327437</v>
      </c>
      <c r="AG526" s="21">
        <v>8</v>
      </c>
      <c r="AH526" s="41">
        <f t="shared" si="226"/>
        <v>4.5714285714285714E-2</v>
      </c>
      <c r="AI526" s="21">
        <v>7</v>
      </c>
      <c r="AJ526" s="41">
        <f t="shared" si="245"/>
        <v>6.1946902654867256E-2</v>
      </c>
      <c r="AK526" s="21">
        <v>7</v>
      </c>
      <c r="AL526" s="41">
        <f t="shared" si="227"/>
        <v>0.04</v>
      </c>
      <c r="AM526" s="21">
        <v>7</v>
      </c>
      <c r="AN526" s="41">
        <f t="shared" si="246"/>
        <v>6.1946902654867256E-2</v>
      </c>
      <c r="AO526" s="21">
        <v>93</v>
      </c>
      <c r="AP526" s="41">
        <f t="shared" si="228"/>
        <v>0.53142857142857147</v>
      </c>
      <c r="AQ526" s="21">
        <v>62</v>
      </c>
      <c r="AR526" s="41">
        <f t="shared" si="247"/>
        <v>0.54867256637168138</v>
      </c>
      <c r="AS526" s="21">
        <v>33</v>
      </c>
      <c r="AT526" s="41">
        <f t="shared" si="229"/>
        <v>0.18857142857142858</v>
      </c>
      <c r="AU526" s="21">
        <v>17</v>
      </c>
      <c r="AV526" s="41">
        <f t="shared" si="248"/>
        <v>0.15044247787610621</v>
      </c>
      <c r="AW526" s="21">
        <v>21</v>
      </c>
      <c r="AX526" s="41">
        <f t="shared" si="230"/>
        <v>0.12</v>
      </c>
      <c r="AY526" s="21">
        <v>16</v>
      </c>
      <c r="AZ526" s="41">
        <f t="shared" si="249"/>
        <v>0.1415929203539823</v>
      </c>
      <c r="BA526" s="21">
        <v>13</v>
      </c>
      <c r="BB526" s="41">
        <f t="shared" si="231"/>
        <v>7.4285714285714288E-2</v>
      </c>
      <c r="BC526" s="21">
        <v>4</v>
      </c>
      <c r="BD526" s="41">
        <f t="shared" si="250"/>
        <v>3.5398230088495575E-2</v>
      </c>
      <c r="BE526" s="21">
        <v>175</v>
      </c>
      <c r="BF526" s="21">
        <v>113</v>
      </c>
    </row>
    <row r="527" spans="1:58" ht="15.75" customHeight="1" x14ac:dyDescent="0.25">
      <c r="A527" s="44">
        <v>2021</v>
      </c>
      <c r="B527" s="39">
        <v>171855</v>
      </c>
      <c r="C527" s="38" t="s">
        <v>145</v>
      </c>
      <c r="D527" s="38" t="s">
        <v>113</v>
      </c>
      <c r="E527" s="21">
        <v>3</v>
      </c>
      <c r="F527" s="42">
        <f t="shared" si="232"/>
        <v>2.1276595744680851E-2</v>
      </c>
      <c r="G527" s="21">
        <v>3</v>
      </c>
      <c r="H527" s="42">
        <f t="shared" si="233"/>
        <v>3.0927835051546393E-2</v>
      </c>
      <c r="I527" s="21">
        <v>4</v>
      </c>
      <c r="J527" s="41">
        <f t="shared" si="234"/>
        <v>2.8368794326241134E-2</v>
      </c>
      <c r="K527" s="21">
        <v>5</v>
      </c>
      <c r="L527" s="41">
        <f t="shared" si="235"/>
        <v>5.1546391752577317E-2</v>
      </c>
      <c r="M527" s="21">
        <v>127</v>
      </c>
      <c r="N527" s="41">
        <f t="shared" si="236"/>
        <v>0.900709219858156</v>
      </c>
      <c r="O527" s="21">
        <v>83</v>
      </c>
      <c r="P527" s="41">
        <f t="shared" si="237"/>
        <v>0.85567010309278346</v>
      </c>
      <c r="Q527" s="21">
        <v>7</v>
      </c>
      <c r="R527" s="41">
        <f t="shared" si="238"/>
        <v>4.9645390070921988E-2</v>
      </c>
      <c r="S527" s="21">
        <v>6</v>
      </c>
      <c r="T527" s="41">
        <f t="shared" si="239"/>
        <v>6.1855670103092786E-2</v>
      </c>
      <c r="U527" s="21">
        <v>5</v>
      </c>
      <c r="V527" s="41">
        <f t="shared" si="240"/>
        <v>3.5460992907801421E-2</v>
      </c>
      <c r="W527" s="21">
        <v>5</v>
      </c>
      <c r="X527" s="41">
        <f t="shared" si="241"/>
        <v>5.1546391752577317E-2</v>
      </c>
      <c r="Y527" s="21">
        <v>4</v>
      </c>
      <c r="Z527" s="41">
        <f t="shared" si="242"/>
        <v>2.8368794326241134E-2</v>
      </c>
      <c r="AA527" s="21">
        <v>3</v>
      </c>
      <c r="AB527" s="41">
        <f t="shared" si="243"/>
        <v>3.0927835051546393E-2</v>
      </c>
      <c r="AC527" s="21">
        <v>132</v>
      </c>
      <c r="AD527" s="41">
        <f t="shared" si="225"/>
        <v>0.93617021276595747</v>
      </c>
      <c r="AE527" s="21">
        <v>89</v>
      </c>
      <c r="AF527" s="41">
        <f t="shared" si="244"/>
        <v>0.91752577319587625</v>
      </c>
      <c r="AG527" s="21">
        <v>7</v>
      </c>
      <c r="AH527" s="41">
        <f t="shared" si="226"/>
        <v>4.9645390070921988E-2</v>
      </c>
      <c r="AI527" s="21">
        <v>6</v>
      </c>
      <c r="AJ527" s="41">
        <f t="shared" si="245"/>
        <v>6.1855670103092786E-2</v>
      </c>
      <c r="AK527" s="21">
        <v>9</v>
      </c>
      <c r="AL527" s="41">
        <f t="shared" si="227"/>
        <v>6.3829787234042548E-2</v>
      </c>
      <c r="AM527" s="21">
        <v>9</v>
      </c>
      <c r="AN527" s="41">
        <f t="shared" si="246"/>
        <v>9.2783505154639179E-2</v>
      </c>
      <c r="AO527" s="21">
        <v>89</v>
      </c>
      <c r="AP527" s="41">
        <f t="shared" si="228"/>
        <v>0.63120567375886527</v>
      </c>
      <c r="AQ527" s="21">
        <v>62</v>
      </c>
      <c r="AR527" s="41">
        <f t="shared" si="247"/>
        <v>0.63917525773195871</v>
      </c>
      <c r="AS527" s="21">
        <v>15</v>
      </c>
      <c r="AT527" s="41">
        <f t="shared" si="229"/>
        <v>0.10638297872340426</v>
      </c>
      <c r="AU527" s="21">
        <v>6</v>
      </c>
      <c r="AV527" s="41">
        <f t="shared" si="248"/>
        <v>6.1855670103092786E-2</v>
      </c>
      <c r="AW527" s="21">
        <v>18</v>
      </c>
      <c r="AX527" s="41">
        <f t="shared" si="230"/>
        <v>0.1276595744680851</v>
      </c>
      <c r="AY527" s="21">
        <v>11</v>
      </c>
      <c r="AZ527" s="41">
        <f t="shared" si="249"/>
        <v>0.1134020618556701</v>
      </c>
      <c r="BA527" s="21">
        <v>3</v>
      </c>
      <c r="BB527" s="41">
        <f t="shared" si="231"/>
        <v>2.1276595744680851E-2</v>
      </c>
      <c r="BC527" s="21">
        <v>3</v>
      </c>
      <c r="BD527" s="41">
        <f t="shared" si="250"/>
        <v>3.0927835051546393E-2</v>
      </c>
      <c r="BE527" s="21">
        <v>141</v>
      </c>
      <c r="BF527" s="21">
        <v>97</v>
      </c>
    </row>
    <row r="528" spans="1:58" ht="15.75" customHeight="1" x14ac:dyDescent="0.25">
      <c r="A528" s="44">
        <v>2021</v>
      </c>
      <c r="B528" s="39">
        <v>171865</v>
      </c>
      <c r="C528" s="38" t="s">
        <v>147</v>
      </c>
      <c r="D528" s="38" t="s">
        <v>114</v>
      </c>
      <c r="E528" s="21">
        <v>2</v>
      </c>
      <c r="F528" s="42">
        <f t="shared" si="232"/>
        <v>1.7699115044247787E-2</v>
      </c>
      <c r="G528" s="21">
        <v>0</v>
      </c>
      <c r="H528" s="42">
        <f t="shared" si="233"/>
        <v>0</v>
      </c>
      <c r="I528" s="21">
        <v>5</v>
      </c>
      <c r="J528" s="41">
        <f t="shared" si="234"/>
        <v>4.4247787610619468E-2</v>
      </c>
      <c r="K528" s="21">
        <v>4</v>
      </c>
      <c r="L528" s="41">
        <f t="shared" si="235"/>
        <v>4.3956043956043959E-2</v>
      </c>
      <c r="M528" s="21">
        <v>102</v>
      </c>
      <c r="N528" s="41">
        <f t="shared" si="236"/>
        <v>0.90265486725663713</v>
      </c>
      <c r="O528" s="21">
        <v>85</v>
      </c>
      <c r="P528" s="41">
        <f t="shared" si="237"/>
        <v>0.93406593406593408</v>
      </c>
      <c r="Q528" s="21">
        <v>4</v>
      </c>
      <c r="R528" s="41">
        <f t="shared" si="238"/>
        <v>3.5398230088495575E-2</v>
      </c>
      <c r="S528" s="21">
        <v>2</v>
      </c>
      <c r="T528" s="41">
        <f t="shared" si="239"/>
        <v>2.197802197802198E-2</v>
      </c>
      <c r="U528" s="21">
        <v>5</v>
      </c>
      <c r="V528" s="41">
        <f t="shared" si="240"/>
        <v>4.4247787610619468E-2</v>
      </c>
      <c r="W528" s="21">
        <v>2</v>
      </c>
      <c r="X528" s="41">
        <f t="shared" si="241"/>
        <v>2.197802197802198E-2</v>
      </c>
      <c r="Y528" s="21">
        <v>10</v>
      </c>
      <c r="Z528" s="41">
        <f t="shared" si="242"/>
        <v>8.8495575221238937E-2</v>
      </c>
      <c r="AA528" s="21">
        <v>10</v>
      </c>
      <c r="AB528" s="41">
        <f t="shared" si="243"/>
        <v>0.10989010989010989</v>
      </c>
      <c r="AC528" s="21">
        <v>98</v>
      </c>
      <c r="AD528" s="41">
        <f t="shared" si="225"/>
        <v>0.86725663716814161</v>
      </c>
      <c r="AE528" s="21">
        <v>79</v>
      </c>
      <c r="AF528" s="41">
        <f t="shared" si="244"/>
        <v>0.86813186813186816</v>
      </c>
      <c r="AG528" s="21">
        <v>5</v>
      </c>
      <c r="AH528" s="41">
        <f t="shared" si="226"/>
        <v>4.4247787610619468E-2</v>
      </c>
      <c r="AI528" s="21">
        <v>4</v>
      </c>
      <c r="AJ528" s="41">
        <f t="shared" si="245"/>
        <v>4.3956043956043959E-2</v>
      </c>
      <c r="AK528" s="21">
        <v>4</v>
      </c>
      <c r="AL528" s="41">
        <f t="shared" si="227"/>
        <v>3.5398230088495575E-2</v>
      </c>
      <c r="AM528" s="21">
        <v>4</v>
      </c>
      <c r="AN528" s="41">
        <f t="shared" si="246"/>
        <v>4.3956043956043959E-2</v>
      </c>
      <c r="AO528" s="21">
        <v>78</v>
      </c>
      <c r="AP528" s="41">
        <f t="shared" si="228"/>
        <v>0.69026548672566368</v>
      </c>
      <c r="AQ528" s="21">
        <v>64</v>
      </c>
      <c r="AR528" s="41">
        <f t="shared" si="247"/>
        <v>0.70329670329670335</v>
      </c>
      <c r="AS528" s="21">
        <v>16</v>
      </c>
      <c r="AT528" s="41">
        <f t="shared" si="229"/>
        <v>0.1415929203539823</v>
      </c>
      <c r="AU528" s="21">
        <v>12</v>
      </c>
      <c r="AV528" s="41">
        <f t="shared" si="248"/>
        <v>0.13186813186813187</v>
      </c>
      <c r="AW528" s="21">
        <v>5</v>
      </c>
      <c r="AX528" s="41">
        <f t="shared" si="230"/>
        <v>4.4247787610619468E-2</v>
      </c>
      <c r="AY528" s="21">
        <v>4</v>
      </c>
      <c r="AZ528" s="41">
        <f t="shared" si="249"/>
        <v>4.3956043956043959E-2</v>
      </c>
      <c r="BA528" s="21">
        <v>5</v>
      </c>
      <c r="BB528" s="41">
        <f t="shared" si="231"/>
        <v>4.4247787610619468E-2</v>
      </c>
      <c r="BC528" s="21">
        <v>3</v>
      </c>
      <c r="BD528" s="41">
        <f t="shared" si="250"/>
        <v>3.2967032967032968E-2</v>
      </c>
      <c r="BE528" s="21">
        <v>113</v>
      </c>
      <c r="BF528" s="21">
        <v>91</v>
      </c>
    </row>
    <row r="529" spans="1:58" ht="15.75" customHeight="1" x14ac:dyDescent="0.25">
      <c r="A529" s="44">
        <v>2021</v>
      </c>
      <c r="B529" s="39">
        <v>171870</v>
      </c>
      <c r="C529" s="38" t="s">
        <v>148</v>
      </c>
      <c r="D529" s="38" t="s">
        <v>115</v>
      </c>
      <c r="E529" s="21">
        <v>1</v>
      </c>
      <c r="F529" s="42">
        <f t="shared" si="232"/>
        <v>5.434782608695652E-3</v>
      </c>
      <c r="G529" s="21">
        <v>1</v>
      </c>
      <c r="H529" s="42">
        <f t="shared" si="233"/>
        <v>9.5238095238095247E-3</v>
      </c>
      <c r="I529" s="21">
        <v>5</v>
      </c>
      <c r="J529" s="41">
        <f t="shared" si="234"/>
        <v>2.717391304347826E-2</v>
      </c>
      <c r="K529" s="21">
        <v>4</v>
      </c>
      <c r="L529" s="41">
        <f t="shared" si="235"/>
        <v>3.8095238095238099E-2</v>
      </c>
      <c r="M529" s="21">
        <v>172</v>
      </c>
      <c r="N529" s="41">
        <f t="shared" si="236"/>
        <v>0.93478260869565222</v>
      </c>
      <c r="O529" s="21">
        <v>95</v>
      </c>
      <c r="P529" s="41">
        <f t="shared" si="237"/>
        <v>0.90476190476190477</v>
      </c>
      <c r="Q529" s="21">
        <v>6</v>
      </c>
      <c r="R529" s="41">
        <f t="shared" si="238"/>
        <v>3.2608695652173912E-2</v>
      </c>
      <c r="S529" s="21">
        <v>5</v>
      </c>
      <c r="T529" s="41">
        <f t="shared" si="239"/>
        <v>4.7619047619047616E-2</v>
      </c>
      <c r="U529" s="21">
        <v>5</v>
      </c>
      <c r="V529" s="41">
        <f t="shared" si="240"/>
        <v>2.717391304347826E-2</v>
      </c>
      <c r="W529" s="21">
        <v>7</v>
      </c>
      <c r="X529" s="41">
        <f t="shared" si="241"/>
        <v>6.6666666666666666E-2</v>
      </c>
      <c r="Y529" s="21">
        <v>14</v>
      </c>
      <c r="Z529" s="41">
        <f t="shared" si="242"/>
        <v>7.6086956521739135E-2</v>
      </c>
      <c r="AA529" s="21">
        <v>10</v>
      </c>
      <c r="AB529" s="41">
        <f t="shared" si="243"/>
        <v>9.5238095238095233E-2</v>
      </c>
      <c r="AC529" s="21">
        <v>165</v>
      </c>
      <c r="AD529" s="41">
        <f t="shared" si="225"/>
        <v>0.89673913043478259</v>
      </c>
      <c r="AE529" s="21">
        <v>88</v>
      </c>
      <c r="AF529" s="41">
        <f t="shared" si="244"/>
        <v>0.83809523809523812</v>
      </c>
      <c r="AG529" s="21">
        <v>4</v>
      </c>
      <c r="AH529" s="41">
        <f t="shared" si="226"/>
        <v>2.1739130434782608E-2</v>
      </c>
      <c r="AI529" s="21">
        <v>4</v>
      </c>
      <c r="AJ529" s="41">
        <f t="shared" si="245"/>
        <v>3.8095238095238099E-2</v>
      </c>
      <c r="AK529" s="21">
        <v>2</v>
      </c>
      <c r="AL529" s="41">
        <f t="shared" si="227"/>
        <v>1.0869565217391304E-2</v>
      </c>
      <c r="AM529" s="21">
        <v>2</v>
      </c>
      <c r="AN529" s="41">
        <f t="shared" si="246"/>
        <v>1.9047619047619049E-2</v>
      </c>
      <c r="AO529" s="21">
        <v>124</v>
      </c>
      <c r="AP529" s="41">
        <f t="shared" si="228"/>
        <v>0.67391304347826086</v>
      </c>
      <c r="AQ529" s="21">
        <v>70</v>
      </c>
      <c r="AR529" s="41">
        <f t="shared" si="247"/>
        <v>0.66666666666666663</v>
      </c>
      <c r="AS529" s="21">
        <v>33</v>
      </c>
      <c r="AT529" s="41">
        <f t="shared" si="229"/>
        <v>0.17934782608695651</v>
      </c>
      <c r="AU529" s="21">
        <v>16</v>
      </c>
      <c r="AV529" s="41">
        <f t="shared" si="248"/>
        <v>0.15238095238095239</v>
      </c>
      <c r="AW529" s="21">
        <v>14</v>
      </c>
      <c r="AX529" s="41">
        <f t="shared" si="230"/>
        <v>7.6086956521739135E-2</v>
      </c>
      <c r="AY529" s="21">
        <v>5</v>
      </c>
      <c r="AZ529" s="41">
        <f t="shared" si="249"/>
        <v>4.7619047619047616E-2</v>
      </c>
      <c r="BA529" s="21">
        <v>7</v>
      </c>
      <c r="BB529" s="41">
        <f t="shared" si="231"/>
        <v>3.8043478260869568E-2</v>
      </c>
      <c r="BC529" s="21">
        <v>8</v>
      </c>
      <c r="BD529" s="41">
        <f t="shared" si="250"/>
        <v>7.6190476190476197E-2</v>
      </c>
      <c r="BE529" s="21">
        <v>184</v>
      </c>
      <c r="BF529" s="21">
        <v>105</v>
      </c>
    </row>
    <row r="530" spans="1:58" ht="15.75" customHeight="1" x14ac:dyDescent="0.25">
      <c r="A530" s="44">
        <v>2021</v>
      </c>
      <c r="B530" s="39">
        <v>171875</v>
      </c>
      <c r="C530" s="38" t="s">
        <v>148</v>
      </c>
      <c r="D530" s="38" t="s">
        <v>116</v>
      </c>
      <c r="E530" s="21">
        <v>3</v>
      </c>
      <c r="F530" s="42">
        <f t="shared" si="232"/>
        <v>1.8292682926829267E-2</v>
      </c>
      <c r="G530" s="21">
        <v>3</v>
      </c>
      <c r="H530" s="42">
        <f t="shared" si="233"/>
        <v>2.3076923076923078E-2</v>
      </c>
      <c r="I530" s="21">
        <v>10</v>
      </c>
      <c r="J530" s="41">
        <f t="shared" si="234"/>
        <v>6.097560975609756E-2</v>
      </c>
      <c r="K530" s="21">
        <v>6</v>
      </c>
      <c r="L530" s="41">
        <f t="shared" si="235"/>
        <v>4.6153846153846156E-2</v>
      </c>
      <c r="M530" s="21">
        <v>143</v>
      </c>
      <c r="N530" s="41">
        <f t="shared" si="236"/>
        <v>0.87195121951219512</v>
      </c>
      <c r="O530" s="21">
        <v>115</v>
      </c>
      <c r="P530" s="41">
        <f t="shared" si="237"/>
        <v>0.88461538461538458</v>
      </c>
      <c r="Q530" s="21">
        <v>8</v>
      </c>
      <c r="R530" s="41">
        <f t="shared" si="238"/>
        <v>4.878048780487805E-2</v>
      </c>
      <c r="S530" s="21">
        <v>6</v>
      </c>
      <c r="T530" s="41">
        <f t="shared" si="239"/>
        <v>4.6153846153846156E-2</v>
      </c>
      <c r="U530" s="21">
        <v>11</v>
      </c>
      <c r="V530" s="41">
        <f t="shared" si="240"/>
        <v>6.7073170731707321E-2</v>
      </c>
      <c r="W530" s="21">
        <v>6</v>
      </c>
      <c r="X530" s="41">
        <f t="shared" si="241"/>
        <v>4.6153846153846156E-2</v>
      </c>
      <c r="Y530" s="21">
        <v>8</v>
      </c>
      <c r="Z530" s="41">
        <f t="shared" si="242"/>
        <v>4.878048780487805E-2</v>
      </c>
      <c r="AA530" s="21">
        <v>7</v>
      </c>
      <c r="AB530" s="41">
        <f t="shared" si="243"/>
        <v>5.3846153846153849E-2</v>
      </c>
      <c r="AC530" s="21">
        <v>145</v>
      </c>
      <c r="AD530" s="41">
        <f t="shared" si="225"/>
        <v>0.88414634146341464</v>
      </c>
      <c r="AE530" s="21">
        <v>117</v>
      </c>
      <c r="AF530" s="41">
        <f t="shared" si="244"/>
        <v>0.9</v>
      </c>
      <c r="AG530" s="21">
        <v>18</v>
      </c>
      <c r="AH530" s="41">
        <f t="shared" si="226"/>
        <v>0.10975609756097561</v>
      </c>
      <c r="AI530" s="21">
        <v>13</v>
      </c>
      <c r="AJ530" s="41">
        <f t="shared" si="245"/>
        <v>0.1</v>
      </c>
      <c r="AK530" s="21">
        <v>7</v>
      </c>
      <c r="AL530" s="41">
        <f t="shared" si="227"/>
        <v>4.2682926829268296E-2</v>
      </c>
      <c r="AM530" s="21">
        <v>6</v>
      </c>
      <c r="AN530" s="41">
        <f t="shared" si="246"/>
        <v>4.6153846153846156E-2</v>
      </c>
      <c r="AO530" s="21">
        <v>104</v>
      </c>
      <c r="AP530" s="41">
        <f t="shared" si="228"/>
        <v>0.63414634146341464</v>
      </c>
      <c r="AQ530" s="21">
        <v>88</v>
      </c>
      <c r="AR530" s="41">
        <f t="shared" si="247"/>
        <v>0.67692307692307696</v>
      </c>
      <c r="AS530" s="21">
        <v>18</v>
      </c>
      <c r="AT530" s="41">
        <f t="shared" si="229"/>
        <v>0.10975609756097561</v>
      </c>
      <c r="AU530" s="21">
        <v>12</v>
      </c>
      <c r="AV530" s="41">
        <f t="shared" si="248"/>
        <v>9.2307692307692313E-2</v>
      </c>
      <c r="AW530" s="21">
        <v>8</v>
      </c>
      <c r="AX530" s="41">
        <f t="shared" si="230"/>
        <v>4.878048780487805E-2</v>
      </c>
      <c r="AY530" s="21">
        <v>7</v>
      </c>
      <c r="AZ530" s="41">
        <f t="shared" si="249"/>
        <v>5.3846153846153849E-2</v>
      </c>
      <c r="BA530" s="21">
        <v>9</v>
      </c>
      <c r="BB530" s="41">
        <f t="shared" si="231"/>
        <v>5.4878048780487805E-2</v>
      </c>
      <c r="BC530" s="21">
        <v>4</v>
      </c>
      <c r="BD530" s="41">
        <f t="shared" si="250"/>
        <v>3.0769230769230771E-2</v>
      </c>
      <c r="BE530" s="21">
        <v>164</v>
      </c>
      <c r="BF530" s="21">
        <v>130</v>
      </c>
    </row>
    <row r="531" spans="1:58" ht="15.75" customHeight="1" x14ac:dyDescent="0.25">
      <c r="A531" s="44">
        <v>2021</v>
      </c>
      <c r="B531" s="39">
        <v>171880</v>
      </c>
      <c r="C531" s="38" t="s">
        <v>145</v>
      </c>
      <c r="D531" s="38" t="s">
        <v>117</v>
      </c>
      <c r="E531" s="21">
        <v>11</v>
      </c>
      <c r="F531" s="42">
        <f t="shared" si="232"/>
        <v>3.4267912772585667E-2</v>
      </c>
      <c r="G531" s="21">
        <v>11</v>
      </c>
      <c r="H531" s="42">
        <f t="shared" si="233"/>
        <v>4.5267489711934158E-2</v>
      </c>
      <c r="I531" s="21">
        <v>15</v>
      </c>
      <c r="J531" s="41">
        <f t="shared" si="234"/>
        <v>4.6728971962616821E-2</v>
      </c>
      <c r="K531" s="21">
        <v>14</v>
      </c>
      <c r="L531" s="41">
        <f t="shared" si="235"/>
        <v>5.7613168724279837E-2</v>
      </c>
      <c r="M531" s="21">
        <v>270</v>
      </c>
      <c r="N531" s="41">
        <f t="shared" si="236"/>
        <v>0.84112149532710279</v>
      </c>
      <c r="O531" s="21">
        <v>202</v>
      </c>
      <c r="P531" s="41">
        <f t="shared" si="237"/>
        <v>0.83127572016460904</v>
      </c>
      <c r="Q531" s="21">
        <v>25</v>
      </c>
      <c r="R531" s="41">
        <f t="shared" si="238"/>
        <v>7.7881619937694699E-2</v>
      </c>
      <c r="S531" s="21">
        <v>16</v>
      </c>
      <c r="T531" s="41">
        <f t="shared" si="239"/>
        <v>6.584362139917696E-2</v>
      </c>
      <c r="U531" s="21">
        <v>40</v>
      </c>
      <c r="V531" s="41">
        <f t="shared" si="240"/>
        <v>0.12461059190031153</v>
      </c>
      <c r="W531" s="21">
        <v>41</v>
      </c>
      <c r="X531" s="41">
        <f t="shared" si="241"/>
        <v>0.16872427983539096</v>
      </c>
      <c r="Y531" s="21">
        <v>24</v>
      </c>
      <c r="Z531" s="41">
        <f t="shared" si="242"/>
        <v>7.476635514018691E-2</v>
      </c>
      <c r="AA531" s="21">
        <v>23</v>
      </c>
      <c r="AB531" s="41">
        <f t="shared" si="243"/>
        <v>9.4650205761316872E-2</v>
      </c>
      <c r="AC531" s="21">
        <v>257</v>
      </c>
      <c r="AD531" s="41">
        <f t="shared" si="225"/>
        <v>0.80062305295950154</v>
      </c>
      <c r="AE531" s="21">
        <v>179</v>
      </c>
      <c r="AF531" s="41">
        <f t="shared" si="244"/>
        <v>0.73662551440329216</v>
      </c>
      <c r="AG531" s="21">
        <v>7</v>
      </c>
      <c r="AH531" s="41">
        <f t="shared" si="226"/>
        <v>2.1806853582554516E-2</v>
      </c>
      <c r="AI531" s="21">
        <v>7</v>
      </c>
      <c r="AJ531" s="41">
        <f t="shared" si="245"/>
        <v>2.8806584362139918E-2</v>
      </c>
      <c r="AK531" s="21">
        <v>16</v>
      </c>
      <c r="AL531" s="41">
        <f t="shared" si="227"/>
        <v>4.9844236760124609E-2</v>
      </c>
      <c r="AM531" s="21">
        <v>11</v>
      </c>
      <c r="AN531" s="41">
        <f t="shared" si="246"/>
        <v>4.5267489711934158E-2</v>
      </c>
      <c r="AO531" s="21">
        <v>187</v>
      </c>
      <c r="AP531" s="41">
        <f t="shared" si="228"/>
        <v>0.58255451713395634</v>
      </c>
      <c r="AQ531" s="21">
        <v>143</v>
      </c>
      <c r="AR531" s="41">
        <f t="shared" si="247"/>
        <v>0.58847736625514402</v>
      </c>
      <c r="AS531" s="21">
        <v>52</v>
      </c>
      <c r="AT531" s="41">
        <f t="shared" si="229"/>
        <v>0.16199376947040497</v>
      </c>
      <c r="AU531" s="21">
        <v>34</v>
      </c>
      <c r="AV531" s="41">
        <f t="shared" si="248"/>
        <v>0.13991769547325103</v>
      </c>
      <c r="AW531" s="21">
        <v>26</v>
      </c>
      <c r="AX531" s="41">
        <f t="shared" si="230"/>
        <v>8.0996884735202487E-2</v>
      </c>
      <c r="AY531" s="21">
        <v>20</v>
      </c>
      <c r="AZ531" s="41">
        <f t="shared" si="249"/>
        <v>8.2304526748971193E-2</v>
      </c>
      <c r="BA531" s="21">
        <v>33</v>
      </c>
      <c r="BB531" s="41">
        <f t="shared" si="231"/>
        <v>0.10280373831775701</v>
      </c>
      <c r="BC531" s="21">
        <v>28</v>
      </c>
      <c r="BD531" s="41">
        <f t="shared" si="250"/>
        <v>0.11522633744855967</v>
      </c>
      <c r="BE531" s="21">
        <v>321</v>
      </c>
      <c r="BF531" s="21">
        <v>243</v>
      </c>
    </row>
    <row r="532" spans="1:58" ht="15.75" customHeight="1" x14ac:dyDescent="0.25">
      <c r="A532" s="44">
        <v>2021</v>
      </c>
      <c r="B532" s="39">
        <v>171884</v>
      </c>
      <c r="C532" s="38" t="s">
        <v>146</v>
      </c>
      <c r="D532" s="38" t="s">
        <v>118</v>
      </c>
      <c r="E532" s="21">
        <v>2</v>
      </c>
      <c r="F532" s="42">
        <f t="shared" si="232"/>
        <v>2.9411764705882353E-2</v>
      </c>
      <c r="G532" s="21">
        <v>0</v>
      </c>
      <c r="H532" s="42">
        <f t="shared" si="233"/>
        <v>0</v>
      </c>
      <c r="I532" s="21">
        <v>0</v>
      </c>
      <c r="J532" s="41">
        <f t="shared" si="234"/>
        <v>0</v>
      </c>
      <c r="K532" s="21">
        <v>0</v>
      </c>
      <c r="L532" s="41">
        <f t="shared" si="235"/>
        <v>0</v>
      </c>
      <c r="M532" s="21">
        <v>57</v>
      </c>
      <c r="N532" s="41">
        <f t="shared" si="236"/>
        <v>0.83823529411764708</v>
      </c>
      <c r="O532" s="21">
        <v>19</v>
      </c>
      <c r="P532" s="41">
        <f t="shared" si="237"/>
        <v>0.90476190476190477</v>
      </c>
      <c r="Q532" s="21">
        <v>9</v>
      </c>
      <c r="R532" s="41">
        <f t="shared" si="238"/>
        <v>0.13235294117647059</v>
      </c>
      <c r="S532" s="21">
        <v>2</v>
      </c>
      <c r="T532" s="41">
        <f t="shared" si="239"/>
        <v>9.5238095238095233E-2</v>
      </c>
      <c r="U532" s="21">
        <v>3</v>
      </c>
      <c r="V532" s="41">
        <f t="shared" si="240"/>
        <v>4.4117647058823532E-2</v>
      </c>
      <c r="W532" s="21">
        <v>2</v>
      </c>
      <c r="X532" s="41">
        <f t="shared" si="241"/>
        <v>9.5238095238095233E-2</v>
      </c>
      <c r="Y532" s="21">
        <v>5</v>
      </c>
      <c r="Z532" s="41">
        <f t="shared" si="242"/>
        <v>7.3529411764705885E-2</v>
      </c>
      <c r="AA532" s="21">
        <v>2</v>
      </c>
      <c r="AB532" s="41">
        <f t="shared" si="243"/>
        <v>9.5238095238095233E-2</v>
      </c>
      <c r="AC532" s="21">
        <v>60</v>
      </c>
      <c r="AD532" s="41">
        <f t="shared" si="225"/>
        <v>0.88235294117647056</v>
      </c>
      <c r="AE532" s="21">
        <v>17</v>
      </c>
      <c r="AF532" s="41">
        <f t="shared" si="244"/>
        <v>0.80952380952380953</v>
      </c>
      <c r="AG532" s="21">
        <v>3</v>
      </c>
      <c r="AH532" s="41">
        <f t="shared" si="226"/>
        <v>4.4117647058823532E-2</v>
      </c>
      <c r="AI532" s="21">
        <v>0</v>
      </c>
      <c r="AJ532" s="41">
        <f t="shared" si="245"/>
        <v>0</v>
      </c>
      <c r="AK532" s="21">
        <v>3</v>
      </c>
      <c r="AL532" s="41">
        <f t="shared" si="227"/>
        <v>4.4117647058823532E-2</v>
      </c>
      <c r="AM532" s="21">
        <v>1</v>
      </c>
      <c r="AN532" s="41">
        <f t="shared" si="246"/>
        <v>4.7619047619047616E-2</v>
      </c>
      <c r="AO532" s="21">
        <v>38</v>
      </c>
      <c r="AP532" s="41">
        <f t="shared" si="228"/>
        <v>0.55882352941176472</v>
      </c>
      <c r="AQ532" s="21">
        <v>12</v>
      </c>
      <c r="AR532" s="41">
        <f t="shared" si="247"/>
        <v>0.5714285714285714</v>
      </c>
      <c r="AS532" s="21">
        <v>10</v>
      </c>
      <c r="AT532" s="41">
        <f t="shared" si="229"/>
        <v>0.14705882352941177</v>
      </c>
      <c r="AU532" s="21">
        <v>1</v>
      </c>
      <c r="AV532" s="41">
        <f t="shared" si="248"/>
        <v>4.7619047619047616E-2</v>
      </c>
      <c r="AW532" s="21">
        <v>6</v>
      </c>
      <c r="AX532" s="41">
        <f t="shared" si="230"/>
        <v>8.8235294117647065E-2</v>
      </c>
      <c r="AY532" s="21">
        <v>5</v>
      </c>
      <c r="AZ532" s="41">
        <f t="shared" si="249"/>
        <v>0.23809523809523808</v>
      </c>
      <c r="BA532" s="21">
        <v>8</v>
      </c>
      <c r="BB532" s="41">
        <f t="shared" si="231"/>
        <v>0.11764705882352941</v>
      </c>
      <c r="BC532" s="21">
        <v>2</v>
      </c>
      <c r="BD532" s="41">
        <f t="shared" si="250"/>
        <v>9.5238095238095233E-2</v>
      </c>
      <c r="BE532" s="21">
        <v>68</v>
      </c>
      <c r="BF532" s="21">
        <v>21</v>
      </c>
    </row>
    <row r="533" spans="1:58" ht="15.75" customHeight="1" x14ac:dyDescent="0.25">
      <c r="A533" s="44">
        <v>2021</v>
      </c>
      <c r="B533" s="39">
        <v>171886</v>
      </c>
      <c r="C533" s="38" t="s">
        <v>149</v>
      </c>
      <c r="D533" s="38" t="s">
        <v>119</v>
      </c>
      <c r="E533" s="21">
        <v>12</v>
      </c>
      <c r="F533" s="42">
        <f t="shared" si="232"/>
        <v>3.6253776435045321E-2</v>
      </c>
      <c r="G533" s="21">
        <v>16</v>
      </c>
      <c r="H533" s="42">
        <f t="shared" si="233"/>
        <v>0.10526315789473684</v>
      </c>
      <c r="I533" s="21">
        <v>7</v>
      </c>
      <c r="J533" s="41">
        <f t="shared" si="234"/>
        <v>2.1148036253776436E-2</v>
      </c>
      <c r="K533" s="21">
        <v>6</v>
      </c>
      <c r="L533" s="41">
        <f t="shared" si="235"/>
        <v>3.9473684210526314E-2</v>
      </c>
      <c r="M533" s="21">
        <v>282</v>
      </c>
      <c r="N533" s="41">
        <f t="shared" si="236"/>
        <v>0.85196374622356497</v>
      </c>
      <c r="O533" s="21">
        <v>115</v>
      </c>
      <c r="P533" s="41">
        <f t="shared" si="237"/>
        <v>0.75657894736842102</v>
      </c>
      <c r="Q533" s="21">
        <v>30</v>
      </c>
      <c r="R533" s="41">
        <f t="shared" si="238"/>
        <v>9.0634441087613288E-2</v>
      </c>
      <c r="S533" s="21">
        <v>15</v>
      </c>
      <c r="T533" s="41">
        <f t="shared" si="239"/>
        <v>9.8684210526315791E-2</v>
      </c>
      <c r="U533" s="21">
        <v>23</v>
      </c>
      <c r="V533" s="41">
        <f t="shared" si="240"/>
        <v>6.9486404833836862E-2</v>
      </c>
      <c r="W533" s="21">
        <v>26</v>
      </c>
      <c r="X533" s="41">
        <f t="shared" si="241"/>
        <v>0.17105263157894737</v>
      </c>
      <c r="Y533" s="21">
        <v>21</v>
      </c>
      <c r="Z533" s="41">
        <f t="shared" si="242"/>
        <v>6.3444108761329304E-2</v>
      </c>
      <c r="AA533" s="21">
        <v>16</v>
      </c>
      <c r="AB533" s="41">
        <f t="shared" si="243"/>
        <v>0.10526315789473684</v>
      </c>
      <c r="AC533" s="21">
        <v>287</v>
      </c>
      <c r="AD533" s="41">
        <f t="shared" si="225"/>
        <v>0.86706948640483383</v>
      </c>
      <c r="AE533" s="21">
        <v>110</v>
      </c>
      <c r="AF533" s="41">
        <f t="shared" si="244"/>
        <v>0.72368421052631582</v>
      </c>
      <c r="AG533" s="21">
        <v>8</v>
      </c>
      <c r="AH533" s="41">
        <f t="shared" si="226"/>
        <v>2.4169184290030211E-2</v>
      </c>
      <c r="AI533" s="21">
        <v>7</v>
      </c>
      <c r="AJ533" s="41">
        <f t="shared" si="245"/>
        <v>4.6052631578947366E-2</v>
      </c>
      <c r="AK533" s="21">
        <v>10</v>
      </c>
      <c r="AL533" s="41">
        <f t="shared" si="227"/>
        <v>3.0211480362537766E-2</v>
      </c>
      <c r="AM533" s="21">
        <v>7</v>
      </c>
      <c r="AN533" s="41">
        <f t="shared" si="246"/>
        <v>4.6052631578947366E-2</v>
      </c>
      <c r="AO533" s="21">
        <v>193</v>
      </c>
      <c r="AP533" s="41">
        <f t="shared" si="228"/>
        <v>0.58308157099697888</v>
      </c>
      <c r="AQ533" s="21">
        <v>85</v>
      </c>
      <c r="AR533" s="41">
        <f t="shared" si="247"/>
        <v>0.55921052631578949</v>
      </c>
      <c r="AS533" s="21">
        <v>70</v>
      </c>
      <c r="AT533" s="41">
        <f t="shared" si="229"/>
        <v>0.21148036253776434</v>
      </c>
      <c r="AU533" s="21">
        <v>24</v>
      </c>
      <c r="AV533" s="41">
        <f t="shared" si="248"/>
        <v>0.15789473684210525</v>
      </c>
      <c r="AW533" s="21">
        <v>34</v>
      </c>
      <c r="AX533" s="41">
        <f t="shared" si="230"/>
        <v>0.1027190332326284</v>
      </c>
      <c r="AY533" s="21">
        <v>14</v>
      </c>
      <c r="AZ533" s="41">
        <f t="shared" si="249"/>
        <v>9.2105263157894732E-2</v>
      </c>
      <c r="BA533" s="21">
        <v>16</v>
      </c>
      <c r="BB533" s="41">
        <f t="shared" si="231"/>
        <v>4.8338368580060423E-2</v>
      </c>
      <c r="BC533" s="21">
        <v>15</v>
      </c>
      <c r="BD533" s="41">
        <f t="shared" si="250"/>
        <v>9.8684210526315791E-2</v>
      </c>
      <c r="BE533" s="21">
        <v>331</v>
      </c>
      <c r="BF533" s="21">
        <v>152</v>
      </c>
    </row>
    <row r="534" spans="1:58" ht="15.75" customHeight="1" x14ac:dyDescent="0.25">
      <c r="A534" s="44">
        <v>2021</v>
      </c>
      <c r="B534" s="39">
        <v>171888</v>
      </c>
      <c r="C534" s="38" t="s">
        <v>150</v>
      </c>
      <c r="D534" s="38" t="s">
        <v>120</v>
      </c>
      <c r="E534" s="21">
        <v>0</v>
      </c>
      <c r="F534" s="42">
        <f t="shared" si="232"/>
        <v>0</v>
      </c>
      <c r="G534" s="21">
        <v>0</v>
      </c>
      <c r="H534" s="42">
        <f t="shared" si="233"/>
        <v>0</v>
      </c>
      <c r="I534" s="21">
        <v>2</v>
      </c>
      <c r="J534" s="41">
        <f t="shared" si="234"/>
        <v>4.3478260869565216E-2</v>
      </c>
      <c r="K534" s="21">
        <v>2</v>
      </c>
      <c r="L534" s="41">
        <f t="shared" si="235"/>
        <v>4.3478260869565216E-2</v>
      </c>
      <c r="M534" s="21">
        <v>41</v>
      </c>
      <c r="N534" s="41">
        <f t="shared" si="236"/>
        <v>0.89130434782608692</v>
      </c>
      <c r="O534" s="21">
        <v>41</v>
      </c>
      <c r="P534" s="41">
        <f t="shared" si="237"/>
        <v>0.89130434782608692</v>
      </c>
      <c r="Q534" s="21">
        <v>3</v>
      </c>
      <c r="R534" s="41">
        <f t="shared" si="238"/>
        <v>6.5217391304347824E-2</v>
      </c>
      <c r="S534" s="21">
        <v>3</v>
      </c>
      <c r="T534" s="41">
        <f t="shared" si="239"/>
        <v>6.5217391304347824E-2</v>
      </c>
      <c r="U534" s="21">
        <v>6</v>
      </c>
      <c r="V534" s="41">
        <f t="shared" si="240"/>
        <v>0.13043478260869565</v>
      </c>
      <c r="W534" s="21">
        <v>6</v>
      </c>
      <c r="X534" s="41">
        <f t="shared" si="241"/>
        <v>0.13043478260869565</v>
      </c>
      <c r="Y534" s="21">
        <v>6</v>
      </c>
      <c r="Z534" s="41">
        <f t="shared" si="242"/>
        <v>0.13043478260869565</v>
      </c>
      <c r="AA534" s="21">
        <v>6</v>
      </c>
      <c r="AB534" s="41">
        <f t="shared" si="243"/>
        <v>0.13043478260869565</v>
      </c>
      <c r="AC534" s="21">
        <v>34</v>
      </c>
      <c r="AD534" s="41">
        <f t="shared" si="225"/>
        <v>0.73913043478260865</v>
      </c>
      <c r="AE534" s="21">
        <v>34</v>
      </c>
      <c r="AF534" s="41">
        <f t="shared" si="244"/>
        <v>0.73913043478260865</v>
      </c>
      <c r="AG534" s="21">
        <v>4</v>
      </c>
      <c r="AH534" s="41">
        <f t="shared" si="226"/>
        <v>8.6956521739130432E-2</v>
      </c>
      <c r="AI534" s="21">
        <v>4</v>
      </c>
      <c r="AJ534" s="41">
        <f t="shared" si="245"/>
        <v>8.6956521739130432E-2</v>
      </c>
      <c r="AK534" s="21">
        <v>1</v>
      </c>
      <c r="AL534" s="41">
        <f t="shared" si="227"/>
        <v>2.1739130434782608E-2</v>
      </c>
      <c r="AM534" s="21">
        <v>1</v>
      </c>
      <c r="AN534" s="41">
        <f t="shared" si="246"/>
        <v>2.1739130434782608E-2</v>
      </c>
      <c r="AO534" s="21">
        <v>27</v>
      </c>
      <c r="AP534" s="41">
        <f t="shared" si="228"/>
        <v>0.58695652173913049</v>
      </c>
      <c r="AQ534" s="21">
        <v>27</v>
      </c>
      <c r="AR534" s="41">
        <f t="shared" si="247"/>
        <v>0.58695652173913049</v>
      </c>
      <c r="AS534" s="21">
        <v>5</v>
      </c>
      <c r="AT534" s="41">
        <f t="shared" si="229"/>
        <v>0.10869565217391304</v>
      </c>
      <c r="AU534" s="21">
        <v>5</v>
      </c>
      <c r="AV534" s="41">
        <f t="shared" si="248"/>
        <v>0.10869565217391304</v>
      </c>
      <c r="AW534" s="21">
        <v>4</v>
      </c>
      <c r="AX534" s="41">
        <f t="shared" si="230"/>
        <v>8.6956521739130432E-2</v>
      </c>
      <c r="AY534" s="21">
        <v>4</v>
      </c>
      <c r="AZ534" s="41">
        <f t="shared" si="249"/>
        <v>8.6956521739130432E-2</v>
      </c>
      <c r="BA534" s="21">
        <v>5</v>
      </c>
      <c r="BB534" s="41">
        <f t="shared" si="231"/>
        <v>0.10869565217391304</v>
      </c>
      <c r="BC534" s="21">
        <v>5</v>
      </c>
      <c r="BD534" s="41">
        <f t="shared" si="250"/>
        <v>0.10869565217391304</v>
      </c>
      <c r="BE534" s="21">
        <v>46</v>
      </c>
      <c r="BF534" s="21">
        <v>46</v>
      </c>
    </row>
    <row r="535" spans="1:58" ht="15.75" customHeight="1" x14ac:dyDescent="0.25">
      <c r="A535" s="44">
        <v>2021</v>
      </c>
      <c r="B535" s="39">
        <v>171889</v>
      </c>
      <c r="C535" s="38" t="s">
        <v>146</v>
      </c>
      <c r="D535" s="38" t="s">
        <v>121</v>
      </c>
      <c r="E535" s="21">
        <v>0</v>
      </c>
      <c r="F535" s="42">
        <f t="shared" si="232"/>
        <v>0</v>
      </c>
      <c r="G535" s="21">
        <v>0</v>
      </c>
      <c r="H535" s="42">
        <f t="shared" si="233"/>
        <v>0</v>
      </c>
      <c r="I535" s="21">
        <v>0</v>
      </c>
      <c r="J535" s="41">
        <f t="shared" si="234"/>
        <v>0</v>
      </c>
      <c r="K535" s="21">
        <v>0</v>
      </c>
      <c r="L535" s="41">
        <f t="shared" si="235"/>
        <v>0</v>
      </c>
      <c r="M535" s="21">
        <v>79</v>
      </c>
      <c r="N535" s="41">
        <f t="shared" si="236"/>
        <v>0.90804597701149425</v>
      </c>
      <c r="O535" s="21">
        <v>19</v>
      </c>
      <c r="P535" s="41">
        <f t="shared" si="237"/>
        <v>0.95</v>
      </c>
      <c r="Q535" s="21">
        <v>8</v>
      </c>
      <c r="R535" s="41">
        <f t="shared" si="238"/>
        <v>9.1954022988505746E-2</v>
      </c>
      <c r="S535" s="21">
        <v>1</v>
      </c>
      <c r="T535" s="41">
        <f t="shared" si="239"/>
        <v>0.05</v>
      </c>
      <c r="U535" s="21">
        <v>0</v>
      </c>
      <c r="V535" s="41">
        <f t="shared" si="240"/>
        <v>0</v>
      </c>
      <c r="W535" s="21">
        <v>0</v>
      </c>
      <c r="X535" s="41">
        <f t="shared" si="241"/>
        <v>0</v>
      </c>
      <c r="Y535" s="21">
        <v>6</v>
      </c>
      <c r="Z535" s="41">
        <f t="shared" si="242"/>
        <v>6.8965517241379309E-2</v>
      </c>
      <c r="AA535" s="21">
        <v>3</v>
      </c>
      <c r="AB535" s="41">
        <f t="shared" si="243"/>
        <v>0.15</v>
      </c>
      <c r="AC535" s="21">
        <v>81</v>
      </c>
      <c r="AD535" s="41">
        <f t="shared" si="225"/>
        <v>0.93103448275862066</v>
      </c>
      <c r="AE535" s="21">
        <v>17</v>
      </c>
      <c r="AF535" s="41">
        <f t="shared" si="244"/>
        <v>0.85</v>
      </c>
      <c r="AG535" s="21">
        <v>2</v>
      </c>
      <c r="AH535" s="41">
        <f t="shared" si="226"/>
        <v>2.2988505747126436E-2</v>
      </c>
      <c r="AI535" s="21">
        <v>1</v>
      </c>
      <c r="AJ535" s="41">
        <f t="shared" si="245"/>
        <v>0.05</v>
      </c>
      <c r="AK535" s="21">
        <v>1</v>
      </c>
      <c r="AL535" s="41">
        <f t="shared" si="227"/>
        <v>1.1494252873563218E-2</v>
      </c>
      <c r="AM535" s="21">
        <v>0</v>
      </c>
      <c r="AN535" s="41">
        <f t="shared" si="246"/>
        <v>0</v>
      </c>
      <c r="AO535" s="21">
        <v>51</v>
      </c>
      <c r="AP535" s="41">
        <f t="shared" si="228"/>
        <v>0.58620689655172409</v>
      </c>
      <c r="AQ535" s="21">
        <v>13</v>
      </c>
      <c r="AR535" s="41">
        <f t="shared" si="247"/>
        <v>0.65</v>
      </c>
      <c r="AS535" s="21">
        <v>17</v>
      </c>
      <c r="AT535" s="41">
        <f t="shared" si="229"/>
        <v>0.19540229885057472</v>
      </c>
      <c r="AU535" s="21">
        <v>4</v>
      </c>
      <c r="AV535" s="41">
        <f t="shared" si="248"/>
        <v>0.2</v>
      </c>
      <c r="AW535" s="21">
        <v>13</v>
      </c>
      <c r="AX535" s="41">
        <f t="shared" si="230"/>
        <v>0.14942528735632185</v>
      </c>
      <c r="AY535" s="21">
        <v>1</v>
      </c>
      <c r="AZ535" s="41">
        <f t="shared" si="249"/>
        <v>0.05</v>
      </c>
      <c r="BA535" s="21">
        <v>3</v>
      </c>
      <c r="BB535" s="41">
        <f t="shared" si="231"/>
        <v>3.4482758620689655E-2</v>
      </c>
      <c r="BC535" s="21">
        <v>1</v>
      </c>
      <c r="BD535" s="41">
        <f t="shared" si="250"/>
        <v>0.05</v>
      </c>
      <c r="BE535" s="21">
        <v>87</v>
      </c>
      <c r="BF535" s="21">
        <v>20</v>
      </c>
    </row>
    <row r="536" spans="1:58" ht="15.75" customHeight="1" x14ac:dyDescent="0.25">
      <c r="A536" s="44">
        <v>2021</v>
      </c>
      <c r="B536" s="39">
        <v>171890</v>
      </c>
      <c r="C536" s="38" t="s">
        <v>151</v>
      </c>
      <c r="D536" s="38" t="s">
        <v>122</v>
      </c>
      <c r="E536" s="21">
        <v>1</v>
      </c>
      <c r="F536" s="42">
        <f t="shared" si="232"/>
        <v>5.5555555555555552E-2</v>
      </c>
      <c r="G536" s="21">
        <v>0</v>
      </c>
      <c r="H536" s="42">
        <f t="shared" si="233"/>
        <v>0</v>
      </c>
      <c r="I536" s="21">
        <v>0</v>
      </c>
      <c r="J536" s="41">
        <f t="shared" si="234"/>
        <v>0</v>
      </c>
      <c r="K536" s="21">
        <v>0</v>
      </c>
      <c r="L536" s="41">
        <f t="shared" si="235"/>
        <v>0</v>
      </c>
      <c r="M536" s="21">
        <v>13</v>
      </c>
      <c r="N536" s="41">
        <f t="shared" si="236"/>
        <v>0.72222222222222221</v>
      </c>
      <c r="O536" s="21">
        <v>1</v>
      </c>
      <c r="P536" s="41">
        <f t="shared" si="237"/>
        <v>1</v>
      </c>
      <c r="Q536" s="21">
        <v>4</v>
      </c>
      <c r="R536" s="41">
        <f t="shared" si="238"/>
        <v>0.22222222222222221</v>
      </c>
      <c r="S536" s="21">
        <v>0</v>
      </c>
      <c r="T536" s="41">
        <f t="shared" si="239"/>
        <v>0</v>
      </c>
      <c r="U536" s="21">
        <v>0</v>
      </c>
      <c r="V536" s="41">
        <f t="shared" si="240"/>
        <v>0</v>
      </c>
      <c r="W536" s="21">
        <v>0</v>
      </c>
      <c r="X536" s="41">
        <f t="shared" si="241"/>
        <v>0</v>
      </c>
      <c r="Y536" s="21">
        <v>2</v>
      </c>
      <c r="Z536" s="41">
        <f t="shared" si="242"/>
        <v>0.1111111111111111</v>
      </c>
      <c r="AA536" s="21">
        <v>0</v>
      </c>
      <c r="AB536" s="41">
        <f t="shared" si="243"/>
        <v>0</v>
      </c>
      <c r="AC536" s="21">
        <v>16</v>
      </c>
      <c r="AD536" s="41">
        <f t="shared" si="225"/>
        <v>0.88888888888888884</v>
      </c>
      <c r="AE536" s="21">
        <v>1</v>
      </c>
      <c r="AF536" s="41">
        <f t="shared" si="244"/>
        <v>1</v>
      </c>
      <c r="AG536" s="21">
        <v>4</v>
      </c>
      <c r="AH536" s="41">
        <f t="shared" si="226"/>
        <v>0.22222222222222221</v>
      </c>
      <c r="AI536" s="21">
        <v>0</v>
      </c>
      <c r="AJ536" s="41">
        <f t="shared" si="245"/>
        <v>0</v>
      </c>
      <c r="AK536" s="21">
        <v>4</v>
      </c>
      <c r="AL536" s="41">
        <f t="shared" si="227"/>
        <v>0.22222222222222221</v>
      </c>
      <c r="AM536" s="21">
        <v>1</v>
      </c>
      <c r="AN536" s="41">
        <f t="shared" si="246"/>
        <v>1</v>
      </c>
      <c r="AO536" s="21">
        <v>6</v>
      </c>
      <c r="AP536" s="41">
        <f t="shared" si="228"/>
        <v>0.33333333333333331</v>
      </c>
      <c r="AQ536" s="21">
        <v>0</v>
      </c>
      <c r="AR536" s="41">
        <f t="shared" si="247"/>
        <v>0</v>
      </c>
      <c r="AS536" s="21">
        <v>1</v>
      </c>
      <c r="AT536" s="41">
        <f t="shared" si="229"/>
        <v>5.5555555555555552E-2</v>
      </c>
      <c r="AU536" s="21">
        <v>0</v>
      </c>
      <c r="AV536" s="41">
        <f t="shared" si="248"/>
        <v>0</v>
      </c>
      <c r="AW536" s="21">
        <v>2</v>
      </c>
      <c r="AX536" s="41">
        <f t="shared" si="230"/>
        <v>0.1111111111111111</v>
      </c>
      <c r="AY536" s="21">
        <v>0</v>
      </c>
      <c r="AZ536" s="41">
        <f t="shared" si="249"/>
        <v>0</v>
      </c>
      <c r="BA536" s="21">
        <v>1</v>
      </c>
      <c r="BB536" s="41">
        <f t="shared" si="231"/>
        <v>5.5555555555555552E-2</v>
      </c>
      <c r="BC536" s="21">
        <v>0</v>
      </c>
      <c r="BD536" s="41">
        <f t="shared" si="250"/>
        <v>0</v>
      </c>
      <c r="BE536" s="21">
        <v>18</v>
      </c>
      <c r="BF536" s="21">
        <v>1</v>
      </c>
    </row>
    <row r="537" spans="1:58" ht="15.75" customHeight="1" x14ac:dyDescent="0.25">
      <c r="A537" s="44">
        <v>2021</v>
      </c>
      <c r="B537" s="39">
        <v>171900</v>
      </c>
      <c r="C537" s="38" t="s">
        <v>148</v>
      </c>
      <c r="D537" s="38" t="s">
        <v>123</v>
      </c>
      <c r="E537" s="21">
        <v>1</v>
      </c>
      <c r="F537" s="42">
        <f t="shared" si="232"/>
        <v>3.3003300330033004E-3</v>
      </c>
      <c r="G537" s="21">
        <v>1</v>
      </c>
      <c r="H537" s="42">
        <f t="shared" si="233"/>
        <v>8.771929824561403E-3</v>
      </c>
      <c r="I537" s="21">
        <v>7</v>
      </c>
      <c r="J537" s="41">
        <f t="shared" si="234"/>
        <v>2.3102310231023101E-2</v>
      </c>
      <c r="K537" s="21">
        <v>4</v>
      </c>
      <c r="L537" s="41">
        <f t="shared" si="235"/>
        <v>3.5087719298245612E-2</v>
      </c>
      <c r="M537" s="21">
        <v>273</v>
      </c>
      <c r="N537" s="41">
        <f t="shared" si="236"/>
        <v>0.90099009900990101</v>
      </c>
      <c r="O537" s="21">
        <v>103</v>
      </c>
      <c r="P537" s="41">
        <f t="shared" si="237"/>
        <v>0.90350877192982459</v>
      </c>
      <c r="Q537" s="21">
        <v>22</v>
      </c>
      <c r="R537" s="41">
        <f t="shared" si="238"/>
        <v>7.2607260726072612E-2</v>
      </c>
      <c r="S537" s="21">
        <v>6</v>
      </c>
      <c r="T537" s="41">
        <f t="shared" si="239"/>
        <v>5.2631578947368418E-2</v>
      </c>
      <c r="U537" s="21">
        <v>13</v>
      </c>
      <c r="V537" s="41">
        <f t="shared" si="240"/>
        <v>4.2904290429042903E-2</v>
      </c>
      <c r="W537" s="21">
        <v>3</v>
      </c>
      <c r="X537" s="41">
        <f t="shared" si="241"/>
        <v>2.6315789473684209E-2</v>
      </c>
      <c r="Y537" s="21">
        <v>21</v>
      </c>
      <c r="Z537" s="41">
        <f t="shared" si="242"/>
        <v>6.9306930693069313E-2</v>
      </c>
      <c r="AA537" s="21">
        <v>5</v>
      </c>
      <c r="AB537" s="41">
        <f t="shared" si="243"/>
        <v>4.3859649122807015E-2</v>
      </c>
      <c r="AC537" s="21">
        <v>269</v>
      </c>
      <c r="AD537" s="41">
        <f t="shared" si="225"/>
        <v>0.88778877887788776</v>
      </c>
      <c r="AE537" s="21">
        <v>106</v>
      </c>
      <c r="AF537" s="41">
        <f t="shared" si="244"/>
        <v>0.92982456140350878</v>
      </c>
      <c r="AG537" s="21">
        <v>8</v>
      </c>
      <c r="AH537" s="41">
        <f t="shared" si="226"/>
        <v>2.6402640264026403E-2</v>
      </c>
      <c r="AI537" s="21">
        <v>7</v>
      </c>
      <c r="AJ537" s="41">
        <f t="shared" si="245"/>
        <v>6.1403508771929821E-2</v>
      </c>
      <c r="AK537" s="21">
        <v>11</v>
      </c>
      <c r="AL537" s="41">
        <f t="shared" si="227"/>
        <v>3.6303630363036306E-2</v>
      </c>
      <c r="AM537" s="21">
        <v>3</v>
      </c>
      <c r="AN537" s="41">
        <f t="shared" si="246"/>
        <v>2.6315789473684209E-2</v>
      </c>
      <c r="AO537" s="21">
        <v>201</v>
      </c>
      <c r="AP537" s="41">
        <f t="shared" si="228"/>
        <v>0.6633663366336634</v>
      </c>
      <c r="AQ537" s="21">
        <v>86</v>
      </c>
      <c r="AR537" s="41">
        <f t="shared" si="247"/>
        <v>0.75438596491228072</v>
      </c>
      <c r="AS537" s="21">
        <v>41</v>
      </c>
      <c r="AT537" s="41">
        <f t="shared" si="229"/>
        <v>0.13531353135313531</v>
      </c>
      <c r="AU537" s="21">
        <v>12</v>
      </c>
      <c r="AV537" s="41">
        <f t="shared" si="248"/>
        <v>0.10526315789473684</v>
      </c>
      <c r="AW537" s="21">
        <v>25</v>
      </c>
      <c r="AX537" s="41">
        <f t="shared" si="230"/>
        <v>8.2508250825082508E-2</v>
      </c>
      <c r="AY537" s="21">
        <v>2</v>
      </c>
      <c r="AZ537" s="41">
        <f t="shared" si="249"/>
        <v>1.7543859649122806E-2</v>
      </c>
      <c r="BA537" s="21">
        <v>17</v>
      </c>
      <c r="BB537" s="41">
        <f t="shared" si="231"/>
        <v>5.6105610561056105E-2</v>
      </c>
      <c r="BC537" s="21">
        <v>4</v>
      </c>
      <c r="BD537" s="41">
        <f t="shared" si="250"/>
        <v>3.5087719298245612E-2</v>
      </c>
      <c r="BE537" s="21">
        <v>303</v>
      </c>
      <c r="BF537" s="21">
        <v>114</v>
      </c>
    </row>
    <row r="538" spans="1:58" ht="15.75" customHeight="1" x14ac:dyDescent="0.25">
      <c r="A538" s="44">
        <v>2021</v>
      </c>
      <c r="B538" s="39">
        <v>172000</v>
      </c>
      <c r="C538" s="38" t="s">
        <v>145</v>
      </c>
      <c r="D538" s="38" t="s">
        <v>124</v>
      </c>
      <c r="E538" s="21">
        <v>1</v>
      </c>
      <c r="F538" s="42">
        <f t="shared" si="232"/>
        <v>9.1743119266055051E-3</v>
      </c>
      <c r="G538" s="21">
        <v>1</v>
      </c>
      <c r="H538" s="42">
        <f t="shared" si="233"/>
        <v>2.3255813953488372E-2</v>
      </c>
      <c r="I538" s="21">
        <v>5</v>
      </c>
      <c r="J538" s="41">
        <f t="shared" si="234"/>
        <v>4.5871559633027525E-2</v>
      </c>
      <c r="K538" s="21">
        <v>3</v>
      </c>
      <c r="L538" s="41">
        <f t="shared" si="235"/>
        <v>6.9767441860465115E-2</v>
      </c>
      <c r="M538" s="21">
        <v>98</v>
      </c>
      <c r="N538" s="41">
        <f t="shared" si="236"/>
        <v>0.8990825688073395</v>
      </c>
      <c r="O538" s="21">
        <v>39</v>
      </c>
      <c r="P538" s="41">
        <f t="shared" si="237"/>
        <v>0.90697674418604646</v>
      </c>
      <c r="Q538" s="21">
        <v>5</v>
      </c>
      <c r="R538" s="41">
        <f t="shared" si="238"/>
        <v>4.5871559633027525E-2</v>
      </c>
      <c r="S538" s="21">
        <v>0</v>
      </c>
      <c r="T538" s="41">
        <f t="shared" si="239"/>
        <v>0</v>
      </c>
      <c r="U538" s="21">
        <v>6</v>
      </c>
      <c r="V538" s="41">
        <f t="shared" si="240"/>
        <v>5.5045871559633031E-2</v>
      </c>
      <c r="W538" s="21">
        <v>4</v>
      </c>
      <c r="X538" s="41">
        <f t="shared" si="241"/>
        <v>9.3023255813953487E-2</v>
      </c>
      <c r="Y538" s="21">
        <v>7</v>
      </c>
      <c r="Z538" s="41">
        <f t="shared" si="242"/>
        <v>6.4220183486238536E-2</v>
      </c>
      <c r="AA538" s="21">
        <v>6</v>
      </c>
      <c r="AB538" s="41">
        <f t="shared" si="243"/>
        <v>0.13953488372093023</v>
      </c>
      <c r="AC538" s="21">
        <v>96</v>
      </c>
      <c r="AD538" s="41">
        <f t="shared" ref="AD538:AD566" si="251">IFERROR(AC538/$BE538,0)</f>
        <v>0.88073394495412849</v>
      </c>
      <c r="AE538" s="21">
        <v>33</v>
      </c>
      <c r="AF538" s="41">
        <f t="shared" si="244"/>
        <v>0.76744186046511631</v>
      </c>
      <c r="AG538" s="21">
        <v>2</v>
      </c>
      <c r="AH538" s="41">
        <f t="shared" ref="AH538:AH566" si="252">IFERROR(AG538/$BE538,0)</f>
        <v>1.834862385321101E-2</v>
      </c>
      <c r="AI538" s="21">
        <v>1</v>
      </c>
      <c r="AJ538" s="41">
        <f t="shared" si="245"/>
        <v>2.3255813953488372E-2</v>
      </c>
      <c r="AK538" s="21">
        <v>2</v>
      </c>
      <c r="AL538" s="41">
        <f t="shared" ref="AL538:AL566" si="253">IFERROR(AK538/$BE538,0)</f>
        <v>1.834862385321101E-2</v>
      </c>
      <c r="AM538" s="21">
        <v>2</v>
      </c>
      <c r="AN538" s="41">
        <f t="shared" si="246"/>
        <v>4.6511627906976744E-2</v>
      </c>
      <c r="AO538" s="21">
        <v>64</v>
      </c>
      <c r="AP538" s="41">
        <f t="shared" ref="AP538:AP566" si="254">IFERROR(AO538/$BE538,0)</f>
        <v>0.58715596330275233</v>
      </c>
      <c r="AQ538" s="21">
        <v>28</v>
      </c>
      <c r="AR538" s="41">
        <f t="shared" si="247"/>
        <v>0.65116279069767447</v>
      </c>
      <c r="AS538" s="21">
        <v>26</v>
      </c>
      <c r="AT538" s="41">
        <f t="shared" ref="AT538:AT566" si="255">IFERROR(AS538/$BE538,0)</f>
        <v>0.23853211009174313</v>
      </c>
      <c r="AU538" s="21">
        <v>8</v>
      </c>
      <c r="AV538" s="41">
        <f t="shared" si="248"/>
        <v>0.18604651162790697</v>
      </c>
      <c r="AW538" s="21">
        <v>10</v>
      </c>
      <c r="AX538" s="41">
        <f t="shared" ref="AX538:AX566" si="256">IFERROR(AW538/$BE538,0)</f>
        <v>9.1743119266055051E-2</v>
      </c>
      <c r="AY538" s="21">
        <v>3</v>
      </c>
      <c r="AZ538" s="41">
        <f t="shared" si="249"/>
        <v>6.9767441860465115E-2</v>
      </c>
      <c r="BA538" s="21">
        <v>5</v>
      </c>
      <c r="BB538" s="41">
        <f t="shared" ref="BB538:BB566" si="257">IFERROR(BA538/$BE538,0)</f>
        <v>4.5871559633027525E-2</v>
      </c>
      <c r="BC538" s="21">
        <v>1</v>
      </c>
      <c r="BD538" s="41">
        <f t="shared" si="250"/>
        <v>2.3255813953488372E-2</v>
      </c>
      <c r="BE538" s="21">
        <v>109</v>
      </c>
      <c r="BF538" s="21">
        <v>43</v>
      </c>
    </row>
    <row r="539" spans="1:58" ht="15.75" customHeight="1" x14ac:dyDescent="0.25">
      <c r="A539" s="44">
        <v>2021</v>
      </c>
      <c r="B539" s="39">
        <v>172010</v>
      </c>
      <c r="C539" s="38" t="s">
        <v>145</v>
      </c>
      <c r="D539" s="38" t="s">
        <v>125</v>
      </c>
      <c r="E539" s="21">
        <v>0</v>
      </c>
      <c r="F539" s="42">
        <f t="shared" si="232"/>
        <v>0</v>
      </c>
      <c r="G539" s="21">
        <v>0</v>
      </c>
      <c r="H539" s="42">
        <f t="shared" si="233"/>
        <v>0</v>
      </c>
      <c r="I539" s="21">
        <v>8</v>
      </c>
      <c r="J539" s="41">
        <f t="shared" si="234"/>
        <v>3.292181069958848E-2</v>
      </c>
      <c r="K539" s="21">
        <v>5</v>
      </c>
      <c r="L539" s="41">
        <f t="shared" si="235"/>
        <v>3.5211267605633804E-2</v>
      </c>
      <c r="M539" s="21">
        <v>221</v>
      </c>
      <c r="N539" s="41">
        <f t="shared" si="236"/>
        <v>0.90946502057613166</v>
      </c>
      <c r="O539" s="21">
        <v>126</v>
      </c>
      <c r="P539" s="41">
        <f t="shared" si="237"/>
        <v>0.88732394366197187</v>
      </c>
      <c r="Q539" s="21">
        <v>14</v>
      </c>
      <c r="R539" s="41">
        <f t="shared" si="238"/>
        <v>5.7613168724279837E-2</v>
      </c>
      <c r="S539" s="21">
        <v>11</v>
      </c>
      <c r="T539" s="41">
        <f t="shared" si="239"/>
        <v>7.746478873239436E-2</v>
      </c>
      <c r="U539" s="21">
        <v>20</v>
      </c>
      <c r="V539" s="41">
        <f t="shared" si="240"/>
        <v>8.2304526748971193E-2</v>
      </c>
      <c r="W539" s="21">
        <v>9</v>
      </c>
      <c r="X539" s="41">
        <f t="shared" si="241"/>
        <v>6.3380281690140844E-2</v>
      </c>
      <c r="Y539" s="21">
        <v>28</v>
      </c>
      <c r="Z539" s="41">
        <f t="shared" si="242"/>
        <v>0.11522633744855967</v>
      </c>
      <c r="AA539" s="21">
        <v>16</v>
      </c>
      <c r="AB539" s="41">
        <f t="shared" si="243"/>
        <v>0.11267605633802817</v>
      </c>
      <c r="AC539" s="21">
        <v>195</v>
      </c>
      <c r="AD539" s="41">
        <f t="shared" si="251"/>
        <v>0.80246913580246915</v>
      </c>
      <c r="AE539" s="21">
        <v>117</v>
      </c>
      <c r="AF539" s="41">
        <f t="shared" si="244"/>
        <v>0.823943661971831</v>
      </c>
      <c r="AG539" s="21">
        <v>7</v>
      </c>
      <c r="AH539" s="41">
        <f t="shared" si="252"/>
        <v>2.8806584362139918E-2</v>
      </c>
      <c r="AI539" s="21">
        <v>5</v>
      </c>
      <c r="AJ539" s="41">
        <f t="shared" si="245"/>
        <v>3.5211267605633804E-2</v>
      </c>
      <c r="AK539" s="21">
        <v>8</v>
      </c>
      <c r="AL539" s="41">
        <f t="shared" si="253"/>
        <v>3.292181069958848E-2</v>
      </c>
      <c r="AM539" s="21">
        <v>5</v>
      </c>
      <c r="AN539" s="41">
        <f t="shared" si="246"/>
        <v>3.5211267605633804E-2</v>
      </c>
      <c r="AO539" s="21">
        <v>155</v>
      </c>
      <c r="AP539" s="41">
        <f t="shared" si="254"/>
        <v>0.63786008230452673</v>
      </c>
      <c r="AQ539" s="21">
        <v>88</v>
      </c>
      <c r="AR539" s="41">
        <f t="shared" si="247"/>
        <v>0.61971830985915488</v>
      </c>
      <c r="AS539" s="21">
        <v>36</v>
      </c>
      <c r="AT539" s="41">
        <f t="shared" si="255"/>
        <v>0.14814814814814814</v>
      </c>
      <c r="AU539" s="21">
        <v>23</v>
      </c>
      <c r="AV539" s="41">
        <f t="shared" si="248"/>
        <v>0.1619718309859155</v>
      </c>
      <c r="AW539" s="21">
        <v>16</v>
      </c>
      <c r="AX539" s="41">
        <f t="shared" si="256"/>
        <v>6.584362139917696E-2</v>
      </c>
      <c r="AY539" s="21">
        <v>9</v>
      </c>
      <c r="AZ539" s="41">
        <f t="shared" si="249"/>
        <v>6.3380281690140844E-2</v>
      </c>
      <c r="BA539" s="21">
        <v>21</v>
      </c>
      <c r="BB539" s="41">
        <f t="shared" si="257"/>
        <v>8.6419753086419748E-2</v>
      </c>
      <c r="BC539" s="21">
        <v>12</v>
      </c>
      <c r="BD539" s="41">
        <f t="shared" si="250"/>
        <v>8.4507042253521125E-2</v>
      </c>
      <c r="BE539" s="21">
        <v>243</v>
      </c>
      <c r="BF539" s="21">
        <v>142</v>
      </c>
    </row>
    <row r="540" spans="1:58" ht="15.75" customHeight="1" x14ac:dyDescent="0.25">
      <c r="A540" s="44">
        <v>2021</v>
      </c>
      <c r="B540" s="39">
        <v>172015</v>
      </c>
      <c r="C540" s="38" t="s">
        <v>148</v>
      </c>
      <c r="D540" s="38" t="s">
        <v>126</v>
      </c>
      <c r="E540" s="21">
        <v>1</v>
      </c>
      <c r="F540" s="42">
        <f t="shared" si="232"/>
        <v>9.0909090909090905E-3</v>
      </c>
      <c r="G540" s="21">
        <v>0</v>
      </c>
      <c r="H540" s="42">
        <f t="shared" si="233"/>
        <v>0</v>
      </c>
      <c r="I540" s="21">
        <v>2</v>
      </c>
      <c r="J540" s="41">
        <f t="shared" si="234"/>
        <v>1.8181818181818181E-2</v>
      </c>
      <c r="K540" s="21">
        <v>1</v>
      </c>
      <c r="L540" s="41">
        <f t="shared" si="235"/>
        <v>2.3255813953488372E-2</v>
      </c>
      <c r="M540" s="21">
        <v>104</v>
      </c>
      <c r="N540" s="41">
        <f t="shared" si="236"/>
        <v>0.94545454545454544</v>
      </c>
      <c r="O540" s="21">
        <v>42</v>
      </c>
      <c r="P540" s="41">
        <f t="shared" si="237"/>
        <v>0.97674418604651159</v>
      </c>
      <c r="Q540" s="21">
        <v>3</v>
      </c>
      <c r="R540" s="41">
        <f t="shared" si="238"/>
        <v>2.7272727272727271E-2</v>
      </c>
      <c r="S540" s="21">
        <v>0</v>
      </c>
      <c r="T540" s="41">
        <f t="shared" si="239"/>
        <v>0</v>
      </c>
      <c r="U540" s="21">
        <v>12</v>
      </c>
      <c r="V540" s="41">
        <f t="shared" si="240"/>
        <v>0.10909090909090909</v>
      </c>
      <c r="W540" s="21">
        <v>3</v>
      </c>
      <c r="X540" s="41">
        <f t="shared" si="241"/>
        <v>6.9767441860465115E-2</v>
      </c>
      <c r="Y540" s="21">
        <v>12</v>
      </c>
      <c r="Z540" s="41">
        <f t="shared" si="242"/>
        <v>0.10909090909090909</v>
      </c>
      <c r="AA540" s="21">
        <v>3</v>
      </c>
      <c r="AB540" s="41">
        <f t="shared" si="243"/>
        <v>6.9767441860465115E-2</v>
      </c>
      <c r="AC540" s="21">
        <v>86</v>
      </c>
      <c r="AD540" s="41">
        <f t="shared" si="251"/>
        <v>0.78181818181818186</v>
      </c>
      <c r="AE540" s="21">
        <v>37</v>
      </c>
      <c r="AF540" s="41">
        <f t="shared" si="244"/>
        <v>0.86046511627906974</v>
      </c>
      <c r="AG540" s="21">
        <v>5</v>
      </c>
      <c r="AH540" s="41">
        <f t="shared" si="252"/>
        <v>4.5454545454545456E-2</v>
      </c>
      <c r="AI540" s="21">
        <v>1</v>
      </c>
      <c r="AJ540" s="41">
        <f t="shared" si="245"/>
        <v>2.3255813953488372E-2</v>
      </c>
      <c r="AK540" s="21">
        <v>8</v>
      </c>
      <c r="AL540" s="41">
        <f t="shared" si="253"/>
        <v>7.2727272727272724E-2</v>
      </c>
      <c r="AM540" s="21">
        <v>1</v>
      </c>
      <c r="AN540" s="41">
        <f t="shared" si="246"/>
        <v>2.3255813953488372E-2</v>
      </c>
      <c r="AO540" s="21">
        <v>69</v>
      </c>
      <c r="AP540" s="41">
        <f t="shared" si="254"/>
        <v>0.62727272727272732</v>
      </c>
      <c r="AQ540" s="21">
        <v>30</v>
      </c>
      <c r="AR540" s="41">
        <f t="shared" si="247"/>
        <v>0.69767441860465118</v>
      </c>
      <c r="AS540" s="21">
        <v>7</v>
      </c>
      <c r="AT540" s="41">
        <f t="shared" si="255"/>
        <v>6.363636363636363E-2</v>
      </c>
      <c r="AU540" s="21">
        <v>6</v>
      </c>
      <c r="AV540" s="41">
        <f t="shared" si="248"/>
        <v>0.13953488372093023</v>
      </c>
      <c r="AW540" s="21">
        <v>8</v>
      </c>
      <c r="AX540" s="41">
        <f t="shared" si="256"/>
        <v>7.2727272727272724E-2</v>
      </c>
      <c r="AY540" s="21">
        <v>4</v>
      </c>
      <c r="AZ540" s="41">
        <f t="shared" si="249"/>
        <v>9.3023255813953487E-2</v>
      </c>
      <c r="BA540" s="21">
        <v>13</v>
      </c>
      <c r="BB540" s="41">
        <f t="shared" si="257"/>
        <v>0.11818181818181818</v>
      </c>
      <c r="BC540" s="21">
        <v>1</v>
      </c>
      <c r="BD540" s="41">
        <f t="shared" si="250"/>
        <v>2.3255813953488372E-2</v>
      </c>
      <c r="BE540" s="21">
        <v>110</v>
      </c>
      <c r="BF540" s="21">
        <v>43</v>
      </c>
    </row>
    <row r="541" spans="1:58" ht="15.75" customHeight="1" x14ac:dyDescent="0.25">
      <c r="A541" s="44">
        <v>2021</v>
      </c>
      <c r="B541" s="39">
        <v>172020</v>
      </c>
      <c r="C541" s="38" t="s">
        <v>145</v>
      </c>
      <c r="D541" s="38" t="s">
        <v>127</v>
      </c>
      <c r="E541" s="21">
        <v>5</v>
      </c>
      <c r="F541" s="42">
        <f t="shared" si="232"/>
        <v>5.6179775280898875E-3</v>
      </c>
      <c r="G541" s="21">
        <v>3</v>
      </c>
      <c r="H541" s="42">
        <f t="shared" si="233"/>
        <v>5.454545454545455E-3</v>
      </c>
      <c r="I541" s="21">
        <v>33</v>
      </c>
      <c r="J541" s="41">
        <f t="shared" si="234"/>
        <v>3.707865168539326E-2</v>
      </c>
      <c r="K541" s="21">
        <v>27</v>
      </c>
      <c r="L541" s="41">
        <f t="shared" si="235"/>
        <v>4.9090909090909088E-2</v>
      </c>
      <c r="M541" s="21">
        <v>815</v>
      </c>
      <c r="N541" s="41">
        <f t="shared" si="236"/>
        <v>0.9157303370786517</v>
      </c>
      <c r="O541" s="21">
        <v>499</v>
      </c>
      <c r="P541" s="41">
        <f t="shared" si="237"/>
        <v>0.90727272727272723</v>
      </c>
      <c r="Q541" s="21">
        <v>37</v>
      </c>
      <c r="R541" s="41">
        <f t="shared" si="238"/>
        <v>4.1573033707865172E-2</v>
      </c>
      <c r="S541" s="21">
        <v>21</v>
      </c>
      <c r="T541" s="41">
        <f t="shared" si="239"/>
        <v>3.8181818181818185E-2</v>
      </c>
      <c r="U541" s="21">
        <v>32</v>
      </c>
      <c r="V541" s="41">
        <f t="shared" si="240"/>
        <v>3.5955056179775284E-2</v>
      </c>
      <c r="W541" s="21">
        <v>22</v>
      </c>
      <c r="X541" s="41">
        <f t="shared" si="241"/>
        <v>0.04</v>
      </c>
      <c r="Y541" s="21">
        <v>68</v>
      </c>
      <c r="Z541" s="41">
        <f t="shared" si="242"/>
        <v>7.6404494382022473E-2</v>
      </c>
      <c r="AA541" s="21">
        <v>44</v>
      </c>
      <c r="AB541" s="41">
        <f t="shared" si="243"/>
        <v>0.08</v>
      </c>
      <c r="AC541" s="21">
        <v>790</v>
      </c>
      <c r="AD541" s="41">
        <f t="shared" si="251"/>
        <v>0.88764044943820219</v>
      </c>
      <c r="AE541" s="21">
        <v>484</v>
      </c>
      <c r="AF541" s="41">
        <f t="shared" si="244"/>
        <v>0.88</v>
      </c>
      <c r="AG541" s="21">
        <v>30</v>
      </c>
      <c r="AH541" s="41">
        <f t="shared" si="252"/>
        <v>3.3707865168539325E-2</v>
      </c>
      <c r="AI541" s="21">
        <v>23</v>
      </c>
      <c r="AJ541" s="41">
        <f t="shared" si="245"/>
        <v>4.1818181818181817E-2</v>
      </c>
      <c r="AK541" s="21">
        <v>40</v>
      </c>
      <c r="AL541" s="41">
        <f t="shared" si="253"/>
        <v>4.49438202247191E-2</v>
      </c>
      <c r="AM541" s="21">
        <v>34</v>
      </c>
      <c r="AN541" s="41">
        <f t="shared" si="246"/>
        <v>6.1818181818181821E-2</v>
      </c>
      <c r="AO541" s="21">
        <v>597</v>
      </c>
      <c r="AP541" s="41">
        <f t="shared" si="254"/>
        <v>0.67078651685393254</v>
      </c>
      <c r="AQ541" s="21">
        <v>386</v>
      </c>
      <c r="AR541" s="41">
        <f t="shared" si="247"/>
        <v>0.70181818181818179</v>
      </c>
      <c r="AS541" s="21">
        <v>137</v>
      </c>
      <c r="AT541" s="41">
        <f t="shared" si="255"/>
        <v>0.15393258426966291</v>
      </c>
      <c r="AU541" s="21">
        <v>66</v>
      </c>
      <c r="AV541" s="41">
        <f t="shared" si="248"/>
        <v>0.12</v>
      </c>
      <c r="AW541" s="21">
        <v>52</v>
      </c>
      <c r="AX541" s="41">
        <f t="shared" si="256"/>
        <v>5.8426966292134834E-2</v>
      </c>
      <c r="AY541" s="21">
        <v>26</v>
      </c>
      <c r="AZ541" s="41">
        <f t="shared" si="249"/>
        <v>4.7272727272727272E-2</v>
      </c>
      <c r="BA541" s="21">
        <v>34</v>
      </c>
      <c r="BB541" s="41">
        <f t="shared" si="257"/>
        <v>3.8202247191011236E-2</v>
      </c>
      <c r="BC541" s="21">
        <v>15</v>
      </c>
      <c r="BD541" s="41">
        <f t="shared" si="250"/>
        <v>2.7272727272727271E-2</v>
      </c>
      <c r="BE541" s="21">
        <v>890</v>
      </c>
      <c r="BF541" s="21">
        <v>550</v>
      </c>
    </row>
    <row r="542" spans="1:58" ht="15.75" customHeight="1" x14ac:dyDescent="0.25">
      <c r="A542" s="44">
        <v>2021</v>
      </c>
      <c r="B542" s="39">
        <v>172025</v>
      </c>
      <c r="C542" s="38" t="s">
        <v>146</v>
      </c>
      <c r="D542" s="38" t="s">
        <v>128</v>
      </c>
      <c r="E542" s="21">
        <v>1</v>
      </c>
      <c r="F542" s="42">
        <f t="shared" si="232"/>
        <v>8.130081300813009E-3</v>
      </c>
      <c r="G542" s="21">
        <v>0</v>
      </c>
      <c r="H542" s="42">
        <f t="shared" si="233"/>
        <v>0</v>
      </c>
      <c r="I542" s="21">
        <v>3</v>
      </c>
      <c r="J542" s="41">
        <f t="shared" si="234"/>
        <v>2.4390243902439025E-2</v>
      </c>
      <c r="K542" s="21">
        <v>0</v>
      </c>
      <c r="L542" s="41">
        <f t="shared" si="235"/>
        <v>0</v>
      </c>
      <c r="M542" s="21">
        <v>109</v>
      </c>
      <c r="N542" s="41">
        <f t="shared" si="236"/>
        <v>0.88617886178861793</v>
      </c>
      <c r="O542" s="21">
        <v>74</v>
      </c>
      <c r="P542" s="41">
        <f t="shared" si="237"/>
        <v>0.90243902439024393</v>
      </c>
      <c r="Q542" s="21">
        <v>10</v>
      </c>
      <c r="R542" s="41">
        <f t="shared" si="238"/>
        <v>8.1300813008130079E-2</v>
      </c>
      <c r="S542" s="21">
        <v>8</v>
      </c>
      <c r="T542" s="41">
        <f t="shared" si="239"/>
        <v>9.7560975609756101E-2</v>
      </c>
      <c r="U542" s="21">
        <v>8</v>
      </c>
      <c r="V542" s="41">
        <f t="shared" si="240"/>
        <v>6.5040650406504072E-2</v>
      </c>
      <c r="W542" s="21">
        <v>5</v>
      </c>
      <c r="X542" s="41">
        <f t="shared" si="241"/>
        <v>6.097560975609756E-2</v>
      </c>
      <c r="Y542" s="21">
        <v>10</v>
      </c>
      <c r="Z542" s="41">
        <f t="shared" si="242"/>
        <v>8.1300813008130079E-2</v>
      </c>
      <c r="AA542" s="21">
        <v>8</v>
      </c>
      <c r="AB542" s="41">
        <f t="shared" si="243"/>
        <v>9.7560975609756101E-2</v>
      </c>
      <c r="AC542" s="21">
        <v>105</v>
      </c>
      <c r="AD542" s="41">
        <f t="shared" si="251"/>
        <v>0.85365853658536583</v>
      </c>
      <c r="AE542" s="21">
        <v>69</v>
      </c>
      <c r="AF542" s="41">
        <f t="shared" si="244"/>
        <v>0.84146341463414631</v>
      </c>
      <c r="AG542" s="21">
        <v>2</v>
      </c>
      <c r="AH542" s="41">
        <f t="shared" si="252"/>
        <v>1.6260162601626018E-2</v>
      </c>
      <c r="AI542" s="21">
        <v>0</v>
      </c>
      <c r="AJ542" s="41">
        <f t="shared" si="245"/>
        <v>0</v>
      </c>
      <c r="AK542" s="21">
        <v>6</v>
      </c>
      <c r="AL542" s="41">
        <f t="shared" si="253"/>
        <v>4.878048780487805E-2</v>
      </c>
      <c r="AM542" s="21">
        <v>5</v>
      </c>
      <c r="AN542" s="41">
        <f t="shared" si="246"/>
        <v>6.097560975609756E-2</v>
      </c>
      <c r="AO542" s="21">
        <v>71</v>
      </c>
      <c r="AP542" s="41">
        <f t="shared" si="254"/>
        <v>0.57723577235772361</v>
      </c>
      <c r="AQ542" s="21">
        <v>50</v>
      </c>
      <c r="AR542" s="41">
        <f t="shared" si="247"/>
        <v>0.6097560975609756</v>
      </c>
      <c r="AS542" s="21">
        <v>20</v>
      </c>
      <c r="AT542" s="41">
        <f t="shared" si="255"/>
        <v>0.16260162601626016</v>
      </c>
      <c r="AU542" s="21">
        <v>8</v>
      </c>
      <c r="AV542" s="41">
        <f t="shared" si="248"/>
        <v>9.7560975609756101E-2</v>
      </c>
      <c r="AW542" s="21">
        <v>13</v>
      </c>
      <c r="AX542" s="41">
        <f t="shared" si="256"/>
        <v>0.10569105691056911</v>
      </c>
      <c r="AY542" s="21">
        <v>9</v>
      </c>
      <c r="AZ542" s="41">
        <f t="shared" si="249"/>
        <v>0.10975609756097561</v>
      </c>
      <c r="BA542" s="21">
        <v>11</v>
      </c>
      <c r="BB542" s="41">
        <f t="shared" si="257"/>
        <v>8.943089430894309E-2</v>
      </c>
      <c r="BC542" s="21">
        <v>10</v>
      </c>
      <c r="BD542" s="41">
        <f t="shared" si="250"/>
        <v>0.12195121951219512</v>
      </c>
      <c r="BE542" s="21">
        <v>123</v>
      </c>
      <c r="BF542" s="21">
        <v>82</v>
      </c>
    </row>
    <row r="543" spans="1:58" ht="15.75" customHeight="1" x14ac:dyDescent="0.25">
      <c r="A543" s="44">
        <v>2021</v>
      </c>
      <c r="B543" s="39">
        <v>172030</v>
      </c>
      <c r="C543" s="38" t="s">
        <v>145</v>
      </c>
      <c r="D543" s="38" t="s">
        <v>129</v>
      </c>
      <c r="E543" s="21">
        <v>3</v>
      </c>
      <c r="F543" s="42">
        <f t="shared" si="232"/>
        <v>1.107011070110701E-2</v>
      </c>
      <c r="G543" s="21">
        <v>1</v>
      </c>
      <c r="H543" s="42">
        <f t="shared" si="233"/>
        <v>4.7846889952153108E-3</v>
      </c>
      <c r="I543" s="21">
        <v>7</v>
      </c>
      <c r="J543" s="41">
        <f t="shared" si="234"/>
        <v>2.5830258302583026E-2</v>
      </c>
      <c r="K543" s="21">
        <v>6</v>
      </c>
      <c r="L543" s="41">
        <f t="shared" si="235"/>
        <v>2.8708133971291867E-2</v>
      </c>
      <c r="M543" s="21">
        <v>237</v>
      </c>
      <c r="N543" s="41">
        <f t="shared" si="236"/>
        <v>0.87453874538745391</v>
      </c>
      <c r="O543" s="21">
        <v>185</v>
      </c>
      <c r="P543" s="41">
        <f t="shared" si="237"/>
        <v>0.88516746411483249</v>
      </c>
      <c r="Q543" s="21">
        <v>24</v>
      </c>
      <c r="R543" s="41">
        <f t="shared" si="238"/>
        <v>8.8560885608856083E-2</v>
      </c>
      <c r="S543" s="21">
        <v>17</v>
      </c>
      <c r="T543" s="41">
        <f t="shared" si="239"/>
        <v>8.1339712918660281E-2</v>
      </c>
      <c r="U543" s="21">
        <v>16</v>
      </c>
      <c r="V543" s="41">
        <f t="shared" si="240"/>
        <v>5.9040590405904057E-2</v>
      </c>
      <c r="W543" s="21">
        <v>11</v>
      </c>
      <c r="X543" s="41">
        <f t="shared" si="241"/>
        <v>5.2631578947368418E-2</v>
      </c>
      <c r="Y543" s="21">
        <v>15</v>
      </c>
      <c r="Z543" s="41">
        <f t="shared" si="242"/>
        <v>5.5350553505535055E-2</v>
      </c>
      <c r="AA543" s="21">
        <v>12</v>
      </c>
      <c r="AB543" s="41">
        <f t="shared" si="243"/>
        <v>5.7416267942583733E-2</v>
      </c>
      <c r="AC543" s="21">
        <v>240</v>
      </c>
      <c r="AD543" s="41">
        <f t="shared" si="251"/>
        <v>0.88560885608856088</v>
      </c>
      <c r="AE543" s="21">
        <v>186</v>
      </c>
      <c r="AF543" s="41">
        <f t="shared" si="244"/>
        <v>0.88995215311004783</v>
      </c>
      <c r="AG543" s="21">
        <v>10</v>
      </c>
      <c r="AH543" s="41">
        <f t="shared" si="252"/>
        <v>3.6900369003690037E-2</v>
      </c>
      <c r="AI543" s="21">
        <v>9</v>
      </c>
      <c r="AJ543" s="41">
        <f t="shared" si="245"/>
        <v>4.3062200956937802E-2</v>
      </c>
      <c r="AK543" s="21">
        <v>13</v>
      </c>
      <c r="AL543" s="41">
        <f t="shared" si="253"/>
        <v>4.797047970479705E-2</v>
      </c>
      <c r="AM543" s="21">
        <v>13</v>
      </c>
      <c r="AN543" s="41">
        <f t="shared" si="246"/>
        <v>6.2200956937799042E-2</v>
      </c>
      <c r="AO543" s="21">
        <v>163</v>
      </c>
      <c r="AP543" s="41">
        <f t="shared" si="254"/>
        <v>0.60147601476014756</v>
      </c>
      <c r="AQ543" s="21">
        <v>128</v>
      </c>
      <c r="AR543" s="41">
        <f t="shared" si="247"/>
        <v>0.61244019138755978</v>
      </c>
      <c r="AS543" s="21">
        <v>52</v>
      </c>
      <c r="AT543" s="41">
        <f t="shared" si="255"/>
        <v>0.1918819188191882</v>
      </c>
      <c r="AU543" s="21">
        <v>36</v>
      </c>
      <c r="AV543" s="41">
        <f t="shared" si="248"/>
        <v>0.17224880382775121</v>
      </c>
      <c r="AW543" s="21">
        <v>12</v>
      </c>
      <c r="AX543" s="41">
        <f t="shared" si="256"/>
        <v>4.4280442804428041E-2</v>
      </c>
      <c r="AY543" s="21">
        <v>8</v>
      </c>
      <c r="AZ543" s="41">
        <f t="shared" si="249"/>
        <v>3.8277511961722487E-2</v>
      </c>
      <c r="BA543" s="21">
        <v>21</v>
      </c>
      <c r="BB543" s="41">
        <f t="shared" si="257"/>
        <v>7.7490774907749083E-2</v>
      </c>
      <c r="BC543" s="21">
        <v>15</v>
      </c>
      <c r="BD543" s="41">
        <f t="shared" si="250"/>
        <v>7.1770334928229665E-2</v>
      </c>
      <c r="BE543" s="21">
        <v>271</v>
      </c>
      <c r="BF543" s="21">
        <v>209</v>
      </c>
    </row>
    <row r="544" spans="1:58" ht="15.75" customHeight="1" x14ac:dyDescent="0.25">
      <c r="A544" s="44">
        <v>2021</v>
      </c>
      <c r="B544" s="39">
        <v>172049</v>
      </c>
      <c r="C544" s="38" t="s">
        <v>146</v>
      </c>
      <c r="D544" s="38" t="s">
        <v>130</v>
      </c>
      <c r="E544" s="21">
        <v>1</v>
      </c>
      <c r="F544" s="42">
        <f t="shared" si="232"/>
        <v>5.9171597633136093E-3</v>
      </c>
      <c r="G544" s="21">
        <v>1</v>
      </c>
      <c r="H544" s="42">
        <f t="shared" si="233"/>
        <v>9.0909090909090905E-3</v>
      </c>
      <c r="I544" s="21">
        <v>8</v>
      </c>
      <c r="J544" s="41">
        <f t="shared" si="234"/>
        <v>4.7337278106508875E-2</v>
      </c>
      <c r="K544" s="21">
        <v>6</v>
      </c>
      <c r="L544" s="41">
        <f t="shared" si="235"/>
        <v>5.4545454545454543E-2</v>
      </c>
      <c r="M544" s="21">
        <v>144</v>
      </c>
      <c r="N544" s="41">
        <f t="shared" si="236"/>
        <v>0.85207100591715978</v>
      </c>
      <c r="O544" s="21">
        <v>89</v>
      </c>
      <c r="P544" s="41">
        <f t="shared" si="237"/>
        <v>0.80909090909090908</v>
      </c>
      <c r="Q544" s="21">
        <v>16</v>
      </c>
      <c r="R544" s="41">
        <f t="shared" si="238"/>
        <v>9.4674556213017749E-2</v>
      </c>
      <c r="S544" s="21">
        <v>14</v>
      </c>
      <c r="T544" s="41">
        <f t="shared" si="239"/>
        <v>0.12727272727272726</v>
      </c>
      <c r="U544" s="21">
        <v>8</v>
      </c>
      <c r="V544" s="41">
        <f t="shared" si="240"/>
        <v>4.7337278106508875E-2</v>
      </c>
      <c r="W544" s="21">
        <v>7</v>
      </c>
      <c r="X544" s="41">
        <f t="shared" si="241"/>
        <v>6.363636363636363E-2</v>
      </c>
      <c r="Y544" s="21">
        <v>15</v>
      </c>
      <c r="Z544" s="41">
        <f t="shared" si="242"/>
        <v>8.8757396449704137E-2</v>
      </c>
      <c r="AA544" s="21">
        <v>11</v>
      </c>
      <c r="AB544" s="41">
        <f t="shared" si="243"/>
        <v>0.1</v>
      </c>
      <c r="AC544" s="21">
        <v>146</v>
      </c>
      <c r="AD544" s="41">
        <f t="shared" si="251"/>
        <v>0.86390532544378695</v>
      </c>
      <c r="AE544" s="21">
        <v>92</v>
      </c>
      <c r="AF544" s="41">
        <f t="shared" si="244"/>
        <v>0.83636363636363631</v>
      </c>
      <c r="AG544" s="21">
        <v>7</v>
      </c>
      <c r="AH544" s="41">
        <f t="shared" si="252"/>
        <v>4.142011834319527E-2</v>
      </c>
      <c r="AI544" s="21">
        <v>7</v>
      </c>
      <c r="AJ544" s="41">
        <f t="shared" si="245"/>
        <v>6.363636363636363E-2</v>
      </c>
      <c r="AK544" s="21">
        <v>8</v>
      </c>
      <c r="AL544" s="41">
        <f t="shared" si="253"/>
        <v>4.7337278106508875E-2</v>
      </c>
      <c r="AM544" s="21">
        <v>5</v>
      </c>
      <c r="AN544" s="41">
        <f t="shared" si="246"/>
        <v>4.5454545454545456E-2</v>
      </c>
      <c r="AO544" s="21">
        <v>91</v>
      </c>
      <c r="AP544" s="41">
        <f t="shared" si="254"/>
        <v>0.53846153846153844</v>
      </c>
      <c r="AQ544" s="21">
        <v>55</v>
      </c>
      <c r="AR544" s="41">
        <f t="shared" si="247"/>
        <v>0.5</v>
      </c>
      <c r="AS544" s="21">
        <v>31</v>
      </c>
      <c r="AT544" s="41">
        <f t="shared" si="255"/>
        <v>0.18343195266272189</v>
      </c>
      <c r="AU544" s="21">
        <v>20</v>
      </c>
      <c r="AV544" s="41">
        <f t="shared" si="248"/>
        <v>0.18181818181818182</v>
      </c>
      <c r="AW544" s="21">
        <v>12</v>
      </c>
      <c r="AX544" s="41">
        <f t="shared" si="256"/>
        <v>7.1005917159763315E-2</v>
      </c>
      <c r="AY544" s="21">
        <v>8</v>
      </c>
      <c r="AZ544" s="41">
        <f t="shared" si="249"/>
        <v>7.2727272727272724E-2</v>
      </c>
      <c r="BA544" s="21">
        <v>20</v>
      </c>
      <c r="BB544" s="41">
        <f t="shared" si="257"/>
        <v>0.11834319526627218</v>
      </c>
      <c r="BC544" s="21">
        <v>15</v>
      </c>
      <c r="BD544" s="41">
        <f t="shared" si="250"/>
        <v>0.13636363636363635</v>
      </c>
      <c r="BE544" s="21">
        <v>169</v>
      </c>
      <c r="BF544" s="21">
        <v>110</v>
      </c>
    </row>
    <row r="545" spans="1:58" ht="15.75" customHeight="1" x14ac:dyDescent="0.25">
      <c r="A545" s="44">
        <v>2021</v>
      </c>
      <c r="B545" s="39">
        <v>172065</v>
      </c>
      <c r="C545" s="38" t="s">
        <v>151</v>
      </c>
      <c r="D545" s="38" t="s">
        <v>131</v>
      </c>
      <c r="E545" s="21">
        <v>4</v>
      </c>
      <c r="F545" s="42">
        <f t="shared" si="232"/>
        <v>1.4492753623188406E-2</v>
      </c>
      <c r="G545" s="21">
        <v>3</v>
      </c>
      <c r="H545" s="42">
        <f t="shared" si="233"/>
        <v>1.4423076923076924E-2</v>
      </c>
      <c r="I545" s="21">
        <v>4</v>
      </c>
      <c r="J545" s="41">
        <f t="shared" si="234"/>
        <v>1.4492753623188406E-2</v>
      </c>
      <c r="K545" s="21">
        <v>5</v>
      </c>
      <c r="L545" s="41">
        <f t="shared" si="235"/>
        <v>2.403846153846154E-2</v>
      </c>
      <c r="M545" s="21">
        <v>239</v>
      </c>
      <c r="N545" s="41">
        <f t="shared" si="236"/>
        <v>0.86594202898550721</v>
      </c>
      <c r="O545" s="21">
        <v>175</v>
      </c>
      <c r="P545" s="41">
        <f t="shared" si="237"/>
        <v>0.84134615384615385</v>
      </c>
      <c r="Q545" s="21">
        <v>29</v>
      </c>
      <c r="R545" s="41">
        <f t="shared" si="238"/>
        <v>0.10507246376811594</v>
      </c>
      <c r="S545" s="21">
        <v>25</v>
      </c>
      <c r="T545" s="41">
        <f t="shared" si="239"/>
        <v>0.1201923076923077</v>
      </c>
      <c r="U545" s="21">
        <v>15</v>
      </c>
      <c r="V545" s="41">
        <f t="shared" si="240"/>
        <v>5.434782608695652E-2</v>
      </c>
      <c r="W545" s="21">
        <v>13</v>
      </c>
      <c r="X545" s="41">
        <f t="shared" si="241"/>
        <v>6.25E-2</v>
      </c>
      <c r="Y545" s="21">
        <v>21</v>
      </c>
      <c r="Z545" s="41">
        <f t="shared" si="242"/>
        <v>7.6086956521739135E-2</v>
      </c>
      <c r="AA545" s="21">
        <v>18</v>
      </c>
      <c r="AB545" s="41">
        <f t="shared" si="243"/>
        <v>8.6538461538461536E-2</v>
      </c>
      <c r="AC545" s="21">
        <v>240</v>
      </c>
      <c r="AD545" s="41">
        <f t="shared" si="251"/>
        <v>0.86956521739130432</v>
      </c>
      <c r="AE545" s="21">
        <v>177</v>
      </c>
      <c r="AF545" s="41">
        <f t="shared" si="244"/>
        <v>0.85096153846153844</v>
      </c>
      <c r="AG545" s="21">
        <v>15</v>
      </c>
      <c r="AH545" s="41">
        <f t="shared" si="252"/>
        <v>5.434782608695652E-2</v>
      </c>
      <c r="AI545" s="21">
        <v>13</v>
      </c>
      <c r="AJ545" s="41">
        <f t="shared" si="245"/>
        <v>6.25E-2</v>
      </c>
      <c r="AK545" s="21">
        <v>12</v>
      </c>
      <c r="AL545" s="41">
        <f t="shared" si="253"/>
        <v>4.3478260869565216E-2</v>
      </c>
      <c r="AM545" s="21">
        <v>11</v>
      </c>
      <c r="AN545" s="41">
        <f t="shared" si="246"/>
        <v>5.2884615384615384E-2</v>
      </c>
      <c r="AO545" s="21">
        <v>151</v>
      </c>
      <c r="AP545" s="41">
        <f t="shared" si="254"/>
        <v>0.54710144927536231</v>
      </c>
      <c r="AQ545" s="21">
        <v>110</v>
      </c>
      <c r="AR545" s="41">
        <f t="shared" si="247"/>
        <v>0.52884615384615385</v>
      </c>
      <c r="AS545" s="21">
        <v>48</v>
      </c>
      <c r="AT545" s="41">
        <f t="shared" si="255"/>
        <v>0.17391304347826086</v>
      </c>
      <c r="AU545" s="21">
        <v>35</v>
      </c>
      <c r="AV545" s="41">
        <f t="shared" si="248"/>
        <v>0.16826923076923078</v>
      </c>
      <c r="AW545" s="21">
        <v>23</v>
      </c>
      <c r="AX545" s="41">
        <f t="shared" si="256"/>
        <v>8.3333333333333329E-2</v>
      </c>
      <c r="AY545" s="21">
        <v>17</v>
      </c>
      <c r="AZ545" s="41">
        <f t="shared" si="249"/>
        <v>8.1730769230769232E-2</v>
      </c>
      <c r="BA545" s="21">
        <v>27</v>
      </c>
      <c r="BB545" s="41">
        <f t="shared" si="257"/>
        <v>9.7826086956521743E-2</v>
      </c>
      <c r="BC545" s="21">
        <v>22</v>
      </c>
      <c r="BD545" s="41">
        <f t="shared" si="250"/>
        <v>0.10576923076923077</v>
      </c>
      <c r="BE545" s="21">
        <v>276</v>
      </c>
      <c r="BF545" s="21">
        <v>208</v>
      </c>
    </row>
    <row r="546" spans="1:58" ht="15.75" customHeight="1" x14ac:dyDescent="0.25">
      <c r="A546" s="44">
        <v>2021</v>
      </c>
      <c r="B546" s="39">
        <v>172080</v>
      </c>
      <c r="C546" s="38" t="s">
        <v>145</v>
      </c>
      <c r="D546" s="38" t="s">
        <v>132</v>
      </c>
      <c r="E546" s="21">
        <v>0</v>
      </c>
      <c r="F546" s="42">
        <f t="shared" si="232"/>
        <v>0</v>
      </c>
      <c r="G546" s="21">
        <v>0</v>
      </c>
      <c r="H546" s="42">
        <f t="shared" si="233"/>
        <v>0</v>
      </c>
      <c r="I546" s="21">
        <v>13</v>
      </c>
      <c r="J546" s="41">
        <f t="shared" si="234"/>
        <v>1.7150395778364115E-2</v>
      </c>
      <c r="K546" s="21">
        <v>5</v>
      </c>
      <c r="L546" s="41">
        <f t="shared" si="235"/>
        <v>1.2690355329949238E-2</v>
      </c>
      <c r="M546" s="21">
        <v>713</v>
      </c>
      <c r="N546" s="41">
        <f t="shared" si="236"/>
        <v>0.94063324538258575</v>
      </c>
      <c r="O546" s="21">
        <v>384</v>
      </c>
      <c r="P546" s="41">
        <f t="shared" si="237"/>
        <v>0.97461928934010156</v>
      </c>
      <c r="Q546" s="21">
        <v>32</v>
      </c>
      <c r="R546" s="41">
        <f t="shared" si="238"/>
        <v>4.221635883905013E-2</v>
      </c>
      <c r="S546" s="21">
        <v>5</v>
      </c>
      <c r="T546" s="41">
        <f t="shared" si="239"/>
        <v>1.2690355329949238E-2</v>
      </c>
      <c r="U546" s="21">
        <v>69</v>
      </c>
      <c r="V546" s="41">
        <f t="shared" si="240"/>
        <v>9.1029023746701854E-2</v>
      </c>
      <c r="W546" s="21">
        <v>65</v>
      </c>
      <c r="X546" s="41">
        <f t="shared" si="241"/>
        <v>0.1649746192893401</v>
      </c>
      <c r="Y546" s="21">
        <v>70</v>
      </c>
      <c r="Z546" s="41">
        <f t="shared" si="242"/>
        <v>9.2348284960422161E-2</v>
      </c>
      <c r="AA546" s="21">
        <v>61</v>
      </c>
      <c r="AB546" s="41">
        <f t="shared" si="243"/>
        <v>0.1548223350253807</v>
      </c>
      <c r="AC546" s="21">
        <v>619</v>
      </c>
      <c r="AD546" s="41">
        <f t="shared" si="251"/>
        <v>0.81662269129287601</v>
      </c>
      <c r="AE546" s="21">
        <v>268</v>
      </c>
      <c r="AF546" s="41">
        <f t="shared" si="244"/>
        <v>0.68020304568527923</v>
      </c>
      <c r="AG546" s="21">
        <v>16</v>
      </c>
      <c r="AH546" s="41">
        <f t="shared" si="252"/>
        <v>2.1108179419525065E-2</v>
      </c>
      <c r="AI546" s="21">
        <v>5</v>
      </c>
      <c r="AJ546" s="41">
        <f t="shared" si="245"/>
        <v>1.2690355329949238E-2</v>
      </c>
      <c r="AK546" s="21">
        <v>31</v>
      </c>
      <c r="AL546" s="41">
        <f t="shared" si="253"/>
        <v>4.0897097625329816E-2</v>
      </c>
      <c r="AM546" s="21">
        <v>12</v>
      </c>
      <c r="AN546" s="41">
        <f t="shared" si="246"/>
        <v>3.0456852791878174E-2</v>
      </c>
      <c r="AO546" s="21">
        <v>453</v>
      </c>
      <c r="AP546" s="41">
        <f t="shared" si="254"/>
        <v>0.59762532981530347</v>
      </c>
      <c r="AQ546" s="21">
        <v>209</v>
      </c>
      <c r="AR546" s="41">
        <f t="shared" si="247"/>
        <v>0.53045685279187815</v>
      </c>
      <c r="AS546" s="21">
        <v>133</v>
      </c>
      <c r="AT546" s="41">
        <f t="shared" si="255"/>
        <v>0.17546174142480211</v>
      </c>
      <c r="AU546" s="21">
        <v>74</v>
      </c>
      <c r="AV546" s="41">
        <f t="shared" si="248"/>
        <v>0.18781725888324874</v>
      </c>
      <c r="AW546" s="21">
        <v>78</v>
      </c>
      <c r="AX546" s="41">
        <f t="shared" si="256"/>
        <v>0.10290237467018469</v>
      </c>
      <c r="AY546" s="21">
        <v>59</v>
      </c>
      <c r="AZ546" s="41">
        <f t="shared" si="249"/>
        <v>0.14974619289340102</v>
      </c>
      <c r="BA546" s="21">
        <v>47</v>
      </c>
      <c r="BB546" s="41">
        <f t="shared" si="257"/>
        <v>6.2005277044854881E-2</v>
      </c>
      <c r="BC546" s="21">
        <v>35</v>
      </c>
      <c r="BD546" s="41">
        <f t="shared" si="250"/>
        <v>8.8832487309644673E-2</v>
      </c>
      <c r="BE546" s="21">
        <v>758</v>
      </c>
      <c r="BF546" s="21">
        <v>394</v>
      </c>
    </row>
    <row r="547" spans="1:58" ht="15.75" customHeight="1" x14ac:dyDescent="0.25">
      <c r="A547" s="44">
        <v>2021</v>
      </c>
      <c r="B547" s="39">
        <v>172085</v>
      </c>
      <c r="C547" s="38" t="s">
        <v>146</v>
      </c>
      <c r="D547" s="38" t="s">
        <v>133</v>
      </c>
      <c r="E547" s="21">
        <v>0</v>
      </c>
      <c r="F547" s="42">
        <f t="shared" si="232"/>
        <v>0</v>
      </c>
      <c r="G547" s="21">
        <v>0</v>
      </c>
      <c r="H547" s="42">
        <f t="shared" si="233"/>
        <v>0</v>
      </c>
      <c r="I547" s="21">
        <v>5</v>
      </c>
      <c r="J547" s="41">
        <f t="shared" si="234"/>
        <v>4.9019607843137254E-2</v>
      </c>
      <c r="K547" s="21">
        <v>2</v>
      </c>
      <c r="L547" s="41">
        <f t="shared" si="235"/>
        <v>3.2786885245901641E-2</v>
      </c>
      <c r="M547" s="21">
        <v>89</v>
      </c>
      <c r="N547" s="41">
        <f t="shared" si="236"/>
        <v>0.87254901960784315</v>
      </c>
      <c r="O547" s="21">
        <v>53</v>
      </c>
      <c r="P547" s="41">
        <f t="shared" si="237"/>
        <v>0.86885245901639341</v>
      </c>
      <c r="Q547" s="21">
        <v>8</v>
      </c>
      <c r="R547" s="41">
        <f t="shared" si="238"/>
        <v>7.8431372549019607E-2</v>
      </c>
      <c r="S547" s="21">
        <v>6</v>
      </c>
      <c r="T547" s="41">
        <f t="shared" si="239"/>
        <v>9.8360655737704916E-2</v>
      </c>
      <c r="U547" s="21">
        <v>3</v>
      </c>
      <c r="V547" s="41">
        <f t="shared" si="240"/>
        <v>2.9411764705882353E-2</v>
      </c>
      <c r="W547" s="21">
        <v>2</v>
      </c>
      <c r="X547" s="41">
        <f t="shared" si="241"/>
        <v>3.2786885245901641E-2</v>
      </c>
      <c r="Y547" s="21">
        <v>5</v>
      </c>
      <c r="Z547" s="41">
        <f t="shared" si="242"/>
        <v>4.9019607843137254E-2</v>
      </c>
      <c r="AA547" s="21">
        <v>4</v>
      </c>
      <c r="AB547" s="41">
        <f t="shared" si="243"/>
        <v>6.5573770491803282E-2</v>
      </c>
      <c r="AC547" s="21">
        <v>94</v>
      </c>
      <c r="AD547" s="41">
        <f t="shared" si="251"/>
        <v>0.92156862745098034</v>
      </c>
      <c r="AE547" s="21">
        <v>55</v>
      </c>
      <c r="AF547" s="41">
        <f t="shared" si="244"/>
        <v>0.90163934426229508</v>
      </c>
      <c r="AG547" s="21">
        <v>4</v>
      </c>
      <c r="AH547" s="41">
        <f t="shared" si="252"/>
        <v>3.9215686274509803E-2</v>
      </c>
      <c r="AI547" s="21">
        <v>2</v>
      </c>
      <c r="AJ547" s="41">
        <f t="shared" si="245"/>
        <v>3.2786885245901641E-2</v>
      </c>
      <c r="AK547" s="21">
        <v>3</v>
      </c>
      <c r="AL547" s="41">
        <f t="shared" si="253"/>
        <v>2.9411764705882353E-2</v>
      </c>
      <c r="AM547" s="21">
        <v>1</v>
      </c>
      <c r="AN547" s="41">
        <f t="shared" si="246"/>
        <v>1.6393442622950821E-2</v>
      </c>
      <c r="AO547" s="21">
        <v>56</v>
      </c>
      <c r="AP547" s="41">
        <f t="shared" si="254"/>
        <v>0.5490196078431373</v>
      </c>
      <c r="AQ547" s="21">
        <v>41</v>
      </c>
      <c r="AR547" s="41">
        <f t="shared" si="247"/>
        <v>0.67213114754098358</v>
      </c>
      <c r="AS547" s="21">
        <v>25</v>
      </c>
      <c r="AT547" s="41">
        <f t="shared" si="255"/>
        <v>0.24509803921568626</v>
      </c>
      <c r="AU547" s="21">
        <v>9</v>
      </c>
      <c r="AV547" s="41">
        <f t="shared" si="248"/>
        <v>0.14754098360655737</v>
      </c>
      <c r="AW547" s="21">
        <v>11</v>
      </c>
      <c r="AX547" s="41">
        <f t="shared" si="256"/>
        <v>0.10784313725490197</v>
      </c>
      <c r="AY547" s="21">
        <v>5</v>
      </c>
      <c r="AZ547" s="41">
        <f t="shared" si="249"/>
        <v>8.1967213114754092E-2</v>
      </c>
      <c r="BA547" s="21">
        <v>3</v>
      </c>
      <c r="BB547" s="41">
        <f t="shared" si="257"/>
        <v>2.9411764705882353E-2</v>
      </c>
      <c r="BC547" s="21">
        <v>3</v>
      </c>
      <c r="BD547" s="41">
        <f t="shared" si="250"/>
        <v>4.9180327868852458E-2</v>
      </c>
      <c r="BE547" s="21">
        <v>102</v>
      </c>
      <c r="BF547" s="21">
        <v>61</v>
      </c>
    </row>
    <row r="548" spans="1:58" ht="15.75" customHeight="1" x14ac:dyDescent="0.25">
      <c r="A548" s="44">
        <v>2021</v>
      </c>
      <c r="B548" s="39">
        <v>170825</v>
      </c>
      <c r="C548" s="38" t="s">
        <v>148</v>
      </c>
      <c r="D548" s="38" t="s">
        <v>134</v>
      </c>
      <c r="E548" s="21">
        <v>1</v>
      </c>
      <c r="F548" s="42">
        <f t="shared" si="232"/>
        <v>7.4074074074074077E-3</v>
      </c>
      <c r="G548" s="21">
        <v>1</v>
      </c>
      <c r="H548" s="42">
        <f t="shared" si="233"/>
        <v>7.9365079365079361E-3</v>
      </c>
      <c r="I548" s="21">
        <v>3</v>
      </c>
      <c r="J548" s="41">
        <f t="shared" si="234"/>
        <v>2.2222222222222223E-2</v>
      </c>
      <c r="K548" s="21">
        <v>3</v>
      </c>
      <c r="L548" s="41">
        <f t="shared" si="235"/>
        <v>2.3809523809523808E-2</v>
      </c>
      <c r="M548" s="21">
        <v>122</v>
      </c>
      <c r="N548" s="41">
        <f t="shared" si="236"/>
        <v>0.90370370370370368</v>
      </c>
      <c r="O548" s="21">
        <v>114</v>
      </c>
      <c r="P548" s="41">
        <f t="shared" si="237"/>
        <v>0.90476190476190477</v>
      </c>
      <c r="Q548" s="21">
        <v>9</v>
      </c>
      <c r="R548" s="41">
        <f t="shared" si="238"/>
        <v>6.6666666666666666E-2</v>
      </c>
      <c r="S548" s="21">
        <v>8</v>
      </c>
      <c r="T548" s="41">
        <f t="shared" si="239"/>
        <v>6.3492063492063489E-2</v>
      </c>
      <c r="U548" s="21">
        <v>5</v>
      </c>
      <c r="V548" s="41">
        <f t="shared" si="240"/>
        <v>3.7037037037037035E-2</v>
      </c>
      <c r="W548" s="21">
        <v>4</v>
      </c>
      <c r="X548" s="41">
        <f t="shared" si="241"/>
        <v>3.1746031746031744E-2</v>
      </c>
      <c r="Y548" s="21">
        <v>7</v>
      </c>
      <c r="Z548" s="41">
        <f t="shared" si="242"/>
        <v>5.185185185185185E-2</v>
      </c>
      <c r="AA548" s="21">
        <v>7</v>
      </c>
      <c r="AB548" s="41">
        <f t="shared" si="243"/>
        <v>5.5555555555555552E-2</v>
      </c>
      <c r="AC548" s="21">
        <v>123</v>
      </c>
      <c r="AD548" s="41">
        <f t="shared" si="251"/>
        <v>0.91111111111111109</v>
      </c>
      <c r="AE548" s="21">
        <v>115</v>
      </c>
      <c r="AF548" s="41">
        <f t="shared" si="244"/>
        <v>0.91269841269841268</v>
      </c>
      <c r="AG548" s="21">
        <v>5</v>
      </c>
      <c r="AH548" s="41">
        <f t="shared" si="252"/>
        <v>3.7037037037037035E-2</v>
      </c>
      <c r="AI548" s="21">
        <v>5</v>
      </c>
      <c r="AJ548" s="41">
        <f t="shared" si="245"/>
        <v>3.968253968253968E-2</v>
      </c>
      <c r="AK548" s="21">
        <v>4</v>
      </c>
      <c r="AL548" s="41">
        <f t="shared" si="253"/>
        <v>2.9629629629629631E-2</v>
      </c>
      <c r="AM548" s="21">
        <v>4</v>
      </c>
      <c r="AN548" s="41">
        <f t="shared" si="246"/>
        <v>3.1746031746031744E-2</v>
      </c>
      <c r="AO548" s="21">
        <v>80</v>
      </c>
      <c r="AP548" s="41">
        <f t="shared" si="254"/>
        <v>0.59259259259259256</v>
      </c>
      <c r="AQ548" s="21">
        <v>76</v>
      </c>
      <c r="AR548" s="41">
        <f t="shared" si="247"/>
        <v>0.60317460317460314</v>
      </c>
      <c r="AS548" s="21">
        <v>25</v>
      </c>
      <c r="AT548" s="41">
        <f t="shared" si="255"/>
        <v>0.18518518518518517</v>
      </c>
      <c r="AU548" s="21">
        <v>23</v>
      </c>
      <c r="AV548" s="41">
        <f t="shared" si="248"/>
        <v>0.18253968253968253</v>
      </c>
      <c r="AW548" s="21">
        <v>10</v>
      </c>
      <c r="AX548" s="41">
        <f t="shared" si="256"/>
        <v>7.407407407407407E-2</v>
      </c>
      <c r="AY548" s="21">
        <v>8</v>
      </c>
      <c r="AZ548" s="41">
        <f t="shared" si="249"/>
        <v>6.3492063492063489E-2</v>
      </c>
      <c r="BA548" s="21">
        <v>11</v>
      </c>
      <c r="BB548" s="41">
        <f t="shared" si="257"/>
        <v>8.1481481481481488E-2</v>
      </c>
      <c r="BC548" s="21">
        <v>10</v>
      </c>
      <c r="BD548" s="41">
        <f t="shared" si="250"/>
        <v>7.9365079365079361E-2</v>
      </c>
      <c r="BE548" s="21">
        <v>135</v>
      </c>
      <c r="BF548" s="21">
        <v>126</v>
      </c>
    </row>
    <row r="549" spans="1:58" ht="15.75" customHeight="1" x14ac:dyDescent="0.25">
      <c r="A549" s="44">
        <v>2021</v>
      </c>
      <c r="B549" s="39">
        <v>172090</v>
      </c>
      <c r="C549" s="38" t="s">
        <v>147</v>
      </c>
      <c r="D549" s="38" t="s">
        <v>135</v>
      </c>
      <c r="E549" s="21">
        <v>6</v>
      </c>
      <c r="F549" s="42">
        <f t="shared" si="232"/>
        <v>1.0291595197255575E-2</v>
      </c>
      <c r="G549" s="21">
        <v>2</v>
      </c>
      <c r="H549" s="42">
        <f t="shared" si="233"/>
        <v>4.7393364928909956E-3</v>
      </c>
      <c r="I549" s="21">
        <v>14</v>
      </c>
      <c r="J549" s="41">
        <f t="shared" si="234"/>
        <v>2.4013722126929673E-2</v>
      </c>
      <c r="K549" s="21">
        <v>10</v>
      </c>
      <c r="L549" s="41">
        <f t="shared" si="235"/>
        <v>2.3696682464454975E-2</v>
      </c>
      <c r="M549" s="21">
        <v>521</v>
      </c>
      <c r="N549" s="41">
        <f t="shared" si="236"/>
        <v>0.89365351629502576</v>
      </c>
      <c r="O549" s="21">
        <v>377</v>
      </c>
      <c r="P549" s="41">
        <f t="shared" si="237"/>
        <v>0.89336492890995256</v>
      </c>
      <c r="Q549" s="21">
        <v>42</v>
      </c>
      <c r="R549" s="41">
        <f t="shared" si="238"/>
        <v>7.2041166380789029E-2</v>
      </c>
      <c r="S549" s="21">
        <v>33</v>
      </c>
      <c r="T549" s="41">
        <f t="shared" si="239"/>
        <v>7.8199052132701424E-2</v>
      </c>
      <c r="U549" s="21">
        <v>20</v>
      </c>
      <c r="V549" s="41">
        <f t="shared" si="240"/>
        <v>3.430531732418525E-2</v>
      </c>
      <c r="W549" s="21">
        <v>16</v>
      </c>
      <c r="X549" s="41">
        <f t="shared" si="241"/>
        <v>3.7914691943127965E-2</v>
      </c>
      <c r="Y549" s="21">
        <v>49</v>
      </c>
      <c r="Z549" s="41">
        <f t="shared" si="242"/>
        <v>8.4048027444253853E-2</v>
      </c>
      <c r="AA549" s="21">
        <v>35</v>
      </c>
      <c r="AB549" s="41">
        <f t="shared" si="243"/>
        <v>8.2938388625592413E-2</v>
      </c>
      <c r="AC549" s="21">
        <v>513</v>
      </c>
      <c r="AD549" s="41">
        <f t="shared" si="251"/>
        <v>0.87993138936535165</v>
      </c>
      <c r="AE549" s="21">
        <v>370</v>
      </c>
      <c r="AF549" s="41">
        <f t="shared" si="244"/>
        <v>0.87677725118483407</v>
      </c>
      <c r="AG549" s="21">
        <v>42</v>
      </c>
      <c r="AH549" s="41">
        <f t="shared" si="252"/>
        <v>7.2041166380789029E-2</v>
      </c>
      <c r="AI549" s="21">
        <v>37</v>
      </c>
      <c r="AJ549" s="41">
        <f t="shared" si="245"/>
        <v>8.7677725118483416E-2</v>
      </c>
      <c r="AK549" s="21">
        <v>29</v>
      </c>
      <c r="AL549" s="41">
        <f t="shared" si="253"/>
        <v>4.974271012006861E-2</v>
      </c>
      <c r="AM549" s="21">
        <v>19</v>
      </c>
      <c r="AN549" s="41">
        <f t="shared" si="246"/>
        <v>4.5023696682464455E-2</v>
      </c>
      <c r="AO549" s="21">
        <v>331</v>
      </c>
      <c r="AP549" s="41">
        <f t="shared" si="254"/>
        <v>0.56775300171526588</v>
      </c>
      <c r="AQ549" s="21">
        <v>244</v>
      </c>
      <c r="AR549" s="41">
        <f t="shared" si="247"/>
        <v>0.5781990521327014</v>
      </c>
      <c r="AS549" s="21">
        <v>107</v>
      </c>
      <c r="AT549" s="41">
        <f t="shared" si="255"/>
        <v>0.18353344768439109</v>
      </c>
      <c r="AU549" s="21">
        <v>77</v>
      </c>
      <c r="AV549" s="41">
        <f t="shared" si="248"/>
        <v>0.18246445497630331</v>
      </c>
      <c r="AW549" s="21">
        <v>44</v>
      </c>
      <c r="AX549" s="41">
        <f t="shared" si="256"/>
        <v>7.5471698113207544E-2</v>
      </c>
      <c r="AY549" s="21">
        <v>27</v>
      </c>
      <c r="AZ549" s="41">
        <f t="shared" si="249"/>
        <v>6.398104265402843E-2</v>
      </c>
      <c r="BA549" s="21">
        <v>30</v>
      </c>
      <c r="BB549" s="41">
        <f t="shared" si="257"/>
        <v>5.1457975986277875E-2</v>
      </c>
      <c r="BC549" s="21">
        <v>18</v>
      </c>
      <c r="BD549" s="41">
        <f t="shared" si="250"/>
        <v>4.2654028436018961E-2</v>
      </c>
      <c r="BE549" s="21">
        <v>583</v>
      </c>
      <c r="BF549" s="21">
        <v>422</v>
      </c>
    </row>
    <row r="550" spans="1:58" ht="15.75" customHeight="1" x14ac:dyDescent="0.25">
      <c r="A550" s="44">
        <v>2021</v>
      </c>
      <c r="B550" s="39">
        <v>172093</v>
      </c>
      <c r="C550" s="38" t="s">
        <v>147</v>
      </c>
      <c r="D550" s="38" t="s">
        <v>136</v>
      </c>
      <c r="E550" s="21">
        <v>2</v>
      </c>
      <c r="F550" s="42">
        <f t="shared" si="232"/>
        <v>2.4096385542168676E-2</v>
      </c>
      <c r="G550" s="21">
        <v>2</v>
      </c>
      <c r="H550" s="42">
        <f t="shared" si="233"/>
        <v>3.0303030303030304E-2</v>
      </c>
      <c r="I550" s="21">
        <v>1</v>
      </c>
      <c r="J550" s="41">
        <f t="shared" si="234"/>
        <v>1.2048192771084338E-2</v>
      </c>
      <c r="K550" s="21">
        <v>1</v>
      </c>
      <c r="L550" s="41">
        <f t="shared" si="235"/>
        <v>1.5151515151515152E-2</v>
      </c>
      <c r="M550" s="21">
        <v>70</v>
      </c>
      <c r="N550" s="41">
        <f t="shared" si="236"/>
        <v>0.84337349397590367</v>
      </c>
      <c r="O550" s="21">
        <v>53</v>
      </c>
      <c r="P550" s="41">
        <f t="shared" si="237"/>
        <v>0.80303030303030298</v>
      </c>
      <c r="Q550" s="21">
        <v>10</v>
      </c>
      <c r="R550" s="41">
        <f t="shared" si="238"/>
        <v>0.12048192771084337</v>
      </c>
      <c r="S550" s="21">
        <v>10</v>
      </c>
      <c r="T550" s="41">
        <f t="shared" si="239"/>
        <v>0.15151515151515152</v>
      </c>
      <c r="U550" s="21">
        <v>2</v>
      </c>
      <c r="V550" s="41">
        <f t="shared" si="240"/>
        <v>2.4096385542168676E-2</v>
      </c>
      <c r="W550" s="21">
        <v>2</v>
      </c>
      <c r="X550" s="41">
        <f t="shared" si="241"/>
        <v>3.0303030303030304E-2</v>
      </c>
      <c r="Y550" s="21">
        <v>1</v>
      </c>
      <c r="Z550" s="41">
        <f t="shared" si="242"/>
        <v>1.2048192771084338E-2</v>
      </c>
      <c r="AA550" s="21">
        <v>0</v>
      </c>
      <c r="AB550" s="41">
        <f t="shared" si="243"/>
        <v>0</v>
      </c>
      <c r="AC550" s="21">
        <v>80</v>
      </c>
      <c r="AD550" s="41">
        <f t="shared" si="251"/>
        <v>0.96385542168674698</v>
      </c>
      <c r="AE550" s="21">
        <v>64</v>
      </c>
      <c r="AF550" s="41">
        <f t="shared" si="244"/>
        <v>0.96969696969696972</v>
      </c>
      <c r="AG550" s="21">
        <v>3</v>
      </c>
      <c r="AH550" s="41">
        <f t="shared" si="252"/>
        <v>3.614457831325301E-2</v>
      </c>
      <c r="AI550" s="21">
        <v>4</v>
      </c>
      <c r="AJ550" s="41">
        <f t="shared" si="245"/>
        <v>6.0606060606060608E-2</v>
      </c>
      <c r="AK550" s="21">
        <v>2</v>
      </c>
      <c r="AL550" s="41">
        <f t="shared" si="253"/>
        <v>2.4096385542168676E-2</v>
      </c>
      <c r="AM550" s="21">
        <v>4</v>
      </c>
      <c r="AN550" s="41">
        <f t="shared" si="246"/>
        <v>6.0606060606060608E-2</v>
      </c>
      <c r="AO550" s="21">
        <v>60</v>
      </c>
      <c r="AP550" s="41">
        <f t="shared" si="254"/>
        <v>0.72289156626506024</v>
      </c>
      <c r="AQ550" s="21">
        <v>46</v>
      </c>
      <c r="AR550" s="41">
        <f t="shared" si="247"/>
        <v>0.69696969696969702</v>
      </c>
      <c r="AS550" s="21">
        <v>11</v>
      </c>
      <c r="AT550" s="41">
        <f t="shared" si="255"/>
        <v>0.13253012048192772</v>
      </c>
      <c r="AU550" s="21">
        <v>6</v>
      </c>
      <c r="AV550" s="41">
        <f t="shared" si="248"/>
        <v>9.0909090909090912E-2</v>
      </c>
      <c r="AW550" s="21">
        <v>3</v>
      </c>
      <c r="AX550" s="41">
        <f t="shared" si="256"/>
        <v>3.614457831325301E-2</v>
      </c>
      <c r="AY550" s="21">
        <v>2</v>
      </c>
      <c r="AZ550" s="41">
        <f t="shared" si="249"/>
        <v>3.0303030303030304E-2</v>
      </c>
      <c r="BA550" s="21">
        <v>4</v>
      </c>
      <c r="BB550" s="41">
        <f t="shared" si="257"/>
        <v>4.8192771084337352E-2</v>
      </c>
      <c r="BC550" s="21">
        <v>4</v>
      </c>
      <c r="BD550" s="41">
        <f t="shared" si="250"/>
        <v>6.0606060606060608E-2</v>
      </c>
      <c r="BE550" s="21">
        <v>83</v>
      </c>
      <c r="BF550" s="21">
        <v>66</v>
      </c>
    </row>
    <row r="551" spans="1:58" ht="15.75" customHeight="1" x14ac:dyDescent="0.25">
      <c r="A551" s="44">
        <v>2021</v>
      </c>
      <c r="B551" s="39">
        <v>172097</v>
      </c>
      <c r="C551" s="38" t="s">
        <v>146</v>
      </c>
      <c r="D551" s="38" t="s">
        <v>137</v>
      </c>
      <c r="E551" s="21">
        <v>2</v>
      </c>
      <c r="F551" s="42">
        <f t="shared" si="232"/>
        <v>1.6393442622950821E-2</v>
      </c>
      <c r="G551" s="21">
        <v>1</v>
      </c>
      <c r="H551" s="42">
        <f t="shared" si="233"/>
        <v>2.2727272727272728E-2</v>
      </c>
      <c r="I551" s="21">
        <v>2</v>
      </c>
      <c r="J551" s="41">
        <f t="shared" si="234"/>
        <v>1.6393442622950821E-2</v>
      </c>
      <c r="K551" s="21">
        <v>2</v>
      </c>
      <c r="L551" s="41">
        <f t="shared" si="235"/>
        <v>4.5454545454545456E-2</v>
      </c>
      <c r="M551" s="21">
        <v>105</v>
      </c>
      <c r="N551" s="41">
        <f t="shared" si="236"/>
        <v>0.86065573770491799</v>
      </c>
      <c r="O551" s="21">
        <v>34</v>
      </c>
      <c r="P551" s="41">
        <f t="shared" si="237"/>
        <v>0.77272727272727271</v>
      </c>
      <c r="Q551" s="21">
        <v>13</v>
      </c>
      <c r="R551" s="41">
        <f t="shared" si="238"/>
        <v>0.10655737704918032</v>
      </c>
      <c r="S551" s="21">
        <v>7</v>
      </c>
      <c r="T551" s="41">
        <f t="shared" si="239"/>
        <v>0.15909090909090909</v>
      </c>
      <c r="U551" s="21">
        <v>1</v>
      </c>
      <c r="V551" s="41">
        <f t="shared" si="240"/>
        <v>8.1967213114754103E-3</v>
      </c>
      <c r="W551" s="21">
        <v>0</v>
      </c>
      <c r="X551" s="41">
        <f t="shared" si="241"/>
        <v>0</v>
      </c>
      <c r="Y551" s="21">
        <v>6</v>
      </c>
      <c r="Z551" s="41">
        <f t="shared" si="242"/>
        <v>4.9180327868852458E-2</v>
      </c>
      <c r="AA551" s="21">
        <v>2</v>
      </c>
      <c r="AB551" s="41">
        <f t="shared" si="243"/>
        <v>4.5454545454545456E-2</v>
      </c>
      <c r="AC551" s="21">
        <v>115</v>
      </c>
      <c r="AD551" s="41">
        <f t="shared" si="251"/>
        <v>0.94262295081967218</v>
      </c>
      <c r="AE551" s="21">
        <v>42</v>
      </c>
      <c r="AF551" s="41">
        <f t="shared" si="244"/>
        <v>0.95454545454545459</v>
      </c>
      <c r="AG551" s="21">
        <v>1</v>
      </c>
      <c r="AH551" s="41">
        <f t="shared" si="252"/>
        <v>8.1967213114754103E-3</v>
      </c>
      <c r="AI551" s="21">
        <v>1</v>
      </c>
      <c r="AJ551" s="41">
        <f t="shared" si="245"/>
        <v>2.2727272727272728E-2</v>
      </c>
      <c r="AK551" s="21">
        <v>4</v>
      </c>
      <c r="AL551" s="41">
        <f t="shared" si="253"/>
        <v>3.2786885245901641E-2</v>
      </c>
      <c r="AM551" s="21">
        <v>3</v>
      </c>
      <c r="AN551" s="41">
        <f t="shared" si="246"/>
        <v>6.8181818181818177E-2</v>
      </c>
      <c r="AO551" s="21">
        <v>78</v>
      </c>
      <c r="AP551" s="41">
        <f t="shared" si="254"/>
        <v>0.63934426229508201</v>
      </c>
      <c r="AQ551" s="21">
        <v>27</v>
      </c>
      <c r="AR551" s="41">
        <f t="shared" si="247"/>
        <v>0.61363636363636365</v>
      </c>
      <c r="AS551" s="21">
        <v>18</v>
      </c>
      <c r="AT551" s="41">
        <f t="shared" si="255"/>
        <v>0.14754098360655737</v>
      </c>
      <c r="AU551" s="21">
        <v>3</v>
      </c>
      <c r="AV551" s="41">
        <f t="shared" si="248"/>
        <v>6.8181818181818177E-2</v>
      </c>
      <c r="AW551" s="21">
        <v>12</v>
      </c>
      <c r="AX551" s="41">
        <f t="shared" si="256"/>
        <v>9.8360655737704916E-2</v>
      </c>
      <c r="AY551" s="21">
        <v>5</v>
      </c>
      <c r="AZ551" s="41">
        <f t="shared" si="249"/>
        <v>0.11363636363636363</v>
      </c>
      <c r="BA551" s="21">
        <v>9</v>
      </c>
      <c r="BB551" s="41">
        <f t="shared" si="257"/>
        <v>7.3770491803278687E-2</v>
      </c>
      <c r="BC551" s="21">
        <v>5</v>
      </c>
      <c r="BD551" s="41">
        <f t="shared" si="250"/>
        <v>0.11363636363636363</v>
      </c>
      <c r="BE551" s="21">
        <v>122</v>
      </c>
      <c r="BF551" s="21">
        <v>44</v>
      </c>
    </row>
    <row r="552" spans="1:58" ht="15.75" customHeight="1" x14ac:dyDescent="0.25">
      <c r="A552" s="44">
        <v>2021</v>
      </c>
      <c r="B552" s="39">
        <v>172110</v>
      </c>
      <c r="C552" s="38" t="s">
        <v>148</v>
      </c>
      <c r="D552" s="38" t="s">
        <v>138</v>
      </c>
      <c r="E552" s="21">
        <v>3</v>
      </c>
      <c r="F552" s="42">
        <f t="shared" si="232"/>
        <v>9.8039215686274508E-3</v>
      </c>
      <c r="G552" s="21">
        <v>2</v>
      </c>
      <c r="H552" s="42">
        <f t="shared" si="233"/>
        <v>1.1976047904191617E-2</v>
      </c>
      <c r="I552" s="21">
        <v>9</v>
      </c>
      <c r="J552" s="41">
        <f t="shared" si="234"/>
        <v>2.9411764705882353E-2</v>
      </c>
      <c r="K552" s="21">
        <v>7</v>
      </c>
      <c r="L552" s="41">
        <f t="shared" si="235"/>
        <v>4.1916167664670656E-2</v>
      </c>
      <c r="M552" s="21">
        <v>277</v>
      </c>
      <c r="N552" s="41">
        <f t="shared" si="236"/>
        <v>0.90522875816993464</v>
      </c>
      <c r="O552" s="21">
        <v>149</v>
      </c>
      <c r="P552" s="41">
        <f t="shared" si="237"/>
        <v>0.89221556886227549</v>
      </c>
      <c r="Q552" s="21">
        <v>17</v>
      </c>
      <c r="R552" s="41">
        <f t="shared" si="238"/>
        <v>5.5555555555555552E-2</v>
      </c>
      <c r="S552" s="21">
        <v>9</v>
      </c>
      <c r="T552" s="41">
        <f t="shared" si="239"/>
        <v>5.3892215568862277E-2</v>
      </c>
      <c r="U552" s="21">
        <v>11</v>
      </c>
      <c r="V552" s="41">
        <f t="shared" si="240"/>
        <v>3.5947712418300651E-2</v>
      </c>
      <c r="W552" s="21">
        <v>8</v>
      </c>
      <c r="X552" s="41">
        <f t="shared" si="241"/>
        <v>4.790419161676647E-2</v>
      </c>
      <c r="Y552" s="21">
        <v>10</v>
      </c>
      <c r="Z552" s="41">
        <f t="shared" si="242"/>
        <v>3.2679738562091505E-2</v>
      </c>
      <c r="AA552" s="21">
        <v>7</v>
      </c>
      <c r="AB552" s="41">
        <f t="shared" si="243"/>
        <v>4.1916167664670656E-2</v>
      </c>
      <c r="AC552" s="21">
        <v>285</v>
      </c>
      <c r="AD552" s="41">
        <f t="shared" si="251"/>
        <v>0.93137254901960786</v>
      </c>
      <c r="AE552" s="21">
        <v>152</v>
      </c>
      <c r="AF552" s="41">
        <f t="shared" si="244"/>
        <v>0.91017964071856283</v>
      </c>
      <c r="AG552" s="21">
        <v>18</v>
      </c>
      <c r="AH552" s="41">
        <f t="shared" si="252"/>
        <v>5.8823529411764705E-2</v>
      </c>
      <c r="AI552" s="21">
        <v>14</v>
      </c>
      <c r="AJ552" s="41">
        <f t="shared" si="245"/>
        <v>8.3832335329341312E-2</v>
      </c>
      <c r="AK552" s="21">
        <v>13</v>
      </c>
      <c r="AL552" s="41">
        <f t="shared" si="253"/>
        <v>4.2483660130718956E-2</v>
      </c>
      <c r="AM552" s="21">
        <v>7</v>
      </c>
      <c r="AN552" s="41">
        <f t="shared" si="246"/>
        <v>4.1916167664670656E-2</v>
      </c>
      <c r="AO552" s="21">
        <v>187</v>
      </c>
      <c r="AP552" s="41">
        <f t="shared" si="254"/>
        <v>0.61111111111111116</v>
      </c>
      <c r="AQ552" s="21">
        <v>102</v>
      </c>
      <c r="AR552" s="41">
        <f t="shared" si="247"/>
        <v>0.6107784431137725</v>
      </c>
      <c r="AS552" s="21">
        <v>54</v>
      </c>
      <c r="AT552" s="41">
        <f t="shared" si="255"/>
        <v>0.17647058823529413</v>
      </c>
      <c r="AU552" s="21">
        <v>25</v>
      </c>
      <c r="AV552" s="41">
        <f t="shared" si="248"/>
        <v>0.1497005988023952</v>
      </c>
      <c r="AW552" s="21">
        <v>24</v>
      </c>
      <c r="AX552" s="41">
        <f t="shared" si="256"/>
        <v>7.8431372549019607E-2</v>
      </c>
      <c r="AY552" s="21">
        <v>12</v>
      </c>
      <c r="AZ552" s="41">
        <f t="shared" si="249"/>
        <v>7.1856287425149698E-2</v>
      </c>
      <c r="BA552" s="21">
        <v>10</v>
      </c>
      <c r="BB552" s="41">
        <f t="shared" si="257"/>
        <v>3.2679738562091505E-2</v>
      </c>
      <c r="BC552" s="21">
        <v>7</v>
      </c>
      <c r="BD552" s="41">
        <f t="shared" si="250"/>
        <v>4.1916167664670656E-2</v>
      </c>
      <c r="BE552" s="21">
        <v>306</v>
      </c>
      <c r="BF552" s="21">
        <v>167</v>
      </c>
    </row>
    <row r="553" spans="1:58" ht="15.75" customHeight="1" x14ac:dyDescent="0.25">
      <c r="A553" s="44">
        <v>2021</v>
      </c>
      <c r="B553" s="39">
        <v>172120</v>
      </c>
      <c r="C553" s="38" t="s">
        <v>145</v>
      </c>
      <c r="D553" s="38" t="s">
        <v>139</v>
      </c>
      <c r="E553" s="21">
        <v>7</v>
      </c>
      <c r="F553" s="42">
        <f t="shared" si="232"/>
        <v>6.6793893129770991E-3</v>
      </c>
      <c r="G553" s="21">
        <v>2</v>
      </c>
      <c r="H553" s="42">
        <f t="shared" si="233"/>
        <v>2.3557126030624262E-3</v>
      </c>
      <c r="I553" s="21">
        <v>26</v>
      </c>
      <c r="J553" s="41">
        <f t="shared" si="234"/>
        <v>2.4809160305343511E-2</v>
      </c>
      <c r="K553" s="21">
        <v>18</v>
      </c>
      <c r="L553" s="41">
        <f t="shared" si="235"/>
        <v>2.1201413427561839E-2</v>
      </c>
      <c r="M553" s="21">
        <v>956</v>
      </c>
      <c r="N553" s="41">
        <f t="shared" si="236"/>
        <v>0.91221374045801529</v>
      </c>
      <c r="O553" s="21">
        <v>778</v>
      </c>
      <c r="P553" s="41">
        <f t="shared" si="237"/>
        <v>0.91637220259128382</v>
      </c>
      <c r="Q553" s="21">
        <v>59</v>
      </c>
      <c r="R553" s="41">
        <f t="shared" si="238"/>
        <v>5.6297709923664119E-2</v>
      </c>
      <c r="S553" s="21">
        <v>51</v>
      </c>
      <c r="T553" s="41">
        <f t="shared" si="239"/>
        <v>6.0070671378091869E-2</v>
      </c>
      <c r="U553" s="21">
        <v>129</v>
      </c>
      <c r="V553" s="41">
        <f t="shared" si="240"/>
        <v>0.12309160305343511</v>
      </c>
      <c r="W553" s="21">
        <v>111</v>
      </c>
      <c r="X553" s="41">
        <f t="shared" si="241"/>
        <v>0.13074204946996468</v>
      </c>
      <c r="Y553" s="21">
        <v>118</v>
      </c>
      <c r="Z553" s="41">
        <f t="shared" si="242"/>
        <v>0.11259541984732824</v>
      </c>
      <c r="AA553" s="21">
        <v>98</v>
      </c>
      <c r="AB553" s="41">
        <f t="shared" si="243"/>
        <v>0.11542991755005889</v>
      </c>
      <c r="AC553" s="21">
        <v>801</v>
      </c>
      <c r="AD553" s="41">
        <f t="shared" si="251"/>
        <v>0.76431297709923662</v>
      </c>
      <c r="AE553" s="21">
        <v>640</v>
      </c>
      <c r="AF553" s="41">
        <f t="shared" si="244"/>
        <v>0.75382803297997647</v>
      </c>
      <c r="AG553" s="21">
        <v>45</v>
      </c>
      <c r="AH553" s="41">
        <f t="shared" si="252"/>
        <v>4.2938931297709926E-2</v>
      </c>
      <c r="AI553" s="21">
        <v>35</v>
      </c>
      <c r="AJ553" s="41">
        <f t="shared" si="245"/>
        <v>4.1224970553592463E-2</v>
      </c>
      <c r="AK553" s="21">
        <v>54</v>
      </c>
      <c r="AL553" s="41">
        <f t="shared" si="253"/>
        <v>5.1526717557251911E-2</v>
      </c>
      <c r="AM553" s="21">
        <v>45</v>
      </c>
      <c r="AN553" s="41">
        <f t="shared" si="246"/>
        <v>5.3003533568904596E-2</v>
      </c>
      <c r="AO553" s="21">
        <v>635</v>
      </c>
      <c r="AP553" s="41">
        <f t="shared" si="254"/>
        <v>0.60591603053435117</v>
      </c>
      <c r="AQ553" s="21">
        <v>520</v>
      </c>
      <c r="AR553" s="41">
        <f t="shared" si="247"/>
        <v>0.61248527679623088</v>
      </c>
      <c r="AS553" s="21">
        <v>166</v>
      </c>
      <c r="AT553" s="41">
        <f t="shared" si="255"/>
        <v>0.15839694656488548</v>
      </c>
      <c r="AU553" s="21">
        <v>136</v>
      </c>
      <c r="AV553" s="41">
        <f t="shared" si="248"/>
        <v>0.16018845700824499</v>
      </c>
      <c r="AW553" s="21">
        <v>60</v>
      </c>
      <c r="AX553" s="41">
        <f t="shared" si="256"/>
        <v>5.7251908396946563E-2</v>
      </c>
      <c r="AY553" s="21">
        <v>42</v>
      </c>
      <c r="AZ553" s="41">
        <f t="shared" si="249"/>
        <v>4.9469964664310952E-2</v>
      </c>
      <c r="BA553" s="21">
        <v>88</v>
      </c>
      <c r="BB553" s="41">
        <f t="shared" si="257"/>
        <v>8.3969465648854963E-2</v>
      </c>
      <c r="BC553" s="21">
        <v>71</v>
      </c>
      <c r="BD553" s="41">
        <f t="shared" si="250"/>
        <v>8.3627797408716134E-2</v>
      </c>
      <c r="BE553" s="20">
        <v>1048</v>
      </c>
      <c r="BF553" s="21">
        <v>849</v>
      </c>
    </row>
    <row r="554" spans="1:58" ht="15.75" customHeight="1" x14ac:dyDescent="0.25">
      <c r="A554" s="44">
        <v>2021</v>
      </c>
      <c r="B554" s="39">
        <v>172125</v>
      </c>
      <c r="C554" s="38" t="s">
        <v>150</v>
      </c>
      <c r="D554" s="38" t="s">
        <v>140</v>
      </c>
      <c r="E554" s="21">
        <v>1</v>
      </c>
      <c r="F554" s="42">
        <f t="shared" si="232"/>
        <v>4.1666666666666664E-2</v>
      </c>
      <c r="G554" s="21">
        <v>1</v>
      </c>
      <c r="H554" s="42">
        <f t="shared" si="233"/>
        <v>5.2631578947368418E-2</v>
      </c>
      <c r="I554" s="21">
        <v>0</v>
      </c>
      <c r="J554" s="41">
        <f t="shared" si="234"/>
        <v>0</v>
      </c>
      <c r="K554" s="21">
        <v>0</v>
      </c>
      <c r="L554" s="41">
        <f t="shared" si="235"/>
        <v>0</v>
      </c>
      <c r="M554" s="21">
        <v>22</v>
      </c>
      <c r="N554" s="41">
        <f t="shared" si="236"/>
        <v>0.91666666666666663</v>
      </c>
      <c r="O554" s="21">
        <v>17</v>
      </c>
      <c r="P554" s="41">
        <f t="shared" si="237"/>
        <v>0.89473684210526316</v>
      </c>
      <c r="Q554" s="21">
        <v>1</v>
      </c>
      <c r="R554" s="41">
        <f t="shared" si="238"/>
        <v>4.1666666666666664E-2</v>
      </c>
      <c r="S554" s="21">
        <v>1</v>
      </c>
      <c r="T554" s="41">
        <f t="shared" si="239"/>
        <v>5.2631578947368418E-2</v>
      </c>
      <c r="U554" s="21">
        <v>2</v>
      </c>
      <c r="V554" s="41">
        <f t="shared" si="240"/>
        <v>8.3333333333333329E-2</v>
      </c>
      <c r="W554" s="21">
        <v>1</v>
      </c>
      <c r="X554" s="41">
        <f t="shared" si="241"/>
        <v>5.2631578947368418E-2</v>
      </c>
      <c r="Y554" s="21">
        <v>0</v>
      </c>
      <c r="Z554" s="41">
        <f t="shared" si="242"/>
        <v>0</v>
      </c>
      <c r="AA554" s="21">
        <v>0</v>
      </c>
      <c r="AB554" s="41">
        <f t="shared" si="243"/>
        <v>0</v>
      </c>
      <c r="AC554" s="21">
        <v>22</v>
      </c>
      <c r="AD554" s="41">
        <f t="shared" si="251"/>
        <v>0.91666666666666663</v>
      </c>
      <c r="AE554" s="21">
        <v>18</v>
      </c>
      <c r="AF554" s="41">
        <f t="shared" si="244"/>
        <v>0.94736842105263153</v>
      </c>
      <c r="AG554" s="21">
        <v>3</v>
      </c>
      <c r="AH554" s="41">
        <f t="shared" si="252"/>
        <v>0.125</v>
      </c>
      <c r="AI554" s="21">
        <v>3</v>
      </c>
      <c r="AJ554" s="41">
        <f t="shared" si="245"/>
        <v>0.15789473684210525</v>
      </c>
      <c r="AK554" s="21">
        <v>1</v>
      </c>
      <c r="AL554" s="41">
        <f t="shared" si="253"/>
        <v>4.1666666666666664E-2</v>
      </c>
      <c r="AM554" s="21">
        <v>0</v>
      </c>
      <c r="AN554" s="41">
        <f t="shared" si="246"/>
        <v>0</v>
      </c>
      <c r="AO554" s="21">
        <v>14</v>
      </c>
      <c r="AP554" s="41">
        <f t="shared" si="254"/>
        <v>0.58333333333333337</v>
      </c>
      <c r="AQ554" s="21">
        <v>12</v>
      </c>
      <c r="AR554" s="41">
        <f t="shared" si="247"/>
        <v>0.63157894736842102</v>
      </c>
      <c r="AS554" s="21">
        <v>3</v>
      </c>
      <c r="AT554" s="41">
        <f t="shared" si="255"/>
        <v>0.125</v>
      </c>
      <c r="AU554" s="21">
        <v>3</v>
      </c>
      <c r="AV554" s="41">
        <f t="shared" si="248"/>
        <v>0.15789473684210525</v>
      </c>
      <c r="AW554" s="21">
        <v>2</v>
      </c>
      <c r="AX554" s="41">
        <f t="shared" si="256"/>
        <v>8.3333333333333329E-2</v>
      </c>
      <c r="AY554" s="21">
        <v>0</v>
      </c>
      <c r="AZ554" s="41">
        <f t="shared" si="249"/>
        <v>0</v>
      </c>
      <c r="BA554" s="21">
        <v>1</v>
      </c>
      <c r="BB554" s="41">
        <f t="shared" si="257"/>
        <v>4.1666666666666664E-2</v>
      </c>
      <c r="BC554" s="21">
        <v>1</v>
      </c>
      <c r="BD554" s="41">
        <f t="shared" si="250"/>
        <v>5.2631578947368418E-2</v>
      </c>
      <c r="BE554" s="21">
        <v>24</v>
      </c>
      <c r="BF554" s="21">
        <v>19</v>
      </c>
    </row>
    <row r="555" spans="1:58" ht="15.75" customHeight="1" x14ac:dyDescent="0.25">
      <c r="A555" s="44">
        <v>2021</v>
      </c>
      <c r="B555" s="39">
        <v>172130</v>
      </c>
      <c r="C555" s="38" t="s">
        <v>150</v>
      </c>
      <c r="D555" s="38" t="s">
        <v>141</v>
      </c>
      <c r="E555" s="21">
        <v>1</v>
      </c>
      <c r="F555" s="42">
        <f t="shared" si="232"/>
        <v>0.125</v>
      </c>
      <c r="G555" s="21">
        <v>0</v>
      </c>
      <c r="H555" s="42">
        <f t="shared" si="233"/>
        <v>0</v>
      </c>
      <c r="I555" s="21">
        <v>0</v>
      </c>
      <c r="J555" s="41">
        <f t="shared" si="234"/>
        <v>0</v>
      </c>
      <c r="K555" s="21">
        <v>0</v>
      </c>
      <c r="L555" s="41">
        <f t="shared" si="235"/>
        <v>0</v>
      </c>
      <c r="M555" s="21">
        <v>7</v>
      </c>
      <c r="N555" s="41">
        <f t="shared" si="236"/>
        <v>0.875</v>
      </c>
      <c r="O555" s="21">
        <v>2</v>
      </c>
      <c r="P555" s="41">
        <f t="shared" si="237"/>
        <v>1</v>
      </c>
      <c r="Q555" s="21">
        <v>0</v>
      </c>
      <c r="R555" s="41">
        <f t="shared" si="238"/>
        <v>0</v>
      </c>
      <c r="S555" s="21">
        <v>0</v>
      </c>
      <c r="T555" s="41">
        <f t="shared" si="239"/>
        <v>0</v>
      </c>
      <c r="U555" s="21">
        <v>1</v>
      </c>
      <c r="V555" s="41">
        <f t="shared" si="240"/>
        <v>0.125</v>
      </c>
      <c r="W555" s="21">
        <v>0</v>
      </c>
      <c r="X555" s="41">
        <f t="shared" si="241"/>
        <v>0</v>
      </c>
      <c r="Y555" s="21">
        <v>3</v>
      </c>
      <c r="Z555" s="41">
        <f t="shared" si="242"/>
        <v>0.375</v>
      </c>
      <c r="AA555" s="21">
        <v>1</v>
      </c>
      <c r="AB555" s="41">
        <f t="shared" si="243"/>
        <v>0.5</v>
      </c>
      <c r="AC555" s="21">
        <v>4</v>
      </c>
      <c r="AD555" s="41">
        <f t="shared" si="251"/>
        <v>0.5</v>
      </c>
      <c r="AE555" s="21">
        <v>1</v>
      </c>
      <c r="AF555" s="41">
        <f t="shared" si="244"/>
        <v>0.5</v>
      </c>
      <c r="AG555" s="21">
        <v>0</v>
      </c>
      <c r="AH555" s="41">
        <f t="shared" si="252"/>
        <v>0</v>
      </c>
      <c r="AI555" s="21">
        <v>0</v>
      </c>
      <c r="AJ555" s="41">
        <f t="shared" si="245"/>
        <v>0</v>
      </c>
      <c r="AK555" s="21">
        <v>1</v>
      </c>
      <c r="AL555" s="41">
        <f t="shared" si="253"/>
        <v>0.125</v>
      </c>
      <c r="AM555" s="21">
        <v>0</v>
      </c>
      <c r="AN555" s="41">
        <f t="shared" si="246"/>
        <v>0</v>
      </c>
      <c r="AO555" s="21">
        <v>4</v>
      </c>
      <c r="AP555" s="41">
        <f t="shared" si="254"/>
        <v>0.5</v>
      </c>
      <c r="AQ555" s="21">
        <v>0</v>
      </c>
      <c r="AR555" s="41">
        <f t="shared" si="247"/>
        <v>0</v>
      </c>
      <c r="AS555" s="21">
        <v>1</v>
      </c>
      <c r="AT555" s="41">
        <f t="shared" si="255"/>
        <v>0.125</v>
      </c>
      <c r="AU555" s="21">
        <v>0</v>
      </c>
      <c r="AV555" s="41">
        <f t="shared" si="248"/>
        <v>0</v>
      </c>
      <c r="AW555" s="21">
        <v>2</v>
      </c>
      <c r="AX555" s="41">
        <f t="shared" si="256"/>
        <v>0.25</v>
      </c>
      <c r="AY555" s="21">
        <v>2</v>
      </c>
      <c r="AZ555" s="41">
        <f t="shared" si="249"/>
        <v>1</v>
      </c>
      <c r="BA555" s="21">
        <v>0</v>
      </c>
      <c r="BB555" s="41">
        <f t="shared" si="257"/>
        <v>0</v>
      </c>
      <c r="BC555" s="21">
        <v>0</v>
      </c>
      <c r="BD555" s="41">
        <f t="shared" si="250"/>
        <v>0</v>
      </c>
      <c r="BE555" s="21">
        <v>8</v>
      </c>
      <c r="BF555" s="21">
        <v>2</v>
      </c>
    </row>
    <row r="556" spans="1:58" ht="15.75" customHeight="1" x14ac:dyDescent="0.25">
      <c r="A556" s="44">
        <v>2021</v>
      </c>
      <c r="B556" s="39">
        <v>172208</v>
      </c>
      <c r="C556" s="38" t="s">
        <v>149</v>
      </c>
      <c r="D556" s="38" t="s">
        <v>142</v>
      </c>
      <c r="E556" s="21">
        <v>1</v>
      </c>
      <c r="F556" s="42">
        <f t="shared" si="232"/>
        <v>2.3980815347721821E-3</v>
      </c>
      <c r="G556" s="21">
        <v>1</v>
      </c>
      <c r="H556" s="42">
        <f t="shared" si="233"/>
        <v>3.3333333333333335E-3</v>
      </c>
      <c r="I556" s="21">
        <v>8</v>
      </c>
      <c r="J556" s="41">
        <f t="shared" si="234"/>
        <v>1.9184652278177457E-2</v>
      </c>
      <c r="K556" s="21">
        <v>11</v>
      </c>
      <c r="L556" s="41">
        <f t="shared" si="235"/>
        <v>3.6666666666666667E-2</v>
      </c>
      <c r="M556" s="21">
        <v>367</v>
      </c>
      <c r="N556" s="41">
        <f t="shared" si="236"/>
        <v>0.88009592326139086</v>
      </c>
      <c r="O556" s="21">
        <v>252</v>
      </c>
      <c r="P556" s="41">
        <f t="shared" si="237"/>
        <v>0.84</v>
      </c>
      <c r="Q556" s="21">
        <v>41</v>
      </c>
      <c r="R556" s="41">
        <f t="shared" si="238"/>
        <v>9.8321342925659472E-2</v>
      </c>
      <c r="S556" s="21">
        <v>36</v>
      </c>
      <c r="T556" s="41">
        <f t="shared" si="239"/>
        <v>0.12</v>
      </c>
      <c r="U556" s="21">
        <v>20</v>
      </c>
      <c r="V556" s="41">
        <f t="shared" si="240"/>
        <v>4.7961630695443645E-2</v>
      </c>
      <c r="W556" s="21">
        <v>19</v>
      </c>
      <c r="X556" s="41">
        <f t="shared" si="241"/>
        <v>6.3333333333333339E-2</v>
      </c>
      <c r="Y556" s="21">
        <v>26</v>
      </c>
      <c r="Z556" s="41">
        <f t="shared" si="242"/>
        <v>6.235011990407674E-2</v>
      </c>
      <c r="AA556" s="21">
        <v>17</v>
      </c>
      <c r="AB556" s="41">
        <f t="shared" si="243"/>
        <v>5.6666666666666664E-2</v>
      </c>
      <c r="AC556" s="21">
        <v>371</v>
      </c>
      <c r="AD556" s="41">
        <f t="shared" si="251"/>
        <v>0.88968824940047964</v>
      </c>
      <c r="AE556" s="21">
        <v>264</v>
      </c>
      <c r="AF556" s="41">
        <f t="shared" si="244"/>
        <v>0.88</v>
      </c>
      <c r="AG556" s="21">
        <v>26</v>
      </c>
      <c r="AH556" s="41">
        <f t="shared" si="252"/>
        <v>6.235011990407674E-2</v>
      </c>
      <c r="AI556" s="21">
        <v>17</v>
      </c>
      <c r="AJ556" s="41">
        <f t="shared" si="245"/>
        <v>5.6666666666666664E-2</v>
      </c>
      <c r="AK556" s="21">
        <v>19</v>
      </c>
      <c r="AL556" s="41">
        <f t="shared" si="253"/>
        <v>4.5563549160671464E-2</v>
      </c>
      <c r="AM556" s="21">
        <v>15</v>
      </c>
      <c r="AN556" s="41">
        <f t="shared" si="246"/>
        <v>0.05</v>
      </c>
      <c r="AO556" s="21">
        <v>242</v>
      </c>
      <c r="AP556" s="41">
        <f t="shared" si="254"/>
        <v>0.58033573141486805</v>
      </c>
      <c r="AQ556" s="21">
        <v>174</v>
      </c>
      <c r="AR556" s="41">
        <f t="shared" si="247"/>
        <v>0.57999999999999996</v>
      </c>
      <c r="AS556" s="21">
        <v>62</v>
      </c>
      <c r="AT556" s="41">
        <f t="shared" si="255"/>
        <v>0.14868105515587529</v>
      </c>
      <c r="AU556" s="21">
        <v>43</v>
      </c>
      <c r="AV556" s="41">
        <f t="shared" si="248"/>
        <v>0.14333333333333334</v>
      </c>
      <c r="AW556" s="21">
        <v>38</v>
      </c>
      <c r="AX556" s="41">
        <f t="shared" si="256"/>
        <v>9.1127098321342928E-2</v>
      </c>
      <c r="AY556" s="21">
        <v>28</v>
      </c>
      <c r="AZ556" s="41">
        <f t="shared" si="249"/>
        <v>9.3333333333333338E-2</v>
      </c>
      <c r="BA556" s="21">
        <v>30</v>
      </c>
      <c r="BB556" s="41">
        <f t="shared" si="257"/>
        <v>7.1942446043165464E-2</v>
      </c>
      <c r="BC556" s="21">
        <v>23</v>
      </c>
      <c r="BD556" s="41">
        <f t="shared" si="250"/>
        <v>7.6666666666666661E-2</v>
      </c>
      <c r="BE556" s="21">
        <v>417</v>
      </c>
      <c r="BF556" s="21">
        <v>300</v>
      </c>
    </row>
    <row r="557" spans="1:58" ht="15.75" customHeight="1" x14ac:dyDescent="0.25">
      <c r="A557" s="44">
        <v>2021</v>
      </c>
      <c r="B557" s="39">
        <v>172210</v>
      </c>
      <c r="C557" s="38" t="s">
        <v>149</v>
      </c>
      <c r="D557" s="38" t="s">
        <v>143</v>
      </c>
      <c r="E557" s="21">
        <v>0</v>
      </c>
      <c r="F557" s="42">
        <f t="shared" si="232"/>
        <v>0</v>
      </c>
      <c r="G557" s="21">
        <v>0</v>
      </c>
      <c r="H557" s="42">
        <f t="shared" si="233"/>
        <v>0</v>
      </c>
      <c r="I557" s="21">
        <v>8</v>
      </c>
      <c r="J557" s="41">
        <f t="shared" si="234"/>
        <v>2.247191011235955E-2</v>
      </c>
      <c r="K557" s="21">
        <v>6</v>
      </c>
      <c r="L557" s="41">
        <f t="shared" si="235"/>
        <v>0.02</v>
      </c>
      <c r="M557" s="21">
        <v>320</v>
      </c>
      <c r="N557" s="41">
        <f t="shared" si="236"/>
        <v>0.898876404494382</v>
      </c>
      <c r="O557" s="21">
        <v>267</v>
      </c>
      <c r="P557" s="41">
        <f t="shared" si="237"/>
        <v>0.89</v>
      </c>
      <c r="Q557" s="21">
        <v>28</v>
      </c>
      <c r="R557" s="41">
        <f t="shared" si="238"/>
        <v>7.8651685393258425E-2</v>
      </c>
      <c r="S557" s="21">
        <v>27</v>
      </c>
      <c r="T557" s="41">
        <f t="shared" si="239"/>
        <v>0.09</v>
      </c>
      <c r="U557" s="21">
        <v>7</v>
      </c>
      <c r="V557" s="41">
        <f t="shared" si="240"/>
        <v>1.9662921348314606E-2</v>
      </c>
      <c r="W557" s="21">
        <v>5</v>
      </c>
      <c r="X557" s="41">
        <f t="shared" si="241"/>
        <v>1.6666666666666666E-2</v>
      </c>
      <c r="Y557" s="21">
        <v>27</v>
      </c>
      <c r="Z557" s="41">
        <f t="shared" si="242"/>
        <v>7.5842696629213488E-2</v>
      </c>
      <c r="AA557" s="21">
        <v>17</v>
      </c>
      <c r="AB557" s="41">
        <f t="shared" si="243"/>
        <v>5.6666666666666664E-2</v>
      </c>
      <c r="AC557" s="21">
        <v>321</v>
      </c>
      <c r="AD557" s="41">
        <f t="shared" si="251"/>
        <v>0.901685393258427</v>
      </c>
      <c r="AE557" s="21">
        <v>277</v>
      </c>
      <c r="AF557" s="41">
        <f t="shared" si="244"/>
        <v>0.92333333333333334</v>
      </c>
      <c r="AG557" s="21">
        <v>6</v>
      </c>
      <c r="AH557" s="41">
        <f t="shared" si="252"/>
        <v>1.6853932584269662E-2</v>
      </c>
      <c r="AI557" s="21">
        <v>5</v>
      </c>
      <c r="AJ557" s="41">
        <f t="shared" si="245"/>
        <v>1.6666666666666666E-2</v>
      </c>
      <c r="AK557" s="21">
        <v>22</v>
      </c>
      <c r="AL557" s="41">
        <f t="shared" si="253"/>
        <v>6.1797752808988762E-2</v>
      </c>
      <c r="AM557" s="21">
        <v>20</v>
      </c>
      <c r="AN557" s="41">
        <f t="shared" si="246"/>
        <v>6.6666666666666666E-2</v>
      </c>
      <c r="AO557" s="21">
        <v>239</v>
      </c>
      <c r="AP557" s="41">
        <f t="shared" si="254"/>
        <v>0.6713483146067416</v>
      </c>
      <c r="AQ557" s="21">
        <v>211</v>
      </c>
      <c r="AR557" s="41">
        <f t="shared" si="247"/>
        <v>0.70333333333333337</v>
      </c>
      <c r="AS557" s="21">
        <v>61</v>
      </c>
      <c r="AT557" s="41">
        <f t="shared" si="255"/>
        <v>0.17134831460674158</v>
      </c>
      <c r="AU557" s="21">
        <v>41</v>
      </c>
      <c r="AV557" s="41">
        <f t="shared" si="248"/>
        <v>0.13666666666666666</v>
      </c>
      <c r="AW557" s="21">
        <v>10</v>
      </c>
      <c r="AX557" s="41">
        <f t="shared" si="256"/>
        <v>2.8089887640449437E-2</v>
      </c>
      <c r="AY557" s="21">
        <v>7</v>
      </c>
      <c r="AZ557" s="41">
        <f t="shared" si="249"/>
        <v>2.3333333333333334E-2</v>
      </c>
      <c r="BA557" s="21">
        <v>18</v>
      </c>
      <c r="BB557" s="41">
        <f t="shared" si="257"/>
        <v>5.0561797752808987E-2</v>
      </c>
      <c r="BC557" s="21">
        <v>16</v>
      </c>
      <c r="BD557" s="41">
        <f t="shared" si="250"/>
        <v>5.3333333333333337E-2</v>
      </c>
      <c r="BE557" s="21">
        <v>356</v>
      </c>
      <c r="BF557" s="21">
        <v>300</v>
      </c>
    </row>
    <row r="558" spans="1:58" ht="15.75" customHeight="1" x14ac:dyDescent="0.25">
      <c r="A558" s="44">
        <v>2020</v>
      </c>
      <c r="B558" s="39">
        <v>170025</v>
      </c>
      <c r="C558" s="38" t="s">
        <v>144</v>
      </c>
      <c r="D558" s="38" t="s">
        <v>5</v>
      </c>
      <c r="E558" s="21">
        <v>2</v>
      </c>
      <c r="F558" s="42">
        <f t="shared" si="232"/>
        <v>1.8518518518518517E-2</v>
      </c>
      <c r="G558" s="21">
        <v>1</v>
      </c>
      <c r="H558" s="42">
        <f t="shared" si="233"/>
        <v>1.5384615384615385E-2</v>
      </c>
      <c r="I558" s="21">
        <v>2</v>
      </c>
      <c r="J558" s="41">
        <f t="shared" si="234"/>
        <v>1.8518518518518517E-2</v>
      </c>
      <c r="K558" s="21">
        <v>1</v>
      </c>
      <c r="L558" s="41">
        <f t="shared" si="235"/>
        <v>1.5384615384615385E-2</v>
      </c>
      <c r="M558" s="21">
        <v>97</v>
      </c>
      <c r="N558" s="41">
        <f t="shared" si="236"/>
        <v>0.89814814814814814</v>
      </c>
      <c r="O558" s="21">
        <v>58</v>
      </c>
      <c r="P558" s="41">
        <f t="shared" si="237"/>
        <v>0.89230769230769236</v>
      </c>
      <c r="Q558" s="21">
        <v>7</v>
      </c>
      <c r="R558" s="41">
        <f t="shared" si="238"/>
        <v>6.4814814814814811E-2</v>
      </c>
      <c r="S558" s="21">
        <v>5</v>
      </c>
      <c r="T558" s="41">
        <f t="shared" si="239"/>
        <v>7.6923076923076927E-2</v>
      </c>
      <c r="U558" s="21">
        <v>7</v>
      </c>
      <c r="V558" s="41">
        <f t="shared" si="240"/>
        <v>6.4814814814814811E-2</v>
      </c>
      <c r="W558" s="21">
        <v>6</v>
      </c>
      <c r="X558" s="41">
        <f t="shared" si="241"/>
        <v>9.2307692307692313E-2</v>
      </c>
      <c r="Y558" s="21">
        <v>11</v>
      </c>
      <c r="Z558" s="41">
        <f t="shared" si="242"/>
        <v>0.10185185185185185</v>
      </c>
      <c r="AA558" s="21">
        <v>9</v>
      </c>
      <c r="AB558" s="41">
        <f t="shared" si="243"/>
        <v>0.13846153846153847</v>
      </c>
      <c r="AC558" s="21">
        <v>90</v>
      </c>
      <c r="AD558" s="41">
        <f t="shared" si="251"/>
        <v>0.83333333333333337</v>
      </c>
      <c r="AE558" s="21">
        <v>50</v>
      </c>
      <c r="AF558" s="41">
        <f t="shared" si="244"/>
        <v>0.76923076923076927</v>
      </c>
      <c r="AG558" s="21">
        <v>2</v>
      </c>
      <c r="AH558" s="41">
        <f t="shared" si="252"/>
        <v>1.8518518518518517E-2</v>
      </c>
      <c r="AI558" s="21">
        <v>0</v>
      </c>
      <c r="AJ558" s="41">
        <f t="shared" si="245"/>
        <v>0</v>
      </c>
      <c r="AK558" s="21">
        <v>3</v>
      </c>
      <c r="AL558" s="41">
        <f t="shared" si="253"/>
        <v>2.7777777777777776E-2</v>
      </c>
      <c r="AM558" s="21">
        <v>0</v>
      </c>
      <c r="AN558" s="41">
        <f t="shared" si="246"/>
        <v>0</v>
      </c>
      <c r="AO558" s="21">
        <v>68</v>
      </c>
      <c r="AP558" s="41">
        <f t="shared" si="254"/>
        <v>0.62962962962962965</v>
      </c>
      <c r="AQ558" s="21">
        <v>42</v>
      </c>
      <c r="AR558" s="41">
        <f t="shared" si="247"/>
        <v>0.64615384615384619</v>
      </c>
      <c r="AS558" s="21">
        <v>20</v>
      </c>
      <c r="AT558" s="41">
        <f t="shared" si="255"/>
        <v>0.18518518518518517</v>
      </c>
      <c r="AU558" s="21">
        <v>12</v>
      </c>
      <c r="AV558" s="41">
        <f t="shared" si="248"/>
        <v>0.18461538461538463</v>
      </c>
      <c r="AW558" s="21">
        <v>11</v>
      </c>
      <c r="AX558" s="41">
        <f t="shared" si="256"/>
        <v>0.10185185185185185</v>
      </c>
      <c r="AY558" s="21">
        <v>6</v>
      </c>
      <c r="AZ558" s="41">
        <f t="shared" si="249"/>
        <v>9.2307692307692313E-2</v>
      </c>
      <c r="BA558" s="21">
        <v>4</v>
      </c>
      <c r="BB558" s="41">
        <f t="shared" si="257"/>
        <v>3.7037037037037035E-2</v>
      </c>
      <c r="BC558" s="21">
        <v>5</v>
      </c>
      <c r="BD558" s="41">
        <f t="shared" si="250"/>
        <v>7.6923076923076927E-2</v>
      </c>
      <c r="BE558" s="21">
        <v>108</v>
      </c>
      <c r="BF558" s="21">
        <v>65</v>
      </c>
    </row>
    <row r="559" spans="1:58" ht="15.75" customHeight="1" x14ac:dyDescent="0.25">
      <c r="A559" s="44">
        <v>2020</v>
      </c>
      <c r="B559" s="39">
        <v>170030</v>
      </c>
      <c r="C559" s="38" t="s">
        <v>145</v>
      </c>
      <c r="D559" s="38" t="s">
        <v>6</v>
      </c>
      <c r="E559" s="21">
        <v>2</v>
      </c>
      <c r="F559" s="42">
        <f t="shared" si="232"/>
        <v>3.7735849056603772E-2</v>
      </c>
      <c r="G559" s="21">
        <v>0</v>
      </c>
      <c r="H559" s="42">
        <f t="shared" si="233"/>
        <v>0</v>
      </c>
      <c r="I559" s="21">
        <v>0</v>
      </c>
      <c r="J559" s="41">
        <f t="shared" si="234"/>
        <v>0</v>
      </c>
      <c r="K559" s="21">
        <v>0</v>
      </c>
      <c r="L559" s="41">
        <f t="shared" si="235"/>
        <v>0</v>
      </c>
      <c r="M559" s="21">
        <v>46</v>
      </c>
      <c r="N559" s="41">
        <f t="shared" si="236"/>
        <v>0.86792452830188682</v>
      </c>
      <c r="O559" s="21">
        <v>0</v>
      </c>
      <c r="P559" s="41">
        <f t="shared" si="237"/>
        <v>0</v>
      </c>
      <c r="Q559" s="21">
        <v>5</v>
      </c>
      <c r="R559" s="41">
        <f t="shared" si="238"/>
        <v>9.4339622641509441E-2</v>
      </c>
      <c r="S559" s="21">
        <v>0</v>
      </c>
      <c r="T559" s="41">
        <f t="shared" si="239"/>
        <v>0</v>
      </c>
      <c r="U559" s="21">
        <v>3</v>
      </c>
      <c r="V559" s="41">
        <f t="shared" si="240"/>
        <v>5.6603773584905662E-2</v>
      </c>
      <c r="W559" s="21">
        <v>0</v>
      </c>
      <c r="X559" s="41">
        <f t="shared" si="241"/>
        <v>0</v>
      </c>
      <c r="Y559" s="21">
        <v>5</v>
      </c>
      <c r="Z559" s="41">
        <f t="shared" si="242"/>
        <v>9.4339622641509441E-2</v>
      </c>
      <c r="AA559" s="21">
        <v>0</v>
      </c>
      <c r="AB559" s="41">
        <f t="shared" si="243"/>
        <v>0</v>
      </c>
      <c r="AC559" s="21">
        <v>45</v>
      </c>
      <c r="AD559" s="41">
        <f t="shared" si="251"/>
        <v>0.84905660377358494</v>
      </c>
      <c r="AE559" s="21">
        <v>0</v>
      </c>
      <c r="AF559" s="41">
        <f t="shared" si="244"/>
        <v>0</v>
      </c>
      <c r="AG559" s="21">
        <v>2</v>
      </c>
      <c r="AH559" s="41">
        <f t="shared" si="252"/>
        <v>3.7735849056603772E-2</v>
      </c>
      <c r="AI559" s="21">
        <v>0</v>
      </c>
      <c r="AJ559" s="41">
        <f t="shared" si="245"/>
        <v>0</v>
      </c>
      <c r="AK559" s="21">
        <v>3</v>
      </c>
      <c r="AL559" s="41">
        <f t="shared" si="253"/>
        <v>5.6603773584905662E-2</v>
      </c>
      <c r="AM559" s="21">
        <v>0</v>
      </c>
      <c r="AN559" s="41">
        <f t="shared" si="246"/>
        <v>0</v>
      </c>
      <c r="AO559" s="21">
        <v>31</v>
      </c>
      <c r="AP559" s="41">
        <f t="shared" si="254"/>
        <v>0.58490566037735847</v>
      </c>
      <c r="AQ559" s="21">
        <v>0</v>
      </c>
      <c r="AR559" s="41">
        <f t="shared" si="247"/>
        <v>0</v>
      </c>
      <c r="AS559" s="21">
        <v>12</v>
      </c>
      <c r="AT559" s="41">
        <f t="shared" si="255"/>
        <v>0.22641509433962265</v>
      </c>
      <c r="AU559" s="21">
        <v>0</v>
      </c>
      <c r="AV559" s="41">
        <f t="shared" si="248"/>
        <v>0</v>
      </c>
      <c r="AW559" s="21">
        <v>1</v>
      </c>
      <c r="AX559" s="41">
        <f t="shared" si="256"/>
        <v>1.8867924528301886E-2</v>
      </c>
      <c r="AY559" s="21">
        <v>0</v>
      </c>
      <c r="AZ559" s="41">
        <f t="shared" si="249"/>
        <v>0</v>
      </c>
      <c r="BA559" s="21">
        <v>4</v>
      </c>
      <c r="BB559" s="41">
        <f t="shared" si="257"/>
        <v>7.5471698113207544E-2</v>
      </c>
      <c r="BC559" s="21">
        <v>0</v>
      </c>
      <c r="BD559" s="41">
        <f t="shared" si="250"/>
        <v>0</v>
      </c>
      <c r="BE559" s="21">
        <v>53</v>
      </c>
      <c r="BF559" s="21">
        <v>0</v>
      </c>
    </row>
    <row r="560" spans="1:58" ht="15.75" customHeight="1" x14ac:dyDescent="0.25">
      <c r="A560" s="44">
        <v>2020</v>
      </c>
      <c r="B560" s="39">
        <v>170035</v>
      </c>
      <c r="C560" s="38" t="s">
        <v>146</v>
      </c>
      <c r="D560" s="38" t="s">
        <v>7</v>
      </c>
      <c r="E560" s="21">
        <v>0</v>
      </c>
      <c r="F560" s="42">
        <f t="shared" si="232"/>
        <v>0</v>
      </c>
      <c r="G560" s="21">
        <v>0</v>
      </c>
      <c r="H560" s="42">
        <f t="shared" si="233"/>
        <v>0</v>
      </c>
      <c r="I560" s="21">
        <v>0</v>
      </c>
      <c r="J560" s="41">
        <f t="shared" si="234"/>
        <v>0</v>
      </c>
      <c r="K560" s="21">
        <v>1</v>
      </c>
      <c r="L560" s="41">
        <f t="shared" si="235"/>
        <v>1.7543859649122806E-2</v>
      </c>
      <c r="M560" s="21">
        <v>118</v>
      </c>
      <c r="N560" s="41">
        <f t="shared" si="236"/>
        <v>0.85507246376811596</v>
      </c>
      <c r="O560" s="21">
        <v>47</v>
      </c>
      <c r="P560" s="41">
        <f t="shared" si="237"/>
        <v>0.82456140350877194</v>
      </c>
      <c r="Q560" s="21">
        <v>20</v>
      </c>
      <c r="R560" s="41">
        <f t="shared" si="238"/>
        <v>0.14492753623188406</v>
      </c>
      <c r="S560" s="21">
        <v>9</v>
      </c>
      <c r="T560" s="41">
        <f t="shared" si="239"/>
        <v>0.15789473684210525</v>
      </c>
      <c r="U560" s="21">
        <v>4</v>
      </c>
      <c r="V560" s="41">
        <f t="shared" si="240"/>
        <v>2.8985507246376812E-2</v>
      </c>
      <c r="W560" s="21">
        <v>3</v>
      </c>
      <c r="X560" s="41">
        <f t="shared" si="241"/>
        <v>5.2631578947368418E-2</v>
      </c>
      <c r="Y560" s="21">
        <v>7</v>
      </c>
      <c r="Z560" s="41">
        <f t="shared" si="242"/>
        <v>5.0724637681159424E-2</v>
      </c>
      <c r="AA560" s="21">
        <v>5</v>
      </c>
      <c r="AB560" s="41">
        <f t="shared" si="243"/>
        <v>8.771929824561403E-2</v>
      </c>
      <c r="AC560" s="21">
        <v>127</v>
      </c>
      <c r="AD560" s="41">
        <f t="shared" si="251"/>
        <v>0.92028985507246375</v>
      </c>
      <c r="AE560" s="21">
        <v>49</v>
      </c>
      <c r="AF560" s="41">
        <f t="shared" si="244"/>
        <v>0.85964912280701755</v>
      </c>
      <c r="AG560" s="21">
        <v>4</v>
      </c>
      <c r="AH560" s="41">
        <f t="shared" si="252"/>
        <v>2.8985507246376812E-2</v>
      </c>
      <c r="AI560" s="21">
        <v>1</v>
      </c>
      <c r="AJ560" s="41">
        <f t="shared" si="245"/>
        <v>1.7543859649122806E-2</v>
      </c>
      <c r="AK560" s="21">
        <v>9</v>
      </c>
      <c r="AL560" s="41">
        <f t="shared" si="253"/>
        <v>6.5217391304347824E-2</v>
      </c>
      <c r="AM560" s="21">
        <v>4</v>
      </c>
      <c r="AN560" s="41">
        <f t="shared" si="246"/>
        <v>7.0175438596491224E-2</v>
      </c>
      <c r="AO560" s="21">
        <v>68</v>
      </c>
      <c r="AP560" s="41">
        <f t="shared" si="254"/>
        <v>0.49275362318840582</v>
      </c>
      <c r="AQ560" s="21">
        <v>30</v>
      </c>
      <c r="AR560" s="41">
        <f t="shared" si="247"/>
        <v>0.52631578947368418</v>
      </c>
      <c r="AS560" s="21">
        <v>28</v>
      </c>
      <c r="AT560" s="41">
        <f t="shared" si="255"/>
        <v>0.20289855072463769</v>
      </c>
      <c r="AU560" s="21">
        <v>10</v>
      </c>
      <c r="AV560" s="41">
        <f t="shared" si="248"/>
        <v>0.17543859649122806</v>
      </c>
      <c r="AW560" s="21">
        <v>18</v>
      </c>
      <c r="AX560" s="41">
        <f t="shared" si="256"/>
        <v>0.13043478260869565</v>
      </c>
      <c r="AY560" s="21">
        <v>6</v>
      </c>
      <c r="AZ560" s="41">
        <f t="shared" si="249"/>
        <v>0.10526315789473684</v>
      </c>
      <c r="BA560" s="21">
        <v>11</v>
      </c>
      <c r="BB560" s="41">
        <f t="shared" si="257"/>
        <v>7.9710144927536225E-2</v>
      </c>
      <c r="BC560" s="21">
        <v>6</v>
      </c>
      <c r="BD560" s="41">
        <f t="shared" si="250"/>
        <v>0.10526315789473684</v>
      </c>
      <c r="BE560" s="21">
        <v>138</v>
      </c>
      <c r="BF560" s="21">
        <v>57</v>
      </c>
    </row>
    <row r="561" spans="1:58" ht="15.75" customHeight="1" x14ac:dyDescent="0.25">
      <c r="A561" s="44">
        <v>2020</v>
      </c>
      <c r="B561" s="39">
        <v>170040</v>
      </c>
      <c r="C561" s="38" t="s">
        <v>147</v>
      </c>
      <c r="D561" s="38" t="s">
        <v>8</v>
      </c>
      <c r="E561" s="21">
        <v>0</v>
      </c>
      <c r="F561" s="42">
        <f t="shared" si="232"/>
        <v>0</v>
      </c>
      <c r="G561" s="21">
        <v>0</v>
      </c>
      <c r="H561" s="42">
        <f t="shared" si="233"/>
        <v>0</v>
      </c>
      <c r="I561" s="21">
        <v>0</v>
      </c>
      <c r="J561" s="41">
        <f t="shared" si="234"/>
        <v>0</v>
      </c>
      <c r="K561" s="21">
        <v>0</v>
      </c>
      <c r="L561" s="41">
        <f t="shared" si="235"/>
        <v>0</v>
      </c>
      <c r="M561" s="21">
        <v>69</v>
      </c>
      <c r="N561" s="41">
        <f t="shared" si="236"/>
        <v>0.95833333333333337</v>
      </c>
      <c r="O561" s="21">
        <v>50</v>
      </c>
      <c r="P561" s="41">
        <f t="shared" si="237"/>
        <v>0.98039215686274506</v>
      </c>
      <c r="Q561" s="21">
        <v>3</v>
      </c>
      <c r="R561" s="41">
        <f t="shared" si="238"/>
        <v>4.1666666666666664E-2</v>
      </c>
      <c r="S561" s="21">
        <v>1</v>
      </c>
      <c r="T561" s="41">
        <f t="shared" si="239"/>
        <v>1.9607843137254902E-2</v>
      </c>
      <c r="U561" s="21">
        <v>6</v>
      </c>
      <c r="V561" s="41">
        <f t="shared" si="240"/>
        <v>8.3333333333333329E-2</v>
      </c>
      <c r="W561" s="21">
        <v>4</v>
      </c>
      <c r="X561" s="41">
        <f t="shared" si="241"/>
        <v>7.8431372549019607E-2</v>
      </c>
      <c r="Y561" s="21">
        <v>6</v>
      </c>
      <c r="Z561" s="41">
        <f t="shared" si="242"/>
        <v>8.3333333333333329E-2</v>
      </c>
      <c r="AA561" s="21">
        <v>6</v>
      </c>
      <c r="AB561" s="41">
        <f t="shared" si="243"/>
        <v>0.11764705882352941</v>
      </c>
      <c r="AC561" s="21">
        <v>60</v>
      </c>
      <c r="AD561" s="41">
        <f t="shared" si="251"/>
        <v>0.83333333333333337</v>
      </c>
      <c r="AE561" s="21">
        <v>41</v>
      </c>
      <c r="AF561" s="41">
        <f t="shared" si="244"/>
        <v>0.80392156862745101</v>
      </c>
      <c r="AG561" s="21">
        <v>1</v>
      </c>
      <c r="AH561" s="41">
        <f t="shared" si="252"/>
        <v>1.3888888888888888E-2</v>
      </c>
      <c r="AI561" s="21">
        <v>0</v>
      </c>
      <c r="AJ561" s="41">
        <f t="shared" si="245"/>
        <v>0</v>
      </c>
      <c r="AK561" s="21">
        <v>2</v>
      </c>
      <c r="AL561" s="41">
        <f t="shared" si="253"/>
        <v>2.7777777777777776E-2</v>
      </c>
      <c r="AM561" s="21">
        <v>2</v>
      </c>
      <c r="AN561" s="41">
        <f t="shared" si="246"/>
        <v>3.9215686274509803E-2</v>
      </c>
      <c r="AO561" s="21">
        <v>43</v>
      </c>
      <c r="AP561" s="41">
        <f t="shared" si="254"/>
        <v>0.59722222222222221</v>
      </c>
      <c r="AQ561" s="21">
        <v>32</v>
      </c>
      <c r="AR561" s="41">
        <f t="shared" si="247"/>
        <v>0.62745098039215685</v>
      </c>
      <c r="AS561" s="21">
        <v>18</v>
      </c>
      <c r="AT561" s="41">
        <f t="shared" si="255"/>
        <v>0.25</v>
      </c>
      <c r="AU561" s="21">
        <v>12</v>
      </c>
      <c r="AV561" s="41">
        <f t="shared" si="248"/>
        <v>0.23529411764705882</v>
      </c>
      <c r="AW561" s="21">
        <v>4</v>
      </c>
      <c r="AX561" s="41">
        <f t="shared" si="256"/>
        <v>5.5555555555555552E-2</v>
      </c>
      <c r="AY561" s="21">
        <v>3</v>
      </c>
      <c r="AZ561" s="41">
        <f t="shared" si="249"/>
        <v>5.8823529411764705E-2</v>
      </c>
      <c r="BA561" s="21">
        <v>4</v>
      </c>
      <c r="BB561" s="41">
        <f t="shared" si="257"/>
        <v>5.5555555555555552E-2</v>
      </c>
      <c r="BC561" s="21">
        <v>2</v>
      </c>
      <c r="BD561" s="41">
        <f t="shared" si="250"/>
        <v>3.9215686274509803E-2</v>
      </c>
      <c r="BE561" s="21">
        <v>72</v>
      </c>
      <c r="BF561" s="21">
        <v>51</v>
      </c>
    </row>
    <row r="562" spans="1:58" ht="15.75" customHeight="1" x14ac:dyDescent="0.25">
      <c r="A562" s="44">
        <v>2020</v>
      </c>
      <c r="B562" s="39">
        <v>170070</v>
      </c>
      <c r="C562" s="38" t="s">
        <v>146</v>
      </c>
      <c r="D562" s="38" t="s">
        <v>9</v>
      </c>
      <c r="E562" s="21">
        <v>2</v>
      </c>
      <c r="F562" s="42">
        <f t="shared" si="232"/>
        <v>1.9230769230769232E-2</v>
      </c>
      <c r="G562" s="21">
        <v>1</v>
      </c>
      <c r="H562" s="42">
        <f t="shared" si="233"/>
        <v>2.5000000000000001E-2</v>
      </c>
      <c r="I562" s="21">
        <v>4</v>
      </c>
      <c r="J562" s="41">
        <f t="shared" si="234"/>
        <v>3.8461538461538464E-2</v>
      </c>
      <c r="K562" s="21">
        <v>2</v>
      </c>
      <c r="L562" s="41">
        <f t="shared" si="235"/>
        <v>0.05</v>
      </c>
      <c r="M562" s="21">
        <v>88</v>
      </c>
      <c r="N562" s="41">
        <f t="shared" si="236"/>
        <v>0.84615384615384615</v>
      </c>
      <c r="O562" s="21">
        <v>32</v>
      </c>
      <c r="P562" s="41">
        <f t="shared" si="237"/>
        <v>0.8</v>
      </c>
      <c r="Q562" s="21">
        <v>10</v>
      </c>
      <c r="R562" s="41">
        <f t="shared" si="238"/>
        <v>9.6153846153846159E-2</v>
      </c>
      <c r="S562" s="21">
        <v>5</v>
      </c>
      <c r="T562" s="41">
        <f t="shared" si="239"/>
        <v>0.125</v>
      </c>
      <c r="U562" s="21">
        <v>3</v>
      </c>
      <c r="V562" s="41">
        <f t="shared" si="240"/>
        <v>2.8846153846153848E-2</v>
      </c>
      <c r="W562" s="21">
        <v>3</v>
      </c>
      <c r="X562" s="41">
        <f t="shared" si="241"/>
        <v>7.4999999999999997E-2</v>
      </c>
      <c r="Y562" s="21">
        <v>3</v>
      </c>
      <c r="Z562" s="41">
        <f t="shared" si="242"/>
        <v>2.8846153846153848E-2</v>
      </c>
      <c r="AA562" s="21">
        <v>2</v>
      </c>
      <c r="AB562" s="41">
        <f t="shared" si="243"/>
        <v>0.05</v>
      </c>
      <c r="AC562" s="21">
        <v>98</v>
      </c>
      <c r="AD562" s="41">
        <f t="shared" si="251"/>
        <v>0.94230769230769229</v>
      </c>
      <c r="AE562" s="21">
        <v>35</v>
      </c>
      <c r="AF562" s="41">
        <f t="shared" si="244"/>
        <v>0.875</v>
      </c>
      <c r="AG562" s="21">
        <v>5</v>
      </c>
      <c r="AH562" s="41">
        <f t="shared" si="252"/>
        <v>4.807692307692308E-2</v>
      </c>
      <c r="AI562" s="21">
        <v>3</v>
      </c>
      <c r="AJ562" s="41">
        <f t="shared" si="245"/>
        <v>7.4999999999999997E-2</v>
      </c>
      <c r="AK562" s="21">
        <v>4</v>
      </c>
      <c r="AL562" s="41">
        <f t="shared" si="253"/>
        <v>3.8461538461538464E-2</v>
      </c>
      <c r="AM562" s="21">
        <v>2</v>
      </c>
      <c r="AN562" s="41">
        <f t="shared" si="246"/>
        <v>0.05</v>
      </c>
      <c r="AO562" s="21">
        <v>70</v>
      </c>
      <c r="AP562" s="41">
        <f t="shared" si="254"/>
        <v>0.67307692307692313</v>
      </c>
      <c r="AQ562" s="21">
        <v>24</v>
      </c>
      <c r="AR562" s="41">
        <f t="shared" si="247"/>
        <v>0.6</v>
      </c>
      <c r="AS562" s="21">
        <v>12</v>
      </c>
      <c r="AT562" s="41">
        <f t="shared" si="255"/>
        <v>0.11538461538461539</v>
      </c>
      <c r="AU562" s="21">
        <v>3</v>
      </c>
      <c r="AV562" s="41">
        <f t="shared" si="248"/>
        <v>7.4999999999999997E-2</v>
      </c>
      <c r="AW562" s="21">
        <v>9</v>
      </c>
      <c r="AX562" s="41">
        <f t="shared" si="256"/>
        <v>8.6538461538461536E-2</v>
      </c>
      <c r="AY562" s="21">
        <v>5</v>
      </c>
      <c r="AZ562" s="41">
        <f t="shared" si="249"/>
        <v>0.125</v>
      </c>
      <c r="BA562" s="21">
        <v>4</v>
      </c>
      <c r="BB562" s="41">
        <f t="shared" si="257"/>
        <v>3.8461538461538464E-2</v>
      </c>
      <c r="BC562" s="21">
        <v>3</v>
      </c>
      <c r="BD562" s="41">
        <f t="shared" si="250"/>
        <v>7.4999999999999997E-2</v>
      </c>
      <c r="BE562" s="21">
        <v>104</v>
      </c>
      <c r="BF562" s="21">
        <v>40</v>
      </c>
    </row>
    <row r="563" spans="1:58" ht="15.75" customHeight="1" x14ac:dyDescent="0.25">
      <c r="A563" s="44">
        <v>2020</v>
      </c>
      <c r="B563" s="39">
        <v>170100</v>
      </c>
      <c r="C563" s="38" t="s">
        <v>145</v>
      </c>
      <c r="D563" s="38" t="s">
        <v>10</v>
      </c>
      <c r="E563" s="21">
        <v>1</v>
      </c>
      <c r="F563" s="42">
        <f t="shared" si="232"/>
        <v>4.7619047619047623E-3</v>
      </c>
      <c r="G563" s="21">
        <v>0</v>
      </c>
      <c r="H563" s="42">
        <f t="shared" si="233"/>
        <v>0</v>
      </c>
      <c r="I563" s="21">
        <v>3</v>
      </c>
      <c r="J563" s="41">
        <f t="shared" si="234"/>
        <v>1.4285714285714285E-2</v>
      </c>
      <c r="K563" s="21">
        <v>0</v>
      </c>
      <c r="L563" s="41">
        <f t="shared" si="235"/>
        <v>0</v>
      </c>
      <c r="M563" s="21">
        <v>194</v>
      </c>
      <c r="N563" s="41">
        <f t="shared" si="236"/>
        <v>0.92380952380952386</v>
      </c>
      <c r="O563" s="21">
        <v>18</v>
      </c>
      <c r="P563" s="41">
        <f t="shared" si="237"/>
        <v>1</v>
      </c>
      <c r="Q563" s="21">
        <v>12</v>
      </c>
      <c r="R563" s="41">
        <f t="shared" si="238"/>
        <v>5.7142857142857141E-2</v>
      </c>
      <c r="S563" s="21">
        <v>0</v>
      </c>
      <c r="T563" s="41">
        <f t="shared" si="239"/>
        <v>0</v>
      </c>
      <c r="U563" s="21">
        <v>7</v>
      </c>
      <c r="V563" s="41">
        <f t="shared" si="240"/>
        <v>3.3333333333333333E-2</v>
      </c>
      <c r="W563" s="21">
        <v>0</v>
      </c>
      <c r="X563" s="41">
        <f t="shared" si="241"/>
        <v>0</v>
      </c>
      <c r="Y563" s="21">
        <v>11</v>
      </c>
      <c r="Z563" s="41">
        <f t="shared" si="242"/>
        <v>5.2380952380952382E-2</v>
      </c>
      <c r="AA563" s="21">
        <v>1</v>
      </c>
      <c r="AB563" s="41">
        <f t="shared" si="243"/>
        <v>5.5555555555555552E-2</v>
      </c>
      <c r="AC563" s="21">
        <v>192</v>
      </c>
      <c r="AD563" s="41">
        <f t="shared" si="251"/>
        <v>0.91428571428571426</v>
      </c>
      <c r="AE563" s="21">
        <v>17</v>
      </c>
      <c r="AF563" s="41">
        <f t="shared" si="244"/>
        <v>0.94444444444444442</v>
      </c>
      <c r="AG563" s="21">
        <v>1</v>
      </c>
      <c r="AH563" s="41">
        <f t="shared" si="252"/>
        <v>4.7619047619047623E-3</v>
      </c>
      <c r="AI563" s="21">
        <v>0</v>
      </c>
      <c r="AJ563" s="41">
        <f t="shared" si="245"/>
        <v>0</v>
      </c>
      <c r="AK563" s="21">
        <v>3</v>
      </c>
      <c r="AL563" s="41">
        <f t="shared" si="253"/>
        <v>1.4285714285714285E-2</v>
      </c>
      <c r="AM563" s="21">
        <v>0</v>
      </c>
      <c r="AN563" s="41">
        <f t="shared" si="246"/>
        <v>0</v>
      </c>
      <c r="AO563" s="21">
        <v>125</v>
      </c>
      <c r="AP563" s="41">
        <f t="shared" si="254"/>
        <v>0.59523809523809523</v>
      </c>
      <c r="AQ563" s="21">
        <v>12</v>
      </c>
      <c r="AR563" s="41">
        <f t="shared" si="247"/>
        <v>0.66666666666666663</v>
      </c>
      <c r="AS563" s="21">
        <v>52</v>
      </c>
      <c r="AT563" s="41">
        <f t="shared" si="255"/>
        <v>0.24761904761904763</v>
      </c>
      <c r="AU563" s="21">
        <v>6</v>
      </c>
      <c r="AV563" s="41">
        <f t="shared" si="248"/>
        <v>0.33333333333333331</v>
      </c>
      <c r="AW563" s="21">
        <v>21</v>
      </c>
      <c r="AX563" s="41">
        <f t="shared" si="256"/>
        <v>0.1</v>
      </c>
      <c r="AY563" s="21">
        <v>0</v>
      </c>
      <c r="AZ563" s="41">
        <f t="shared" si="249"/>
        <v>0</v>
      </c>
      <c r="BA563" s="21">
        <v>8</v>
      </c>
      <c r="BB563" s="41">
        <f t="shared" si="257"/>
        <v>3.8095238095238099E-2</v>
      </c>
      <c r="BC563" s="21">
        <v>0</v>
      </c>
      <c r="BD563" s="41">
        <f t="shared" si="250"/>
        <v>0</v>
      </c>
      <c r="BE563" s="21">
        <v>210</v>
      </c>
      <c r="BF563" s="21">
        <v>18</v>
      </c>
    </row>
    <row r="564" spans="1:58" ht="15.75" customHeight="1" x14ac:dyDescent="0.25">
      <c r="A564" s="44">
        <v>2020</v>
      </c>
      <c r="B564" s="39">
        <v>170105</v>
      </c>
      <c r="C564" s="38" t="s">
        <v>145</v>
      </c>
      <c r="D564" s="38" t="s">
        <v>11</v>
      </c>
      <c r="E564" s="21">
        <v>0</v>
      </c>
      <c r="F564" s="42">
        <f t="shared" si="232"/>
        <v>0</v>
      </c>
      <c r="G564" s="21">
        <v>1</v>
      </c>
      <c r="H564" s="42">
        <f t="shared" si="233"/>
        <v>1.2345679012345678E-2</v>
      </c>
      <c r="I564" s="21">
        <v>5</v>
      </c>
      <c r="J564" s="41">
        <f t="shared" si="234"/>
        <v>3.3112582781456956E-2</v>
      </c>
      <c r="K564" s="21">
        <v>3</v>
      </c>
      <c r="L564" s="41">
        <f t="shared" si="235"/>
        <v>3.7037037037037035E-2</v>
      </c>
      <c r="M564" s="21">
        <v>142</v>
      </c>
      <c r="N564" s="41">
        <f t="shared" si="236"/>
        <v>0.94039735099337751</v>
      </c>
      <c r="O564" s="21">
        <v>73</v>
      </c>
      <c r="P564" s="41">
        <f t="shared" si="237"/>
        <v>0.90123456790123457</v>
      </c>
      <c r="Q564" s="21">
        <v>4</v>
      </c>
      <c r="R564" s="41">
        <f t="shared" si="238"/>
        <v>2.6490066225165563E-2</v>
      </c>
      <c r="S564" s="21">
        <v>4</v>
      </c>
      <c r="T564" s="41">
        <f t="shared" si="239"/>
        <v>4.9382716049382713E-2</v>
      </c>
      <c r="U564" s="21">
        <v>12</v>
      </c>
      <c r="V564" s="41">
        <f t="shared" si="240"/>
        <v>7.9470198675496692E-2</v>
      </c>
      <c r="W564" s="21">
        <v>3</v>
      </c>
      <c r="X564" s="41">
        <f t="shared" si="241"/>
        <v>3.7037037037037035E-2</v>
      </c>
      <c r="Y564" s="21">
        <v>7</v>
      </c>
      <c r="Z564" s="41">
        <f t="shared" si="242"/>
        <v>4.6357615894039736E-2</v>
      </c>
      <c r="AA564" s="21">
        <v>3</v>
      </c>
      <c r="AB564" s="41">
        <f t="shared" si="243"/>
        <v>3.7037037037037035E-2</v>
      </c>
      <c r="AC564" s="21">
        <v>132</v>
      </c>
      <c r="AD564" s="41">
        <f t="shared" si="251"/>
        <v>0.8741721854304636</v>
      </c>
      <c r="AE564" s="21">
        <v>75</v>
      </c>
      <c r="AF564" s="41">
        <f t="shared" si="244"/>
        <v>0.92592592592592593</v>
      </c>
      <c r="AG564" s="21">
        <v>3</v>
      </c>
      <c r="AH564" s="41">
        <f t="shared" si="252"/>
        <v>1.9867549668874173E-2</v>
      </c>
      <c r="AI564" s="21">
        <v>2</v>
      </c>
      <c r="AJ564" s="41">
        <f t="shared" si="245"/>
        <v>2.4691358024691357E-2</v>
      </c>
      <c r="AK564" s="21">
        <v>8</v>
      </c>
      <c r="AL564" s="41">
        <f t="shared" si="253"/>
        <v>5.2980132450331126E-2</v>
      </c>
      <c r="AM564" s="21">
        <v>5</v>
      </c>
      <c r="AN564" s="41">
        <f t="shared" si="246"/>
        <v>6.1728395061728392E-2</v>
      </c>
      <c r="AO564" s="21">
        <v>84</v>
      </c>
      <c r="AP564" s="41">
        <f t="shared" si="254"/>
        <v>0.55629139072847678</v>
      </c>
      <c r="AQ564" s="21">
        <v>50</v>
      </c>
      <c r="AR564" s="41">
        <f t="shared" si="247"/>
        <v>0.61728395061728392</v>
      </c>
      <c r="AS564" s="21">
        <v>35</v>
      </c>
      <c r="AT564" s="41">
        <f t="shared" si="255"/>
        <v>0.23178807947019867</v>
      </c>
      <c r="AU564" s="21">
        <v>16</v>
      </c>
      <c r="AV564" s="41">
        <f t="shared" si="248"/>
        <v>0.19753086419753085</v>
      </c>
      <c r="AW564" s="21">
        <v>10</v>
      </c>
      <c r="AX564" s="41">
        <f t="shared" si="256"/>
        <v>6.6225165562913912E-2</v>
      </c>
      <c r="AY564" s="21">
        <v>4</v>
      </c>
      <c r="AZ564" s="41">
        <f t="shared" si="249"/>
        <v>4.9382716049382713E-2</v>
      </c>
      <c r="BA564" s="21">
        <v>11</v>
      </c>
      <c r="BB564" s="41">
        <f t="shared" si="257"/>
        <v>7.2847682119205295E-2</v>
      </c>
      <c r="BC564" s="21">
        <v>4</v>
      </c>
      <c r="BD564" s="41">
        <f t="shared" si="250"/>
        <v>4.9382716049382713E-2</v>
      </c>
      <c r="BE564" s="21">
        <v>151</v>
      </c>
      <c r="BF564" s="21">
        <v>81</v>
      </c>
    </row>
    <row r="565" spans="1:58" ht="15.75" customHeight="1" x14ac:dyDescent="0.25">
      <c r="A565" s="44">
        <v>2020</v>
      </c>
      <c r="B565" s="39">
        <v>170110</v>
      </c>
      <c r="C565" s="38" t="s">
        <v>148</v>
      </c>
      <c r="D565" s="38" t="s">
        <v>12</v>
      </c>
      <c r="E565" s="21">
        <v>5</v>
      </c>
      <c r="F565" s="42">
        <f t="shared" si="232"/>
        <v>1.7006802721088437E-2</v>
      </c>
      <c r="G565" s="21">
        <v>1</v>
      </c>
      <c r="H565" s="42">
        <f t="shared" si="233"/>
        <v>8.4033613445378148E-3</v>
      </c>
      <c r="I565" s="21">
        <v>9</v>
      </c>
      <c r="J565" s="41">
        <f t="shared" si="234"/>
        <v>3.0612244897959183E-2</v>
      </c>
      <c r="K565" s="21">
        <v>3</v>
      </c>
      <c r="L565" s="41">
        <f t="shared" si="235"/>
        <v>2.5210084033613446E-2</v>
      </c>
      <c r="M565" s="21">
        <v>255</v>
      </c>
      <c r="N565" s="41">
        <f t="shared" si="236"/>
        <v>0.86734693877551017</v>
      </c>
      <c r="O565" s="21">
        <v>105</v>
      </c>
      <c r="P565" s="41">
        <f t="shared" si="237"/>
        <v>0.88235294117647056</v>
      </c>
      <c r="Q565" s="21">
        <v>25</v>
      </c>
      <c r="R565" s="41">
        <f t="shared" si="238"/>
        <v>8.5034013605442174E-2</v>
      </c>
      <c r="S565" s="21">
        <v>10</v>
      </c>
      <c r="T565" s="41">
        <f t="shared" si="239"/>
        <v>8.4033613445378158E-2</v>
      </c>
      <c r="U565" s="21">
        <v>12</v>
      </c>
      <c r="V565" s="41">
        <f t="shared" si="240"/>
        <v>4.0816326530612242E-2</v>
      </c>
      <c r="W565" s="21">
        <v>3</v>
      </c>
      <c r="X565" s="41">
        <f t="shared" si="241"/>
        <v>2.5210084033613446E-2</v>
      </c>
      <c r="Y565" s="21">
        <v>20</v>
      </c>
      <c r="Z565" s="41">
        <f t="shared" si="242"/>
        <v>6.8027210884353748E-2</v>
      </c>
      <c r="AA565" s="21">
        <v>4</v>
      </c>
      <c r="AB565" s="41">
        <f t="shared" si="243"/>
        <v>3.3613445378151259E-2</v>
      </c>
      <c r="AC565" s="21">
        <v>262</v>
      </c>
      <c r="AD565" s="41">
        <f t="shared" si="251"/>
        <v>0.891156462585034</v>
      </c>
      <c r="AE565" s="21">
        <v>112</v>
      </c>
      <c r="AF565" s="41">
        <f t="shared" si="244"/>
        <v>0.94117647058823528</v>
      </c>
      <c r="AG565" s="21">
        <v>7</v>
      </c>
      <c r="AH565" s="41">
        <f t="shared" si="252"/>
        <v>2.3809523809523808E-2</v>
      </c>
      <c r="AI565" s="21">
        <v>5</v>
      </c>
      <c r="AJ565" s="41">
        <f t="shared" si="245"/>
        <v>4.2016806722689079E-2</v>
      </c>
      <c r="AK565" s="21">
        <v>16</v>
      </c>
      <c r="AL565" s="41">
        <f t="shared" si="253"/>
        <v>5.4421768707482991E-2</v>
      </c>
      <c r="AM565" s="21">
        <v>7</v>
      </c>
      <c r="AN565" s="41">
        <f t="shared" si="246"/>
        <v>5.8823529411764705E-2</v>
      </c>
      <c r="AO565" s="21">
        <v>191</v>
      </c>
      <c r="AP565" s="41">
        <f t="shared" si="254"/>
        <v>0.64965986394557829</v>
      </c>
      <c r="AQ565" s="21">
        <v>91</v>
      </c>
      <c r="AR565" s="41">
        <f t="shared" si="247"/>
        <v>0.76470588235294112</v>
      </c>
      <c r="AS565" s="21">
        <v>47</v>
      </c>
      <c r="AT565" s="41">
        <f t="shared" si="255"/>
        <v>0.1598639455782313</v>
      </c>
      <c r="AU565" s="21">
        <v>8</v>
      </c>
      <c r="AV565" s="41">
        <f t="shared" si="248"/>
        <v>6.7226890756302518E-2</v>
      </c>
      <c r="AW565" s="21">
        <v>21</v>
      </c>
      <c r="AX565" s="41">
        <f t="shared" si="256"/>
        <v>7.1428571428571425E-2</v>
      </c>
      <c r="AY565" s="21">
        <v>7</v>
      </c>
      <c r="AZ565" s="41">
        <f t="shared" si="249"/>
        <v>5.8823529411764705E-2</v>
      </c>
      <c r="BA565" s="21">
        <v>12</v>
      </c>
      <c r="BB565" s="41">
        <f t="shared" si="257"/>
        <v>4.0816326530612242E-2</v>
      </c>
      <c r="BC565" s="21">
        <v>1</v>
      </c>
      <c r="BD565" s="41">
        <f t="shared" si="250"/>
        <v>8.4033613445378148E-3</v>
      </c>
      <c r="BE565" s="21">
        <v>294</v>
      </c>
      <c r="BF565" s="21">
        <v>119</v>
      </c>
    </row>
    <row r="566" spans="1:58" ht="15.75" customHeight="1" x14ac:dyDescent="0.25">
      <c r="A566" s="44">
        <v>2020</v>
      </c>
      <c r="B566" s="39">
        <v>170130</v>
      </c>
      <c r="C566" s="38" t="s">
        <v>149</v>
      </c>
      <c r="D566" s="38" t="s">
        <v>13</v>
      </c>
      <c r="E566" s="21">
        <v>1</v>
      </c>
      <c r="F566" s="42">
        <f t="shared" si="232"/>
        <v>3.6101083032490976E-3</v>
      </c>
      <c r="G566" s="21">
        <v>1</v>
      </c>
      <c r="H566" s="42">
        <f t="shared" si="233"/>
        <v>6.1349693251533744E-3</v>
      </c>
      <c r="I566" s="21">
        <v>6</v>
      </c>
      <c r="J566" s="41">
        <f t="shared" si="234"/>
        <v>2.1660649819494584E-2</v>
      </c>
      <c r="K566" s="21">
        <v>6</v>
      </c>
      <c r="L566" s="41">
        <f t="shared" si="235"/>
        <v>3.6809815950920248E-2</v>
      </c>
      <c r="M566" s="21">
        <v>244</v>
      </c>
      <c r="N566" s="41">
        <f t="shared" si="236"/>
        <v>0.88086642599277976</v>
      </c>
      <c r="O566" s="21">
        <v>139</v>
      </c>
      <c r="P566" s="41">
        <f t="shared" si="237"/>
        <v>0.85276073619631898</v>
      </c>
      <c r="Q566" s="21">
        <v>26</v>
      </c>
      <c r="R566" s="41">
        <f t="shared" si="238"/>
        <v>9.3862815884476536E-2</v>
      </c>
      <c r="S566" s="21">
        <v>17</v>
      </c>
      <c r="T566" s="41">
        <f t="shared" si="239"/>
        <v>0.10429447852760736</v>
      </c>
      <c r="U566" s="21">
        <v>20</v>
      </c>
      <c r="V566" s="41">
        <f t="shared" si="240"/>
        <v>7.2202166064981949E-2</v>
      </c>
      <c r="W566" s="21">
        <v>16</v>
      </c>
      <c r="X566" s="41">
        <f t="shared" si="241"/>
        <v>9.815950920245399E-2</v>
      </c>
      <c r="Y566" s="21">
        <v>26</v>
      </c>
      <c r="Z566" s="41">
        <f t="shared" si="242"/>
        <v>9.3862815884476536E-2</v>
      </c>
      <c r="AA566" s="21">
        <v>14</v>
      </c>
      <c r="AB566" s="41">
        <f t="shared" si="243"/>
        <v>8.5889570552147243E-2</v>
      </c>
      <c r="AC566" s="21">
        <v>231</v>
      </c>
      <c r="AD566" s="41">
        <f t="shared" si="251"/>
        <v>0.83393501805054149</v>
      </c>
      <c r="AE566" s="21">
        <v>133</v>
      </c>
      <c r="AF566" s="41">
        <f t="shared" si="244"/>
        <v>0.81595092024539873</v>
      </c>
      <c r="AG566" s="21">
        <v>6</v>
      </c>
      <c r="AH566" s="41">
        <f t="shared" si="252"/>
        <v>2.1660649819494584E-2</v>
      </c>
      <c r="AI566" s="21">
        <v>8</v>
      </c>
      <c r="AJ566" s="41">
        <f t="shared" si="245"/>
        <v>4.9079754601226995E-2</v>
      </c>
      <c r="AK566" s="21">
        <v>8</v>
      </c>
      <c r="AL566" s="41">
        <f t="shared" si="253"/>
        <v>2.8880866425992781E-2</v>
      </c>
      <c r="AM566" s="21">
        <v>3</v>
      </c>
      <c r="AN566" s="41">
        <f t="shared" si="246"/>
        <v>1.8404907975460124E-2</v>
      </c>
      <c r="AO566" s="21">
        <v>164</v>
      </c>
      <c r="AP566" s="41">
        <f t="shared" si="254"/>
        <v>0.59205776173285196</v>
      </c>
      <c r="AQ566" s="21">
        <v>95</v>
      </c>
      <c r="AR566" s="41">
        <f t="shared" si="247"/>
        <v>0.58282208588957052</v>
      </c>
      <c r="AS566" s="21">
        <v>50</v>
      </c>
      <c r="AT566" s="41">
        <f t="shared" si="255"/>
        <v>0.18050541516245489</v>
      </c>
      <c r="AU566" s="21">
        <v>24</v>
      </c>
      <c r="AV566" s="41">
        <f t="shared" si="248"/>
        <v>0.14723926380368099</v>
      </c>
      <c r="AW566" s="21">
        <v>26</v>
      </c>
      <c r="AX566" s="41">
        <f t="shared" si="256"/>
        <v>9.3862815884476536E-2</v>
      </c>
      <c r="AY566" s="21">
        <v>16</v>
      </c>
      <c r="AZ566" s="41">
        <f t="shared" si="249"/>
        <v>9.815950920245399E-2</v>
      </c>
      <c r="BA566" s="21">
        <v>23</v>
      </c>
      <c r="BB566" s="41">
        <f t="shared" si="257"/>
        <v>8.3032490974729242E-2</v>
      </c>
      <c r="BC566" s="21">
        <v>17</v>
      </c>
      <c r="BD566" s="41">
        <f t="shared" si="250"/>
        <v>0.10429447852760736</v>
      </c>
      <c r="BE566" s="21">
        <v>277</v>
      </c>
      <c r="BF566" s="21">
        <v>163</v>
      </c>
    </row>
    <row r="567" spans="1:58" ht="15.75" customHeight="1" x14ac:dyDescent="0.25">
      <c r="A567" s="44">
        <v>2020</v>
      </c>
      <c r="B567" s="39">
        <v>170190</v>
      </c>
      <c r="C567" s="38" t="s">
        <v>144</v>
      </c>
      <c r="D567" s="38" t="s">
        <v>14</v>
      </c>
      <c r="E567" s="21">
        <v>1</v>
      </c>
      <c r="F567" s="42">
        <f t="shared" si="232"/>
        <v>7.575757575757576E-3</v>
      </c>
      <c r="G567" s="21">
        <v>1</v>
      </c>
      <c r="H567" s="42">
        <f t="shared" si="233"/>
        <v>9.2592592592592587E-3</v>
      </c>
      <c r="I567" s="21">
        <v>2</v>
      </c>
      <c r="J567" s="41">
        <f t="shared" si="234"/>
        <v>1.5151515151515152E-2</v>
      </c>
      <c r="K567" s="21">
        <v>1</v>
      </c>
      <c r="L567" s="41">
        <f t="shared" si="235"/>
        <v>9.2592592592592587E-3</v>
      </c>
      <c r="M567" s="21">
        <v>121</v>
      </c>
      <c r="N567" s="41">
        <f t="shared" si="236"/>
        <v>0.91666666666666663</v>
      </c>
      <c r="O567" s="21">
        <v>99</v>
      </c>
      <c r="P567" s="41">
        <f t="shared" si="237"/>
        <v>0.91666666666666663</v>
      </c>
      <c r="Q567" s="21">
        <v>8</v>
      </c>
      <c r="R567" s="41">
        <f t="shared" si="238"/>
        <v>6.0606060606060608E-2</v>
      </c>
      <c r="S567" s="21">
        <v>7</v>
      </c>
      <c r="T567" s="41">
        <f t="shared" si="239"/>
        <v>6.4814814814814811E-2</v>
      </c>
      <c r="U567" s="21">
        <v>10</v>
      </c>
      <c r="V567" s="41">
        <f t="shared" si="240"/>
        <v>7.575757575757576E-2</v>
      </c>
      <c r="W567" s="21">
        <v>11</v>
      </c>
      <c r="X567" s="41">
        <f t="shared" si="241"/>
        <v>0.10185185185185185</v>
      </c>
      <c r="Y567" s="21">
        <v>11</v>
      </c>
      <c r="Z567" s="41">
        <f t="shared" si="242"/>
        <v>8.3333333333333329E-2</v>
      </c>
      <c r="AA567" s="21">
        <v>9</v>
      </c>
      <c r="AB567" s="41">
        <f t="shared" si="243"/>
        <v>8.3333333333333329E-2</v>
      </c>
      <c r="AC567" s="21">
        <v>111</v>
      </c>
      <c r="AD567" s="41">
        <f t="shared" ref="AD567:AD630" si="258">IFERROR(AC567/$BE567,0)</f>
        <v>0.84090909090909094</v>
      </c>
      <c r="AE567" s="21">
        <v>88</v>
      </c>
      <c r="AF567" s="41">
        <f t="shared" si="244"/>
        <v>0.81481481481481477</v>
      </c>
      <c r="AG567" s="21">
        <v>2</v>
      </c>
      <c r="AH567" s="41">
        <f t="shared" ref="AH567:AH630" si="259">IFERROR(AG567/$BE567,0)</f>
        <v>1.5151515151515152E-2</v>
      </c>
      <c r="AI567" s="21">
        <v>1</v>
      </c>
      <c r="AJ567" s="41">
        <f t="shared" si="245"/>
        <v>9.2592592592592587E-3</v>
      </c>
      <c r="AK567" s="21">
        <v>3</v>
      </c>
      <c r="AL567" s="41">
        <f t="shared" ref="AL567:AL630" si="260">IFERROR(AK567/$BE567,0)</f>
        <v>2.2727272727272728E-2</v>
      </c>
      <c r="AM567" s="21">
        <v>2</v>
      </c>
      <c r="AN567" s="41">
        <f t="shared" si="246"/>
        <v>1.8518518518518517E-2</v>
      </c>
      <c r="AO567" s="21">
        <v>81</v>
      </c>
      <c r="AP567" s="41">
        <f t="shared" ref="AP567:AP630" si="261">IFERROR(AO567/$BE567,0)</f>
        <v>0.61363636363636365</v>
      </c>
      <c r="AQ567" s="21">
        <v>69</v>
      </c>
      <c r="AR567" s="41">
        <f t="shared" si="247"/>
        <v>0.63888888888888884</v>
      </c>
      <c r="AS567" s="21">
        <v>23</v>
      </c>
      <c r="AT567" s="41">
        <f t="shared" ref="AT567:AT630" si="262">IFERROR(AS567/$BE567,0)</f>
        <v>0.17424242424242425</v>
      </c>
      <c r="AU567" s="21">
        <v>16</v>
      </c>
      <c r="AV567" s="41">
        <f t="shared" si="248"/>
        <v>0.14814814814814814</v>
      </c>
      <c r="AW567" s="21">
        <v>14</v>
      </c>
      <c r="AX567" s="41">
        <f t="shared" ref="AX567:AX630" si="263">IFERROR(AW567/$BE567,0)</f>
        <v>0.10606060606060606</v>
      </c>
      <c r="AY567" s="21">
        <v>12</v>
      </c>
      <c r="AZ567" s="41">
        <f t="shared" si="249"/>
        <v>0.1111111111111111</v>
      </c>
      <c r="BA567" s="21">
        <v>9</v>
      </c>
      <c r="BB567" s="41">
        <f t="shared" ref="BB567:BB630" si="264">IFERROR(BA567/$BE567,0)</f>
        <v>6.8181818181818177E-2</v>
      </c>
      <c r="BC567" s="21">
        <v>8</v>
      </c>
      <c r="BD567" s="41">
        <f t="shared" si="250"/>
        <v>7.407407407407407E-2</v>
      </c>
      <c r="BE567" s="21">
        <v>132</v>
      </c>
      <c r="BF567" s="21">
        <v>108</v>
      </c>
    </row>
    <row r="568" spans="1:58" ht="15.75" customHeight="1" x14ac:dyDescent="0.25">
      <c r="A568" s="44">
        <v>2020</v>
      </c>
      <c r="B568" s="39">
        <v>170200</v>
      </c>
      <c r="C568" s="38" t="s">
        <v>146</v>
      </c>
      <c r="D568" s="38" t="s">
        <v>15</v>
      </c>
      <c r="E568" s="21">
        <v>1</v>
      </c>
      <c r="F568" s="42">
        <f t="shared" si="232"/>
        <v>2.3752969121140144E-3</v>
      </c>
      <c r="G568" s="21">
        <v>0</v>
      </c>
      <c r="H568" s="42">
        <f t="shared" si="233"/>
        <v>0</v>
      </c>
      <c r="I568" s="21">
        <v>8</v>
      </c>
      <c r="J568" s="41">
        <f t="shared" si="234"/>
        <v>1.9002375296912115E-2</v>
      </c>
      <c r="K568" s="21">
        <v>2</v>
      </c>
      <c r="L568" s="41">
        <f t="shared" si="235"/>
        <v>1.4492753623188406E-2</v>
      </c>
      <c r="M568" s="21">
        <v>383</v>
      </c>
      <c r="N568" s="41">
        <f t="shared" si="236"/>
        <v>0.90973871733966749</v>
      </c>
      <c r="O568" s="21">
        <v>127</v>
      </c>
      <c r="P568" s="41">
        <f t="shared" si="237"/>
        <v>0.92028985507246375</v>
      </c>
      <c r="Q568" s="21">
        <v>29</v>
      </c>
      <c r="R568" s="41">
        <f t="shared" si="238"/>
        <v>6.8883610451306407E-2</v>
      </c>
      <c r="S568" s="21">
        <v>9</v>
      </c>
      <c r="T568" s="41">
        <f t="shared" si="239"/>
        <v>6.5217391304347824E-2</v>
      </c>
      <c r="U568" s="21">
        <v>12</v>
      </c>
      <c r="V568" s="41">
        <f t="shared" si="240"/>
        <v>2.8503562945368172E-2</v>
      </c>
      <c r="W568" s="21">
        <v>4</v>
      </c>
      <c r="X568" s="41">
        <f t="shared" si="241"/>
        <v>2.8985507246376812E-2</v>
      </c>
      <c r="Y568" s="21">
        <v>34</v>
      </c>
      <c r="Z568" s="41">
        <f t="shared" si="242"/>
        <v>8.076009501187649E-2</v>
      </c>
      <c r="AA568" s="21">
        <v>10</v>
      </c>
      <c r="AB568" s="41">
        <f t="shared" si="243"/>
        <v>7.2463768115942032E-2</v>
      </c>
      <c r="AC568" s="21">
        <v>375</v>
      </c>
      <c r="AD568" s="41">
        <f t="shared" si="258"/>
        <v>0.89073634204275531</v>
      </c>
      <c r="AE568" s="21">
        <v>124</v>
      </c>
      <c r="AF568" s="41">
        <f t="shared" si="244"/>
        <v>0.89855072463768115</v>
      </c>
      <c r="AG568" s="21">
        <v>3</v>
      </c>
      <c r="AH568" s="41">
        <f t="shared" si="259"/>
        <v>7.1258907363420431E-3</v>
      </c>
      <c r="AI568" s="21">
        <v>1</v>
      </c>
      <c r="AJ568" s="41">
        <f t="shared" si="245"/>
        <v>7.246376811594203E-3</v>
      </c>
      <c r="AK568" s="21">
        <v>10</v>
      </c>
      <c r="AL568" s="41">
        <f t="shared" si="260"/>
        <v>2.3752969121140142E-2</v>
      </c>
      <c r="AM568" s="21">
        <v>4</v>
      </c>
      <c r="AN568" s="41">
        <f t="shared" si="246"/>
        <v>2.8985507246376812E-2</v>
      </c>
      <c r="AO568" s="21">
        <v>232</v>
      </c>
      <c r="AP568" s="41">
        <f t="shared" si="261"/>
        <v>0.55106888361045125</v>
      </c>
      <c r="AQ568" s="21">
        <v>75</v>
      </c>
      <c r="AR568" s="41">
        <f t="shared" si="247"/>
        <v>0.54347826086956519</v>
      </c>
      <c r="AS568" s="21">
        <v>96</v>
      </c>
      <c r="AT568" s="41">
        <f t="shared" si="262"/>
        <v>0.22802850356294538</v>
      </c>
      <c r="AU568" s="21">
        <v>37</v>
      </c>
      <c r="AV568" s="41">
        <f t="shared" si="248"/>
        <v>0.26811594202898553</v>
      </c>
      <c r="AW568" s="21">
        <v>54</v>
      </c>
      <c r="AX568" s="41">
        <f t="shared" si="263"/>
        <v>0.12826603325415678</v>
      </c>
      <c r="AY568" s="21">
        <v>14</v>
      </c>
      <c r="AZ568" s="41">
        <f t="shared" si="249"/>
        <v>0.10144927536231885</v>
      </c>
      <c r="BA568" s="21">
        <v>26</v>
      </c>
      <c r="BB568" s="41">
        <f t="shared" si="264"/>
        <v>6.1757719714964368E-2</v>
      </c>
      <c r="BC568" s="21">
        <v>7</v>
      </c>
      <c r="BD568" s="41">
        <f t="shared" si="250"/>
        <v>5.0724637681159424E-2</v>
      </c>
      <c r="BE568" s="21">
        <v>421</v>
      </c>
      <c r="BF568" s="21">
        <v>138</v>
      </c>
    </row>
    <row r="569" spans="1:58" ht="15.75" customHeight="1" x14ac:dyDescent="0.25">
      <c r="A569" s="44">
        <v>2020</v>
      </c>
      <c r="B569" s="39">
        <v>170210</v>
      </c>
      <c r="C569" s="38" t="s">
        <v>149</v>
      </c>
      <c r="D569" s="38" t="s">
        <v>16</v>
      </c>
      <c r="E569" s="21">
        <v>23</v>
      </c>
      <c r="F569" s="42">
        <f t="shared" si="232"/>
        <v>1.1192214111922141E-2</v>
      </c>
      <c r="G569" s="21">
        <v>5</v>
      </c>
      <c r="H569" s="42">
        <f t="shared" si="233"/>
        <v>1.1415525114155251E-2</v>
      </c>
      <c r="I569" s="21">
        <v>73</v>
      </c>
      <c r="J569" s="41">
        <f t="shared" si="234"/>
        <v>3.5523114355231145E-2</v>
      </c>
      <c r="K569" s="21">
        <v>16</v>
      </c>
      <c r="L569" s="41">
        <f t="shared" si="235"/>
        <v>3.6529680365296802E-2</v>
      </c>
      <c r="M569" s="20">
        <v>1842</v>
      </c>
      <c r="N569" s="41">
        <f t="shared" si="236"/>
        <v>0.89635036496350362</v>
      </c>
      <c r="O569" s="21">
        <v>405</v>
      </c>
      <c r="P569" s="41">
        <f t="shared" si="237"/>
        <v>0.92465753424657537</v>
      </c>
      <c r="Q569" s="21">
        <v>117</v>
      </c>
      <c r="R569" s="41">
        <f t="shared" si="238"/>
        <v>5.6934306569343063E-2</v>
      </c>
      <c r="S569" s="21">
        <v>11</v>
      </c>
      <c r="T569" s="41">
        <f t="shared" si="239"/>
        <v>2.5114155251141551E-2</v>
      </c>
      <c r="U569" s="21">
        <v>93</v>
      </c>
      <c r="V569" s="41">
        <f t="shared" si="240"/>
        <v>4.5255474452554748E-2</v>
      </c>
      <c r="W569" s="21">
        <v>18</v>
      </c>
      <c r="X569" s="41">
        <f t="shared" si="241"/>
        <v>4.1095890410958902E-2</v>
      </c>
      <c r="Y569" s="21">
        <v>129</v>
      </c>
      <c r="Z569" s="41">
        <f t="shared" si="242"/>
        <v>6.2773722627737227E-2</v>
      </c>
      <c r="AA569" s="21">
        <v>33</v>
      </c>
      <c r="AB569" s="41">
        <f t="shared" si="243"/>
        <v>7.5342465753424653E-2</v>
      </c>
      <c r="AC569" s="20">
        <v>1834</v>
      </c>
      <c r="AD569" s="41">
        <f t="shared" si="258"/>
        <v>0.89245742092457425</v>
      </c>
      <c r="AE569" s="21">
        <v>387</v>
      </c>
      <c r="AF569" s="41">
        <f t="shared" si="244"/>
        <v>0.88356164383561642</v>
      </c>
      <c r="AG569" s="21">
        <v>62</v>
      </c>
      <c r="AH569" s="41">
        <f t="shared" si="259"/>
        <v>3.0170316301703162E-2</v>
      </c>
      <c r="AI569" s="21">
        <v>21</v>
      </c>
      <c r="AJ569" s="41">
        <f t="shared" si="245"/>
        <v>4.7945205479452052E-2</v>
      </c>
      <c r="AK569" s="21">
        <v>73</v>
      </c>
      <c r="AL569" s="41">
        <f t="shared" si="260"/>
        <v>3.5523114355231145E-2</v>
      </c>
      <c r="AM569" s="21">
        <v>26</v>
      </c>
      <c r="AN569" s="41">
        <f t="shared" si="246"/>
        <v>5.9360730593607303E-2</v>
      </c>
      <c r="AO569" s="20">
        <v>1372</v>
      </c>
      <c r="AP569" s="41">
        <f t="shared" si="261"/>
        <v>0.66763990267639906</v>
      </c>
      <c r="AQ569" s="21">
        <v>306</v>
      </c>
      <c r="AR569" s="41">
        <f t="shared" si="247"/>
        <v>0.69863013698630139</v>
      </c>
      <c r="AS569" s="21">
        <v>313</v>
      </c>
      <c r="AT569" s="41">
        <f t="shared" si="262"/>
        <v>0.15231143552311435</v>
      </c>
      <c r="AU569" s="21">
        <v>57</v>
      </c>
      <c r="AV569" s="41">
        <f t="shared" si="248"/>
        <v>0.13013698630136986</v>
      </c>
      <c r="AW569" s="21">
        <v>130</v>
      </c>
      <c r="AX569" s="41">
        <f t="shared" si="263"/>
        <v>6.3260340632603412E-2</v>
      </c>
      <c r="AY569" s="21">
        <v>11</v>
      </c>
      <c r="AZ569" s="41">
        <f t="shared" si="249"/>
        <v>2.5114155251141551E-2</v>
      </c>
      <c r="BA569" s="21">
        <v>106</v>
      </c>
      <c r="BB569" s="41">
        <f t="shared" si="264"/>
        <v>5.1581508515815083E-2</v>
      </c>
      <c r="BC569" s="21">
        <v>17</v>
      </c>
      <c r="BD569" s="41">
        <f t="shared" si="250"/>
        <v>3.8812785388127852E-2</v>
      </c>
      <c r="BE569" s="20">
        <v>2055</v>
      </c>
      <c r="BF569" s="21">
        <v>438</v>
      </c>
    </row>
    <row r="570" spans="1:58" ht="15.75" customHeight="1" x14ac:dyDescent="0.25">
      <c r="A570" s="44">
        <v>2020</v>
      </c>
      <c r="B570" s="39">
        <v>170215</v>
      </c>
      <c r="C570" s="38" t="s">
        <v>149</v>
      </c>
      <c r="D570" s="38" t="s">
        <v>17</v>
      </c>
      <c r="E570" s="21">
        <v>6</v>
      </c>
      <c r="F570" s="42">
        <f t="shared" si="232"/>
        <v>1.2931034482758621E-2</v>
      </c>
      <c r="G570" s="21">
        <v>4</v>
      </c>
      <c r="H570" s="42">
        <f t="shared" si="233"/>
        <v>1.6949152542372881E-2</v>
      </c>
      <c r="I570" s="21">
        <v>8</v>
      </c>
      <c r="J570" s="41">
        <f t="shared" si="234"/>
        <v>1.7241379310344827E-2</v>
      </c>
      <c r="K570" s="21">
        <v>6</v>
      </c>
      <c r="L570" s="41">
        <f t="shared" si="235"/>
        <v>2.5423728813559324E-2</v>
      </c>
      <c r="M570" s="21">
        <v>418</v>
      </c>
      <c r="N570" s="41">
        <f t="shared" si="236"/>
        <v>0.90086206896551724</v>
      </c>
      <c r="O570" s="21">
        <v>204</v>
      </c>
      <c r="P570" s="41">
        <f t="shared" si="237"/>
        <v>0.86440677966101698</v>
      </c>
      <c r="Q570" s="21">
        <v>32</v>
      </c>
      <c r="R570" s="41">
        <f t="shared" si="238"/>
        <v>6.8965517241379309E-2</v>
      </c>
      <c r="S570" s="21">
        <v>22</v>
      </c>
      <c r="T570" s="41">
        <f t="shared" si="239"/>
        <v>9.3220338983050849E-2</v>
      </c>
      <c r="U570" s="21">
        <v>17</v>
      </c>
      <c r="V570" s="41">
        <f t="shared" si="240"/>
        <v>3.6637931034482756E-2</v>
      </c>
      <c r="W570" s="21">
        <v>8</v>
      </c>
      <c r="X570" s="41">
        <f t="shared" si="241"/>
        <v>3.3898305084745763E-2</v>
      </c>
      <c r="Y570" s="21">
        <v>31</v>
      </c>
      <c r="Z570" s="41">
        <f t="shared" si="242"/>
        <v>6.6810344827586202E-2</v>
      </c>
      <c r="AA570" s="21">
        <v>18</v>
      </c>
      <c r="AB570" s="41">
        <f t="shared" si="243"/>
        <v>7.6271186440677971E-2</v>
      </c>
      <c r="AC570" s="21">
        <v>416</v>
      </c>
      <c r="AD570" s="41">
        <f t="shared" si="258"/>
        <v>0.89655172413793105</v>
      </c>
      <c r="AE570" s="21">
        <v>210</v>
      </c>
      <c r="AF570" s="41">
        <f t="shared" si="244"/>
        <v>0.88983050847457623</v>
      </c>
      <c r="AG570" s="21">
        <v>14</v>
      </c>
      <c r="AH570" s="41">
        <f t="shared" si="259"/>
        <v>3.017241379310345E-2</v>
      </c>
      <c r="AI570" s="21">
        <v>7</v>
      </c>
      <c r="AJ570" s="41">
        <f t="shared" si="245"/>
        <v>2.9661016949152543E-2</v>
      </c>
      <c r="AK570" s="21">
        <v>16</v>
      </c>
      <c r="AL570" s="41">
        <f t="shared" si="260"/>
        <v>3.4482758620689655E-2</v>
      </c>
      <c r="AM570" s="21">
        <v>11</v>
      </c>
      <c r="AN570" s="41">
        <f t="shared" si="246"/>
        <v>4.6610169491525424E-2</v>
      </c>
      <c r="AO570" s="21">
        <v>280</v>
      </c>
      <c r="AP570" s="41">
        <f t="shared" si="261"/>
        <v>0.60344827586206895</v>
      </c>
      <c r="AQ570" s="21">
        <v>137</v>
      </c>
      <c r="AR570" s="41">
        <f t="shared" si="247"/>
        <v>0.58050847457627119</v>
      </c>
      <c r="AS570" s="21">
        <v>75</v>
      </c>
      <c r="AT570" s="41">
        <f t="shared" si="262"/>
        <v>0.16163793103448276</v>
      </c>
      <c r="AU570" s="21">
        <v>41</v>
      </c>
      <c r="AV570" s="41">
        <f t="shared" si="248"/>
        <v>0.17372881355932204</v>
      </c>
      <c r="AW570" s="21">
        <v>52</v>
      </c>
      <c r="AX570" s="41">
        <f t="shared" si="263"/>
        <v>0.11206896551724138</v>
      </c>
      <c r="AY570" s="21">
        <v>30</v>
      </c>
      <c r="AZ570" s="41">
        <f t="shared" si="249"/>
        <v>0.1271186440677966</v>
      </c>
      <c r="BA570" s="21">
        <v>27</v>
      </c>
      <c r="BB570" s="41">
        <f t="shared" si="264"/>
        <v>5.8189655172413791E-2</v>
      </c>
      <c r="BC570" s="21">
        <v>10</v>
      </c>
      <c r="BD570" s="41">
        <f t="shared" si="250"/>
        <v>4.2372881355932202E-2</v>
      </c>
      <c r="BE570" s="21">
        <v>464</v>
      </c>
      <c r="BF570" s="21">
        <v>236</v>
      </c>
    </row>
    <row r="571" spans="1:58" ht="15.75" customHeight="1" x14ac:dyDescent="0.25">
      <c r="A571" s="44">
        <v>2020</v>
      </c>
      <c r="B571" s="39">
        <v>170220</v>
      </c>
      <c r="C571" s="38" t="s">
        <v>145</v>
      </c>
      <c r="D571" s="38" t="s">
        <v>18</v>
      </c>
      <c r="E571" s="21">
        <v>14</v>
      </c>
      <c r="F571" s="42">
        <f t="shared" si="232"/>
        <v>1.5053763440860216E-2</v>
      </c>
      <c r="G571" s="21">
        <v>3</v>
      </c>
      <c r="H571" s="42">
        <f t="shared" si="233"/>
        <v>8.9820359281437123E-3</v>
      </c>
      <c r="I571" s="21">
        <v>33</v>
      </c>
      <c r="J571" s="41">
        <f t="shared" si="234"/>
        <v>3.5483870967741936E-2</v>
      </c>
      <c r="K571" s="21">
        <v>10</v>
      </c>
      <c r="L571" s="41">
        <f t="shared" si="235"/>
        <v>2.9940119760479042E-2</v>
      </c>
      <c r="M571" s="21">
        <v>831</v>
      </c>
      <c r="N571" s="41">
        <f t="shared" si="236"/>
        <v>0.8935483870967742</v>
      </c>
      <c r="O571" s="21">
        <v>301</v>
      </c>
      <c r="P571" s="41">
        <f t="shared" si="237"/>
        <v>0.90119760479041922</v>
      </c>
      <c r="Q571" s="21">
        <v>52</v>
      </c>
      <c r="R571" s="41">
        <f t="shared" si="238"/>
        <v>5.5913978494623658E-2</v>
      </c>
      <c r="S571" s="21">
        <v>20</v>
      </c>
      <c r="T571" s="41">
        <f t="shared" si="239"/>
        <v>5.9880239520958084E-2</v>
      </c>
      <c r="U571" s="21">
        <v>87</v>
      </c>
      <c r="V571" s="41">
        <f t="shared" si="240"/>
        <v>9.3548387096774197E-2</v>
      </c>
      <c r="W571" s="21">
        <v>30</v>
      </c>
      <c r="X571" s="41">
        <f t="shared" si="241"/>
        <v>8.9820359281437126E-2</v>
      </c>
      <c r="Y571" s="21">
        <v>103</v>
      </c>
      <c r="Z571" s="41">
        <f t="shared" si="242"/>
        <v>0.11075268817204301</v>
      </c>
      <c r="AA571" s="21">
        <v>29</v>
      </c>
      <c r="AB571" s="41">
        <f t="shared" si="243"/>
        <v>8.6826347305389226E-2</v>
      </c>
      <c r="AC571" s="21">
        <v>740</v>
      </c>
      <c r="AD571" s="41">
        <f t="shared" si="258"/>
        <v>0.79569892473118276</v>
      </c>
      <c r="AE571" s="21">
        <v>275</v>
      </c>
      <c r="AF571" s="41">
        <f t="shared" si="244"/>
        <v>0.82335329341317365</v>
      </c>
      <c r="AG571" s="21">
        <v>30</v>
      </c>
      <c r="AH571" s="41">
        <f t="shared" si="259"/>
        <v>3.2258064516129031E-2</v>
      </c>
      <c r="AI571" s="21">
        <v>15</v>
      </c>
      <c r="AJ571" s="41">
        <f t="shared" si="245"/>
        <v>4.4910179640718563E-2</v>
      </c>
      <c r="AK571" s="21">
        <v>38</v>
      </c>
      <c r="AL571" s="41">
        <f t="shared" si="260"/>
        <v>4.0860215053763443E-2</v>
      </c>
      <c r="AM571" s="21">
        <v>20</v>
      </c>
      <c r="AN571" s="41">
        <f t="shared" si="246"/>
        <v>5.9880239520958084E-2</v>
      </c>
      <c r="AO571" s="21">
        <v>535</v>
      </c>
      <c r="AP571" s="41">
        <f t="shared" si="261"/>
        <v>0.57526881720430112</v>
      </c>
      <c r="AQ571" s="21">
        <v>193</v>
      </c>
      <c r="AR571" s="41">
        <f t="shared" si="247"/>
        <v>0.57784431137724546</v>
      </c>
      <c r="AS571" s="21">
        <v>162</v>
      </c>
      <c r="AT571" s="41">
        <f t="shared" si="262"/>
        <v>0.17419354838709677</v>
      </c>
      <c r="AU571" s="21">
        <v>51</v>
      </c>
      <c r="AV571" s="41">
        <f t="shared" si="248"/>
        <v>0.15269461077844312</v>
      </c>
      <c r="AW571" s="21">
        <v>83</v>
      </c>
      <c r="AX571" s="41">
        <f t="shared" si="263"/>
        <v>8.924731182795699E-2</v>
      </c>
      <c r="AY571" s="21">
        <v>26</v>
      </c>
      <c r="AZ571" s="41">
        <f t="shared" si="249"/>
        <v>7.7844311377245512E-2</v>
      </c>
      <c r="BA571" s="21">
        <v>82</v>
      </c>
      <c r="BB571" s="41">
        <f t="shared" si="264"/>
        <v>8.8172043010752682E-2</v>
      </c>
      <c r="BC571" s="21">
        <v>29</v>
      </c>
      <c r="BD571" s="41">
        <f t="shared" si="250"/>
        <v>8.6826347305389226E-2</v>
      </c>
      <c r="BE571" s="21">
        <v>930</v>
      </c>
      <c r="BF571" s="21">
        <v>334</v>
      </c>
    </row>
    <row r="572" spans="1:58" ht="15.75" customHeight="1" x14ac:dyDescent="0.25">
      <c r="A572" s="44">
        <v>2020</v>
      </c>
      <c r="B572" s="39">
        <v>170230</v>
      </c>
      <c r="C572" s="38" t="s">
        <v>150</v>
      </c>
      <c r="D572" s="38" t="s">
        <v>19</v>
      </c>
      <c r="E572" s="21">
        <v>0</v>
      </c>
      <c r="F572" s="42">
        <f t="shared" si="232"/>
        <v>0</v>
      </c>
      <c r="G572" s="21">
        <v>0</v>
      </c>
      <c r="H572" s="42">
        <f t="shared" si="233"/>
        <v>0</v>
      </c>
      <c r="I572" s="21">
        <v>0</v>
      </c>
      <c r="J572" s="41">
        <f t="shared" si="234"/>
        <v>0</v>
      </c>
      <c r="K572" s="21">
        <v>0</v>
      </c>
      <c r="L572" s="41">
        <f t="shared" si="235"/>
        <v>0</v>
      </c>
      <c r="M572" s="21">
        <v>116</v>
      </c>
      <c r="N572" s="41">
        <f t="shared" si="236"/>
        <v>0.96666666666666667</v>
      </c>
      <c r="O572" s="21">
        <v>30</v>
      </c>
      <c r="P572" s="41">
        <f t="shared" si="237"/>
        <v>1</v>
      </c>
      <c r="Q572" s="21">
        <v>4</v>
      </c>
      <c r="R572" s="41">
        <f t="shared" si="238"/>
        <v>3.3333333333333333E-2</v>
      </c>
      <c r="S572" s="21">
        <v>0</v>
      </c>
      <c r="T572" s="41">
        <f t="shared" si="239"/>
        <v>0</v>
      </c>
      <c r="U572" s="21">
        <v>3</v>
      </c>
      <c r="V572" s="41">
        <f t="shared" si="240"/>
        <v>2.5000000000000001E-2</v>
      </c>
      <c r="W572" s="21">
        <v>2</v>
      </c>
      <c r="X572" s="41">
        <f t="shared" si="241"/>
        <v>6.6666666666666666E-2</v>
      </c>
      <c r="Y572" s="21">
        <v>3</v>
      </c>
      <c r="Z572" s="41">
        <f t="shared" si="242"/>
        <v>2.5000000000000001E-2</v>
      </c>
      <c r="AA572" s="21">
        <v>1</v>
      </c>
      <c r="AB572" s="41">
        <f t="shared" si="243"/>
        <v>3.3333333333333333E-2</v>
      </c>
      <c r="AC572" s="21">
        <v>114</v>
      </c>
      <c r="AD572" s="41">
        <f t="shared" si="258"/>
        <v>0.95</v>
      </c>
      <c r="AE572" s="21">
        <v>27</v>
      </c>
      <c r="AF572" s="41">
        <f t="shared" si="244"/>
        <v>0.9</v>
      </c>
      <c r="AG572" s="21">
        <v>2</v>
      </c>
      <c r="AH572" s="41">
        <f t="shared" si="259"/>
        <v>1.6666666666666666E-2</v>
      </c>
      <c r="AI572" s="21">
        <v>0</v>
      </c>
      <c r="AJ572" s="41">
        <f t="shared" si="245"/>
        <v>0</v>
      </c>
      <c r="AK572" s="21">
        <v>1</v>
      </c>
      <c r="AL572" s="41">
        <f t="shared" si="260"/>
        <v>8.3333333333333332E-3</v>
      </c>
      <c r="AM572" s="21">
        <v>0</v>
      </c>
      <c r="AN572" s="41">
        <f t="shared" si="246"/>
        <v>0</v>
      </c>
      <c r="AO572" s="21">
        <v>89</v>
      </c>
      <c r="AP572" s="41">
        <f t="shared" si="261"/>
        <v>0.7416666666666667</v>
      </c>
      <c r="AQ572" s="21">
        <v>24</v>
      </c>
      <c r="AR572" s="41">
        <f t="shared" si="247"/>
        <v>0.8</v>
      </c>
      <c r="AS572" s="21">
        <v>15</v>
      </c>
      <c r="AT572" s="41">
        <f t="shared" si="262"/>
        <v>0.125</v>
      </c>
      <c r="AU572" s="21">
        <v>2</v>
      </c>
      <c r="AV572" s="41">
        <f t="shared" si="248"/>
        <v>6.6666666666666666E-2</v>
      </c>
      <c r="AW572" s="21">
        <v>10</v>
      </c>
      <c r="AX572" s="41">
        <f t="shared" si="263"/>
        <v>8.3333333333333329E-2</v>
      </c>
      <c r="AY572" s="21">
        <v>3</v>
      </c>
      <c r="AZ572" s="41">
        <f t="shared" si="249"/>
        <v>0.1</v>
      </c>
      <c r="BA572" s="21">
        <v>3</v>
      </c>
      <c r="BB572" s="41">
        <f t="shared" si="264"/>
        <v>2.5000000000000001E-2</v>
      </c>
      <c r="BC572" s="21">
        <v>1</v>
      </c>
      <c r="BD572" s="41">
        <f t="shared" si="250"/>
        <v>3.3333333333333333E-2</v>
      </c>
      <c r="BE572" s="21">
        <v>120</v>
      </c>
      <c r="BF572" s="21">
        <v>30</v>
      </c>
    </row>
    <row r="573" spans="1:58" ht="15.75" customHeight="1" x14ac:dyDescent="0.25">
      <c r="A573" s="44">
        <v>2020</v>
      </c>
      <c r="B573" s="39">
        <v>170240</v>
      </c>
      <c r="C573" s="38" t="s">
        <v>147</v>
      </c>
      <c r="D573" s="38" t="s">
        <v>20</v>
      </c>
      <c r="E573" s="21">
        <v>3</v>
      </c>
      <c r="F573" s="42">
        <f t="shared" si="232"/>
        <v>1.2396694214876033E-2</v>
      </c>
      <c r="G573" s="21">
        <v>2</v>
      </c>
      <c r="H573" s="42">
        <f t="shared" si="233"/>
        <v>1.3698630136986301E-2</v>
      </c>
      <c r="I573" s="21">
        <v>8</v>
      </c>
      <c r="J573" s="41">
        <f t="shared" si="234"/>
        <v>3.3057851239669422E-2</v>
      </c>
      <c r="K573" s="21">
        <v>4</v>
      </c>
      <c r="L573" s="41">
        <f t="shared" si="235"/>
        <v>2.7397260273972601E-2</v>
      </c>
      <c r="M573" s="21">
        <v>211</v>
      </c>
      <c r="N573" s="41">
        <f t="shared" si="236"/>
        <v>0.87190082644628097</v>
      </c>
      <c r="O573" s="21">
        <v>134</v>
      </c>
      <c r="P573" s="41">
        <f t="shared" si="237"/>
        <v>0.9178082191780822</v>
      </c>
      <c r="Q573" s="21">
        <v>20</v>
      </c>
      <c r="R573" s="41">
        <f t="shared" si="238"/>
        <v>8.2644628099173556E-2</v>
      </c>
      <c r="S573" s="21">
        <v>6</v>
      </c>
      <c r="T573" s="41">
        <f t="shared" si="239"/>
        <v>4.1095890410958902E-2</v>
      </c>
      <c r="U573" s="21">
        <v>16</v>
      </c>
      <c r="V573" s="41">
        <f t="shared" si="240"/>
        <v>6.6115702479338845E-2</v>
      </c>
      <c r="W573" s="21">
        <v>13</v>
      </c>
      <c r="X573" s="41">
        <f t="shared" si="241"/>
        <v>8.9041095890410954E-2</v>
      </c>
      <c r="Y573" s="21">
        <v>23</v>
      </c>
      <c r="Z573" s="41">
        <f t="shared" si="242"/>
        <v>9.5041322314049589E-2</v>
      </c>
      <c r="AA573" s="21">
        <v>12</v>
      </c>
      <c r="AB573" s="41">
        <f t="shared" si="243"/>
        <v>8.2191780821917804E-2</v>
      </c>
      <c r="AC573" s="21">
        <v>203</v>
      </c>
      <c r="AD573" s="41">
        <f t="shared" si="258"/>
        <v>0.83884297520661155</v>
      </c>
      <c r="AE573" s="21">
        <v>121</v>
      </c>
      <c r="AF573" s="41">
        <f t="shared" si="244"/>
        <v>0.82876712328767121</v>
      </c>
      <c r="AG573" s="21">
        <v>7</v>
      </c>
      <c r="AH573" s="41">
        <f t="shared" si="259"/>
        <v>2.8925619834710745E-2</v>
      </c>
      <c r="AI573" s="21">
        <v>3</v>
      </c>
      <c r="AJ573" s="41">
        <f t="shared" si="245"/>
        <v>2.0547945205479451E-2</v>
      </c>
      <c r="AK573" s="21">
        <v>8</v>
      </c>
      <c r="AL573" s="41">
        <f t="shared" si="260"/>
        <v>3.3057851239669422E-2</v>
      </c>
      <c r="AM573" s="21">
        <v>3</v>
      </c>
      <c r="AN573" s="41">
        <f t="shared" si="246"/>
        <v>2.0547945205479451E-2</v>
      </c>
      <c r="AO573" s="21">
        <v>145</v>
      </c>
      <c r="AP573" s="41">
        <f t="shared" si="261"/>
        <v>0.59917355371900827</v>
      </c>
      <c r="AQ573" s="21">
        <v>96</v>
      </c>
      <c r="AR573" s="41">
        <f t="shared" si="247"/>
        <v>0.65753424657534243</v>
      </c>
      <c r="AS573" s="21">
        <v>46</v>
      </c>
      <c r="AT573" s="41">
        <f t="shared" si="262"/>
        <v>0.19008264462809918</v>
      </c>
      <c r="AU573" s="21">
        <v>26</v>
      </c>
      <c r="AV573" s="41">
        <f t="shared" si="248"/>
        <v>0.17808219178082191</v>
      </c>
      <c r="AW573" s="21">
        <v>15</v>
      </c>
      <c r="AX573" s="41">
        <f t="shared" si="263"/>
        <v>6.1983471074380167E-2</v>
      </c>
      <c r="AY573" s="21">
        <v>7</v>
      </c>
      <c r="AZ573" s="41">
        <f t="shared" si="249"/>
        <v>4.7945205479452052E-2</v>
      </c>
      <c r="BA573" s="21">
        <v>21</v>
      </c>
      <c r="BB573" s="41">
        <f t="shared" si="264"/>
        <v>8.6776859504132234E-2</v>
      </c>
      <c r="BC573" s="21">
        <v>11</v>
      </c>
      <c r="BD573" s="41">
        <f t="shared" si="250"/>
        <v>7.5342465753424653E-2</v>
      </c>
      <c r="BE573" s="21">
        <v>242</v>
      </c>
      <c r="BF573" s="21">
        <v>146</v>
      </c>
    </row>
    <row r="574" spans="1:58" ht="15.75" customHeight="1" x14ac:dyDescent="0.25">
      <c r="A574" s="44">
        <v>2020</v>
      </c>
      <c r="B574" s="39">
        <v>170255</v>
      </c>
      <c r="C574" s="38" t="s">
        <v>145</v>
      </c>
      <c r="D574" s="38" t="s">
        <v>21</v>
      </c>
      <c r="E574" s="21">
        <v>9</v>
      </c>
      <c r="F574" s="42">
        <f t="shared" si="232"/>
        <v>1.2396694214876033E-2</v>
      </c>
      <c r="G574" s="21">
        <v>3</v>
      </c>
      <c r="H574" s="42">
        <f t="shared" si="233"/>
        <v>8.4269662921348312E-3</v>
      </c>
      <c r="I574" s="21">
        <v>18</v>
      </c>
      <c r="J574" s="41">
        <f t="shared" si="234"/>
        <v>2.4793388429752067E-2</v>
      </c>
      <c r="K574" s="21">
        <v>9</v>
      </c>
      <c r="L574" s="41">
        <f t="shared" si="235"/>
        <v>2.5280898876404494E-2</v>
      </c>
      <c r="M574" s="21">
        <v>651</v>
      </c>
      <c r="N574" s="41">
        <f t="shared" si="236"/>
        <v>0.89669421487603307</v>
      </c>
      <c r="O574" s="21">
        <v>317</v>
      </c>
      <c r="P574" s="41">
        <f t="shared" si="237"/>
        <v>0.8904494382022472</v>
      </c>
      <c r="Q574" s="21">
        <v>48</v>
      </c>
      <c r="R574" s="41">
        <f t="shared" si="238"/>
        <v>6.6115702479338845E-2</v>
      </c>
      <c r="S574" s="21">
        <v>27</v>
      </c>
      <c r="T574" s="41">
        <f t="shared" si="239"/>
        <v>7.5842696629213488E-2</v>
      </c>
      <c r="U574" s="21">
        <v>31</v>
      </c>
      <c r="V574" s="41">
        <f t="shared" si="240"/>
        <v>4.2699724517906337E-2</v>
      </c>
      <c r="W574" s="21">
        <v>18</v>
      </c>
      <c r="X574" s="41">
        <f t="shared" si="241"/>
        <v>5.0561797752808987E-2</v>
      </c>
      <c r="Y574" s="21">
        <v>65</v>
      </c>
      <c r="Z574" s="41">
        <f t="shared" si="242"/>
        <v>8.9531680440771352E-2</v>
      </c>
      <c r="AA574" s="21">
        <v>36</v>
      </c>
      <c r="AB574" s="41">
        <f t="shared" si="243"/>
        <v>0.10112359550561797</v>
      </c>
      <c r="AC574" s="21">
        <v>630</v>
      </c>
      <c r="AD574" s="41">
        <f t="shared" si="258"/>
        <v>0.86776859504132231</v>
      </c>
      <c r="AE574" s="21">
        <v>302</v>
      </c>
      <c r="AF574" s="41">
        <f t="shared" si="244"/>
        <v>0.848314606741573</v>
      </c>
      <c r="AG574" s="21">
        <v>9</v>
      </c>
      <c r="AH574" s="41">
        <f t="shared" si="259"/>
        <v>1.2396694214876033E-2</v>
      </c>
      <c r="AI574" s="21">
        <v>4</v>
      </c>
      <c r="AJ574" s="41">
        <f t="shared" si="245"/>
        <v>1.1235955056179775E-2</v>
      </c>
      <c r="AK574" s="21">
        <v>30</v>
      </c>
      <c r="AL574" s="41">
        <f t="shared" si="260"/>
        <v>4.1322314049586778E-2</v>
      </c>
      <c r="AM574" s="21">
        <v>14</v>
      </c>
      <c r="AN574" s="41">
        <f t="shared" si="246"/>
        <v>3.9325842696629212E-2</v>
      </c>
      <c r="AO574" s="21">
        <v>478</v>
      </c>
      <c r="AP574" s="41">
        <f t="shared" si="261"/>
        <v>0.6584022038567493</v>
      </c>
      <c r="AQ574" s="21">
        <v>248</v>
      </c>
      <c r="AR574" s="41">
        <f t="shared" si="247"/>
        <v>0.6966292134831461</v>
      </c>
      <c r="AS574" s="21">
        <v>122</v>
      </c>
      <c r="AT574" s="41">
        <f t="shared" si="262"/>
        <v>0.16804407713498623</v>
      </c>
      <c r="AU574" s="21">
        <v>49</v>
      </c>
      <c r="AV574" s="41">
        <f t="shared" si="248"/>
        <v>0.13764044943820225</v>
      </c>
      <c r="AW574" s="21">
        <v>51</v>
      </c>
      <c r="AX574" s="41">
        <f t="shared" si="263"/>
        <v>7.0247933884297523E-2</v>
      </c>
      <c r="AY574" s="21">
        <v>24</v>
      </c>
      <c r="AZ574" s="41">
        <f t="shared" si="249"/>
        <v>6.741573033707865E-2</v>
      </c>
      <c r="BA574" s="21">
        <v>36</v>
      </c>
      <c r="BB574" s="41">
        <f t="shared" si="264"/>
        <v>4.9586776859504134E-2</v>
      </c>
      <c r="BC574" s="21">
        <v>17</v>
      </c>
      <c r="BD574" s="41">
        <f t="shared" si="250"/>
        <v>4.7752808988764044E-2</v>
      </c>
      <c r="BE574" s="21">
        <v>726</v>
      </c>
      <c r="BF574" s="21">
        <v>356</v>
      </c>
    </row>
    <row r="575" spans="1:58" ht="15.75" customHeight="1" x14ac:dyDescent="0.25">
      <c r="A575" s="44">
        <v>2020</v>
      </c>
      <c r="B575" s="39">
        <v>170270</v>
      </c>
      <c r="C575" s="38" t="s">
        <v>147</v>
      </c>
      <c r="D575" s="38" t="s">
        <v>22</v>
      </c>
      <c r="E575" s="21">
        <v>0</v>
      </c>
      <c r="F575" s="42">
        <f t="shared" si="232"/>
        <v>0</v>
      </c>
      <c r="G575" s="21">
        <v>0</v>
      </c>
      <c r="H575" s="42">
        <f t="shared" si="233"/>
        <v>0</v>
      </c>
      <c r="I575" s="21">
        <v>2</v>
      </c>
      <c r="J575" s="41">
        <f t="shared" si="234"/>
        <v>5.2631578947368418E-2</v>
      </c>
      <c r="K575" s="21">
        <v>0</v>
      </c>
      <c r="L575" s="41">
        <f t="shared" si="235"/>
        <v>0</v>
      </c>
      <c r="M575" s="21">
        <v>32</v>
      </c>
      <c r="N575" s="41">
        <f t="shared" si="236"/>
        <v>0.84210526315789469</v>
      </c>
      <c r="O575" s="21">
        <v>2</v>
      </c>
      <c r="P575" s="41">
        <f t="shared" si="237"/>
        <v>1</v>
      </c>
      <c r="Q575" s="21">
        <v>4</v>
      </c>
      <c r="R575" s="41">
        <f t="shared" si="238"/>
        <v>0.10526315789473684</v>
      </c>
      <c r="S575" s="21">
        <v>0</v>
      </c>
      <c r="T575" s="41">
        <f t="shared" si="239"/>
        <v>0</v>
      </c>
      <c r="U575" s="21">
        <v>2</v>
      </c>
      <c r="V575" s="41">
        <f t="shared" si="240"/>
        <v>5.2631578947368418E-2</v>
      </c>
      <c r="W575" s="21">
        <v>0</v>
      </c>
      <c r="X575" s="41">
        <f t="shared" si="241"/>
        <v>0</v>
      </c>
      <c r="Y575" s="21">
        <v>2</v>
      </c>
      <c r="Z575" s="41">
        <f t="shared" si="242"/>
        <v>5.2631578947368418E-2</v>
      </c>
      <c r="AA575" s="21">
        <v>0</v>
      </c>
      <c r="AB575" s="41">
        <f t="shared" si="243"/>
        <v>0</v>
      </c>
      <c r="AC575" s="21">
        <v>34</v>
      </c>
      <c r="AD575" s="41">
        <f t="shared" si="258"/>
        <v>0.89473684210526316</v>
      </c>
      <c r="AE575" s="21">
        <v>2</v>
      </c>
      <c r="AF575" s="41">
        <f t="shared" si="244"/>
        <v>1</v>
      </c>
      <c r="AG575" s="21">
        <v>2</v>
      </c>
      <c r="AH575" s="41">
        <f t="shared" si="259"/>
        <v>5.2631578947368418E-2</v>
      </c>
      <c r="AI575" s="21">
        <v>0</v>
      </c>
      <c r="AJ575" s="41">
        <f t="shared" si="245"/>
        <v>0</v>
      </c>
      <c r="AK575" s="21">
        <v>3</v>
      </c>
      <c r="AL575" s="41">
        <f t="shared" si="260"/>
        <v>7.8947368421052627E-2</v>
      </c>
      <c r="AM575" s="21">
        <v>0</v>
      </c>
      <c r="AN575" s="41">
        <f t="shared" si="246"/>
        <v>0</v>
      </c>
      <c r="AO575" s="21">
        <v>18</v>
      </c>
      <c r="AP575" s="41">
        <f t="shared" si="261"/>
        <v>0.47368421052631576</v>
      </c>
      <c r="AQ575" s="21">
        <v>2</v>
      </c>
      <c r="AR575" s="41">
        <f t="shared" si="247"/>
        <v>1</v>
      </c>
      <c r="AS575" s="21">
        <v>8</v>
      </c>
      <c r="AT575" s="41">
        <f t="shared" si="262"/>
        <v>0.21052631578947367</v>
      </c>
      <c r="AU575" s="21">
        <v>0</v>
      </c>
      <c r="AV575" s="41">
        <f t="shared" si="248"/>
        <v>0</v>
      </c>
      <c r="AW575" s="21">
        <v>3</v>
      </c>
      <c r="AX575" s="41">
        <f t="shared" si="263"/>
        <v>7.8947368421052627E-2</v>
      </c>
      <c r="AY575" s="21">
        <v>0</v>
      </c>
      <c r="AZ575" s="41">
        <f t="shared" si="249"/>
        <v>0</v>
      </c>
      <c r="BA575" s="21">
        <v>4</v>
      </c>
      <c r="BB575" s="41">
        <f t="shared" si="264"/>
        <v>0.10526315789473684</v>
      </c>
      <c r="BC575" s="21">
        <v>0</v>
      </c>
      <c r="BD575" s="41">
        <f t="shared" si="250"/>
        <v>0</v>
      </c>
      <c r="BE575" s="21">
        <v>38</v>
      </c>
      <c r="BF575" s="21">
        <v>2</v>
      </c>
    </row>
    <row r="576" spans="1:58" ht="15.75" customHeight="1" x14ac:dyDescent="0.25">
      <c r="A576" s="44">
        <v>2020</v>
      </c>
      <c r="B576" s="39">
        <v>170290</v>
      </c>
      <c r="C576" s="38" t="s">
        <v>145</v>
      </c>
      <c r="D576" s="38" t="s">
        <v>23</v>
      </c>
      <c r="E576" s="21">
        <v>1</v>
      </c>
      <c r="F576" s="42">
        <f t="shared" si="232"/>
        <v>6.4935064935064939E-3</v>
      </c>
      <c r="G576" s="21">
        <v>1</v>
      </c>
      <c r="H576" s="42">
        <f t="shared" si="233"/>
        <v>9.5238095238095247E-3</v>
      </c>
      <c r="I576" s="21">
        <v>5</v>
      </c>
      <c r="J576" s="41">
        <f t="shared" si="234"/>
        <v>3.2467532467532464E-2</v>
      </c>
      <c r="K576" s="21">
        <v>1</v>
      </c>
      <c r="L576" s="41">
        <f t="shared" si="235"/>
        <v>9.5238095238095247E-3</v>
      </c>
      <c r="M576" s="21">
        <v>141</v>
      </c>
      <c r="N576" s="41">
        <f t="shared" si="236"/>
        <v>0.91558441558441561</v>
      </c>
      <c r="O576" s="21">
        <v>99</v>
      </c>
      <c r="P576" s="41">
        <f t="shared" si="237"/>
        <v>0.94285714285714284</v>
      </c>
      <c r="Q576" s="21">
        <v>7</v>
      </c>
      <c r="R576" s="41">
        <f t="shared" si="238"/>
        <v>4.5454545454545456E-2</v>
      </c>
      <c r="S576" s="21">
        <v>4</v>
      </c>
      <c r="T576" s="41">
        <f t="shared" si="239"/>
        <v>3.8095238095238099E-2</v>
      </c>
      <c r="U576" s="21">
        <v>13</v>
      </c>
      <c r="V576" s="41">
        <f t="shared" si="240"/>
        <v>8.4415584415584416E-2</v>
      </c>
      <c r="W576" s="21">
        <v>13</v>
      </c>
      <c r="X576" s="41">
        <f t="shared" si="241"/>
        <v>0.12380952380952381</v>
      </c>
      <c r="Y576" s="21">
        <v>13</v>
      </c>
      <c r="Z576" s="41">
        <f t="shared" si="242"/>
        <v>8.4415584415584416E-2</v>
      </c>
      <c r="AA576" s="21">
        <v>10</v>
      </c>
      <c r="AB576" s="41">
        <f t="shared" si="243"/>
        <v>9.5238095238095233E-2</v>
      </c>
      <c r="AC576" s="21">
        <v>128</v>
      </c>
      <c r="AD576" s="41">
        <f t="shared" si="258"/>
        <v>0.83116883116883122</v>
      </c>
      <c r="AE576" s="21">
        <v>82</v>
      </c>
      <c r="AF576" s="41">
        <f t="shared" si="244"/>
        <v>0.78095238095238095</v>
      </c>
      <c r="AG576" s="21">
        <v>11</v>
      </c>
      <c r="AH576" s="41">
        <f t="shared" si="259"/>
        <v>7.1428571428571425E-2</v>
      </c>
      <c r="AI576" s="21">
        <v>4</v>
      </c>
      <c r="AJ576" s="41">
        <f t="shared" si="245"/>
        <v>3.8095238095238099E-2</v>
      </c>
      <c r="AK576" s="21">
        <v>9</v>
      </c>
      <c r="AL576" s="41">
        <f t="shared" si="260"/>
        <v>5.844155844155844E-2</v>
      </c>
      <c r="AM576" s="21">
        <v>4</v>
      </c>
      <c r="AN576" s="41">
        <f t="shared" si="246"/>
        <v>3.8095238095238099E-2</v>
      </c>
      <c r="AO576" s="21">
        <v>92</v>
      </c>
      <c r="AP576" s="41">
        <f t="shared" si="261"/>
        <v>0.59740259740259738</v>
      </c>
      <c r="AQ576" s="21">
        <v>61</v>
      </c>
      <c r="AR576" s="41">
        <f t="shared" si="247"/>
        <v>0.580952380952381</v>
      </c>
      <c r="AS576" s="21">
        <v>19</v>
      </c>
      <c r="AT576" s="41">
        <f t="shared" si="262"/>
        <v>0.12337662337662338</v>
      </c>
      <c r="AU576" s="21">
        <v>17</v>
      </c>
      <c r="AV576" s="41">
        <f t="shared" si="248"/>
        <v>0.16190476190476191</v>
      </c>
      <c r="AW576" s="21">
        <v>8</v>
      </c>
      <c r="AX576" s="41">
        <f t="shared" si="263"/>
        <v>5.1948051948051951E-2</v>
      </c>
      <c r="AY576" s="21">
        <v>5</v>
      </c>
      <c r="AZ576" s="41">
        <f t="shared" si="249"/>
        <v>4.7619047619047616E-2</v>
      </c>
      <c r="BA576" s="21">
        <v>15</v>
      </c>
      <c r="BB576" s="41">
        <f t="shared" si="264"/>
        <v>9.7402597402597407E-2</v>
      </c>
      <c r="BC576" s="21">
        <v>14</v>
      </c>
      <c r="BD576" s="41">
        <f t="shared" si="250"/>
        <v>0.13333333333333333</v>
      </c>
      <c r="BE576" s="21">
        <v>154</v>
      </c>
      <c r="BF576" s="21">
        <v>105</v>
      </c>
    </row>
    <row r="577" spans="1:58" ht="15.75" customHeight="1" x14ac:dyDescent="0.25">
      <c r="A577" s="44">
        <v>2020</v>
      </c>
      <c r="B577" s="39">
        <v>170300</v>
      </c>
      <c r="C577" s="38" t="s">
        <v>149</v>
      </c>
      <c r="D577" s="38" t="s">
        <v>24</v>
      </c>
      <c r="E577" s="21">
        <v>4</v>
      </c>
      <c r="F577" s="42">
        <f t="shared" si="232"/>
        <v>1.2084592145015106E-2</v>
      </c>
      <c r="G577" s="21">
        <v>2</v>
      </c>
      <c r="H577" s="42">
        <f t="shared" si="233"/>
        <v>7.326007326007326E-3</v>
      </c>
      <c r="I577" s="21">
        <v>9</v>
      </c>
      <c r="J577" s="41">
        <f t="shared" si="234"/>
        <v>2.7190332326283987E-2</v>
      </c>
      <c r="K577" s="21">
        <v>7</v>
      </c>
      <c r="L577" s="41">
        <f t="shared" si="235"/>
        <v>2.564102564102564E-2</v>
      </c>
      <c r="M577" s="21">
        <v>299</v>
      </c>
      <c r="N577" s="41">
        <f t="shared" si="236"/>
        <v>0.90332326283987918</v>
      </c>
      <c r="O577" s="21">
        <v>251</v>
      </c>
      <c r="P577" s="41">
        <f t="shared" si="237"/>
        <v>0.91941391941391937</v>
      </c>
      <c r="Q577" s="21">
        <v>19</v>
      </c>
      <c r="R577" s="41">
        <f t="shared" si="238"/>
        <v>5.7401812688821753E-2</v>
      </c>
      <c r="S577" s="21">
        <v>13</v>
      </c>
      <c r="T577" s="41">
        <f t="shared" si="239"/>
        <v>4.7619047619047616E-2</v>
      </c>
      <c r="U577" s="21">
        <v>20</v>
      </c>
      <c r="V577" s="41">
        <f t="shared" si="240"/>
        <v>6.0422960725075532E-2</v>
      </c>
      <c r="W577" s="21">
        <v>17</v>
      </c>
      <c r="X577" s="41">
        <f t="shared" si="241"/>
        <v>6.2271062271062272E-2</v>
      </c>
      <c r="Y577" s="21">
        <v>35</v>
      </c>
      <c r="Z577" s="41">
        <f t="shared" si="242"/>
        <v>0.10574018126888217</v>
      </c>
      <c r="AA577" s="21">
        <v>33</v>
      </c>
      <c r="AB577" s="41">
        <f t="shared" si="243"/>
        <v>0.12087912087912088</v>
      </c>
      <c r="AC577" s="21">
        <v>276</v>
      </c>
      <c r="AD577" s="41">
        <f t="shared" si="258"/>
        <v>0.83383685800604235</v>
      </c>
      <c r="AE577" s="21">
        <v>223</v>
      </c>
      <c r="AF577" s="41">
        <f t="shared" si="244"/>
        <v>0.81684981684981683</v>
      </c>
      <c r="AG577" s="21">
        <v>7</v>
      </c>
      <c r="AH577" s="41">
        <f t="shared" si="259"/>
        <v>2.1148036253776436E-2</v>
      </c>
      <c r="AI577" s="21">
        <v>5</v>
      </c>
      <c r="AJ577" s="41">
        <f t="shared" si="245"/>
        <v>1.8315018315018316E-2</v>
      </c>
      <c r="AK577" s="21">
        <v>15</v>
      </c>
      <c r="AL577" s="41">
        <f t="shared" si="260"/>
        <v>4.5317220543806644E-2</v>
      </c>
      <c r="AM577" s="21">
        <v>15</v>
      </c>
      <c r="AN577" s="41">
        <f t="shared" si="246"/>
        <v>5.4945054945054944E-2</v>
      </c>
      <c r="AO577" s="21">
        <v>205</v>
      </c>
      <c r="AP577" s="41">
        <f t="shared" si="261"/>
        <v>0.61933534743202412</v>
      </c>
      <c r="AQ577" s="21">
        <v>174</v>
      </c>
      <c r="AR577" s="41">
        <f t="shared" si="247"/>
        <v>0.63736263736263732</v>
      </c>
      <c r="AS577" s="21">
        <v>50</v>
      </c>
      <c r="AT577" s="41">
        <f t="shared" si="262"/>
        <v>0.15105740181268881</v>
      </c>
      <c r="AU577" s="21">
        <v>39</v>
      </c>
      <c r="AV577" s="41">
        <f t="shared" si="248"/>
        <v>0.14285714285714285</v>
      </c>
      <c r="AW577" s="21">
        <v>30</v>
      </c>
      <c r="AX577" s="41">
        <f t="shared" si="263"/>
        <v>9.0634441087613288E-2</v>
      </c>
      <c r="AY577" s="21">
        <v>21</v>
      </c>
      <c r="AZ577" s="41">
        <f t="shared" si="249"/>
        <v>7.6923076923076927E-2</v>
      </c>
      <c r="BA577" s="21">
        <v>24</v>
      </c>
      <c r="BB577" s="41">
        <f t="shared" si="264"/>
        <v>7.2507552870090641E-2</v>
      </c>
      <c r="BC577" s="21">
        <v>19</v>
      </c>
      <c r="BD577" s="41">
        <f t="shared" si="250"/>
        <v>6.95970695970696E-2</v>
      </c>
      <c r="BE577" s="21">
        <v>331</v>
      </c>
      <c r="BF577" s="21">
        <v>273</v>
      </c>
    </row>
    <row r="578" spans="1:58" ht="15.75" customHeight="1" x14ac:dyDescent="0.25">
      <c r="A578" s="44">
        <v>2020</v>
      </c>
      <c r="B578" s="39">
        <v>170305</v>
      </c>
      <c r="C578" s="38" t="s">
        <v>150</v>
      </c>
      <c r="D578" s="38" t="s">
        <v>25</v>
      </c>
      <c r="E578" s="21">
        <v>0</v>
      </c>
      <c r="F578" s="42">
        <f t="shared" ref="F578:F641" si="265">IFERROR(E578/$BE578,0)</f>
        <v>0</v>
      </c>
      <c r="G578" s="21">
        <v>0</v>
      </c>
      <c r="H578" s="42">
        <f t="shared" ref="H578:H641" si="266">IFERROR(G578/$BF578,0)</f>
        <v>0</v>
      </c>
      <c r="I578" s="21">
        <v>3</v>
      </c>
      <c r="J578" s="41">
        <f t="shared" ref="J578:J641" si="267">IFERROR(I578/$BE578,0)</f>
        <v>2.5423728813559324E-2</v>
      </c>
      <c r="K578" s="21">
        <v>3</v>
      </c>
      <c r="L578" s="41">
        <f t="shared" ref="L578:L641" si="268">IFERROR(K578/$BF578,0)</f>
        <v>3.6585365853658534E-2</v>
      </c>
      <c r="M578" s="21">
        <v>103</v>
      </c>
      <c r="N578" s="41">
        <f t="shared" ref="N578:N641" si="269">IFERROR(M578/$BE578,0)</f>
        <v>0.8728813559322034</v>
      </c>
      <c r="O578" s="21">
        <v>72</v>
      </c>
      <c r="P578" s="41">
        <f t="shared" ref="P578:P641" si="270">IFERROR(O578/$BF578,0)</f>
        <v>0.87804878048780488</v>
      </c>
      <c r="Q578" s="21">
        <v>12</v>
      </c>
      <c r="R578" s="41">
        <f t="shared" ref="R578:R641" si="271">IFERROR(Q578/$BE578,0)</f>
        <v>0.10169491525423729</v>
      </c>
      <c r="S578" s="21">
        <v>7</v>
      </c>
      <c r="T578" s="41">
        <f t="shared" ref="T578:T641" si="272">IFERROR(S578/$BF578,0)</f>
        <v>8.5365853658536592E-2</v>
      </c>
      <c r="U578" s="21">
        <v>4</v>
      </c>
      <c r="V578" s="41">
        <f t="shared" ref="V578:V641" si="273">IFERROR(U578/$BE578,0)</f>
        <v>3.3898305084745763E-2</v>
      </c>
      <c r="W578" s="21">
        <v>4</v>
      </c>
      <c r="X578" s="41">
        <f t="shared" ref="X578:X641" si="274">IFERROR(W578/$BF578,0)</f>
        <v>4.878048780487805E-2</v>
      </c>
      <c r="Y578" s="21">
        <v>4</v>
      </c>
      <c r="Z578" s="41">
        <f t="shared" ref="Z578:Z641" si="275">IFERROR(Y578/$BE578,0)</f>
        <v>3.3898305084745763E-2</v>
      </c>
      <c r="AA578" s="21">
        <v>4</v>
      </c>
      <c r="AB578" s="41">
        <f t="shared" ref="AB578:AB641" si="276">IFERROR(AA578/$BF578,0)</f>
        <v>4.878048780487805E-2</v>
      </c>
      <c r="AC578" s="21">
        <v>110</v>
      </c>
      <c r="AD578" s="41">
        <f t="shared" si="258"/>
        <v>0.93220338983050843</v>
      </c>
      <c r="AE578" s="21">
        <v>74</v>
      </c>
      <c r="AF578" s="41">
        <f t="shared" ref="AF578:AF641" si="277">IFERROR(AE578/$BF578,0)</f>
        <v>0.90243902439024393</v>
      </c>
      <c r="AG578" s="21">
        <v>3</v>
      </c>
      <c r="AH578" s="41">
        <f t="shared" si="259"/>
        <v>2.5423728813559324E-2</v>
      </c>
      <c r="AI578" s="21">
        <v>3</v>
      </c>
      <c r="AJ578" s="41">
        <f t="shared" ref="AJ578:AJ641" si="278">IFERROR(AI578/$BF578,0)</f>
        <v>3.6585365853658534E-2</v>
      </c>
      <c r="AK578" s="21">
        <v>5</v>
      </c>
      <c r="AL578" s="41">
        <f t="shared" si="260"/>
        <v>4.2372881355932202E-2</v>
      </c>
      <c r="AM578" s="21">
        <v>2</v>
      </c>
      <c r="AN578" s="41">
        <f t="shared" ref="AN578:AN641" si="279">IFERROR(AM578/$BF578,0)</f>
        <v>2.4390243902439025E-2</v>
      </c>
      <c r="AO578" s="21">
        <v>67</v>
      </c>
      <c r="AP578" s="41">
        <f t="shared" si="261"/>
        <v>0.56779661016949157</v>
      </c>
      <c r="AQ578" s="21">
        <v>44</v>
      </c>
      <c r="AR578" s="41">
        <f t="shared" ref="AR578:AR641" si="280">IFERROR(AQ578/$BF578,0)</f>
        <v>0.53658536585365857</v>
      </c>
      <c r="AS578" s="21">
        <v>26</v>
      </c>
      <c r="AT578" s="41">
        <f t="shared" si="262"/>
        <v>0.22033898305084745</v>
      </c>
      <c r="AU578" s="21">
        <v>20</v>
      </c>
      <c r="AV578" s="41">
        <f t="shared" ref="AV578:AV641" si="281">IFERROR(AU578/$BF578,0)</f>
        <v>0.24390243902439024</v>
      </c>
      <c r="AW578" s="21">
        <v>9</v>
      </c>
      <c r="AX578" s="41">
        <f t="shared" si="263"/>
        <v>7.6271186440677971E-2</v>
      </c>
      <c r="AY578" s="21">
        <v>6</v>
      </c>
      <c r="AZ578" s="41">
        <f t="shared" ref="AZ578:AZ641" si="282">IFERROR(AY578/$BF578,0)</f>
        <v>7.3170731707317069E-2</v>
      </c>
      <c r="BA578" s="21">
        <v>8</v>
      </c>
      <c r="BB578" s="41">
        <f t="shared" si="264"/>
        <v>6.7796610169491525E-2</v>
      </c>
      <c r="BC578" s="21">
        <v>7</v>
      </c>
      <c r="BD578" s="41">
        <f t="shared" ref="BD578:BD641" si="283">IFERROR(BC578/$BF578,0)</f>
        <v>8.5365853658536592E-2</v>
      </c>
      <c r="BE578" s="21">
        <v>118</v>
      </c>
      <c r="BF578" s="21">
        <v>82</v>
      </c>
    </row>
    <row r="579" spans="1:58" ht="15.75" customHeight="1" x14ac:dyDescent="0.25">
      <c r="A579" s="44">
        <v>2020</v>
      </c>
      <c r="B579" s="39">
        <v>170307</v>
      </c>
      <c r="C579" s="38" t="s">
        <v>149</v>
      </c>
      <c r="D579" s="38" t="s">
        <v>26</v>
      </c>
      <c r="E579" s="21">
        <v>3</v>
      </c>
      <c r="F579" s="42">
        <f t="shared" si="265"/>
        <v>1.6574585635359115E-2</v>
      </c>
      <c r="G579" s="21">
        <v>0</v>
      </c>
      <c r="H579" s="42">
        <f t="shared" si="266"/>
        <v>0</v>
      </c>
      <c r="I579" s="21">
        <v>2</v>
      </c>
      <c r="J579" s="41">
        <f t="shared" si="267"/>
        <v>1.1049723756906077E-2</v>
      </c>
      <c r="K579" s="21">
        <v>0</v>
      </c>
      <c r="L579" s="41">
        <f t="shared" si="268"/>
        <v>0</v>
      </c>
      <c r="M579" s="21">
        <v>167</v>
      </c>
      <c r="N579" s="41">
        <f t="shared" si="269"/>
        <v>0.92265193370165743</v>
      </c>
      <c r="O579" s="21">
        <v>14</v>
      </c>
      <c r="P579" s="41">
        <f t="shared" si="270"/>
        <v>1</v>
      </c>
      <c r="Q579" s="21">
        <v>9</v>
      </c>
      <c r="R579" s="41">
        <f t="shared" si="271"/>
        <v>4.9723756906077346E-2</v>
      </c>
      <c r="S579" s="21">
        <v>0</v>
      </c>
      <c r="T579" s="41">
        <f t="shared" si="272"/>
        <v>0</v>
      </c>
      <c r="U579" s="21">
        <v>10</v>
      </c>
      <c r="V579" s="41">
        <f t="shared" si="273"/>
        <v>5.5248618784530384E-2</v>
      </c>
      <c r="W579" s="21">
        <v>0</v>
      </c>
      <c r="X579" s="41">
        <f t="shared" si="274"/>
        <v>0</v>
      </c>
      <c r="Y579" s="21">
        <v>13</v>
      </c>
      <c r="Z579" s="41">
        <f t="shared" si="275"/>
        <v>7.18232044198895E-2</v>
      </c>
      <c r="AA579" s="21">
        <v>1</v>
      </c>
      <c r="AB579" s="41">
        <f t="shared" si="276"/>
        <v>7.1428571428571425E-2</v>
      </c>
      <c r="AC579" s="21">
        <v>158</v>
      </c>
      <c r="AD579" s="41">
        <f t="shared" si="258"/>
        <v>0.8729281767955801</v>
      </c>
      <c r="AE579" s="21">
        <v>13</v>
      </c>
      <c r="AF579" s="41">
        <f t="shared" si="277"/>
        <v>0.9285714285714286</v>
      </c>
      <c r="AG579" s="21">
        <v>4</v>
      </c>
      <c r="AH579" s="41">
        <f t="shared" si="259"/>
        <v>2.2099447513812154E-2</v>
      </c>
      <c r="AI579" s="21">
        <v>0</v>
      </c>
      <c r="AJ579" s="41">
        <f t="shared" si="278"/>
        <v>0</v>
      </c>
      <c r="AK579" s="21">
        <v>4</v>
      </c>
      <c r="AL579" s="41">
        <f t="shared" si="260"/>
        <v>2.2099447513812154E-2</v>
      </c>
      <c r="AM579" s="21">
        <v>1</v>
      </c>
      <c r="AN579" s="41">
        <f t="shared" si="279"/>
        <v>7.1428571428571425E-2</v>
      </c>
      <c r="AO579" s="21">
        <v>110</v>
      </c>
      <c r="AP579" s="41">
        <f t="shared" si="261"/>
        <v>0.60773480662983426</v>
      </c>
      <c r="AQ579" s="21">
        <v>9</v>
      </c>
      <c r="AR579" s="41">
        <f t="shared" si="280"/>
        <v>0.6428571428571429</v>
      </c>
      <c r="AS579" s="21">
        <v>32</v>
      </c>
      <c r="AT579" s="41">
        <f t="shared" si="262"/>
        <v>0.17679558011049723</v>
      </c>
      <c r="AU579" s="21">
        <v>2</v>
      </c>
      <c r="AV579" s="41">
        <f t="shared" si="281"/>
        <v>0.14285714285714285</v>
      </c>
      <c r="AW579" s="21">
        <v>20</v>
      </c>
      <c r="AX579" s="41">
        <f t="shared" si="263"/>
        <v>0.11049723756906077</v>
      </c>
      <c r="AY579" s="21">
        <v>2</v>
      </c>
      <c r="AZ579" s="41">
        <f t="shared" si="282"/>
        <v>0.14285714285714285</v>
      </c>
      <c r="BA579" s="21">
        <v>11</v>
      </c>
      <c r="BB579" s="41">
        <f t="shared" si="264"/>
        <v>6.0773480662983423E-2</v>
      </c>
      <c r="BC579" s="21">
        <v>0</v>
      </c>
      <c r="BD579" s="41">
        <f t="shared" si="283"/>
        <v>0</v>
      </c>
      <c r="BE579" s="21">
        <v>181</v>
      </c>
      <c r="BF579" s="21">
        <v>14</v>
      </c>
    </row>
    <row r="580" spans="1:58" ht="15.75" customHeight="1" x14ac:dyDescent="0.25">
      <c r="A580" s="44">
        <v>2020</v>
      </c>
      <c r="B580" s="39">
        <v>170310</v>
      </c>
      <c r="C580" s="38" t="s">
        <v>144</v>
      </c>
      <c r="D580" s="38" t="s">
        <v>27</v>
      </c>
      <c r="E580" s="21">
        <v>0</v>
      </c>
      <c r="F580" s="42">
        <f t="shared" si="265"/>
        <v>0</v>
      </c>
      <c r="G580" s="21">
        <v>0</v>
      </c>
      <c r="H580" s="42">
        <f t="shared" si="266"/>
        <v>0</v>
      </c>
      <c r="I580" s="21">
        <v>2</v>
      </c>
      <c r="J580" s="41">
        <f t="shared" si="267"/>
        <v>1.4814814814814815E-2</v>
      </c>
      <c r="K580" s="21">
        <v>0</v>
      </c>
      <c r="L580" s="41">
        <f t="shared" si="268"/>
        <v>0</v>
      </c>
      <c r="M580" s="21">
        <v>123</v>
      </c>
      <c r="N580" s="41">
        <f t="shared" si="269"/>
        <v>0.91111111111111109</v>
      </c>
      <c r="O580" s="21">
        <v>6</v>
      </c>
      <c r="P580" s="41">
        <f t="shared" si="270"/>
        <v>0.8571428571428571</v>
      </c>
      <c r="Q580" s="21">
        <v>10</v>
      </c>
      <c r="R580" s="41">
        <f t="shared" si="271"/>
        <v>7.407407407407407E-2</v>
      </c>
      <c r="S580" s="21">
        <v>1</v>
      </c>
      <c r="T580" s="41">
        <f t="shared" si="272"/>
        <v>0.14285714285714285</v>
      </c>
      <c r="U580" s="21">
        <v>9</v>
      </c>
      <c r="V580" s="41">
        <f t="shared" si="273"/>
        <v>6.6666666666666666E-2</v>
      </c>
      <c r="W580" s="21">
        <v>0</v>
      </c>
      <c r="X580" s="41">
        <f t="shared" si="274"/>
        <v>0</v>
      </c>
      <c r="Y580" s="21">
        <v>11</v>
      </c>
      <c r="Z580" s="41">
        <f t="shared" si="275"/>
        <v>8.1481481481481488E-2</v>
      </c>
      <c r="AA580" s="21">
        <v>1</v>
      </c>
      <c r="AB580" s="41">
        <f t="shared" si="276"/>
        <v>0.14285714285714285</v>
      </c>
      <c r="AC580" s="21">
        <v>115</v>
      </c>
      <c r="AD580" s="41">
        <f t="shared" si="258"/>
        <v>0.85185185185185186</v>
      </c>
      <c r="AE580" s="21">
        <v>6</v>
      </c>
      <c r="AF580" s="41">
        <f t="shared" si="277"/>
        <v>0.8571428571428571</v>
      </c>
      <c r="AG580" s="21">
        <v>9</v>
      </c>
      <c r="AH580" s="41">
        <f t="shared" si="259"/>
        <v>6.6666666666666666E-2</v>
      </c>
      <c r="AI580" s="21">
        <v>0</v>
      </c>
      <c r="AJ580" s="41">
        <f t="shared" si="278"/>
        <v>0</v>
      </c>
      <c r="AK580" s="21">
        <v>3</v>
      </c>
      <c r="AL580" s="41">
        <f t="shared" si="260"/>
        <v>2.2222222222222223E-2</v>
      </c>
      <c r="AM580" s="21">
        <v>0</v>
      </c>
      <c r="AN580" s="41">
        <f t="shared" si="279"/>
        <v>0</v>
      </c>
      <c r="AO580" s="21">
        <v>53</v>
      </c>
      <c r="AP580" s="41">
        <f t="shared" si="261"/>
        <v>0.3925925925925926</v>
      </c>
      <c r="AQ580" s="21">
        <v>2</v>
      </c>
      <c r="AR580" s="41">
        <f t="shared" si="280"/>
        <v>0.2857142857142857</v>
      </c>
      <c r="AS580" s="21">
        <v>39</v>
      </c>
      <c r="AT580" s="41">
        <f t="shared" si="262"/>
        <v>0.28888888888888886</v>
      </c>
      <c r="AU580" s="21">
        <v>3</v>
      </c>
      <c r="AV580" s="41">
        <f t="shared" si="281"/>
        <v>0.42857142857142855</v>
      </c>
      <c r="AW580" s="21">
        <v>17</v>
      </c>
      <c r="AX580" s="41">
        <f t="shared" si="263"/>
        <v>0.12592592592592591</v>
      </c>
      <c r="AY580" s="21">
        <v>1</v>
      </c>
      <c r="AZ580" s="41">
        <f t="shared" si="282"/>
        <v>0.14285714285714285</v>
      </c>
      <c r="BA580" s="21">
        <v>14</v>
      </c>
      <c r="BB580" s="41">
        <f t="shared" si="264"/>
        <v>0.1037037037037037</v>
      </c>
      <c r="BC580" s="21">
        <v>1</v>
      </c>
      <c r="BD580" s="41">
        <f t="shared" si="283"/>
        <v>0.14285714285714285</v>
      </c>
      <c r="BE580" s="21">
        <v>135</v>
      </c>
      <c r="BF580" s="21">
        <v>7</v>
      </c>
    </row>
    <row r="581" spans="1:58" ht="15.75" customHeight="1" x14ac:dyDescent="0.25">
      <c r="A581" s="44">
        <v>2020</v>
      </c>
      <c r="B581" s="39">
        <v>170320</v>
      </c>
      <c r="C581" s="38" t="s">
        <v>150</v>
      </c>
      <c r="D581" s="38" t="s">
        <v>28</v>
      </c>
      <c r="E581" s="21">
        <v>0</v>
      </c>
      <c r="F581" s="42">
        <f t="shared" si="265"/>
        <v>0</v>
      </c>
      <c r="G581" s="21">
        <v>0</v>
      </c>
      <c r="H581" s="42">
        <f t="shared" si="266"/>
        <v>0</v>
      </c>
      <c r="I581" s="21">
        <v>0</v>
      </c>
      <c r="J581" s="41">
        <f t="shared" si="267"/>
        <v>0</v>
      </c>
      <c r="K581" s="21">
        <v>0</v>
      </c>
      <c r="L581" s="41">
        <f t="shared" si="268"/>
        <v>0</v>
      </c>
      <c r="M581" s="21">
        <v>45</v>
      </c>
      <c r="N581" s="41">
        <f t="shared" si="269"/>
        <v>0.95744680851063835</v>
      </c>
      <c r="O581" s="21">
        <v>32</v>
      </c>
      <c r="P581" s="41">
        <f t="shared" si="270"/>
        <v>0.94117647058823528</v>
      </c>
      <c r="Q581" s="21">
        <v>2</v>
      </c>
      <c r="R581" s="41">
        <f t="shared" si="271"/>
        <v>4.2553191489361701E-2</v>
      </c>
      <c r="S581" s="21">
        <v>2</v>
      </c>
      <c r="T581" s="41">
        <f t="shared" si="272"/>
        <v>5.8823529411764705E-2</v>
      </c>
      <c r="U581" s="21">
        <v>4</v>
      </c>
      <c r="V581" s="41">
        <f t="shared" si="273"/>
        <v>8.5106382978723402E-2</v>
      </c>
      <c r="W581" s="21">
        <v>4</v>
      </c>
      <c r="X581" s="41">
        <f t="shared" si="274"/>
        <v>0.11764705882352941</v>
      </c>
      <c r="Y581" s="21">
        <v>1</v>
      </c>
      <c r="Z581" s="41">
        <f t="shared" si="275"/>
        <v>2.1276595744680851E-2</v>
      </c>
      <c r="AA581" s="21">
        <v>1</v>
      </c>
      <c r="AB581" s="41">
        <f t="shared" si="276"/>
        <v>2.9411764705882353E-2</v>
      </c>
      <c r="AC581" s="21">
        <v>42</v>
      </c>
      <c r="AD581" s="41">
        <f t="shared" si="258"/>
        <v>0.8936170212765957</v>
      </c>
      <c r="AE581" s="21">
        <v>29</v>
      </c>
      <c r="AF581" s="41">
        <f t="shared" si="277"/>
        <v>0.8529411764705882</v>
      </c>
      <c r="AG581" s="21">
        <v>1</v>
      </c>
      <c r="AH581" s="41">
        <f t="shared" si="259"/>
        <v>2.1276595744680851E-2</v>
      </c>
      <c r="AI581" s="21">
        <v>1</v>
      </c>
      <c r="AJ581" s="41">
        <f t="shared" si="278"/>
        <v>2.9411764705882353E-2</v>
      </c>
      <c r="AK581" s="21">
        <v>2</v>
      </c>
      <c r="AL581" s="41">
        <f t="shared" si="260"/>
        <v>4.2553191489361701E-2</v>
      </c>
      <c r="AM581" s="21">
        <v>0</v>
      </c>
      <c r="AN581" s="41">
        <f t="shared" si="279"/>
        <v>0</v>
      </c>
      <c r="AO581" s="21">
        <v>25</v>
      </c>
      <c r="AP581" s="41">
        <f t="shared" si="261"/>
        <v>0.53191489361702127</v>
      </c>
      <c r="AQ581" s="21">
        <v>15</v>
      </c>
      <c r="AR581" s="41">
        <f t="shared" si="280"/>
        <v>0.44117647058823528</v>
      </c>
      <c r="AS581" s="21">
        <v>11</v>
      </c>
      <c r="AT581" s="41">
        <f t="shared" si="262"/>
        <v>0.23404255319148937</v>
      </c>
      <c r="AU581" s="21">
        <v>10</v>
      </c>
      <c r="AV581" s="41">
        <f t="shared" si="281"/>
        <v>0.29411764705882354</v>
      </c>
      <c r="AW581" s="21">
        <v>4</v>
      </c>
      <c r="AX581" s="41">
        <f t="shared" si="263"/>
        <v>8.5106382978723402E-2</v>
      </c>
      <c r="AY581" s="21">
        <v>4</v>
      </c>
      <c r="AZ581" s="41">
        <f t="shared" si="282"/>
        <v>0.11764705882352941</v>
      </c>
      <c r="BA581" s="21">
        <v>4</v>
      </c>
      <c r="BB581" s="41">
        <f t="shared" si="264"/>
        <v>8.5106382978723402E-2</v>
      </c>
      <c r="BC581" s="21">
        <v>4</v>
      </c>
      <c r="BD581" s="41">
        <f t="shared" si="283"/>
        <v>0.11764705882352941</v>
      </c>
      <c r="BE581" s="21">
        <v>47</v>
      </c>
      <c r="BF581" s="21">
        <v>34</v>
      </c>
    </row>
    <row r="582" spans="1:58" ht="15.75" customHeight="1" x14ac:dyDescent="0.25">
      <c r="A582" s="44">
        <v>2020</v>
      </c>
      <c r="B582" s="39">
        <v>170330</v>
      </c>
      <c r="C582" s="38" t="s">
        <v>150</v>
      </c>
      <c r="D582" s="38" t="s">
        <v>29</v>
      </c>
      <c r="E582" s="21">
        <v>1</v>
      </c>
      <c r="F582" s="42">
        <f t="shared" si="265"/>
        <v>2.564102564102564E-2</v>
      </c>
      <c r="G582" s="21">
        <v>0</v>
      </c>
      <c r="H582" s="42">
        <f t="shared" si="266"/>
        <v>0</v>
      </c>
      <c r="I582" s="21">
        <v>1</v>
      </c>
      <c r="J582" s="41">
        <f t="shared" si="267"/>
        <v>2.564102564102564E-2</v>
      </c>
      <c r="K582" s="21">
        <v>0</v>
      </c>
      <c r="L582" s="41">
        <f t="shared" si="268"/>
        <v>0</v>
      </c>
      <c r="M582" s="21">
        <v>35</v>
      </c>
      <c r="N582" s="41">
        <f t="shared" si="269"/>
        <v>0.89743589743589747</v>
      </c>
      <c r="O582" s="21">
        <v>0</v>
      </c>
      <c r="P582" s="41">
        <f t="shared" si="270"/>
        <v>0</v>
      </c>
      <c r="Q582" s="21">
        <v>2</v>
      </c>
      <c r="R582" s="41">
        <f t="shared" si="271"/>
        <v>5.128205128205128E-2</v>
      </c>
      <c r="S582" s="21">
        <v>0</v>
      </c>
      <c r="T582" s="41">
        <f t="shared" si="272"/>
        <v>0</v>
      </c>
      <c r="U582" s="21">
        <v>7</v>
      </c>
      <c r="V582" s="41">
        <f t="shared" si="273"/>
        <v>0.17948717948717949</v>
      </c>
      <c r="W582" s="21">
        <v>0</v>
      </c>
      <c r="X582" s="41">
        <f t="shared" si="274"/>
        <v>0</v>
      </c>
      <c r="Y582" s="21">
        <v>2</v>
      </c>
      <c r="Z582" s="41">
        <f t="shared" si="275"/>
        <v>5.128205128205128E-2</v>
      </c>
      <c r="AA582" s="21">
        <v>0</v>
      </c>
      <c r="AB582" s="41">
        <f t="shared" si="276"/>
        <v>0</v>
      </c>
      <c r="AC582" s="21">
        <v>30</v>
      </c>
      <c r="AD582" s="41">
        <f t="shared" si="258"/>
        <v>0.76923076923076927</v>
      </c>
      <c r="AE582" s="21">
        <v>0</v>
      </c>
      <c r="AF582" s="41">
        <f t="shared" si="277"/>
        <v>0</v>
      </c>
      <c r="AG582" s="21">
        <v>3</v>
      </c>
      <c r="AH582" s="41">
        <f t="shared" si="259"/>
        <v>7.6923076923076927E-2</v>
      </c>
      <c r="AI582" s="21">
        <v>0</v>
      </c>
      <c r="AJ582" s="41">
        <f t="shared" si="278"/>
        <v>0</v>
      </c>
      <c r="AK582" s="21">
        <v>3</v>
      </c>
      <c r="AL582" s="41">
        <f t="shared" si="260"/>
        <v>7.6923076923076927E-2</v>
      </c>
      <c r="AM582" s="21">
        <v>0</v>
      </c>
      <c r="AN582" s="41">
        <f t="shared" si="279"/>
        <v>0</v>
      </c>
      <c r="AO582" s="21">
        <v>17</v>
      </c>
      <c r="AP582" s="41">
        <f t="shared" si="261"/>
        <v>0.4358974358974359</v>
      </c>
      <c r="AQ582" s="21">
        <v>0</v>
      </c>
      <c r="AR582" s="41">
        <f t="shared" si="280"/>
        <v>0</v>
      </c>
      <c r="AS582" s="21">
        <v>6</v>
      </c>
      <c r="AT582" s="41">
        <f t="shared" si="262"/>
        <v>0.15384615384615385</v>
      </c>
      <c r="AU582" s="21">
        <v>0</v>
      </c>
      <c r="AV582" s="41">
        <f t="shared" si="281"/>
        <v>0</v>
      </c>
      <c r="AW582" s="21">
        <v>4</v>
      </c>
      <c r="AX582" s="41">
        <f t="shared" si="263"/>
        <v>0.10256410256410256</v>
      </c>
      <c r="AY582" s="21">
        <v>0</v>
      </c>
      <c r="AZ582" s="41">
        <f t="shared" si="282"/>
        <v>0</v>
      </c>
      <c r="BA582" s="21">
        <v>6</v>
      </c>
      <c r="BB582" s="41">
        <f t="shared" si="264"/>
        <v>0.15384615384615385</v>
      </c>
      <c r="BC582" s="21">
        <v>0</v>
      </c>
      <c r="BD582" s="41">
        <f t="shared" si="283"/>
        <v>0</v>
      </c>
      <c r="BE582" s="21">
        <v>39</v>
      </c>
      <c r="BF582" s="21">
        <v>0</v>
      </c>
    </row>
    <row r="583" spans="1:58" ht="15.75" customHeight="1" x14ac:dyDescent="0.25">
      <c r="A583" s="44">
        <v>2020</v>
      </c>
      <c r="B583" s="39">
        <v>170360</v>
      </c>
      <c r="C583" s="38" t="s">
        <v>150</v>
      </c>
      <c r="D583" s="38" t="s">
        <v>30</v>
      </c>
      <c r="E583" s="21">
        <v>1</v>
      </c>
      <c r="F583" s="42">
        <f t="shared" si="265"/>
        <v>1.2500000000000001E-2</v>
      </c>
      <c r="G583" s="21">
        <v>1</v>
      </c>
      <c r="H583" s="42">
        <f t="shared" si="266"/>
        <v>1.6666666666666666E-2</v>
      </c>
      <c r="I583" s="21">
        <v>3</v>
      </c>
      <c r="J583" s="41">
        <f t="shared" si="267"/>
        <v>3.7499999999999999E-2</v>
      </c>
      <c r="K583" s="21">
        <v>3</v>
      </c>
      <c r="L583" s="41">
        <f t="shared" si="268"/>
        <v>0.05</v>
      </c>
      <c r="M583" s="21">
        <v>69</v>
      </c>
      <c r="N583" s="41">
        <f t="shared" si="269"/>
        <v>0.86250000000000004</v>
      </c>
      <c r="O583" s="21">
        <v>52</v>
      </c>
      <c r="P583" s="41">
        <f t="shared" si="270"/>
        <v>0.8666666666666667</v>
      </c>
      <c r="Q583" s="21">
        <v>7</v>
      </c>
      <c r="R583" s="41">
        <f t="shared" si="271"/>
        <v>8.7499999999999994E-2</v>
      </c>
      <c r="S583" s="21">
        <v>4</v>
      </c>
      <c r="T583" s="41">
        <f t="shared" si="272"/>
        <v>6.6666666666666666E-2</v>
      </c>
      <c r="U583" s="21">
        <v>12</v>
      </c>
      <c r="V583" s="41">
        <f t="shared" si="273"/>
        <v>0.15</v>
      </c>
      <c r="W583" s="21">
        <v>5</v>
      </c>
      <c r="X583" s="41">
        <f t="shared" si="274"/>
        <v>8.3333333333333329E-2</v>
      </c>
      <c r="Y583" s="21">
        <v>8</v>
      </c>
      <c r="Z583" s="41">
        <f t="shared" si="275"/>
        <v>0.1</v>
      </c>
      <c r="AA583" s="21">
        <v>4</v>
      </c>
      <c r="AB583" s="41">
        <f t="shared" si="276"/>
        <v>6.6666666666666666E-2</v>
      </c>
      <c r="AC583" s="21">
        <v>60</v>
      </c>
      <c r="AD583" s="41">
        <f t="shared" si="258"/>
        <v>0.75</v>
      </c>
      <c r="AE583" s="21">
        <v>51</v>
      </c>
      <c r="AF583" s="41">
        <f t="shared" si="277"/>
        <v>0.85</v>
      </c>
      <c r="AG583" s="21">
        <v>2</v>
      </c>
      <c r="AH583" s="41">
        <f t="shared" si="259"/>
        <v>2.5000000000000001E-2</v>
      </c>
      <c r="AI583" s="21">
        <v>2</v>
      </c>
      <c r="AJ583" s="41">
        <f t="shared" si="278"/>
        <v>3.3333333333333333E-2</v>
      </c>
      <c r="AK583" s="21">
        <v>4</v>
      </c>
      <c r="AL583" s="41">
        <f t="shared" si="260"/>
        <v>0.05</v>
      </c>
      <c r="AM583" s="21">
        <v>4</v>
      </c>
      <c r="AN583" s="41">
        <f t="shared" si="279"/>
        <v>6.6666666666666666E-2</v>
      </c>
      <c r="AO583" s="21">
        <v>45</v>
      </c>
      <c r="AP583" s="41">
        <f t="shared" si="261"/>
        <v>0.5625</v>
      </c>
      <c r="AQ583" s="21">
        <v>38</v>
      </c>
      <c r="AR583" s="41">
        <f t="shared" si="280"/>
        <v>0.6333333333333333</v>
      </c>
      <c r="AS583" s="21">
        <v>9</v>
      </c>
      <c r="AT583" s="41">
        <f t="shared" si="262"/>
        <v>0.1125</v>
      </c>
      <c r="AU583" s="21">
        <v>10</v>
      </c>
      <c r="AV583" s="41">
        <f t="shared" si="281"/>
        <v>0.16666666666666666</v>
      </c>
      <c r="AW583" s="21">
        <v>6</v>
      </c>
      <c r="AX583" s="41">
        <f t="shared" si="263"/>
        <v>7.4999999999999997E-2</v>
      </c>
      <c r="AY583" s="21">
        <v>2</v>
      </c>
      <c r="AZ583" s="41">
        <f t="shared" si="282"/>
        <v>3.3333333333333333E-2</v>
      </c>
      <c r="BA583" s="21">
        <v>14</v>
      </c>
      <c r="BB583" s="41">
        <f t="shared" si="264"/>
        <v>0.17499999999999999</v>
      </c>
      <c r="BC583" s="21">
        <v>4</v>
      </c>
      <c r="BD583" s="41">
        <f t="shared" si="283"/>
        <v>6.6666666666666666E-2</v>
      </c>
      <c r="BE583" s="21">
        <v>80</v>
      </c>
      <c r="BF583" s="21">
        <v>60</v>
      </c>
    </row>
    <row r="584" spans="1:58" ht="15.75" customHeight="1" x14ac:dyDescent="0.25">
      <c r="A584" s="44">
        <v>2020</v>
      </c>
      <c r="B584" s="39">
        <v>170370</v>
      </c>
      <c r="C584" s="38" t="s">
        <v>151</v>
      </c>
      <c r="D584" s="38" t="s">
        <v>31</v>
      </c>
      <c r="E584" s="21">
        <v>0</v>
      </c>
      <c r="F584" s="42">
        <f t="shared" si="265"/>
        <v>0</v>
      </c>
      <c r="G584" s="21">
        <v>0</v>
      </c>
      <c r="H584" s="42">
        <f t="shared" si="266"/>
        <v>0</v>
      </c>
      <c r="I584" s="21">
        <v>4</v>
      </c>
      <c r="J584" s="41">
        <f t="shared" si="267"/>
        <v>3.9603960396039604E-2</v>
      </c>
      <c r="K584" s="21">
        <v>2</v>
      </c>
      <c r="L584" s="41">
        <f t="shared" si="268"/>
        <v>2.1505376344086023E-2</v>
      </c>
      <c r="M584" s="21">
        <v>93</v>
      </c>
      <c r="N584" s="41">
        <f t="shared" si="269"/>
        <v>0.92079207920792083</v>
      </c>
      <c r="O584" s="21">
        <v>87</v>
      </c>
      <c r="P584" s="41">
        <f t="shared" si="270"/>
        <v>0.93548387096774188</v>
      </c>
      <c r="Q584" s="21">
        <v>4</v>
      </c>
      <c r="R584" s="41">
        <f t="shared" si="271"/>
        <v>3.9603960396039604E-2</v>
      </c>
      <c r="S584" s="21">
        <v>4</v>
      </c>
      <c r="T584" s="41">
        <f t="shared" si="272"/>
        <v>4.3010752688172046E-2</v>
      </c>
      <c r="U584" s="21">
        <v>4</v>
      </c>
      <c r="V584" s="41">
        <f t="shared" si="273"/>
        <v>3.9603960396039604E-2</v>
      </c>
      <c r="W584" s="21">
        <v>4</v>
      </c>
      <c r="X584" s="41">
        <f t="shared" si="274"/>
        <v>4.3010752688172046E-2</v>
      </c>
      <c r="Y584" s="21">
        <v>10</v>
      </c>
      <c r="Z584" s="41">
        <f t="shared" si="275"/>
        <v>9.9009900990099015E-2</v>
      </c>
      <c r="AA584" s="21">
        <v>9</v>
      </c>
      <c r="AB584" s="41">
        <f t="shared" si="276"/>
        <v>9.6774193548387094E-2</v>
      </c>
      <c r="AC584" s="21">
        <v>87</v>
      </c>
      <c r="AD584" s="41">
        <f t="shared" si="258"/>
        <v>0.86138613861386137</v>
      </c>
      <c r="AE584" s="21">
        <v>80</v>
      </c>
      <c r="AF584" s="41">
        <f t="shared" si="277"/>
        <v>0.86021505376344087</v>
      </c>
      <c r="AG584" s="21">
        <v>4</v>
      </c>
      <c r="AH584" s="41">
        <f t="shared" si="259"/>
        <v>3.9603960396039604E-2</v>
      </c>
      <c r="AI584" s="21">
        <v>1</v>
      </c>
      <c r="AJ584" s="41">
        <f t="shared" si="278"/>
        <v>1.0752688172043012E-2</v>
      </c>
      <c r="AK584" s="21">
        <v>3</v>
      </c>
      <c r="AL584" s="41">
        <f t="shared" si="260"/>
        <v>2.9702970297029702E-2</v>
      </c>
      <c r="AM584" s="21">
        <v>3</v>
      </c>
      <c r="AN584" s="41">
        <f t="shared" si="279"/>
        <v>3.2258064516129031E-2</v>
      </c>
      <c r="AO584" s="21">
        <v>72</v>
      </c>
      <c r="AP584" s="41">
        <f t="shared" si="261"/>
        <v>0.71287128712871284</v>
      </c>
      <c r="AQ584" s="21">
        <v>70</v>
      </c>
      <c r="AR584" s="41">
        <f t="shared" si="280"/>
        <v>0.75268817204301075</v>
      </c>
      <c r="AS584" s="21">
        <v>13</v>
      </c>
      <c r="AT584" s="41">
        <f t="shared" si="262"/>
        <v>0.12871287128712872</v>
      </c>
      <c r="AU584" s="21">
        <v>10</v>
      </c>
      <c r="AV584" s="41">
        <f t="shared" si="281"/>
        <v>0.10752688172043011</v>
      </c>
      <c r="AW584" s="21">
        <v>4</v>
      </c>
      <c r="AX584" s="41">
        <f t="shared" si="263"/>
        <v>3.9603960396039604E-2</v>
      </c>
      <c r="AY584" s="21">
        <v>4</v>
      </c>
      <c r="AZ584" s="41">
        <f t="shared" si="282"/>
        <v>4.3010752688172046E-2</v>
      </c>
      <c r="BA584" s="21">
        <v>5</v>
      </c>
      <c r="BB584" s="41">
        <f t="shared" si="264"/>
        <v>4.9504950495049507E-2</v>
      </c>
      <c r="BC584" s="21">
        <v>5</v>
      </c>
      <c r="BD584" s="41">
        <f t="shared" si="283"/>
        <v>5.3763440860215055E-2</v>
      </c>
      <c r="BE584" s="21">
        <v>101</v>
      </c>
      <c r="BF584" s="21">
        <v>93</v>
      </c>
    </row>
    <row r="585" spans="1:58" ht="15.75" customHeight="1" x14ac:dyDescent="0.25">
      <c r="A585" s="44">
        <v>2020</v>
      </c>
      <c r="B585" s="39">
        <v>170380</v>
      </c>
      <c r="C585" s="38" t="s">
        <v>145</v>
      </c>
      <c r="D585" s="38" t="s">
        <v>32</v>
      </c>
      <c r="E585" s="21">
        <v>3</v>
      </c>
      <c r="F585" s="42">
        <f t="shared" si="265"/>
        <v>8.9020771513353119E-3</v>
      </c>
      <c r="G585" s="21">
        <v>2</v>
      </c>
      <c r="H585" s="42">
        <f t="shared" si="266"/>
        <v>9.0090090090090089E-3</v>
      </c>
      <c r="I585" s="21">
        <v>12</v>
      </c>
      <c r="J585" s="41">
        <f t="shared" si="267"/>
        <v>3.5608308605341248E-2</v>
      </c>
      <c r="K585" s="21">
        <v>5</v>
      </c>
      <c r="L585" s="41">
        <f t="shared" si="268"/>
        <v>2.2522522522522521E-2</v>
      </c>
      <c r="M585" s="21">
        <v>297</v>
      </c>
      <c r="N585" s="41">
        <f t="shared" si="269"/>
        <v>0.88130563798219586</v>
      </c>
      <c r="O585" s="21">
        <v>199</v>
      </c>
      <c r="P585" s="41">
        <f t="shared" si="270"/>
        <v>0.89639639639639634</v>
      </c>
      <c r="Q585" s="21">
        <v>25</v>
      </c>
      <c r="R585" s="41">
        <f t="shared" si="271"/>
        <v>7.418397626112759E-2</v>
      </c>
      <c r="S585" s="21">
        <v>16</v>
      </c>
      <c r="T585" s="41">
        <f t="shared" si="272"/>
        <v>7.2072072072072071E-2</v>
      </c>
      <c r="U585" s="21">
        <v>51</v>
      </c>
      <c r="V585" s="41">
        <f t="shared" si="273"/>
        <v>0.1513353115727003</v>
      </c>
      <c r="W585" s="21">
        <v>42</v>
      </c>
      <c r="X585" s="41">
        <f t="shared" si="274"/>
        <v>0.1891891891891892</v>
      </c>
      <c r="Y585" s="21">
        <v>38</v>
      </c>
      <c r="Z585" s="41">
        <f t="shared" si="275"/>
        <v>0.11275964391691394</v>
      </c>
      <c r="AA585" s="21">
        <v>26</v>
      </c>
      <c r="AB585" s="41">
        <f t="shared" si="276"/>
        <v>0.11711711711711711</v>
      </c>
      <c r="AC585" s="21">
        <v>248</v>
      </c>
      <c r="AD585" s="41">
        <f t="shared" si="258"/>
        <v>0.73590504451038574</v>
      </c>
      <c r="AE585" s="21">
        <v>154</v>
      </c>
      <c r="AF585" s="41">
        <f t="shared" si="277"/>
        <v>0.69369369369369371</v>
      </c>
      <c r="AG585" s="21">
        <v>16</v>
      </c>
      <c r="AH585" s="41">
        <f t="shared" si="259"/>
        <v>4.7477744807121663E-2</v>
      </c>
      <c r="AI585" s="21">
        <v>10</v>
      </c>
      <c r="AJ585" s="41">
        <f t="shared" si="278"/>
        <v>4.5045045045045043E-2</v>
      </c>
      <c r="AK585" s="21">
        <v>7</v>
      </c>
      <c r="AL585" s="41">
        <f t="shared" si="260"/>
        <v>2.0771513353115726E-2</v>
      </c>
      <c r="AM585" s="21">
        <v>3</v>
      </c>
      <c r="AN585" s="41">
        <f t="shared" si="279"/>
        <v>1.3513513513513514E-2</v>
      </c>
      <c r="AO585" s="21">
        <v>166</v>
      </c>
      <c r="AP585" s="41">
        <f t="shared" si="261"/>
        <v>0.49258160237388726</v>
      </c>
      <c r="AQ585" s="21">
        <v>109</v>
      </c>
      <c r="AR585" s="41">
        <f t="shared" si="280"/>
        <v>0.49099099099099097</v>
      </c>
      <c r="AS585" s="21">
        <v>69</v>
      </c>
      <c r="AT585" s="41">
        <f t="shared" si="262"/>
        <v>0.20474777448071216</v>
      </c>
      <c r="AU585" s="21">
        <v>43</v>
      </c>
      <c r="AV585" s="41">
        <f t="shared" si="281"/>
        <v>0.19369369369369369</v>
      </c>
      <c r="AW585" s="21">
        <v>39</v>
      </c>
      <c r="AX585" s="41">
        <f t="shared" si="263"/>
        <v>0.11572700296735905</v>
      </c>
      <c r="AY585" s="21">
        <v>23</v>
      </c>
      <c r="AZ585" s="41">
        <f t="shared" si="282"/>
        <v>0.1036036036036036</v>
      </c>
      <c r="BA585" s="21">
        <v>40</v>
      </c>
      <c r="BB585" s="41">
        <f t="shared" si="264"/>
        <v>0.11869436201780416</v>
      </c>
      <c r="BC585" s="21">
        <v>34</v>
      </c>
      <c r="BD585" s="41">
        <f t="shared" si="283"/>
        <v>0.15315315315315314</v>
      </c>
      <c r="BE585" s="21">
        <v>337</v>
      </c>
      <c r="BF585" s="21">
        <v>222</v>
      </c>
    </row>
    <row r="586" spans="1:58" ht="15.75" customHeight="1" x14ac:dyDescent="0.25">
      <c r="A586" s="44">
        <v>2020</v>
      </c>
      <c r="B586" s="39">
        <v>170382</v>
      </c>
      <c r="C586" s="38" t="s">
        <v>145</v>
      </c>
      <c r="D586" s="38" t="s">
        <v>33</v>
      </c>
      <c r="E586" s="21">
        <v>0</v>
      </c>
      <c r="F586" s="42">
        <f t="shared" si="265"/>
        <v>0</v>
      </c>
      <c r="G586" s="21">
        <v>0</v>
      </c>
      <c r="H586" s="42">
        <f t="shared" si="266"/>
        <v>0</v>
      </c>
      <c r="I586" s="21">
        <v>0</v>
      </c>
      <c r="J586" s="41">
        <f t="shared" si="267"/>
        <v>0</v>
      </c>
      <c r="K586" s="21">
        <v>0</v>
      </c>
      <c r="L586" s="41">
        <f t="shared" si="268"/>
        <v>0</v>
      </c>
      <c r="M586" s="21">
        <v>94</v>
      </c>
      <c r="N586" s="41">
        <f t="shared" si="269"/>
        <v>0.95918367346938771</v>
      </c>
      <c r="O586" s="21">
        <v>82</v>
      </c>
      <c r="P586" s="41">
        <f t="shared" si="270"/>
        <v>0.95348837209302328</v>
      </c>
      <c r="Q586" s="21">
        <v>4</v>
      </c>
      <c r="R586" s="41">
        <f t="shared" si="271"/>
        <v>4.0816326530612242E-2</v>
      </c>
      <c r="S586" s="21">
        <v>4</v>
      </c>
      <c r="T586" s="41">
        <f t="shared" si="272"/>
        <v>4.6511627906976744E-2</v>
      </c>
      <c r="U586" s="21">
        <v>1</v>
      </c>
      <c r="V586" s="41">
        <f t="shared" si="273"/>
        <v>1.020408163265306E-2</v>
      </c>
      <c r="W586" s="21">
        <v>1</v>
      </c>
      <c r="X586" s="41">
        <f t="shared" si="274"/>
        <v>1.1627906976744186E-2</v>
      </c>
      <c r="Y586" s="21">
        <v>3</v>
      </c>
      <c r="Z586" s="41">
        <f t="shared" si="275"/>
        <v>3.0612244897959183E-2</v>
      </c>
      <c r="AA586" s="21">
        <v>2</v>
      </c>
      <c r="AB586" s="41">
        <f t="shared" si="276"/>
        <v>2.3255813953488372E-2</v>
      </c>
      <c r="AC586" s="21">
        <v>94</v>
      </c>
      <c r="AD586" s="41">
        <f t="shared" si="258"/>
        <v>0.95918367346938771</v>
      </c>
      <c r="AE586" s="21">
        <v>83</v>
      </c>
      <c r="AF586" s="41">
        <f t="shared" si="277"/>
        <v>0.96511627906976749</v>
      </c>
      <c r="AG586" s="21">
        <v>1</v>
      </c>
      <c r="AH586" s="41">
        <f t="shared" si="259"/>
        <v>1.020408163265306E-2</v>
      </c>
      <c r="AI586" s="21">
        <v>1</v>
      </c>
      <c r="AJ586" s="41">
        <f t="shared" si="278"/>
        <v>1.1627906976744186E-2</v>
      </c>
      <c r="AK586" s="21">
        <v>5</v>
      </c>
      <c r="AL586" s="41">
        <f t="shared" si="260"/>
        <v>5.1020408163265307E-2</v>
      </c>
      <c r="AM586" s="21">
        <v>4</v>
      </c>
      <c r="AN586" s="41">
        <f t="shared" si="279"/>
        <v>4.6511627906976744E-2</v>
      </c>
      <c r="AO586" s="21">
        <v>63</v>
      </c>
      <c r="AP586" s="41">
        <f t="shared" si="261"/>
        <v>0.6428571428571429</v>
      </c>
      <c r="AQ586" s="21">
        <v>58</v>
      </c>
      <c r="AR586" s="41">
        <f t="shared" si="280"/>
        <v>0.67441860465116277</v>
      </c>
      <c r="AS586" s="21">
        <v>16</v>
      </c>
      <c r="AT586" s="41">
        <f t="shared" si="262"/>
        <v>0.16326530612244897</v>
      </c>
      <c r="AU586" s="21">
        <v>13</v>
      </c>
      <c r="AV586" s="41">
        <f t="shared" si="281"/>
        <v>0.15116279069767441</v>
      </c>
      <c r="AW586" s="21">
        <v>11</v>
      </c>
      <c r="AX586" s="41">
        <f t="shared" si="263"/>
        <v>0.11224489795918367</v>
      </c>
      <c r="AY586" s="21">
        <v>8</v>
      </c>
      <c r="AZ586" s="41">
        <f t="shared" si="282"/>
        <v>9.3023255813953487E-2</v>
      </c>
      <c r="BA586" s="21">
        <v>2</v>
      </c>
      <c r="BB586" s="41">
        <f t="shared" si="264"/>
        <v>2.0408163265306121E-2</v>
      </c>
      <c r="BC586" s="21">
        <v>2</v>
      </c>
      <c r="BD586" s="41">
        <f t="shared" si="283"/>
        <v>2.3255813953488372E-2</v>
      </c>
      <c r="BE586" s="21">
        <v>98</v>
      </c>
      <c r="BF586" s="21">
        <v>86</v>
      </c>
    </row>
    <row r="587" spans="1:58" ht="15.75" customHeight="1" x14ac:dyDescent="0.25">
      <c r="A587" s="44">
        <v>2020</v>
      </c>
      <c r="B587" s="39">
        <v>170384</v>
      </c>
      <c r="C587" s="38" t="s">
        <v>149</v>
      </c>
      <c r="D587" s="38" t="s">
        <v>34</v>
      </c>
      <c r="E587" s="21">
        <v>6</v>
      </c>
      <c r="F587" s="42">
        <f t="shared" si="265"/>
        <v>1.1650485436893204E-2</v>
      </c>
      <c r="G587" s="21">
        <v>2</v>
      </c>
      <c r="H587" s="42">
        <f t="shared" si="266"/>
        <v>6.9444444444444441E-3</v>
      </c>
      <c r="I587" s="21">
        <v>16</v>
      </c>
      <c r="J587" s="41">
        <f t="shared" si="267"/>
        <v>3.1067961165048542E-2</v>
      </c>
      <c r="K587" s="21">
        <v>11</v>
      </c>
      <c r="L587" s="41">
        <f t="shared" si="268"/>
        <v>3.8194444444444448E-2</v>
      </c>
      <c r="M587" s="21">
        <v>479</v>
      </c>
      <c r="N587" s="41">
        <f t="shared" si="269"/>
        <v>0.93009708737864083</v>
      </c>
      <c r="O587" s="21">
        <v>268</v>
      </c>
      <c r="P587" s="41">
        <f t="shared" si="270"/>
        <v>0.93055555555555558</v>
      </c>
      <c r="Q587" s="21">
        <v>14</v>
      </c>
      <c r="R587" s="41">
        <f t="shared" si="271"/>
        <v>2.7184466019417475E-2</v>
      </c>
      <c r="S587" s="21">
        <v>7</v>
      </c>
      <c r="T587" s="41">
        <f t="shared" si="272"/>
        <v>2.4305555555555556E-2</v>
      </c>
      <c r="U587" s="21">
        <v>23</v>
      </c>
      <c r="V587" s="41">
        <f t="shared" si="273"/>
        <v>4.4660194174757278E-2</v>
      </c>
      <c r="W587" s="21">
        <v>8</v>
      </c>
      <c r="X587" s="41">
        <f t="shared" si="274"/>
        <v>2.7777777777777776E-2</v>
      </c>
      <c r="Y587" s="21">
        <v>32</v>
      </c>
      <c r="Z587" s="41">
        <f t="shared" si="275"/>
        <v>6.2135922330097085E-2</v>
      </c>
      <c r="AA587" s="21">
        <v>25</v>
      </c>
      <c r="AB587" s="41">
        <f t="shared" si="276"/>
        <v>8.6805555555555552E-2</v>
      </c>
      <c r="AC587" s="21">
        <v>460</v>
      </c>
      <c r="AD587" s="41">
        <f t="shared" si="258"/>
        <v>0.89320388349514568</v>
      </c>
      <c r="AE587" s="21">
        <v>255</v>
      </c>
      <c r="AF587" s="41">
        <f t="shared" si="277"/>
        <v>0.88541666666666663</v>
      </c>
      <c r="AG587" s="21">
        <v>16</v>
      </c>
      <c r="AH587" s="41">
        <f t="shared" si="259"/>
        <v>3.1067961165048542E-2</v>
      </c>
      <c r="AI587" s="21">
        <v>2</v>
      </c>
      <c r="AJ587" s="41">
        <f t="shared" si="278"/>
        <v>6.9444444444444441E-3</v>
      </c>
      <c r="AK587" s="21">
        <v>16</v>
      </c>
      <c r="AL587" s="41">
        <f t="shared" si="260"/>
        <v>3.1067961165048542E-2</v>
      </c>
      <c r="AM587" s="21">
        <v>13</v>
      </c>
      <c r="AN587" s="41">
        <f t="shared" si="279"/>
        <v>4.5138888888888888E-2</v>
      </c>
      <c r="AO587" s="21">
        <v>374</v>
      </c>
      <c r="AP587" s="41">
        <f t="shared" si="261"/>
        <v>0.72621359223300974</v>
      </c>
      <c r="AQ587" s="21">
        <v>225</v>
      </c>
      <c r="AR587" s="41">
        <f t="shared" si="280"/>
        <v>0.78125</v>
      </c>
      <c r="AS587" s="21">
        <v>71</v>
      </c>
      <c r="AT587" s="41">
        <f t="shared" si="262"/>
        <v>0.13786407766990291</v>
      </c>
      <c r="AU587" s="21">
        <v>32</v>
      </c>
      <c r="AV587" s="41">
        <f t="shared" si="281"/>
        <v>0.1111111111111111</v>
      </c>
      <c r="AW587" s="21">
        <v>26</v>
      </c>
      <c r="AX587" s="41">
        <f t="shared" si="263"/>
        <v>5.0485436893203881E-2</v>
      </c>
      <c r="AY587" s="21">
        <v>9</v>
      </c>
      <c r="AZ587" s="41">
        <f t="shared" si="282"/>
        <v>3.125E-2</v>
      </c>
      <c r="BA587" s="21">
        <v>12</v>
      </c>
      <c r="BB587" s="41">
        <f t="shared" si="264"/>
        <v>2.3300970873786409E-2</v>
      </c>
      <c r="BC587" s="21">
        <v>7</v>
      </c>
      <c r="BD587" s="41">
        <f t="shared" si="283"/>
        <v>2.4305555555555556E-2</v>
      </c>
      <c r="BE587" s="21">
        <v>515</v>
      </c>
      <c r="BF587" s="21">
        <v>288</v>
      </c>
    </row>
    <row r="588" spans="1:58" ht="15.75" customHeight="1" x14ac:dyDescent="0.25">
      <c r="A588" s="44">
        <v>2020</v>
      </c>
      <c r="B588" s="39">
        <v>170386</v>
      </c>
      <c r="C588" s="38" t="s">
        <v>146</v>
      </c>
      <c r="D588" s="38" t="s">
        <v>35</v>
      </c>
      <c r="E588" s="21">
        <v>2</v>
      </c>
      <c r="F588" s="42">
        <f t="shared" si="265"/>
        <v>1.06951871657754E-2</v>
      </c>
      <c r="G588" s="21">
        <v>2</v>
      </c>
      <c r="H588" s="42">
        <f t="shared" si="266"/>
        <v>2.1505376344086023E-2</v>
      </c>
      <c r="I588" s="21">
        <v>6</v>
      </c>
      <c r="J588" s="41">
        <f t="shared" si="267"/>
        <v>3.2085561497326207E-2</v>
      </c>
      <c r="K588" s="21">
        <v>4</v>
      </c>
      <c r="L588" s="41">
        <f t="shared" si="268"/>
        <v>4.3010752688172046E-2</v>
      </c>
      <c r="M588" s="21">
        <v>159</v>
      </c>
      <c r="N588" s="41">
        <f t="shared" si="269"/>
        <v>0.85026737967914434</v>
      </c>
      <c r="O588" s="21">
        <v>78</v>
      </c>
      <c r="P588" s="41">
        <f t="shared" si="270"/>
        <v>0.83870967741935487</v>
      </c>
      <c r="Q588" s="21">
        <v>20</v>
      </c>
      <c r="R588" s="41">
        <f t="shared" si="271"/>
        <v>0.10695187165775401</v>
      </c>
      <c r="S588" s="21">
        <v>9</v>
      </c>
      <c r="T588" s="41">
        <f t="shared" si="272"/>
        <v>9.6774193548387094E-2</v>
      </c>
      <c r="U588" s="21">
        <v>12</v>
      </c>
      <c r="V588" s="41">
        <f t="shared" si="273"/>
        <v>6.4171122994652413E-2</v>
      </c>
      <c r="W588" s="21">
        <v>9</v>
      </c>
      <c r="X588" s="41">
        <f t="shared" si="274"/>
        <v>9.6774193548387094E-2</v>
      </c>
      <c r="Y588" s="21">
        <v>9</v>
      </c>
      <c r="Z588" s="41">
        <f t="shared" si="275"/>
        <v>4.8128342245989303E-2</v>
      </c>
      <c r="AA588" s="21">
        <v>10</v>
      </c>
      <c r="AB588" s="41">
        <f t="shared" si="276"/>
        <v>0.10752688172043011</v>
      </c>
      <c r="AC588" s="21">
        <v>166</v>
      </c>
      <c r="AD588" s="41">
        <f t="shared" si="258"/>
        <v>0.88770053475935828</v>
      </c>
      <c r="AE588" s="21">
        <v>74</v>
      </c>
      <c r="AF588" s="41">
        <f t="shared" si="277"/>
        <v>0.79569892473118276</v>
      </c>
      <c r="AG588" s="21">
        <v>7</v>
      </c>
      <c r="AH588" s="41">
        <f t="shared" si="259"/>
        <v>3.7433155080213901E-2</v>
      </c>
      <c r="AI588" s="21">
        <v>8</v>
      </c>
      <c r="AJ588" s="41">
        <f t="shared" si="278"/>
        <v>8.6021505376344093E-2</v>
      </c>
      <c r="AK588" s="21">
        <v>6</v>
      </c>
      <c r="AL588" s="41">
        <f t="shared" si="260"/>
        <v>3.2085561497326207E-2</v>
      </c>
      <c r="AM588" s="21">
        <v>5</v>
      </c>
      <c r="AN588" s="41">
        <f t="shared" si="279"/>
        <v>5.3763440860215055E-2</v>
      </c>
      <c r="AO588" s="21">
        <v>103</v>
      </c>
      <c r="AP588" s="41">
        <f t="shared" si="261"/>
        <v>0.55080213903743314</v>
      </c>
      <c r="AQ588" s="21">
        <v>44</v>
      </c>
      <c r="AR588" s="41">
        <f t="shared" si="280"/>
        <v>0.4731182795698925</v>
      </c>
      <c r="AS588" s="21">
        <v>37</v>
      </c>
      <c r="AT588" s="41">
        <f t="shared" si="262"/>
        <v>0.19786096256684493</v>
      </c>
      <c r="AU588" s="21">
        <v>19</v>
      </c>
      <c r="AV588" s="41">
        <f t="shared" si="281"/>
        <v>0.20430107526881722</v>
      </c>
      <c r="AW588" s="21">
        <v>17</v>
      </c>
      <c r="AX588" s="41">
        <f t="shared" si="263"/>
        <v>9.0909090909090912E-2</v>
      </c>
      <c r="AY588" s="21">
        <v>8</v>
      </c>
      <c r="AZ588" s="41">
        <f t="shared" si="282"/>
        <v>8.6021505376344093E-2</v>
      </c>
      <c r="BA588" s="21">
        <v>17</v>
      </c>
      <c r="BB588" s="41">
        <f t="shared" si="264"/>
        <v>9.0909090909090912E-2</v>
      </c>
      <c r="BC588" s="21">
        <v>9</v>
      </c>
      <c r="BD588" s="41">
        <f t="shared" si="283"/>
        <v>9.6774193548387094E-2</v>
      </c>
      <c r="BE588" s="21">
        <v>187</v>
      </c>
      <c r="BF588" s="21">
        <v>93</v>
      </c>
    </row>
    <row r="589" spans="1:58" ht="15.75" customHeight="1" x14ac:dyDescent="0.25">
      <c r="A589" s="44">
        <v>2020</v>
      </c>
      <c r="B589" s="39">
        <v>170388</v>
      </c>
      <c r="C589" s="38" t="s">
        <v>149</v>
      </c>
      <c r="D589" s="38" t="s">
        <v>36</v>
      </c>
      <c r="E589" s="21">
        <v>0</v>
      </c>
      <c r="F589" s="42">
        <f t="shared" si="265"/>
        <v>0</v>
      </c>
      <c r="G589" s="21">
        <v>0</v>
      </c>
      <c r="H589" s="42">
        <f t="shared" si="266"/>
        <v>0</v>
      </c>
      <c r="I589" s="21">
        <v>0</v>
      </c>
      <c r="J589" s="41">
        <f t="shared" si="267"/>
        <v>0</v>
      </c>
      <c r="K589" s="21">
        <v>0</v>
      </c>
      <c r="L589" s="41">
        <f t="shared" si="268"/>
        <v>0</v>
      </c>
      <c r="M589" s="21">
        <v>5</v>
      </c>
      <c r="N589" s="41">
        <f t="shared" si="269"/>
        <v>1</v>
      </c>
      <c r="O589" s="21">
        <v>0</v>
      </c>
      <c r="P589" s="41">
        <f t="shared" si="270"/>
        <v>0</v>
      </c>
      <c r="Q589" s="21">
        <v>0</v>
      </c>
      <c r="R589" s="41">
        <f t="shared" si="271"/>
        <v>0</v>
      </c>
      <c r="S589" s="21">
        <v>0</v>
      </c>
      <c r="T589" s="41">
        <f t="shared" si="272"/>
        <v>0</v>
      </c>
      <c r="U589" s="21">
        <v>0</v>
      </c>
      <c r="V589" s="41">
        <f t="shared" si="273"/>
        <v>0</v>
      </c>
      <c r="W589" s="21">
        <v>0</v>
      </c>
      <c r="X589" s="41">
        <f t="shared" si="274"/>
        <v>0</v>
      </c>
      <c r="Y589" s="21">
        <v>0</v>
      </c>
      <c r="Z589" s="41">
        <f t="shared" si="275"/>
        <v>0</v>
      </c>
      <c r="AA589" s="21">
        <v>0</v>
      </c>
      <c r="AB589" s="41">
        <f t="shared" si="276"/>
        <v>0</v>
      </c>
      <c r="AC589" s="21">
        <v>5</v>
      </c>
      <c r="AD589" s="41">
        <f t="shared" si="258"/>
        <v>1</v>
      </c>
      <c r="AE589" s="21">
        <v>0</v>
      </c>
      <c r="AF589" s="41">
        <f t="shared" si="277"/>
        <v>0</v>
      </c>
      <c r="AG589" s="21">
        <v>0</v>
      </c>
      <c r="AH589" s="41">
        <f t="shared" si="259"/>
        <v>0</v>
      </c>
      <c r="AI589" s="21">
        <v>0</v>
      </c>
      <c r="AJ589" s="41">
        <f t="shared" si="278"/>
        <v>0</v>
      </c>
      <c r="AK589" s="21">
        <v>0</v>
      </c>
      <c r="AL589" s="41">
        <f t="shared" si="260"/>
        <v>0</v>
      </c>
      <c r="AM589" s="21">
        <v>0</v>
      </c>
      <c r="AN589" s="41">
        <f t="shared" si="279"/>
        <v>0</v>
      </c>
      <c r="AO589" s="21">
        <v>4</v>
      </c>
      <c r="AP589" s="41">
        <f t="shared" si="261"/>
        <v>0.8</v>
      </c>
      <c r="AQ589" s="21">
        <v>0</v>
      </c>
      <c r="AR589" s="41">
        <f t="shared" si="280"/>
        <v>0</v>
      </c>
      <c r="AS589" s="21">
        <v>1</v>
      </c>
      <c r="AT589" s="41">
        <f t="shared" si="262"/>
        <v>0.2</v>
      </c>
      <c r="AU589" s="21">
        <v>0</v>
      </c>
      <c r="AV589" s="41">
        <f t="shared" si="281"/>
        <v>0</v>
      </c>
      <c r="AW589" s="21">
        <v>0</v>
      </c>
      <c r="AX589" s="41">
        <f t="shared" si="263"/>
        <v>0</v>
      </c>
      <c r="AY589" s="21">
        <v>0</v>
      </c>
      <c r="AZ589" s="41">
        <f t="shared" si="282"/>
        <v>0</v>
      </c>
      <c r="BA589" s="21">
        <v>0</v>
      </c>
      <c r="BB589" s="41">
        <f t="shared" si="264"/>
        <v>0</v>
      </c>
      <c r="BC589" s="21">
        <v>0</v>
      </c>
      <c r="BD589" s="41">
        <f t="shared" si="283"/>
        <v>0</v>
      </c>
      <c r="BE589" s="21">
        <v>5</v>
      </c>
      <c r="BF589" s="21">
        <v>0</v>
      </c>
    </row>
    <row r="590" spans="1:58" ht="15.75" customHeight="1" x14ac:dyDescent="0.25">
      <c r="A590" s="44">
        <v>2020</v>
      </c>
      <c r="B590" s="39">
        <v>170389</v>
      </c>
      <c r="C590" s="38" t="s">
        <v>145</v>
      </c>
      <c r="D590" s="38" t="s">
        <v>37</v>
      </c>
      <c r="E590" s="21">
        <v>0</v>
      </c>
      <c r="F590" s="42">
        <f t="shared" si="265"/>
        <v>0</v>
      </c>
      <c r="G590" s="21">
        <v>0</v>
      </c>
      <c r="H590" s="42">
        <f t="shared" si="266"/>
        <v>0</v>
      </c>
      <c r="I590" s="21">
        <v>6</v>
      </c>
      <c r="J590" s="41">
        <f t="shared" si="267"/>
        <v>4.5801526717557252E-2</v>
      </c>
      <c r="K590" s="21">
        <v>3</v>
      </c>
      <c r="L590" s="41">
        <f t="shared" si="268"/>
        <v>3.5714285714285712E-2</v>
      </c>
      <c r="M590" s="21">
        <v>118</v>
      </c>
      <c r="N590" s="41">
        <f t="shared" si="269"/>
        <v>0.9007633587786259</v>
      </c>
      <c r="O590" s="21">
        <v>76</v>
      </c>
      <c r="P590" s="41">
        <f t="shared" si="270"/>
        <v>0.90476190476190477</v>
      </c>
      <c r="Q590" s="21">
        <v>7</v>
      </c>
      <c r="R590" s="41">
        <f t="shared" si="271"/>
        <v>5.3435114503816793E-2</v>
      </c>
      <c r="S590" s="21">
        <v>5</v>
      </c>
      <c r="T590" s="41">
        <f t="shared" si="272"/>
        <v>5.9523809523809521E-2</v>
      </c>
      <c r="U590" s="21">
        <v>5</v>
      </c>
      <c r="V590" s="41">
        <f t="shared" si="273"/>
        <v>3.8167938931297711E-2</v>
      </c>
      <c r="W590" s="21">
        <v>5</v>
      </c>
      <c r="X590" s="41">
        <f t="shared" si="274"/>
        <v>5.9523809523809521E-2</v>
      </c>
      <c r="Y590" s="21">
        <v>9</v>
      </c>
      <c r="Z590" s="41">
        <f t="shared" si="275"/>
        <v>6.8702290076335881E-2</v>
      </c>
      <c r="AA590" s="21">
        <v>8</v>
      </c>
      <c r="AB590" s="41">
        <f t="shared" si="276"/>
        <v>9.5238095238095233E-2</v>
      </c>
      <c r="AC590" s="21">
        <v>117</v>
      </c>
      <c r="AD590" s="41">
        <f t="shared" si="258"/>
        <v>0.89312977099236646</v>
      </c>
      <c r="AE590" s="21">
        <v>71</v>
      </c>
      <c r="AF590" s="41">
        <f t="shared" si="277"/>
        <v>0.84523809523809523</v>
      </c>
      <c r="AG590" s="21">
        <v>2</v>
      </c>
      <c r="AH590" s="41">
        <f t="shared" si="259"/>
        <v>1.5267175572519083E-2</v>
      </c>
      <c r="AI590" s="21">
        <v>2</v>
      </c>
      <c r="AJ590" s="41">
        <f t="shared" si="278"/>
        <v>2.3809523809523808E-2</v>
      </c>
      <c r="AK590" s="21">
        <v>10</v>
      </c>
      <c r="AL590" s="41">
        <f t="shared" si="260"/>
        <v>7.6335877862595422E-2</v>
      </c>
      <c r="AM590" s="21">
        <v>6</v>
      </c>
      <c r="AN590" s="41">
        <f t="shared" si="279"/>
        <v>7.1428571428571425E-2</v>
      </c>
      <c r="AO590" s="21">
        <v>84</v>
      </c>
      <c r="AP590" s="41">
        <f t="shared" si="261"/>
        <v>0.64122137404580148</v>
      </c>
      <c r="AQ590" s="21">
        <v>56</v>
      </c>
      <c r="AR590" s="41">
        <f t="shared" si="280"/>
        <v>0.66666666666666663</v>
      </c>
      <c r="AS590" s="21">
        <v>18</v>
      </c>
      <c r="AT590" s="41">
        <f t="shared" si="262"/>
        <v>0.13740458015267176</v>
      </c>
      <c r="AU590" s="21">
        <v>8</v>
      </c>
      <c r="AV590" s="41">
        <f t="shared" si="281"/>
        <v>9.5238095238095233E-2</v>
      </c>
      <c r="AW590" s="21">
        <v>10</v>
      </c>
      <c r="AX590" s="41">
        <f t="shared" si="263"/>
        <v>7.6335877862595422E-2</v>
      </c>
      <c r="AY590" s="21">
        <v>9</v>
      </c>
      <c r="AZ590" s="41">
        <f t="shared" si="282"/>
        <v>0.10714285714285714</v>
      </c>
      <c r="BA590" s="21">
        <v>7</v>
      </c>
      <c r="BB590" s="41">
        <f t="shared" si="264"/>
        <v>5.3435114503816793E-2</v>
      </c>
      <c r="BC590" s="21">
        <v>3</v>
      </c>
      <c r="BD590" s="41">
        <f t="shared" si="283"/>
        <v>3.5714285714285712E-2</v>
      </c>
      <c r="BE590" s="21">
        <v>131</v>
      </c>
      <c r="BF590" s="21">
        <v>84</v>
      </c>
    </row>
    <row r="591" spans="1:58" ht="15.75" customHeight="1" x14ac:dyDescent="0.25">
      <c r="A591" s="44">
        <v>2020</v>
      </c>
      <c r="B591" s="39">
        <v>170390</v>
      </c>
      <c r="C591" s="38" t="s">
        <v>144</v>
      </c>
      <c r="D591" s="38" t="s">
        <v>38</v>
      </c>
      <c r="E591" s="21">
        <v>3</v>
      </c>
      <c r="F591" s="42">
        <f t="shared" si="265"/>
        <v>4.4776119402985072E-2</v>
      </c>
      <c r="G591" s="21">
        <v>0</v>
      </c>
      <c r="H591" s="42">
        <f t="shared" si="266"/>
        <v>0</v>
      </c>
      <c r="I591" s="21">
        <v>3</v>
      </c>
      <c r="J591" s="41">
        <f t="shared" si="267"/>
        <v>4.4776119402985072E-2</v>
      </c>
      <c r="K591" s="21">
        <v>1</v>
      </c>
      <c r="L591" s="41">
        <f t="shared" si="268"/>
        <v>9.0909090909090912E-2</v>
      </c>
      <c r="M591" s="21">
        <v>54</v>
      </c>
      <c r="N591" s="41">
        <f t="shared" si="269"/>
        <v>0.80597014925373134</v>
      </c>
      <c r="O591" s="21">
        <v>9</v>
      </c>
      <c r="P591" s="41">
        <f t="shared" si="270"/>
        <v>0.81818181818181823</v>
      </c>
      <c r="Q591" s="21">
        <v>7</v>
      </c>
      <c r="R591" s="41">
        <f t="shared" si="271"/>
        <v>0.1044776119402985</v>
      </c>
      <c r="S591" s="21">
        <v>1</v>
      </c>
      <c r="T591" s="41">
        <f t="shared" si="272"/>
        <v>9.0909090909090912E-2</v>
      </c>
      <c r="U591" s="21">
        <v>8</v>
      </c>
      <c r="V591" s="41">
        <f t="shared" si="273"/>
        <v>0.11940298507462686</v>
      </c>
      <c r="W591" s="21">
        <v>1</v>
      </c>
      <c r="X591" s="41">
        <f t="shared" si="274"/>
        <v>9.0909090909090912E-2</v>
      </c>
      <c r="Y591" s="21">
        <v>6</v>
      </c>
      <c r="Z591" s="41">
        <f t="shared" si="275"/>
        <v>8.9552238805970144E-2</v>
      </c>
      <c r="AA591" s="21">
        <v>2</v>
      </c>
      <c r="AB591" s="41">
        <f t="shared" si="276"/>
        <v>0.18181818181818182</v>
      </c>
      <c r="AC591" s="21">
        <v>53</v>
      </c>
      <c r="AD591" s="41">
        <f t="shared" si="258"/>
        <v>0.79104477611940294</v>
      </c>
      <c r="AE591" s="21">
        <v>8</v>
      </c>
      <c r="AF591" s="41">
        <f t="shared" si="277"/>
        <v>0.72727272727272729</v>
      </c>
      <c r="AG591" s="21">
        <v>1</v>
      </c>
      <c r="AH591" s="41">
        <f t="shared" si="259"/>
        <v>1.4925373134328358E-2</v>
      </c>
      <c r="AI591" s="21">
        <v>0</v>
      </c>
      <c r="AJ591" s="41">
        <f t="shared" si="278"/>
        <v>0</v>
      </c>
      <c r="AK591" s="21">
        <v>0</v>
      </c>
      <c r="AL591" s="41">
        <f t="shared" si="260"/>
        <v>0</v>
      </c>
      <c r="AM591" s="21">
        <v>0</v>
      </c>
      <c r="AN591" s="41">
        <f t="shared" si="279"/>
        <v>0</v>
      </c>
      <c r="AO591" s="21">
        <v>36</v>
      </c>
      <c r="AP591" s="41">
        <f t="shared" si="261"/>
        <v>0.53731343283582089</v>
      </c>
      <c r="AQ591" s="21">
        <v>4</v>
      </c>
      <c r="AR591" s="41">
        <f t="shared" si="280"/>
        <v>0.36363636363636365</v>
      </c>
      <c r="AS591" s="21">
        <v>17</v>
      </c>
      <c r="AT591" s="41">
        <f t="shared" si="262"/>
        <v>0.2537313432835821</v>
      </c>
      <c r="AU591" s="21">
        <v>5</v>
      </c>
      <c r="AV591" s="41">
        <f t="shared" si="281"/>
        <v>0.45454545454545453</v>
      </c>
      <c r="AW591" s="21">
        <v>5</v>
      </c>
      <c r="AX591" s="41">
        <f t="shared" si="263"/>
        <v>7.4626865671641784E-2</v>
      </c>
      <c r="AY591" s="21">
        <v>1</v>
      </c>
      <c r="AZ591" s="41">
        <f t="shared" si="282"/>
        <v>9.0909090909090912E-2</v>
      </c>
      <c r="BA591" s="21">
        <v>8</v>
      </c>
      <c r="BB591" s="41">
        <f t="shared" si="264"/>
        <v>0.11940298507462686</v>
      </c>
      <c r="BC591" s="21">
        <v>1</v>
      </c>
      <c r="BD591" s="41">
        <f t="shared" si="283"/>
        <v>9.0909090909090912E-2</v>
      </c>
      <c r="BE591" s="21">
        <v>67</v>
      </c>
      <c r="BF591" s="21">
        <v>11</v>
      </c>
    </row>
    <row r="592" spans="1:58" ht="15.75" customHeight="1" x14ac:dyDescent="0.25">
      <c r="A592" s="44">
        <v>2020</v>
      </c>
      <c r="B592" s="39">
        <v>170410</v>
      </c>
      <c r="C592" s="38" t="s">
        <v>150</v>
      </c>
      <c r="D592" s="38" t="s">
        <v>39</v>
      </c>
      <c r="E592" s="21">
        <v>0</v>
      </c>
      <c r="F592" s="42">
        <f t="shared" si="265"/>
        <v>0</v>
      </c>
      <c r="G592" s="21">
        <v>0</v>
      </c>
      <c r="H592" s="42">
        <f t="shared" si="266"/>
        <v>0</v>
      </c>
      <c r="I592" s="21">
        <v>1</v>
      </c>
      <c r="J592" s="41">
        <f t="shared" si="267"/>
        <v>1.5151515151515152E-2</v>
      </c>
      <c r="K592" s="21">
        <v>0</v>
      </c>
      <c r="L592" s="41">
        <f t="shared" si="268"/>
        <v>0</v>
      </c>
      <c r="M592" s="21">
        <v>63</v>
      </c>
      <c r="N592" s="41">
        <f t="shared" si="269"/>
        <v>0.95454545454545459</v>
      </c>
      <c r="O592" s="21">
        <v>59</v>
      </c>
      <c r="P592" s="41">
        <f t="shared" si="270"/>
        <v>0.96721311475409832</v>
      </c>
      <c r="Q592" s="21">
        <v>2</v>
      </c>
      <c r="R592" s="41">
        <f t="shared" si="271"/>
        <v>3.0303030303030304E-2</v>
      </c>
      <c r="S592" s="21">
        <v>2</v>
      </c>
      <c r="T592" s="41">
        <f t="shared" si="272"/>
        <v>3.2786885245901641E-2</v>
      </c>
      <c r="U592" s="21">
        <v>6</v>
      </c>
      <c r="V592" s="41">
        <f t="shared" si="273"/>
        <v>9.0909090909090912E-2</v>
      </c>
      <c r="W592" s="21">
        <v>5</v>
      </c>
      <c r="X592" s="41">
        <f t="shared" si="274"/>
        <v>8.1967213114754092E-2</v>
      </c>
      <c r="Y592" s="21">
        <v>4</v>
      </c>
      <c r="Z592" s="41">
        <f t="shared" si="275"/>
        <v>6.0606060606060608E-2</v>
      </c>
      <c r="AA592" s="21">
        <v>3</v>
      </c>
      <c r="AB592" s="41">
        <f t="shared" si="276"/>
        <v>4.9180327868852458E-2</v>
      </c>
      <c r="AC592" s="21">
        <v>56</v>
      </c>
      <c r="AD592" s="41">
        <f t="shared" si="258"/>
        <v>0.84848484848484851</v>
      </c>
      <c r="AE592" s="21">
        <v>53</v>
      </c>
      <c r="AF592" s="41">
        <f t="shared" si="277"/>
        <v>0.86885245901639341</v>
      </c>
      <c r="AG592" s="21">
        <v>2</v>
      </c>
      <c r="AH592" s="41">
        <f t="shared" si="259"/>
        <v>3.0303030303030304E-2</v>
      </c>
      <c r="AI592" s="21">
        <v>2</v>
      </c>
      <c r="AJ592" s="41">
        <f t="shared" si="278"/>
        <v>3.2786885245901641E-2</v>
      </c>
      <c r="AK592" s="21">
        <v>0</v>
      </c>
      <c r="AL592" s="41">
        <f t="shared" si="260"/>
        <v>0</v>
      </c>
      <c r="AM592" s="21">
        <v>0</v>
      </c>
      <c r="AN592" s="41">
        <f t="shared" si="279"/>
        <v>0</v>
      </c>
      <c r="AO592" s="21">
        <v>49</v>
      </c>
      <c r="AP592" s="41">
        <f t="shared" si="261"/>
        <v>0.74242424242424243</v>
      </c>
      <c r="AQ592" s="21">
        <v>45</v>
      </c>
      <c r="AR592" s="41">
        <f t="shared" si="280"/>
        <v>0.73770491803278693</v>
      </c>
      <c r="AS592" s="21">
        <v>8</v>
      </c>
      <c r="AT592" s="41">
        <f t="shared" si="262"/>
        <v>0.12121212121212122</v>
      </c>
      <c r="AU592" s="21">
        <v>8</v>
      </c>
      <c r="AV592" s="41">
        <f t="shared" si="281"/>
        <v>0.13114754098360656</v>
      </c>
      <c r="AW592" s="21">
        <v>5</v>
      </c>
      <c r="AX592" s="41">
        <f t="shared" si="263"/>
        <v>7.575757575757576E-2</v>
      </c>
      <c r="AY592" s="21">
        <v>4</v>
      </c>
      <c r="AZ592" s="41">
        <f t="shared" si="282"/>
        <v>6.5573770491803282E-2</v>
      </c>
      <c r="BA592" s="21">
        <v>2</v>
      </c>
      <c r="BB592" s="41">
        <f t="shared" si="264"/>
        <v>3.0303030303030304E-2</v>
      </c>
      <c r="BC592" s="21">
        <v>2</v>
      </c>
      <c r="BD592" s="41">
        <f t="shared" si="283"/>
        <v>3.2786885245901641E-2</v>
      </c>
      <c r="BE592" s="21">
        <v>66</v>
      </c>
      <c r="BF592" s="21">
        <v>61</v>
      </c>
    </row>
    <row r="593" spans="1:58" ht="15.75" customHeight="1" x14ac:dyDescent="0.25">
      <c r="A593" s="44">
        <v>2020</v>
      </c>
      <c r="B593" s="39">
        <v>170510</v>
      </c>
      <c r="C593" s="38" t="s">
        <v>151</v>
      </c>
      <c r="D593" s="38" t="s">
        <v>40</v>
      </c>
      <c r="E593" s="21">
        <v>0</v>
      </c>
      <c r="F593" s="42">
        <f t="shared" si="265"/>
        <v>0</v>
      </c>
      <c r="G593" s="21">
        <v>0</v>
      </c>
      <c r="H593" s="42">
        <f t="shared" si="266"/>
        <v>0</v>
      </c>
      <c r="I593" s="21">
        <v>3</v>
      </c>
      <c r="J593" s="41">
        <f t="shared" si="267"/>
        <v>3.0927835051546393E-2</v>
      </c>
      <c r="K593" s="21">
        <v>0</v>
      </c>
      <c r="L593" s="41">
        <f t="shared" si="268"/>
        <v>0</v>
      </c>
      <c r="M593" s="21">
        <v>93</v>
      </c>
      <c r="N593" s="41">
        <f t="shared" si="269"/>
        <v>0.95876288659793818</v>
      </c>
      <c r="O593" s="21">
        <v>5</v>
      </c>
      <c r="P593" s="41">
        <f t="shared" si="270"/>
        <v>1</v>
      </c>
      <c r="Q593" s="21">
        <v>1</v>
      </c>
      <c r="R593" s="41">
        <f t="shared" si="271"/>
        <v>1.0309278350515464E-2</v>
      </c>
      <c r="S593" s="21">
        <v>0</v>
      </c>
      <c r="T593" s="41">
        <f t="shared" si="272"/>
        <v>0</v>
      </c>
      <c r="U593" s="21">
        <v>4</v>
      </c>
      <c r="V593" s="41">
        <f t="shared" si="273"/>
        <v>4.1237113402061855E-2</v>
      </c>
      <c r="W593" s="21">
        <v>0</v>
      </c>
      <c r="X593" s="41">
        <f t="shared" si="274"/>
        <v>0</v>
      </c>
      <c r="Y593" s="21">
        <v>4</v>
      </c>
      <c r="Z593" s="41">
        <f t="shared" si="275"/>
        <v>4.1237113402061855E-2</v>
      </c>
      <c r="AA593" s="21">
        <v>0</v>
      </c>
      <c r="AB593" s="41">
        <f t="shared" si="276"/>
        <v>0</v>
      </c>
      <c r="AC593" s="21">
        <v>89</v>
      </c>
      <c r="AD593" s="41">
        <f t="shared" si="258"/>
        <v>0.91752577319587625</v>
      </c>
      <c r="AE593" s="21">
        <v>5</v>
      </c>
      <c r="AF593" s="41">
        <f t="shared" si="277"/>
        <v>1</v>
      </c>
      <c r="AG593" s="21">
        <v>6</v>
      </c>
      <c r="AH593" s="41">
        <f t="shared" si="259"/>
        <v>6.1855670103092786E-2</v>
      </c>
      <c r="AI593" s="21">
        <v>0</v>
      </c>
      <c r="AJ593" s="41">
        <f t="shared" si="278"/>
        <v>0</v>
      </c>
      <c r="AK593" s="21">
        <v>2</v>
      </c>
      <c r="AL593" s="41">
        <f t="shared" si="260"/>
        <v>2.0618556701030927E-2</v>
      </c>
      <c r="AM593" s="21">
        <v>0</v>
      </c>
      <c r="AN593" s="41">
        <f t="shared" si="279"/>
        <v>0</v>
      </c>
      <c r="AO593" s="21">
        <v>69</v>
      </c>
      <c r="AP593" s="41">
        <f t="shared" si="261"/>
        <v>0.71134020618556704</v>
      </c>
      <c r="AQ593" s="21">
        <v>5</v>
      </c>
      <c r="AR593" s="41">
        <f t="shared" si="280"/>
        <v>1</v>
      </c>
      <c r="AS593" s="21">
        <v>15</v>
      </c>
      <c r="AT593" s="41">
        <f t="shared" si="262"/>
        <v>0.15463917525773196</v>
      </c>
      <c r="AU593" s="21">
        <v>0</v>
      </c>
      <c r="AV593" s="41">
        <f t="shared" si="281"/>
        <v>0</v>
      </c>
      <c r="AW593" s="21">
        <v>3</v>
      </c>
      <c r="AX593" s="41">
        <f t="shared" si="263"/>
        <v>3.0927835051546393E-2</v>
      </c>
      <c r="AY593" s="21">
        <v>0</v>
      </c>
      <c r="AZ593" s="41">
        <f t="shared" si="282"/>
        <v>0</v>
      </c>
      <c r="BA593" s="21">
        <v>2</v>
      </c>
      <c r="BB593" s="41">
        <f t="shared" si="264"/>
        <v>2.0618556701030927E-2</v>
      </c>
      <c r="BC593" s="21">
        <v>0</v>
      </c>
      <c r="BD593" s="41">
        <f t="shared" si="283"/>
        <v>0</v>
      </c>
      <c r="BE593" s="21">
        <v>97</v>
      </c>
      <c r="BF593" s="21">
        <v>5</v>
      </c>
    </row>
    <row r="594" spans="1:58" ht="15.75" customHeight="1" x14ac:dyDescent="0.25">
      <c r="A594" s="44">
        <v>2020</v>
      </c>
      <c r="B594" s="39">
        <v>170460</v>
      </c>
      <c r="C594" s="38" t="s">
        <v>144</v>
      </c>
      <c r="D594" s="38" t="s">
        <v>41</v>
      </c>
      <c r="E594" s="21">
        <v>1</v>
      </c>
      <c r="F594" s="42">
        <f t="shared" si="265"/>
        <v>1.7543859649122806E-2</v>
      </c>
      <c r="G594" s="21">
        <v>1</v>
      </c>
      <c r="H594" s="42">
        <f t="shared" si="266"/>
        <v>1.8181818181818181E-2</v>
      </c>
      <c r="I594" s="21">
        <v>1</v>
      </c>
      <c r="J594" s="41">
        <f t="shared" si="267"/>
        <v>1.7543859649122806E-2</v>
      </c>
      <c r="K594" s="21">
        <v>1</v>
      </c>
      <c r="L594" s="41">
        <f t="shared" si="268"/>
        <v>1.8181818181818181E-2</v>
      </c>
      <c r="M594" s="21">
        <v>51</v>
      </c>
      <c r="N594" s="41">
        <f t="shared" si="269"/>
        <v>0.89473684210526316</v>
      </c>
      <c r="O594" s="21">
        <v>49</v>
      </c>
      <c r="P594" s="41">
        <f t="shared" si="270"/>
        <v>0.89090909090909087</v>
      </c>
      <c r="Q594" s="21">
        <v>4</v>
      </c>
      <c r="R594" s="41">
        <f t="shared" si="271"/>
        <v>7.0175438596491224E-2</v>
      </c>
      <c r="S594" s="21">
        <v>4</v>
      </c>
      <c r="T594" s="41">
        <f t="shared" si="272"/>
        <v>7.2727272727272724E-2</v>
      </c>
      <c r="U594" s="21">
        <v>1</v>
      </c>
      <c r="V594" s="41">
        <f t="shared" si="273"/>
        <v>1.7543859649122806E-2</v>
      </c>
      <c r="W594" s="21">
        <v>1</v>
      </c>
      <c r="X594" s="41">
        <f t="shared" si="274"/>
        <v>1.8181818181818181E-2</v>
      </c>
      <c r="Y594" s="21">
        <v>4</v>
      </c>
      <c r="Z594" s="41">
        <f t="shared" si="275"/>
        <v>7.0175438596491224E-2</v>
      </c>
      <c r="AA594" s="21">
        <v>4</v>
      </c>
      <c r="AB594" s="41">
        <f t="shared" si="276"/>
        <v>7.2727272727272724E-2</v>
      </c>
      <c r="AC594" s="21">
        <v>52</v>
      </c>
      <c r="AD594" s="41">
        <f t="shared" si="258"/>
        <v>0.91228070175438591</v>
      </c>
      <c r="AE594" s="21">
        <v>50</v>
      </c>
      <c r="AF594" s="41">
        <f t="shared" si="277"/>
        <v>0.90909090909090906</v>
      </c>
      <c r="AG594" s="21">
        <v>3</v>
      </c>
      <c r="AH594" s="41">
        <f t="shared" si="259"/>
        <v>5.2631578947368418E-2</v>
      </c>
      <c r="AI594" s="21">
        <v>3</v>
      </c>
      <c r="AJ594" s="41">
        <f t="shared" si="278"/>
        <v>5.4545454545454543E-2</v>
      </c>
      <c r="AK594" s="21">
        <v>1</v>
      </c>
      <c r="AL594" s="41">
        <f t="shared" si="260"/>
        <v>1.7543859649122806E-2</v>
      </c>
      <c r="AM594" s="21">
        <v>1</v>
      </c>
      <c r="AN594" s="41">
        <f t="shared" si="279"/>
        <v>1.8181818181818181E-2</v>
      </c>
      <c r="AO594" s="21">
        <v>46</v>
      </c>
      <c r="AP594" s="41">
        <f t="shared" si="261"/>
        <v>0.80701754385964908</v>
      </c>
      <c r="AQ594" s="21">
        <v>45</v>
      </c>
      <c r="AR594" s="41">
        <f t="shared" si="280"/>
        <v>0.81818181818181823</v>
      </c>
      <c r="AS594" s="21">
        <v>2</v>
      </c>
      <c r="AT594" s="41">
        <f t="shared" si="262"/>
        <v>3.5087719298245612E-2</v>
      </c>
      <c r="AU594" s="21">
        <v>2</v>
      </c>
      <c r="AV594" s="41">
        <f t="shared" si="281"/>
        <v>3.6363636363636362E-2</v>
      </c>
      <c r="AW594" s="21">
        <v>2</v>
      </c>
      <c r="AX594" s="41">
        <f t="shared" si="263"/>
        <v>3.5087719298245612E-2</v>
      </c>
      <c r="AY594" s="21">
        <v>2</v>
      </c>
      <c r="AZ594" s="41">
        <f t="shared" si="282"/>
        <v>3.6363636363636362E-2</v>
      </c>
      <c r="BA594" s="21">
        <v>3</v>
      </c>
      <c r="BB594" s="41">
        <f t="shared" si="264"/>
        <v>5.2631578947368418E-2</v>
      </c>
      <c r="BC594" s="21">
        <v>2</v>
      </c>
      <c r="BD594" s="41">
        <f t="shared" si="283"/>
        <v>3.6363636363636362E-2</v>
      </c>
      <c r="BE594" s="21">
        <v>57</v>
      </c>
      <c r="BF594" s="21">
        <v>55</v>
      </c>
    </row>
    <row r="595" spans="1:58" ht="15.75" customHeight="1" x14ac:dyDescent="0.25">
      <c r="A595" s="44">
        <v>2020</v>
      </c>
      <c r="B595" s="39">
        <v>170550</v>
      </c>
      <c r="C595" s="38" t="s">
        <v>150</v>
      </c>
      <c r="D595" s="38" t="s">
        <v>42</v>
      </c>
      <c r="E595" s="21">
        <v>11</v>
      </c>
      <c r="F595" s="42">
        <f t="shared" si="265"/>
        <v>1.6296296296296295E-2</v>
      </c>
      <c r="G595" s="21">
        <v>8</v>
      </c>
      <c r="H595" s="42">
        <f t="shared" si="266"/>
        <v>1.834862385321101E-2</v>
      </c>
      <c r="I595" s="21">
        <v>18</v>
      </c>
      <c r="J595" s="41">
        <f t="shared" si="267"/>
        <v>2.6666666666666668E-2</v>
      </c>
      <c r="K595" s="21">
        <v>10</v>
      </c>
      <c r="L595" s="41">
        <f t="shared" si="268"/>
        <v>2.2935779816513763E-2</v>
      </c>
      <c r="M595" s="21">
        <v>594</v>
      </c>
      <c r="N595" s="41">
        <f t="shared" si="269"/>
        <v>0.88</v>
      </c>
      <c r="O595" s="21">
        <v>386</v>
      </c>
      <c r="P595" s="41">
        <f t="shared" si="270"/>
        <v>0.88532110091743121</v>
      </c>
      <c r="Q595" s="21">
        <v>52</v>
      </c>
      <c r="R595" s="41">
        <f t="shared" si="271"/>
        <v>7.7037037037037043E-2</v>
      </c>
      <c r="S595" s="21">
        <v>32</v>
      </c>
      <c r="T595" s="41">
        <f t="shared" si="272"/>
        <v>7.3394495412844041E-2</v>
      </c>
      <c r="U595" s="21">
        <v>40</v>
      </c>
      <c r="V595" s="41">
        <f t="shared" si="273"/>
        <v>5.9259259259259262E-2</v>
      </c>
      <c r="W595" s="21">
        <v>33</v>
      </c>
      <c r="X595" s="41">
        <f t="shared" si="274"/>
        <v>7.5688073394495417E-2</v>
      </c>
      <c r="Y595" s="21">
        <v>41</v>
      </c>
      <c r="Z595" s="41">
        <f t="shared" si="275"/>
        <v>6.0740740740740741E-2</v>
      </c>
      <c r="AA595" s="21">
        <v>30</v>
      </c>
      <c r="AB595" s="41">
        <f t="shared" si="276"/>
        <v>6.8807339449541288E-2</v>
      </c>
      <c r="AC595" s="21">
        <v>594</v>
      </c>
      <c r="AD595" s="41">
        <f t="shared" si="258"/>
        <v>0.88</v>
      </c>
      <c r="AE595" s="21">
        <v>373</v>
      </c>
      <c r="AF595" s="41">
        <f t="shared" si="277"/>
        <v>0.85550458715596334</v>
      </c>
      <c r="AG595" s="21">
        <v>16</v>
      </c>
      <c r="AH595" s="41">
        <f t="shared" si="259"/>
        <v>2.3703703703703703E-2</v>
      </c>
      <c r="AI595" s="21">
        <v>12</v>
      </c>
      <c r="AJ595" s="41">
        <f t="shared" si="278"/>
        <v>2.7522935779816515E-2</v>
      </c>
      <c r="AK595" s="21">
        <v>22</v>
      </c>
      <c r="AL595" s="41">
        <f t="shared" si="260"/>
        <v>3.259259259259259E-2</v>
      </c>
      <c r="AM595" s="21">
        <v>16</v>
      </c>
      <c r="AN595" s="41">
        <f t="shared" si="279"/>
        <v>3.669724770642202E-2</v>
      </c>
      <c r="AO595" s="21">
        <v>431</v>
      </c>
      <c r="AP595" s="41">
        <f t="shared" si="261"/>
        <v>0.63851851851851849</v>
      </c>
      <c r="AQ595" s="21">
        <v>280</v>
      </c>
      <c r="AR595" s="41">
        <f t="shared" si="280"/>
        <v>0.64220183486238536</v>
      </c>
      <c r="AS595" s="21">
        <v>111</v>
      </c>
      <c r="AT595" s="41">
        <f t="shared" si="262"/>
        <v>0.16444444444444445</v>
      </c>
      <c r="AU595" s="21">
        <v>61</v>
      </c>
      <c r="AV595" s="41">
        <f t="shared" si="281"/>
        <v>0.13990825688073394</v>
      </c>
      <c r="AW595" s="21">
        <v>51</v>
      </c>
      <c r="AX595" s="41">
        <f t="shared" si="263"/>
        <v>7.5555555555555556E-2</v>
      </c>
      <c r="AY595" s="21">
        <v>30</v>
      </c>
      <c r="AZ595" s="41">
        <f t="shared" si="282"/>
        <v>6.8807339449541288E-2</v>
      </c>
      <c r="BA595" s="21">
        <v>44</v>
      </c>
      <c r="BB595" s="41">
        <f t="shared" si="264"/>
        <v>6.5185185185185179E-2</v>
      </c>
      <c r="BC595" s="21">
        <v>37</v>
      </c>
      <c r="BD595" s="41">
        <f t="shared" si="283"/>
        <v>8.4862385321100922E-2</v>
      </c>
      <c r="BE595" s="21">
        <v>675</v>
      </c>
      <c r="BF595" s="21">
        <v>436</v>
      </c>
    </row>
    <row r="596" spans="1:58" ht="15.75" customHeight="1" x14ac:dyDescent="0.25">
      <c r="A596" s="44">
        <v>2020</v>
      </c>
      <c r="B596" s="39">
        <v>171670</v>
      </c>
      <c r="C596" s="38" t="s">
        <v>150</v>
      </c>
      <c r="D596" s="38" t="s">
        <v>43</v>
      </c>
      <c r="E596" s="21">
        <v>3</v>
      </c>
      <c r="F596" s="42">
        <f t="shared" si="265"/>
        <v>1.7045454545454544E-2</v>
      </c>
      <c r="G596" s="21">
        <v>1</v>
      </c>
      <c r="H596" s="42">
        <f t="shared" si="266"/>
        <v>8.2644628099173556E-3</v>
      </c>
      <c r="I596" s="21">
        <v>2</v>
      </c>
      <c r="J596" s="41">
        <f t="shared" si="267"/>
        <v>1.1363636363636364E-2</v>
      </c>
      <c r="K596" s="21">
        <v>2</v>
      </c>
      <c r="L596" s="41">
        <f t="shared" si="268"/>
        <v>1.6528925619834711E-2</v>
      </c>
      <c r="M596" s="21">
        <v>156</v>
      </c>
      <c r="N596" s="41">
        <f t="shared" si="269"/>
        <v>0.88636363636363635</v>
      </c>
      <c r="O596" s="21">
        <v>108</v>
      </c>
      <c r="P596" s="41">
        <f t="shared" si="270"/>
        <v>0.8925619834710744</v>
      </c>
      <c r="Q596" s="21">
        <v>15</v>
      </c>
      <c r="R596" s="41">
        <f t="shared" si="271"/>
        <v>8.5227272727272721E-2</v>
      </c>
      <c r="S596" s="21">
        <v>10</v>
      </c>
      <c r="T596" s="41">
        <f t="shared" si="272"/>
        <v>8.2644628099173556E-2</v>
      </c>
      <c r="U596" s="21">
        <v>7</v>
      </c>
      <c r="V596" s="41">
        <f t="shared" si="273"/>
        <v>3.9772727272727272E-2</v>
      </c>
      <c r="W596" s="21">
        <v>7</v>
      </c>
      <c r="X596" s="41">
        <f t="shared" si="274"/>
        <v>5.7851239669421489E-2</v>
      </c>
      <c r="Y596" s="21">
        <v>3</v>
      </c>
      <c r="Z596" s="41">
        <f t="shared" si="275"/>
        <v>1.7045454545454544E-2</v>
      </c>
      <c r="AA596" s="21">
        <v>2</v>
      </c>
      <c r="AB596" s="41">
        <f t="shared" si="276"/>
        <v>1.6528925619834711E-2</v>
      </c>
      <c r="AC596" s="21">
        <v>166</v>
      </c>
      <c r="AD596" s="41">
        <f t="shared" si="258"/>
        <v>0.94318181818181823</v>
      </c>
      <c r="AE596" s="21">
        <v>112</v>
      </c>
      <c r="AF596" s="41">
        <f t="shared" si="277"/>
        <v>0.92561983471074383</v>
      </c>
      <c r="AG596" s="21">
        <v>4</v>
      </c>
      <c r="AH596" s="41">
        <f t="shared" si="259"/>
        <v>2.2727272727272728E-2</v>
      </c>
      <c r="AI596" s="21">
        <v>2</v>
      </c>
      <c r="AJ596" s="41">
        <f t="shared" si="278"/>
        <v>1.6528925619834711E-2</v>
      </c>
      <c r="AK596" s="21">
        <v>7</v>
      </c>
      <c r="AL596" s="41">
        <f t="shared" si="260"/>
        <v>3.9772727272727272E-2</v>
      </c>
      <c r="AM596" s="21">
        <v>5</v>
      </c>
      <c r="AN596" s="41">
        <f t="shared" si="279"/>
        <v>4.1322314049586778E-2</v>
      </c>
      <c r="AO596" s="21">
        <v>117</v>
      </c>
      <c r="AP596" s="41">
        <f t="shared" si="261"/>
        <v>0.66477272727272729</v>
      </c>
      <c r="AQ596" s="21">
        <v>81</v>
      </c>
      <c r="AR596" s="41">
        <f t="shared" si="280"/>
        <v>0.66942148760330578</v>
      </c>
      <c r="AS596" s="21">
        <v>28</v>
      </c>
      <c r="AT596" s="41">
        <f t="shared" si="262"/>
        <v>0.15909090909090909</v>
      </c>
      <c r="AU596" s="21">
        <v>21</v>
      </c>
      <c r="AV596" s="41">
        <f t="shared" si="281"/>
        <v>0.17355371900826447</v>
      </c>
      <c r="AW596" s="21">
        <v>12</v>
      </c>
      <c r="AX596" s="41">
        <f t="shared" si="263"/>
        <v>6.8181818181818177E-2</v>
      </c>
      <c r="AY596" s="21">
        <v>6</v>
      </c>
      <c r="AZ596" s="41">
        <f t="shared" si="282"/>
        <v>4.9586776859504134E-2</v>
      </c>
      <c r="BA596" s="21">
        <v>8</v>
      </c>
      <c r="BB596" s="41">
        <f t="shared" si="264"/>
        <v>4.5454545454545456E-2</v>
      </c>
      <c r="BC596" s="21">
        <v>6</v>
      </c>
      <c r="BD596" s="41">
        <f t="shared" si="283"/>
        <v>4.9586776859504134E-2</v>
      </c>
      <c r="BE596" s="21">
        <v>176</v>
      </c>
      <c r="BF596" s="21">
        <v>121</v>
      </c>
    </row>
    <row r="597" spans="1:58" ht="15.75" customHeight="1" x14ac:dyDescent="0.25">
      <c r="A597" s="44">
        <v>2020</v>
      </c>
      <c r="B597" s="39">
        <v>170555</v>
      </c>
      <c r="C597" s="38" t="s">
        <v>147</v>
      </c>
      <c r="D597" s="38" t="s">
        <v>44</v>
      </c>
      <c r="E597" s="21">
        <v>6</v>
      </c>
      <c r="F597" s="42">
        <f t="shared" si="265"/>
        <v>2.8846153846153848E-2</v>
      </c>
      <c r="G597" s="21">
        <v>6</v>
      </c>
      <c r="H597" s="42">
        <f t="shared" si="266"/>
        <v>3.5502958579881658E-2</v>
      </c>
      <c r="I597" s="21">
        <v>10</v>
      </c>
      <c r="J597" s="41">
        <f t="shared" si="267"/>
        <v>4.807692307692308E-2</v>
      </c>
      <c r="K597" s="21">
        <v>9</v>
      </c>
      <c r="L597" s="41">
        <f t="shared" si="268"/>
        <v>5.3254437869822487E-2</v>
      </c>
      <c r="M597" s="21">
        <v>172</v>
      </c>
      <c r="N597" s="41">
        <f t="shared" si="269"/>
        <v>0.82692307692307687</v>
      </c>
      <c r="O597" s="21">
        <v>140</v>
      </c>
      <c r="P597" s="41">
        <f t="shared" si="270"/>
        <v>0.82840236686390534</v>
      </c>
      <c r="Q597" s="21">
        <v>20</v>
      </c>
      <c r="R597" s="41">
        <f t="shared" si="271"/>
        <v>9.6153846153846159E-2</v>
      </c>
      <c r="S597" s="21">
        <v>14</v>
      </c>
      <c r="T597" s="41">
        <f t="shared" si="272"/>
        <v>8.2840236686390539E-2</v>
      </c>
      <c r="U597" s="21">
        <v>16</v>
      </c>
      <c r="V597" s="41">
        <f t="shared" si="273"/>
        <v>7.6923076923076927E-2</v>
      </c>
      <c r="W597" s="21">
        <v>14</v>
      </c>
      <c r="X597" s="41">
        <f t="shared" si="274"/>
        <v>8.2840236686390539E-2</v>
      </c>
      <c r="Y597" s="21">
        <v>17</v>
      </c>
      <c r="Z597" s="41">
        <f t="shared" si="275"/>
        <v>8.1730769230769232E-2</v>
      </c>
      <c r="AA597" s="21">
        <v>17</v>
      </c>
      <c r="AB597" s="41">
        <f t="shared" si="276"/>
        <v>0.10059171597633136</v>
      </c>
      <c r="AC597" s="21">
        <v>175</v>
      </c>
      <c r="AD597" s="41">
        <f t="shared" si="258"/>
        <v>0.84134615384615385</v>
      </c>
      <c r="AE597" s="21">
        <v>138</v>
      </c>
      <c r="AF597" s="41">
        <f t="shared" si="277"/>
        <v>0.81656804733727806</v>
      </c>
      <c r="AG597" s="21">
        <v>32</v>
      </c>
      <c r="AH597" s="41">
        <f t="shared" si="259"/>
        <v>0.15384615384615385</v>
      </c>
      <c r="AI597" s="21">
        <v>30</v>
      </c>
      <c r="AJ597" s="41">
        <f t="shared" si="278"/>
        <v>0.17751479289940827</v>
      </c>
      <c r="AK597" s="21">
        <v>6</v>
      </c>
      <c r="AL597" s="41">
        <f t="shared" si="260"/>
        <v>2.8846153846153848E-2</v>
      </c>
      <c r="AM597" s="21">
        <v>6</v>
      </c>
      <c r="AN597" s="41">
        <f t="shared" si="279"/>
        <v>3.5502958579881658E-2</v>
      </c>
      <c r="AO597" s="21">
        <v>90</v>
      </c>
      <c r="AP597" s="41">
        <f t="shared" si="261"/>
        <v>0.43269230769230771</v>
      </c>
      <c r="AQ597" s="21">
        <v>65</v>
      </c>
      <c r="AR597" s="41">
        <f t="shared" si="280"/>
        <v>0.38461538461538464</v>
      </c>
      <c r="AS597" s="21">
        <v>36</v>
      </c>
      <c r="AT597" s="41">
        <f t="shared" si="262"/>
        <v>0.17307692307692307</v>
      </c>
      <c r="AU597" s="21">
        <v>30</v>
      </c>
      <c r="AV597" s="41">
        <f t="shared" si="281"/>
        <v>0.17751479289940827</v>
      </c>
      <c r="AW597" s="21">
        <v>25</v>
      </c>
      <c r="AX597" s="41">
        <f t="shared" si="263"/>
        <v>0.1201923076923077</v>
      </c>
      <c r="AY597" s="21">
        <v>21</v>
      </c>
      <c r="AZ597" s="41">
        <f t="shared" si="282"/>
        <v>0.1242603550295858</v>
      </c>
      <c r="BA597" s="21">
        <v>19</v>
      </c>
      <c r="BB597" s="41">
        <f t="shared" si="264"/>
        <v>9.1346153846153841E-2</v>
      </c>
      <c r="BC597" s="21">
        <v>17</v>
      </c>
      <c r="BD597" s="41">
        <f t="shared" si="283"/>
        <v>0.10059171597633136</v>
      </c>
      <c r="BE597" s="21">
        <v>208</v>
      </c>
      <c r="BF597" s="21">
        <v>169</v>
      </c>
    </row>
    <row r="598" spans="1:58" ht="15.75" customHeight="1" x14ac:dyDescent="0.25">
      <c r="A598" s="44">
        <v>2020</v>
      </c>
      <c r="B598" s="39">
        <v>170560</v>
      </c>
      <c r="C598" s="38" t="s">
        <v>147</v>
      </c>
      <c r="D598" s="38" t="s">
        <v>45</v>
      </c>
      <c r="E598" s="21">
        <v>0</v>
      </c>
      <c r="F598" s="42">
        <f t="shared" si="265"/>
        <v>0</v>
      </c>
      <c r="G598" s="21">
        <v>0</v>
      </c>
      <c r="H598" s="42">
        <f t="shared" si="266"/>
        <v>0</v>
      </c>
      <c r="I598" s="21">
        <v>4</v>
      </c>
      <c r="J598" s="41">
        <f t="shared" si="267"/>
        <v>8.8888888888888892E-2</v>
      </c>
      <c r="K598" s="21">
        <v>0</v>
      </c>
      <c r="L598" s="41">
        <f t="shared" si="268"/>
        <v>0</v>
      </c>
      <c r="M598" s="21">
        <v>34</v>
      </c>
      <c r="N598" s="41">
        <f t="shared" si="269"/>
        <v>0.75555555555555554</v>
      </c>
      <c r="O598" s="21">
        <v>5</v>
      </c>
      <c r="P598" s="41">
        <f t="shared" si="270"/>
        <v>1</v>
      </c>
      <c r="Q598" s="21">
        <v>7</v>
      </c>
      <c r="R598" s="41">
        <f t="shared" si="271"/>
        <v>0.15555555555555556</v>
      </c>
      <c r="S598" s="21">
        <v>0</v>
      </c>
      <c r="T598" s="41">
        <f t="shared" si="272"/>
        <v>0</v>
      </c>
      <c r="U598" s="21">
        <v>4</v>
      </c>
      <c r="V598" s="41">
        <f t="shared" si="273"/>
        <v>8.8888888888888892E-2</v>
      </c>
      <c r="W598" s="21">
        <v>0</v>
      </c>
      <c r="X598" s="41">
        <f t="shared" si="274"/>
        <v>0</v>
      </c>
      <c r="Y598" s="21">
        <v>2</v>
      </c>
      <c r="Z598" s="41">
        <f t="shared" si="275"/>
        <v>4.4444444444444446E-2</v>
      </c>
      <c r="AA598" s="21">
        <v>0</v>
      </c>
      <c r="AB598" s="41">
        <f t="shared" si="276"/>
        <v>0</v>
      </c>
      <c r="AC598" s="21">
        <v>39</v>
      </c>
      <c r="AD598" s="41">
        <f t="shared" si="258"/>
        <v>0.8666666666666667</v>
      </c>
      <c r="AE598" s="21">
        <v>5</v>
      </c>
      <c r="AF598" s="41">
        <f t="shared" si="277"/>
        <v>1</v>
      </c>
      <c r="AG598" s="21">
        <v>0</v>
      </c>
      <c r="AH598" s="41">
        <f t="shared" si="259"/>
        <v>0</v>
      </c>
      <c r="AI598" s="21">
        <v>1</v>
      </c>
      <c r="AJ598" s="41">
        <f t="shared" si="278"/>
        <v>0.2</v>
      </c>
      <c r="AK598" s="21">
        <v>1</v>
      </c>
      <c r="AL598" s="41">
        <f t="shared" si="260"/>
        <v>2.2222222222222223E-2</v>
      </c>
      <c r="AM598" s="21">
        <v>0</v>
      </c>
      <c r="AN598" s="41">
        <f t="shared" si="279"/>
        <v>0</v>
      </c>
      <c r="AO598" s="21">
        <v>27</v>
      </c>
      <c r="AP598" s="41">
        <f t="shared" si="261"/>
        <v>0.6</v>
      </c>
      <c r="AQ598" s="21">
        <v>2</v>
      </c>
      <c r="AR598" s="41">
        <f t="shared" si="280"/>
        <v>0.4</v>
      </c>
      <c r="AS598" s="21">
        <v>6</v>
      </c>
      <c r="AT598" s="41">
        <f t="shared" si="262"/>
        <v>0.13333333333333333</v>
      </c>
      <c r="AU598" s="21">
        <v>0</v>
      </c>
      <c r="AV598" s="41">
        <f t="shared" si="281"/>
        <v>0</v>
      </c>
      <c r="AW598" s="21">
        <v>7</v>
      </c>
      <c r="AX598" s="41">
        <f t="shared" si="263"/>
        <v>0.15555555555555556</v>
      </c>
      <c r="AY598" s="21">
        <v>2</v>
      </c>
      <c r="AZ598" s="41">
        <f t="shared" si="282"/>
        <v>0.4</v>
      </c>
      <c r="BA598" s="21">
        <v>4</v>
      </c>
      <c r="BB598" s="41">
        <f t="shared" si="264"/>
        <v>8.8888888888888892E-2</v>
      </c>
      <c r="BC598" s="21">
        <v>0</v>
      </c>
      <c r="BD598" s="41">
        <f t="shared" si="283"/>
        <v>0</v>
      </c>
      <c r="BE598" s="21">
        <v>45</v>
      </c>
      <c r="BF598" s="21">
        <v>5</v>
      </c>
    </row>
    <row r="599" spans="1:58" ht="15.75" customHeight="1" x14ac:dyDescent="0.25">
      <c r="A599" s="44">
        <v>2020</v>
      </c>
      <c r="B599" s="39">
        <v>170600</v>
      </c>
      <c r="C599" s="38" t="s">
        <v>150</v>
      </c>
      <c r="D599" s="38" t="s">
        <v>46</v>
      </c>
      <c r="E599" s="21">
        <v>12</v>
      </c>
      <c r="F599" s="42">
        <f t="shared" si="265"/>
        <v>5.1948051948051951E-2</v>
      </c>
      <c r="G599" s="21">
        <v>11</v>
      </c>
      <c r="H599" s="42">
        <f t="shared" si="266"/>
        <v>5.9782608695652176E-2</v>
      </c>
      <c r="I599" s="21">
        <v>20</v>
      </c>
      <c r="J599" s="41">
        <f t="shared" si="267"/>
        <v>8.6580086580086577E-2</v>
      </c>
      <c r="K599" s="21">
        <v>21</v>
      </c>
      <c r="L599" s="41">
        <f t="shared" si="268"/>
        <v>0.11413043478260869</v>
      </c>
      <c r="M599" s="21">
        <v>183</v>
      </c>
      <c r="N599" s="41">
        <f t="shared" si="269"/>
        <v>0.79220779220779225</v>
      </c>
      <c r="O599" s="21">
        <v>140</v>
      </c>
      <c r="P599" s="41">
        <f t="shared" si="270"/>
        <v>0.76086956521739135</v>
      </c>
      <c r="Q599" s="21">
        <v>16</v>
      </c>
      <c r="R599" s="41">
        <f t="shared" si="271"/>
        <v>6.9264069264069264E-2</v>
      </c>
      <c r="S599" s="21">
        <v>12</v>
      </c>
      <c r="T599" s="41">
        <f t="shared" si="272"/>
        <v>6.5217391304347824E-2</v>
      </c>
      <c r="U599" s="21">
        <v>37</v>
      </c>
      <c r="V599" s="41">
        <f t="shared" si="273"/>
        <v>0.16017316017316016</v>
      </c>
      <c r="W599" s="21">
        <v>35</v>
      </c>
      <c r="X599" s="41">
        <f t="shared" si="274"/>
        <v>0.19021739130434784</v>
      </c>
      <c r="Y599" s="21">
        <v>26</v>
      </c>
      <c r="Z599" s="41">
        <f t="shared" si="275"/>
        <v>0.11255411255411256</v>
      </c>
      <c r="AA599" s="21">
        <v>21</v>
      </c>
      <c r="AB599" s="41">
        <f t="shared" si="276"/>
        <v>0.11413043478260869</v>
      </c>
      <c r="AC599" s="21">
        <v>168</v>
      </c>
      <c r="AD599" s="41">
        <f t="shared" si="258"/>
        <v>0.72727272727272729</v>
      </c>
      <c r="AE599" s="21">
        <v>128</v>
      </c>
      <c r="AF599" s="41">
        <f t="shared" si="277"/>
        <v>0.69565217391304346</v>
      </c>
      <c r="AG599" s="21">
        <v>15</v>
      </c>
      <c r="AH599" s="41">
        <f t="shared" si="259"/>
        <v>6.4935064935064929E-2</v>
      </c>
      <c r="AI599" s="21">
        <v>14</v>
      </c>
      <c r="AJ599" s="41">
        <f t="shared" si="278"/>
        <v>7.6086956521739135E-2</v>
      </c>
      <c r="AK599" s="21">
        <v>10</v>
      </c>
      <c r="AL599" s="41">
        <f t="shared" si="260"/>
        <v>4.3290043290043288E-2</v>
      </c>
      <c r="AM599" s="21">
        <v>11</v>
      </c>
      <c r="AN599" s="41">
        <f t="shared" si="279"/>
        <v>5.9782608695652176E-2</v>
      </c>
      <c r="AO599" s="21">
        <v>111</v>
      </c>
      <c r="AP599" s="41">
        <f t="shared" si="261"/>
        <v>0.48051948051948051</v>
      </c>
      <c r="AQ599" s="21">
        <v>86</v>
      </c>
      <c r="AR599" s="41">
        <f t="shared" si="280"/>
        <v>0.46739130434782611</v>
      </c>
      <c r="AS599" s="21">
        <v>45</v>
      </c>
      <c r="AT599" s="41">
        <f t="shared" si="262"/>
        <v>0.19480519480519481</v>
      </c>
      <c r="AU599" s="21">
        <v>30</v>
      </c>
      <c r="AV599" s="41">
        <f t="shared" si="281"/>
        <v>0.16304347826086957</v>
      </c>
      <c r="AW599" s="21">
        <v>20</v>
      </c>
      <c r="AX599" s="41">
        <f t="shared" si="263"/>
        <v>8.6580086580086577E-2</v>
      </c>
      <c r="AY599" s="21">
        <v>17</v>
      </c>
      <c r="AZ599" s="41">
        <f t="shared" si="282"/>
        <v>9.2391304347826081E-2</v>
      </c>
      <c r="BA599" s="21">
        <v>30</v>
      </c>
      <c r="BB599" s="41">
        <f t="shared" si="264"/>
        <v>0.12987012987012986</v>
      </c>
      <c r="BC599" s="21">
        <v>26</v>
      </c>
      <c r="BD599" s="41">
        <f t="shared" si="283"/>
        <v>0.14130434782608695</v>
      </c>
      <c r="BE599" s="21">
        <v>231</v>
      </c>
      <c r="BF599" s="21">
        <v>184</v>
      </c>
    </row>
    <row r="600" spans="1:58" ht="15.75" customHeight="1" x14ac:dyDescent="0.25">
      <c r="A600" s="44">
        <v>2020</v>
      </c>
      <c r="B600" s="39">
        <v>170610</v>
      </c>
      <c r="C600" s="38" t="s">
        <v>144</v>
      </c>
      <c r="D600" s="38" t="s">
        <v>47</v>
      </c>
      <c r="E600" s="21">
        <v>5</v>
      </c>
      <c r="F600" s="42">
        <f t="shared" si="265"/>
        <v>1.7361111111111112E-2</v>
      </c>
      <c r="G600" s="21">
        <v>5</v>
      </c>
      <c r="H600" s="42">
        <f t="shared" si="266"/>
        <v>2.3809523809523808E-2</v>
      </c>
      <c r="I600" s="21">
        <v>8</v>
      </c>
      <c r="J600" s="41">
        <f t="shared" si="267"/>
        <v>2.7777777777777776E-2</v>
      </c>
      <c r="K600" s="21">
        <v>6</v>
      </c>
      <c r="L600" s="41">
        <f t="shared" si="268"/>
        <v>2.8571428571428571E-2</v>
      </c>
      <c r="M600" s="21">
        <v>245</v>
      </c>
      <c r="N600" s="41">
        <f t="shared" si="269"/>
        <v>0.85069444444444442</v>
      </c>
      <c r="O600" s="21">
        <v>174</v>
      </c>
      <c r="P600" s="41">
        <f t="shared" si="270"/>
        <v>0.82857142857142863</v>
      </c>
      <c r="Q600" s="21">
        <v>30</v>
      </c>
      <c r="R600" s="41">
        <f t="shared" si="271"/>
        <v>0.10416666666666667</v>
      </c>
      <c r="S600" s="21">
        <v>25</v>
      </c>
      <c r="T600" s="41">
        <f t="shared" si="272"/>
        <v>0.11904761904761904</v>
      </c>
      <c r="U600" s="21">
        <v>15</v>
      </c>
      <c r="V600" s="41">
        <f t="shared" si="273"/>
        <v>5.2083333333333336E-2</v>
      </c>
      <c r="W600" s="21">
        <v>12</v>
      </c>
      <c r="X600" s="41">
        <f t="shared" si="274"/>
        <v>5.7142857142857141E-2</v>
      </c>
      <c r="Y600" s="21">
        <v>19</v>
      </c>
      <c r="Z600" s="41">
        <f t="shared" si="275"/>
        <v>6.5972222222222224E-2</v>
      </c>
      <c r="AA600" s="21">
        <v>17</v>
      </c>
      <c r="AB600" s="41">
        <f t="shared" si="276"/>
        <v>8.0952380952380956E-2</v>
      </c>
      <c r="AC600" s="21">
        <v>254</v>
      </c>
      <c r="AD600" s="41">
        <f t="shared" si="258"/>
        <v>0.88194444444444442</v>
      </c>
      <c r="AE600" s="21">
        <v>181</v>
      </c>
      <c r="AF600" s="41">
        <f t="shared" si="277"/>
        <v>0.86190476190476195</v>
      </c>
      <c r="AG600" s="21">
        <v>18</v>
      </c>
      <c r="AH600" s="41">
        <f t="shared" si="259"/>
        <v>6.25E-2</v>
      </c>
      <c r="AI600" s="21">
        <v>17</v>
      </c>
      <c r="AJ600" s="41">
        <f t="shared" si="278"/>
        <v>8.0952380952380956E-2</v>
      </c>
      <c r="AK600" s="21">
        <v>20</v>
      </c>
      <c r="AL600" s="41">
        <f t="shared" si="260"/>
        <v>6.9444444444444448E-2</v>
      </c>
      <c r="AM600" s="21">
        <v>14</v>
      </c>
      <c r="AN600" s="41">
        <f t="shared" si="279"/>
        <v>6.6666666666666666E-2</v>
      </c>
      <c r="AO600" s="21">
        <v>169</v>
      </c>
      <c r="AP600" s="41">
        <f t="shared" si="261"/>
        <v>0.58680555555555558</v>
      </c>
      <c r="AQ600" s="21">
        <v>127</v>
      </c>
      <c r="AR600" s="41">
        <f t="shared" si="280"/>
        <v>0.60476190476190472</v>
      </c>
      <c r="AS600" s="21">
        <v>44</v>
      </c>
      <c r="AT600" s="41">
        <f t="shared" si="262"/>
        <v>0.15277777777777779</v>
      </c>
      <c r="AU600" s="21">
        <v>26</v>
      </c>
      <c r="AV600" s="41">
        <f t="shared" si="281"/>
        <v>0.12380952380952381</v>
      </c>
      <c r="AW600" s="21">
        <v>20</v>
      </c>
      <c r="AX600" s="41">
        <f t="shared" si="263"/>
        <v>6.9444444444444448E-2</v>
      </c>
      <c r="AY600" s="21">
        <v>11</v>
      </c>
      <c r="AZ600" s="41">
        <f t="shared" si="282"/>
        <v>5.2380952380952382E-2</v>
      </c>
      <c r="BA600" s="21">
        <v>17</v>
      </c>
      <c r="BB600" s="41">
        <f t="shared" si="264"/>
        <v>5.9027777777777776E-2</v>
      </c>
      <c r="BC600" s="21">
        <v>15</v>
      </c>
      <c r="BD600" s="41">
        <f t="shared" si="283"/>
        <v>7.1428571428571425E-2</v>
      </c>
      <c r="BE600" s="21">
        <v>288</v>
      </c>
      <c r="BF600" s="21">
        <v>210</v>
      </c>
    </row>
    <row r="601" spans="1:58" ht="15.75" customHeight="1" x14ac:dyDescent="0.25">
      <c r="A601" s="44">
        <v>2020</v>
      </c>
      <c r="B601" s="39">
        <v>170625</v>
      </c>
      <c r="C601" s="38" t="s">
        <v>146</v>
      </c>
      <c r="D601" s="38" t="s">
        <v>48</v>
      </c>
      <c r="E601" s="21">
        <v>1</v>
      </c>
      <c r="F601" s="42">
        <f t="shared" si="265"/>
        <v>1.6393442622950821E-2</v>
      </c>
      <c r="G601" s="21">
        <v>0</v>
      </c>
      <c r="H601" s="42">
        <f t="shared" si="266"/>
        <v>0</v>
      </c>
      <c r="I601" s="21">
        <v>1</v>
      </c>
      <c r="J601" s="41">
        <f t="shared" si="267"/>
        <v>1.6393442622950821E-2</v>
      </c>
      <c r="K601" s="21">
        <v>0</v>
      </c>
      <c r="L601" s="41">
        <f t="shared" si="268"/>
        <v>0</v>
      </c>
      <c r="M601" s="21">
        <v>54</v>
      </c>
      <c r="N601" s="41">
        <f t="shared" si="269"/>
        <v>0.88524590163934425</v>
      </c>
      <c r="O601" s="21">
        <v>24</v>
      </c>
      <c r="P601" s="41">
        <f t="shared" si="270"/>
        <v>0.88888888888888884</v>
      </c>
      <c r="Q601" s="21">
        <v>5</v>
      </c>
      <c r="R601" s="41">
        <f t="shared" si="271"/>
        <v>8.1967213114754092E-2</v>
      </c>
      <c r="S601" s="21">
        <v>3</v>
      </c>
      <c r="T601" s="41">
        <f t="shared" si="272"/>
        <v>0.1111111111111111</v>
      </c>
      <c r="U601" s="21">
        <v>15</v>
      </c>
      <c r="V601" s="41">
        <f t="shared" si="273"/>
        <v>0.24590163934426229</v>
      </c>
      <c r="W601" s="21">
        <v>6</v>
      </c>
      <c r="X601" s="41">
        <f t="shared" si="274"/>
        <v>0.22222222222222221</v>
      </c>
      <c r="Y601" s="21">
        <v>14</v>
      </c>
      <c r="Z601" s="41">
        <f t="shared" si="275"/>
        <v>0.22950819672131148</v>
      </c>
      <c r="AA601" s="21">
        <v>9</v>
      </c>
      <c r="AB601" s="41">
        <f t="shared" si="276"/>
        <v>0.33333333333333331</v>
      </c>
      <c r="AC601" s="21">
        <v>32</v>
      </c>
      <c r="AD601" s="41">
        <f t="shared" si="258"/>
        <v>0.52459016393442626</v>
      </c>
      <c r="AE601" s="21">
        <v>12</v>
      </c>
      <c r="AF601" s="41">
        <f t="shared" si="277"/>
        <v>0.44444444444444442</v>
      </c>
      <c r="AG601" s="21">
        <v>1</v>
      </c>
      <c r="AH601" s="41">
        <f t="shared" si="259"/>
        <v>1.6393442622950821E-2</v>
      </c>
      <c r="AI601" s="21">
        <v>1</v>
      </c>
      <c r="AJ601" s="41">
        <f t="shared" si="278"/>
        <v>3.7037037037037035E-2</v>
      </c>
      <c r="AK601" s="21">
        <v>1</v>
      </c>
      <c r="AL601" s="41">
        <f t="shared" si="260"/>
        <v>1.6393442622950821E-2</v>
      </c>
      <c r="AM601" s="21">
        <v>0</v>
      </c>
      <c r="AN601" s="41">
        <f t="shared" si="279"/>
        <v>0</v>
      </c>
      <c r="AO601" s="21">
        <v>16</v>
      </c>
      <c r="AP601" s="41">
        <f t="shared" si="261"/>
        <v>0.26229508196721313</v>
      </c>
      <c r="AQ601" s="21">
        <v>7</v>
      </c>
      <c r="AR601" s="41">
        <f t="shared" si="280"/>
        <v>0.25925925925925924</v>
      </c>
      <c r="AS601" s="21">
        <v>18</v>
      </c>
      <c r="AT601" s="41">
        <f t="shared" si="262"/>
        <v>0.29508196721311475</v>
      </c>
      <c r="AU601" s="21">
        <v>7</v>
      </c>
      <c r="AV601" s="41">
        <f t="shared" si="281"/>
        <v>0.25925925925925924</v>
      </c>
      <c r="AW601" s="21">
        <v>9</v>
      </c>
      <c r="AX601" s="41">
        <f t="shared" si="263"/>
        <v>0.14754098360655737</v>
      </c>
      <c r="AY601" s="21">
        <v>6</v>
      </c>
      <c r="AZ601" s="41">
        <f t="shared" si="282"/>
        <v>0.22222222222222221</v>
      </c>
      <c r="BA601" s="21">
        <v>16</v>
      </c>
      <c r="BB601" s="41">
        <f t="shared" si="264"/>
        <v>0.26229508196721313</v>
      </c>
      <c r="BC601" s="21">
        <v>6</v>
      </c>
      <c r="BD601" s="41">
        <f t="shared" si="283"/>
        <v>0.22222222222222221</v>
      </c>
      <c r="BE601" s="21">
        <v>61</v>
      </c>
      <c r="BF601" s="21">
        <v>27</v>
      </c>
    </row>
    <row r="602" spans="1:58" ht="15.75" customHeight="1" x14ac:dyDescent="0.25">
      <c r="A602" s="44">
        <v>2020</v>
      </c>
      <c r="B602" s="39">
        <v>170650</v>
      </c>
      <c r="C602" s="38" t="s">
        <v>149</v>
      </c>
      <c r="D602" s="38" t="s">
        <v>49</v>
      </c>
      <c r="E602" s="21">
        <v>0</v>
      </c>
      <c r="F602" s="42">
        <f t="shared" si="265"/>
        <v>0</v>
      </c>
      <c r="G602" s="21">
        <v>0</v>
      </c>
      <c r="H602" s="42">
        <f t="shared" si="266"/>
        <v>0</v>
      </c>
      <c r="I602" s="21">
        <v>0</v>
      </c>
      <c r="J602" s="41">
        <f t="shared" si="267"/>
        <v>0</v>
      </c>
      <c r="K602" s="21">
        <v>0</v>
      </c>
      <c r="L602" s="41">
        <f t="shared" si="268"/>
        <v>0</v>
      </c>
      <c r="M602" s="21">
        <v>17</v>
      </c>
      <c r="N602" s="41">
        <f t="shared" si="269"/>
        <v>0.89473684210526316</v>
      </c>
      <c r="O602" s="21">
        <v>17</v>
      </c>
      <c r="P602" s="41">
        <f t="shared" si="270"/>
        <v>0.89473684210526316</v>
      </c>
      <c r="Q602" s="21">
        <v>2</v>
      </c>
      <c r="R602" s="41">
        <f t="shared" si="271"/>
        <v>0.10526315789473684</v>
      </c>
      <c r="S602" s="21">
        <v>2</v>
      </c>
      <c r="T602" s="41">
        <f t="shared" si="272"/>
        <v>0.10526315789473684</v>
      </c>
      <c r="U602" s="21">
        <v>5</v>
      </c>
      <c r="V602" s="41">
        <f t="shared" si="273"/>
        <v>0.26315789473684209</v>
      </c>
      <c r="W602" s="21">
        <v>5</v>
      </c>
      <c r="X602" s="41">
        <f t="shared" si="274"/>
        <v>0.26315789473684209</v>
      </c>
      <c r="Y602" s="21">
        <v>1</v>
      </c>
      <c r="Z602" s="41">
        <f t="shared" si="275"/>
        <v>5.2631578947368418E-2</v>
      </c>
      <c r="AA602" s="21">
        <v>1</v>
      </c>
      <c r="AB602" s="41">
        <f t="shared" si="276"/>
        <v>5.2631578947368418E-2</v>
      </c>
      <c r="AC602" s="21">
        <v>13</v>
      </c>
      <c r="AD602" s="41">
        <f t="shared" si="258"/>
        <v>0.68421052631578949</v>
      </c>
      <c r="AE602" s="21">
        <v>13</v>
      </c>
      <c r="AF602" s="41">
        <f t="shared" si="277"/>
        <v>0.68421052631578949</v>
      </c>
      <c r="AG602" s="21">
        <v>0</v>
      </c>
      <c r="AH602" s="41">
        <f t="shared" si="259"/>
        <v>0</v>
      </c>
      <c r="AI602" s="21">
        <v>0</v>
      </c>
      <c r="AJ602" s="41">
        <f t="shared" si="278"/>
        <v>0</v>
      </c>
      <c r="AK602" s="21">
        <v>1</v>
      </c>
      <c r="AL602" s="41">
        <f t="shared" si="260"/>
        <v>5.2631578947368418E-2</v>
      </c>
      <c r="AM602" s="21">
        <v>1</v>
      </c>
      <c r="AN602" s="41">
        <f t="shared" si="279"/>
        <v>5.2631578947368418E-2</v>
      </c>
      <c r="AO602" s="21">
        <v>9</v>
      </c>
      <c r="AP602" s="41">
        <f t="shared" si="261"/>
        <v>0.47368421052631576</v>
      </c>
      <c r="AQ602" s="21">
        <v>9</v>
      </c>
      <c r="AR602" s="41">
        <f t="shared" si="280"/>
        <v>0.47368421052631576</v>
      </c>
      <c r="AS602" s="21">
        <v>2</v>
      </c>
      <c r="AT602" s="41">
        <f t="shared" si="262"/>
        <v>0.10526315789473684</v>
      </c>
      <c r="AU602" s="21">
        <v>2</v>
      </c>
      <c r="AV602" s="41">
        <f t="shared" si="281"/>
        <v>0.10526315789473684</v>
      </c>
      <c r="AW602" s="21">
        <v>1</v>
      </c>
      <c r="AX602" s="41">
        <f t="shared" si="263"/>
        <v>5.2631578947368418E-2</v>
      </c>
      <c r="AY602" s="21">
        <v>1</v>
      </c>
      <c r="AZ602" s="41">
        <f t="shared" si="282"/>
        <v>5.2631578947368418E-2</v>
      </c>
      <c r="BA602" s="21">
        <v>6</v>
      </c>
      <c r="BB602" s="41">
        <f t="shared" si="264"/>
        <v>0.31578947368421051</v>
      </c>
      <c r="BC602" s="21">
        <v>6</v>
      </c>
      <c r="BD602" s="41">
        <f t="shared" si="283"/>
        <v>0.31578947368421051</v>
      </c>
      <c r="BE602" s="21">
        <v>19</v>
      </c>
      <c r="BF602" s="21">
        <v>19</v>
      </c>
    </row>
    <row r="603" spans="1:58" ht="15.75" customHeight="1" x14ac:dyDescent="0.25">
      <c r="A603" s="44">
        <v>2020</v>
      </c>
      <c r="B603" s="39">
        <v>170700</v>
      </c>
      <c r="C603" s="38" t="s">
        <v>147</v>
      </c>
      <c r="D603" s="38" t="s">
        <v>50</v>
      </c>
      <c r="E603" s="21">
        <v>13</v>
      </c>
      <c r="F603" s="42">
        <f t="shared" si="265"/>
        <v>2.1996615905245348E-2</v>
      </c>
      <c r="G603" s="21">
        <v>9</v>
      </c>
      <c r="H603" s="42">
        <f t="shared" si="266"/>
        <v>2.7692307692307693E-2</v>
      </c>
      <c r="I603" s="21">
        <v>13</v>
      </c>
      <c r="J603" s="41">
        <f t="shared" si="267"/>
        <v>2.1996615905245348E-2</v>
      </c>
      <c r="K603" s="21">
        <v>12</v>
      </c>
      <c r="L603" s="41">
        <f t="shared" si="268"/>
        <v>3.6923076923076927E-2</v>
      </c>
      <c r="M603" s="21">
        <v>536</v>
      </c>
      <c r="N603" s="41">
        <f t="shared" si="269"/>
        <v>0.9069373942470389</v>
      </c>
      <c r="O603" s="21">
        <v>281</v>
      </c>
      <c r="P603" s="41">
        <f t="shared" si="270"/>
        <v>0.86461538461538456</v>
      </c>
      <c r="Q603" s="21">
        <v>29</v>
      </c>
      <c r="R603" s="41">
        <f t="shared" si="271"/>
        <v>4.9069373942470386E-2</v>
      </c>
      <c r="S603" s="21">
        <v>23</v>
      </c>
      <c r="T603" s="41">
        <f t="shared" si="272"/>
        <v>7.0769230769230765E-2</v>
      </c>
      <c r="U603" s="21">
        <v>37</v>
      </c>
      <c r="V603" s="41">
        <f t="shared" si="273"/>
        <v>6.2605752961082908E-2</v>
      </c>
      <c r="W603" s="21">
        <v>30</v>
      </c>
      <c r="X603" s="41">
        <f t="shared" si="274"/>
        <v>9.2307692307692313E-2</v>
      </c>
      <c r="Y603" s="21">
        <v>46</v>
      </c>
      <c r="Z603" s="41">
        <f t="shared" si="275"/>
        <v>7.7834179357021999E-2</v>
      </c>
      <c r="AA603" s="21">
        <v>33</v>
      </c>
      <c r="AB603" s="41">
        <f t="shared" si="276"/>
        <v>0.10153846153846154</v>
      </c>
      <c r="AC603" s="21">
        <v>508</v>
      </c>
      <c r="AD603" s="41">
        <f t="shared" si="258"/>
        <v>0.85956006768189508</v>
      </c>
      <c r="AE603" s="21">
        <v>262</v>
      </c>
      <c r="AF603" s="41">
        <f t="shared" si="277"/>
        <v>0.80615384615384611</v>
      </c>
      <c r="AG603" s="21">
        <v>29</v>
      </c>
      <c r="AH603" s="41">
        <f t="shared" si="259"/>
        <v>4.9069373942470386E-2</v>
      </c>
      <c r="AI603" s="21">
        <v>27</v>
      </c>
      <c r="AJ603" s="41">
        <f t="shared" si="278"/>
        <v>8.3076923076923076E-2</v>
      </c>
      <c r="AK603" s="21">
        <v>16</v>
      </c>
      <c r="AL603" s="41">
        <f t="shared" si="260"/>
        <v>2.7072758037225041E-2</v>
      </c>
      <c r="AM603" s="21">
        <v>14</v>
      </c>
      <c r="AN603" s="41">
        <f t="shared" si="279"/>
        <v>4.3076923076923075E-2</v>
      </c>
      <c r="AO603" s="21">
        <v>391</v>
      </c>
      <c r="AP603" s="41">
        <f t="shared" si="261"/>
        <v>0.66159052453468692</v>
      </c>
      <c r="AQ603" s="21">
        <v>195</v>
      </c>
      <c r="AR603" s="41">
        <f t="shared" si="280"/>
        <v>0.6</v>
      </c>
      <c r="AS603" s="21">
        <v>102</v>
      </c>
      <c r="AT603" s="41">
        <f t="shared" si="262"/>
        <v>0.17258883248730963</v>
      </c>
      <c r="AU603" s="21">
        <v>50</v>
      </c>
      <c r="AV603" s="41">
        <f t="shared" si="281"/>
        <v>0.15384615384615385</v>
      </c>
      <c r="AW603" s="21">
        <v>25</v>
      </c>
      <c r="AX603" s="41">
        <f t="shared" si="263"/>
        <v>4.2301184433164128E-2</v>
      </c>
      <c r="AY603" s="21">
        <v>16</v>
      </c>
      <c r="AZ603" s="41">
        <f t="shared" si="282"/>
        <v>4.9230769230769231E-2</v>
      </c>
      <c r="BA603" s="21">
        <v>28</v>
      </c>
      <c r="BB603" s="41">
        <f t="shared" si="264"/>
        <v>4.7377326565143825E-2</v>
      </c>
      <c r="BC603" s="21">
        <v>23</v>
      </c>
      <c r="BD603" s="41">
        <f t="shared" si="283"/>
        <v>7.0769230769230765E-2</v>
      </c>
      <c r="BE603" s="21">
        <v>591</v>
      </c>
      <c r="BF603" s="21">
        <v>325</v>
      </c>
    </row>
    <row r="604" spans="1:58" ht="15.75" customHeight="1" x14ac:dyDescent="0.25">
      <c r="A604" s="44">
        <v>2020</v>
      </c>
      <c r="B604" s="39">
        <v>170710</v>
      </c>
      <c r="C604" s="38" t="s">
        <v>144</v>
      </c>
      <c r="D604" s="38" t="s">
        <v>51</v>
      </c>
      <c r="E604" s="21">
        <v>2</v>
      </c>
      <c r="F604" s="42">
        <f t="shared" si="265"/>
        <v>5.5555555555555558E-3</v>
      </c>
      <c r="G604" s="21">
        <v>1</v>
      </c>
      <c r="H604" s="42">
        <f t="shared" si="266"/>
        <v>5.1813471502590676E-3</v>
      </c>
      <c r="I604" s="21">
        <v>9</v>
      </c>
      <c r="J604" s="41">
        <f t="shared" si="267"/>
        <v>2.5000000000000001E-2</v>
      </c>
      <c r="K604" s="21">
        <v>5</v>
      </c>
      <c r="L604" s="41">
        <f t="shared" si="268"/>
        <v>2.5906735751295335E-2</v>
      </c>
      <c r="M604" s="21">
        <v>329</v>
      </c>
      <c r="N604" s="41">
        <f t="shared" si="269"/>
        <v>0.91388888888888886</v>
      </c>
      <c r="O604" s="21">
        <v>177</v>
      </c>
      <c r="P604" s="41">
        <f t="shared" si="270"/>
        <v>0.91709844559585496</v>
      </c>
      <c r="Q604" s="21">
        <v>20</v>
      </c>
      <c r="R604" s="41">
        <f t="shared" si="271"/>
        <v>5.5555555555555552E-2</v>
      </c>
      <c r="S604" s="21">
        <v>10</v>
      </c>
      <c r="T604" s="41">
        <f t="shared" si="272"/>
        <v>5.181347150259067E-2</v>
      </c>
      <c r="U604" s="21">
        <v>18</v>
      </c>
      <c r="V604" s="41">
        <f t="shared" si="273"/>
        <v>0.05</v>
      </c>
      <c r="W604" s="21">
        <v>12</v>
      </c>
      <c r="X604" s="41">
        <f t="shared" si="274"/>
        <v>6.2176165803108807E-2</v>
      </c>
      <c r="Y604" s="21">
        <v>15</v>
      </c>
      <c r="Z604" s="41">
        <f t="shared" si="275"/>
        <v>4.1666666666666664E-2</v>
      </c>
      <c r="AA604" s="21">
        <v>7</v>
      </c>
      <c r="AB604" s="41">
        <f t="shared" si="276"/>
        <v>3.6269430051813469E-2</v>
      </c>
      <c r="AC604" s="21">
        <v>327</v>
      </c>
      <c r="AD604" s="41">
        <f t="shared" si="258"/>
        <v>0.90833333333333333</v>
      </c>
      <c r="AE604" s="21">
        <v>174</v>
      </c>
      <c r="AF604" s="41">
        <f t="shared" si="277"/>
        <v>0.9015544041450777</v>
      </c>
      <c r="AG604" s="21">
        <v>18</v>
      </c>
      <c r="AH604" s="41">
        <f t="shared" si="259"/>
        <v>0.05</v>
      </c>
      <c r="AI604" s="21">
        <v>11</v>
      </c>
      <c r="AJ604" s="41">
        <f t="shared" si="278"/>
        <v>5.6994818652849742E-2</v>
      </c>
      <c r="AK604" s="21">
        <v>28</v>
      </c>
      <c r="AL604" s="41">
        <f t="shared" si="260"/>
        <v>7.7777777777777779E-2</v>
      </c>
      <c r="AM604" s="21">
        <v>15</v>
      </c>
      <c r="AN604" s="41">
        <f t="shared" si="279"/>
        <v>7.7720207253886009E-2</v>
      </c>
      <c r="AO604" s="21">
        <v>206</v>
      </c>
      <c r="AP604" s="41">
        <f t="shared" si="261"/>
        <v>0.57222222222222219</v>
      </c>
      <c r="AQ604" s="21">
        <v>109</v>
      </c>
      <c r="AR604" s="41">
        <f t="shared" si="280"/>
        <v>0.56476683937823835</v>
      </c>
      <c r="AS604" s="21">
        <v>64</v>
      </c>
      <c r="AT604" s="41">
        <f t="shared" si="262"/>
        <v>0.17777777777777778</v>
      </c>
      <c r="AU604" s="21">
        <v>35</v>
      </c>
      <c r="AV604" s="41">
        <f t="shared" si="281"/>
        <v>0.18134715025906736</v>
      </c>
      <c r="AW604" s="21">
        <v>22</v>
      </c>
      <c r="AX604" s="41">
        <f t="shared" si="263"/>
        <v>6.1111111111111109E-2</v>
      </c>
      <c r="AY604" s="21">
        <v>13</v>
      </c>
      <c r="AZ604" s="41">
        <f t="shared" si="282"/>
        <v>6.7357512953367879E-2</v>
      </c>
      <c r="BA604" s="21">
        <v>22</v>
      </c>
      <c r="BB604" s="41">
        <f t="shared" si="264"/>
        <v>6.1111111111111109E-2</v>
      </c>
      <c r="BC604" s="21">
        <v>10</v>
      </c>
      <c r="BD604" s="41">
        <f t="shared" si="283"/>
        <v>5.181347150259067E-2</v>
      </c>
      <c r="BE604" s="21">
        <v>360</v>
      </c>
      <c r="BF604" s="21">
        <v>193</v>
      </c>
    </row>
    <row r="605" spans="1:58" ht="15.75" customHeight="1" x14ac:dyDescent="0.25">
      <c r="A605" s="44">
        <v>2020</v>
      </c>
      <c r="B605" s="39">
        <v>170720</v>
      </c>
      <c r="C605" s="38" t="s">
        <v>144</v>
      </c>
      <c r="D605" s="38" t="s">
        <v>52</v>
      </c>
      <c r="E605" s="21">
        <v>2</v>
      </c>
      <c r="F605" s="42">
        <f t="shared" si="265"/>
        <v>9.3457943925233638E-3</v>
      </c>
      <c r="G605" s="21">
        <v>1</v>
      </c>
      <c r="H605" s="42">
        <f t="shared" si="266"/>
        <v>5.7803468208092483E-3</v>
      </c>
      <c r="I605" s="21">
        <v>2</v>
      </c>
      <c r="J605" s="41">
        <f t="shared" si="267"/>
        <v>9.3457943925233638E-3</v>
      </c>
      <c r="K605" s="21">
        <v>2</v>
      </c>
      <c r="L605" s="41">
        <f t="shared" si="268"/>
        <v>1.1560693641618497E-2</v>
      </c>
      <c r="M605" s="21">
        <v>189</v>
      </c>
      <c r="N605" s="41">
        <f t="shared" si="269"/>
        <v>0.88317757009345799</v>
      </c>
      <c r="O605" s="21">
        <v>155</v>
      </c>
      <c r="P605" s="41">
        <f t="shared" si="270"/>
        <v>0.89595375722543358</v>
      </c>
      <c r="Q605" s="21">
        <v>21</v>
      </c>
      <c r="R605" s="41">
        <f t="shared" si="271"/>
        <v>9.8130841121495324E-2</v>
      </c>
      <c r="S605" s="21">
        <v>15</v>
      </c>
      <c r="T605" s="41">
        <f t="shared" si="272"/>
        <v>8.6705202312138727E-2</v>
      </c>
      <c r="U605" s="21">
        <v>11</v>
      </c>
      <c r="V605" s="41">
        <f t="shared" si="273"/>
        <v>5.1401869158878503E-2</v>
      </c>
      <c r="W605" s="21">
        <v>3</v>
      </c>
      <c r="X605" s="41">
        <f t="shared" si="274"/>
        <v>1.7341040462427744E-2</v>
      </c>
      <c r="Y605" s="21">
        <v>8</v>
      </c>
      <c r="Z605" s="41">
        <f t="shared" si="275"/>
        <v>3.7383177570093455E-2</v>
      </c>
      <c r="AA605" s="21">
        <v>6</v>
      </c>
      <c r="AB605" s="41">
        <f t="shared" si="276"/>
        <v>3.4682080924855488E-2</v>
      </c>
      <c r="AC605" s="21">
        <v>195</v>
      </c>
      <c r="AD605" s="41">
        <f t="shared" si="258"/>
        <v>0.91121495327102808</v>
      </c>
      <c r="AE605" s="21">
        <v>164</v>
      </c>
      <c r="AF605" s="41">
        <f t="shared" si="277"/>
        <v>0.94797687861271673</v>
      </c>
      <c r="AG605" s="21">
        <v>4</v>
      </c>
      <c r="AH605" s="41">
        <f t="shared" si="259"/>
        <v>1.8691588785046728E-2</v>
      </c>
      <c r="AI605" s="21">
        <v>3</v>
      </c>
      <c r="AJ605" s="41">
        <f t="shared" si="278"/>
        <v>1.7341040462427744E-2</v>
      </c>
      <c r="AK605" s="21">
        <v>6</v>
      </c>
      <c r="AL605" s="41">
        <f t="shared" si="260"/>
        <v>2.8037383177570093E-2</v>
      </c>
      <c r="AM605" s="21">
        <v>4</v>
      </c>
      <c r="AN605" s="41">
        <f t="shared" si="279"/>
        <v>2.3121387283236993E-2</v>
      </c>
      <c r="AO605" s="21">
        <v>128</v>
      </c>
      <c r="AP605" s="41">
        <f t="shared" si="261"/>
        <v>0.59813084112149528</v>
      </c>
      <c r="AQ605" s="21">
        <v>111</v>
      </c>
      <c r="AR605" s="41">
        <f t="shared" si="280"/>
        <v>0.64161849710982655</v>
      </c>
      <c r="AS605" s="21">
        <v>40</v>
      </c>
      <c r="AT605" s="41">
        <f t="shared" si="262"/>
        <v>0.18691588785046728</v>
      </c>
      <c r="AU605" s="21">
        <v>33</v>
      </c>
      <c r="AV605" s="41">
        <f t="shared" si="281"/>
        <v>0.19075144508670519</v>
      </c>
      <c r="AW605" s="21">
        <v>15</v>
      </c>
      <c r="AX605" s="41">
        <f t="shared" si="263"/>
        <v>7.0093457943925228E-2</v>
      </c>
      <c r="AY605" s="21">
        <v>12</v>
      </c>
      <c r="AZ605" s="41">
        <f t="shared" si="282"/>
        <v>6.9364161849710976E-2</v>
      </c>
      <c r="BA605" s="21">
        <v>21</v>
      </c>
      <c r="BB605" s="41">
        <f t="shared" si="264"/>
        <v>9.8130841121495324E-2</v>
      </c>
      <c r="BC605" s="21">
        <v>10</v>
      </c>
      <c r="BD605" s="41">
        <f t="shared" si="283"/>
        <v>5.7803468208092484E-2</v>
      </c>
      <c r="BE605" s="21">
        <v>214</v>
      </c>
      <c r="BF605" s="21">
        <v>173</v>
      </c>
    </row>
    <row r="606" spans="1:58" ht="15.75" customHeight="1" x14ac:dyDescent="0.25">
      <c r="A606" s="44">
        <v>2020</v>
      </c>
      <c r="B606" s="39">
        <v>170730</v>
      </c>
      <c r="C606" s="38" t="s">
        <v>146</v>
      </c>
      <c r="D606" s="38" t="s">
        <v>53</v>
      </c>
      <c r="E606" s="21">
        <v>2</v>
      </c>
      <c r="F606" s="42">
        <f t="shared" si="265"/>
        <v>6.4516129032258063E-2</v>
      </c>
      <c r="G606" s="21">
        <v>0</v>
      </c>
      <c r="H606" s="42">
        <f t="shared" si="266"/>
        <v>0</v>
      </c>
      <c r="I606" s="21">
        <v>0</v>
      </c>
      <c r="J606" s="41">
        <f t="shared" si="267"/>
        <v>0</v>
      </c>
      <c r="K606" s="21">
        <v>0</v>
      </c>
      <c r="L606" s="41">
        <f t="shared" si="268"/>
        <v>0</v>
      </c>
      <c r="M606" s="21">
        <v>28</v>
      </c>
      <c r="N606" s="41">
        <f t="shared" si="269"/>
        <v>0.90322580645161288</v>
      </c>
      <c r="O606" s="21">
        <v>1</v>
      </c>
      <c r="P606" s="41">
        <f t="shared" si="270"/>
        <v>1</v>
      </c>
      <c r="Q606" s="21">
        <v>1</v>
      </c>
      <c r="R606" s="41">
        <f t="shared" si="271"/>
        <v>3.2258064516129031E-2</v>
      </c>
      <c r="S606" s="21">
        <v>0</v>
      </c>
      <c r="T606" s="41">
        <f t="shared" si="272"/>
        <v>0</v>
      </c>
      <c r="U606" s="21">
        <v>11</v>
      </c>
      <c r="V606" s="41">
        <f t="shared" si="273"/>
        <v>0.35483870967741937</v>
      </c>
      <c r="W606" s="21">
        <v>0</v>
      </c>
      <c r="X606" s="41">
        <f t="shared" si="274"/>
        <v>0</v>
      </c>
      <c r="Y606" s="21">
        <v>3</v>
      </c>
      <c r="Z606" s="41">
        <f t="shared" si="275"/>
        <v>9.6774193548387094E-2</v>
      </c>
      <c r="AA606" s="21">
        <v>0</v>
      </c>
      <c r="AB606" s="41">
        <f t="shared" si="276"/>
        <v>0</v>
      </c>
      <c r="AC606" s="21">
        <v>17</v>
      </c>
      <c r="AD606" s="41">
        <f t="shared" si="258"/>
        <v>0.54838709677419351</v>
      </c>
      <c r="AE606" s="21">
        <v>1</v>
      </c>
      <c r="AF606" s="41">
        <f t="shared" si="277"/>
        <v>1</v>
      </c>
      <c r="AG606" s="21">
        <v>0</v>
      </c>
      <c r="AH606" s="41">
        <f t="shared" si="259"/>
        <v>0</v>
      </c>
      <c r="AI606" s="21">
        <v>0</v>
      </c>
      <c r="AJ606" s="41">
        <f t="shared" si="278"/>
        <v>0</v>
      </c>
      <c r="AK606" s="21">
        <v>1</v>
      </c>
      <c r="AL606" s="41">
        <f t="shared" si="260"/>
        <v>3.2258064516129031E-2</v>
      </c>
      <c r="AM606" s="21">
        <v>0</v>
      </c>
      <c r="AN606" s="41">
        <f t="shared" si="279"/>
        <v>0</v>
      </c>
      <c r="AO606" s="21">
        <v>15</v>
      </c>
      <c r="AP606" s="41">
        <f t="shared" si="261"/>
        <v>0.4838709677419355</v>
      </c>
      <c r="AQ606" s="21">
        <v>1</v>
      </c>
      <c r="AR606" s="41">
        <f t="shared" si="280"/>
        <v>1</v>
      </c>
      <c r="AS606" s="21">
        <v>2</v>
      </c>
      <c r="AT606" s="41">
        <f t="shared" si="262"/>
        <v>6.4516129032258063E-2</v>
      </c>
      <c r="AU606" s="21">
        <v>0</v>
      </c>
      <c r="AV606" s="41">
        <f t="shared" si="281"/>
        <v>0</v>
      </c>
      <c r="AW606" s="21">
        <v>2</v>
      </c>
      <c r="AX606" s="41">
        <f t="shared" si="263"/>
        <v>6.4516129032258063E-2</v>
      </c>
      <c r="AY606" s="21">
        <v>0</v>
      </c>
      <c r="AZ606" s="41">
        <f t="shared" si="282"/>
        <v>0</v>
      </c>
      <c r="BA606" s="21">
        <v>11</v>
      </c>
      <c r="BB606" s="41">
        <f t="shared" si="264"/>
        <v>0.35483870967741937</v>
      </c>
      <c r="BC606" s="21">
        <v>0</v>
      </c>
      <c r="BD606" s="41">
        <f t="shared" si="283"/>
        <v>0</v>
      </c>
      <c r="BE606" s="21">
        <v>31</v>
      </c>
      <c r="BF606" s="21">
        <v>1</v>
      </c>
    </row>
    <row r="607" spans="1:58" ht="15.75" customHeight="1" x14ac:dyDescent="0.25">
      <c r="A607" s="44">
        <v>2020</v>
      </c>
      <c r="B607" s="39">
        <v>170740</v>
      </c>
      <c r="C607" s="38" t="s">
        <v>145</v>
      </c>
      <c r="D607" s="38" t="s">
        <v>54</v>
      </c>
      <c r="E607" s="21">
        <v>3</v>
      </c>
      <c r="F607" s="42">
        <f t="shared" si="265"/>
        <v>1.1406844106463879E-2</v>
      </c>
      <c r="G607" s="21">
        <v>1</v>
      </c>
      <c r="H607" s="42">
        <f t="shared" si="266"/>
        <v>2.3255813953488372E-2</v>
      </c>
      <c r="I607" s="21">
        <v>6</v>
      </c>
      <c r="J607" s="41">
        <f t="shared" si="267"/>
        <v>2.2813688212927757E-2</v>
      </c>
      <c r="K607" s="21">
        <v>0</v>
      </c>
      <c r="L607" s="41">
        <f t="shared" si="268"/>
        <v>0</v>
      </c>
      <c r="M607" s="21">
        <v>242</v>
      </c>
      <c r="N607" s="41">
        <f t="shared" si="269"/>
        <v>0.92015209125475284</v>
      </c>
      <c r="O607" s="21">
        <v>39</v>
      </c>
      <c r="P607" s="41">
        <f t="shared" si="270"/>
        <v>0.90697674418604646</v>
      </c>
      <c r="Q607" s="21">
        <v>12</v>
      </c>
      <c r="R607" s="41">
        <f t="shared" si="271"/>
        <v>4.5627376425855515E-2</v>
      </c>
      <c r="S607" s="21">
        <v>3</v>
      </c>
      <c r="T607" s="41">
        <f t="shared" si="272"/>
        <v>6.9767441860465115E-2</v>
      </c>
      <c r="U607" s="21">
        <v>16</v>
      </c>
      <c r="V607" s="41">
        <f t="shared" si="273"/>
        <v>6.0836501901140684E-2</v>
      </c>
      <c r="W607" s="21">
        <v>2</v>
      </c>
      <c r="X607" s="41">
        <f t="shared" si="274"/>
        <v>4.6511627906976744E-2</v>
      </c>
      <c r="Y607" s="21">
        <v>17</v>
      </c>
      <c r="Z607" s="41">
        <f t="shared" si="275"/>
        <v>6.4638783269961975E-2</v>
      </c>
      <c r="AA607" s="21">
        <v>4</v>
      </c>
      <c r="AB607" s="41">
        <f t="shared" si="276"/>
        <v>9.3023255813953487E-2</v>
      </c>
      <c r="AC607" s="21">
        <v>230</v>
      </c>
      <c r="AD607" s="41">
        <f t="shared" si="258"/>
        <v>0.87452471482889738</v>
      </c>
      <c r="AE607" s="21">
        <v>37</v>
      </c>
      <c r="AF607" s="41">
        <f t="shared" si="277"/>
        <v>0.86046511627906974</v>
      </c>
      <c r="AG607" s="21">
        <v>3</v>
      </c>
      <c r="AH607" s="41">
        <f t="shared" si="259"/>
        <v>1.1406844106463879E-2</v>
      </c>
      <c r="AI607" s="21">
        <v>0</v>
      </c>
      <c r="AJ607" s="41">
        <f t="shared" si="278"/>
        <v>0</v>
      </c>
      <c r="AK607" s="21">
        <v>9</v>
      </c>
      <c r="AL607" s="41">
        <f t="shared" si="260"/>
        <v>3.4220532319391636E-2</v>
      </c>
      <c r="AM607" s="21">
        <v>1</v>
      </c>
      <c r="AN607" s="41">
        <f t="shared" si="279"/>
        <v>2.3255813953488372E-2</v>
      </c>
      <c r="AO607" s="21">
        <v>174</v>
      </c>
      <c r="AP607" s="41">
        <f t="shared" si="261"/>
        <v>0.66159695817490494</v>
      </c>
      <c r="AQ607" s="21">
        <v>29</v>
      </c>
      <c r="AR607" s="41">
        <f t="shared" si="280"/>
        <v>0.67441860465116277</v>
      </c>
      <c r="AS607" s="21">
        <v>44</v>
      </c>
      <c r="AT607" s="41">
        <f t="shared" si="262"/>
        <v>0.16730038022813687</v>
      </c>
      <c r="AU607" s="21">
        <v>6</v>
      </c>
      <c r="AV607" s="41">
        <f t="shared" si="281"/>
        <v>0.13953488372093023</v>
      </c>
      <c r="AW607" s="21">
        <v>23</v>
      </c>
      <c r="AX607" s="41">
        <f t="shared" si="263"/>
        <v>8.7452471482889732E-2</v>
      </c>
      <c r="AY607" s="21">
        <v>4</v>
      </c>
      <c r="AZ607" s="41">
        <f t="shared" si="282"/>
        <v>9.3023255813953487E-2</v>
      </c>
      <c r="BA607" s="21">
        <v>10</v>
      </c>
      <c r="BB607" s="41">
        <f t="shared" si="264"/>
        <v>3.8022813688212927E-2</v>
      </c>
      <c r="BC607" s="21">
        <v>3</v>
      </c>
      <c r="BD607" s="41">
        <f t="shared" si="283"/>
        <v>6.9767441860465115E-2</v>
      </c>
      <c r="BE607" s="21">
        <v>263</v>
      </c>
      <c r="BF607" s="21">
        <v>43</v>
      </c>
    </row>
    <row r="608" spans="1:58" ht="15.75" customHeight="1" x14ac:dyDescent="0.25">
      <c r="A608" s="44">
        <v>2020</v>
      </c>
      <c r="B608" s="39">
        <v>170755</v>
      </c>
      <c r="C608" s="38" t="s">
        <v>151</v>
      </c>
      <c r="D608" s="38" t="s">
        <v>55</v>
      </c>
      <c r="E608" s="21">
        <v>1</v>
      </c>
      <c r="F608" s="42">
        <f t="shared" si="265"/>
        <v>0.04</v>
      </c>
      <c r="G608" s="21">
        <v>1</v>
      </c>
      <c r="H608" s="42">
        <f t="shared" si="266"/>
        <v>0.05</v>
      </c>
      <c r="I608" s="21">
        <v>0</v>
      </c>
      <c r="J608" s="41">
        <f t="shared" si="267"/>
        <v>0</v>
      </c>
      <c r="K608" s="21">
        <v>0</v>
      </c>
      <c r="L608" s="41">
        <f t="shared" si="268"/>
        <v>0</v>
      </c>
      <c r="M608" s="21">
        <v>23</v>
      </c>
      <c r="N608" s="41">
        <f t="shared" si="269"/>
        <v>0.92</v>
      </c>
      <c r="O608" s="21">
        <v>18</v>
      </c>
      <c r="P608" s="41">
        <f t="shared" si="270"/>
        <v>0.9</v>
      </c>
      <c r="Q608" s="21">
        <v>1</v>
      </c>
      <c r="R608" s="41">
        <f t="shared" si="271"/>
        <v>0.04</v>
      </c>
      <c r="S608" s="21">
        <v>1</v>
      </c>
      <c r="T608" s="41">
        <f t="shared" si="272"/>
        <v>0.05</v>
      </c>
      <c r="U608" s="21">
        <v>1</v>
      </c>
      <c r="V608" s="41">
        <f t="shared" si="273"/>
        <v>0.04</v>
      </c>
      <c r="W608" s="21">
        <v>1</v>
      </c>
      <c r="X608" s="41">
        <f t="shared" si="274"/>
        <v>0.05</v>
      </c>
      <c r="Y608" s="21">
        <v>2</v>
      </c>
      <c r="Z608" s="41">
        <f t="shared" si="275"/>
        <v>0.08</v>
      </c>
      <c r="AA608" s="21">
        <v>2</v>
      </c>
      <c r="AB608" s="41">
        <f t="shared" si="276"/>
        <v>0.1</v>
      </c>
      <c r="AC608" s="21">
        <v>22</v>
      </c>
      <c r="AD608" s="41">
        <f t="shared" si="258"/>
        <v>0.88</v>
      </c>
      <c r="AE608" s="21">
        <v>17</v>
      </c>
      <c r="AF608" s="41">
        <f t="shared" si="277"/>
        <v>0.85</v>
      </c>
      <c r="AG608" s="21">
        <v>1</v>
      </c>
      <c r="AH608" s="41">
        <f t="shared" si="259"/>
        <v>0.04</v>
      </c>
      <c r="AI608" s="21">
        <v>1</v>
      </c>
      <c r="AJ608" s="41">
        <f t="shared" si="278"/>
        <v>0.05</v>
      </c>
      <c r="AK608" s="21">
        <v>0</v>
      </c>
      <c r="AL608" s="41">
        <f t="shared" si="260"/>
        <v>0</v>
      </c>
      <c r="AM608" s="21">
        <v>0</v>
      </c>
      <c r="AN608" s="41">
        <f t="shared" si="279"/>
        <v>0</v>
      </c>
      <c r="AO608" s="21">
        <v>17</v>
      </c>
      <c r="AP608" s="41">
        <f t="shared" si="261"/>
        <v>0.68</v>
      </c>
      <c r="AQ608" s="21">
        <v>14</v>
      </c>
      <c r="AR608" s="41">
        <f t="shared" si="280"/>
        <v>0.7</v>
      </c>
      <c r="AS608" s="21">
        <v>6</v>
      </c>
      <c r="AT608" s="41">
        <f t="shared" si="262"/>
        <v>0.24</v>
      </c>
      <c r="AU608" s="21">
        <v>4</v>
      </c>
      <c r="AV608" s="41">
        <f t="shared" si="281"/>
        <v>0.2</v>
      </c>
      <c r="AW608" s="21">
        <v>1</v>
      </c>
      <c r="AX608" s="41">
        <f t="shared" si="263"/>
        <v>0.04</v>
      </c>
      <c r="AY608" s="21">
        <v>1</v>
      </c>
      <c r="AZ608" s="41">
        <f t="shared" si="282"/>
        <v>0.05</v>
      </c>
      <c r="BA608" s="21">
        <v>0</v>
      </c>
      <c r="BB608" s="41">
        <f t="shared" si="264"/>
        <v>0</v>
      </c>
      <c r="BC608" s="21">
        <v>0</v>
      </c>
      <c r="BD608" s="41">
        <f t="shared" si="283"/>
        <v>0</v>
      </c>
      <c r="BE608" s="21">
        <v>25</v>
      </c>
      <c r="BF608" s="21">
        <v>20</v>
      </c>
    </row>
    <row r="609" spans="1:58" ht="15.75" customHeight="1" x14ac:dyDescent="0.25">
      <c r="A609" s="44">
        <v>2020</v>
      </c>
      <c r="B609" s="39">
        <v>170765</v>
      </c>
      <c r="C609" s="38" t="s">
        <v>146</v>
      </c>
      <c r="D609" s="38" t="s">
        <v>56</v>
      </c>
      <c r="E609" s="21">
        <v>1</v>
      </c>
      <c r="F609" s="42">
        <f t="shared" si="265"/>
        <v>9.3457943925233638E-3</v>
      </c>
      <c r="G609" s="21">
        <v>1</v>
      </c>
      <c r="H609" s="42">
        <f t="shared" si="266"/>
        <v>9.7087378640776691E-3</v>
      </c>
      <c r="I609" s="21">
        <v>7</v>
      </c>
      <c r="J609" s="41">
        <f t="shared" si="267"/>
        <v>6.5420560747663545E-2</v>
      </c>
      <c r="K609" s="21">
        <v>6</v>
      </c>
      <c r="L609" s="41">
        <f t="shared" si="268"/>
        <v>5.8252427184466021E-2</v>
      </c>
      <c r="M609" s="21">
        <v>83</v>
      </c>
      <c r="N609" s="41">
        <f t="shared" si="269"/>
        <v>0.77570093457943923</v>
      </c>
      <c r="O609" s="21">
        <v>81</v>
      </c>
      <c r="P609" s="41">
        <f t="shared" si="270"/>
        <v>0.78640776699029125</v>
      </c>
      <c r="Q609" s="21">
        <v>16</v>
      </c>
      <c r="R609" s="41">
        <f t="shared" si="271"/>
        <v>0.14953271028037382</v>
      </c>
      <c r="S609" s="21">
        <v>15</v>
      </c>
      <c r="T609" s="41">
        <f t="shared" si="272"/>
        <v>0.14563106796116504</v>
      </c>
      <c r="U609" s="21">
        <v>12</v>
      </c>
      <c r="V609" s="41">
        <f t="shared" si="273"/>
        <v>0.11214953271028037</v>
      </c>
      <c r="W609" s="21">
        <v>12</v>
      </c>
      <c r="X609" s="41">
        <f t="shared" si="274"/>
        <v>0.11650485436893204</v>
      </c>
      <c r="Y609" s="21">
        <v>10</v>
      </c>
      <c r="Z609" s="41">
        <f t="shared" si="275"/>
        <v>9.3457943925233641E-2</v>
      </c>
      <c r="AA609" s="21">
        <v>10</v>
      </c>
      <c r="AB609" s="41">
        <f t="shared" si="276"/>
        <v>9.7087378640776698E-2</v>
      </c>
      <c r="AC609" s="21">
        <v>85</v>
      </c>
      <c r="AD609" s="41">
        <f t="shared" si="258"/>
        <v>0.79439252336448596</v>
      </c>
      <c r="AE609" s="21">
        <v>81</v>
      </c>
      <c r="AF609" s="41">
        <f t="shared" si="277"/>
        <v>0.78640776699029125</v>
      </c>
      <c r="AG609" s="21">
        <v>12</v>
      </c>
      <c r="AH609" s="41">
        <f t="shared" si="259"/>
        <v>0.11214953271028037</v>
      </c>
      <c r="AI609" s="21">
        <v>11</v>
      </c>
      <c r="AJ609" s="41">
        <f t="shared" si="278"/>
        <v>0.10679611650485436</v>
      </c>
      <c r="AK609" s="21">
        <v>9</v>
      </c>
      <c r="AL609" s="41">
        <f t="shared" si="260"/>
        <v>8.4112149532710276E-2</v>
      </c>
      <c r="AM609" s="21">
        <v>9</v>
      </c>
      <c r="AN609" s="41">
        <f t="shared" si="279"/>
        <v>8.7378640776699032E-2</v>
      </c>
      <c r="AO609" s="21">
        <v>44</v>
      </c>
      <c r="AP609" s="41">
        <f t="shared" si="261"/>
        <v>0.41121495327102803</v>
      </c>
      <c r="AQ609" s="21">
        <v>42</v>
      </c>
      <c r="AR609" s="41">
        <f t="shared" si="280"/>
        <v>0.40776699029126212</v>
      </c>
      <c r="AS609" s="21">
        <v>11</v>
      </c>
      <c r="AT609" s="41">
        <f t="shared" si="262"/>
        <v>0.10280373831775701</v>
      </c>
      <c r="AU609" s="21">
        <v>11</v>
      </c>
      <c r="AV609" s="41">
        <f t="shared" si="281"/>
        <v>0.10679611650485436</v>
      </c>
      <c r="AW609" s="21">
        <v>11</v>
      </c>
      <c r="AX609" s="41">
        <f t="shared" si="263"/>
        <v>0.10280373831775701</v>
      </c>
      <c r="AY609" s="21">
        <v>10</v>
      </c>
      <c r="AZ609" s="41">
        <f t="shared" si="282"/>
        <v>9.7087378640776698E-2</v>
      </c>
      <c r="BA609" s="21">
        <v>20</v>
      </c>
      <c r="BB609" s="41">
        <f t="shared" si="264"/>
        <v>0.18691588785046728</v>
      </c>
      <c r="BC609" s="21">
        <v>20</v>
      </c>
      <c r="BD609" s="41">
        <f t="shared" si="283"/>
        <v>0.1941747572815534</v>
      </c>
      <c r="BE609" s="21">
        <v>107</v>
      </c>
      <c r="BF609" s="21">
        <v>103</v>
      </c>
    </row>
    <row r="610" spans="1:58" ht="15.75" customHeight="1" x14ac:dyDescent="0.25">
      <c r="A610" s="44">
        <v>2020</v>
      </c>
      <c r="B610" s="39">
        <v>170770</v>
      </c>
      <c r="C610" s="38" t="s">
        <v>149</v>
      </c>
      <c r="D610" s="38" t="s">
        <v>57</v>
      </c>
      <c r="E610" s="21">
        <v>1</v>
      </c>
      <c r="F610" s="42">
        <f t="shared" si="265"/>
        <v>6.5789473684210523E-3</v>
      </c>
      <c r="G610" s="21">
        <v>0</v>
      </c>
      <c r="H610" s="42">
        <f t="shared" si="266"/>
        <v>0</v>
      </c>
      <c r="I610" s="21">
        <v>2</v>
      </c>
      <c r="J610" s="41">
        <f t="shared" si="267"/>
        <v>1.3157894736842105E-2</v>
      </c>
      <c r="K610" s="21">
        <v>0</v>
      </c>
      <c r="L610" s="41">
        <f t="shared" si="268"/>
        <v>0</v>
      </c>
      <c r="M610" s="21">
        <v>143</v>
      </c>
      <c r="N610" s="41">
        <f t="shared" si="269"/>
        <v>0.94078947368421051</v>
      </c>
      <c r="O610" s="21">
        <v>91</v>
      </c>
      <c r="P610" s="41">
        <f t="shared" si="270"/>
        <v>0.94791666666666663</v>
      </c>
      <c r="Q610" s="21">
        <v>6</v>
      </c>
      <c r="R610" s="41">
        <f t="shared" si="271"/>
        <v>3.9473684210526314E-2</v>
      </c>
      <c r="S610" s="21">
        <v>5</v>
      </c>
      <c r="T610" s="41">
        <f t="shared" si="272"/>
        <v>5.2083333333333336E-2</v>
      </c>
      <c r="U610" s="21">
        <v>7</v>
      </c>
      <c r="V610" s="41">
        <f t="shared" si="273"/>
        <v>4.6052631578947366E-2</v>
      </c>
      <c r="W610" s="21">
        <v>3</v>
      </c>
      <c r="X610" s="41">
        <f t="shared" si="274"/>
        <v>3.125E-2</v>
      </c>
      <c r="Y610" s="21">
        <v>12</v>
      </c>
      <c r="Z610" s="41">
        <f t="shared" si="275"/>
        <v>7.8947368421052627E-2</v>
      </c>
      <c r="AA610" s="21">
        <v>8</v>
      </c>
      <c r="AB610" s="41">
        <f t="shared" si="276"/>
        <v>8.3333333333333329E-2</v>
      </c>
      <c r="AC610" s="21">
        <v>133</v>
      </c>
      <c r="AD610" s="41">
        <f t="shared" si="258"/>
        <v>0.875</v>
      </c>
      <c r="AE610" s="21">
        <v>85</v>
      </c>
      <c r="AF610" s="41">
        <f t="shared" si="277"/>
        <v>0.88541666666666663</v>
      </c>
      <c r="AG610" s="21">
        <v>8</v>
      </c>
      <c r="AH610" s="41">
        <f t="shared" si="259"/>
        <v>5.2631578947368418E-2</v>
      </c>
      <c r="AI610" s="21">
        <v>6</v>
      </c>
      <c r="AJ610" s="41">
        <f t="shared" si="278"/>
        <v>6.25E-2</v>
      </c>
      <c r="AK610" s="21">
        <v>10</v>
      </c>
      <c r="AL610" s="41">
        <f t="shared" si="260"/>
        <v>6.5789473684210523E-2</v>
      </c>
      <c r="AM610" s="21">
        <v>5</v>
      </c>
      <c r="AN610" s="41">
        <f t="shared" si="279"/>
        <v>5.2083333333333336E-2</v>
      </c>
      <c r="AO610" s="21">
        <v>105</v>
      </c>
      <c r="AP610" s="41">
        <f t="shared" si="261"/>
        <v>0.69078947368421051</v>
      </c>
      <c r="AQ610" s="21">
        <v>74</v>
      </c>
      <c r="AR610" s="41">
        <f t="shared" si="280"/>
        <v>0.77083333333333337</v>
      </c>
      <c r="AS610" s="21">
        <v>14</v>
      </c>
      <c r="AT610" s="41">
        <f t="shared" si="262"/>
        <v>9.2105263157894732E-2</v>
      </c>
      <c r="AU610" s="21">
        <v>4</v>
      </c>
      <c r="AV610" s="41">
        <f t="shared" si="281"/>
        <v>4.1666666666666664E-2</v>
      </c>
      <c r="AW610" s="21">
        <v>6</v>
      </c>
      <c r="AX610" s="41">
        <f t="shared" si="263"/>
        <v>3.9473684210526314E-2</v>
      </c>
      <c r="AY610" s="21">
        <v>1</v>
      </c>
      <c r="AZ610" s="41">
        <f t="shared" si="282"/>
        <v>1.0416666666666666E-2</v>
      </c>
      <c r="BA610" s="21">
        <v>9</v>
      </c>
      <c r="BB610" s="41">
        <f t="shared" si="264"/>
        <v>5.921052631578947E-2</v>
      </c>
      <c r="BC610" s="21">
        <v>6</v>
      </c>
      <c r="BD610" s="41">
        <f t="shared" si="283"/>
        <v>6.25E-2</v>
      </c>
      <c r="BE610" s="21">
        <v>152</v>
      </c>
      <c r="BF610" s="21">
        <v>96</v>
      </c>
    </row>
    <row r="611" spans="1:58" ht="15.75" customHeight="1" x14ac:dyDescent="0.25">
      <c r="A611" s="44">
        <v>2020</v>
      </c>
      <c r="B611" s="39">
        <v>170820</v>
      </c>
      <c r="C611" s="38" t="s">
        <v>146</v>
      </c>
      <c r="D611" s="38" t="s">
        <v>58</v>
      </c>
      <c r="E611" s="21">
        <v>0</v>
      </c>
      <c r="F611" s="42">
        <f t="shared" si="265"/>
        <v>0</v>
      </c>
      <c r="G611" s="21">
        <v>0</v>
      </c>
      <c r="H611" s="42">
        <f t="shared" si="266"/>
        <v>0</v>
      </c>
      <c r="I611" s="21">
        <v>3</v>
      </c>
      <c r="J611" s="41">
        <f t="shared" si="267"/>
        <v>0.16666666666666666</v>
      </c>
      <c r="K611" s="21">
        <v>0</v>
      </c>
      <c r="L611" s="41">
        <f t="shared" si="268"/>
        <v>0</v>
      </c>
      <c r="M611" s="21">
        <v>14</v>
      </c>
      <c r="N611" s="41">
        <f t="shared" si="269"/>
        <v>0.77777777777777779</v>
      </c>
      <c r="O611" s="21">
        <v>0</v>
      </c>
      <c r="P611" s="41">
        <f t="shared" si="270"/>
        <v>0</v>
      </c>
      <c r="Q611" s="21">
        <v>1</v>
      </c>
      <c r="R611" s="41">
        <f t="shared" si="271"/>
        <v>5.5555555555555552E-2</v>
      </c>
      <c r="S611" s="21">
        <v>0</v>
      </c>
      <c r="T611" s="41">
        <f t="shared" si="272"/>
        <v>0</v>
      </c>
      <c r="U611" s="21">
        <v>1</v>
      </c>
      <c r="V611" s="41">
        <f t="shared" si="273"/>
        <v>5.5555555555555552E-2</v>
      </c>
      <c r="W611" s="21">
        <v>0</v>
      </c>
      <c r="X611" s="41">
        <f t="shared" si="274"/>
        <v>0</v>
      </c>
      <c r="Y611" s="21">
        <v>3</v>
      </c>
      <c r="Z611" s="41">
        <f t="shared" si="275"/>
        <v>0.16666666666666666</v>
      </c>
      <c r="AA611" s="21">
        <v>0</v>
      </c>
      <c r="AB611" s="41">
        <f t="shared" si="276"/>
        <v>0</v>
      </c>
      <c r="AC611" s="21">
        <v>14</v>
      </c>
      <c r="AD611" s="41">
        <f t="shared" si="258"/>
        <v>0.77777777777777779</v>
      </c>
      <c r="AE611" s="21">
        <v>0</v>
      </c>
      <c r="AF611" s="41">
        <f t="shared" si="277"/>
        <v>0</v>
      </c>
      <c r="AG611" s="21">
        <v>0</v>
      </c>
      <c r="AH611" s="41">
        <f t="shared" si="259"/>
        <v>0</v>
      </c>
      <c r="AI611" s="21">
        <v>0</v>
      </c>
      <c r="AJ611" s="41">
        <f t="shared" si="278"/>
        <v>0</v>
      </c>
      <c r="AK611" s="21">
        <v>0</v>
      </c>
      <c r="AL611" s="41">
        <f t="shared" si="260"/>
        <v>0</v>
      </c>
      <c r="AM611" s="21">
        <v>0</v>
      </c>
      <c r="AN611" s="41">
        <f t="shared" si="279"/>
        <v>0</v>
      </c>
      <c r="AO611" s="21">
        <v>12</v>
      </c>
      <c r="AP611" s="41">
        <f t="shared" si="261"/>
        <v>0.66666666666666663</v>
      </c>
      <c r="AQ611" s="21">
        <v>0</v>
      </c>
      <c r="AR611" s="41">
        <f t="shared" si="280"/>
        <v>0</v>
      </c>
      <c r="AS611" s="21">
        <v>5</v>
      </c>
      <c r="AT611" s="41">
        <f t="shared" si="262"/>
        <v>0.27777777777777779</v>
      </c>
      <c r="AU611" s="21">
        <v>0</v>
      </c>
      <c r="AV611" s="41">
        <f t="shared" si="281"/>
        <v>0</v>
      </c>
      <c r="AW611" s="21">
        <v>0</v>
      </c>
      <c r="AX611" s="41">
        <f t="shared" si="263"/>
        <v>0</v>
      </c>
      <c r="AY611" s="21">
        <v>0</v>
      </c>
      <c r="AZ611" s="41">
        <f t="shared" si="282"/>
        <v>0</v>
      </c>
      <c r="BA611" s="21">
        <v>1</v>
      </c>
      <c r="BB611" s="41">
        <f t="shared" si="264"/>
        <v>5.5555555555555552E-2</v>
      </c>
      <c r="BC611" s="21">
        <v>0</v>
      </c>
      <c r="BD611" s="41">
        <f t="shared" si="283"/>
        <v>0</v>
      </c>
      <c r="BE611" s="21">
        <v>18</v>
      </c>
      <c r="BF611" s="21">
        <v>0</v>
      </c>
    </row>
    <row r="612" spans="1:58" ht="15.75" customHeight="1" x14ac:dyDescent="0.25">
      <c r="A612" s="44">
        <v>2020</v>
      </c>
      <c r="B612" s="39">
        <v>170830</v>
      </c>
      <c r="C612" s="38" t="s">
        <v>150</v>
      </c>
      <c r="D612" s="38" t="s">
        <v>59</v>
      </c>
      <c r="E612" s="21">
        <v>0</v>
      </c>
      <c r="F612" s="42">
        <f t="shared" si="265"/>
        <v>0</v>
      </c>
      <c r="G612" s="21">
        <v>0</v>
      </c>
      <c r="H612" s="42">
        <f t="shared" si="266"/>
        <v>0</v>
      </c>
      <c r="I612" s="21">
        <v>6</v>
      </c>
      <c r="J612" s="41">
        <f t="shared" si="267"/>
        <v>3.2786885245901641E-2</v>
      </c>
      <c r="K612" s="21">
        <v>3</v>
      </c>
      <c r="L612" s="41">
        <f t="shared" si="268"/>
        <v>2.5000000000000001E-2</v>
      </c>
      <c r="M612" s="21">
        <v>162</v>
      </c>
      <c r="N612" s="41">
        <f t="shared" si="269"/>
        <v>0.88524590163934425</v>
      </c>
      <c r="O612" s="21">
        <v>109</v>
      </c>
      <c r="P612" s="41">
        <f t="shared" si="270"/>
        <v>0.90833333333333333</v>
      </c>
      <c r="Q612" s="21">
        <v>15</v>
      </c>
      <c r="R612" s="41">
        <f t="shared" si="271"/>
        <v>8.1967213114754092E-2</v>
      </c>
      <c r="S612" s="21">
        <v>8</v>
      </c>
      <c r="T612" s="41">
        <f t="shared" si="272"/>
        <v>6.6666666666666666E-2</v>
      </c>
      <c r="U612" s="21">
        <v>3</v>
      </c>
      <c r="V612" s="41">
        <f t="shared" si="273"/>
        <v>1.6393442622950821E-2</v>
      </c>
      <c r="W612" s="21">
        <v>2</v>
      </c>
      <c r="X612" s="41">
        <f t="shared" si="274"/>
        <v>1.6666666666666666E-2</v>
      </c>
      <c r="Y612" s="21">
        <v>6</v>
      </c>
      <c r="Z612" s="41">
        <f t="shared" si="275"/>
        <v>3.2786885245901641E-2</v>
      </c>
      <c r="AA612" s="21">
        <v>4</v>
      </c>
      <c r="AB612" s="41">
        <f t="shared" si="276"/>
        <v>3.3333333333333333E-2</v>
      </c>
      <c r="AC612" s="21">
        <v>174</v>
      </c>
      <c r="AD612" s="41">
        <f t="shared" si="258"/>
        <v>0.95081967213114749</v>
      </c>
      <c r="AE612" s="21">
        <v>114</v>
      </c>
      <c r="AF612" s="41">
        <f t="shared" si="277"/>
        <v>0.95</v>
      </c>
      <c r="AG612" s="21">
        <v>9</v>
      </c>
      <c r="AH612" s="41">
        <f t="shared" si="259"/>
        <v>4.9180327868852458E-2</v>
      </c>
      <c r="AI612" s="21">
        <v>8</v>
      </c>
      <c r="AJ612" s="41">
        <f t="shared" si="278"/>
        <v>6.6666666666666666E-2</v>
      </c>
      <c r="AK612" s="21">
        <v>20</v>
      </c>
      <c r="AL612" s="41">
        <f t="shared" si="260"/>
        <v>0.10928961748633879</v>
      </c>
      <c r="AM612" s="21">
        <v>16</v>
      </c>
      <c r="AN612" s="41">
        <f t="shared" si="279"/>
        <v>0.13333333333333333</v>
      </c>
      <c r="AO612" s="21">
        <v>119</v>
      </c>
      <c r="AP612" s="41">
        <f t="shared" si="261"/>
        <v>0.65027322404371579</v>
      </c>
      <c r="AQ612" s="21">
        <v>75</v>
      </c>
      <c r="AR612" s="41">
        <f t="shared" si="280"/>
        <v>0.625</v>
      </c>
      <c r="AS612" s="21">
        <v>20</v>
      </c>
      <c r="AT612" s="41">
        <f t="shared" si="262"/>
        <v>0.10928961748633879</v>
      </c>
      <c r="AU612" s="21">
        <v>13</v>
      </c>
      <c r="AV612" s="41">
        <f t="shared" si="281"/>
        <v>0.10833333333333334</v>
      </c>
      <c r="AW612" s="21">
        <v>9</v>
      </c>
      <c r="AX612" s="41">
        <f t="shared" si="263"/>
        <v>4.9180327868852458E-2</v>
      </c>
      <c r="AY612" s="21">
        <v>3</v>
      </c>
      <c r="AZ612" s="41">
        <f t="shared" si="282"/>
        <v>2.5000000000000001E-2</v>
      </c>
      <c r="BA612" s="21">
        <v>6</v>
      </c>
      <c r="BB612" s="41">
        <f t="shared" si="264"/>
        <v>3.2786885245901641E-2</v>
      </c>
      <c r="BC612" s="21">
        <v>5</v>
      </c>
      <c r="BD612" s="41">
        <f t="shared" si="283"/>
        <v>4.1666666666666664E-2</v>
      </c>
      <c r="BE612" s="21">
        <v>183</v>
      </c>
      <c r="BF612" s="21">
        <v>120</v>
      </c>
    </row>
    <row r="613" spans="1:58" ht="15.75" customHeight="1" x14ac:dyDescent="0.25">
      <c r="A613" s="44">
        <v>2020</v>
      </c>
      <c r="B613" s="39">
        <v>170900</v>
      </c>
      <c r="C613" s="38" t="s">
        <v>149</v>
      </c>
      <c r="D613" s="38" t="s">
        <v>60</v>
      </c>
      <c r="E613" s="21">
        <v>0</v>
      </c>
      <c r="F613" s="42">
        <f t="shared" si="265"/>
        <v>0</v>
      </c>
      <c r="G613" s="21">
        <v>0</v>
      </c>
      <c r="H613" s="42">
        <f t="shared" si="266"/>
        <v>0</v>
      </c>
      <c r="I613" s="21">
        <v>3</v>
      </c>
      <c r="J613" s="41">
        <f t="shared" si="267"/>
        <v>2.1582733812949641E-2</v>
      </c>
      <c r="K613" s="21">
        <v>0</v>
      </c>
      <c r="L613" s="41">
        <f t="shared" si="268"/>
        <v>0</v>
      </c>
      <c r="M613" s="21">
        <v>133</v>
      </c>
      <c r="N613" s="41">
        <f t="shared" si="269"/>
        <v>0.95683453237410077</v>
      </c>
      <c r="O613" s="21">
        <v>7</v>
      </c>
      <c r="P613" s="41">
        <f t="shared" si="270"/>
        <v>1</v>
      </c>
      <c r="Q613" s="21">
        <v>3</v>
      </c>
      <c r="R613" s="41">
        <f t="shared" si="271"/>
        <v>2.1582733812949641E-2</v>
      </c>
      <c r="S613" s="21">
        <v>0</v>
      </c>
      <c r="T613" s="41">
        <f t="shared" si="272"/>
        <v>0</v>
      </c>
      <c r="U613" s="21">
        <v>6</v>
      </c>
      <c r="V613" s="41">
        <f t="shared" si="273"/>
        <v>4.3165467625899283E-2</v>
      </c>
      <c r="W613" s="21">
        <v>0</v>
      </c>
      <c r="X613" s="41">
        <f t="shared" si="274"/>
        <v>0</v>
      </c>
      <c r="Y613" s="21">
        <v>18</v>
      </c>
      <c r="Z613" s="41">
        <f t="shared" si="275"/>
        <v>0.12949640287769784</v>
      </c>
      <c r="AA613" s="21">
        <v>1</v>
      </c>
      <c r="AB613" s="41">
        <f t="shared" si="276"/>
        <v>0.14285714285714285</v>
      </c>
      <c r="AC613" s="21">
        <v>115</v>
      </c>
      <c r="AD613" s="41">
        <f t="shared" si="258"/>
        <v>0.82733812949640284</v>
      </c>
      <c r="AE613" s="21">
        <v>6</v>
      </c>
      <c r="AF613" s="41">
        <f t="shared" si="277"/>
        <v>0.8571428571428571</v>
      </c>
      <c r="AG613" s="21">
        <v>0</v>
      </c>
      <c r="AH613" s="41">
        <f t="shared" si="259"/>
        <v>0</v>
      </c>
      <c r="AI613" s="21">
        <v>0</v>
      </c>
      <c r="AJ613" s="41">
        <f t="shared" si="278"/>
        <v>0</v>
      </c>
      <c r="AK613" s="21">
        <v>0</v>
      </c>
      <c r="AL613" s="41">
        <f t="shared" si="260"/>
        <v>0</v>
      </c>
      <c r="AM613" s="21">
        <v>0</v>
      </c>
      <c r="AN613" s="41">
        <f t="shared" si="279"/>
        <v>0</v>
      </c>
      <c r="AO613" s="21">
        <v>87</v>
      </c>
      <c r="AP613" s="41">
        <f t="shared" si="261"/>
        <v>0.62589928057553956</v>
      </c>
      <c r="AQ613" s="21">
        <v>4</v>
      </c>
      <c r="AR613" s="41">
        <f t="shared" si="280"/>
        <v>0.5714285714285714</v>
      </c>
      <c r="AS613" s="21">
        <v>28</v>
      </c>
      <c r="AT613" s="41">
        <f t="shared" si="262"/>
        <v>0.20143884892086331</v>
      </c>
      <c r="AU613" s="21">
        <v>3</v>
      </c>
      <c r="AV613" s="41">
        <f t="shared" si="281"/>
        <v>0.42857142857142855</v>
      </c>
      <c r="AW613" s="21">
        <v>15</v>
      </c>
      <c r="AX613" s="41">
        <f t="shared" si="263"/>
        <v>0.1079136690647482</v>
      </c>
      <c r="AY613" s="21">
        <v>0</v>
      </c>
      <c r="AZ613" s="41">
        <f t="shared" si="282"/>
        <v>0</v>
      </c>
      <c r="BA613" s="21">
        <v>9</v>
      </c>
      <c r="BB613" s="41">
        <f t="shared" si="264"/>
        <v>6.4748201438848921E-2</v>
      </c>
      <c r="BC613" s="21">
        <v>0</v>
      </c>
      <c r="BD613" s="41">
        <f t="shared" si="283"/>
        <v>0</v>
      </c>
      <c r="BE613" s="21">
        <v>139</v>
      </c>
      <c r="BF613" s="21">
        <v>7</v>
      </c>
    </row>
    <row r="614" spans="1:58" ht="15.75" customHeight="1" x14ac:dyDescent="0.25">
      <c r="A614" s="44">
        <v>2020</v>
      </c>
      <c r="B614" s="39">
        <v>170930</v>
      </c>
      <c r="C614" s="38" t="s">
        <v>150</v>
      </c>
      <c r="D614" s="38" t="s">
        <v>61</v>
      </c>
      <c r="E614" s="21">
        <v>4</v>
      </c>
      <c r="F614" s="42">
        <f t="shared" si="265"/>
        <v>2.4390243902439025E-2</v>
      </c>
      <c r="G614" s="21">
        <v>0</v>
      </c>
      <c r="H614" s="42">
        <f t="shared" si="266"/>
        <v>0</v>
      </c>
      <c r="I614" s="21">
        <v>5</v>
      </c>
      <c r="J614" s="41">
        <f t="shared" si="267"/>
        <v>3.048780487804878E-2</v>
      </c>
      <c r="K614" s="21">
        <v>1</v>
      </c>
      <c r="L614" s="41">
        <f t="shared" si="268"/>
        <v>0.33333333333333331</v>
      </c>
      <c r="M614" s="21">
        <v>153</v>
      </c>
      <c r="N614" s="41">
        <f t="shared" si="269"/>
        <v>0.93292682926829273</v>
      </c>
      <c r="O614" s="21">
        <v>2</v>
      </c>
      <c r="P614" s="41">
        <f t="shared" si="270"/>
        <v>0.66666666666666663</v>
      </c>
      <c r="Q614" s="21">
        <v>2</v>
      </c>
      <c r="R614" s="41">
        <f t="shared" si="271"/>
        <v>1.2195121951219513E-2</v>
      </c>
      <c r="S614" s="21">
        <v>0</v>
      </c>
      <c r="T614" s="41">
        <f t="shared" si="272"/>
        <v>0</v>
      </c>
      <c r="U614" s="21">
        <v>11</v>
      </c>
      <c r="V614" s="41">
        <f t="shared" si="273"/>
        <v>6.7073170731707321E-2</v>
      </c>
      <c r="W614" s="21">
        <v>0</v>
      </c>
      <c r="X614" s="41">
        <f t="shared" si="274"/>
        <v>0</v>
      </c>
      <c r="Y614" s="21">
        <v>10</v>
      </c>
      <c r="Z614" s="41">
        <f t="shared" si="275"/>
        <v>6.097560975609756E-2</v>
      </c>
      <c r="AA614" s="21">
        <v>1</v>
      </c>
      <c r="AB614" s="41">
        <f t="shared" si="276"/>
        <v>0.33333333333333331</v>
      </c>
      <c r="AC614" s="21">
        <v>143</v>
      </c>
      <c r="AD614" s="41">
        <f t="shared" si="258"/>
        <v>0.87195121951219512</v>
      </c>
      <c r="AE614" s="21">
        <v>2</v>
      </c>
      <c r="AF614" s="41">
        <f t="shared" si="277"/>
        <v>0.66666666666666663</v>
      </c>
      <c r="AG614" s="21">
        <v>4</v>
      </c>
      <c r="AH614" s="41">
        <f t="shared" si="259"/>
        <v>2.4390243902439025E-2</v>
      </c>
      <c r="AI614" s="21">
        <v>0</v>
      </c>
      <c r="AJ614" s="41">
        <f t="shared" si="278"/>
        <v>0</v>
      </c>
      <c r="AK614" s="21">
        <v>3</v>
      </c>
      <c r="AL614" s="41">
        <f t="shared" si="260"/>
        <v>1.8292682926829267E-2</v>
      </c>
      <c r="AM614" s="21">
        <v>0</v>
      </c>
      <c r="AN614" s="41">
        <f t="shared" si="279"/>
        <v>0</v>
      </c>
      <c r="AO614" s="21">
        <v>107</v>
      </c>
      <c r="AP614" s="41">
        <f t="shared" si="261"/>
        <v>0.65243902439024393</v>
      </c>
      <c r="AQ614" s="21">
        <v>2</v>
      </c>
      <c r="AR614" s="41">
        <f t="shared" si="280"/>
        <v>0.66666666666666663</v>
      </c>
      <c r="AS614" s="21">
        <v>37</v>
      </c>
      <c r="AT614" s="41">
        <f t="shared" si="262"/>
        <v>0.22560975609756098</v>
      </c>
      <c r="AU614" s="21">
        <v>1</v>
      </c>
      <c r="AV614" s="41">
        <f t="shared" si="281"/>
        <v>0.33333333333333331</v>
      </c>
      <c r="AW614" s="21">
        <v>10</v>
      </c>
      <c r="AX614" s="41">
        <f t="shared" si="263"/>
        <v>6.097560975609756E-2</v>
      </c>
      <c r="AY614" s="21">
        <v>0</v>
      </c>
      <c r="AZ614" s="41">
        <f t="shared" si="282"/>
        <v>0</v>
      </c>
      <c r="BA614" s="21">
        <v>3</v>
      </c>
      <c r="BB614" s="41">
        <f t="shared" si="264"/>
        <v>1.8292682926829267E-2</v>
      </c>
      <c r="BC614" s="21">
        <v>0</v>
      </c>
      <c r="BD614" s="41">
        <f t="shared" si="283"/>
        <v>0</v>
      </c>
      <c r="BE614" s="21">
        <v>164</v>
      </c>
      <c r="BF614" s="21">
        <v>3</v>
      </c>
    </row>
    <row r="615" spans="1:58" ht="15.75" customHeight="1" x14ac:dyDescent="0.25">
      <c r="A615" s="44">
        <v>2020</v>
      </c>
      <c r="B615" s="39">
        <v>170950</v>
      </c>
      <c r="C615" s="38" t="s">
        <v>146</v>
      </c>
      <c r="D615" s="38" t="s">
        <v>62</v>
      </c>
      <c r="E615" s="21">
        <v>58</v>
      </c>
      <c r="F615" s="42">
        <f t="shared" si="265"/>
        <v>4.6736502820306204E-2</v>
      </c>
      <c r="G615" s="21">
        <v>55</v>
      </c>
      <c r="H615" s="42">
        <f t="shared" si="266"/>
        <v>6.5632458233890217E-2</v>
      </c>
      <c r="I615" s="21">
        <v>106</v>
      </c>
      <c r="J615" s="41">
        <f t="shared" si="267"/>
        <v>8.5414987912973403E-2</v>
      </c>
      <c r="K615" s="21">
        <v>98</v>
      </c>
      <c r="L615" s="41">
        <f t="shared" si="268"/>
        <v>0.11694510739856802</v>
      </c>
      <c r="M615" s="21">
        <v>978</v>
      </c>
      <c r="N615" s="41">
        <f t="shared" si="269"/>
        <v>0.78807413376309432</v>
      </c>
      <c r="O615" s="21">
        <v>620</v>
      </c>
      <c r="P615" s="41">
        <f t="shared" si="270"/>
        <v>0.73985680190930792</v>
      </c>
      <c r="Q615" s="21">
        <v>99</v>
      </c>
      <c r="R615" s="41">
        <f t="shared" si="271"/>
        <v>7.9774375503626108E-2</v>
      </c>
      <c r="S615" s="21">
        <v>65</v>
      </c>
      <c r="T615" s="41">
        <f t="shared" si="272"/>
        <v>7.7565632458233891E-2</v>
      </c>
      <c r="U615" s="21">
        <v>208</v>
      </c>
      <c r="V615" s="41">
        <f t="shared" si="273"/>
        <v>0.16760676873489122</v>
      </c>
      <c r="W615" s="21">
        <v>199</v>
      </c>
      <c r="X615" s="41">
        <f t="shared" si="274"/>
        <v>0.23747016706443913</v>
      </c>
      <c r="Y615" s="21">
        <v>137</v>
      </c>
      <c r="Z615" s="41">
        <f t="shared" si="275"/>
        <v>0.11039484286865431</v>
      </c>
      <c r="AA615" s="21">
        <v>120</v>
      </c>
      <c r="AB615" s="41">
        <f t="shared" si="276"/>
        <v>0.14319809069212411</v>
      </c>
      <c r="AC615" s="21">
        <v>896</v>
      </c>
      <c r="AD615" s="41">
        <f t="shared" si="258"/>
        <v>0.72199838839645447</v>
      </c>
      <c r="AE615" s="21">
        <v>519</v>
      </c>
      <c r="AF615" s="41">
        <f t="shared" si="277"/>
        <v>0.61933174224343679</v>
      </c>
      <c r="AG615" s="21">
        <v>56</v>
      </c>
      <c r="AH615" s="41">
        <f t="shared" si="259"/>
        <v>4.5124899274778404E-2</v>
      </c>
      <c r="AI615" s="21">
        <v>52</v>
      </c>
      <c r="AJ615" s="41">
        <f t="shared" si="278"/>
        <v>6.205250596658711E-2</v>
      </c>
      <c r="AK615" s="21">
        <v>51</v>
      </c>
      <c r="AL615" s="41">
        <f t="shared" si="260"/>
        <v>4.1095890410958902E-2</v>
      </c>
      <c r="AM615" s="21">
        <v>43</v>
      </c>
      <c r="AN615" s="41">
        <f t="shared" si="279"/>
        <v>5.1312649164677801E-2</v>
      </c>
      <c r="AO615" s="21">
        <v>734</v>
      </c>
      <c r="AP615" s="41">
        <f t="shared" si="261"/>
        <v>0.59145850120870269</v>
      </c>
      <c r="AQ615" s="21">
        <v>472</v>
      </c>
      <c r="AR615" s="41">
        <f t="shared" si="280"/>
        <v>0.56324582338902152</v>
      </c>
      <c r="AS615" s="21">
        <v>200</v>
      </c>
      <c r="AT615" s="41">
        <f t="shared" si="262"/>
        <v>0.16116035455278002</v>
      </c>
      <c r="AU615" s="21">
        <v>123</v>
      </c>
      <c r="AV615" s="41">
        <f t="shared" si="281"/>
        <v>0.1467780429594272</v>
      </c>
      <c r="AW615" s="21">
        <v>113</v>
      </c>
      <c r="AX615" s="41">
        <f t="shared" si="263"/>
        <v>9.1055600322320712E-2</v>
      </c>
      <c r="AY615" s="21">
        <v>75</v>
      </c>
      <c r="AZ615" s="41">
        <f t="shared" si="282"/>
        <v>8.9498806682577564E-2</v>
      </c>
      <c r="BA615" s="21">
        <v>87</v>
      </c>
      <c r="BB615" s="41">
        <f t="shared" si="264"/>
        <v>7.010475423045931E-2</v>
      </c>
      <c r="BC615" s="21">
        <v>73</v>
      </c>
      <c r="BD615" s="41">
        <f t="shared" si="283"/>
        <v>8.7112171837708835E-2</v>
      </c>
      <c r="BE615" s="20">
        <v>1241</v>
      </c>
      <c r="BF615" s="21">
        <v>838</v>
      </c>
    </row>
    <row r="616" spans="1:58" ht="15.75" customHeight="1" x14ac:dyDescent="0.25">
      <c r="A616" s="44">
        <v>2020</v>
      </c>
      <c r="B616" s="39">
        <v>170980</v>
      </c>
      <c r="C616" s="38" t="s">
        <v>151</v>
      </c>
      <c r="D616" s="38" t="s">
        <v>63</v>
      </c>
      <c r="E616" s="21">
        <v>0</v>
      </c>
      <c r="F616" s="42">
        <f t="shared" si="265"/>
        <v>0</v>
      </c>
      <c r="G616" s="21">
        <v>0</v>
      </c>
      <c r="H616" s="42">
        <f t="shared" si="266"/>
        <v>0</v>
      </c>
      <c r="I616" s="21">
        <v>1</v>
      </c>
      <c r="J616" s="41">
        <f t="shared" si="267"/>
        <v>1.1111111111111112E-2</v>
      </c>
      <c r="K616" s="21">
        <v>1</v>
      </c>
      <c r="L616" s="41">
        <f t="shared" si="268"/>
        <v>1.5625E-2</v>
      </c>
      <c r="M616" s="21">
        <v>80</v>
      </c>
      <c r="N616" s="41">
        <f t="shared" si="269"/>
        <v>0.88888888888888884</v>
      </c>
      <c r="O616" s="21">
        <v>57</v>
      </c>
      <c r="P616" s="41">
        <f t="shared" si="270"/>
        <v>0.890625</v>
      </c>
      <c r="Q616" s="21">
        <v>9</v>
      </c>
      <c r="R616" s="41">
        <f t="shared" si="271"/>
        <v>0.1</v>
      </c>
      <c r="S616" s="21">
        <v>6</v>
      </c>
      <c r="T616" s="41">
        <f t="shared" si="272"/>
        <v>9.375E-2</v>
      </c>
      <c r="U616" s="21">
        <v>2</v>
      </c>
      <c r="V616" s="41">
        <f t="shared" si="273"/>
        <v>2.2222222222222223E-2</v>
      </c>
      <c r="W616" s="21">
        <v>2</v>
      </c>
      <c r="X616" s="41">
        <f t="shared" si="274"/>
        <v>3.125E-2</v>
      </c>
      <c r="Y616" s="21">
        <v>1</v>
      </c>
      <c r="Z616" s="41">
        <f t="shared" si="275"/>
        <v>1.1111111111111112E-2</v>
      </c>
      <c r="AA616" s="21">
        <v>1</v>
      </c>
      <c r="AB616" s="41">
        <f t="shared" si="276"/>
        <v>1.5625E-2</v>
      </c>
      <c r="AC616" s="21">
        <v>87</v>
      </c>
      <c r="AD616" s="41">
        <f t="shared" si="258"/>
        <v>0.96666666666666667</v>
      </c>
      <c r="AE616" s="21">
        <v>61</v>
      </c>
      <c r="AF616" s="41">
        <f t="shared" si="277"/>
        <v>0.953125</v>
      </c>
      <c r="AG616" s="21">
        <v>2</v>
      </c>
      <c r="AH616" s="41">
        <f t="shared" si="259"/>
        <v>2.2222222222222223E-2</v>
      </c>
      <c r="AI616" s="21">
        <v>0</v>
      </c>
      <c r="AJ616" s="41">
        <f t="shared" si="278"/>
        <v>0</v>
      </c>
      <c r="AK616" s="21">
        <v>5</v>
      </c>
      <c r="AL616" s="41">
        <f t="shared" si="260"/>
        <v>5.5555555555555552E-2</v>
      </c>
      <c r="AM616" s="21">
        <v>2</v>
      </c>
      <c r="AN616" s="41">
        <f t="shared" si="279"/>
        <v>3.125E-2</v>
      </c>
      <c r="AO616" s="21">
        <v>51</v>
      </c>
      <c r="AP616" s="41">
        <f t="shared" si="261"/>
        <v>0.56666666666666665</v>
      </c>
      <c r="AQ616" s="21">
        <v>41</v>
      </c>
      <c r="AR616" s="41">
        <f t="shared" si="280"/>
        <v>0.640625</v>
      </c>
      <c r="AS616" s="21">
        <v>24</v>
      </c>
      <c r="AT616" s="41">
        <f t="shared" si="262"/>
        <v>0.26666666666666666</v>
      </c>
      <c r="AU616" s="21">
        <v>12</v>
      </c>
      <c r="AV616" s="41">
        <f t="shared" si="281"/>
        <v>0.1875</v>
      </c>
      <c r="AW616" s="21">
        <v>1</v>
      </c>
      <c r="AX616" s="41">
        <f t="shared" si="263"/>
        <v>1.1111111111111112E-2</v>
      </c>
      <c r="AY616" s="21">
        <v>4</v>
      </c>
      <c r="AZ616" s="41">
        <f t="shared" si="282"/>
        <v>6.25E-2</v>
      </c>
      <c r="BA616" s="21">
        <v>7</v>
      </c>
      <c r="BB616" s="41">
        <f t="shared" si="264"/>
        <v>7.7777777777777779E-2</v>
      </c>
      <c r="BC616" s="21">
        <v>5</v>
      </c>
      <c r="BD616" s="41">
        <f t="shared" si="283"/>
        <v>7.8125E-2</v>
      </c>
      <c r="BE616" s="21">
        <v>90</v>
      </c>
      <c r="BF616" s="21">
        <v>64</v>
      </c>
    </row>
    <row r="617" spans="1:58" ht="15.75" customHeight="1" x14ac:dyDescent="0.25">
      <c r="A617" s="44">
        <v>2020</v>
      </c>
      <c r="B617" s="39">
        <v>171050</v>
      </c>
      <c r="C617" s="38" t="s">
        <v>150</v>
      </c>
      <c r="D617" s="38" t="s">
        <v>64</v>
      </c>
      <c r="E617" s="21">
        <v>1</v>
      </c>
      <c r="F617" s="42">
        <f t="shared" si="265"/>
        <v>4.7846889952153108E-3</v>
      </c>
      <c r="G617" s="21">
        <v>1</v>
      </c>
      <c r="H617" s="42">
        <f t="shared" si="266"/>
        <v>6.3291139240506328E-3</v>
      </c>
      <c r="I617" s="21">
        <v>4</v>
      </c>
      <c r="J617" s="41">
        <f t="shared" si="267"/>
        <v>1.9138755980861243E-2</v>
      </c>
      <c r="K617" s="21">
        <v>1</v>
      </c>
      <c r="L617" s="41">
        <f t="shared" si="268"/>
        <v>6.3291139240506328E-3</v>
      </c>
      <c r="M617" s="21">
        <v>185</v>
      </c>
      <c r="N617" s="41">
        <f t="shared" si="269"/>
        <v>0.88516746411483249</v>
      </c>
      <c r="O617" s="21">
        <v>140</v>
      </c>
      <c r="P617" s="41">
        <f t="shared" si="270"/>
        <v>0.88607594936708856</v>
      </c>
      <c r="Q617" s="21">
        <v>19</v>
      </c>
      <c r="R617" s="41">
        <f t="shared" si="271"/>
        <v>9.0909090909090912E-2</v>
      </c>
      <c r="S617" s="21">
        <v>16</v>
      </c>
      <c r="T617" s="41">
        <f t="shared" si="272"/>
        <v>0.10126582278481013</v>
      </c>
      <c r="U617" s="21">
        <v>12</v>
      </c>
      <c r="V617" s="41">
        <f t="shared" si="273"/>
        <v>5.7416267942583733E-2</v>
      </c>
      <c r="W617" s="21">
        <v>10</v>
      </c>
      <c r="X617" s="41">
        <f t="shared" si="274"/>
        <v>6.3291139240506333E-2</v>
      </c>
      <c r="Y617" s="21">
        <v>11</v>
      </c>
      <c r="Z617" s="41">
        <f t="shared" si="275"/>
        <v>5.2631578947368418E-2</v>
      </c>
      <c r="AA617" s="21">
        <v>10</v>
      </c>
      <c r="AB617" s="41">
        <f t="shared" si="276"/>
        <v>6.3291139240506333E-2</v>
      </c>
      <c r="AC617" s="21">
        <v>186</v>
      </c>
      <c r="AD617" s="41">
        <f t="shared" si="258"/>
        <v>0.88995215311004783</v>
      </c>
      <c r="AE617" s="21">
        <v>138</v>
      </c>
      <c r="AF617" s="41">
        <f t="shared" si="277"/>
        <v>0.87341772151898733</v>
      </c>
      <c r="AG617" s="21">
        <v>9</v>
      </c>
      <c r="AH617" s="41">
        <f t="shared" si="259"/>
        <v>4.3062200956937802E-2</v>
      </c>
      <c r="AI617" s="21">
        <v>7</v>
      </c>
      <c r="AJ617" s="41">
        <f t="shared" si="278"/>
        <v>4.4303797468354431E-2</v>
      </c>
      <c r="AK617" s="21">
        <v>10</v>
      </c>
      <c r="AL617" s="41">
        <f t="shared" si="260"/>
        <v>4.784688995215311E-2</v>
      </c>
      <c r="AM617" s="21">
        <v>9</v>
      </c>
      <c r="AN617" s="41">
        <f t="shared" si="279"/>
        <v>5.6962025316455694E-2</v>
      </c>
      <c r="AO617" s="21">
        <v>128</v>
      </c>
      <c r="AP617" s="41">
        <f t="shared" si="261"/>
        <v>0.61244019138755978</v>
      </c>
      <c r="AQ617" s="21">
        <v>96</v>
      </c>
      <c r="AR617" s="41">
        <f t="shared" si="280"/>
        <v>0.60759493670886078</v>
      </c>
      <c r="AS617" s="21">
        <v>31</v>
      </c>
      <c r="AT617" s="41">
        <f t="shared" si="262"/>
        <v>0.14832535885167464</v>
      </c>
      <c r="AU617" s="21">
        <v>23</v>
      </c>
      <c r="AV617" s="41">
        <f t="shared" si="281"/>
        <v>0.14556962025316456</v>
      </c>
      <c r="AW617" s="21">
        <v>17</v>
      </c>
      <c r="AX617" s="41">
        <f t="shared" si="263"/>
        <v>8.1339712918660281E-2</v>
      </c>
      <c r="AY617" s="21">
        <v>12</v>
      </c>
      <c r="AZ617" s="41">
        <f t="shared" si="282"/>
        <v>7.5949367088607597E-2</v>
      </c>
      <c r="BA617" s="21">
        <v>14</v>
      </c>
      <c r="BB617" s="41">
        <f t="shared" si="264"/>
        <v>6.6985645933014357E-2</v>
      </c>
      <c r="BC617" s="21">
        <v>11</v>
      </c>
      <c r="BD617" s="41">
        <f t="shared" si="283"/>
        <v>6.9620253164556958E-2</v>
      </c>
      <c r="BE617" s="21">
        <v>209</v>
      </c>
      <c r="BF617" s="21">
        <v>158</v>
      </c>
    </row>
    <row r="618" spans="1:58" ht="15.75" customHeight="1" x14ac:dyDescent="0.25">
      <c r="A618" s="44">
        <v>2020</v>
      </c>
      <c r="B618" s="39">
        <v>171070</v>
      </c>
      <c r="C618" s="38" t="s">
        <v>145</v>
      </c>
      <c r="D618" s="38" t="s">
        <v>65</v>
      </c>
      <c r="E618" s="21">
        <v>5</v>
      </c>
      <c r="F618" s="42">
        <f t="shared" si="265"/>
        <v>1.9455252918287938E-2</v>
      </c>
      <c r="G618" s="21">
        <v>2</v>
      </c>
      <c r="H618" s="42">
        <f t="shared" si="266"/>
        <v>1.0101010101010102E-2</v>
      </c>
      <c r="I618" s="21">
        <v>5</v>
      </c>
      <c r="J618" s="41">
        <f t="shared" si="267"/>
        <v>1.9455252918287938E-2</v>
      </c>
      <c r="K618" s="21">
        <v>4</v>
      </c>
      <c r="L618" s="41">
        <f t="shared" si="268"/>
        <v>2.0202020202020204E-2</v>
      </c>
      <c r="M618" s="21">
        <v>235</v>
      </c>
      <c r="N618" s="41">
        <f t="shared" si="269"/>
        <v>0.91439688715953304</v>
      </c>
      <c r="O618" s="21">
        <v>186</v>
      </c>
      <c r="P618" s="41">
        <f t="shared" si="270"/>
        <v>0.93939393939393945</v>
      </c>
      <c r="Q618" s="21">
        <v>12</v>
      </c>
      <c r="R618" s="41">
        <f t="shared" si="271"/>
        <v>4.6692607003891051E-2</v>
      </c>
      <c r="S618" s="21">
        <v>6</v>
      </c>
      <c r="T618" s="41">
        <f t="shared" si="272"/>
        <v>3.0303030303030304E-2</v>
      </c>
      <c r="U618" s="21">
        <v>22</v>
      </c>
      <c r="V618" s="41">
        <f t="shared" si="273"/>
        <v>8.5603112840466927E-2</v>
      </c>
      <c r="W618" s="21">
        <v>18</v>
      </c>
      <c r="X618" s="41">
        <f t="shared" si="274"/>
        <v>9.0909090909090912E-2</v>
      </c>
      <c r="Y618" s="21">
        <v>16</v>
      </c>
      <c r="Z618" s="41">
        <f t="shared" si="275"/>
        <v>6.2256809338521402E-2</v>
      </c>
      <c r="AA618" s="21">
        <v>12</v>
      </c>
      <c r="AB618" s="41">
        <f t="shared" si="276"/>
        <v>6.0606060606060608E-2</v>
      </c>
      <c r="AC618" s="21">
        <v>219</v>
      </c>
      <c r="AD618" s="41">
        <f t="shared" si="258"/>
        <v>0.85214007782101164</v>
      </c>
      <c r="AE618" s="21">
        <v>168</v>
      </c>
      <c r="AF618" s="41">
        <f t="shared" si="277"/>
        <v>0.84848484848484851</v>
      </c>
      <c r="AG618" s="21">
        <v>16</v>
      </c>
      <c r="AH618" s="41">
        <f t="shared" si="259"/>
        <v>6.2256809338521402E-2</v>
      </c>
      <c r="AI618" s="21">
        <v>10</v>
      </c>
      <c r="AJ618" s="41">
        <f t="shared" si="278"/>
        <v>5.0505050505050504E-2</v>
      </c>
      <c r="AK618" s="21">
        <v>10</v>
      </c>
      <c r="AL618" s="41">
        <f t="shared" si="260"/>
        <v>3.8910505836575876E-2</v>
      </c>
      <c r="AM618" s="21">
        <v>8</v>
      </c>
      <c r="AN618" s="41">
        <f t="shared" si="279"/>
        <v>4.0404040404040407E-2</v>
      </c>
      <c r="AO618" s="21">
        <v>152</v>
      </c>
      <c r="AP618" s="41">
        <f t="shared" si="261"/>
        <v>0.59143968871595332</v>
      </c>
      <c r="AQ618" s="21">
        <v>123</v>
      </c>
      <c r="AR618" s="41">
        <f t="shared" si="280"/>
        <v>0.62121212121212122</v>
      </c>
      <c r="AS618" s="21">
        <v>42</v>
      </c>
      <c r="AT618" s="41">
        <f t="shared" si="262"/>
        <v>0.16342412451361868</v>
      </c>
      <c r="AU618" s="21">
        <v>31</v>
      </c>
      <c r="AV618" s="41">
        <f t="shared" si="281"/>
        <v>0.15656565656565657</v>
      </c>
      <c r="AW618" s="21">
        <v>14</v>
      </c>
      <c r="AX618" s="41">
        <f t="shared" si="263"/>
        <v>5.4474708171206226E-2</v>
      </c>
      <c r="AY618" s="21">
        <v>9</v>
      </c>
      <c r="AZ618" s="41">
        <f t="shared" si="282"/>
        <v>4.5454545454545456E-2</v>
      </c>
      <c r="BA618" s="21">
        <v>23</v>
      </c>
      <c r="BB618" s="41">
        <f t="shared" si="264"/>
        <v>8.9494163424124515E-2</v>
      </c>
      <c r="BC618" s="21">
        <v>17</v>
      </c>
      <c r="BD618" s="41">
        <f t="shared" si="283"/>
        <v>8.5858585858585856E-2</v>
      </c>
      <c r="BE618" s="21">
        <v>257</v>
      </c>
      <c r="BF618" s="21">
        <v>198</v>
      </c>
    </row>
    <row r="619" spans="1:58" ht="15.75" customHeight="1" x14ac:dyDescent="0.25">
      <c r="A619" s="44">
        <v>2020</v>
      </c>
      <c r="B619" s="39">
        <v>171090</v>
      </c>
      <c r="C619" s="38" t="s">
        <v>150</v>
      </c>
      <c r="D619" s="38" t="s">
        <v>66</v>
      </c>
      <c r="E619" s="21">
        <v>0</v>
      </c>
      <c r="F619" s="42">
        <f t="shared" si="265"/>
        <v>0</v>
      </c>
      <c r="G619" s="21">
        <v>0</v>
      </c>
      <c r="H619" s="42">
        <f t="shared" si="266"/>
        <v>0</v>
      </c>
      <c r="I619" s="21">
        <v>1</v>
      </c>
      <c r="J619" s="41">
        <f t="shared" si="267"/>
        <v>4.3478260869565216E-2</v>
      </c>
      <c r="K619" s="21">
        <v>0</v>
      </c>
      <c r="L619" s="41">
        <f t="shared" si="268"/>
        <v>0</v>
      </c>
      <c r="M619" s="21">
        <v>21</v>
      </c>
      <c r="N619" s="41">
        <f t="shared" si="269"/>
        <v>0.91304347826086951</v>
      </c>
      <c r="O619" s="21">
        <v>0</v>
      </c>
      <c r="P619" s="41">
        <f t="shared" si="270"/>
        <v>0</v>
      </c>
      <c r="Q619" s="21">
        <v>1</v>
      </c>
      <c r="R619" s="41">
        <f t="shared" si="271"/>
        <v>4.3478260869565216E-2</v>
      </c>
      <c r="S619" s="21">
        <v>0</v>
      </c>
      <c r="T619" s="41">
        <f t="shared" si="272"/>
        <v>0</v>
      </c>
      <c r="U619" s="21">
        <v>1</v>
      </c>
      <c r="V619" s="41">
        <f t="shared" si="273"/>
        <v>4.3478260869565216E-2</v>
      </c>
      <c r="W619" s="21">
        <v>0</v>
      </c>
      <c r="X619" s="41">
        <f t="shared" si="274"/>
        <v>0</v>
      </c>
      <c r="Y619" s="21">
        <v>1</v>
      </c>
      <c r="Z619" s="41">
        <f t="shared" si="275"/>
        <v>4.3478260869565216E-2</v>
      </c>
      <c r="AA619" s="21">
        <v>0</v>
      </c>
      <c r="AB619" s="41">
        <f t="shared" si="276"/>
        <v>0</v>
      </c>
      <c r="AC619" s="21">
        <v>21</v>
      </c>
      <c r="AD619" s="41">
        <f t="shared" si="258"/>
        <v>0.91304347826086951</v>
      </c>
      <c r="AE619" s="21">
        <v>0</v>
      </c>
      <c r="AF619" s="41">
        <f t="shared" si="277"/>
        <v>0</v>
      </c>
      <c r="AG619" s="21">
        <v>0</v>
      </c>
      <c r="AH619" s="41">
        <f t="shared" si="259"/>
        <v>0</v>
      </c>
      <c r="AI619" s="21">
        <v>0</v>
      </c>
      <c r="AJ619" s="41">
        <f t="shared" si="278"/>
        <v>0</v>
      </c>
      <c r="AK619" s="21">
        <v>0</v>
      </c>
      <c r="AL619" s="41">
        <f t="shared" si="260"/>
        <v>0</v>
      </c>
      <c r="AM619" s="21">
        <v>0</v>
      </c>
      <c r="AN619" s="41">
        <f t="shared" si="279"/>
        <v>0</v>
      </c>
      <c r="AO619" s="21">
        <v>14</v>
      </c>
      <c r="AP619" s="41">
        <f t="shared" si="261"/>
        <v>0.60869565217391308</v>
      </c>
      <c r="AQ619" s="21">
        <v>0</v>
      </c>
      <c r="AR619" s="41">
        <f t="shared" si="280"/>
        <v>0</v>
      </c>
      <c r="AS619" s="21">
        <v>5</v>
      </c>
      <c r="AT619" s="41">
        <f t="shared" si="262"/>
        <v>0.21739130434782608</v>
      </c>
      <c r="AU619" s="21">
        <v>0</v>
      </c>
      <c r="AV619" s="41">
        <f t="shared" si="281"/>
        <v>0</v>
      </c>
      <c r="AW619" s="21">
        <v>3</v>
      </c>
      <c r="AX619" s="41">
        <f t="shared" si="263"/>
        <v>0.13043478260869565</v>
      </c>
      <c r="AY619" s="21">
        <v>0</v>
      </c>
      <c r="AZ619" s="41">
        <f t="shared" si="282"/>
        <v>0</v>
      </c>
      <c r="BA619" s="21">
        <v>1</v>
      </c>
      <c r="BB619" s="41">
        <f t="shared" si="264"/>
        <v>4.3478260869565216E-2</v>
      </c>
      <c r="BC619" s="21">
        <v>0</v>
      </c>
      <c r="BD619" s="41">
        <f t="shared" si="283"/>
        <v>0</v>
      </c>
      <c r="BE619" s="21">
        <v>23</v>
      </c>
      <c r="BF619" s="21">
        <v>0</v>
      </c>
    </row>
    <row r="620" spans="1:58" ht="15.75" customHeight="1" x14ac:dyDescent="0.25">
      <c r="A620" s="44">
        <v>2020</v>
      </c>
      <c r="B620" s="39">
        <v>171110</v>
      </c>
      <c r="C620" s="38" t="s">
        <v>150</v>
      </c>
      <c r="D620" s="38" t="s">
        <v>67</v>
      </c>
      <c r="E620" s="21">
        <v>0</v>
      </c>
      <c r="F620" s="42">
        <f t="shared" si="265"/>
        <v>0</v>
      </c>
      <c r="G620" s="21">
        <v>0</v>
      </c>
      <c r="H620" s="42">
        <f t="shared" si="266"/>
        <v>0</v>
      </c>
      <c r="I620" s="21">
        <v>1</v>
      </c>
      <c r="J620" s="41">
        <f t="shared" si="267"/>
        <v>1.3698630136986301E-2</v>
      </c>
      <c r="K620" s="21">
        <v>0</v>
      </c>
      <c r="L620" s="41">
        <f t="shared" si="268"/>
        <v>0</v>
      </c>
      <c r="M620" s="21">
        <v>67</v>
      </c>
      <c r="N620" s="41">
        <f t="shared" si="269"/>
        <v>0.9178082191780822</v>
      </c>
      <c r="O620" s="21">
        <v>33</v>
      </c>
      <c r="P620" s="41">
        <f t="shared" si="270"/>
        <v>0.94285714285714284</v>
      </c>
      <c r="Q620" s="21">
        <v>5</v>
      </c>
      <c r="R620" s="41">
        <f t="shared" si="271"/>
        <v>6.8493150684931503E-2</v>
      </c>
      <c r="S620" s="21">
        <v>2</v>
      </c>
      <c r="T620" s="41">
        <f t="shared" si="272"/>
        <v>5.7142857142857141E-2</v>
      </c>
      <c r="U620" s="21">
        <v>1</v>
      </c>
      <c r="V620" s="41">
        <f t="shared" si="273"/>
        <v>1.3698630136986301E-2</v>
      </c>
      <c r="W620" s="21">
        <v>1</v>
      </c>
      <c r="X620" s="41">
        <f t="shared" si="274"/>
        <v>2.8571428571428571E-2</v>
      </c>
      <c r="Y620" s="21">
        <v>5</v>
      </c>
      <c r="Z620" s="41">
        <f t="shared" si="275"/>
        <v>6.8493150684931503E-2</v>
      </c>
      <c r="AA620" s="21">
        <v>5</v>
      </c>
      <c r="AB620" s="41">
        <f t="shared" si="276"/>
        <v>0.14285714285714285</v>
      </c>
      <c r="AC620" s="21">
        <v>67</v>
      </c>
      <c r="AD620" s="41">
        <f t="shared" si="258"/>
        <v>0.9178082191780822</v>
      </c>
      <c r="AE620" s="21">
        <v>29</v>
      </c>
      <c r="AF620" s="41">
        <f t="shared" si="277"/>
        <v>0.82857142857142863</v>
      </c>
      <c r="AG620" s="21">
        <v>0</v>
      </c>
      <c r="AH620" s="41">
        <f t="shared" si="259"/>
        <v>0</v>
      </c>
      <c r="AI620" s="21">
        <v>1</v>
      </c>
      <c r="AJ620" s="41">
        <f t="shared" si="278"/>
        <v>2.8571428571428571E-2</v>
      </c>
      <c r="AK620" s="21">
        <v>1</v>
      </c>
      <c r="AL620" s="41">
        <f t="shared" si="260"/>
        <v>1.3698630136986301E-2</v>
      </c>
      <c r="AM620" s="21">
        <v>0</v>
      </c>
      <c r="AN620" s="41">
        <f t="shared" si="279"/>
        <v>0</v>
      </c>
      <c r="AO620" s="21">
        <v>54</v>
      </c>
      <c r="AP620" s="41">
        <f t="shared" si="261"/>
        <v>0.73972602739726023</v>
      </c>
      <c r="AQ620" s="21">
        <v>24</v>
      </c>
      <c r="AR620" s="41">
        <f t="shared" si="280"/>
        <v>0.68571428571428572</v>
      </c>
      <c r="AS620" s="21">
        <v>12</v>
      </c>
      <c r="AT620" s="41">
        <f t="shared" si="262"/>
        <v>0.16438356164383561</v>
      </c>
      <c r="AU620" s="21">
        <v>8</v>
      </c>
      <c r="AV620" s="41">
        <f t="shared" si="281"/>
        <v>0.22857142857142856</v>
      </c>
      <c r="AW620" s="21">
        <v>5</v>
      </c>
      <c r="AX620" s="41">
        <f t="shared" si="263"/>
        <v>6.8493150684931503E-2</v>
      </c>
      <c r="AY620" s="21">
        <v>2</v>
      </c>
      <c r="AZ620" s="41">
        <f t="shared" si="282"/>
        <v>5.7142857142857141E-2</v>
      </c>
      <c r="BA620" s="21">
        <v>1</v>
      </c>
      <c r="BB620" s="41">
        <f t="shared" si="264"/>
        <v>1.3698630136986301E-2</v>
      </c>
      <c r="BC620" s="21">
        <v>0</v>
      </c>
      <c r="BD620" s="41">
        <f t="shared" si="283"/>
        <v>0</v>
      </c>
      <c r="BE620" s="21">
        <v>73</v>
      </c>
      <c r="BF620" s="21">
        <v>35</v>
      </c>
    </row>
    <row r="621" spans="1:58" ht="15.75" customHeight="1" x14ac:dyDescent="0.25">
      <c r="A621" s="44">
        <v>2020</v>
      </c>
      <c r="B621" s="39">
        <v>171150</v>
      </c>
      <c r="C621" s="38" t="s">
        <v>146</v>
      </c>
      <c r="D621" s="38" t="s">
        <v>68</v>
      </c>
      <c r="E621" s="21">
        <v>0</v>
      </c>
      <c r="F621" s="42">
        <f t="shared" si="265"/>
        <v>0</v>
      </c>
      <c r="G621" s="21">
        <v>0</v>
      </c>
      <c r="H621" s="42">
        <f t="shared" si="266"/>
        <v>0</v>
      </c>
      <c r="I621" s="21">
        <v>5</v>
      </c>
      <c r="J621" s="41">
        <f t="shared" si="267"/>
        <v>3.90625E-2</v>
      </c>
      <c r="K621" s="21">
        <v>1</v>
      </c>
      <c r="L621" s="41">
        <f t="shared" si="268"/>
        <v>1.0309278350515464E-2</v>
      </c>
      <c r="M621" s="21">
        <v>113</v>
      </c>
      <c r="N621" s="41">
        <f t="shared" si="269"/>
        <v>0.8828125</v>
      </c>
      <c r="O621" s="21">
        <v>89</v>
      </c>
      <c r="P621" s="41">
        <f t="shared" si="270"/>
        <v>0.91752577319587625</v>
      </c>
      <c r="Q621" s="21">
        <v>10</v>
      </c>
      <c r="R621" s="41">
        <f t="shared" si="271"/>
        <v>7.8125E-2</v>
      </c>
      <c r="S621" s="21">
        <v>7</v>
      </c>
      <c r="T621" s="41">
        <f t="shared" si="272"/>
        <v>7.2164948453608241E-2</v>
      </c>
      <c r="U621" s="21">
        <v>9</v>
      </c>
      <c r="V621" s="41">
        <f t="shared" si="273"/>
        <v>7.03125E-2</v>
      </c>
      <c r="W621" s="21">
        <v>7</v>
      </c>
      <c r="X621" s="41">
        <f t="shared" si="274"/>
        <v>7.2164948453608241E-2</v>
      </c>
      <c r="Y621" s="21">
        <v>12</v>
      </c>
      <c r="Z621" s="41">
        <f t="shared" si="275"/>
        <v>9.375E-2</v>
      </c>
      <c r="AA621" s="21">
        <v>11</v>
      </c>
      <c r="AB621" s="41">
        <f t="shared" si="276"/>
        <v>0.1134020618556701</v>
      </c>
      <c r="AC621" s="21">
        <v>107</v>
      </c>
      <c r="AD621" s="41">
        <f t="shared" si="258"/>
        <v>0.8359375</v>
      </c>
      <c r="AE621" s="21">
        <v>79</v>
      </c>
      <c r="AF621" s="41">
        <f t="shared" si="277"/>
        <v>0.81443298969072164</v>
      </c>
      <c r="AG621" s="21">
        <v>6</v>
      </c>
      <c r="AH621" s="41">
        <f t="shared" si="259"/>
        <v>4.6875E-2</v>
      </c>
      <c r="AI621" s="21">
        <v>3</v>
      </c>
      <c r="AJ621" s="41">
        <f t="shared" si="278"/>
        <v>3.0927835051546393E-2</v>
      </c>
      <c r="AK621" s="21">
        <v>6</v>
      </c>
      <c r="AL621" s="41">
        <f t="shared" si="260"/>
        <v>4.6875E-2</v>
      </c>
      <c r="AM621" s="21">
        <v>4</v>
      </c>
      <c r="AN621" s="41">
        <f t="shared" si="279"/>
        <v>4.1237113402061855E-2</v>
      </c>
      <c r="AO621" s="21">
        <v>78</v>
      </c>
      <c r="AP621" s="41">
        <f t="shared" si="261"/>
        <v>0.609375</v>
      </c>
      <c r="AQ621" s="21">
        <v>59</v>
      </c>
      <c r="AR621" s="41">
        <f t="shared" si="280"/>
        <v>0.60824742268041232</v>
      </c>
      <c r="AS621" s="21">
        <v>21</v>
      </c>
      <c r="AT621" s="41">
        <f t="shared" si="262"/>
        <v>0.1640625</v>
      </c>
      <c r="AU621" s="21">
        <v>16</v>
      </c>
      <c r="AV621" s="41">
        <f t="shared" si="281"/>
        <v>0.16494845360824742</v>
      </c>
      <c r="AW621" s="21">
        <v>9</v>
      </c>
      <c r="AX621" s="41">
        <f t="shared" si="263"/>
        <v>7.03125E-2</v>
      </c>
      <c r="AY621" s="21">
        <v>8</v>
      </c>
      <c r="AZ621" s="41">
        <f t="shared" si="282"/>
        <v>8.247422680412371E-2</v>
      </c>
      <c r="BA621" s="21">
        <v>8</v>
      </c>
      <c r="BB621" s="41">
        <f t="shared" si="264"/>
        <v>6.25E-2</v>
      </c>
      <c r="BC621" s="21">
        <v>7</v>
      </c>
      <c r="BD621" s="41">
        <f t="shared" si="283"/>
        <v>7.2164948453608241E-2</v>
      </c>
      <c r="BE621" s="21">
        <v>128</v>
      </c>
      <c r="BF621" s="21">
        <v>97</v>
      </c>
    </row>
    <row r="622" spans="1:58" ht="15.75" customHeight="1" x14ac:dyDescent="0.25">
      <c r="A622" s="44">
        <v>2020</v>
      </c>
      <c r="B622" s="39">
        <v>171180</v>
      </c>
      <c r="C622" s="38" t="s">
        <v>150</v>
      </c>
      <c r="D622" s="38" t="s">
        <v>69</v>
      </c>
      <c r="E622" s="21">
        <v>0</v>
      </c>
      <c r="F622" s="42">
        <f t="shared" si="265"/>
        <v>0</v>
      </c>
      <c r="G622" s="21">
        <v>0</v>
      </c>
      <c r="H622" s="42">
        <f t="shared" si="266"/>
        <v>0</v>
      </c>
      <c r="I622" s="21">
        <v>0</v>
      </c>
      <c r="J622" s="41">
        <f t="shared" si="267"/>
        <v>0</v>
      </c>
      <c r="K622" s="21">
        <v>0</v>
      </c>
      <c r="L622" s="41">
        <f t="shared" si="268"/>
        <v>0</v>
      </c>
      <c r="M622" s="21">
        <v>45</v>
      </c>
      <c r="N622" s="41">
        <f t="shared" si="269"/>
        <v>0.91836734693877553</v>
      </c>
      <c r="O622" s="21">
        <v>45</v>
      </c>
      <c r="P622" s="41">
        <f t="shared" si="270"/>
        <v>0.91836734693877553</v>
      </c>
      <c r="Q622" s="21">
        <v>4</v>
      </c>
      <c r="R622" s="41">
        <f t="shared" si="271"/>
        <v>8.1632653061224483E-2</v>
      </c>
      <c r="S622" s="21">
        <v>4</v>
      </c>
      <c r="T622" s="41">
        <f t="shared" si="272"/>
        <v>8.1632653061224483E-2</v>
      </c>
      <c r="U622" s="21">
        <v>1</v>
      </c>
      <c r="V622" s="41">
        <f t="shared" si="273"/>
        <v>2.0408163265306121E-2</v>
      </c>
      <c r="W622" s="21">
        <v>1</v>
      </c>
      <c r="X622" s="41">
        <f t="shared" si="274"/>
        <v>2.0408163265306121E-2</v>
      </c>
      <c r="Y622" s="21">
        <v>2</v>
      </c>
      <c r="Z622" s="41">
        <f t="shared" si="275"/>
        <v>4.0816326530612242E-2</v>
      </c>
      <c r="AA622" s="21">
        <v>2</v>
      </c>
      <c r="AB622" s="41">
        <f t="shared" si="276"/>
        <v>4.0816326530612242E-2</v>
      </c>
      <c r="AC622" s="21">
        <v>46</v>
      </c>
      <c r="AD622" s="41">
        <f t="shared" si="258"/>
        <v>0.93877551020408168</v>
      </c>
      <c r="AE622" s="21">
        <v>46</v>
      </c>
      <c r="AF622" s="41">
        <f t="shared" si="277"/>
        <v>0.93877551020408168</v>
      </c>
      <c r="AG622" s="21">
        <v>0</v>
      </c>
      <c r="AH622" s="41">
        <f t="shared" si="259"/>
        <v>0</v>
      </c>
      <c r="AI622" s="21">
        <v>0</v>
      </c>
      <c r="AJ622" s="41">
        <f t="shared" si="278"/>
        <v>0</v>
      </c>
      <c r="AK622" s="21">
        <v>2</v>
      </c>
      <c r="AL622" s="41">
        <f t="shared" si="260"/>
        <v>4.0816326530612242E-2</v>
      </c>
      <c r="AM622" s="21">
        <v>2</v>
      </c>
      <c r="AN622" s="41">
        <f t="shared" si="279"/>
        <v>4.0816326530612242E-2</v>
      </c>
      <c r="AO622" s="21">
        <v>38</v>
      </c>
      <c r="AP622" s="41">
        <f t="shared" si="261"/>
        <v>0.77551020408163263</v>
      </c>
      <c r="AQ622" s="21">
        <v>38</v>
      </c>
      <c r="AR622" s="41">
        <f t="shared" si="280"/>
        <v>0.77551020408163263</v>
      </c>
      <c r="AS622" s="21">
        <v>3</v>
      </c>
      <c r="AT622" s="41">
        <f t="shared" si="262"/>
        <v>6.1224489795918366E-2</v>
      </c>
      <c r="AU622" s="21">
        <v>3</v>
      </c>
      <c r="AV622" s="41">
        <f t="shared" si="281"/>
        <v>6.1224489795918366E-2</v>
      </c>
      <c r="AW622" s="21">
        <v>4</v>
      </c>
      <c r="AX622" s="41">
        <f t="shared" si="263"/>
        <v>8.1632653061224483E-2</v>
      </c>
      <c r="AY622" s="21">
        <v>4</v>
      </c>
      <c r="AZ622" s="41">
        <f t="shared" si="282"/>
        <v>8.1632653061224483E-2</v>
      </c>
      <c r="BA622" s="21">
        <v>2</v>
      </c>
      <c r="BB622" s="41">
        <f t="shared" si="264"/>
        <v>4.0816326530612242E-2</v>
      </c>
      <c r="BC622" s="21">
        <v>2</v>
      </c>
      <c r="BD622" s="41">
        <f t="shared" si="283"/>
        <v>4.0816326530612242E-2</v>
      </c>
      <c r="BE622" s="21">
        <v>49</v>
      </c>
      <c r="BF622" s="21">
        <v>49</v>
      </c>
    </row>
    <row r="623" spans="1:58" ht="15.75" customHeight="1" x14ac:dyDescent="0.25">
      <c r="A623" s="44">
        <v>2020</v>
      </c>
      <c r="B623" s="39">
        <v>171190</v>
      </c>
      <c r="C623" s="38" t="s">
        <v>144</v>
      </c>
      <c r="D623" s="38" t="s">
        <v>70</v>
      </c>
      <c r="E623" s="21">
        <v>3</v>
      </c>
      <c r="F623" s="42">
        <f t="shared" si="265"/>
        <v>1.3824884792626729E-2</v>
      </c>
      <c r="G623" s="21">
        <v>0</v>
      </c>
      <c r="H623" s="42">
        <f t="shared" si="266"/>
        <v>0</v>
      </c>
      <c r="I623" s="21">
        <v>2</v>
      </c>
      <c r="J623" s="41">
        <f t="shared" si="267"/>
        <v>9.2165898617511521E-3</v>
      </c>
      <c r="K623" s="21">
        <v>2</v>
      </c>
      <c r="L623" s="41">
        <f t="shared" si="268"/>
        <v>1.6129032258064516E-2</v>
      </c>
      <c r="M623" s="21">
        <v>203</v>
      </c>
      <c r="N623" s="41">
        <f t="shared" si="269"/>
        <v>0.93548387096774188</v>
      </c>
      <c r="O623" s="21">
        <v>117</v>
      </c>
      <c r="P623" s="41">
        <f t="shared" si="270"/>
        <v>0.94354838709677424</v>
      </c>
      <c r="Q623" s="21">
        <v>9</v>
      </c>
      <c r="R623" s="41">
        <f t="shared" si="271"/>
        <v>4.1474654377880185E-2</v>
      </c>
      <c r="S623" s="21">
        <v>5</v>
      </c>
      <c r="T623" s="41">
        <f t="shared" si="272"/>
        <v>4.0322580645161289E-2</v>
      </c>
      <c r="U623" s="21">
        <v>5</v>
      </c>
      <c r="V623" s="41">
        <f t="shared" si="273"/>
        <v>2.3041474654377881E-2</v>
      </c>
      <c r="W623" s="21">
        <v>3</v>
      </c>
      <c r="X623" s="41">
        <f t="shared" si="274"/>
        <v>2.4193548387096774E-2</v>
      </c>
      <c r="Y623" s="21">
        <v>20</v>
      </c>
      <c r="Z623" s="41">
        <f t="shared" si="275"/>
        <v>9.2165898617511524E-2</v>
      </c>
      <c r="AA623" s="21">
        <v>15</v>
      </c>
      <c r="AB623" s="41">
        <f t="shared" si="276"/>
        <v>0.12096774193548387</v>
      </c>
      <c r="AC623" s="21">
        <v>192</v>
      </c>
      <c r="AD623" s="41">
        <f t="shared" si="258"/>
        <v>0.88479262672811065</v>
      </c>
      <c r="AE623" s="21">
        <v>106</v>
      </c>
      <c r="AF623" s="41">
        <f t="shared" si="277"/>
        <v>0.85483870967741937</v>
      </c>
      <c r="AG623" s="21">
        <v>3</v>
      </c>
      <c r="AH623" s="41">
        <f t="shared" si="259"/>
        <v>1.3824884792626729E-2</v>
      </c>
      <c r="AI623" s="21">
        <v>1</v>
      </c>
      <c r="AJ623" s="41">
        <f t="shared" si="278"/>
        <v>8.0645161290322578E-3</v>
      </c>
      <c r="AK623" s="21">
        <v>6</v>
      </c>
      <c r="AL623" s="41">
        <f t="shared" si="260"/>
        <v>2.7649769585253458E-2</v>
      </c>
      <c r="AM623" s="21">
        <v>3</v>
      </c>
      <c r="AN623" s="41">
        <f t="shared" si="279"/>
        <v>2.4193548387096774E-2</v>
      </c>
      <c r="AO623" s="21">
        <v>144</v>
      </c>
      <c r="AP623" s="41">
        <f t="shared" si="261"/>
        <v>0.66359447004608296</v>
      </c>
      <c r="AQ623" s="21">
        <v>84</v>
      </c>
      <c r="AR623" s="41">
        <f t="shared" si="280"/>
        <v>0.67741935483870963</v>
      </c>
      <c r="AS623" s="21">
        <v>43</v>
      </c>
      <c r="AT623" s="41">
        <f t="shared" si="262"/>
        <v>0.19815668202764977</v>
      </c>
      <c r="AU623" s="21">
        <v>28</v>
      </c>
      <c r="AV623" s="41">
        <f t="shared" si="281"/>
        <v>0.22580645161290322</v>
      </c>
      <c r="AW623" s="21">
        <v>13</v>
      </c>
      <c r="AX623" s="41">
        <f t="shared" si="263"/>
        <v>5.9907834101382486E-2</v>
      </c>
      <c r="AY623" s="21">
        <v>6</v>
      </c>
      <c r="AZ623" s="41">
        <f t="shared" si="282"/>
        <v>4.8387096774193547E-2</v>
      </c>
      <c r="BA623" s="21">
        <v>8</v>
      </c>
      <c r="BB623" s="41">
        <f t="shared" si="264"/>
        <v>3.6866359447004608E-2</v>
      </c>
      <c r="BC623" s="21">
        <v>2</v>
      </c>
      <c r="BD623" s="41">
        <f t="shared" si="283"/>
        <v>1.6129032258064516E-2</v>
      </c>
      <c r="BE623" s="21">
        <v>217</v>
      </c>
      <c r="BF623" s="21">
        <v>124</v>
      </c>
    </row>
    <row r="624" spans="1:58" ht="15.75" customHeight="1" x14ac:dyDescent="0.25">
      <c r="A624" s="44">
        <v>2020</v>
      </c>
      <c r="B624" s="39">
        <v>171195</v>
      </c>
      <c r="C624" s="38" t="s">
        <v>148</v>
      </c>
      <c r="D624" s="38" t="s">
        <v>71</v>
      </c>
      <c r="E624" s="21">
        <v>5</v>
      </c>
      <c r="F624" s="42">
        <f t="shared" si="265"/>
        <v>2.2831050228310501E-2</v>
      </c>
      <c r="G624" s="21">
        <v>4</v>
      </c>
      <c r="H624" s="42">
        <f t="shared" si="266"/>
        <v>2.247191011235955E-2</v>
      </c>
      <c r="I624" s="21">
        <v>9</v>
      </c>
      <c r="J624" s="41">
        <f t="shared" si="267"/>
        <v>4.1095890410958902E-2</v>
      </c>
      <c r="K624" s="21">
        <v>8</v>
      </c>
      <c r="L624" s="41">
        <f t="shared" si="268"/>
        <v>4.49438202247191E-2</v>
      </c>
      <c r="M624" s="21">
        <v>198</v>
      </c>
      <c r="N624" s="41">
        <f t="shared" si="269"/>
        <v>0.90410958904109584</v>
      </c>
      <c r="O624" s="21">
        <v>160</v>
      </c>
      <c r="P624" s="41">
        <f t="shared" si="270"/>
        <v>0.898876404494382</v>
      </c>
      <c r="Q624" s="21">
        <v>7</v>
      </c>
      <c r="R624" s="41">
        <f t="shared" si="271"/>
        <v>3.1963470319634701E-2</v>
      </c>
      <c r="S624" s="21">
        <v>6</v>
      </c>
      <c r="T624" s="41">
        <f t="shared" si="272"/>
        <v>3.3707865168539325E-2</v>
      </c>
      <c r="U624" s="21">
        <v>8</v>
      </c>
      <c r="V624" s="41">
        <f t="shared" si="273"/>
        <v>3.6529680365296802E-2</v>
      </c>
      <c r="W624" s="21">
        <v>7</v>
      </c>
      <c r="X624" s="41">
        <f t="shared" si="274"/>
        <v>3.9325842696629212E-2</v>
      </c>
      <c r="Y624" s="21">
        <v>23</v>
      </c>
      <c r="Z624" s="41">
        <f t="shared" si="275"/>
        <v>0.1050228310502283</v>
      </c>
      <c r="AA624" s="21">
        <v>21</v>
      </c>
      <c r="AB624" s="41">
        <f t="shared" si="276"/>
        <v>0.11797752808988764</v>
      </c>
      <c r="AC624" s="21">
        <v>188</v>
      </c>
      <c r="AD624" s="41">
        <f t="shared" si="258"/>
        <v>0.85844748858447484</v>
      </c>
      <c r="AE624" s="21">
        <v>150</v>
      </c>
      <c r="AF624" s="41">
        <f t="shared" si="277"/>
        <v>0.84269662921348309</v>
      </c>
      <c r="AG624" s="21">
        <v>6</v>
      </c>
      <c r="AH624" s="41">
        <f t="shared" si="259"/>
        <v>2.7397260273972601E-2</v>
      </c>
      <c r="AI624" s="21">
        <v>6</v>
      </c>
      <c r="AJ624" s="41">
        <f t="shared" si="278"/>
        <v>3.3707865168539325E-2</v>
      </c>
      <c r="AK624" s="21">
        <v>12</v>
      </c>
      <c r="AL624" s="41">
        <f t="shared" si="260"/>
        <v>5.4794520547945202E-2</v>
      </c>
      <c r="AM624" s="21">
        <v>10</v>
      </c>
      <c r="AN624" s="41">
        <f t="shared" si="279"/>
        <v>5.6179775280898875E-2</v>
      </c>
      <c r="AO624" s="21">
        <v>152</v>
      </c>
      <c r="AP624" s="41">
        <f t="shared" si="261"/>
        <v>0.69406392694063923</v>
      </c>
      <c r="AQ624" s="21">
        <v>123</v>
      </c>
      <c r="AR624" s="41">
        <f t="shared" si="280"/>
        <v>0.6910112359550562</v>
      </c>
      <c r="AS624" s="21">
        <v>28</v>
      </c>
      <c r="AT624" s="41">
        <f t="shared" si="262"/>
        <v>0.12785388127853881</v>
      </c>
      <c r="AU624" s="21">
        <v>24</v>
      </c>
      <c r="AV624" s="41">
        <f t="shared" si="281"/>
        <v>0.1348314606741573</v>
      </c>
      <c r="AW624" s="21">
        <v>14</v>
      </c>
      <c r="AX624" s="41">
        <f t="shared" si="263"/>
        <v>6.3926940639269403E-2</v>
      </c>
      <c r="AY624" s="21">
        <v>10</v>
      </c>
      <c r="AZ624" s="41">
        <f t="shared" si="282"/>
        <v>5.6179775280898875E-2</v>
      </c>
      <c r="BA624" s="21">
        <v>7</v>
      </c>
      <c r="BB624" s="41">
        <f t="shared" si="264"/>
        <v>3.1963470319634701E-2</v>
      </c>
      <c r="BC624" s="21">
        <v>5</v>
      </c>
      <c r="BD624" s="41">
        <f t="shared" si="283"/>
        <v>2.8089887640449437E-2</v>
      </c>
      <c r="BE624" s="21">
        <v>219</v>
      </c>
      <c r="BF624" s="21">
        <v>178</v>
      </c>
    </row>
    <row r="625" spans="1:58" ht="15.75" customHeight="1" x14ac:dyDescent="0.25">
      <c r="A625" s="44">
        <v>2020</v>
      </c>
      <c r="B625" s="39">
        <v>171200</v>
      </c>
      <c r="C625" s="38" t="s">
        <v>148</v>
      </c>
      <c r="D625" s="38" t="s">
        <v>72</v>
      </c>
      <c r="E625" s="21">
        <v>0</v>
      </c>
      <c r="F625" s="42">
        <f t="shared" si="265"/>
        <v>0</v>
      </c>
      <c r="G625" s="21">
        <v>0</v>
      </c>
      <c r="H625" s="42">
        <f t="shared" si="266"/>
        <v>0</v>
      </c>
      <c r="I625" s="21">
        <v>1</v>
      </c>
      <c r="J625" s="41">
        <f t="shared" si="267"/>
        <v>5.5555555555555552E-2</v>
      </c>
      <c r="K625" s="21">
        <v>0</v>
      </c>
      <c r="L625" s="41">
        <f t="shared" si="268"/>
        <v>0</v>
      </c>
      <c r="M625" s="21">
        <v>17</v>
      </c>
      <c r="N625" s="41">
        <f t="shared" si="269"/>
        <v>0.94444444444444442</v>
      </c>
      <c r="O625" s="21">
        <v>10</v>
      </c>
      <c r="P625" s="41">
        <f t="shared" si="270"/>
        <v>1</v>
      </c>
      <c r="Q625" s="21">
        <v>0</v>
      </c>
      <c r="R625" s="41">
        <f t="shared" si="271"/>
        <v>0</v>
      </c>
      <c r="S625" s="21">
        <v>0</v>
      </c>
      <c r="T625" s="41">
        <f t="shared" si="272"/>
        <v>0</v>
      </c>
      <c r="U625" s="21">
        <v>0</v>
      </c>
      <c r="V625" s="41">
        <f t="shared" si="273"/>
        <v>0</v>
      </c>
      <c r="W625" s="21">
        <v>0</v>
      </c>
      <c r="X625" s="41">
        <f t="shared" si="274"/>
        <v>0</v>
      </c>
      <c r="Y625" s="21">
        <v>3</v>
      </c>
      <c r="Z625" s="41">
        <f t="shared" si="275"/>
        <v>0.16666666666666666</v>
      </c>
      <c r="AA625" s="21">
        <v>2</v>
      </c>
      <c r="AB625" s="41">
        <f t="shared" si="276"/>
        <v>0.2</v>
      </c>
      <c r="AC625" s="21">
        <v>15</v>
      </c>
      <c r="AD625" s="41">
        <f t="shared" si="258"/>
        <v>0.83333333333333337</v>
      </c>
      <c r="AE625" s="21">
        <v>8</v>
      </c>
      <c r="AF625" s="41">
        <f t="shared" si="277"/>
        <v>0.8</v>
      </c>
      <c r="AG625" s="21">
        <v>1</v>
      </c>
      <c r="AH625" s="41">
        <f t="shared" si="259"/>
        <v>5.5555555555555552E-2</v>
      </c>
      <c r="AI625" s="21">
        <v>1</v>
      </c>
      <c r="AJ625" s="41">
        <f t="shared" si="278"/>
        <v>0.1</v>
      </c>
      <c r="AK625" s="21">
        <v>0</v>
      </c>
      <c r="AL625" s="41">
        <f t="shared" si="260"/>
        <v>0</v>
      </c>
      <c r="AM625" s="21">
        <v>0</v>
      </c>
      <c r="AN625" s="41">
        <f t="shared" si="279"/>
        <v>0</v>
      </c>
      <c r="AO625" s="21">
        <v>11</v>
      </c>
      <c r="AP625" s="41">
        <f t="shared" si="261"/>
        <v>0.61111111111111116</v>
      </c>
      <c r="AQ625" s="21">
        <v>5</v>
      </c>
      <c r="AR625" s="41">
        <f t="shared" si="280"/>
        <v>0.5</v>
      </c>
      <c r="AS625" s="21">
        <v>4</v>
      </c>
      <c r="AT625" s="41">
        <f t="shared" si="262"/>
        <v>0.22222222222222221</v>
      </c>
      <c r="AU625" s="21">
        <v>4</v>
      </c>
      <c r="AV625" s="41">
        <f t="shared" si="281"/>
        <v>0.4</v>
      </c>
      <c r="AW625" s="21">
        <v>2</v>
      </c>
      <c r="AX625" s="41">
        <f t="shared" si="263"/>
        <v>0.1111111111111111</v>
      </c>
      <c r="AY625" s="21">
        <v>0</v>
      </c>
      <c r="AZ625" s="41">
        <f t="shared" si="282"/>
        <v>0</v>
      </c>
      <c r="BA625" s="21">
        <v>0</v>
      </c>
      <c r="BB625" s="41">
        <f t="shared" si="264"/>
        <v>0</v>
      </c>
      <c r="BC625" s="21">
        <v>0</v>
      </c>
      <c r="BD625" s="41">
        <f t="shared" si="283"/>
        <v>0</v>
      </c>
      <c r="BE625" s="21">
        <v>18</v>
      </c>
      <c r="BF625" s="21">
        <v>10</v>
      </c>
    </row>
    <row r="626" spans="1:58" ht="15.75" customHeight="1" x14ac:dyDescent="0.25">
      <c r="A626" s="44">
        <v>2020</v>
      </c>
      <c r="B626" s="39">
        <v>171215</v>
      </c>
      <c r="C626" s="38" t="s">
        <v>147</v>
      </c>
      <c r="D626" s="38" t="s">
        <v>73</v>
      </c>
      <c r="E626" s="21">
        <v>0</v>
      </c>
      <c r="F626" s="42">
        <f t="shared" si="265"/>
        <v>0</v>
      </c>
      <c r="G626" s="21">
        <v>0</v>
      </c>
      <c r="H626" s="42">
        <f t="shared" si="266"/>
        <v>0</v>
      </c>
      <c r="I626" s="21">
        <v>1</v>
      </c>
      <c r="J626" s="41">
        <f t="shared" si="267"/>
        <v>1.1764705882352941E-2</v>
      </c>
      <c r="K626" s="21">
        <v>1</v>
      </c>
      <c r="L626" s="41">
        <f t="shared" si="268"/>
        <v>2.0833333333333332E-2</v>
      </c>
      <c r="M626" s="21">
        <v>77</v>
      </c>
      <c r="N626" s="41">
        <f t="shared" si="269"/>
        <v>0.90588235294117647</v>
      </c>
      <c r="O626" s="21">
        <v>45</v>
      </c>
      <c r="P626" s="41">
        <f t="shared" si="270"/>
        <v>0.9375</v>
      </c>
      <c r="Q626" s="21">
        <v>7</v>
      </c>
      <c r="R626" s="41">
        <f t="shared" si="271"/>
        <v>8.2352941176470587E-2</v>
      </c>
      <c r="S626" s="21">
        <v>2</v>
      </c>
      <c r="T626" s="41">
        <f t="shared" si="272"/>
        <v>4.1666666666666664E-2</v>
      </c>
      <c r="U626" s="21">
        <v>3</v>
      </c>
      <c r="V626" s="41">
        <f t="shared" si="273"/>
        <v>3.5294117647058823E-2</v>
      </c>
      <c r="W626" s="21">
        <v>2</v>
      </c>
      <c r="X626" s="41">
        <f t="shared" si="274"/>
        <v>4.1666666666666664E-2</v>
      </c>
      <c r="Y626" s="21">
        <v>7</v>
      </c>
      <c r="Z626" s="41">
        <f t="shared" si="275"/>
        <v>8.2352941176470587E-2</v>
      </c>
      <c r="AA626" s="21">
        <v>6</v>
      </c>
      <c r="AB626" s="41">
        <f t="shared" si="276"/>
        <v>0.125</v>
      </c>
      <c r="AC626" s="21">
        <v>75</v>
      </c>
      <c r="AD626" s="41">
        <f t="shared" si="258"/>
        <v>0.88235294117647056</v>
      </c>
      <c r="AE626" s="21">
        <v>40</v>
      </c>
      <c r="AF626" s="41">
        <f t="shared" si="277"/>
        <v>0.83333333333333337</v>
      </c>
      <c r="AG626" s="21">
        <v>0</v>
      </c>
      <c r="AH626" s="41">
        <f t="shared" si="259"/>
        <v>0</v>
      </c>
      <c r="AI626" s="21">
        <v>0</v>
      </c>
      <c r="AJ626" s="41">
        <f t="shared" si="278"/>
        <v>0</v>
      </c>
      <c r="AK626" s="21">
        <v>2</v>
      </c>
      <c r="AL626" s="41">
        <f t="shared" si="260"/>
        <v>2.3529411764705882E-2</v>
      </c>
      <c r="AM626" s="21">
        <v>2</v>
      </c>
      <c r="AN626" s="41">
        <f t="shared" si="279"/>
        <v>4.1666666666666664E-2</v>
      </c>
      <c r="AO626" s="21">
        <v>46</v>
      </c>
      <c r="AP626" s="41">
        <f t="shared" si="261"/>
        <v>0.54117647058823526</v>
      </c>
      <c r="AQ626" s="21">
        <v>31</v>
      </c>
      <c r="AR626" s="41">
        <f t="shared" si="280"/>
        <v>0.64583333333333337</v>
      </c>
      <c r="AS626" s="21">
        <v>19</v>
      </c>
      <c r="AT626" s="41">
        <f t="shared" si="262"/>
        <v>0.22352941176470589</v>
      </c>
      <c r="AU626" s="21">
        <v>9</v>
      </c>
      <c r="AV626" s="41">
        <f t="shared" si="281"/>
        <v>0.1875</v>
      </c>
      <c r="AW626" s="21">
        <v>14</v>
      </c>
      <c r="AX626" s="41">
        <f t="shared" si="263"/>
        <v>0.16470588235294117</v>
      </c>
      <c r="AY626" s="21">
        <v>4</v>
      </c>
      <c r="AZ626" s="41">
        <f t="shared" si="282"/>
        <v>8.3333333333333329E-2</v>
      </c>
      <c r="BA626" s="21">
        <v>4</v>
      </c>
      <c r="BB626" s="41">
        <f t="shared" si="264"/>
        <v>4.7058823529411764E-2</v>
      </c>
      <c r="BC626" s="21">
        <v>2</v>
      </c>
      <c r="BD626" s="41">
        <f t="shared" si="283"/>
        <v>4.1666666666666664E-2</v>
      </c>
      <c r="BE626" s="21">
        <v>85</v>
      </c>
      <c r="BF626" s="21">
        <v>48</v>
      </c>
    </row>
    <row r="627" spans="1:58" ht="15.75" customHeight="1" x14ac:dyDescent="0.25">
      <c r="A627" s="44">
        <v>2020</v>
      </c>
      <c r="B627" s="39">
        <v>171240</v>
      </c>
      <c r="C627" s="38" t="s">
        <v>148</v>
      </c>
      <c r="D627" s="38" t="s">
        <v>74</v>
      </c>
      <c r="E627" s="21">
        <v>0</v>
      </c>
      <c r="F627" s="42">
        <f t="shared" si="265"/>
        <v>0</v>
      </c>
      <c r="G627" s="21">
        <v>0</v>
      </c>
      <c r="H627" s="42">
        <f t="shared" si="266"/>
        <v>0</v>
      </c>
      <c r="I627" s="21">
        <v>0</v>
      </c>
      <c r="J627" s="41">
        <f t="shared" si="267"/>
        <v>0</v>
      </c>
      <c r="K627" s="21">
        <v>0</v>
      </c>
      <c r="L627" s="41">
        <f t="shared" si="268"/>
        <v>0</v>
      </c>
      <c r="M627" s="21">
        <v>14</v>
      </c>
      <c r="N627" s="41">
        <f t="shared" si="269"/>
        <v>1</v>
      </c>
      <c r="O627" s="21">
        <v>0</v>
      </c>
      <c r="P627" s="41">
        <f t="shared" si="270"/>
        <v>0</v>
      </c>
      <c r="Q627" s="21">
        <v>0</v>
      </c>
      <c r="R627" s="41">
        <f t="shared" si="271"/>
        <v>0</v>
      </c>
      <c r="S627" s="21">
        <v>0</v>
      </c>
      <c r="T627" s="41">
        <f t="shared" si="272"/>
        <v>0</v>
      </c>
      <c r="U627" s="21">
        <v>0</v>
      </c>
      <c r="V627" s="41">
        <f t="shared" si="273"/>
        <v>0</v>
      </c>
      <c r="W627" s="21">
        <v>0</v>
      </c>
      <c r="X627" s="41">
        <f t="shared" si="274"/>
        <v>0</v>
      </c>
      <c r="Y627" s="21">
        <v>1</v>
      </c>
      <c r="Z627" s="41">
        <f t="shared" si="275"/>
        <v>7.1428571428571425E-2</v>
      </c>
      <c r="AA627" s="21">
        <v>0</v>
      </c>
      <c r="AB627" s="41">
        <f t="shared" si="276"/>
        <v>0</v>
      </c>
      <c r="AC627" s="21">
        <v>13</v>
      </c>
      <c r="AD627" s="41">
        <f t="shared" si="258"/>
        <v>0.9285714285714286</v>
      </c>
      <c r="AE627" s="21">
        <v>0</v>
      </c>
      <c r="AF627" s="41">
        <f t="shared" si="277"/>
        <v>0</v>
      </c>
      <c r="AG627" s="21">
        <v>0</v>
      </c>
      <c r="AH627" s="41">
        <f t="shared" si="259"/>
        <v>0</v>
      </c>
      <c r="AI627" s="21">
        <v>0</v>
      </c>
      <c r="AJ627" s="41">
        <f t="shared" si="278"/>
        <v>0</v>
      </c>
      <c r="AK627" s="21">
        <v>0</v>
      </c>
      <c r="AL627" s="41">
        <f t="shared" si="260"/>
        <v>0</v>
      </c>
      <c r="AM627" s="21">
        <v>0</v>
      </c>
      <c r="AN627" s="41">
        <f t="shared" si="279"/>
        <v>0</v>
      </c>
      <c r="AO627" s="21">
        <v>7</v>
      </c>
      <c r="AP627" s="41">
        <f t="shared" si="261"/>
        <v>0.5</v>
      </c>
      <c r="AQ627" s="21">
        <v>0</v>
      </c>
      <c r="AR627" s="41">
        <f t="shared" si="280"/>
        <v>0</v>
      </c>
      <c r="AS627" s="21">
        <v>5</v>
      </c>
      <c r="AT627" s="41">
        <f t="shared" si="262"/>
        <v>0.35714285714285715</v>
      </c>
      <c r="AU627" s="21">
        <v>0</v>
      </c>
      <c r="AV627" s="41">
        <f t="shared" si="281"/>
        <v>0</v>
      </c>
      <c r="AW627" s="21">
        <v>2</v>
      </c>
      <c r="AX627" s="41">
        <f t="shared" si="263"/>
        <v>0.14285714285714285</v>
      </c>
      <c r="AY627" s="21">
        <v>0</v>
      </c>
      <c r="AZ627" s="41">
        <f t="shared" si="282"/>
        <v>0</v>
      </c>
      <c r="BA627" s="21">
        <v>0</v>
      </c>
      <c r="BB627" s="41">
        <f t="shared" si="264"/>
        <v>0</v>
      </c>
      <c r="BC627" s="21">
        <v>0</v>
      </c>
      <c r="BD627" s="41">
        <f t="shared" si="283"/>
        <v>0</v>
      </c>
      <c r="BE627" s="21">
        <v>14</v>
      </c>
      <c r="BF627" s="21">
        <v>0</v>
      </c>
    </row>
    <row r="628" spans="1:58" ht="15.75" customHeight="1" x14ac:dyDescent="0.25">
      <c r="A628" s="44">
        <v>2020</v>
      </c>
      <c r="B628" s="39">
        <v>171245</v>
      </c>
      <c r="C628" s="38" t="s">
        <v>145</v>
      </c>
      <c r="D628" s="38" t="s">
        <v>75</v>
      </c>
      <c r="E628" s="21">
        <v>1</v>
      </c>
      <c r="F628" s="42">
        <f t="shared" si="265"/>
        <v>9.9009900990099011E-3</v>
      </c>
      <c r="G628" s="21">
        <v>1</v>
      </c>
      <c r="H628" s="42">
        <f t="shared" si="266"/>
        <v>1.4925373134328358E-2</v>
      </c>
      <c r="I628" s="21">
        <v>4</v>
      </c>
      <c r="J628" s="41">
        <f t="shared" si="267"/>
        <v>3.9603960396039604E-2</v>
      </c>
      <c r="K628" s="21">
        <v>4</v>
      </c>
      <c r="L628" s="41">
        <f t="shared" si="268"/>
        <v>5.9701492537313432E-2</v>
      </c>
      <c r="M628" s="21">
        <v>93</v>
      </c>
      <c r="N628" s="41">
        <f t="shared" si="269"/>
        <v>0.92079207920792083</v>
      </c>
      <c r="O628" s="21">
        <v>61</v>
      </c>
      <c r="P628" s="41">
        <f t="shared" si="270"/>
        <v>0.91044776119402981</v>
      </c>
      <c r="Q628" s="21">
        <v>3</v>
      </c>
      <c r="R628" s="41">
        <f t="shared" si="271"/>
        <v>2.9702970297029702E-2</v>
      </c>
      <c r="S628" s="21">
        <v>1</v>
      </c>
      <c r="T628" s="41">
        <f t="shared" si="272"/>
        <v>1.4925373134328358E-2</v>
      </c>
      <c r="U628" s="21">
        <v>4</v>
      </c>
      <c r="V628" s="41">
        <f t="shared" si="273"/>
        <v>3.9603960396039604E-2</v>
      </c>
      <c r="W628" s="21">
        <v>4</v>
      </c>
      <c r="X628" s="41">
        <f t="shared" si="274"/>
        <v>5.9701492537313432E-2</v>
      </c>
      <c r="Y628" s="21">
        <v>22</v>
      </c>
      <c r="Z628" s="41">
        <f t="shared" si="275"/>
        <v>0.21782178217821782</v>
      </c>
      <c r="AA628" s="21">
        <v>14</v>
      </c>
      <c r="AB628" s="41">
        <f t="shared" si="276"/>
        <v>0.20895522388059701</v>
      </c>
      <c r="AC628" s="21">
        <v>75</v>
      </c>
      <c r="AD628" s="41">
        <f t="shared" si="258"/>
        <v>0.74257425742574257</v>
      </c>
      <c r="AE628" s="21">
        <v>49</v>
      </c>
      <c r="AF628" s="41">
        <f t="shared" si="277"/>
        <v>0.73134328358208955</v>
      </c>
      <c r="AG628" s="21">
        <v>3</v>
      </c>
      <c r="AH628" s="41">
        <f t="shared" si="259"/>
        <v>2.9702970297029702E-2</v>
      </c>
      <c r="AI628" s="21">
        <v>3</v>
      </c>
      <c r="AJ628" s="41">
        <f t="shared" si="278"/>
        <v>4.4776119402985072E-2</v>
      </c>
      <c r="AK628" s="21">
        <v>3</v>
      </c>
      <c r="AL628" s="41">
        <f t="shared" si="260"/>
        <v>2.9702970297029702E-2</v>
      </c>
      <c r="AM628" s="21">
        <v>4</v>
      </c>
      <c r="AN628" s="41">
        <f t="shared" si="279"/>
        <v>5.9701492537313432E-2</v>
      </c>
      <c r="AO628" s="21">
        <v>72</v>
      </c>
      <c r="AP628" s="41">
        <f t="shared" si="261"/>
        <v>0.71287128712871284</v>
      </c>
      <c r="AQ628" s="21">
        <v>50</v>
      </c>
      <c r="AR628" s="41">
        <f t="shared" si="280"/>
        <v>0.74626865671641796</v>
      </c>
      <c r="AS628" s="21">
        <v>11</v>
      </c>
      <c r="AT628" s="41">
        <f t="shared" si="262"/>
        <v>0.10891089108910891</v>
      </c>
      <c r="AU628" s="21">
        <v>4</v>
      </c>
      <c r="AV628" s="41">
        <f t="shared" si="281"/>
        <v>5.9701492537313432E-2</v>
      </c>
      <c r="AW628" s="21">
        <v>9</v>
      </c>
      <c r="AX628" s="41">
        <f t="shared" si="263"/>
        <v>8.9108910891089105E-2</v>
      </c>
      <c r="AY628" s="21">
        <v>4</v>
      </c>
      <c r="AZ628" s="41">
        <f t="shared" si="282"/>
        <v>5.9701492537313432E-2</v>
      </c>
      <c r="BA628" s="21">
        <v>3</v>
      </c>
      <c r="BB628" s="41">
        <f t="shared" si="264"/>
        <v>2.9702970297029702E-2</v>
      </c>
      <c r="BC628" s="21">
        <v>2</v>
      </c>
      <c r="BD628" s="41">
        <f t="shared" si="283"/>
        <v>2.9850746268656716E-2</v>
      </c>
      <c r="BE628" s="21">
        <v>101</v>
      </c>
      <c r="BF628" s="21">
        <v>67</v>
      </c>
    </row>
    <row r="629" spans="1:58" ht="15.75" customHeight="1" x14ac:dyDescent="0.25">
      <c r="A629" s="44">
        <v>2020</v>
      </c>
      <c r="B629" s="39">
        <v>171250</v>
      </c>
      <c r="C629" s="38" t="s">
        <v>144</v>
      </c>
      <c r="D629" s="38" t="s">
        <v>76</v>
      </c>
      <c r="E629" s="21">
        <v>1</v>
      </c>
      <c r="F629" s="42">
        <f t="shared" si="265"/>
        <v>7.575757575757576E-3</v>
      </c>
      <c r="G629" s="21">
        <v>1</v>
      </c>
      <c r="H629" s="42">
        <f t="shared" si="266"/>
        <v>1.020408163265306E-2</v>
      </c>
      <c r="I629" s="21">
        <v>4</v>
      </c>
      <c r="J629" s="41">
        <f t="shared" si="267"/>
        <v>3.0303030303030304E-2</v>
      </c>
      <c r="K629" s="21">
        <v>4</v>
      </c>
      <c r="L629" s="41">
        <f t="shared" si="268"/>
        <v>4.0816326530612242E-2</v>
      </c>
      <c r="M629" s="21">
        <v>117</v>
      </c>
      <c r="N629" s="41">
        <f t="shared" si="269"/>
        <v>0.88636363636363635</v>
      </c>
      <c r="O629" s="21">
        <v>83</v>
      </c>
      <c r="P629" s="41">
        <f t="shared" si="270"/>
        <v>0.84693877551020413</v>
      </c>
      <c r="Q629" s="21">
        <v>10</v>
      </c>
      <c r="R629" s="41">
        <f t="shared" si="271"/>
        <v>7.575757575757576E-2</v>
      </c>
      <c r="S629" s="21">
        <v>10</v>
      </c>
      <c r="T629" s="41">
        <f t="shared" si="272"/>
        <v>0.10204081632653061</v>
      </c>
      <c r="U629" s="21">
        <v>7</v>
      </c>
      <c r="V629" s="41">
        <f t="shared" si="273"/>
        <v>5.3030303030303032E-2</v>
      </c>
      <c r="W629" s="21">
        <v>6</v>
      </c>
      <c r="X629" s="41">
        <f t="shared" si="274"/>
        <v>6.1224489795918366E-2</v>
      </c>
      <c r="Y629" s="21">
        <v>7</v>
      </c>
      <c r="Z629" s="41">
        <f t="shared" si="275"/>
        <v>5.3030303030303032E-2</v>
      </c>
      <c r="AA629" s="21">
        <v>6</v>
      </c>
      <c r="AB629" s="41">
        <f t="shared" si="276"/>
        <v>6.1224489795918366E-2</v>
      </c>
      <c r="AC629" s="21">
        <v>118</v>
      </c>
      <c r="AD629" s="41">
        <f t="shared" si="258"/>
        <v>0.89393939393939392</v>
      </c>
      <c r="AE629" s="21">
        <v>86</v>
      </c>
      <c r="AF629" s="41">
        <f t="shared" si="277"/>
        <v>0.87755102040816324</v>
      </c>
      <c r="AG629" s="21">
        <v>7</v>
      </c>
      <c r="AH629" s="41">
        <f t="shared" si="259"/>
        <v>5.3030303030303032E-2</v>
      </c>
      <c r="AI629" s="21">
        <v>7</v>
      </c>
      <c r="AJ629" s="41">
        <f t="shared" si="278"/>
        <v>7.1428571428571425E-2</v>
      </c>
      <c r="AK629" s="21">
        <v>5</v>
      </c>
      <c r="AL629" s="41">
        <f t="shared" si="260"/>
        <v>3.787878787878788E-2</v>
      </c>
      <c r="AM629" s="21">
        <v>2</v>
      </c>
      <c r="AN629" s="41">
        <f t="shared" si="279"/>
        <v>2.0408163265306121E-2</v>
      </c>
      <c r="AO629" s="21">
        <v>75</v>
      </c>
      <c r="AP629" s="41">
        <f t="shared" si="261"/>
        <v>0.56818181818181823</v>
      </c>
      <c r="AQ629" s="21">
        <v>50</v>
      </c>
      <c r="AR629" s="41">
        <f t="shared" si="280"/>
        <v>0.51020408163265307</v>
      </c>
      <c r="AS629" s="21">
        <v>23</v>
      </c>
      <c r="AT629" s="41">
        <f t="shared" si="262"/>
        <v>0.17424242424242425</v>
      </c>
      <c r="AU629" s="21">
        <v>19</v>
      </c>
      <c r="AV629" s="41">
        <f t="shared" si="281"/>
        <v>0.19387755102040816</v>
      </c>
      <c r="AW629" s="21">
        <v>14</v>
      </c>
      <c r="AX629" s="41">
        <f t="shared" si="263"/>
        <v>0.10606060606060606</v>
      </c>
      <c r="AY629" s="21">
        <v>13</v>
      </c>
      <c r="AZ629" s="41">
        <f t="shared" si="282"/>
        <v>0.1326530612244898</v>
      </c>
      <c r="BA629" s="21">
        <v>8</v>
      </c>
      <c r="BB629" s="41">
        <f t="shared" si="264"/>
        <v>6.0606060606060608E-2</v>
      </c>
      <c r="BC629" s="21">
        <v>7</v>
      </c>
      <c r="BD629" s="41">
        <f t="shared" si="283"/>
        <v>7.1428571428571425E-2</v>
      </c>
      <c r="BE629" s="21">
        <v>132</v>
      </c>
      <c r="BF629" s="21">
        <v>98</v>
      </c>
    </row>
    <row r="630" spans="1:58" ht="15.75" customHeight="1" x14ac:dyDescent="0.25">
      <c r="A630" s="44">
        <v>2020</v>
      </c>
      <c r="B630" s="39">
        <v>171270</v>
      </c>
      <c r="C630" s="38" t="s">
        <v>151</v>
      </c>
      <c r="D630" s="38" t="s">
        <v>77</v>
      </c>
      <c r="E630" s="21">
        <v>2</v>
      </c>
      <c r="F630" s="42">
        <f t="shared" si="265"/>
        <v>2.2727272727272728E-2</v>
      </c>
      <c r="G630" s="21">
        <v>2</v>
      </c>
      <c r="H630" s="42">
        <f t="shared" si="266"/>
        <v>2.3529411764705882E-2</v>
      </c>
      <c r="I630" s="21">
        <v>5</v>
      </c>
      <c r="J630" s="41">
        <f t="shared" si="267"/>
        <v>5.6818181818181816E-2</v>
      </c>
      <c r="K630" s="21">
        <v>5</v>
      </c>
      <c r="L630" s="41">
        <f t="shared" si="268"/>
        <v>5.8823529411764705E-2</v>
      </c>
      <c r="M630" s="21">
        <v>74</v>
      </c>
      <c r="N630" s="41">
        <f t="shared" si="269"/>
        <v>0.84090909090909094</v>
      </c>
      <c r="O630" s="21">
        <v>71</v>
      </c>
      <c r="P630" s="41">
        <f t="shared" si="270"/>
        <v>0.83529411764705885</v>
      </c>
      <c r="Q630" s="21">
        <v>7</v>
      </c>
      <c r="R630" s="41">
        <f t="shared" si="271"/>
        <v>7.9545454545454544E-2</v>
      </c>
      <c r="S630" s="21">
        <v>7</v>
      </c>
      <c r="T630" s="41">
        <f t="shared" si="272"/>
        <v>8.2352941176470587E-2</v>
      </c>
      <c r="U630" s="21">
        <v>15</v>
      </c>
      <c r="V630" s="41">
        <f t="shared" si="273"/>
        <v>0.17045454545454544</v>
      </c>
      <c r="W630" s="21">
        <v>15</v>
      </c>
      <c r="X630" s="41">
        <f t="shared" si="274"/>
        <v>0.17647058823529413</v>
      </c>
      <c r="Y630" s="21">
        <v>12</v>
      </c>
      <c r="Z630" s="41">
        <f t="shared" si="275"/>
        <v>0.13636363636363635</v>
      </c>
      <c r="AA630" s="21">
        <v>11</v>
      </c>
      <c r="AB630" s="41">
        <f t="shared" si="276"/>
        <v>0.12941176470588237</v>
      </c>
      <c r="AC630" s="21">
        <v>60</v>
      </c>
      <c r="AD630" s="41">
        <f t="shared" si="258"/>
        <v>0.68181818181818177</v>
      </c>
      <c r="AE630" s="21">
        <v>58</v>
      </c>
      <c r="AF630" s="41">
        <f t="shared" si="277"/>
        <v>0.68235294117647061</v>
      </c>
      <c r="AG630" s="21">
        <v>5</v>
      </c>
      <c r="AH630" s="41">
        <f t="shared" si="259"/>
        <v>5.6818181818181816E-2</v>
      </c>
      <c r="AI630" s="21">
        <v>5</v>
      </c>
      <c r="AJ630" s="41">
        <f t="shared" si="278"/>
        <v>5.8823529411764705E-2</v>
      </c>
      <c r="AK630" s="21">
        <v>2</v>
      </c>
      <c r="AL630" s="41">
        <f t="shared" si="260"/>
        <v>2.2727272727272728E-2</v>
      </c>
      <c r="AM630" s="21">
        <v>2</v>
      </c>
      <c r="AN630" s="41">
        <f t="shared" si="279"/>
        <v>2.3529411764705882E-2</v>
      </c>
      <c r="AO630" s="21">
        <v>44</v>
      </c>
      <c r="AP630" s="41">
        <f t="shared" si="261"/>
        <v>0.5</v>
      </c>
      <c r="AQ630" s="21">
        <v>42</v>
      </c>
      <c r="AR630" s="41">
        <f t="shared" si="280"/>
        <v>0.49411764705882355</v>
      </c>
      <c r="AS630" s="21">
        <v>18</v>
      </c>
      <c r="AT630" s="41">
        <f t="shared" si="262"/>
        <v>0.20454545454545456</v>
      </c>
      <c r="AU630" s="21">
        <v>17</v>
      </c>
      <c r="AV630" s="41">
        <f t="shared" si="281"/>
        <v>0.2</v>
      </c>
      <c r="AW630" s="21">
        <v>5</v>
      </c>
      <c r="AX630" s="41">
        <f t="shared" si="263"/>
        <v>5.6818181818181816E-2</v>
      </c>
      <c r="AY630" s="21">
        <v>5</v>
      </c>
      <c r="AZ630" s="41">
        <f t="shared" si="282"/>
        <v>5.8823529411764705E-2</v>
      </c>
      <c r="BA630" s="21">
        <v>14</v>
      </c>
      <c r="BB630" s="41">
        <f t="shared" si="264"/>
        <v>0.15909090909090909</v>
      </c>
      <c r="BC630" s="21">
        <v>14</v>
      </c>
      <c r="BD630" s="41">
        <f t="shared" si="283"/>
        <v>0.16470588235294117</v>
      </c>
      <c r="BE630" s="21">
        <v>88</v>
      </c>
      <c r="BF630" s="21">
        <v>85</v>
      </c>
    </row>
    <row r="631" spans="1:58" ht="15.75" customHeight="1" x14ac:dyDescent="0.25">
      <c r="A631" s="44">
        <v>2020</v>
      </c>
      <c r="B631" s="39">
        <v>171280</v>
      </c>
      <c r="C631" s="38" t="s">
        <v>145</v>
      </c>
      <c r="D631" s="38" t="s">
        <v>78</v>
      </c>
      <c r="E631" s="21">
        <v>1</v>
      </c>
      <c r="F631" s="42">
        <f t="shared" si="265"/>
        <v>8.0000000000000002E-3</v>
      </c>
      <c r="G631" s="21">
        <v>0</v>
      </c>
      <c r="H631" s="42">
        <f t="shared" si="266"/>
        <v>0</v>
      </c>
      <c r="I631" s="21">
        <v>1</v>
      </c>
      <c r="J631" s="41">
        <f t="shared" si="267"/>
        <v>8.0000000000000002E-3</v>
      </c>
      <c r="K631" s="21">
        <v>1</v>
      </c>
      <c r="L631" s="41">
        <f t="shared" si="268"/>
        <v>6.25E-2</v>
      </c>
      <c r="M631" s="21">
        <v>114</v>
      </c>
      <c r="N631" s="41">
        <f t="shared" si="269"/>
        <v>0.91200000000000003</v>
      </c>
      <c r="O631" s="21">
        <v>14</v>
      </c>
      <c r="P631" s="41">
        <f t="shared" si="270"/>
        <v>0.875</v>
      </c>
      <c r="Q631" s="21">
        <v>9</v>
      </c>
      <c r="R631" s="41">
        <f t="shared" si="271"/>
        <v>7.1999999999999995E-2</v>
      </c>
      <c r="S631" s="21">
        <v>1</v>
      </c>
      <c r="T631" s="41">
        <f t="shared" si="272"/>
        <v>6.25E-2</v>
      </c>
      <c r="U631" s="21">
        <v>4</v>
      </c>
      <c r="V631" s="41">
        <f t="shared" si="273"/>
        <v>3.2000000000000001E-2</v>
      </c>
      <c r="W631" s="21">
        <v>2</v>
      </c>
      <c r="X631" s="41">
        <f t="shared" si="274"/>
        <v>0.125</v>
      </c>
      <c r="Y631" s="21">
        <v>4</v>
      </c>
      <c r="Z631" s="41">
        <f t="shared" si="275"/>
        <v>3.2000000000000001E-2</v>
      </c>
      <c r="AA631" s="21">
        <v>1</v>
      </c>
      <c r="AB631" s="41">
        <f t="shared" si="276"/>
        <v>6.25E-2</v>
      </c>
      <c r="AC631" s="21">
        <v>117</v>
      </c>
      <c r="AD631" s="41">
        <f t="shared" ref="AD631:AD694" si="284">IFERROR(AC631/$BE631,0)</f>
        <v>0.93600000000000005</v>
      </c>
      <c r="AE631" s="21">
        <v>13</v>
      </c>
      <c r="AF631" s="41">
        <f t="shared" si="277"/>
        <v>0.8125</v>
      </c>
      <c r="AG631" s="21">
        <v>1</v>
      </c>
      <c r="AH631" s="41">
        <f t="shared" ref="AH631:AH694" si="285">IFERROR(AG631/$BE631,0)</f>
        <v>8.0000000000000002E-3</v>
      </c>
      <c r="AI631" s="21">
        <v>1</v>
      </c>
      <c r="AJ631" s="41">
        <f t="shared" si="278"/>
        <v>6.25E-2</v>
      </c>
      <c r="AK631" s="21">
        <v>2</v>
      </c>
      <c r="AL631" s="41">
        <f t="shared" ref="AL631:AL694" si="286">IFERROR(AK631/$BE631,0)</f>
        <v>1.6E-2</v>
      </c>
      <c r="AM631" s="21">
        <v>0</v>
      </c>
      <c r="AN631" s="41">
        <f t="shared" si="279"/>
        <v>0</v>
      </c>
      <c r="AO631" s="21">
        <v>86</v>
      </c>
      <c r="AP631" s="41">
        <f t="shared" ref="AP631:AP694" si="287">IFERROR(AO631/$BE631,0)</f>
        <v>0.68799999999999994</v>
      </c>
      <c r="AQ631" s="21">
        <v>11</v>
      </c>
      <c r="AR631" s="41">
        <f t="shared" si="280"/>
        <v>0.6875</v>
      </c>
      <c r="AS631" s="21">
        <v>22</v>
      </c>
      <c r="AT631" s="41">
        <f t="shared" ref="AT631:AT694" si="288">IFERROR(AS631/$BE631,0)</f>
        <v>0.17599999999999999</v>
      </c>
      <c r="AU631" s="21">
        <v>1</v>
      </c>
      <c r="AV631" s="41">
        <f t="shared" si="281"/>
        <v>6.25E-2</v>
      </c>
      <c r="AW631" s="21">
        <v>11</v>
      </c>
      <c r="AX631" s="41">
        <f t="shared" ref="AX631:AX694" si="289">IFERROR(AW631/$BE631,0)</f>
        <v>8.7999999999999995E-2</v>
      </c>
      <c r="AY631" s="21">
        <v>3</v>
      </c>
      <c r="AZ631" s="41">
        <f t="shared" si="282"/>
        <v>0.1875</v>
      </c>
      <c r="BA631" s="21">
        <v>3</v>
      </c>
      <c r="BB631" s="41">
        <f t="shared" ref="BB631:BB694" si="290">IFERROR(BA631/$BE631,0)</f>
        <v>2.4E-2</v>
      </c>
      <c r="BC631" s="21">
        <v>0</v>
      </c>
      <c r="BD631" s="41">
        <f t="shared" si="283"/>
        <v>0</v>
      </c>
      <c r="BE631" s="21">
        <v>125</v>
      </c>
      <c r="BF631" s="21">
        <v>16</v>
      </c>
    </row>
    <row r="632" spans="1:58" ht="15.75" customHeight="1" x14ac:dyDescent="0.25">
      <c r="A632" s="44">
        <v>2020</v>
      </c>
      <c r="B632" s="39">
        <v>171320</v>
      </c>
      <c r="C632" s="38" t="s">
        <v>148</v>
      </c>
      <c r="D632" s="38" t="s">
        <v>79</v>
      </c>
      <c r="E632" s="21">
        <v>9</v>
      </c>
      <c r="F632" s="42">
        <f t="shared" si="265"/>
        <v>1.1734028683181226E-2</v>
      </c>
      <c r="G632" s="21">
        <v>3</v>
      </c>
      <c r="H632" s="42">
        <f t="shared" si="266"/>
        <v>8.3102493074792248E-3</v>
      </c>
      <c r="I632" s="21">
        <v>30</v>
      </c>
      <c r="J632" s="41">
        <f t="shared" si="267"/>
        <v>3.911342894393742E-2</v>
      </c>
      <c r="K632" s="21">
        <v>19</v>
      </c>
      <c r="L632" s="41">
        <f t="shared" si="268"/>
        <v>5.2631578947368418E-2</v>
      </c>
      <c r="M632" s="21">
        <v>679</v>
      </c>
      <c r="N632" s="41">
        <f t="shared" si="269"/>
        <v>0.88526727509778358</v>
      </c>
      <c r="O632" s="21">
        <v>323</v>
      </c>
      <c r="P632" s="41">
        <f t="shared" si="270"/>
        <v>0.89473684210526316</v>
      </c>
      <c r="Q632" s="21">
        <v>49</v>
      </c>
      <c r="R632" s="41">
        <f t="shared" si="271"/>
        <v>6.3885267275097787E-2</v>
      </c>
      <c r="S632" s="21">
        <v>16</v>
      </c>
      <c r="T632" s="41">
        <f t="shared" si="272"/>
        <v>4.4321329639889197E-2</v>
      </c>
      <c r="U632" s="21">
        <v>52</v>
      </c>
      <c r="V632" s="41">
        <f t="shared" si="273"/>
        <v>6.7796610169491525E-2</v>
      </c>
      <c r="W632" s="21">
        <v>21</v>
      </c>
      <c r="X632" s="41">
        <f t="shared" si="274"/>
        <v>5.817174515235457E-2</v>
      </c>
      <c r="Y632" s="21">
        <v>66</v>
      </c>
      <c r="Z632" s="41">
        <f t="shared" si="275"/>
        <v>8.6049543676662316E-2</v>
      </c>
      <c r="AA632" s="21">
        <v>37</v>
      </c>
      <c r="AB632" s="41">
        <f t="shared" si="276"/>
        <v>0.10249307479224377</v>
      </c>
      <c r="AC632" s="21">
        <v>649</v>
      </c>
      <c r="AD632" s="41">
        <f t="shared" si="284"/>
        <v>0.84615384615384615</v>
      </c>
      <c r="AE632" s="21">
        <v>303</v>
      </c>
      <c r="AF632" s="41">
        <f t="shared" si="277"/>
        <v>0.83933518005540164</v>
      </c>
      <c r="AG632" s="21">
        <v>36</v>
      </c>
      <c r="AH632" s="41">
        <f t="shared" si="285"/>
        <v>4.6936114732724903E-2</v>
      </c>
      <c r="AI632" s="21">
        <v>12</v>
      </c>
      <c r="AJ632" s="41">
        <f t="shared" si="278"/>
        <v>3.3240997229916899E-2</v>
      </c>
      <c r="AK632" s="21">
        <v>33</v>
      </c>
      <c r="AL632" s="41">
        <f t="shared" si="286"/>
        <v>4.3024771838331158E-2</v>
      </c>
      <c r="AM632" s="21">
        <v>16</v>
      </c>
      <c r="AN632" s="41">
        <f t="shared" si="279"/>
        <v>4.4321329639889197E-2</v>
      </c>
      <c r="AO632" s="21">
        <v>449</v>
      </c>
      <c r="AP632" s="41">
        <f t="shared" si="287"/>
        <v>0.5853976531942634</v>
      </c>
      <c r="AQ632" s="21">
        <v>242</v>
      </c>
      <c r="AR632" s="41">
        <f t="shared" si="280"/>
        <v>0.67036011080332414</v>
      </c>
      <c r="AS632" s="21">
        <v>128</v>
      </c>
      <c r="AT632" s="41">
        <f t="shared" si="288"/>
        <v>0.16688396349413298</v>
      </c>
      <c r="AU632" s="21">
        <v>48</v>
      </c>
      <c r="AV632" s="41">
        <f t="shared" si="281"/>
        <v>0.1329639889196676</v>
      </c>
      <c r="AW632" s="21">
        <v>63</v>
      </c>
      <c r="AX632" s="41">
        <f t="shared" si="289"/>
        <v>8.2138200782268578E-2</v>
      </c>
      <c r="AY632" s="21">
        <v>24</v>
      </c>
      <c r="AZ632" s="41">
        <f t="shared" si="282"/>
        <v>6.6481994459833799E-2</v>
      </c>
      <c r="BA632" s="21">
        <v>58</v>
      </c>
      <c r="BB632" s="41">
        <f t="shared" si="290"/>
        <v>7.5619295958279015E-2</v>
      </c>
      <c r="BC632" s="21">
        <v>19</v>
      </c>
      <c r="BD632" s="41">
        <f t="shared" si="283"/>
        <v>5.2631578947368418E-2</v>
      </c>
      <c r="BE632" s="21">
        <v>767</v>
      </c>
      <c r="BF632" s="21">
        <v>361</v>
      </c>
    </row>
    <row r="633" spans="1:58" ht="15.75" customHeight="1" x14ac:dyDescent="0.25">
      <c r="A633" s="44">
        <v>2020</v>
      </c>
      <c r="B633" s="39">
        <v>171330</v>
      </c>
      <c r="C633" s="38" t="s">
        <v>148</v>
      </c>
      <c r="D633" s="38" t="s">
        <v>80</v>
      </c>
      <c r="E633" s="21">
        <v>2</v>
      </c>
      <c r="F633" s="42">
        <f t="shared" si="265"/>
        <v>7.874015748031496E-3</v>
      </c>
      <c r="G633" s="21">
        <v>2</v>
      </c>
      <c r="H633" s="42">
        <f t="shared" si="266"/>
        <v>1.0526315789473684E-2</v>
      </c>
      <c r="I633" s="21">
        <v>11</v>
      </c>
      <c r="J633" s="41">
        <f t="shared" si="267"/>
        <v>4.3307086614173228E-2</v>
      </c>
      <c r="K633" s="21">
        <v>8</v>
      </c>
      <c r="L633" s="41">
        <f t="shared" si="268"/>
        <v>4.2105263157894736E-2</v>
      </c>
      <c r="M633" s="21">
        <v>220</v>
      </c>
      <c r="N633" s="41">
        <f t="shared" si="269"/>
        <v>0.86614173228346458</v>
      </c>
      <c r="O633" s="21">
        <v>166</v>
      </c>
      <c r="P633" s="41">
        <f t="shared" si="270"/>
        <v>0.87368421052631584</v>
      </c>
      <c r="Q633" s="21">
        <v>21</v>
      </c>
      <c r="R633" s="41">
        <f t="shared" si="271"/>
        <v>8.2677165354330714E-2</v>
      </c>
      <c r="S633" s="21">
        <v>14</v>
      </c>
      <c r="T633" s="41">
        <f t="shared" si="272"/>
        <v>7.3684210526315783E-2</v>
      </c>
      <c r="U633" s="21">
        <v>13</v>
      </c>
      <c r="V633" s="41">
        <f t="shared" si="273"/>
        <v>5.1181102362204724E-2</v>
      </c>
      <c r="W633" s="21">
        <v>11</v>
      </c>
      <c r="X633" s="41">
        <f t="shared" si="274"/>
        <v>5.7894736842105263E-2</v>
      </c>
      <c r="Y633" s="21">
        <v>12</v>
      </c>
      <c r="Z633" s="41">
        <f t="shared" si="275"/>
        <v>4.7244094488188976E-2</v>
      </c>
      <c r="AA633" s="21">
        <v>8</v>
      </c>
      <c r="AB633" s="41">
        <f t="shared" si="276"/>
        <v>4.2105263157894736E-2</v>
      </c>
      <c r="AC633" s="21">
        <v>229</v>
      </c>
      <c r="AD633" s="41">
        <f t="shared" si="284"/>
        <v>0.90157480314960625</v>
      </c>
      <c r="AE633" s="21">
        <v>171</v>
      </c>
      <c r="AF633" s="41">
        <f t="shared" si="277"/>
        <v>0.9</v>
      </c>
      <c r="AG633" s="21">
        <v>22</v>
      </c>
      <c r="AH633" s="41">
        <f t="shared" si="285"/>
        <v>8.6614173228346455E-2</v>
      </c>
      <c r="AI633" s="21">
        <v>16</v>
      </c>
      <c r="AJ633" s="41">
        <f t="shared" si="278"/>
        <v>8.4210526315789472E-2</v>
      </c>
      <c r="AK633" s="21">
        <v>8</v>
      </c>
      <c r="AL633" s="41">
        <f t="shared" si="286"/>
        <v>3.1496062992125984E-2</v>
      </c>
      <c r="AM633" s="21">
        <v>7</v>
      </c>
      <c r="AN633" s="41">
        <f t="shared" si="279"/>
        <v>3.6842105263157891E-2</v>
      </c>
      <c r="AO633" s="21">
        <v>146</v>
      </c>
      <c r="AP633" s="41">
        <f t="shared" si="287"/>
        <v>0.57480314960629919</v>
      </c>
      <c r="AQ633" s="21">
        <v>112</v>
      </c>
      <c r="AR633" s="41">
        <f t="shared" si="280"/>
        <v>0.58947368421052626</v>
      </c>
      <c r="AS633" s="21">
        <v>46</v>
      </c>
      <c r="AT633" s="41">
        <f t="shared" si="288"/>
        <v>0.18110236220472442</v>
      </c>
      <c r="AU633" s="21">
        <v>31</v>
      </c>
      <c r="AV633" s="41">
        <f t="shared" si="281"/>
        <v>0.16315789473684211</v>
      </c>
      <c r="AW633" s="21">
        <v>14</v>
      </c>
      <c r="AX633" s="41">
        <f t="shared" si="289"/>
        <v>5.5118110236220472E-2</v>
      </c>
      <c r="AY633" s="21">
        <v>11</v>
      </c>
      <c r="AZ633" s="41">
        <f t="shared" si="282"/>
        <v>5.7894736842105263E-2</v>
      </c>
      <c r="BA633" s="21">
        <v>18</v>
      </c>
      <c r="BB633" s="41">
        <f t="shared" si="290"/>
        <v>7.0866141732283464E-2</v>
      </c>
      <c r="BC633" s="21">
        <v>13</v>
      </c>
      <c r="BD633" s="41">
        <f t="shared" si="283"/>
        <v>6.8421052631578952E-2</v>
      </c>
      <c r="BE633" s="21">
        <v>254</v>
      </c>
      <c r="BF633" s="21">
        <v>190</v>
      </c>
    </row>
    <row r="634" spans="1:58" ht="15.75" customHeight="1" x14ac:dyDescent="0.25">
      <c r="A634" s="44">
        <v>2020</v>
      </c>
      <c r="B634" s="39">
        <v>171360</v>
      </c>
      <c r="C634" s="38" t="s">
        <v>151</v>
      </c>
      <c r="D634" s="38" t="s">
        <v>81</v>
      </c>
      <c r="E634" s="21">
        <v>0</v>
      </c>
      <c r="F634" s="42">
        <f t="shared" si="265"/>
        <v>0</v>
      </c>
      <c r="G634" s="21">
        <v>0</v>
      </c>
      <c r="H634" s="42">
        <f t="shared" si="266"/>
        <v>0</v>
      </c>
      <c r="I634" s="21">
        <v>3</v>
      </c>
      <c r="J634" s="41">
        <f t="shared" si="267"/>
        <v>4.4117647058823532E-2</v>
      </c>
      <c r="K634" s="21">
        <v>0</v>
      </c>
      <c r="L634" s="41">
        <f t="shared" si="268"/>
        <v>0</v>
      </c>
      <c r="M634" s="21">
        <v>65</v>
      </c>
      <c r="N634" s="41">
        <f t="shared" si="269"/>
        <v>0.95588235294117652</v>
      </c>
      <c r="O634" s="21">
        <v>27</v>
      </c>
      <c r="P634" s="41">
        <f t="shared" si="270"/>
        <v>1</v>
      </c>
      <c r="Q634" s="21">
        <v>0</v>
      </c>
      <c r="R634" s="41">
        <f t="shared" si="271"/>
        <v>0</v>
      </c>
      <c r="S634" s="21">
        <v>0</v>
      </c>
      <c r="T634" s="41">
        <f t="shared" si="272"/>
        <v>0</v>
      </c>
      <c r="U634" s="21">
        <v>3</v>
      </c>
      <c r="V634" s="41">
        <f t="shared" si="273"/>
        <v>4.4117647058823532E-2</v>
      </c>
      <c r="W634" s="21">
        <v>2</v>
      </c>
      <c r="X634" s="41">
        <f t="shared" si="274"/>
        <v>7.407407407407407E-2</v>
      </c>
      <c r="Y634" s="21">
        <v>5</v>
      </c>
      <c r="Z634" s="41">
        <f t="shared" si="275"/>
        <v>7.3529411764705885E-2</v>
      </c>
      <c r="AA634" s="21">
        <v>2</v>
      </c>
      <c r="AB634" s="41">
        <f t="shared" si="276"/>
        <v>7.407407407407407E-2</v>
      </c>
      <c r="AC634" s="21">
        <v>60</v>
      </c>
      <c r="AD634" s="41">
        <f t="shared" si="284"/>
        <v>0.88235294117647056</v>
      </c>
      <c r="AE634" s="21">
        <v>23</v>
      </c>
      <c r="AF634" s="41">
        <f t="shared" si="277"/>
        <v>0.85185185185185186</v>
      </c>
      <c r="AG634" s="21">
        <v>2</v>
      </c>
      <c r="AH634" s="41">
        <f t="shared" si="285"/>
        <v>2.9411764705882353E-2</v>
      </c>
      <c r="AI634" s="21">
        <v>2</v>
      </c>
      <c r="AJ634" s="41">
        <f t="shared" si="278"/>
        <v>7.407407407407407E-2</v>
      </c>
      <c r="AK634" s="21">
        <v>4</v>
      </c>
      <c r="AL634" s="41">
        <f t="shared" si="286"/>
        <v>5.8823529411764705E-2</v>
      </c>
      <c r="AM634" s="21">
        <v>1</v>
      </c>
      <c r="AN634" s="41">
        <f t="shared" si="279"/>
        <v>3.7037037037037035E-2</v>
      </c>
      <c r="AO634" s="21">
        <v>45</v>
      </c>
      <c r="AP634" s="41">
        <f t="shared" si="287"/>
        <v>0.66176470588235292</v>
      </c>
      <c r="AQ634" s="21">
        <v>14</v>
      </c>
      <c r="AR634" s="41">
        <f t="shared" si="280"/>
        <v>0.51851851851851849</v>
      </c>
      <c r="AS634" s="21">
        <v>10</v>
      </c>
      <c r="AT634" s="41">
        <f t="shared" si="288"/>
        <v>0.14705882352941177</v>
      </c>
      <c r="AU634" s="21">
        <v>4</v>
      </c>
      <c r="AV634" s="41">
        <f t="shared" si="281"/>
        <v>0.14814814814814814</v>
      </c>
      <c r="AW634" s="21">
        <v>5</v>
      </c>
      <c r="AX634" s="41">
        <f t="shared" si="289"/>
        <v>7.3529411764705885E-2</v>
      </c>
      <c r="AY634" s="21">
        <v>4</v>
      </c>
      <c r="AZ634" s="41">
        <f t="shared" si="282"/>
        <v>0.14814814814814814</v>
      </c>
      <c r="BA634" s="21">
        <v>2</v>
      </c>
      <c r="BB634" s="41">
        <f t="shared" si="290"/>
        <v>2.9411764705882353E-2</v>
      </c>
      <c r="BC634" s="21">
        <v>2</v>
      </c>
      <c r="BD634" s="41">
        <f t="shared" si="283"/>
        <v>7.407407407407407E-2</v>
      </c>
      <c r="BE634" s="21">
        <v>68</v>
      </c>
      <c r="BF634" s="21">
        <v>27</v>
      </c>
    </row>
    <row r="635" spans="1:58" ht="15.75" customHeight="1" x14ac:dyDescent="0.25">
      <c r="A635" s="44">
        <v>2020</v>
      </c>
      <c r="B635" s="39">
        <v>171370</v>
      </c>
      <c r="C635" s="38" t="s">
        <v>144</v>
      </c>
      <c r="D635" s="38" t="s">
        <v>82</v>
      </c>
      <c r="E635" s="21">
        <v>1</v>
      </c>
      <c r="F635" s="42">
        <f t="shared" si="265"/>
        <v>8.3333333333333332E-3</v>
      </c>
      <c r="G635" s="21">
        <v>0</v>
      </c>
      <c r="H635" s="42">
        <f t="shared" si="266"/>
        <v>0</v>
      </c>
      <c r="I635" s="21">
        <v>4</v>
      </c>
      <c r="J635" s="41">
        <f t="shared" si="267"/>
        <v>3.3333333333333333E-2</v>
      </c>
      <c r="K635" s="21">
        <v>3</v>
      </c>
      <c r="L635" s="41">
        <f t="shared" si="268"/>
        <v>3.614457831325301E-2</v>
      </c>
      <c r="M635" s="21">
        <v>109</v>
      </c>
      <c r="N635" s="41">
        <f t="shared" si="269"/>
        <v>0.90833333333333333</v>
      </c>
      <c r="O635" s="21">
        <v>75</v>
      </c>
      <c r="P635" s="41">
        <f t="shared" si="270"/>
        <v>0.90361445783132532</v>
      </c>
      <c r="Q635" s="21">
        <v>6</v>
      </c>
      <c r="R635" s="41">
        <f t="shared" si="271"/>
        <v>0.05</v>
      </c>
      <c r="S635" s="21">
        <v>5</v>
      </c>
      <c r="T635" s="41">
        <f t="shared" si="272"/>
        <v>6.0240963855421686E-2</v>
      </c>
      <c r="U635" s="21">
        <v>9</v>
      </c>
      <c r="V635" s="41">
        <f t="shared" si="273"/>
        <v>7.4999999999999997E-2</v>
      </c>
      <c r="W635" s="21">
        <v>6</v>
      </c>
      <c r="X635" s="41">
        <f t="shared" si="274"/>
        <v>7.2289156626506021E-2</v>
      </c>
      <c r="Y635" s="21">
        <v>6</v>
      </c>
      <c r="Z635" s="41">
        <f t="shared" si="275"/>
        <v>0.05</v>
      </c>
      <c r="AA635" s="21">
        <v>5</v>
      </c>
      <c r="AB635" s="41">
        <f t="shared" si="276"/>
        <v>6.0240963855421686E-2</v>
      </c>
      <c r="AC635" s="21">
        <v>105</v>
      </c>
      <c r="AD635" s="41">
        <f t="shared" si="284"/>
        <v>0.875</v>
      </c>
      <c r="AE635" s="21">
        <v>72</v>
      </c>
      <c r="AF635" s="41">
        <f t="shared" si="277"/>
        <v>0.86746987951807231</v>
      </c>
      <c r="AG635" s="21">
        <v>2</v>
      </c>
      <c r="AH635" s="41">
        <f t="shared" si="285"/>
        <v>1.6666666666666666E-2</v>
      </c>
      <c r="AI635" s="21">
        <v>2</v>
      </c>
      <c r="AJ635" s="41">
        <f t="shared" si="278"/>
        <v>2.4096385542168676E-2</v>
      </c>
      <c r="AK635" s="21">
        <v>3</v>
      </c>
      <c r="AL635" s="41">
        <f t="shared" si="286"/>
        <v>2.5000000000000001E-2</v>
      </c>
      <c r="AM635" s="21">
        <v>1</v>
      </c>
      <c r="AN635" s="41">
        <f t="shared" si="279"/>
        <v>1.2048192771084338E-2</v>
      </c>
      <c r="AO635" s="21">
        <v>86</v>
      </c>
      <c r="AP635" s="41">
        <f t="shared" si="287"/>
        <v>0.71666666666666667</v>
      </c>
      <c r="AQ635" s="21">
        <v>61</v>
      </c>
      <c r="AR635" s="41">
        <f t="shared" si="280"/>
        <v>0.73493975903614461</v>
      </c>
      <c r="AS635" s="21">
        <v>15</v>
      </c>
      <c r="AT635" s="41">
        <f t="shared" si="288"/>
        <v>0.125</v>
      </c>
      <c r="AU635" s="21">
        <v>11</v>
      </c>
      <c r="AV635" s="41">
        <f t="shared" si="281"/>
        <v>0.13253012048192772</v>
      </c>
      <c r="AW635" s="21">
        <v>6</v>
      </c>
      <c r="AX635" s="41">
        <f t="shared" si="289"/>
        <v>0.05</v>
      </c>
      <c r="AY635" s="21">
        <v>5</v>
      </c>
      <c r="AZ635" s="41">
        <f t="shared" si="282"/>
        <v>6.0240963855421686E-2</v>
      </c>
      <c r="BA635" s="21">
        <v>8</v>
      </c>
      <c r="BB635" s="41">
        <f t="shared" si="290"/>
        <v>6.6666666666666666E-2</v>
      </c>
      <c r="BC635" s="21">
        <v>3</v>
      </c>
      <c r="BD635" s="41">
        <f t="shared" si="283"/>
        <v>3.614457831325301E-2</v>
      </c>
      <c r="BE635" s="21">
        <v>120</v>
      </c>
      <c r="BF635" s="21">
        <v>83</v>
      </c>
    </row>
    <row r="636" spans="1:58" ht="15.75" customHeight="1" x14ac:dyDescent="0.25">
      <c r="A636" s="44">
        <v>2020</v>
      </c>
      <c r="B636" s="39">
        <v>171395</v>
      </c>
      <c r="C636" s="38" t="s">
        <v>149</v>
      </c>
      <c r="D636" s="38" t="s">
        <v>83</v>
      </c>
      <c r="E636" s="21">
        <v>2</v>
      </c>
      <c r="F636" s="42">
        <f t="shared" si="265"/>
        <v>9.852216748768473E-3</v>
      </c>
      <c r="G636" s="21">
        <v>2</v>
      </c>
      <c r="H636" s="42">
        <f t="shared" si="266"/>
        <v>1.1111111111111112E-2</v>
      </c>
      <c r="I636" s="21">
        <v>5</v>
      </c>
      <c r="J636" s="41">
        <f t="shared" si="267"/>
        <v>2.4630541871921183E-2</v>
      </c>
      <c r="K636" s="21">
        <v>3</v>
      </c>
      <c r="L636" s="41">
        <f t="shared" si="268"/>
        <v>1.6666666666666666E-2</v>
      </c>
      <c r="M636" s="21">
        <v>178</v>
      </c>
      <c r="N636" s="41">
        <f t="shared" si="269"/>
        <v>0.87684729064039413</v>
      </c>
      <c r="O636" s="21">
        <v>161</v>
      </c>
      <c r="P636" s="41">
        <f t="shared" si="270"/>
        <v>0.89444444444444449</v>
      </c>
      <c r="Q636" s="21">
        <v>18</v>
      </c>
      <c r="R636" s="41">
        <f t="shared" si="271"/>
        <v>8.8669950738916259E-2</v>
      </c>
      <c r="S636" s="21">
        <v>14</v>
      </c>
      <c r="T636" s="41">
        <f t="shared" si="272"/>
        <v>7.7777777777777779E-2</v>
      </c>
      <c r="U636" s="21">
        <v>8</v>
      </c>
      <c r="V636" s="41">
        <f t="shared" si="273"/>
        <v>3.9408866995073892E-2</v>
      </c>
      <c r="W636" s="21">
        <v>8</v>
      </c>
      <c r="X636" s="41">
        <f t="shared" si="274"/>
        <v>4.4444444444444446E-2</v>
      </c>
      <c r="Y636" s="21">
        <v>16</v>
      </c>
      <c r="Z636" s="41">
        <f t="shared" si="275"/>
        <v>7.8817733990147784E-2</v>
      </c>
      <c r="AA636" s="21">
        <v>14</v>
      </c>
      <c r="AB636" s="41">
        <f t="shared" si="276"/>
        <v>7.7777777777777779E-2</v>
      </c>
      <c r="AC636" s="21">
        <v>179</v>
      </c>
      <c r="AD636" s="41">
        <f t="shared" si="284"/>
        <v>0.88177339901477836</v>
      </c>
      <c r="AE636" s="21">
        <v>158</v>
      </c>
      <c r="AF636" s="41">
        <f t="shared" si="277"/>
        <v>0.87777777777777777</v>
      </c>
      <c r="AG636" s="21">
        <v>9</v>
      </c>
      <c r="AH636" s="41">
        <f t="shared" si="285"/>
        <v>4.4334975369458129E-2</v>
      </c>
      <c r="AI636" s="21">
        <v>5</v>
      </c>
      <c r="AJ636" s="41">
        <f t="shared" si="278"/>
        <v>2.7777777777777776E-2</v>
      </c>
      <c r="AK636" s="21">
        <v>5</v>
      </c>
      <c r="AL636" s="41">
        <f t="shared" si="286"/>
        <v>2.4630541871921183E-2</v>
      </c>
      <c r="AM636" s="21">
        <v>5</v>
      </c>
      <c r="AN636" s="41">
        <f t="shared" si="279"/>
        <v>2.7777777777777776E-2</v>
      </c>
      <c r="AO636" s="21">
        <v>130</v>
      </c>
      <c r="AP636" s="41">
        <f t="shared" si="287"/>
        <v>0.64039408866995073</v>
      </c>
      <c r="AQ636" s="21">
        <v>120</v>
      </c>
      <c r="AR636" s="41">
        <f t="shared" si="280"/>
        <v>0.66666666666666663</v>
      </c>
      <c r="AS636" s="21">
        <v>25</v>
      </c>
      <c r="AT636" s="41">
        <f t="shared" si="288"/>
        <v>0.12315270935960591</v>
      </c>
      <c r="AU636" s="21">
        <v>22</v>
      </c>
      <c r="AV636" s="41">
        <f t="shared" si="281"/>
        <v>0.12222222222222222</v>
      </c>
      <c r="AW636" s="21">
        <v>15</v>
      </c>
      <c r="AX636" s="41">
        <f t="shared" si="289"/>
        <v>7.3891625615763554E-2</v>
      </c>
      <c r="AY636" s="21">
        <v>12</v>
      </c>
      <c r="AZ636" s="41">
        <f t="shared" si="282"/>
        <v>6.6666666666666666E-2</v>
      </c>
      <c r="BA636" s="21">
        <v>19</v>
      </c>
      <c r="BB636" s="41">
        <f t="shared" si="290"/>
        <v>9.3596059113300489E-2</v>
      </c>
      <c r="BC636" s="21">
        <v>16</v>
      </c>
      <c r="BD636" s="41">
        <f t="shared" si="283"/>
        <v>8.8888888888888892E-2</v>
      </c>
      <c r="BE636" s="21">
        <v>203</v>
      </c>
      <c r="BF636" s="21">
        <v>180</v>
      </c>
    </row>
    <row r="637" spans="1:58" ht="15.75" customHeight="1" x14ac:dyDescent="0.25">
      <c r="A637" s="44">
        <v>2020</v>
      </c>
      <c r="B637" s="39">
        <v>171420</v>
      </c>
      <c r="C637" s="38" t="s">
        <v>151</v>
      </c>
      <c r="D637" s="38" t="s">
        <v>84</v>
      </c>
      <c r="E637" s="21">
        <v>2</v>
      </c>
      <c r="F637" s="42">
        <f t="shared" si="265"/>
        <v>8.771929824561403E-3</v>
      </c>
      <c r="G637" s="21">
        <v>1</v>
      </c>
      <c r="H637" s="42">
        <f t="shared" si="266"/>
        <v>4.1666666666666664E-2</v>
      </c>
      <c r="I637" s="21">
        <v>2</v>
      </c>
      <c r="J637" s="41">
        <f t="shared" si="267"/>
        <v>8.771929824561403E-3</v>
      </c>
      <c r="K637" s="21">
        <v>0</v>
      </c>
      <c r="L637" s="41">
        <f t="shared" si="268"/>
        <v>0</v>
      </c>
      <c r="M637" s="21">
        <v>209</v>
      </c>
      <c r="N637" s="41">
        <f t="shared" si="269"/>
        <v>0.91666666666666663</v>
      </c>
      <c r="O637" s="21">
        <v>22</v>
      </c>
      <c r="P637" s="41">
        <f t="shared" si="270"/>
        <v>0.91666666666666663</v>
      </c>
      <c r="Q637" s="21">
        <v>15</v>
      </c>
      <c r="R637" s="41">
        <f t="shared" si="271"/>
        <v>6.5789473684210523E-2</v>
      </c>
      <c r="S637" s="21">
        <v>1</v>
      </c>
      <c r="T637" s="41">
        <f t="shared" si="272"/>
        <v>4.1666666666666664E-2</v>
      </c>
      <c r="U637" s="21">
        <v>5</v>
      </c>
      <c r="V637" s="41">
        <f t="shared" si="273"/>
        <v>2.1929824561403508E-2</v>
      </c>
      <c r="W637" s="21">
        <v>1</v>
      </c>
      <c r="X637" s="41">
        <f t="shared" si="274"/>
        <v>4.1666666666666664E-2</v>
      </c>
      <c r="Y637" s="21">
        <v>6</v>
      </c>
      <c r="Z637" s="41">
        <f t="shared" si="275"/>
        <v>2.6315789473684209E-2</v>
      </c>
      <c r="AA637" s="21">
        <v>1</v>
      </c>
      <c r="AB637" s="41">
        <f t="shared" si="276"/>
        <v>4.1666666666666664E-2</v>
      </c>
      <c r="AC637" s="21">
        <v>217</v>
      </c>
      <c r="AD637" s="41">
        <f t="shared" si="284"/>
        <v>0.95175438596491224</v>
      </c>
      <c r="AE637" s="21">
        <v>22</v>
      </c>
      <c r="AF637" s="41">
        <f t="shared" si="277"/>
        <v>0.91666666666666663</v>
      </c>
      <c r="AG637" s="21">
        <v>0</v>
      </c>
      <c r="AH637" s="41">
        <f t="shared" si="285"/>
        <v>0</v>
      </c>
      <c r="AI637" s="21">
        <v>0</v>
      </c>
      <c r="AJ637" s="41">
        <f t="shared" si="278"/>
        <v>0</v>
      </c>
      <c r="AK637" s="21">
        <v>5</v>
      </c>
      <c r="AL637" s="41">
        <f t="shared" si="286"/>
        <v>2.1929824561403508E-2</v>
      </c>
      <c r="AM637" s="21">
        <v>1</v>
      </c>
      <c r="AN637" s="41">
        <f t="shared" si="279"/>
        <v>4.1666666666666664E-2</v>
      </c>
      <c r="AO637" s="21">
        <v>148</v>
      </c>
      <c r="AP637" s="41">
        <f t="shared" si="287"/>
        <v>0.64912280701754388</v>
      </c>
      <c r="AQ637" s="21">
        <v>17</v>
      </c>
      <c r="AR637" s="41">
        <f t="shared" si="280"/>
        <v>0.70833333333333337</v>
      </c>
      <c r="AS637" s="21">
        <v>49</v>
      </c>
      <c r="AT637" s="41">
        <f t="shared" si="288"/>
        <v>0.21491228070175439</v>
      </c>
      <c r="AU637" s="21">
        <v>6</v>
      </c>
      <c r="AV637" s="41">
        <f t="shared" si="281"/>
        <v>0.25</v>
      </c>
      <c r="AW637" s="21">
        <v>20</v>
      </c>
      <c r="AX637" s="41">
        <f t="shared" si="289"/>
        <v>8.771929824561403E-2</v>
      </c>
      <c r="AY637" s="21">
        <v>0</v>
      </c>
      <c r="AZ637" s="41">
        <f t="shared" si="282"/>
        <v>0</v>
      </c>
      <c r="BA637" s="21">
        <v>6</v>
      </c>
      <c r="BB637" s="41">
        <f t="shared" si="290"/>
        <v>2.6315789473684209E-2</v>
      </c>
      <c r="BC637" s="21">
        <v>0</v>
      </c>
      <c r="BD637" s="41">
        <f t="shared" si="283"/>
        <v>0</v>
      </c>
      <c r="BE637" s="21">
        <v>228</v>
      </c>
      <c r="BF637" s="21">
        <v>24</v>
      </c>
    </row>
    <row r="638" spans="1:58" ht="15.75" customHeight="1" x14ac:dyDescent="0.25">
      <c r="A638" s="44">
        <v>2020</v>
      </c>
      <c r="B638" s="39">
        <v>171430</v>
      </c>
      <c r="C638" s="38" t="s">
        <v>145</v>
      </c>
      <c r="D638" s="38" t="s">
        <v>85</v>
      </c>
      <c r="E638" s="21">
        <v>0</v>
      </c>
      <c r="F638" s="42">
        <f t="shared" si="265"/>
        <v>0</v>
      </c>
      <c r="G638" s="21">
        <v>0</v>
      </c>
      <c r="H638" s="42">
        <f t="shared" si="266"/>
        <v>0</v>
      </c>
      <c r="I638" s="21">
        <v>9</v>
      </c>
      <c r="J638" s="41">
        <f t="shared" si="267"/>
        <v>4.7619047619047616E-2</v>
      </c>
      <c r="K638" s="21">
        <v>7</v>
      </c>
      <c r="L638" s="41">
        <f t="shared" si="268"/>
        <v>4.7619047619047616E-2</v>
      </c>
      <c r="M638" s="21">
        <v>169</v>
      </c>
      <c r="N638" s="41">
        <f t="shared" si="269"/>
        <v>0.89417989417989419</v>
      </c>
      <c r="O638" s="21">
        <v>133</v>
      </c>
      <c r="P638" s="41">
        <f t="shared" si="270"/>
        <v>0.90476190476190477</v>
      </c>
      <c r="Q638" s="21">
        <v>11</v>
      </c>
      <c r="R638" s="41">
        <f t="shared" si="271"/>
        <v>5.8201058201058198E-2</v>
      </c>
      <c r="S638" s="21">
        <v>7</v>
      </c>
      <c r="T638" s="41">
        <f t="shared" si="272"/>
        <v>4.7619047619047616E-2</v>
      </c>
      <c r="U638" s="21">
        <v>12</v>
      </c>
      <c r="V638" s="41">
        <f t="shared" si="273"/>
        <v>6.3492063492063489E-2</v>
      </c>
      <c r="W638" s="21">
        <v>8</v>
      </c>
      <c r="X638" s="41">
        <f t="shared" si="274"/>
        <v>5.4421768707482991E-2</v>
      </c>
      <c r="Y638" s="21">
        <v>16</v>
      </c>
      <c r="Z638" s="41">
        <f t="shared" si="275"/>
        <v>8.4656084656084651E-2</v>
      </c>
      <c r="AA638" s="21">
        <v>11</v>
      </c>
      <c r="AB638" s="41">
        <f t="shared" si="276"/>
        <v>7.4829931972789115E-2</v>
      </c>
      <c r="AC638" s="21">
        <v>161</v>
      </c>
      <c r="AD638" s="41">
        <f t="shared" si="284"/>
        <v>0.85185185185185186</v>
      </c>
      <c r="AE638" s="21">
        <v>128</v>
      </c>
      <c r="AF638" s="41">
        <f t="shared" si="277"/>
        <v>0.87074829931972786</v>
      </c>
      <c r="AG638" s="21">
        <v>4</v>
      </c>
      <c r="AH638" s="41">
        <f t="shared" si="285"/>
        <v>2.1164021164021163E-2</v>
      </c>
      <c r="AI638" s="21">
        <v>5</v>
      </c>
      <c r="AJ638" s="41">
        <f t="shared" si="278"/>
        <v>3.4013605442176874E-2</v>
      </c>
      <c r="AK638" s="21">
        <v>10</v>
      </c>
      <c r="AL638" s="41">
        <f t="shared" si="286"/>
        <v>5.2910052910052907E-2</v>
      </c>
      <c r="AM638" s="21">
        <v>9</v>
      </c>
      <c r="AN638" s="41">
        <f t="shared" si="279"/>
        <v>6.1224489795918366E-2</v>
      </c>
      <c r="AO638" s="21">
        <v>131</v>
      </c>
      <c r="AP638" s="41">
        <f t="shared" si="287"/>
        <v>0.69312169312169314</v>
      </c>
      <c r="AQ638" s="21">
        <v>103</v>
      </c>
      <c r="AR638" s="41">
        <f t="shared" si="280"/>
        <v>0.70068027210884354</v>
      </c>
      <c r="AS638" s="21">
        <v>23</v>
      </c>
      <c r="AT638" s="41">
        <f t="shared" si="288"/>
        <v>0.12169312169312169</v>
      </c>
      <c r="AU638" s="21">
        <v>14</v>
      </c>
      <c r="AV638" s="41">
        <f t="shared" si="281"/>
        <v>9.5238095238095233E-2</v>
      </c>
      <c r="AW638" s="21">
        <v>8</v>
      </c>
      <c r="AX638" s="41">
        <f t="shared" si="289"/>
        <v>4.2328042328042326E-2</v>
      </c>
      <c r="AY638" s="21">
        <v>6</v>
      </c>
      <c r="AZ638" s="41">
        <f t="shared" si="282"/>
        <v>4.0816326530612242E-2</v>
      </c>
      <c r="BA638" s="21">
        <v>13</v>
      </c>
      <c r="BB638" s="41">
        <f t="shared" si="290"/>
        <v>6.8783068783068779E-2</v>
      </c>
      <c r="BC638" s="21">
        <v>10</v>
      </c>
      <c r="BD638" s="41">
        <f t="shared" si="283"/>
        <v>6.8027210884353748E-2</v>
      </c>
      <c r="BE638" s="21">
        <v>189</v>
      </c>
      <c r="BF638" s="21">
        <v>147</v>
      </c>
    </row>
    <row r="639" spans="1:58" ht="15.75" customHeight="1" x14ac:dyDescent="0.25">
      <c r="A639" s="44">
        <v>2020</v>
      </c>
      <c r="B639" s="39">
        <v>171488</v>
      </c>
      <c r="C639" s="38" t="s">
        <v>149</v>
      </c>
      <c r="D639" s="38" t="s">
        <v>86</v>
      </c>
      <c r="E639" s="21">
        <v>0</v>
      </c>
      <c r="F639" s="42">
        <f t="shared" si="265"/>
        <v>0</v>
      </c>
      <c r="G639" s="21">
        <v>0</v>
      </c>
      <c r="H639" s="42">
        <f t="shared" si="266"/>
        <v>0</v>
      </c>
      <c r="I639" s="21">
        <v>4</v>
      </c>
      <c r="J639" s="41">
        <f t="shared" si="267"/>
        <v>2.3255813953488372E-2</v>
      </c>
      <c r="K639" s="21">
        <v>4</v>
      </c>
      <c r="L639" s="41">
        <f t="shared" si="268"/>
        <v>3.125E-2</v>
      </c>
      <c r="M639" s="21">
        <v>153</v>
      </c>
      <c r="N639" s="41">
        <f t="shared" si="269"/>
        <v>0.88953488372093026</v>
      </c>
      <c r="O639" s="21">
        <v>113</v>
      </c>
      <c r="P639" s="41">
        <f t="shared" si="270"/>
        <v>0.8828125</v>
      </c>
      <c r="Q639" s="21">
        <v>15</v>
      </c>
      <c r="R639" s="41">
        <f t="shared" si="271"/>
        <v>8.7209302325581398E-2</v>
      </c>
      <c r="S639" s="21">
        <v>11</v>
      </c>
      <c r="T639" s="41">
        <f t="shared" si="272"/>
        <v>8.59375E-2</v>
      </c>
      <c r="U639" s="21">
        <v>21</v>
      </c>
      <c r="V639" s="41">
        <f t="shared" si="273"/>
        <v>0.12209302325581395</v>
      </c>
      <c r="W639" s="21">
        <v>15</v>
      </c>
      <c r="X639" s="41">
        <f t="shared" si="274"/>
        <v>0.1171875</v>
      </c>
      <c r="Y639" s="21">
        <v>15</v>
      </c>
      <c r="Z639" s="41">
        <f t="shared" si="275"/>
        <v>8.7209302325581398E-2</v>
      </c>
      <c r="AA639" s="21">
        <v>11</v>
      </c>
      <c r="AB639" s="41">
        <f t="shared" si="276"/>
        <v>8.59375E-2</v>
      </c>
      <c r="AC639" s="21">
        <v>136</v>
      </c>
      <c r="AD639" s="41">
        <f t="shared" si="284"/>
        <v>0.79069767441860461</v>
      </c>
      <c r="AE639" s="21">
        <v>102</v>
      </c>
      <c r="AF639" s="41">
        <f t="shared" si="277"/>
        <v>0.796875</v>
      </c>
      <c r="AG639" s="21">
        <v>4</v>
      </c>
      <c r="AH639" s="41">
        <f t="shared" si="285"/>
        <v>2.3255813953488372E-2</v>
      </c>
      <c r="AI639" s="21">
        <v>4</v>
      </c>
      <c r="AJ639" s="41">
        <f t="shared" si="278"/>
        <v>3.125E-2</v>
      </c>
      <c r="AK639" s="21">
        <v>7</v>
      </c>
      <c r="AL639" s="41">
        <f t="shared" si="286"/>
        <v>4.0697674418604654E-2</v>
      </c>
      <c r="AM639" s="21">
        <v>6</v>
      </c>
      <c r="AN639" s="41">
        <f t="shared" si="279"/>
        <v>4.6875E-2</v>
      </c>
      <c r="AO639" s="21">
        <v>89</v>
      </c>
      <c r="AP639" s="41">
        <f t="shared" si="287"/>
        <v>0.51744186046511631</v>
      </c>
      <c r="AQ639" s="21">
        <v>59</v>
      </c>
      <c r="AR639" s="41">
        <f t="shared" si="280"/>
        <v>0.4609375</v>
      </c>
      <c r="AS639" s="21">
        <v>22</v>
      </c>
      <c r="AT639" s="41">
        <f t="shared" si="288"/>
        <v>0.12790697674418605</v>
      </c>
      <c r="AU639" s="21">
        <v>22</v>
      </c>
      <c r="AV639" s="41">
        <f t="shared" si="281"/>
        <v>0.171875</v>
      </c>
      <c r="AW639" s="21">
        <v>26</v>
      </c>
      <c r="AX639" s="41">
        <f t="shared" si="289"/>
        <v>0.15116279069767441</v>
      </c>
      <c r="AY639" s="21">
        <v>20</v>
      </c>
      <c r="AZ639" s="41">
        <f t="shared" si="282"/>
        <v>0.15625</v>
      </c>
      <c r="BA639" s="21">
        <v>24</v>
      </c>
      <c r="BB639" s="41">
        <f t="shared" si="290"/>
        <v>0.13953488372093023</v>
      </c>
      <c r="BC639" s="21">
        <v>17</v>
      </c>
      <c r="BD639" s="41">
        <f t="shared" si="283"/>
        <v>0.1328125</v>
      </c>
      <c r="BE639" s="21">
        <v>172</v>
      </c>
      <c r="BF639" s="21">
        <v>128</v>
      </c>
    </row>
    <row r="640" spans="1:58" ht="15.75" customHeight="1" x14ac:dyDescent="0.25">
      <c r="A640" s="44">
        <v>2020</v>
      </c>
      <c r="B640" s="39">
        <v>171500</v>
      </c>
      <c r="C640" s="38" t="s">
        <v>144</v>
      </c>
      <c r="D640" s="38" t="s">
        <v>87</v>
      </c>
      <c r="E640" s="21">
        <v>0</v>
      </c>
      <c r="F640" s="42">
        <f t="shared" si="265"/>
        <v>0</v>
      </c>
      <c r="G640" s="21">
        <v>0</v>
      </c>
      <c r="H640" s="42">
        <f t="shared" si="266"/>
        <v>0</v>
      </c>
      <c r="I640" s="21">
        <v>2</v>
      </c>
      <c r="J640" s="41">
        <f t="shared" si="267"/>
        <v>1.5503875968992248E-2</v>
      </c>
      <c r="K640" s="21">
        <v>1</v>
      </c>
      <c r="L640" s="41">
        <f t="shared" si="268"/>
        <v>8.6956521739130436E-3</v>
      </c>
      <c r="M640" s="21">
        <v>107</v>
      </c>
      <c r="N640" s="41">
        <f t="shared" si="269"/>
        <v>0.8294573643410853</v>
      </c>
      <c r="O640" s="21">
        <v>95</v>
      </c>
      <c r="P640" s="41">
        <f t="shared" si="270"/>
        <v>0.82608695652173914</v>
      </c>
      <c r="Q640" s="21">
        <v>20</v>
      </c>
      <c r="R640" s="41">
        <f t="shared" si="271"/>
        <v>0.15503875968992248</v>
      </c>
      <c r="S640" s="21">
        <v>19</v>
      </c>
      <c r="T640" s="41">
        <f t="shared" si="272"/>
        <v>0.16521739130434782</v>
      </c>
      <c r="U640" s="21">
        <v>7</v>
      </c>
      <c r="V640" s="41">
        <f t="shared" si="273"/>
        <v>5.4263565891472867E-2</v>
      </c>
      <c r="W640" s="21">
        <v>7</v>
      </c>
      <c r="X640" s="41">
        <f t="shared" si="274"/>
        <v>6.0869565217391307E-2</v>
      </c>
      <c r="Y640" s="21">
        <v>8</v>
      </c>
      <c r="Z640" s="41">
        <f t="shared" si="275"/>
        <v>6.2015503875968991E-2</v>
      </c>
      <c r="AA640" s="21">
        <v>7</v>
      </c>
      <c r="AB640" s="41">
        <f t="shared" si="276"/>
        <v>6.0869565217391307E-2</v>
      </c>
      <c r="AC640" s="21">
        <v>114</v>
      </c>
      <c r="AD640" s="41">
        <f t="shared" si="284"/>
        <v>0.88372093023255816</v>
      </c>
      <c r="AE640" s="21">
        <v>101</v>
      </c>
      <c r="AF640" s="41">
        <f t="shared" si="277"/>
        <v>0.87826086956521743</v>
      </c>
      <c r="AG640" s="21">
        <v>4</v>
      </c>
      <c r="AH640" s="41">
        <f t="shared" si="285"/>
        <v>3.1007751937984496E-2</v>
      </c>
      <c r="AI640" s="21">
        <v>4</v>
      </c>
      <c r="AJ640" s="41">
        <f t="shared" si="278"/>
        <v>3.4782608695652174E-2</v>
      </c>
      <c r="AK640" s="21">
        <v>5</v>
      </c>
      <c r="AL640" s="41">
        <f t="shared" si="286"/>
        <v>3.875968992248062E-2</v>
      </c>
      <c r="AM640" s="21">
        <v>4</v>
      </c>
      <c r="AN640" s="41">
        <f t="shared" si="279"/>
        <v>3.4782608695652174E-2</v>
      </c>
      <c r="AO640" s="21">
        <v>71</v>
      </c>
      <c r="AP640" s="41">
        <f t="shared" si="287"/>
        <v>0.55038759689922478</v>
      </c>
      <c r="AQ640" s="21">
        <v>63</v>
      </c>
      <c r="AR640" s="41">
        <f t="shared" si="280"/>
        <v>0.54782608695652169</v>
      </c>
      <c r="AS640" s="21">
        <v>21</v>
      </c>
      <c r="AT640" s="41">
        <f t="shared" si="288"/>
        <v>0.16279069767441862</v>
      </c>
      <c r="AU640" s="21">
        <v>18</v>
      </c>
      <c r="AV640" s="41">
        <f t="shared" si="281"/>
        <v>0.15652173913043479</v>
      </c>
      <c r="AW640" s="21">
        <v>15</v>
      </c>
      <c r="AX640" s="41">
        <f t="shared" si="289"/>
        <v>0.11627906976744186</v>
      </c>
      <c r="AY640" s="21">
        <v>15</v>
      </c>
      <c r="AZ640" s="41">
        <f t="shared" si="282"/>
        <v>0.13043478260869565</v>
      </c>
      <c r="BA640" s="21">
        <v>13</v>
      </c>
      <c r="BB640" s="41">
        <f t="shared" si="290"/>
        <v>0.10077519379844961</v>
      </c>
      <c r="BC640" s="21">
        <v>11</v>
      </c>
      <c r="BD640" s="41">
        <f t="shared" si="283"/>
        <v>9.5652173913043481E-2</v>
      </c>
      <c r="BE640" s="21">
        <v>129</v>
      </c>
      <c r="BF640" s="21">
        <v>115</v>
      </c>
    </row>
    <row r="641" spans="1:58" ht="15.75" customHeight="1" x14ac:dyDescent="0.25">
      <c r="A641" s="44">
        <v>2020</v>
      </c>
      <c r="B641" s="39">
        <v>171510</v>
      </c>
      <c r="C641" s="38" t="s">
        <v>148</v>
      </c>
      <c r="D641" s="38" t="s">
        <v>88</v>
      </c>
      <c r="E641" s="21">
        <v>2</v>
      </c>
      <c r="F641" s="42">
        <f t="shared" si="265"/>
        <v>1.3698630136986301E-2</v>
      </c>
      <c r="G641" s="21">
        <v>0</v>
      </c>
      <c r="H641" s="42">
        <f t="shared" si="266"/>
        <v>0</v>
      </c>
      <c r="I641" s="21">
        <v>1</v>
      </c>
      <c r="J641" s="41">
        <f t="shared" si="267"/>
        <v>6.8493150684931503E-3</v>
      </c>
      <c r="K641" s="21">
        <v>0</v>
      </c>
      <c r="L641" s="41">
        <f t="shared" si="268"/>
        <v>0</v>
      </c>
      <c r="M641" s="21">
        <v>139</v>
      </c>
      <c r="N641" s="41">
        <f t="shared" si="269"/>
        <v>0.95205479452054798</v>
      </c>
      <c r="O641" s="21">
        <v>2</v>
      </c>
      <c r="P641" s="41">
        <f t="shared" si="270"/>
        <v>1</v>
      </c>
      <c r="Q641" s="21">
        <v>4</v>
      </c>
      <c r="R641" s="41">
        <f t="shared" si="271"/>
        <v>2.7397260273972601E-2</v>
      </c>
      <c r="S641" s="21">
        <v>0</v>
      </c>
      <c r="T641" s="41">
        <f t="shared" si="272"/>
        <v>0</v>
      </c>
      <c r="U641" s="21">
        <v>4</v>
      </c>
      <c r="V641" s="41">
        <f t="shared" si="273"/>
        <v>2.7397260273972601E-2</v>
      </c>
      <c r="W641" s="21">
        <v>0</v>
      </c>
      <c r="X641" s="41">
        <f t="shared" si="274"/>
        <v>0</v>
      </c>
      <c r="Y641" s="21">
        <v>8</v>
      </c>
      <c r="Z641" s="41">
        <f t="shared" si="275"/>
        <v>5.4794520547945202E-2</v>
      </c>
      <c r="AA641" s="21">
        <v>0</v>
      </c>
      <c r="AB641" s="41">
        <f t="shared" si="276"/>
        <v>0</v>
      </c>
      <c r="AC641" s="21">
        <v>134</v>
      </c>
      <c r="AD641" s="41">
        <f t="shared" si="284"/>
        <v>0.9178082191780822</v>
      </c>
      <c r="AE641" s="21">
        <v>2</v>
      </c>
      <c r="AF641" s="41">
        <f t="shared" si="277"/>
        <v>1</v>
      </c>
      <c r="AG641" s="21">
        <v>1</v>
      </c>
      <c r="AH641" s="41">
        <f t="shared" si="285"/>
        <v>6.8493150684931503E-3</v>
      </c>
      <c r="AI641" s="21">
        <v>0</v>
      </c>
      <c r="AJ641" s="41">
        <f t="shared" si="278"/>
        <v>0</v>
      </c>
      <c r="AK641" s="21">
        <v>5</v>
      </c>
      <c r="AL641" s="41">
        <f t="shared" si="286"/>
        <v>3.4246575342465752E-2</v>
      </c>
      <c r="AM641" s="21">
        <v>0</v>
      </c>
      <c r="AN641" s="41">
        <f t="shared" si="279"/>
        <v>0</v>
      </c>
      <c r="AO641" s="21">
        <v>109</v>
      </c>
      <c r="AP641" s="41">
        <f t="shared" si="287"/>
        <v>0.74657534246575341</v>
      </c>
      <c r="AQ641" s="21">
        <v>1</v>
      </c>
      <c r="AR641" s="41">
        <f t="shared" si="280"/>
        <v>0.5</v>
      </c>
      <c r="AS641" s="21">
        <v>20</v>
      </c>
      <c r="AT641" s="41">
        <f t="shared" si="288"/>
        <v>0.13698630136986301</v>
      </c>
      <c r="AU641" s="21">
        <v>0</v>
      </c>
      <c r="AV641" s="41">
        <f t="shared" si="281"/>
        <v>0</v>
      </c>
      <c r="AW641" s="21">
        <v>8</v>
      </c>
      <c r="AX641" s="41">
        <f t="shared" si="289"/>
        <v>5.4794520547945202E-2</v>
      </c>
      <c r="AY641" s="21">
        <v>1</v>
      </c>
      <c r="AZ641" s="41">
        <f t="shared" si="282"/>
        <v>0.5</v>
      </c>
      <c r="BA641" s="21">
        <v>3</v>
      </c>
      <c r="BB641" s="41">
        <f t="shared" si="290"/>
        <v>2.0547945205479451E-2</v>
      </c>
      <c r="BC641" s="21">
        <v>0</v>
      </c>
      <c r="BD641" s="41">
        <f t="shared" si="283"/>
        <v>0</v>
      </c>
      <c r="BE641" s="21">
        <v>146</v>
      </c>
      <c r="BF641" s="21">
        <v>2</v>
      </c>
    </row>
    <row r="642" spans="1:58" ht="15.75" customHeight="1" x14ac:dyDescent="0.25">
      <c r="A642" s="44">
        <v>2020</v>
      </c>
      <c r="B642" s="39">
        <v>171515</v>
      </c>
      <c r="C642" s="38" t="s">
        <v>147</v>
      </c>
      <c r="D642" s="38" t="s">
        <v>89</v>
      </c>
      <c r="E642" s="21">
        <v>0</v>
      </c>
      <c r="F642" s="42">
        <f t="shared" ref="F642:F705" si="291">IFERROR(E642/$BE642,0)</f>
        <v>0</v>
      </c>
      <c r="G642" s="21">
        <v>1</v>
      </c>
      <c r="H642" s="42">
        <f t="shared" ref="H642:H705" si="292">IFERROR(G642/$BF642,0)</f>
        <v>2.0833333333333332E-2</v>
      </c>
      <c r="I642" s="21">
        <v>2</v>
      </c>
      <c r="J642" s="41">
        <f t="shared" ref="J642:J705" si="293">IFERROR(I642/$BE642,0)</f>
        <v>1.8691588785046728E-2</v>
      </c>
      <c r="K642" s="21">
        <v>2</v>
      </c>
      <c r="L642" s="41">
        <f t="shared" ref="L642:L705" si="294">IFERROR(K642/$BF642,0)</f>
        <v>4.1666666666666664E-2</v>
      </c>
      <c r="M642" s="21">
        <v>98</v>
      </c>
      <c r="N642" s="41">
        <f t="shared" ref="N642:N705" si="295">IFERROR(M642/$BE642,0)</f>
        <v>0.91588785046728971</v>
      </c>
      <c r="O642" s="21">
        <v>42</v>
      </c>
      <c r="P642" s="41">
        <f t="shared" ref="P642:P705" si="296">IFERROR(O642/$BF642,0)</f>
        <v>0.875</v>
      </c>
      <c r="Q642" s="21">
        <v>7</v>
      </c>
      <c r="R642" s="41">
        <f t="shared" ref="R642:R705" si="297">IFERROR(Q642/$BE642,0)</f>
        <v>6.5420560747663545E-2</v>
      </c>
      <c r="S642" s="21">
        <v>3</v>
      </c>
      <c r="T642" s="41">
        <f t="shared" ref="T642:T705" si="298">IFERROR(S642/$BF642,0)</f>
        <v>6.25E-2</v>
      </c>
      <c r="U642" s="21">
        <v>5</v>
      </c>
      <c r="V642" s="41">
        <f t="shared" ref="V642:V705" si="299">IFERROR(U642/$BE642,0)</f>
        <v>4.6728971962616821E-2</v>
      </c>
      <c r="W642" s="21">
        <v>3</v>
      </c>
      <c r="X642" s="41">
        <f t="shared" ref="X642:X705" si="300">IFERROR(W642/$BF642,0)</f>
        <v>6.25E-2</v>
      </c>
      <c r="Y642" s="21">
        <v>4</v>
      </c>
      <c r="Z642" s="41">
        <f t="shared" ref="Z642:Z705" si="301">IFERROR(Y642/$BE642,0)</f>
        <v>3.7383177570093455E-2</v>
      </c>
      <c r="AA642" s="21">
        <v>3</v>
      </c>
      <c r="AB642" s="41">
        <f t="shared" ref="AB642:AB705" si="302">IFERROR(AA642/$BF642,0)</f>
        <v>6.25E-2</v>
      </c>
      <c r="AC642" s="21">
        <v>98</v>
      </c>
      <c r="AD642" s="41">
        <f t="shared" si="284"/>
        <v>0.91588785046728971</v>
      </c>
      <c r="AE642" s="21">
        <v>42</v>
      </c>
      <c r="AF642" s="41">
        <f t="shared" ref="AF642:AF705" si="303">IFERROR(AE642/$BF642,0)</f>
        <v>0.875</v>
      </c>
      <c r="AG642" s="21">
        <v>1</v>
      </c>
      <c r="AH642" s="41">
        <f t="shared" si="285"/>
        <v>9.3457943925233638E-3</v>
      </c>
      <c r="AI642" s="21">
        <v>1</v>
      </c>
      <c r="AJ642" s="41">
        <f t="shared" ref="AJ642:AJ705" si="304">IFERROR(AI642/$BF642,0)</f>
        <v>2.0833333333333332E-2</v>
      </c>
      <c r="AK642" s="21">
        <v>6</v>
      </c>
      <c r="AL642" s="41">
        <f t="shared" si="286"/>
        <v>5.6074766355140186E-2</v>
      </c>
      <c r="AM642" s="21">
        <v>2</v>
      </c>
      <c r="AN642" s="41">
        <f t="shared" ref="AN642:AN705" si="305">IFERROR(AM642/$BF642,0)</f>
        <v>4.1666666666666664E-2</v>
      </c>
      <c r="AO642" s="21">
        <v>81</v>
      </c>
      <c r="AP642" s="41">
        <f t="shared" si="287"/>
        <v>0.7570093457943925</v>
      </c>
      <c r="AQ642" s="21">
        <v>34</v>
      </c>
      <c r="AR642" s="41">
        <f t="shared" ref="AR642:AR705" si="306">IFERROR(AQ642/$BF642,0)</f>
        <v>0.70833333333333337</v>
      </c>
      <c r="AS642" s="21">
        <v>10</v>
      </c>
      <c r="AT642" s="41">
        <f t="shared" si="288"/>
        <v>9.3457943925233641E-2</v>
      </c>
      <c r="AU642" s="21">
        <v>7</v>
      </c>
      <c r="AV642" s="41">
        <f t="shared" ref="AV642:AV705" si="307">IFERROR(AU642/$BF642,0)</f>
        <v>0.14583333333333334</v>
      </c>
      <c r="AW642" s="21">
        <v>1</v>
      </c>
      <c r="AX642" s="41">
        <f t="shared" si="289"/>
        <v>9.3457943925233638E-3</v>
      </c>
      <c r="AY642" s="21">
        <v>0</v>
      </c>
      <c r="AZ642" s="41">
        <f t="shared" ref="AZ642:AZ705" si="308">IFERROR(AY642/$BF642,0)</f>
        <v>0</v>
      </c>
      <c r="BA642" s="21">
        <v>8</v>
      </c>
      <c r="BB642" s="41">
        <f t="shared" si="290"/>
        <v>7.476635514018691E-2</v>
      </c>
      <c r="BC642" s="21">
        <v>4</v>
      </c>
      <c r="BD642" s="41">
        <f t="shared" ref="BD642:BD705" si="309">IFERROR(BC642/$BF642,0)</f>
        <v>8.3333333333333329E-2</v>
      </c>
      <c r="BE642" s="21">
        <v>107</v>
      </c>
      <c r="BF642" s="21">
        <v>48</v>
      </c>
    </row>
    <row r="643" spans="1:58" ht="15.75" customHeight="1" x14ac:dyDescent="0.25">
      <c r="A643" s="44">
        <v>2020</v>
      </c>
      <c r="B643" s="39">
        <v>171525</v>
      </c>
      <c r="C643" s="38" t="s">
        <v>147</v>
      </c>
      <c r="D643" s="38" t="s">
        <v>90</v>
      </c>
      <c r="E643" s="21">
        <v>0</v>
      </c>
      <c r="F643" s="42">
        <f t="shared" si="291"/>
        <v>0</v>
      </c>
      <c r="G643" s="21">
        <v>0</v>
      </c>
      <c r="H643" s="42">
        <f t="shared" si="292"/>
        <v>0</v>
      </c>
      <c r="I643" s="21">
        <v>0</v>
      </c>
      <c r="J643" s="41">
        <f t="shared" si="293"/>
        <v>0</v>
      </c>
      <c r="K643" s="21">
        <v>0</v>
      </c>
      <c r="L643" s="41">
        <f t="shared" si="294"/>
        <v>0</v>
      </c>
      <c r="M643" s="21">
        <v>9</v>
      </c>
      <c r="N643" s="41">
        <f t="shared" si="295"/>
        <v>1</v>
      </c>
      <c r="O643" s="21">
        <v>9</v>
      </c>
      <c r="P643" s="41">
        <f t="shared" si="296"/>
        <v>1</v>
      </c>
      <c r="Q643" s="21">
        <v>0</v>
      </c>
      <c r="R643" s="41">
        <f t="shared" si="297"/>
        <v>0</v>
      </c>
      <c r="S643" s="21">
        <v>0</v>
      </c>
      <c r="T643" s="41">
        <f t="shared" si="298"/>
        <v>0</v>
      </c>
      <c r="U643" s="21">
        <v>0</v>
      </c>
      <c r="V643" s="41">
        <f t="shared" si="299"/>
        <v>0</v>
      </c>
      <c r="W643" s="21">
        <v>0</v>
      </c>
      <c r="X643" s="41">
        <f t="shared" si="300"/>
        <v>0</v>
      </c>
      <c r="Y643" s="21">
        <v>4</v>
      </c>
      <c r="Z643" s="41">
        <f t="shared" si="301"/>
        <v>0.44444444444444442</v>
      </c>
      <c r="AA643" s="21">
        <v>4</v>
      </c>
      <c r="AB643" s="41">
        <f t="shared" si="302"/>
        <v>0.44444444444444442</v>
      </c>
      <c r="AC643" s="21">
        <v>5</v>
      </c>
      <c r="AD643" s="41">
        <f t="shared" si="284"/>
        <v>0.55555555555555558</v>
      </c>
      <c r="AE643" s="21">
        <v>5</v>
      </c>
      <c r="AF643" s="41">
        <f t="shared" si="303"/>
        <v>0.55555555555555558</v>
      </c>
      <c r="AG643" s="21">
        <v>0</v>
      </c>
      <c r="AH643" s="41">
        <f t="shared" si="285"/>
        <v>0</v>
      </c>
      <c r="AI643" s="21">
        <v>0</v>
      </c>
      <c r="AJ643" s="41">
        <f t="shared" si="304"/>
        <v>0</v>
      </c>
      <c r="AK643" s="21">
        <v>0</v>
      </c>
      <c r="AL643" s="41">
        <f t="shared" si="286"/>
        <v>0</v>
      </c>
      <c r="AM643" s="21">
        <v>0</v>
      </c>
      <c r="AN643" s="41">
        <f t="shared" si="305"/>
        <v>0</v>
      </c>
      <c r="AO643" s="21">
        <v>4</v>
      </c>
      <c r="AP643" s="41">
        <f t="shared" si="287"/>
        <v>0.44444444444444442</v>
      </c>
      <c r="AQ643" s="21">
        <v>4</v>
      </c>
      <c r="AR643" s="41">
        <f t="shared" si="306"/>
        <v>0.44444444444444442</v>
      </c>
      <c r="AS643" s="21">
        <v>3</v>
      </c>
      <c r="AT643" s="41">
        <f t="shared" si="288"/>
        <v>0.33333333333333331</v>
      </c>
      <c r="AU643" s="21">
        <v>3</v>
      </c>
      <c r="AV643" s="41">
        <f t="shared" si="307"/>
        <v>0.33333333333333331</v>
      </c>
      <c r="AW643" s="21">
        <v>1</v>
      </c>
      <c r="AX643" s="41">
        <f t="shared" si="289"/>
        <v>0.1111111111111111</v>
      </c>
      <c r="AY643" s="21">
        <v>1</v>
      </c>
      <c r="AZ643" s="41">
        <f t="shared" si="308"/>
        <v>0.1111111111111111</v>
      </c>
      <c r="BA643" s="21">
        <v>1</v>
      </c>
      <c r="BB643" s="41">
        <f t="shared" si="290"/>
        <v>0.1111111111111111</v>
      </c>
      <c r="BC643" s="21">
        <v>1</v>
      </c>
      <c r="BD643" s="41">
        <f t="shared" si="309"/>
        <v>0.1111111111111111</v>
      </c>
      <c r="BE643" s="21">
        <v>9</v>
      </c>
      <c r="BF643" s="21">
        <v>9</v>
      </c>
    </row>
    <row r="644" spans="1:58" ht="15.75" customHeight="1" x14ac:dyDescent="0.25">
      <c r="A644" s="44">
        <v>2020</v>
      </c>
      <c r="B644" s="39">
        <v>171550</v>
      </c>
      <c r="C644" s="38" t="s">
        <v>151</v>
      </c>
      <c r="D644" s="38" t="s">
        <v>91</v>
      </c>
      <c r="E644" s="21">
        <v>0</v>
      </c>
      <c r="F644" s="42">
        <f t="shared" si="291"/>
        <v>0</v>
      </c>
      <c r="G644" s="21">
        <v>0</v>
      </c>
      <c r="H644" s="42">
        <f t="shared" si="292"/>
        <v>0</v>
      </c>
      <c r="I644" s="21">
        <v>0</v>
      </c>
      <c r="J644" s="41">
        <f t="shared" si="293"/>
        <v>0</v>
      </c>
      <c r="K644" s="21">
        <v>0</v>
      </c>
      <c r="L644" s="41">
        <f t="shared" si="294"/>
        <v>0</v>
      </c>
      <c r="M644" s="21">
        <v>61</v>
      </c>
      <c r="N644" s="41">
        <f t="shared" si="295"/>
        <v>0.8970588235294118</v>
      </c>
      <c r="O644" s="21">
        <v>58</v>
      </c>
      <c r="P644" s="41">
        <f t="shared" si="296"/>
        <v>0.92063492063492058</v>
      </c>
      <c r="Q644" s="21">
        <v>7</v>
      </c>
      <c r="R644" s="41">
        <f t="shared" si="297"/>
        <v>0.10294117647058823</v>
      </c>
      <c r="S644" s="21">
        <v>5</v>
      </c>
      <c r="T644" s="41">
        <f t="shared" si="298"/>
        <v>7.9365079365079361E-2</v>
      </c>
      <c r="U644" s="21">
        <v>5</v>
      </c>
      <c r="V644" s="41">
        <f t="shared" si="299"/>
        <v>7.3529411764705885E-2</v>
      </c>
      <c r="W644" s="21">
        <v>5</v>
      </c>
      <c r="X644" s="41">
        <f t="shared" si="300"/>
        <v>7.9365079365079361E-2</v>
      </c>
      <c r="Y644" s="21">
        <v>1</v>
      </c>
      <c r="Z644" s="41">
        <f t="shared" si="301"/>
        <v>1.4705882352941176E-2</v>
      </c>
      <c r="AA644" s="21">
        <v>1</v>
      </c>
      <c r="AB644" s="41">
        <f t="shared" si="302"/>
        <v>1.5873015873015872E-2</v>
      </c>
      <c r="AC644" s="21">
        <v>62</v>
      </c>
      <c r="AD644" s="41">
        <f t="shared" si="284"/>
        <v>0.91176470588235292</v>
      </c>
      <c r="AE644" s="21">
        <v>57</v>
      </c>
      <c r="AF644" s="41">
        <f t="shared" si="303"/>
        <v>0.90476190476190477</v>
      </c>
      <c r="AG644" s="21">
        <v>1</v>
      </c>
      <c r="AH644" s="41">
        <f t="shared" si="285"/>
        <v>1.4705882352941176E-2</v>
      </c>
      <c r="AI644" s="21">
        <v>1</v>
      </c>
      <c r="AJ644" s="41">
        <f t="shared" si="304"/>
        <v>1.5873015873015872E-2</v>
      </c>
      <c r="AK644" s="21">
        <v>1</v>
      </c>
      <c r="AL644" s="41">
        <f t="shared" si="286"/>
        <v>1.4705882352941176E-2</v>
      </c>
      <c r="AM644" s="21">
        <v>1</v>
      </c>
      <c r="AN644" s="41">
        <f t="shared" si="305"/>
        <v>1.5873015873015872E-2</v>
      </c>
      <c r="AO644" s="21">
        <v>47</v>
      </c>
      <c r="AP644" s="41">
        <f t="shared" si="287"/>
        <v>0.69117647058823528</v>
      </c>
      <c r="AQ644" s="21">
        <v>43</v>
      </c>
      <c r="AR644" s="41">
        <f t="shared" si="306"/>
        <v>0.68253968253968256</v>
      </c>
      <c r="AS644" s="21">
        <v>10</v>
      </c>
      <c r="AT644" s="41">
        <f t="shared" si="288"/>
        <v>0.14705882352941177</v>
      </c>
      <c r="AU644" s="21">
        <v>9</v>
      </c>
      <c r="AV644" s="41">
        <f t="shared" si="307"/>
        <v>0.14285714285714285</v>
      </c>
      <c r="AW644" s="21">
        <v>2</v>
      </c>
      <c r="AX644" s="41">
        <f t="shared" si="289"/>
        <v>2.9411764705882353E-2</v>
      </c>
      <c r="AY644" s="21">
        <v>1</v>
      </c>
      <c r="AZ644" s="41">
        <f t="shared" si="308"/>
        <v>1.5873015873015872E-2</v>
      </c>
      <c r="BA644" s="21">
        <v>7</v>
      </c>
      <c r="BB644" s="41">
        <f t="shared" si="290"/>
        <v>0.10294117647058823</v>
      </c>
      <c r="BC644" s="21">
        <v>8</v>
      </c>
      <c r="BD644" s="41">
        <f t="shared" si="309"/>
        <v>0.12698412698412698</v>
      </c>
      <c r="BE644" s="21">
        <v>68</v>
      </c>
      <c r="BF644" s="21">
        <v>63</v>
      </c>
    </row>
    <row r="645" spans="1:58" ht="15.75" customHeight="1" x14ac:dyDescent="0.25">
      <c r="A645" s="44">
        <v>2020</v>
      </c>
      <c r="B645" s="39">
        <v>172100</v>
      </c>
      <c r="C645" s="38" t="s">
        <v>148</v>
      </c>
      <c r="D645" s="38" t="s">
        <v>92</v>
      </c>
      <c r="E645" s="21">
        <v>62</v>
      </c>
      <c r="F645" s="42">
        <f t="shared" si="291"/>
        <v>1.0354041416165664E-2</v>
      </c>
      <c r="G645" s="21">
        <v>42</v>
      </c>
      <c r="H645" s="42">
        <f t="shared" si="292"/>
        <v>1.5311702515493984E-2</v>
      </c>
      <c r="I645" s="21">
        <v>149</v>
      </c>
      <c r="J645" s="41">
        <f t="shared" si="293"/>
        <v>2.4883099532398131E-2</v>
      </c>
      <c r="K645" s="21">
        <v>84</v>
      </c>
      <c r="L645" s="41">
        <f t="shared" si="294"/>
        <v>3.0623405030987969E-2</v>
      </c>
      <c r="M645" s="20">
        <v>5257</v>
      </c>
      <c r="N645" s="41">
        <f t="shared" si="295"/>
        <v>0.87792251169004676</v>
      </c>
      <c r="O645" s="20">
        <v>2363</v>
      </c>
      <c r="P645" s="41">
        <f t="shared" si="296"/>
        <v>0.86146554866934011</v>
      </c>
      <c r="Q645" s="21">
        <v>520</v>
      </c>
      <c r="R645" s="41">
        <f t="shared" si="297"/>
        <v>8.6840347361389444E-2</v>
      </c>
      <c r="S645" s="21">
        <v>254</v>
      </c>
      <c r="T645" s="41">
        <f t="shared" si="298"/>
        <v>9.2599343784177904E-2</v>
      </c>
      <c r="U645" s="21">
        <v>290</v>
      </c>
      <c r="V645" s="41">
        <f t="shared" si="299"/>
        <v>4.8430193720774881E-2</v>
      </c>
      <c r="W645" s="21">
        <v>212</v>
      </c>
      <c r="X645" s="41">
        <f t="shared" si="300"/>
        <v>7.7287641268683926E-2</v>
      </c>
      <c r="Y645" s="21">
        <v>335</v>
      </c>
      <c r="Z645" s="41">
        <f t="shared" si="301"/>
        <v>5.5945223780895122E-2</v>
      </c>
      <c r="AA645" s="21">
        <v>203</v>
      </c>
      <c r="AB645" s="41">
        <f t="shared" si="302"/>
        <v>7.400656215822092E-2</v>
      </c>
      <c r="AC645" s="20">
        <v>5363</v>
      </c>
      <c r="AD645" s="41">
        <f t="shared" si="284"/>
        <v>0.89562458249832999</v>
      </c>
      <c r="AE645" s="20">
        <v>2328</v>
      </c>
      <c r="AF645" s="41">
        <f t="shared" si="303"/>
        <v>0.84870579657309519</v>
      </c>
      <c r="AG645" s="21">
        <v>206</v>
      </c>
      <c r="AH645" s="41">
        <f t="shared" si="285"/>
        <v>3.4402137608550432E-2</v>
      </c>
      <c r="AI645" s="21">
        <v>181</v>
      </c>
      <c r="AJ645" s="41">
        <f t="shared" si="304"/>
        <v>6.598614655486694E-2</v>
      </c>
      <c r="AK645" s="21">
        <v>251</v>
      </c>
      <c r="AL645" s="41">
        <f t="shared" si="286"/>
        <v>4.1917167668670673E-2</v>
      </c>
      <c r="AM645" s="21">
        <v>169</v>
      </c>
      <c r="AN645" s="41">
        <f t="shared" si="305"/>
        <v>6.1611374407582936E-2</v>
      </c>
      <c r="AO645" s="20">
        <v>3669</v>
      </c>
      <c r="AP645" s="41">
        <f t="shared" si="287"/>
        <v>0.61272545090180364</v>
      </c>
      <c r="AQ645" s="20">
        <v>1529</v>
      </c>
      <c r="AR645" s="41">
        <f t="shared" si="306"/>
        <v>0.55741888443310239</v>
      </c>
      <c r="AS645" s="21">
        <v>971</v>
      </c>
      <c r="AT645" s="41">
        <f t="shared" si="288"/>
        <v>0.16215764863059451</v>
      </c>
      <c r="AU645" s="21">
        <v>375</v>
      </c>
      <c r="AV645" s="41">
        <f t="shared" si="307"/>
        <v>0.13671162960262487</v>
      </c>
      <c r="AW645" s="21">
        <v>485</v>
      </c>
      <c r="AX645" s="41">
        <f t="shared" si="289"/>
        <v>8.0995323981295927E-2</v>
      </c>
      <c r="AY645" s="21">
        <v>214</v>
      </c>
      <c r="AZ645" s="41">
        <f t="shared" si="308"/>
        <v>7.8016769959897925E-2</v>
      </c>
      <c r="BA645" s="21">
        <v>406</v>
      </c>
      <c r="BB645" s="41">
        <f t="shared" si="290"/>
        <v>6.780227120908483E-2</v>
      </c>
      <c r="BC645" s="21">
        <v>275</v>
      </c>
      <c r="BD645" s="41">
        <f t="shared" si="309"/>
        <v>0.1002551950419249</v>
      </c>
      <c r="BE645" s="20">
        <v>5988</v>
      </c>
      <c r="BF645" s="20">
        <v>2743</v>
      </c>
    </row>
    <row r="646" spans="1:58" ht="15.75" customHeight="1" x14ac:dyDescent="0.25">
      <c r="A646" s="44">
        <v>2020</v>
      </c>
      <c r="B646" s="39">
        <v>171570</v>
      </c>
      <c r="C646" s="38" t="s">
        <v>150</v>
      </c>
      <c r="D646" s="38" t="s">
        <v>93</v>
      </c>
      <c r="E646" s="21">
        <v>3</v>
      </c>
      <c r="F646" s="42">
        <f t="shared" si="291"/>
        <v>1.5228426395939087E-2</v>
      </c>
      <c r="G646" s="21">
        <v>3</v>
      </c>
      <c r="H646" s="42">
        <f t="shared" si="292"/>
        <v>1.8404907975460124E-2</v>
      </c>
      <c r="I646" s="21">
        <v>2</v>
      </c>
      <c r="J646" s="41">
        <f t="shared" si="293"/>
        <v>1.015228426395939E-2</v>
      </c>
      <c r="K646" s="21">
        <v>2</v>
      </c>
      <c r="L646" s="41">
        <f t="shared" si="294"/>
        <v>1.2269938650306749E-2</v>
      </c>
      <c r="M646" s="21">
        <v>180</v>
      </c>
      <c r="N646" s="41">
        <f t="shared" si="295"/>
        <v>0.91370558375634514</v>
      </c>
      <c r="O646" s="21">
        <v>148</v>
      </c>
      <c r="P646" s="41">
        <f t="shared" si="296"/>
        <v>0.90797546012269936</v>
      </c>
      <c r="Q646" s="21">
        <v>12</v>
      </c>
      <c r="R646" s="41">
        <f t="shared" si="297"/>
        <v>6.0913705583756347E-2</v>
      </c>
      <c r="S646" s="21">
        <v>10</v>
      </c>
      <c r="T646" s="41">
        <f t="shared" si="298"/>
        <v>6.1349693251533742E-2</v>
      </c>
      <c r="U646" s="21">
        <v>20</v>
      </c>
      <c r="V646" s="41">
        <f t="shared" si="299"/>
        <v>0.10152284263959391</v>
      </c>
      <c r="W646" s="21">
        <v>15</v>
      </c>
      <c r="X646" s="41">
        <f t="shared" si="300"/>
        <v>9.202453987730061E-2</v>
      </c>
      <c r="Y646" s="21">
        <v>24</v>
      </c>
      <c r="Z646" s="41">
        <f t="shared" si="301"/>
        <v>0.12182741116751269</v>
      </c>
      <c r="AA646" s="21">
        <v>18</v>
      </c>
      <c r="AB646" s="41">
        <f t="shared" si="302"/>
        <v>0.11042944785276074</v>
      </c>
      <c r="AC646" s="21">
        <v>153</v>
      </c>
      <c r="AD646" s="41">
        <f t="shared" si="284"/>
        <v>0.7766497461928934</v>
      </c>
      <c r="AE646" s="21">
        <v>130</v>
      </c>
      <c r="AF646" s="41">
        <f t="shared" si="303"/>
        <v>0.7975460122699386</v>
      </c>
      <c r="AG646" s="21">
        <v>4</v>
      </c>
      <c r="AH646" s="41">
        <f t="shared" si="285"/>
        <v>2.030456852791878E-2</v>
      </c>
      <c r="AI646" s="21">
        <v>3</v>
      </c>
      <c r="AJ646" s="41">
        <f t="shared" si="304"/>
        <v>1.8404907975460124E-2</v>
      </c>
      <c r="AK646" s="21">
        <v>5</v>
      </c>
      <c r="AL646" s="41">
        <f t="shared" si="286"/>
        <v>2.5380710659898477E-2</v>
      </c>
      <c r="AM646" s="21">
        <v>6</v>
      </c>
      <c r="AN646" s="41">
        <f t="shared" si="305"/>
        <v>3.6809815950920248E-2</v>
      </c>
      <c r="AO646" s="21">
        <v>110</v>
      </c>
      <c r="AP646" s="41">
        <f t="shared" si="287"/>
        <v>0.55837563451776651</v>
      </c>
      <c r="AQ646" s="21">
        <v>96</v>
      </c>
      <c r="AR646" s="41">
        <f t="shared" si="306"/>
        <v>0.58895705521472397</v>
      </c>
      <c r="AS646" s="21">
        <v>33</v>
      </c>
      <c r="AT646" s="41">
        <f t="shared" si="288"/>
        <v>0.16751269035532995</v>
      </c>
      <c r="AU646" s="21">
        <v>26</v>
      </c>
      <c r="AV646" s="41">
        <f t="shared" si="307"/>
        <v>0.15950920245398773</v>
      </c>
      <c r="AW646" s="21">
        <v>28</v>
      </c>
      <c r="AX646" s="41">
        <f t="shared" si="289"/>
        <v>0.14213197969543148</v>
      </c>
      <c r="AY646" s="21">
        <v>22</v>
      </c>
      <c r="AZ646" s="41">
        <f t="shared" si="308"/>
        <v>0.13496932515337423</v>
      </c>
      <c r="BA646" s="21">
        <v>17</v>
      </c>
      <c r="BB646" s="41">
        <f t="shared" si="290"/>
        <v>8.6294416243654817E-2</v>
      </c>
      <c r="BC646" s="21">
        <v>10</v>
      </c>
      <c r="BD646" s="41">
        <f t="shared" si="309"/>
        <v>6.1349693251533742E-2</v>
      </c>
      <c r="BE646" s="21">
        <v>197</v>
      </c>
      <c r="BF646" s="21">
        <v>163</v>
      </c>
    </row>
    <row r="647" spans="1:58" ht="15.75" customHeight="1" x14ac:dyDescent="0.25">
      <c r="A647" s="44">
        <v>2020</v>
      </c>
      <c r="B647" s="39">
        <v>171380</v>
      </c>
      <c r="C647" s="38" t="s">
        <v>145</v>
      </c>
      <c r="D647" s="38" t="s">
        <v>94</v>
      </c>
      <c r="E647" s="21">
        <v>2</v>
      </c>
      <c r="F647" s="42">
        <f t="shared" si="291"/>
        <v>1.4492753623188406E-2</v>
      </c>
      <c r="G647" s="21">
        <v>2</v>
      </c>
      <c r="H647" s="42">
        <f t="shared" si="292"/>
        <v>1.4598540145985401E-2</v>
      </c>
      <c r="I647" s="21">
        <v>3</v>
      </c>
      <c r="J647" s="41">
        <f t="shared" si="293"/>
        <v>2.1739130434782608E-2</v>
      </c>
      <c r="K647" s="21">
        <v>3</v>
      </c>
      <c r="L647" s="41">
        <f t="shared" si="294"/>
        <v>2.1897810218978103E-2</v>
      </c>
      <c r="M647" s="21">
        <v>128</v>
      </c>
      <c r="N647" s="41">
        <f t="shared" si="295"/>
        <v>0.92753623188405798</v>
      </c>
      <c r="O647" s="21">
        <v>127</v>
      </c>
      <c r="P647" s="41">
        <f t="shared" si="296"/>
        <v>0.92700729927007297</v>
      </c>
      <c r="Q647" s="21">
        <v>5</v>
      </c>
      <c r="R647" s="41">
        <f t="shared" si="297"/>
        <v>3.6231884057971016E-2</v>
      </c>
      <c r="S647" s="21">
        <v>5</v>
      </c>
      <c r="T647" s="41">
        <f t="shared" si="298"/>
        <v>3.6496350364963501E-2</v>
      </c>
      <c r="U647" s="21">
        <v>11</v>
      </c>
      <c r="V647" s="41">
        <f t="shared" si="299"/>
        <v>7.9710144927536225E-2</v>
      </c>
      <c r="W647" s="21">
        <v>11</v>
      </c>
      <c r="X647" s="41">
        <f t="shared" si="300"/>
        <v>8.0291970802919707E-2</v>
      </c>
      <c r="Y647" s="21">
        <v>17</v>
      </c>
      <c r="Z647" s="41">
        <f t="shared" si="301"/>
        <v>0.12318840579710146</v>
      </c>
      <c r="AA647" s="21">
        <v>17</v>
      </c>
      <c r="AB647" s="41">
        <f t="shared" si="302"/>
        <v>0.12408759124087591</v>
      </c>
      <c r="AC647" s="21">
        <v>110</v>
      </c>
      <c r="AD647" s="41">
        <f t="shared" si="284"/>
        <v>0.79710144927536231</v>
      </c>
      <c r="AE647" s="21">
        <v>109</v>
      </c>
      <c r="AF647" s="41">
        <f t="shared" si="303"/>
        <v>0.79562043795620441</v>
      </c>
      <c r="AG647" s="21">
        <v>2</v>
      </c>
      <c r="AH647" s="41">
        <f t="shared" si="285"/>
        <v>1.4492753623188406E-2</v>
      </c>
      <c r="AI647" s="21">
        <v>2</v>
      </c>
      <c r="AJ647" s="41">
        <f t="shared" si="304"/>
        <v>1.4598540145985401E-2</v>
      </c>
      <c r="AK647" s="21">
        <v>6</v>
      </c>
      <c r="AL647" s="41">
        <f t="shared" si="286"/>
        <v>4.3478260869565216E-2</v>
      </c>
      <c r="AM647" s="21">
        <v>6</v>
      </c>
      <c r="AN647" s="41">
        <f t="shared" si="305"/>
        <v>4.3795620437956206E-2</v>
      </c>
      <c r="AO647" s="21">
        <v>88</v>
      </c>
      <c r="AP647" s="41">
        <f t="shared" si="287"/>
        <v>0.6376811594202898</v>
      </c>
      <c r="AQ647" s="21">
        <v>86</v>
      </c>
      <c r="AR647" s="41">
        <f t="shared" si="306"/>
        <v>0.62773722627737227</v>
      </c>
      <c r="AS647" s="21">
        <v>31</v>
      </c>
      <c r="AT647" s="41">
        <f t="shared" si="288"/>
        <v>0.22463768115942029</v>
      </c>
      <c r="AU647" s="21">
        <v>31</v>
      </c>
      <c r="AV647" s="41">
        <f t="shared" si="307"/>
        <v>0.22627737226277372</v>
      </c>
      <c r="AW647" s="21">
        <v>7</v>
      </c>
      <c r="AX647" s="41">
        <f t="shared" si="289"/>
        <v>5.0724637681159424E-2</v>
      </c>
      <c r="AY647" s="21">
        <v>7</v>
      </c>
      <c r="AZ647" s="41">
        <f t="shared" si="308"/>
        <v>5.1094890510948905E-2</v>
      </c>
      <c r="BA647" s="21">
        <v>4</v>
      </c>
      <c r="BB647" s="41">
        <f t="shared" si="290"/>
        <v>2.8985507246376812E-2</v>
      </c>
      <c r="BC647" s="21">
        <v>5</v>
      </c>
      <c r="BD647" s="41">
        <f t="shared" si="309"/>
        <v>3.6496350364963501E-2</v>
      </c>
      <c r="BE647" s="21">
        <v>138</v>
      </c>
      <c r="BF647" s="21">
        <v>137</v>
      </c>
    </row>
    <row r="648" spans="1:58" ht="15.75" customHeight="1" x14ac:dyDescent="0.25">
      <c r="A648" s="44">
        <v>2020</v>
      </c>
      <c r="B648" s="39">
        <v>171575</v>
      </c>
      <c r="C648" s="38" t="s">
        <v>146</v>
      </c>
      <c r="D648" s="38" t="s">
        <v>95</v>
      </c>
      <c r="E648" s="21">
        <v>0</v>
      </c>
      <c r="F648" s="42">
        <f t="shared" si="291"/>
        <v>0</v>
      </c>
      <c r="G648" s="21">
        <v>0</v>
      </c>
      <c r="H648" s="42">
        <f t="shared" si="292"/>
        <v>0</v>
      </c>
      <c r="I648" s="21">
        <v>5</v>
      </c>
      <c r="J648" s="41">
        <f t="shared" si="293"/>
        <v>2.5252525252525252E-2</v>
      </c>
      <c r="K648" s="21">
        <v>3</v>
      </c>
      <c r="L648" s="41">
        <f t="shared" si="294"/>
        <v>2.8301886792452831E-2</v>
      </c>
      <c r="M648" s="21">
        <v>176</v>
      </c>
      <c r="N648" s="41">
        <f t="shared" si="295"/>
        <v>0.88888888888888884</v>
      </c>
      <c r="O648" s="21">
        <v>96</v>
      </c>
      <c r="P648" s="41">
        <f t="shared" si="296"/>
        <v>0.90566037735849059</v>
      </c>
      <c r="Q648" s="21">
        <v>17</v>
      </c>
      <c r="R648" s="41">
        <f t="shared" si="297"/>
        <v>8.5858585858585856E-2</v>
      </c>
      <c r="S648" s="21">
        <v>7</v>
      </c>
      <c r="T648" s="41">
        <f t="shared" si="298"/>
        <v>6.6037735849056603E-2</v>
      </c>
      <c r="U648" s="21">
        <v>4</v>
      </c>
      <c r="V648" s="41">
        <f t="shared" si="299"/>
        <v>2.0202020202020204E-2</v>
      </c>
      <c r="W648" s="21">
        <v>2</v>
      </c>
      <c r="X648" s="41">
        <f t="shared" si="300"/>
        <v>1.8867924528301886E-2</v>
      </c>
      <c r="Y648" s="21">
        <v>10</v>
      </c>
      <c r="Z648" s="41">
        <f t="shared" si="301"/>
        <v>5.0505050505050504E-2</v>
      </c>
      <c r="AA648" s="21">
        <v>8</v>
      </c>
      <c r="AB648" s="41">
        <f t="shared" si="302"/>
        <v>7.5471698113207544E-2</v>
      </c>
      <c r="AC648" s="21">
        <v>184</v>
      </c>
      <c r="AD648" s="41">
        <f t="shared" si="284"/>
        <v>0.92929292929292928</v>
      </c>
      <c r="AE648" s="21">
        <v>96</v>
      </c>
      <c r="AF648" s="41">
        <f t="shared" si="303"/>
        <v>0.90566037735849059</v>
      </c>
      <c r="AG648" s="21">
        <v>9</v>
      </c>
      <c r="AH648" s="41">
        <f t="shared" si="285"/>
        <v>4.5454545454545456E-2</v>
      </c>
      <c r="AI648" s="21">
        <v>7</v>
      </c>
      <c r="AJ648" s="41">
        <f t="shared" si="304"/>
        <v>6.6037735849056603E-2</v>
      </c>
      <c r="AK648" s="21">
        <v>9</v>
      </c>
      <c r="AL648" s="41">
        <f t="shared" si="286"/>
        <v>4.5454545454545456E-2</v>
      </c>
      <c r="AM648" s="21">
        <v>7</v>
      </c>
      <c r="AN648" s="41">
        <f t="shared" si="305"/>
        <v>6.6037735849056603E-2</v>
      </c>
      <c r="AO648" s="21">
        <v>117</v>
      </c>
      <c r="AP648" s="41">
        <f t="shared" si="287"/>
        <v>0.59090909090909094</v>
      </c>
      <c r="AQ648" s="21">
        <v>66</v>
      </c>
      <c r="AR648" s="41">
        <f t="shared" si="306"/>
        <v>0.62264150943396224</v>
      </c>
      <c r="AS648" s="21">
        <v>38</v>
      </c>
      <c r="AT648" s="41">
        <f t="shared" si="288"/>
        <v>0.19191919191919191</v>
      </c>
      <c r="AU648" s="21">
        <v>11</v>
      </c>
      <c r="AV648" s="41">
        <f t="shared" si="307"/>
        <v>0.10377358490566038</v>
      </c>
      <c r="AW648" s="21">
        <v>15</v>
      </c>
      <c r="AX648" s="41">
        <f t="shared" si="289"/>
        <v>7.575757575757576E-2</v>
      </c>
      <c r="AY648" s="21">
        <v>10</v>
      </c>
      <c r="AZ648" s="41">
        <f t="shared" si="308"/>
        <v>9.4339622641509441E-2</v>
      </c>
      <c r="BA648" s="21">
        <v>10</v>
      </c>
      <c r="BB648" s="41">
        <f t="shared" si="290"/>
        <v>5.0505050505050504E-2</v>
      </c>
      <c r="BC648" s="21">
        <v>5</v>
      </c>
      <c r="BD648" s="41">
        <f t="shared" si="309"/>
        <v>4.716981132075472E-2</v>
      </c>
      <c r="BE648" s="21">
        <v>198</v>
      </c>
      <c r="BF648" s="21">
        <v>106</v>
      </c>
    </row>
    <row r="649" spans="1:58" ht="15.75" customHeight="1" x14ac:dyDescent="0.25">
      <c r="A649" s="44">
        <v>2020</v>
      </c>
      <c r="B649" s="39">
        <v>171610</v>
      </c>
      <c r="C649" s="38" t="s">
        <v>144</v>
      </c>
      <c r="D649" s="38" t="s">
        <v>96</v>
      </c>
      <c r="E649" s="21">
        <v>4</v>
      </c>
      <c r="F649" s="42">
        <f t="shared" si="291"/>
        <v>8.8495575221238937E-3</v>
      </c>
      <c r="G649" s="21">
        <v>3</v>
      </c>
      <c r="H649" s="42">
        <f t="shared" si="292"/>
        <v>9.6153846153846159E-3</v>
      </c>
      <c r="I649" s="21">
        <v>13</v>
      </c>
      <c r="J649" s="41">
        <f t="shared" si="293"/>
        <v>2.8761061946902654E-2</v>
      </c>
      <c r="K649" s="21">
        <v>7</v>
      </c>
      <c r="L649" s="41">
        <f t="shared" si="294"/>
        <v>2.2435897435897436E-2</v>
      </c>
      <c r="M649" s="21">
        <v>397</v>
      </c>
      <c r="N649" s="41">
        <f t="shared" si="295"/>
        <v>0.87831858407079644</v>
      </c>
      <c r="O649" s="21">
        <v>273</v>
      </c>
      <c r="P649" s="41">
        <f t="shared" si="296"/>
        <v>0.875</v>
      </c>
      <c r="Q649" s="21">
        <v>38</v>
      </c>
      <c r="R649" s="41">
        <f t="shared" si="297"/>
        <v>8.4070796460176997E-2</v>
      </c>
      <c r="S649" s="21">
        <v>29</v>
      </c>
      <c r="T649" s="41">
        <f t="shared" si="298"/>
        <v>9.2948717948717952E-2</v>
      </c>
      <c r="U649" s="21">
        <v>18</v>
      </c>
      <c r="V649" s="41">
        <f t="shared" si="299"/>
        <v>3.9823008849557522E-2</v>
      </c>
      <c r="W649" s="21">
        <v>8</v>
      </c>
      <c r="X649" s="41">
        <f t="shared" si="300"/>
        <v>2.564102564102564E-2</v>
      </c>
      <c r="Y649" s="21">
        <v>24</v>
      </c>
      <c r="Z649" s="41">
        <f t="shared" si="301"/>
        <v>5.3097345132743362E-2</v>
      </c>
      <c r="AA649" s="21">
        <v>19</v>
      </c>
      <c r="AB649" s="41">
        <f t="shared" si="302"/>
        <v>6.0897435897435896E-2</v>
      </c>
      <c r="AC649" s="21">
        <v>410</v>
      </c>
      <c r="AD649" s="41">
        <f t="shared" si="284"/>
        <v>0.90707964601769908</v>
      </c>
      <c r="AE649" s="21">
        <v>285</v>
      </c>
      <c r="AF649" s="41">
        <f t="shared" si="303"/>
        <v>0.91346153846153844</v>
      </c>
      <c r="AG649" s="21">
        <v>14</v>
      </c>
      <c r="AH649" s="41">
        <f t="shared" si="285"/>
        <v>3.0973451327433628E-2</v>
      </c>
      <c r="AI649" s="21">
        <v>11</v>
      </c>
      <c r="AJ649" s="41">
        <f t="shared" si="304"/>
        <v>3.5256410256410256E-2</v>
      </c>
      <c r="AK649" s="21">
        <v>18</v>
      </c>
      <c r="AL649" s="41">
        <f t="shared" si="286"/>
        <v>3.9823008849557522E-2</v>
      </c>
      <c r="AM649" s="21">
        <v>17</v>
      </c>
      <c r="AN649" s="41">
        <f t="shared" si="305"/>
        <v>5.4487179487179488E-2</v>
      </c>
      <c r="AO649" s="21">
        <v>294</v>
      </c>
      <c r="AP649" s="41">
        <f t="shared" si="287"/>
        <v>0.65044247787610621</v>
      </c>
      <c r="AQ649" s="21">
        <v>209</v>
      </c>
      <c r="AR649" s="41">
        <f t="shared" si="306"/>
        <v>0.66987179487179482</v>
      </c>
      <c r="AS649" s="21">
        <v>66</v>
      </c>
      <c r="AT649" s="41">
        <f t="shared" si="288"/>
        <v>0.14601769911504425</v>
      </c>
      <c r="AU649" s="21">
        <v>38</v>
      </c>
      <c r="AV649" s="41">
        <f t="shared" si="307"/>
        <v>0.12179487179487179</v>
      </c>
      <c r="AW649" s="21">
        <v>35</v>
      </c>
      <c r="AX649" s="41">
        <f t="shared" si="289"/>
        <v>7.7433628318584066E-2</v>
      </c>
      <c r="AY649" s="21">
        <v>20</v>
      </c>
      <c r="AZ649" s="41">
        <f t="shared" si="308"/>
        <v>6.4102564102564097E-2</v>
      </c>
      <c r="BA649" s="21">
        <v>25</v>
      </c>
      <c r="BB649" s="41">
        <f t="shared" si="290"/>
        <v>5.5309734513274339E-2</v>
      </c>
      <c r="BC649" s="21">
        <v>17</v>
      </c>
      <c r="BD649" s="41">
        <f t="shared" si="309"/>
        <v>5.4487179487179488E-2</v>
      </c>
      <c r="BE649" s="21">
        <v>452</v>
      </c>
      <c r="BF649" s="21">
        <v>312</v>
      </c>
    </row>
    <row r="650" spans="1:58" ht="15.75" customHeight="1" x14ac:dyDescent="0.25">
      <c r="A650" s="44">
        <v>2020</v>
      </c>
      <c r="B650" s="39">
        <v>171620</v>
      </c>
      <c r="C650" s="38" t="s">
        <v>147</v>
      </c>
      <c r="D650" s="38" t="s">
        <v>97</v>
      </c>
      <c r="E650" s="21">
        <v>7</v>
      </c>
      <c r="F650" s="42">
        <f t="shared" si="291"/>
        <v>1.1058451816745656E-2</v>
      </c>
      <c r="G650" s="21">
        <v>6</v>
      </c>
      <c r="H650" s="42">
        <f t="shared" si="292"/>
        <v>1.9169329073482427E-2</v>
      </c>
      <c r="I650" s="21">
        <v>23</v>
      </c>
      <c r="J650" s="41">
        <f t="shared" si="293"/>
        <v>3.6334913112164295E-2</v>
      </c>
      <c r="K650" s="21">
        <v>8</v>
      </c>
      <c r="L650" s="41">
        <f t="shared" si="294"/>
        <v>2.5559105431309903E-2</v>
      </c>
      <c r="M650" s="21">
        <v>565</v>
      </c>
      <c r="N650" s="41">
        <f t="shared" si="295"/>
        <v>0.89257503949447081</v>
      </c>
      <c r="O650" s="21">
        <v>277</v>
      </c>
      <c r="P650" s="41">
        <f t="shared" si="296"/>
        <v>0.88498402555910538</v>
      </c>
      <c r="Q650" s="21">
        <v>38</v>
      </c>
      <c r="R650" s="41">
        <f t="shared" si="297"/>
        <v>6.0031595576619273E-2</v>
      </c>
      <c r="S650" s="21">
        <v>22</v>
      </c>
      <c r="T650" s="41">
        <f t="shared" si="298"/>
        <v>7.0287539936102233E-2</v>
      </c>
      <c r="U650" s="21">
        <v>42</v>
      </c>
      <c r="V650" s="41">
        <f t="shared" si="299"/>
        <v>6.6350710900473939E-2</v>
      </c>
      <c r="W650" s="21">
        <v>17</v>
      </c>
      <c r="X650" s="41">
        <f t="shared" si="300"/>
        <v>5.4313099041533544E-2</v>
      </c>
      <c r="Y650" s="21">
        <v>70</v>
      </c>
      <c r="Z650" s="41">
        <f t="shared" si="301"/>
        <v>0.11058451816745656</v>
      </c>
      <c r="AA650" s="21">
        <v>30</v>
      </c>
      <c r="AB650" s="41">
        <f t="shared" si="302"/>
        <v>9.5846645367412137E-2</v>
      </c>
      <c r="AC650" s="21">
        <v>520</v>
      </c>
      <c r="AD650" s="41">
        <f t="shared" si="284"/>
        <v>0.82148499210110582</v>
      </c>
      <c r="AE650" s="21">
        <v>265</v>
      </c>
      <c r="AF650" s="41">
        <f t="shared" si="303"/>
        <v>0.84664536741214058</v>
      </c>
      <c r="AG650" s="21">
        <v>31</v>
      </c>
      <c r="AH650" s="41">
        <f t="shared" si="285"/>
        <v>4.8973143759873619E-2</v>
      </c>
      <c r="AI650" s="21">
        <v>22</v>
      </c>
      <c r="AJ650" s="41">
        <f t="shared" si="304"/>
        <v>7.0287539936102233E-2</v>
      </c>
      <c r="AK650" s="21">
        <v>24</v>
      </c>
      <c r="AL650" s="41">
        <f t="shared" si="286"/>
        <v>3.7914691943127965E-2</v>
      </c>
      <c r="AM650" s="21">
        <v>18</v>
      </c>
      <c r="AN650" s="41">
        <f t="shared" si="305"/>
        <v>5.7507987220447282E-2</v>
      </c>
      <c r="AO650" s="21">
        <v>376</v>
      </c>
      <c r="AP650" s="41">
        <f t="shared" si="287"/>
        <v>0.59399684044233803</v>
      </c>
      <c r="AQ650" s="21">
        <v>184</v>
      </c>
      <c r="AR650" s="41">
        <f t="shared" si="306"/>
        <v>0.58785942492012777</v>
      </c>
      <c r="AS650" s="21">
        <v>114</v>
      </c>
      <c r="AT650" s="41">
        <f t="shared" si="288"/>
        <v>0.18009478672985782</v>
      </c>
      <c r="AU650" s="21">
        <v>54</v>
      </c>
      <c r="AV650" s="41">
        <f t="shared" si="307"/>
        <v>0.17252396166134185</v>
      </c>
      <c r="AW650" s="21">
        <v>44</v>
      </c>
      <c r="AX650" s="41">
        <f t="shared" si="289"/>
        <v>6.9510268562401265E-2</v>
      </c>
      <c r="AY650" s="21">
        <v>17</v>
      </c>
      <c r="AZ650" s="41">
        <f t="shared" si="308"/>
        <v>5.4313099041533544E-2</v>
      </c>
      <c r="BA650" s="21">
        <v>44</v>
      </c>
      <c r="BB650" s="41">
        <f t="shared" si="290"/>
        <v>6.9510268562401265E-2</v>
      </c>
      <c r="BC650" s="21">
        <v>18</v>
      </c>
      <c r="BD650" s="41">
        <f t="shared" si="309"/>
        <v>5.7507987220447282E-2</v>
      </c>
      <c r="BE650" s="21">
        <v>633</v>
      </c>
      <c r="BF650" s="21">
        <v>313</v>
      </c>
    </row>
    <row r="651" spans="1:58" ht="15.75" customHeight="1" x14ac:dyDescent="0.25">
      <c r="A651" s="44">
        <v>2020</v>
      </c>
      <c r="B651" s="39">
        <v>171630</v>
      </c>
      <c r="C651" s="38" t="s">
        <v>149</v>
      </c>
      <c r="D651" s="38" t="s">
        <v>98</v>
      </c>
      <c r="E651" s="21">
        <v>1</v>
      </c>
      <c r="F651" s="42">
        <f t="shared" si="291"/>
        <v>6.4935064935064939E-3</v>
      </c>
      <c r="G651" s="21">
        <v>1</v>
      </c>
      <c r="H651" s="42">
        <f t="shared" si="292"/>
        <v>7.575757575757576E-3</v>
      </c>
      <c r="I651" s="21">
        <v>6</v>
      </c>
      <c r="J651" s="41">
        <f t="shared" si="293"/>
        <v>3.896103896103896E-2</v>
      </c>
      <c r="K651" s="21">
        <v>5</v>
      </c>
      <c r="L651" s="41">
        <f t="shared" si="294"/>
        <v>3.787878787878788E-2</v>
      </c>
      <c r="M651" s="21">
        <v>134</v>
      </c>
      <c r="N651" s="41">
        <f t="shared" si="295"/>
        <v>0.87012987012987009</v>
      </c>
      <c r="O651" s="21">
        <v>115</v>
      </c>
      <c r="P651" s="41">
        <f t="shared" si="296"/>
        <v>0.87121212121212122</v>
      </c>
      <c r="Q651" s="21">
        <v>13</v>
      </c>
      <c r="R651" s="41">
        <f t="shared" si="297"/>
        <v>8.4415584415584416E-2</v>
      </c>
      <c r="S651" s="21">
        <v>11</v>
      </c>
      <c r="T651" s="41">
        <f t="shared" si="298"/>
        <v>8.3333333333333329E-2</v>
      </c>
      <c r="U651" s="21">
        <v>15</v>
      </c>
      <c r="V651" s="41">
        <f t="shared" si="299"/>
        <v>9.7402597402597407E-2</v>
      </c>
      <c r="W651" s="21">
        <v>14</v>
      </c>
      <c r="X651" s="41">
        <f t="shared" si="300"/>
        <v>0.10606060606060606</v>
      </c>
      <c r="Y651" s="21">
        <v>12</v>
      </c>
      <c r="Z651" s="41">
        <f t="shared" si="301"/>
        <v>7.792207792207792E-2</v>
      </c>
      <c r="AA651" s="21">
        <v>10</v>
      </c>
      <c r="AB651" s="41">
        <f t="shared" si="302"/>
        <v>7.575757575757576E-2</v>
      </c>
      <c r="AC651" s="21">
        <v>127</v>
      </c>
      <c r="AD651" s="41">
        <f t="shared" si="284"/>
        <v>0.82467532467532467</v>
      </c>
      <c r="AE651" s="21">
        <v>108</v>
      </c>
      <c r="AF651" s="41">
        <f t="shared" si="303"/>
        <v>0.81818181818181823</v>
      </c>
      <c r="AG651" s="21">
        <v>9</v>
      </c>
      <c r="AH651" s="41">
        <f t="shared" si="285"/>
        <v>5.844155844155844E-2</v>
      </c>
      <c r="AI651" s="21">
        <v>9</v>
      </c>
      <c r="AJ651" s="41">
        <f t="shared" si="304"/>
        <v>6.8181818181818177E-2</v>
      </c>
      <c r="AK651" s="21">
        <v>1</v>
      </c>
      <c r="AL651" s="41">
        <f t="shared" si="286"/>
        <v>6.4935064935064939E-3</v>
      </c>
      <c r="AM651" s="21">
        <v>1</v>
      </c>
      <c r="AN651" s="41">
        <f t="shared" si="305"/>
        <v>7.575757575757576E-3</v>
      </c>
      <c r="AO651" s="21">
        <v>90</v>
      </c>
      <c r="AP651" s="41">
        <f t="shared" si="287"/>
        <v>0.58441558441558439</v>
      </c>
      <c r="AQ651" s="21">
        <v>72</v>
      </c>
      <c r="AR651" s="41">
        <f t="shared" si="306"/>
        <v>0.54545454545454541</v>
      </c>
      <c r="AS651" s="21">
        <v>29</v>
      </c>
      <c r="AT651" s="41">
        <f t="shared" si="288"/>
        <v>0.18831168831168832</v>
      </c>
      <c r="AU651" s="21">
        <v>26</v>
      </c>
      <c r="AV651" s="41">
        <f t="shared" si="307"/>
        <v>0.19696969696969696</v>
      </c>
      <c r="AW651" s="21">
        <v>10</v>
      </c>
      <c r="AX651" s="41">
        <f t="shared" si="289"/>
        <v>6.4935064935064929E-2</v>
      </c>
      <c r="AY651" s="21">
        <v>10</v>
      </c>
      <c r="AZ651" s="41">
        <f t="shared" si="308"/>
        <v>7.575757575757576E-2</v>
      </c>
      <c r="BA651" s="21">
        <v>15</v>
      </c>
      <c r="BB651" s="41">
        <f t="shared" si="290"/>
        <v>9.7402597402597407E-2</v>
      </c>
      <c r="BC651" s="21">
        <v>14</v>
      </c>
      <c r="BD651" s="41">
        <f t="shared" si="309"/>
        <v>0.10606060606060606</v>
      </c>
      <c r="BE651" s="21">
        <v>154</v>
      </c>
      <c r="BF651" s="21">
        <v>132</v>
      </c>
    </row>
    <row r="652" spans="1:58" ht="15.75" customHeight="1" x14ac:dyDescent="0.25">
      <c r="A652" s="44">
        <v>2020</v>
      </c>
      <c r="B652" s="39">
        <v>171650</v>
      </c>
      <c r="C652" s="38" t="s">
        <v>150</v>
      </c>
      <c r="D652" s="38" t="s">
        <v>99</v>
      </c>
      <c r="E652" s="21">
        <v>4</v>
      </c>
      <c r="F652" s="42">
        <f t="shared" si="291"/>
        <v>1.2345679012345678E-2</v>
      </c>
      <c r="G652" s="21">
        <v>3</v>
      </c>
      <c r="H652" s="42">
        <f t="shared" si="292"/>
        <v>1.3824884792626729E-2</v>
      </c>
      <c r="I652" s="21">
        <v>7</v>
      </c>
      <c r="J652" s="41">
        <f t="shared" si="293"/>
        <v>2.1604938271604937E-2</v>
      </c>
      <c r="K652" s="21">
        <v>6</v>
      </c>
      <c r="L652" s="41">
        <f t="shared" si="294"/>
        <v>2.7649769585253458E-2</v>
      </c>
      <c r="M652" s="21">
        <v>288</v>
      </c>
      <c r="N652" s="41">
        <f t="shared" si="295"/>
        <v>0.88888888888888884</v>
      </c>
      <c r="O652" s="21">
        <v>193</v>
      </c>
      <c r="P652" s="41">
        <f t="shared" si="296"/>
        <v>0.88940092165898621</v>
      </c>
      <c r="Q652" s="21">
        <v>25</v>
      </c>
      <c r="R652" s="41">
        <f t="shared" si="297"/>
        <v>7.716049382716049E-2</v>
      </c>
      <c r="S652" s="21">
        <v>15</v>
      </c>
      <c r="T652" s="41">
        <f t="shared" si="298"/>
        <v>6.9124423963133647E-2</v>
      </c>
      <c r="U652" s="21">
        <v>17</v>
      </c>
      <c r="V652" s="41">
        <f t="shared" si="299"/>
        <v>5.2469135802469133E-2</v>
      </c>
      <c r="W652" s="21">
        <v>8</v>
      </c>
      <c r="X652" s="41">
        <f t="shared" si="300"/>
        <v>3.6866359447004608E-2</v>
      </c>
      <c r="Y652" s="21">
        <v>23</v>
      </c>
      <c r="Z652" s="41">
        <f t="shared" si="301"/>
        <v>7.098765432098765E-2</v>
      </c>
      <c r="AA652" s="21">
        <v>16</v>
      </c>
      <c r="AB652" s="41">
        <f t="shared" si="302"/>
        <v>7.3732718894009217E-2</v>
      </c>
      <c r="AC652" s="21">
        <v>284</v>
      </c>
      <c r="AD652" s="41">
        <f t="shared" si="284"/>
        <v>0.87654320987654322</v>
      </c>
      <c r="AE652" s="21">
        <v>193</v>
      </c>
      <c r="AF652" s="41">
        <f t="shared" si="303"/>
        <v>0.88940092165898621</v>
      </c>
      <c r="AG652" s="21">
        <v>10</v>
      </c>
      <c r="AH652" s="41">
        <f t="shared" si="285"/>
        <v>3.0864197530864196E-2</v>
      </c>
      <c r="AI652" s="21">
        <v>10</v>
      </c>
      <c r="AJ652" s="41">
        <f t="shared" si="304"/>
        <v>4.6082949308755762E-2</v>
      </c>
      <c r="AK652" s="21">
        <v>15</v>
      </c>
      <c r="AL652" s="41">
        <f t="shared" si="286"/>
        <v>4.6296296296296294E-2</v>
      </c>
      <c r="AM652" s="21">
        <v>11</v>
      </c>
      <c r="AN652" s="41">
        <f t="shared" si="305"/>
        <v>5.0691244239631339E-2</v>
      </c>
      <c r="AO652" s="21">
        <v>183</v>
      </c>
      <c r="AP652" s="41">
        <f t="shared" si="287"/>
        <v>0.56481481481481477</v>
      </c>
      <c r="AQ652" s="21">
        <v>133</v>
      </c>
      <c r="AR652" s="41">
        <f t="shared" si="306"/>
        <v>0.61290322580645162</v>
      </c>
      <c r="AS652" s="21">
        <v>65</v>
      </c>
      <c r="AT652" s="41">
        <f t="shared" si="288"/>
        <v>0.20061728395061729</v>
      </c>
      <c r="AU652" s="21">
        <v>36</v>
      </c>
      <c r="AV652" s="41">
        <f t="shared" si="307"/>
        <v>0.16589861751152074</v>
      </c>
      <c r="AW652" s="21">
        <v>31</v>
      </c>
      <c r="AX652" s="41">
        <f t="shared" si="289"/>
        <v>9.5679012345679007E-2</v>
      </c>
      <c r="AY652" s="21">
        <v>18</v>
      </c>
      <c r="AZ652" s="41">
        <f t="shared" si="308"/>
        <v>8.294930875576037E-2</v>
      </c>
      <c r="BA652" s="21">
        <v>20</v>
      </c>
      <c r="BB652" s="41">
        <f t="shared" si="290"/>
        <v>6.1728395061728392E-2</v>
      </c>
      <c r="BC652" s="21">
        <v>9</v>
      </c>
      <c r="BD652" s="41">
        <f t="shared" si="309"/>
        <v>4.1474654377880185E-2</v>
      </c>
      <c r="BE652" s="21">
        <v>324</v>
      </c>
      <c r="BF652" s="21">
        <v>217</v>
      </c>
    </row>
    <row r="653" spans="1:58" ht="15.75" customHeight="1" x14ac:dyDescent="0.25">
      <c r="A653" s="44">
        <v>2020</v>
      </c>
      <c r="B653" s="39">
        <v>171660</v>
      </c>
      <c r="C653" s="38" t="s">
        <v>146</v>
      </c>
      <c r="D653" s="38" t="s">
        <v>100</v>
      </c>
      <c r="E653" s="21">
        <v>2</v>
      </c>
      <c r="F653" s="42">
        <f t="shared" si="291"/>
        <v>4.5454545454545452E-3</v>
      </c>
      <c r="G653" s="21">
        <v>1</v>
      </c>
      <c r="H653" s="42">
        <f t="shared" si="292"/>
        <v>5.9171597633136093E-3</v>
      </c>
      <c r="I653" s="21">
        <v>10</v>
      </c>
      <c r="J653" s="41">
        <f t="shared" si="293"/>
        <v>2.2727272727272728E-2</v>
      </c>
      <c r="K653" s="21">
        <v>1</v>
      </c>
      <c r="L653" s="41">
        <f t="shared" si="294"/>
        <v>5.9171597633136093E-3</v>
      </c>
      <c r="M653" s="21">
        <v>393</v>
      </c>
      <c r="N653" s="41">
        <f t="shared" si="295"/>
        <v>0.89318181818181819</v>
      </c>
      <c r="O653" s="21">
        <v>151</v>
      </c>
      <c r="P653" s="41">
        <f t="shared" si="296"/>
        <v>0.89349112426035504</v>
      </c>
      <c r="Q653" s="21">
        <v>35</v>
      </c>
      <c r="R653" s="41">
        <f t="shared" si="297"/>
        <v>7.9545454545454544E-2</v>
      </c>
      <c r="S653" s="21">
        <v>16</v>
      </c>
      <c r="T653" s="41">
        <f t="shared" si="298"/>
        <v>9.4674556213017749E-2</v>
      </c>
      <c r="U653" s="21">
        <v>8</v>
      </c>
      <c r="V653" s="41">
        <f t="shared" si="299"/>
        <v>1.8181818181818181E-2</v>
      </c>
      <c r="W653" s="21">
        <v>4</v>
      </c>
      <c r="X653" s="41">
        <f t="shared" si="300"/>
        <v>2.3668639053254437E-2</v>
      </c>
      <c r="Y653" s="21">
        <v>24</v>
      </c>
      <c r="Z653" s="41">
        <f t="shared" si="301"/>
        <v>5.4545454545454543E-2</v>
      </c>
      <c r="AA653" s="21">
        <v>8</v>
      </c>
      <c r="AB653" s="41">
        <f t="shared" si="302"/>
        <v>4.7337278106508875E-2</v>
      </c>
      <c r="AC653" s="21">
        <v>408</v>
      </c>
      <c r="AD653" s="41">
        <f t="shared" si="284"/>
        <v>0.92727272727272725</v>
      </c>
      <c r="AE653" s="21">
        <v>157</v>
      </c>
      <c r="AF653" s="41">
        <f t="shared" si="303"/>
        <v>0.92899408284023666</v>
      </c>
      <c r="AG653" s="21">
        <v>20</v>
      </c>
      <c r="AH653" s="41">
        <f t="shared" si="285"/>
        <v>4.5454545454545456E-2</v>
      </c>
      <c r="AI653" s="21">
        <v>9</v>
      </c>
      <c r="AJ653" s="41">
        <f t="shared" si="304"/>
        <v>5.3254437869822487E-2</v>
      </c>
      <c r="AK653" s="21">
        <v>24</v>
      </c>
      <c r="AL653" s="41">
        <f t="shared" si="286"/>
        <v>5.4545454545454543E-2</v>
      </c>
      <c r="AM653" s="21">
        <v>12</v>
      </c>
      <c r="AN653" s="41">
        <f t="shared" si="305"/>
        <v>7.1005917159763315E-2</v>
      </c>
      <c r="AO653" s="21">
        <v>269</v>
      </c>
      <c r="AP653" s="41">
        <f t="shared" si="287"/>
        <v>0.61136363636363633</v>
      </c>
      <c r="AQ653" s="21">
        <v>101</v>
      </c>
      <c r="AR653" s="41">
        <f t="shared" si="306"/>
        <v>0.59763313609467461</v>
      </c>
      <c r="AS653" s="21">
        <v>75</v>
      </c>
      <c r="AT653" s="41">
        <f t="shared" si="288"/>
        <v>0.17045454545454544</v>
      </c>
      <c r="AU653" s="21">
        <v>28</v>
      </c>
      <c r="AV653" s="41">
        <f t="shared" si="307"/>
        <v>0.16568047337278108</v>
      </c>
      <c r="AW653" s="21">
        <v>32</v>
      </c>
      <c r="AX653" s="41">
        <f t="shared" si="289"/>
        <v>7.2727272727272724E-2</v>
      </c>
      <c r="AY653" s="21">
        <v>7</v>
      </c>
      <c r="AZ653" s="41">
        <f t="shared" si="308"/>
        <v>4.142011834319527E-2</v>
      </c>
      <c r="BA653" s="21">
        <v>20</v>
      </c>
      <c r="BB653" s="41">
        <f t="shared" si="290"/>
        <v>4.5454545454545456E-2</v>
      </c>
      <c r="BC653" s="21">
        <v>12</v>
      </c>
      <c r="BD653" s="41">
        <f t="shared" si="309"/>
        <v>7.1005917159763315E-2</v>
      </c>
      <c r="BE653" s="21">
        <v>440</v>
      </c>
      <c r="BF653" s="21">
        <v>169</v>
      </c>
    </row>
    <row r="654" spans="1:58" ht="15.75" customHeight="1" x14ac:dyDescent="0.25">
      <c r="A654" s="44">
        <v>2020</v>
      </c>
      <c r="B654" s="39">
        <v>171665</v>
      </c>
      <c r="C654" s="38" t="s">
        <v>150</v>
      </c>
      <c r="D654" s="38" t="s">
        <v>101</v>
      </c>
      <c r="E654" s="21">
        <v>1</v>
      </c>
      <c r="F654" s="42">
        <f t="shared" si="291"/>
        <v>7.462686567164179E-3</v>
      </c>
      <c r="G654" s="21">
        <v>1</v>
      </c>
      <c r="H654" s="42">
        <f t="shared" si="292"/>
        <v>9.9009900990099011E-3</v>
      </c>
      <c r="I654" s="21">
        <v>6</v>
      </c>
      <c r="J654" s="41">
        <f t="shared" si="293"/>
        <v>4.4776119402985072E-2</v>
      </c>
      <c r="K654" s="21">
        <v>4</v>
      </c>
      <c r="L654" s="41">
        <f t="shared" si="294"/>
        <v>3.9603960396039604E-2</v>
      </c>
      <c r="M654" s="21">
        <v>112</v>
      </c>
      <c r="N654" s="41">
        <f t="shared" si="295"/>
        <v>0.83582089552238803</v>
      </c>
      <c r="O654" s="21">
        <v>82</v>
      </c>
      <c r="P654" s="41">
        <f t="shared" si="296"/>
        <v>0.81188118811881194</v>
      </c>
      <c r="Q654" s="21">
        <v>15</v>
      </c>
      <c r="R654" s="41">
        <f t="shared" si="297"/>
        <v>0.11194029850746269</v>
      </c>
      <c r="S654" s="21">
        <v>14</v>
      </c>
      <c r="T654" s="41">
        <f t="shared" si="298"/>
        <v>0.13861386138613863</v>
      </c>
      <c r="U654" s="21">
        <v>16</v>
      </c>
      <c r="V654" s="41">
        <f t="shared" si="299"/>
        <v>0.11940298507462686</v>
      </c>
      <c r="W654" s="21">
        <v>17</v>
      </c>
      <c r="X654" s="41">
        <f t="shared" si="300"/>
        <v>0.16831683168316833</v>
      </c>
      <c r="Y654" s="21">
        <v>9</v>
      </c>
      <c r="Z654" s="41">
        <f t="shared" si="301"/>
        <v>6.7164179104477612E-2</v>
      </c>
      <c r="AA654" s="21">
        <v>6</v>
      </c>
      <c r="AB654" s="41">
        <f t="shared" si="302"/>
        <v>5.9405940594059403E-2</v>
      </c>
      <c r="AC654" s="21">
        <v>109</v>
      </c>
      <c r="AD654" s="41">
        <f t="shared" si="284"/>
        <v>0.81343283582089554</v>
      </c>
      <c r="AE654" s="21">
        <v>78</v>
      </c>
      <c r="AF654" s="41">
        <f t="shared" si="303"/>
        <v>0.7722772277227723</v>
      </c>
      <c r="AG654" s="21">
        <v>3</v>
      </c>
      <c r="AH654" s="41">
        <f t="shared" si="285"/>
        <v>2.2388059701492536E-2</v>
      </c>
      <c r="AI654" s="21">
        <v>2</v>
      </c>
      <c r="AJ654" s="41">
        <f t="shared" si="304"/>
        <v>1.9801980198019802E-2</v>
      </c>
      <c r="AK654" s="21">
        <v>7</v>
      </c>
      <c r="AL654" s="41">
        <f t="shared" si="286"/>
        <v>5.2238805970149252E-2</v>
      </c>
      <c r="AM654" s="21">
        <v>7</v>
      </c>
      <c r="AN654" s="41">
        <f t="shared" si="305"/>
        <v>6.9306930693069313E-2</v>
      </c>
      <c r="AO654" s="21">
        <v>74</v>
      </c>
      <c r="AP654" s="41">
        <f t="shared" si="287"/>
        <v>0.55223880597014929</v>
      </c>
      <c r="AQ654" s="21">
        <v>48</v>
      </c>
      <c r="AR654" s="41">
        <f t="shared" si="306"/>
        <v>0.47524752475247523</v>
      </c>
      <c r="AS654" s="21">
        <v>19</v>
      </c>
      <c r="AT654" s="41">
        <f t="shared" si="288"/>
        <v>0.1417910447761194</v>
      </c>
      <c r="AU654" s="21">
        <v>12</v>
      </c>
      <c r="AV654" s="41">
        <f t="shared" si="307"/>
        <v>0.11881188118811881</v>
      </c>
      <c r="AW654" s="21">
        <v>7</v>
      </c>
      <c r="AX654" s="41">
        <f t="shared" si="289"/>
        <v>5.2238805970149252E-2</v>
      </c>
      <c r="AY654" s="21">
        <v>7</v>
      </c>
      <c r="AZ654" s="41">
        <f t="shared" si="308"/>
        <v>6.9306930693069313E-2</v>
      </c>
      <c r="BA654" s="21">
        <v>24</v>
      </c>
      <c r="BB654" s="41">
        <f t="shared" si="290"/>
        <v>0.17910447761194029</v>
      </c>
      <c r="BC654" s="21">
        <v>25</v>
      </c>
      <c r="BD654" s="41">
        <f t="shared" si="309"/>
        <v>0.24752475247524752</v>
      </c>
      <c r="BE654" s="21">
        <v>134</v>
      </c>
      <c r="BF654" s="21">
        <v>101</v>
      </c>
    </row>
    <row r="655" spans="1:58" ht="15.75" customHeight="1" x14ac:dyDescent="0.25">
      <c r="A655" s="44">
        <v>2020</v>
      </c>
      <c r="B655" s="39">
        <v>171700</v>
      </c>
      <c r="C655" s="38" t="s">
        <v>151</v>
      </c>
      <c r="D655" s="38" t="s">
        <v>102</v>
      </c>
      <c r="E655" s="21">
        <v>0</v>
      </c>
      <c r="F655" s="42">
        <f t="shared" si="291"/>
        <v>0</v>
      </c>
      <c r="G655" s="21">
        <v>0</v>
      </c>
      <c r="H655" s="42">
        <f t="shared" si="292"/>
        <v>0</v>
      </c>
      <c r="I655" s="21">
        <v>0</v>
      </c>
      <c r="J655" s="41">
        <f t="shared" si="293"/>
        <v>0</v>
      </c>
      <c r="K655" s="21">
        <v>0</v>
      </c>
      <c r="L655" s="41">
        <f t="shared" si="294"/>
        <v>0</v>
      </c>
      <c r="M655" s="21">
        <v>8</v>
      </c>
      <c r="N655" s="41">
        <f t="shared" si="295"/>
        <v>0.88888888888888884</v>
      </c>
      <c r="O655" s="21">
        <v>0</v>
      </c>
      <c r="P655" s="41">
        <f t="shared" si="296"/>
        <v>0</v>
      </c>
      <c r="Q655" s="21">
        <v>1</v>
      </c>
      <c r="R655" s="41">
        <f t="shared" si="297"/>
        <v>0.1111111111111111</v>
      </c>
      <c r="S655" s="21">
        <v>0</v>
      </c>
      <c r="T655" s="41">
        <f t="shared" si="298"/>
        <v>0</v>
      </c>
      <c r="U655" s="21">
        <v>0</v>
      </c>
      <c r="V655" s="41">
        <f t="shared" si="299"/>
        <v>0</v>
      </c>
      <c r="W655" s="21">
        <v>0</v>
      </c>
      <c r="X655" s="41">
        <f t="shared" si="300"/>
        <v>0</v>
      </c>
      <c r="Y655" s="21">
        <v>3</v>
      </c>
      <c r="Z655" s="41">
        <f t="shared" si="301"/>
        <v>0.33333333333333331</v>
      </c>
      <c r="AA655" s="21">
        <v>0</v>
      </c>
      <c r="AB655" s="41">
        <f t="shared" si="302"/>
        <v>0</v>
      </c>
      <c r="AC655" s="21">
        <v>6</v>
      </c>
      <c r="AD655" s="41">
        <f t="shared" si="284"/>
        <v>0.66666666666666663</v>
      </c>
      <c r="AE655" s="21">
        <v>0</v>
      </c>
      <c r="AF655" s="41">
        <f t="shared" si="303"/>
        <v>0</v>
      </c>
      <c r="AG655" s="21">
        <v>0</v>
      </c>
      <c r="AH655" s="41">
        <f t="shared" si="285"/>
        <v>0</v>
      </c>
      <c r="AI655" s="21">
        <v>0</v>
      </c>
      <c r="AJ655" s="41">
        <f t="shared" si="304"/>
        <v>0</v>
      </c>
      <c r="AK655" s="21">
        <v>1</v>
      </c>
      <c r="AL655" s="41">
        <f t="shared" si="286"/>
        <v>0.1111111111111111</v>
      </c>
      <c r="AM655" s="21">
        <v>0</v>
      </c>
      <c r="AN655" s="41">
        <f t="shared" si="305"/>
        <v>0</v>
      </c>
      <c r="AO655" s="21">
        <v>4</v>
      </c>
      <c r="AP655" s="41">
        <f t="shared" si="287"/>
        <v>0.44444444444444442</v>
      </c>
      <c r="AQ655" s="21">
        <v>0</v>
      </c>
      <c r="AR655" s="41">
        <f t="shared" si="306"/>
        <v>0</v>
      </c>
      <c r="AS655" s="21">
        <v>1</v>
      </c>
      <c r="AT655" s="41">
        <f t="shared" si="288"/>
        <v>0.1111111111111111</v>
      </c>
      <c r="AU655" s="21">
        <v>0</v>
      </c>
      <c r="AV655" s="41">
        <f t="shared" si="307"/>
        <v>0</v>
      </c>
      <c r="AW655" s="21">
        <v>1</v>
      </c>
      <c r="AX655" s="41">
        <f t="shared" si="289"/>
        <v>0.1111111111111111</v>
      </c>
      <c r="AY655" s="21">
        <v>0</v>
      </c>
      <c r="AZ655" s="41">
        <f t="shared" si="308"/>
        <v>0</v>
      </c>
      <c r="BA655" s="21">
        <v>2</v>
      </c>
      <c r="BB655" s="41">
        <f t="shared" si="290"/>
        <v>0.22222222222222221</v>
      </c>
      <c r="BC655" s="21">
        <v>0</v>
      </c>
      <c r="BD655" s="41">
        <f t="shared" si="309"/>
        <v>0</v>
      </c>
      <c r="BE655" s="21">
        <v>9</v>
      </c>
      <c r="BF655" s="21">
        <v>0</v>
      </c>
    </row>
    <row r="656" spans="1:58" ht="15.75" customHeight="1" x14ac:dyDescent="0.25">
      <c r="A656" s="44">
        <v>2020</v>
      </c>
      <c r="B656" s="39">
        <v>171720</v>
      </c>
      <c r="C656" s="38" t="s">
        <v>149</v>
      </c>
      <c r="D656" s="38" t="s">
        <v>103</v>
      </c>
      <c r="E656" s="21">
        <v>4</v>
      </c>
      <c r="F656" s="42">
        <f t="shared" si="291"/>
        <v>2.8571428571428571E-2</v>
      </c>
      <c r="G656" s="21">
        <v>4</v>
      </c>
      <c r="H656" s="42">
        <f t="shared" si="292"/>
        <v>3.3333333333333333E-2</v>
      </c>
      <c r="I656" s="21">
        <v>10</v>
      </c>
      <c r="J656" s="41">
        <f t="shared" si="293"/>
        <v>7.1428571428571425E-2</v>
      </c>
      <c r="K656" s="21">
        <v>10</v>
      </c>
      <c r="L656" s="41">
        <f t="shared" si="294"/>
        <v>8.3333333333333329E-2</v>
      </c>
      <c r="M656" s="21">
        <v>120</v>
      </c>
      <c r="N656" s="41">
        <f t="shared" si="295"/>
        <v>0.8571428571428571</v>
      </c>
      <c r="O656" s="21">
        <v>99</v>
      </c>
      <c r="P656" s="41">
        <f t="shared" si="296"/>
        <v>0.82499999999999996</v>
      </c>
      <c r="Q656" s="21">
        <v>6</v>
      </c>
      <c r="R656" s="41">
        <f t="shared" si="297"/>
        <v>4.2857142857142858E-2</v>
      </c>
      <c r="S656" s="21">
        <v>7</v>
      </c>
      <c r="T656" s="41">
        <f t="shared" si="298"/>
        <v>5.8333333333333334E-2</v>
      </c>
      <c r="U656" s="21">
        <v>19</v>
      </c>
      <c r="V656" s="41">
        <f t="shared" si="299"/>
        <v>0.1357142857142857</v>
      </c>
      <c r="W656" s="21">
        <v>16</v>
      </c>
      <c r="X656" s="41">
        <f t="shared" si="300"/>
        <v>0.13333333333333333</v>
      </c>
      <c r="Y656" s="21">
        <v>8</v>
      </c>
      <c r="Z656" s="41">
        <f t="shared" si="301"/>
        <v>5.7142857142857141E-2</v>
      </c>
      <c r="AA656" s="21">
        <v>8</v>
      </c>
      <c r="AB656" s="41">
        <f t="shared" si="302"/>
        <v>6.6666666666666666E-2</v>
      </c>
      <c r="AC656" s="21">
        <v>113</v>
      </c>
      <c r="AD656" s="41">
        <f t="shared" si="284"/>
        <v>0.80714285714285716</v>
      </c>
      <c r="AE656" s="21">
        <v>96</v>
      </c>
      <c r="AF656" s="41">
        <f t="shared" si="303"/>
        <v>0.8</v>
      </c>
      <c r="AG656" s="21">
        <v>7</v>
      </c>
      <c r="AH656" s="41">
        <f t="shared" si="285"/>
        <v>0.05</v>
      </c>
      <c r="AI656" s="21">
        <v>6</v>
      </c>
      <c r="AJ656" s="41">
        <f t="shared" si="304"/>
        <v>0.05</v>
      </c>
      <c r="AK656" s="21">
        <v>5</v>
      </c>
      <c r="AL656" s="41">
        <f t="shared" si="286"/>
        <v>3.5714285714285712E-2</v>
      </c>
      <c r="AM656" s="21">
        <v>5</v>
      </c>
      <c r="AN656" s="41">
        <f t="shared" si="305"/>
        <v>4.1666666666666664E-2</v>
      </c>
      <c r="AO656" s="21">
        <v>74</v>
      </c>
      <c r="AP656" s="41">
        <f t="shared" si="287"/>
        <v>0.52857142857142858</v>
      </c>
      <c r="AQ656" s="21">
        <v>66</v>
      </c>
      <c r="AR656" s="41">
        <f t="shared" si="306"/>
        <v>0.55000000000000004</v>
      </c>
      <c r="AS656" s="21">
        <v>26</v>
      </c>
      <c r="AT656" s="41">
        <f t="shared" si="288"/>
        <v>0.18571428571428572</v>
      </c>
      <c r="AU656" s="21">
        <v>23</v>
      </c>
      <c r="AV656" s="41">
        <f t="shared" si="307"/>
        <v>0.19166666666666668</v>
      </c>
      <c r="AW656" s="21">
        <v>16</v>
      </c>
      <c r="AX656" s="41">
        <f t="shared" si="289"/>
        <v>0.11428571428571428</v>
      </c>
      <c r="AY656" s="21">
        <v>8</v>
      </c>
      <c r="AZ656" s="41">
        <f t="shared" si="308"/>
        <v>6.6666666666666666E-2</v>
      </c>
      <c r="BA656" s="21">
        <v>12</v>
      </c>
      <c r="BB656" s="41">
        <f t="shared" si="290"/>
        <v>8.5714285714285715E-2</v>
      </c>
      <c r="BC656" s="21">
        <v>12</v>
      </c>
      <c r="BD656" s="41">
        <f t="shared" si="309"/>
        <v>0.1</v>
      </c>
      <c r="BE656" s="21">
        <v>140</v>
      </c>
      <c r="BF656" s="21">
        <v>120</v>
      </c>
    </row>
    <row r="657" spans="1:58" ht="15.75" customHeight="1" x14ac:dyDescent="0.25">
      <c r="A657" s="44">
        <v>2020</v>
      </c>
      <c r="B657" s="39">
        <v>171750</v>
      </c>
      <c r="C657" s="38" t="s">
        <v>144</v>
      </c>
      <c r="D657" s="38" t="s">
        <v>104</v>
      </c>
      <c r="E657" s="21">
        <v>1</v>
      </c>
      <c r="F657" s="42">
        <f t="shared" si="291"/>
        <v>4.9019607843137254E-3</v>
      </c>
      <c r="G657" s="21">
        <v>0</v>
      </c>
      <c r="H657" s="42">
        <f t="shared" si="292"/>
        <v>0</v>
      </c>
      <c r="I657" s="21">
        <v>4</v>
      </c>
      <c r="J657" s="41">
        <f t="shared" si="293"/>
        <v>1.9607843137254902E-2</v>
      </c>
      <c r="K657" s="21">
        <v>2</v>
      </c>
      <c r="L657" s="41">
        <f t="shared" si="294"/>
        <v>6.4516129032258063E-2</v>
      </c>
      <c r="M657" s="21">
        <v>185</v>
      </c>
      <c r="N657" s="41">
        <f t="shared" si="295"/>
        <v>0.90686274509803921</v>
      </c>
      <c r="O657" s="21">
        <v>26</v>
      </c>
      <c r="P657" s="41">
        <f t="shared" si="296"/>
        <v>0.83870967741935487</v>
      </c>
      <c r="Q657" s="21">
        <v>14</v>
      </c>
      <c r="R657" s="41">
        <f t="shared" si="297"/>
        <v>6.8627450980392163E-2</v>
      </c>
      <c r="S657" s="21">
        <v>3</v>
      </c>
      <c r="T657" s="41">
        <f t="shared" si="298"/>
        <v>9.6774193548387094E-2</v>
      </c>
      <c r="U657" s="21">
        <v>14</v>
      </c>
      <c r="V657" s="41">
        <f t="shared" si="299"/>
        <v>6.8627450980392163E-2</v>
      </c>
      <c r="W657" s="21">
        <v>4</v>
      </c>
      <c r="X657" s="41">
        <f t="shared" si="300"/>
        <v>0.12903225806451613</v>
      </c>
      <c r="Y657" s="21">
        <v>9</v>
      </c>
      <c r="Z657" s="41">
        <f t="shared" si="301"/>
        <v>4.4117647058823532E-2</v>
      </c>
      <c r="AA657" s="21">
        <v>5</v>
      </c>
      <c r="AB657" s="41">
        <f t="shared" si="302"/>
        <v>0.16129032258064516</v>
      </c>
      <c r="AC657" s="21">
        <v>181</v>
      </c>
      <c r="AD657" s="41">
        <f t="shared" si="284"/>
        <v>0.88725490196078427</v>
      </c>
      <c r="AE657" s="21">
        <v>22</v>
      </c>
      <c r="AF657" s="41">
        <f t="shared" si="303"/>
        <v>0.70967741935483875</v>
      </c>
      <c r="AG657" s="21">
        <v>3</v>
      </c>
      <c r="AH657" s="41">
        <f t="shared" si="285"/>
        <v>1.4705882352941176E-2</v>
      </c>
      <c r="AI657" s="21">
        <v>2</v>
      </c>
      <c r="AJ657" s="41">
        <f t="shared" si="304"/>
        <v>6.4516129032258063E-2</v>
      </c>
      <c r="AK657" s="21">
        <v>6</v>
      </c>
      <c r="AL657" s="41">
        <f t="shared" si="286"/>
        <v>2.9411764705882353E-2</v>
      </c>
      <c r="AM657" s="21">
        <v>1</v>
      </c>
      <c r="AN657" s="41">
        <f t="shared" si="305"/>
        <v>3.2258064516129031E-2</v>
      </c>
      <c r="AO657" s="21">
        <v>122</v>
      </c>
      <c r="AP657" s="41">
        <f t="shared" si="287"/>
        <v>0.59803921568627449</v>
      </c>
      <c r="AQ657" s="21">
        <v>15</v>
      </c>
      <c r="AR657" s="41">
        <f t="shared" si="306"/>
        <v>0.4838709677419355</v>
      </c>
      <c r="AS657" s="21">
        <v>43</v>
      </c>
      <c r="AT657" s="41">
        <f t="shared" si="288"/>
        <v>0.2107843137254902</v>
      </c>
      <c r="AU657" s="21">
        <v>11</v>
      </c>
      <c r="AV657" s="41">
        <f t="shared" si="307"/>
        <v>0.35483870967741937</v>
      </c>
      <c r="AW657" s="21">
        <v>19</v>
      </c>
      <c r="AX657" s="41">
        <f t="shared" si="289"/>
        <v>9.3137254901960786E-2</v>
      </c>
      <c r="AY657" s="21">
        <v>0</v>
      </c>
      <c r="AZ657" s="41">
        <f t="shared" si="308"/>
        <v>0</v>
      </c>
      <c r="BA657" s="21">
        <v>11</v>
      </c>
      <c r="BB657" s="41">
        <f t="shared" si="290"/>
        <v>5.3921568627450983E-2</v>
      </c>
      <c r="BC657" s="21">
        <v>2</v>
      </c>
      <c r="BD657" s="41">
        <f t="shared" si="309"/>
        <v>6.4516129032258063E-2</v>
      </c>
      <c r="BE657" s="21">
        <v>204</v>
      </c>
      <c r="BF657" s="21">
        <v>31</v>
      </c>
    </row>
    <row r="658" spans="1:58" ht="15.75" customHeight="1" x14ac:dyDescent="0.25">
      <c r="A658" s="44">
        <v>2020</v>
      </c>
      <c r="B658" s="39">
        <v>171780</v>
      </c>
      <c r="C658" s="38" t="s">
        <v>147</v>
      </c>
      <c r="D658" s="38" t="s">
        <v>105</v>
      </c>
      <c r="E658" s="21">
        <v>0</v>
      </c>
      <c r="F658" s="42">
        <f t="shared" si="291"/>
        <v>0</v>
      </c>
      <c r="G658" s="21">
        <v>0</v>
      </c>
      <c r="H658" s="42">
        <f t="shared" si="292"/>
        <v>0</v>
      </c>
      <c r="I658" s="21">
        <v>3</v>
      </c>
      <c r="J658" s="41">
        <f t="shared" si="293"/>
        <v>2.8037383177570093E-2</v>
      </c>
      <c r="K658" s="21">
        <v>1</v>
      </c>
      <c r="L658" s="41">
        <f t="shared" si="294"/>
        <v>1.1363636363636364E-2</v>
      </c>
      <c r="M658" s="21">
        <v>100</v>
      </c>
      <c r="N658" s="41">
        <f t="shared" si="295"/>
        <v>0.93457943925233644</v>
      </c>
      <c r="O658" s="21">
        <v>84</v>
      </c>
      <c r="P658" s="41">
        <f t="shared" si="296"/>
        <v>0.95454545454545459</v>
      </c>
      <c r="Q658" s="21">
        <v>4</v>
      </c>
      <c r="R658" s="41">
        <f t="shared" si="297"/>
        <v>3.7383177570093455E-2</v>
      </c>
      <c r="S658" s="21">
        <v>3</v>
      </c>
      <c r="T658" s="41">
        <f t="shared" si="298"/>
        <v>3.4090909090909088E-2</v>
      </c>
      <c r="U658" s="21">
        <v>1</v>
      </c>
      <c r="V658" s="41">
        <f t="shared" si="299"/>
        <v>9.3457943925233638E-3</v>
      </c>
      <c r="W658" s="21">
        <v>1</v>
      </c>
      <c r="X658" s="41">
        <f t="shared" si="300"/>
        <v>1.1363636363636364E-2</v>
      </c>
      <c r="Y658" s="21">
        <v>1</v>
      </c>
      <c r="Z658" s="41">
        <f t="shared" si="301"/>
        <v>9.3457943925233638E-3</v>
      </c>
      <c r="AA658" s="21">
        <v>0</v>
      </c>
      <c r="AB658" s="41">
        <f t="shared" si="302"/>
        <v>0</v>
      </c>
      <c r="AC658" s="21">
        <v>105</v>
      </c>
      <c r="AD658" s="41">
        <f t="shared" si="284"/>
        <v>0.98130841121495327</v>
      </c>
      <c r="AE658" s="21">
        <v>87</v>
      </c>
      <c r="AF658" s="41">
        <f t="shared" si="303"/>
        <v>0.98863636363636365</v>
      </c>
      <c r="AG658" s="21">
        <v>4</v>
      </c>
      <c r="AH658" s="41">
        <f t="shared" si="285"/>
        <v>3.7383177570093455E-2</v>
      </c>
      <c r="AI658" s="21">
        <v>4</v>
      </c>
      <c r="AJ658" s="41">
        <f t="shared" si="304"/>
        <v>4.5454545454545456E-2</v>
      </c>
      <c r="AK658" s="21">
        <v>12</v>
      </c>
      <c r="AL658" s="41">
        <f t="shared" si="286"/>
        <v>0.11214953271028037</v>
      </c>
      <c r="AM658" s="21">
        <v>10</v>
      </c>
      <c r="AN658" s="41">
        <f t="shared" si="305"/>
        <v>0.11363636363636363</v>
      </c>
      <c r="AO658" s="21">
        <v>75</v>
      </c>
      <c r="AP658" s="41">
        <f t="shared" si="287"/>
        <v>0.7009345794392523</v>
      </c>
      <c r="AQ658" s="21">
        <v>64</v>
      </c>
      <c r="AR658" s="41">
        <f t="shared" si="306"/>
        <v>0.72727272727272729</v>
      </c>
      <c r="AS658" s="21">
        <v>14</v>
      </c>
      <c r="AT658" s="41">
        <f t="shared" si="288"/>
        <v>0.13084112149532709</v>
      </c>
      <c r="AU658" s="21">
        <v>9</v>
      </c>
      <c r="AV658" s="41">
        <f t="shared" si="307"/>
        <v>0.10227272727272728</v>
      </c>
      <c r="AW658" s="21">
        <v>1</v>
      </c>
      <c r="AX658" s="41">
        <f t="shared" si="289"/>
        <v>9.3457943925233638E-3</v>
      </c>
      <c r="AY658" s="21">
        <v>0</v>
      </c>
      <c r="AZ658" s="41">
        <f t="shared" si="308"/>
        <v>0</v>
      </c>
      <c r="BA658" s="21">
        <v>1</v>
      </c>
      <c r="BB658" s="41">
        <f t="shared" si="290"/>
        <v>9.3457943925233638E-3</v>
      </c>
      <c r="BC658" s="21">
        <v>1</v>
      </c>
      <c r="BD658" s="41">
        <f t="shared" si="309"/>
        <v>1.1363636363636364E-2</v>
      </c>
      <c r="BE658" s="21">
        <v>107</v>
      </c>
      <c r="BF658" s="21">
        <v>88</v>
      </c>
    </row>
    <row r="659" spans="1:58" ht="15.75" customHeight="1" x14ac:dyDescent="0.25">
      <c r="A659" s="44">
        <v>2020</v>
      </c>
      <c r="B659" s="39">
        <v>171790</v>
      </c>
      <c r="C659" s="38" t="s">
        <v>151</v>
      </c>
      <c r="D659" s="38" t="s">
        <v>106</v>
      </c>
      <c r="E659" s="21">
        <v>1</v>
      </c>
      <c r="F659" s="42">
        <f t="shared" si="291"/>
        <v>6.0975609756097563E-3</v>
      </c>
      <c r="G659" s="21">
        <v>1</v>
      </c>
      <c r="H659" s="42">
        <f t="shared" si="292"/>
        <v>6.1349693251533744E-3</v>
      </c>
      <c r="I659" s="21">
        <v>13</v>
      </c>
      <c r="J659" s="41">
        <f t="shared" si="293"/>
        <v>7.926829268292683E-2</v>
      </c>
      <c r="K659" s="21">
        <v>13</v>
      </c>
      <c r="L659" s="41">
        <f t="shared" si="294"/>
        <v>7.9754601226993863E-2</v>
      </c>
      <c r="M659" s="21">
        <v>145</v>
      </c>
      <c r="N659" s="41">
        <f t="shared" si="295"/>
        <v>0.88414634146341464</v>
      </c>
      <c r="O659" s="21">
        <v>144</v>
      </c>
      <c r="P659" s="41">
        <f t="shared" si="296"/>
        <v>0.8834355828220859</v>
      </c>
      <c r="Q659" s="21">
        <v>5</v>
      </c>
      <c r="R659" s="41">
        <f t="shared" si="297"/>
        <v>3.048780487804878E-2</v>
      </c>
      <c r="S659" s="21">
        <v>5</v>
      </c>
      <c r="T659" s="41">
        <f t="shared" si="298"/>
        <v>3.0674846625766871E-2</v>
      </c>
      <c r="U659" s="21">
        <v>4</v>
      </c>
      <c r="V659" s="41">
        <f t="shared" si="299"/>
        <v>2.4390243902439025E-2</v>
      </c>
      <c r="W659" s="21">
        <v>4</v>
      </c>
      <c r="X659" s="41">
        <f t="shared" si="300"/>
        <v>2.4539877300613498E-2</v>
      </c>
      <c r="Y659" s="21">
        <v>10</v>
      </c>
      <c r="Z659" s="41">
        <f t="shared" si="301"/>
        <v>6.097560975609756E-2</v>
      </c>
      <c r="AA659" s="21">
        <v>10</v>
      </c>
      <c r="AB659" s="41">
        <f t="shared" si="302"/>
        <v>6.1349693251533742E-2</v>
      </c>
      <c r="AC659" s="21">
        <v>150</v>
      </c>
      <c r="AD659" s="41">
        <f t="shared" si="284"/>
        <v>0.91463414634146345</v>
      </c>
      <c r="AE659" s="21">
        <v>149</v>
      </c>
      <c r="AF659" s="41">
        <f t="shared" si="303"/>
        <v>0.91411042944785281</v>
      </c>
      <c r="AG659" s="21">
        <v>9</v>
      </c>
      <c r="AH659" s="41">
        <f t="shared" si="285"/>
        <v>5.4878048780487805E-2</v>
      </c>
      <c r="AI659" s="21">
        <v>9</v>
      </c>
      <c r="AJ659" s="41">
        <f t="shared" si="304"/>
        <v>5.5214723926380369E-2</v>
      </c>
      <c r="AK659" s="21">
        <v>9</v>
      </c>
      <c r="AL659" s="41">
        <f t="shared" si="286"/>
        <v>5.4878048780487805E-2</v>
      </c>
      <c r="AM659" s="21">
        <v>9</v>
      </c>
      <c r="AN659" s="41">
        <f t="shared" si="305"/>
        <v>5.5214723926380369E-2</v>
      </c>
      <c r="AO659" s="21">
        <v>116</v>
      </c>
      <c r="AP659" s="41">
        <f t="shared" si="287"/>
        <v>0.70731707317073167</v>
      </c>
      <c r="AQ659" s="21">
        <v>115</v>
      </c>
      <c r="AR659" s="41">
        <f t="shared" si="306"/>
        <v>0.70552147239263807</v>
      </c>
      <c r="AS659" s="21">
        <v>15</v>
      </c>
      <c r="AT659" s="41">
        <f t="shared" si="288"/>
        <v>9.1463414634146339E-2</v>
      </c>
      <c r="AU659" s="21">
        <v>15</v>
      </c>
      <c r="AV659" s="41">
        <f t="shared" si="307"/>
        <v>9.202453987730061E-2</v>
      </c>
      <c r="AW659" s="21">
        <v>10</v>
      </c>
      <c r="AX659" s="41">
        <f t="shared" si="289"/>
        <v>6.097560975609756E-2</v>
      </c>
      <c r="AY659" s="21">
        <v>10</v>
      </c>
      <c r="AZ659" s="41">
        <f t="shared" si="308"/>
        <v>6.1349693251533742E-2</v>
      </c>
      <c r="BA659" s="21">
        <v>5</v>
      </c>
      <c r="BB659" s="41">
        <f t="shared" si="290"/>
        <v>3.048780487804878E-2</v>
      </c>
      <c r="BC659" s="21">
        <v>5</v>
      </c>
      <c r="BD659" s="41">
        <f t="shared" si="309"/>
        <v>3.0674846625766871E-2</v>
      </c>
      <c r="BE659" s="21">
        <v>164</v>
      </c>
      <c r="BF659" s="21">
        <v>163</v>
      </c>
    </row>
    <row r="660" spans="1:58" ht="15.75" customHeight="1" x14ac:dyDescent="0.25">
      <c r="A660" s="44">
        <v>2020</v>
      </c>
      <c r="B660" s="39">
        <v>171800</v>
      </c>
      <c r="C660" s="38" t="s">
        <v>147</v>
      </c>
      <c r="D660" s="38" t="s">
        <v>107</v>
      </c>
      <c r="E660" s="21">
        <v>0</v>
      </c>
      <c r="F660" s="42">
        <f t="shared" si="291"/>
        <v>0</v>
      </c>
      <c r="G660" s="21">
        <v>0</v>
      </c>
      <c r="H660" s="42">
        <f t="shared" si="292"/>
        <v>0</v>
      </c>
      <c r="I660" s="21">
        <v>2</v>
      </c>
      <c r="J660" s="41">
        <f t="shared" si="293"/>
        <v>3.2786885245901641E-2</v>
      </c>
      <c r="K660" s="21">
        <v>0</v>
      </c>
      <c r="L660" s="41">
        <f t="shared" si="294"/>
        <v>0</v>
      </c>
      <c r="M660" s="21">
        <v>51</v>
      </c>
      <c r="N660" s="41">
        <f t="shared" si="295"/>
        <v>0.83606557377049184</v>
      </c>
      <c r="O660" s="21">
        <v>0</v>
      </c>
      <c r="P660" s="41">
        <f t="shared" si="296"/>
        <v>0</v>
      </c>
      <c r="Q660" s="21">
        <v>8</v>
      </c>
      <c r="R660" s="41">
        <f t="shared" si="297"/>
        <v>0.13114754098360656</v>
      </c>
      <c r="S660" s="21">
        <v>0</v>
      </c>
      <c r="T660" s="41">
        <f t="shared" si="298"/>
        <v>0</v>
      </c>
      <c r="U660" s="21">
        <v>2</v>
      </c>
      <c r="V660" s="41">
        <f t="shared" si="299"/>
        <v>3.2786885245901641E-2</v>
      </c>
      <c r="W660" s="21">
        <v>0</v>
      </c>
      <c r="X660" s="41">
        <f t="shared" si="300"/>
        <v>0</v>
      </c>
      <c r="Y660" s="21">
        <v>8</v>
      </c>
      <c r="Z660" s="41">
        <f t="shared" si="301"/>
        <v>0.13114754098360656</v>
      </c>
      <c r="AA660" s="21">
        <v>0</v>
      </c>
      <c r="AB660" s="41">
        <f t="shared" si="302"/>
        <v>0</v>
      </c>
      <c r="AC660" s="21">
        <v>51</v>
      </c>
      <c r="AD660" s="41">
        <f t="shared" si="284"/>
        <v>0.83606557377049184</v>
      </c>
      <c r="AE660" s="21">
        <v>0</v>
      </c>
      <c r="AF660" s="41">
        <f t="shared" si="303"/>
        <v>0</v>
      </c>
      <c r="AG660" s="21">
        <v>0</v>
      </c>
      <c r="AH660" s="41">
        <f t="shared" si="285"/>
        <v>0</v>
      </c>
      <c r="AI660" s="21">
        <v>0</v>
      </c>
      <c r="AJ660" s="41">
        <f t="shared" si="304"/>
        <v>0</v>
      </c>
      <c r="AK660" s="21">
        <v>0</v>
      </c>
      <c r="AL660" s="41">
        <f t="shared" si="286"/>
        <v>0</v>
      </c>
      <c r="AM660" s="21">
        <v>0</v>
      </c>
      <c r="AN660" s="41">
        <f t="shared" si="305"/>
        <v>0</v>
      </c>
      <c r="AO660" s="21">
        <v>38</v>
      </c>
      <c r="AP660" s="41">
        <f t="shared" si="287"/>
        <v>0.62295081967213117</v>
      </c>
      <c r="AQ660" s="21">
        <v>0</v>
      </c>
      <c r="AR660" s="41">
        <f t="shared" si="306"/>
        <v>0</v>
      </c>
      <c r="AS660" s="21">
        <v>10</v>
      </c>
      <c r="AT660" s="41">
        <f t="shared" si="288"/>
        <v>0.16393442622950818</v>
      </c>
      <c r="AU660" s="21">
        <v>0</v>
      </c>
      <c r="AV660" s="41">
        <f t="shared" si="307"/>
        <v>0</v>
      </c>
      <c r="AW660" s="21">
        <v>7</v>
      </c>
      <c r="AX660" s="41">
        <f t="shared" si="289"/>
        <v>0.11475409836065574</v>
      </c>
      <c r="AY660" s="21">
        <v>0</v>
      </c>
      <c r="AZ660" s="41">
        <f t="shared" si="308"/>
        <v>0</v>
      </c>
      <c r="BA660" s="21">
        <v>6</v>
      </c>
      <c r="BB660" s="41">
        <f t="shared" si="290"/>
        <v>9.8360655737704916E-2</v>
      </c>
      <c r="BC660" s="21">
        <v>0</v>
      </c>
      <c r="BD660" s="41">
        <f t="shared" si="309"/>
        <v>0</v>
      </c>
      <c r="BE660" s="21">
        <v>61</v>
      </c>
      <c r="BF660" s="21">
        <v>0</v>
      </c>
    </row>
    <row r="661" spans="1:58" ht="15.75" customHeight="1" x14ac:dyDescent="0.25">
      <c r="A661" s="44">
        <v>2020</v>
      </c>
      <c r="B661" s="39">
        <v>171820</v>
      </c>
      <c r="C661" s="38" t="s">
        <v>151</v>
      </c>
      <c r="D661" s="38" t="s">
        <v>108</v>
      </c>
      <c r="E661" s="21">
        <v>16</v>
      </c>
      <c r="F661" s="42">
        <f t="shared" si="291"/>
        <v>4.1884816753926704E-2</v>
      </c>
      <c r="G661" s="21">
        <v>0</v>
      </c>
      <c r="H661" s="42">
        <f t="shared" si="292"/>
        <v>0</v>
      </c>
      <c r="I661" s="21">
        <v>18</v>
      </c>
      <c r="J661" s="41">
        <f t="shared" si="293"/>
        <v>4.712041884816754E-2</v>
      </c>
      <c r="K661" s="21">
        <v>2</v>
      </c>
      <c r="L661" s="41">
        <f t="shared" si="294"/>
        <v>9.5238095238095233E-2</v>
      </c>
      <c r="M661" s="21">
        <v>327</v>
      </c>
      <c r="N661" s="41">
        <f t="shared" si="295"/>
        <v>0.85602094240837701</v>
      </c>
      <c r="O661" s="21">
        <v>18</v>
      </c>
      <c r="P661" s="41">
        <f t="shared" si="296"/>
        <v>0.8571428571428571</v>
      </c>
      <c r="Q661" s="21">
        <v>21</v>
      </c>
      <c r="R661" s="41">
        <f t="shared" si="297"/>
        <v>5.4973821989528798E-2</v>
      </c>
      <c r="S661" s="21">
        <v>1</v>
      </c>
      <c r="T661" s="41">
        <f t="shared" si="298"/>
        <v>4.7619047619047616E-2</v>
      </c>
      <c r="U661" s="21">
        <v>34</v>
      </c>
      <c r="V661" s="41">
        <f t="shared" si="299"/>
        <v>8.9005235602094238E-2</v>
      </c>
      <c r="W661" s="21">
        <v>2</v>
      </c>
      <c r="X661" s="41">
        <f t="shared" si="300"/>
        <v>9.5238095238095233E-2</v>
      </c>
      <c r="Y661" s="21">
        <v>35</v>
      </c>
      <c r="Z661" s="41">
        <f t="shared" si="301"/>
        <v>9.1623036649214659E-2</v>
      </c>
      <c r="AA661" s="21">
        <v>2</v>
      </c>
      <c r="AB661" s="41">
        <f t="shared" si="302"/>
        <v>9.5238095238095233E-2</v>
      </c>
      <c r="AC661" s="21">
        <v>313</v>
      </c>
      <c r="AD661" s="41">
        <f t="shared" si="284"/>
        <v>0.81937172774869105</v>
      </c>
      <c r="AE661" s="21">
        <v>17</v>
      </c>
      <c r="AF661" s="41">
        <f t="shared" si="303"/>
        <v>0.80952380952380953</v>
      </c>
      <c r="AG661" s="21">
        <v>12</v>
      </c>
      <c r="AH661" s="41">
        <f t="shared" si="285"/>
        <v>3.1413612565445025E-2</v>
      </c>
      <c r="AI661" s="21">
        <v>0</v>
      </c>
      <c r="AJ661" s="41">
        <f t="shared" si="304"/>
        <v>0</v>
      </c>
      <c r="AK661" s="21">
        <v>19</v>
      </c>
      <c r="AL661" s="41">
        <f t="shared" si="286"/>
        <v>4.9738219895287955E-2</v>
      </c>
      <c r="AM661" s="21">
        <v>0</v>
      </c>
      <c r="AN661" s="41">
        <f t="shared" si="305"/>
        <v>0</v>
      </c>
      <c r="AO661" s="21">
        <v>239</v>
      </c>
      <c r="AP661" s="41">
        <f t="shared" si="287"/>
        <v>0.62565445026178013</v>
      </c>
      <c r="AQ661" s="21">
        <v>11</v>
      </c>
      <c r="AR661" s="41">
        <f t="shared" si="306"/>
        <v>0.52380952380952384</v>
      </c>
      <c r="AS661" s="21">
        <v>73</v>
      </c>
      <c r="AT661" s="41">
        <f t="shared" si="288"/>
        <v>0.19109947643979058</v>
      </c>
      <c r="AU661" s="21">
        <v>7</v>
      </c>
      <c r="AV661" s="41">
        <f t="shared" si="307"/>
        <v>0.33333333333333331</v>
      </c>
      <c r="AW661" s="21">
        <v>16</v>
      </c>
      <c r="AX661" s="41">
        <f t="shared" si="289"/>
        <v>4.1884816753926704E-2</v>
      </c>
      <c r="AY661" s="21">
        <v>1</v>
      </c>
      <c r="AZ661" s="41">
        <f t="shared" si="308"/>
        <v>4.7619047619047616E-2</v>
      </c>
      <c r="BA661" s="21">
        <v>23</v>
      </c>
      <c r="BB661" s="41">
        <f t="shared" si="290"/>
        <v>6.0209424083769635E-2</v>
      </c>
      <c r="BC661" s="21">
        <v>2</v>
      </c>
      <c r="BD661" s="41">
        <f t="shared" si="309"/>
        <v>9.5238095238095233E-2</v>
      </c>
      <c r="BE661" s="21">
        <v>382</v>
      </c>
      <c r="BF661" s="21">
        <v>21</v>
      </c>
    </row>
    <row r="662" spans="1:58" ht="15.75" customHeight="1" x14ac:dyDescent="0.25">
      <c r="A662" s="44">
        <v>2020</v>
      </c>
      <c r="B662" s="39">
        <v>171830</v>
      </c>
      <c r="C662" s="38" t="s">
        <v>145</v>
      </c>
      <c r="D662" s="38" t="s">
        <v>109</v>
      </c>
      <c r="E662" s="21">
        <v>3</v>
      </c>
      <c r="F662" s="42">
        <f t="shared" si="291"/>
        <v>1.5625E-2</v>
      </c>
      <c r="G662" s="21">
        <v>1</v>
      </c>
      <c r="H662" s="42">
        <f t="shared" si="292"/>
        <v>1.282051282051282E-2</v>
      </c>
      <c r="I662" s="21">
        <v>9</v>
      </c>
      <c r="J662" s="41">
        <f t="shared" si="293"/>
        <v>4.6875E-2</v>
      </c>
      <c r="K662" s="21">
        <v>4</v>
      </c>
      <c r="L662" s="41">
        <f t="shared" si="294"/>
        <v>5.128205128205128E-2</v>
      </c>
      <c r="M662" s="21">
        <v>170</v>
      </c>
      <c r="N662" s="41">
        <f t="shared" si="295"/>
        <v>0.88541666666666663</v>
      </c>
      <c r="O662" s="21">
        <v>69</v>
      </c>
      <c r="P662" s="41">
        <f t="shared" si="296"/>
        <v>0.88461538461538458</v>
      </c>
      <c r="Q662" s="21">
        <v>10</v>
      </c>
      <c r="R662" s="41">
        <f t="shared" si="297"/>
        <v>5.2083333333333336E-2</v>
      </c>
      <c r="S662" s="21">
        <v>4</v>
      </c>
      <c r="T662" s="41">
        <f t="shared" si="298"/>
        <v>5.128205128205128E-2</v>
      </c>
      <c r="U662" s="21">
        <v>9</v>
      </c>
      <c r="V662" s="41">
        <f t="shared" si="299"/>
        <v>4.6875E-2</v>
      </c>
      <c r="W662" s="21">
        <v>7</v>
      </c>
      <c r="X662" s="41">
        <f t="shared" si="300"/>
        <v>8.9743589743589744E-2</v>
      </c>
      <c r="Y662" s="21">
        <v>26</v>
      </c>
      <c r="Z662" s="41">
        <f t="shared" si="301"/>
        <v>0.13541666666666666</v>
      </c>
      <c r="AA662" s="21">
        <v>4</v>
      </c>
      <c r="AB662" s="41">
        <f t="shared" si="302"/>
        <v>5.128205128205128E-2</v>
      </c>
      <c r="AC662" s="21">
        <v>157</v>
      </c>
      <c r="AD662" s="41">
        <f t="shared" si="284"/>
        <v>0.81770833333333337</v>
      </c>
      <c r="AE662" s="21">
        <v>66</v>
      </c>
      <c r="AF662" s="41">
        <f t="shared" si="303"/>
        <v>0.84615384615384615</v>
      </c>
      <c r="AG662" s="21">
        <v>11</v>
      </c>
      <c r="AH662" s="41">
        <f t="shared" si="285"/>
        <v>5.7291666666666664E-2</v>
      </c>
      <c r="AI662" s="21">
        <v>6</v>
      </c>
      <c r="AJ662" s="41">
        <f t="shared" si="304"/>
        <v>7.6923076923076927E-2</v>
      </c>
      <c r="AK662" s="21">
        <v>2</v>
      </c>
      <c r="AL662" s="41">
        <f t="shared" si="286"/>
        <v>1.0416666666666666E-2</v>
      </c>
      <c r="AM662" s="21">
        <v>3</v>
      </c>
      <c r="AN662" s="41">
        <f t="shared" si="305"/>
        <v>3.8461538461538464E-2</v>
      </c>
      <c r="AO662" s="21">
        <v>117</v>
      </c>
      <c r="AP662" s="41">
        <f t="shared" si="287"/>
        <v>0.609375</v>
      </c>
      <c r="AQ662" s="21">
        <v>49</v>
      </c>
      <c r="AR662" s="41">
        <f t="shared" si="306"/>
        <v>0.62820512820512819</v>
      </c>
      <c r="AS662" s="21">
        <v>33</v>
      </c>
      <c r="AT662" s="41">
        <f t="shared" si="288"/>
        <v>0.171875</v>
      </c>
      <c r="AU662" s="21">
        <v>7</v>
      </c>
      <c r="AV662" s="41">
        <f t="shared" si="307"/>
        <v>8.9743589743589744E-2</v>
      </c>
      <c r="AW662" s="21">
        <v>20</v>
      </c>
      <c r="AX662" s="41">
        <f t="shared" si="289"/>
        <v>0.10416666666666667</v>
      </c>
      <c r="AY662" s="21">
        <v>8</v>
      </c>
      <c r="AZ662" s="41">
        <f t="shared" si="308"/>
        <v>0.10256410256410256</v>
      </c>
      <c r="BA662" s="21">
        <v>9</v>
      </c>
      <c r="BB662" s="41">
        <f t="shared" si="290"/>
        <v>4.6875E-2</v>
      </c>
      <c r="BC662" s="21">
        <v>5</v>
      </c>
      <c r="BD662" s="41">
        <f t="shared" si="309"/>
        <v>6.4102564102564097E-2</v>
      </c>
      <c r="BE662" s="21">
        <v>192</v>
      </c>
      <c r="BF662" s="21">
        <v>78</v>
      </c>
    </row>
    <row r="663" spans="1:58" ht="15.75" customHeight="1" x14ac:dyDescent="0.25">
      <c r="A663" s="44">
        <v>2020</v>
      </c>
      <c r="B663" s="39">
        <v>171840</v>
      </c>
      <c r="C663" s="38" t="s">
        <v>150</v>
      </c>
      <c r="D663" s="38" t="s">
        <v>110</v>
      </c>
      <c r="E663" s="21">
        <v>0</v>
      </c>
      <c r="F663" s="42">
        <f t="shared" si="291"/>
        <v>0</v>
      </c>
      <c r="G663" s="21">
        <v>0</v>
      </c>
      <c r="H663" s="42">
        <f t="shared" si="292"/>
        <v>0</v>
      </c>
      <c r="I663" s="21">
        <v>0</v>
      </c>
      <c r="J663" s="41">
        <f t="shared" si="293"/>
        <v>0</v>
      </c>
      <c r="K663" s="21">
        <v>0</v>
      </c>
      <c r="L663" s="41">
        <f t="shared" si="294"/>
        <v>0</v>
      </c>
      <c r="M663" s="21">
        <v>108</v>
      </c>
      <c r="N663" s="41">
        <f t="shared" si="295"/>
        <v>0.86399999999999999</v>
      </c>
      <c r="O663" s="21">
        <v>19</v>
      </c>
      <c r="P663" s="41">
        <f t="shared" si="296"/>
        <v>0.82608695652173914</v>
      </c>
      <c r="Q663" s="21">
        <v>17</v>
      </c>
      <c r="R663" s="41">
        <f t="shared" si="297"/>
        <v>0.13600000000000001</v>
      </c>
      <c r="S663" s="21">
        <v>4</v>
      </c>
      <c r="T663" s="41">
        <f t="shared" si="298"/>
        <v>0.17391304347826086</v>
      </c>
      <c r="U663" s="21">
        <v>1</v>
      </c>
      <c r="V663" s="41">
        <f t="shared" si="299"/>
        <v>8.0000000000000002E-3</v>
      </c>
      <c r="W663" s="21">
        <v>0</v>
      </c>
      <c r="X663" s="41">
        <f t="shared" si="300"/>
        <v>0</v>
      </c>
      <c r="Y663" s="21">
        <v>7</v>
      </c>
      <c r="Z663" s="41">
        <f t="shared" si="301"/>
        <v>5.6000000000000001E-2</v>
      </c>
      <c r="AA663" s="21">
        <v>3</v>
      </c>
      <c r="AB663" s="41">
        <f t="shared" si="302"/>
        <v>0.13043478260869565</v>
      </c>
      <c r="AC663" s="21">
        <v>117</v>
      </c>
      <c r="AD663" s="41">
        <f t="shared" si="284"/>
        <v>0.93600000000000005</v>
      </c>
      <c r="AE663" s="21">
        <v>20</v>
      </c>
      <c r="AF663" s="41">
        <f t="shared" si="303"/>
        <v>0.86956521739130432</v>
      </c>
      <c r="AG663" s="21">
        <v>1</v>
      </c>
      <c r="AH663" s="41">
        <f t="shared" si="285"/>
        <v>8.0000000000000002E-3</v>
      </c>
      <c r="AI663" s="21">
        <v>0</v>
      </c>
      <c r="AJ663" s="41">
        <f t="shared" si="304"/>
        <v>0</v>
      </c>
      <c r="AK663" s="21">
        <v>2</v>
      </c>
      <c r="AL663" s="41">
        <f t="shared" si="286"/>
        <v>1.6E-2</v>
      </c>
      <c r="AM663" s="21">
        <v>0</v>
      </c>
      <c r="AN663" s="41">
        <f t="shared" si="305"/>
        <v>0</v>
      </c>
      <c r="AO663" s="21">
        <v>77</v>
      </c>
      <c r="AP663" s="41">
        <f t="shared" si="287"/>
        <v>0.61599999999999999</v>
      </c>
      <c r="AQ663" s="21">
        <v>14</v>
      </c>
      <c r="AR663" s="41">
        <f t="shared" si="306"/>
        <v>0.60869565217391308</v>
      </c>
      <c r="AS663" s="21">
        <v>25</v>
      </c>
      <c r="AT663" s="41">
        <f t="shared" si="288"/>
        <v>0.2</v>
      </c>
      <c r="AU663" s="21">
        <v>4</v>
      </c>
      <c r="AV663" s="41">
        <f t="shared" si="307"/>
        <v>0.17391304347826086</v>
      </c>
      <c r="AW663" s="21">
        <v>10</v>
      </c>
      <c r="AX663" s="41">
        <f t="shared" si="289"/>
        <v>0.08</v>
      </c>
      <c r="AY663" s="21">
        <v>2</v>
      </c>
      <c r="AZ663" s="41">
        <f t="shared" si="308"/>
        <v>8.6956521739130432E-2</v>
      </c>
      <c r="BA663" s="21">
        <v>10</v>
      </c>
      <c r="BB663" s="41">
        <f t="shared" si="290"/>
        <v>0.08</v>
      </c>
      <c r="BC663" s="21">
        <v>3</v>
      </c>
      <c r="BD663" s="41">
        <f t="shared" si="309"/>
        <v>0.13043478260869565</v>
      </c>
      <c r="BE663" s="21">
        <v>125</v>
      </c>
      <c r="BF663" s="21">
        <v>23</v>
      </c>
    </row>
    <row r="664" spans="1:58" ht="15.75" customHeight="1" x14ac:dyDescent="0.25">
      <c r="A664" s="44">
        <v>2020</v>
      </c>
      <c r="B664" s="39">
        <v>171845</v>
      </c>
      <c r="C664" s="38" t="s">
        <v>144</v>
      </c>
      <c r="D664" s="38" t="s">
        <v>111</v>
      </c>
      <c r="E664" s="21">
        <v>0</v>
      </c>
      <c r="F664" s="42">
        <f t="shared" si="291"/>
        <v>0</v>
      </c>
      <c r="G664" s="21">
        <v>0</v>
      </c>
      <c r="H664" s="42">
        <f t="shared" si="292"/>
        <v>0</v>
      </c>
      <c r="I664" s="21">
        <v>3</v>
      </c>
      <c r="J664" s="41">
        <f t="shared" si="293"/>
        <v>3.125E-2</v>
      </c>
      <c r="K664" s="21">
        <v>3</v>
      </c>
      <c r="L664" s="41">
        <f t="shared" si="294"/>
        <v>3.9473684210526314E-2</v>
      </c>
      <c r="M664" s="21">
        <v>84</v>
      </c>
      <c r="N664" s="41">
        <f t="shared" si="295"/>
        <v>0.875</v>
      </c>
      <c r="O664" s="21">
        <v>67</v>
      </c>
      <c r="P664" s="41">
        <f t="shared" si="296"/>
        <v>0.88157894736842102</v>
      </c>
      <c r="Q664" s="21">
        <v>9</v>
      </c>
      <c r="R664" s="41">
        <f t="shared" si="297"/>
        <v>9.375E-2</v>
      </c>
      <c r="S664" s="21">
        <v>6</v>
      </c>
      <c r="T664" s="41">
        <f t="shared" si="298"/>
        <v>7.8947368421052627E-2</v>
      </c>
      <c r="U664" s="21">
        <v>4</v>
      </c>
      <c r="V664" s="41">
        <f t="shared" si="299"/>
        <v>4.1666666666666664E-2</v>
      </c>
      <c r="W664" s="21">
        <v>2</v>
      </c>
      <c r="X664" s="41">
        <f t="shared" si="300"/>
        <v>2.6315789473684209E-2</v>
      </c>
      <c r="Y664" s="21">
        <v>7</v>
      </c>
      <c r="Z664" s="41">
        <f t="shared" si="301"/>
        <v>7.2916666666666671E-2</v>
      </c>
      <c r="AA664" s="21">
        <v>7</v>
      </c>
      <c r="AB664" s="41">
        <f t="shared" si="302"/>
        <v>9.2105263157894732E-2</v>
      </c>
      <c r="AC664" s="21">
        <v>85</v>
      </c>
      <c r="AD664" s="41">
        <f t="shared" si="284"/>
        <v>0.88541666666666663</v>
      </c>
      <c r="AE664" s="21">
        <v>67</v>
      </c>
      <c r="AF664" s="41">
        <f t="shared" si="303"/>
        <v>0.88157894736842102</v>
      </c>
      <c r="AG664" s="21">
        <v>3</v>
      </c>
      <c r="AH664" s="41">
        <f t="shared" si="285"/>
        <v>3.125E-2</v>
      </c>
      <c r="AI664" s="21">
        <v>3</v>
      </c>
      <c r="AJ664" s="41">
        <f t="shared" si="304"/>
        <v>3.9473684210526314E-2</v>
      </c>
      <c r="AK664" s="21">
        <v>5</v>
      </c>
      <c r="AL664" s="41">
        <f t="shared" si="286"/>
        <v>5.2083333333333336E-2</v>
      </c>
      <c r="AM664" s="21">
        <v>5</v>
      </c>
      <c r="AN664" s="41">
        <f t="shared" si="305"/>
        <v>6.5789473684210523E-2</v>
      </c>
      <c r="AO664" s="21">
        <v>59</v>
      </c>
      <c r="AP664" s="41">
        <f t="shared" si="287"/>
        <v>0.61458333333333337</v>
      </c>
      <c r="AQ664" s="21">
        <v>47</v>
      </c>
      <c r="AR664" s="41">
        <f t="shared" si="306"/>
        <v>0.61842105263157898</v>
      </c>
      <c r="AS664" s="21">
        <v>15</v>
      </c>
      <c r="AT664" s="41">
        <f t="shared" si="288"/>
        <v>0.15625</v>
      </c>
      <c r="AU664" s="21">
        <v>10</v>
      </c>
      <c r="AV664" s="41">
        <f t="shared" si="307"/>
        <v>0.13157894736842105</v>
      </c>
      <c r="AW664" s="21">
        <v>4</v>
      </c>
      <c r="AX664" s="41">
        <f t="shared" si="289"/>
        <v>4.1666666666666664E-2</v>
      </c>
      <c r="AY664" s="21">
        <v>4</v>
      </c>
      <c r="AZ664" s="41">
        <f t="shared" si="308"/>
        <v>5.2631578947368418E-2</v>
      </c>
      <c r="BA664" s="21">
        <v>10</v>
      </c>
      <c r="BB664" s="41">
        <f t="shared" si="290"/>
        <v>0.10416666666666667</v>
      </c>
      <c r="BC664" s="21">
        <v>7</v>
      </c>
      <c r="BD664" s="41">
        <f t="shared" si="309"/>
        <v>9.2105263157894732E-2</v>
      </c>
      <c r="BE664" s="21">
        <v>96</v>
      </c>
      <c r="BF664" s="21">
        <v>76</v>
      </c>
    </row>
    <row r="665" spans="1:58" ht="15.75" customHeight="1" x14ac:dyDescent="0.25">
      <c r="A665" s="44">
        <v>2020</v>
      </c>
      <c r="B665" s="39">
        <v>171850</v>
      </c>
      <c r="C665" s="38" t="s">
        <v>150</v>
      </c>
      <c r="D665" s="38" t="s">
        <v>112</v>
      </c>
      <c r="E665" s="21">
        <v>3</v>
      </c>
      <c r="F665" s="42">
        <f t="shared" si="291"/>
        <v>2.1897810218978103E-2</v>
      </c>
      <c r="G665" s="21">
        <v>2</v>
      </c>
      <c r="H665" s="42">
        <f t="shared" si="292"/>
        <v>2.0833333333333332E-2</v>
      </c>
      <c r="I665" s="21">
        <v>6</v>
      </c>
      <c r="J665" s="41">
        <f t="shared" si="293"/>
        <v>4.3795620437956206E-2</v>
      </c>
      <c r="K665" s="21">
        <v>5</v>
      </c>
      <c r="L665" s="41">
        <f t="shared" si="294"/>
        <v>5.2083333333333336E-2</v>
      </c>
      <c r="M665" s="21">
        <v>123</v>
      </c>
      <c r="N665" s="41">
        <f t="shared" si="295"/>
        <v>0.8978102189781022</v>
      </c>
      <c r="O665" s="21">
        <v>86</v>
      </c>
      <c r="P665" s="41">
        <f t="shared" si="296"/>
        <v>0.89583333333333337</v>
      </c>
      <c r="Q665" s="21">
        <v>5</v>
      </c>
      <c r="R665" s="41">
        <f t="shared" si="297"/>
        <v>3.6496350364963501E-2</v>
      </c>
      <c r="S665" s="21">
        <v>3</v>
      </c>
      <c r="T665" s="41">
        <f t="shared" si="298"/>
        <v>3.125E-2</v>
      </c>
      <c r="U665" s="21">
        <v>11</v>
      </c>
      <c r="V665" s="41">
        <f t="shared" si="299"/>
        <v>8.0291970802919707E-2</v>
      </c>
      <c r="W665" s="21">
        <v>4</v>
      </c>
      <c r="X665" s="41">
        <f t="shared" si="300"/>
        <v>4.1666666666666664E-2</v>
      </c>
      <c r="Y665" s="21">
        <v>21</v>
      </c>
      <c r="Z665" s="41">
        <f t="shared" si="301"/>
        <v>0.15328467153284672</v>
      </c>
      <c r="AA665" s="21">
        <v>15</v>
      </c>
      <c r="AB665" s="41">
        <f t="shared" si="302"/>
        <v>0.15625</v>
      </c>
      <c r="AC665" s="21">
        <v>105</v>
      </c>
      <c r="AD665" s="41">
        <f t="shared" si="284"/>
        <v>0.76642335766423353</v>
      </c>
      <c r="AE665" s="21">
        <v>77</v>
      </c>
      <c r="AF665" s="41">
        <f t="shared" si="303"/>
        <v>0.80208333333333337</v>
      </c>
      <c r="AG665" s="21">
        <v>6</v>
      </c>
      <c r="AH665" s="41">
        <f t="shared" si="285"/>
        <v>4.3795620437956206E-2</v>
      </c>
      <c r="AI665" s="21">
        <v>5</v>
      </c>
      <c r="AJ665" s="41">
        <f t="shared" si="304"/>
        <v>5.2083333333333336E-2</v>
      </c>
      <c r="AK665" s="21">
        <v>9</v>
      </c>
      <c r="AL665" s="41">
        <f t="shared" si="286"/>
        <v>6.569343065693431E-2</v>
      </c>
      <c r="AM665" s="21">
        <v>9</v>
      </c>
      <c r="AN665" s="41">
        <f t="shared" si="305"/>
        <v>9.375E-2</v>
      </c>
      <c r="AO665" s="21">
        <v>71</v>
      </c>
      <c r="AP665" s="41">
        <f t="shared" si="287"/>
        <v>0.51824817518248179</v>
      </c>
      <c r="AQ665" s="21">
        <v>58</v>
      </c>
      <c r="AR665" s="41">
        <f t="shared" si="306"/>
        <v>0.60416666666666663</v>
      </c>
      <c r="AS665" s="21">
        <v>33</v>
      </c>
      <c r="AT665" s="41">
        <f t="shared" si="288"/>
        <v>0.24087591240875914</v>
      </c>
      <c r="AU665" s="21">
        <v>16</v>
      </c>
      <c r="AV665" s="41">
        <f t="shared" si="307"/>
        <v>0.16666666666666666</v>
      </c>
      <c r="AW665" s="21">
        <v>13</v>
      </c>
      <c r="AX665" s="41">
        <f t="shared" si="289"/>
        <v>9.4890510948905105E-2</v>
      </c>
      <c r="AY665" s="21">
        <v>7</v>
      </c>
      <c r="AZ665" s="41">
        <f t="shared" si="308"/>
        <v>7.2916666666666671E-2</v>
      </c>
      <c r="BA665" s="21">
        <v>5</v>
      </c>
      <c r="BB665" s="41">
        <f t="shared" si="290"/>
        <v>3.6496350364963501E-2</v>
      </c>
      <c r="BC665" s="21">
        <v>1</v>
      </c>
      <c r="BD665" s="41">
        <f t="shared" si="309"/>
        <v>1.0416666666666666E-2</v>
      </c>
      <c r="BE665" s="21">
        <v>137</v>
      </c>
      <c r="BF665" s="21">
        <v>96</v>
      </c>
    </row>
    <row r="666" spans="1:58" ht="15.75" customHeight="1" x14ac:dyDescent="0.25">
      <c r="A666" s="44">
        <v>2020</v>
      </c>
      <c r="B666" s="39">
        <v>171855</v>
      </c>
      <c r="C666" s="38" t="s">
        <v>145</v>
      </c>
      <c r="D666" s="38" t="s">
        <v>113</v>
      </c>
      <c r="E666" s="21">
        <v>0</v>
      </c>
      <c r="F666" s="42">
        <f t="shared" si="291"/>
        <v>0</v>
      </c>
      <c r="G666" s="21">
        <v>0</v>
      </c>
      <c r="H666" s="42">
        <f t="shared" si="292"/>
        <v>0</v>
      </c>
      <c r="I666" s="21">
        <v>0</v>
      </c>
      <c r="J666" s="41">
        <f t="shared" si="293"/>
        <v>0</v>
      </c>
      <c r="K666" s="21">
        <v>0</v>
      </c>
      <c r="L666" s="41">
        <f t="shared" si="294"/>
        <v>0</v>
      </c>
      <c r="M666" s="21">
        <v>27</v>
      </c>
      <c r="N666" s="41">
        <f t="shared" si="295"/>
        <v>0.93103448275862066</v>
      </c>
      <c r="O666" s="21">
        <v>3</v>
      </c>
      <c r="P666" s="41">
        <f t="shared" si="296"/>
        <v>1</v>
      </c>
      <c r="Q666" s="21">
        <v>2</v>
      </c>
      <c r="R666" s="41">
        <f t="shared" si="297"/>
        <v>6.8965517241379309E-2</v>
      </c>
      <c r="S666" s="21">
        <v>0</v>
      </c>
      <c r="T666" s="41">
        <f t="shared" si="298"/>
        <v>0</v>
      </c>
      <c r="U666" s="21">
        <v>1</v>
      </c>
      <c r="V666" s="41">
        <f t="shared" si="299"/>
        <v>3.4482758620689655E-2</v>
      </c>
      <c r="W666" s="21">
        <v>0</v>
      </c>
      <c r="X666" s="41">
        <f t="shared" si="300"/>
        <v>0</v>
      </c>
      <c r="Y666" s="21">
        <v>0</v>
      </c>
      <c r="Z666" s="41">
        <f t="shared" si="301"/>
        <v>0</v>
      </c>
      <c r="AA666" s="21">
        <v>0</v>
      </c>
      <c r="AB666" s="41">
        <f t="shared" si="302"/>
        <v>0</v>
      </c>
      <c r="AC666" s="21">
        <v>28</v>
      </c>
      <c r="AD666" s="41">
        <f t="shared" si="284"/>
        <v>0.96551724137931039</v>
      </c>
      <c r="AE666" s="21">
        <v>3</v>
      </c>
      <c r="AF666" s="41">
        <f t="shared" si="303"/>
        <v>1</v>
      </c>
      <c r="AG666" s="21">
        <v>0</v>
      </c>
      <c r="AH666" s="41">
        <f t="shared" si="285"/>
        <v>0</v>
      </c>
      <c r="AI666" s="21">
        <v>0</v>
      </c>
      <c r="AJ666" s="41">
        <f t="shared" si="304"/>
        <v>0</v>
      </c>
      <c r="AK666" s="21">
        <v>1</v>
      </c>
      <c r="AL666" s="41">
        <f t="shared" si="286"/>
        <v>3.4482758620689655E-2</v>
      </c>
      <c r="AM666" s="21">
        <v>0</v>
      </c>
      <c r="AN666" s="41">
        <f t="shared" si="305"/>
        <v>0</v>
      </c>
      <c r="AO666" s="21">
        <v>16</v>
      </c>
      <c r="AP666" s="41">
        <f t="shared" si="287"/>
        <v>0.55172413793103448</v>
      </c>
      <c r="AQ666" s="21">
        <v>2</v>
      </c>
      <c r="AR666" s="41">
        <f t="shared" si="306"/>
        <v>0.66666666666666663</v>
      </c>
      <c r="AS666" s="21">
        <v>9</v>
      </c>
      <c r="AT666" s="41">
        <f t="shared" si="288"/>
        <v>0.31034482758620691</v>
      </c>
      <c r="AU666" s="21">
        <v>1</v>
      </c>
      <c r="AV666" s="41">
        <f t="shared" si="307"/>
        <v>0.33333333333333331</v>
      </c>
      <c r="AW666" s="21">
        <v>3</v>
      </c>
      <c r="AX666" s="41">
        <f t="shared" si="289"/>
        <v>0.10344827586206896</v>
      </c>
      <c r="AY666" s="21">
        <v>0</v>
      </c>
      <c r="AZ666" s="41">
        <f t="shared" si="308"/>
        <v>0</v>
      </c>
      <c r="BA666" s="21">
        <v>0</v>
      </c>
      <c r="BB666" s="41">
        <f t="shared" si="290"/>
        <v>0</v>
      </c>
      <c r="BC666" s="21">
        <v>0</v>
      </c>
      <c r="BD666" s="41">
        <f t="shared" si="309"/>
        <v>0</v>
      </c>
      <c r="BE666" s="21">
        <v>29</v>
      </c>
      <c r="BF666" s="21">
        <v>3</v>
      </c>
    </row>
    <row r="667" spans="1:58" ht="15.75" customHeight="1" x14ac:dyDescent="0.25">
      <c r="A667" s="44">
        <v>2020</v>
      </c>
      <c r="B667" s="39">
        <v>171865</v>
      </c>
      <c r="C667" s="38" t="s">
        <v>147</v>
      </c>
      <c r="D667" s="38" t="s">
        <v>114</v>
      </c>
      <c r="E667" s="21">
        <v>2</v>
      </c>
      <c r="F667" s="42">
        <f t="shared" si="291"/>
        <v>1.8867924528301886E-2</v>
      </c>
      <c r="G667" s="21">
        <v>2</v>
      </c>
      <c r="H667" s="42">
        <f t="shared" si="292"/>
        <v>2.0408163265306121E-2</v>
      </c>
      <c r="I667" s="21">
        <v>3</v>
      </c>
      <c r="J667" s="41">
        <f t="shared" si="293"/>
        <v>2.8301886792452831E-2</v>
      </c>
      <c r="K667" s="21">
        <v>2</v>
      </c>
      <c r="L667" s="41">
        <f t="shared" si="294"/>
        <v>2.0408163265306121E-2</v>
      </c>
      <c r="M667" s="21">
        <v>97</v>
      </c>
      <c r="N667" s="41">
        <f t="shared" si="295"/>
        <v>0.91509433962264153</v>
      </c>
      <c r="O667" s="21">
        <v>90</v>
      </c>
      <c r="P667" s="41">
        <f t="shared" si="296"/>
        <v>0.91836734693877553</v>
      </c>
      <c r="Q667" s="21">
        <v>4</v>
      </c>
      <c r="R667" s="41">
        <f t="shared" si="297"/>
        <v>3.7735849056603772E-2</v>
      </c>
      <c r="S667" s="21">
        <v>4</v>
      </c>
      <c r="T667" s="41">
        <f t="shared" si="298"/>
        <v>4.0816326530612242E-2</v>
      </c>
      <c r="U667" s="21">
        <v>3</v>
      </c>
      <c r="V667" s="41">
        <f t="shared" si="299"/>
        <v>2.8301886792452831E-2</v>
      </c>
      <c r="W667" s="21">
        <v>3</v>
      </c>
      <c r="X667" s="41">
        <f t="shared" si="300"/>
        <v>3.0612244897959183E-2</v>
      </c>
      <c r="Y667" s="21">
        <v>14</v>
      </c>
      <c r="Z667" s="41">
        <f t="shared" si="301"/>
        <v>0.13207547169811321</v>
      </c>
      <c r="AA667" s="21">
        <v>12</v>
      </c>
      <c r="AB667" s="41">
        <f t="shared" si="302"/>
        <v>0.12244897959183673</v>
      </c>
      <c r="AC667" s="21">
        <v>89</v>
      </c>
      <c r="AD667" s="41">
        <f t="shared" si="284"/>
        <v>0.839622641509434</v>
      </c>
      <c r="AE667" s="21">
        <v>83</v>
      </c>
      <c r="AF667" s="41">
        <f t="shared" si="303"/>
        <v>0.84693877551020413</v>
      </c>
      <c r="AG667" s="21">
        <v>7</v>
      </c>
      <c r="AH667" s="41">
        <f t="shared" si="285"/>
        <v>6.6037735849056603E-2</v>
      </c>
      <c r="AI667" s="21">
        <v>6</v>
      </c>
      <c r="AJ667" s="41">
        <f t="shared" si="304"/>
        <v>6.1224489795918366E-2</v>
      </c>
      <c r="AK667" s="21">
        <v>4</v>
      </c>
      <c r="AL667" s="41">
        <f t="shared" si="286"/>
        <v>3.7735849056603772E-2</v>
      </c>
      <c r="AM667" s="21">
        <v>4</v>
      </c>
      <c r="AN667" s="41">
        <f t="shared" si="305"/>
        <v>4.0816326530612242E-2</v>
      </c>
      <c r="AO667" s="21">
        <v>68</v>
      </c>
      <c r="AP667" s="41">
        <f t="shared" si="287"/>
        <v>0.64150943396226412</v>
      </c>
      <c r="AQ667" s="21">
        <v>66</v>
      </c>
      <c r="AR667" s="41">
        <f t="shared" si="306"/>
        <v>0.67346938775510201</v>
      </c>
      <c r="AS667" s="21">
        <v>17</v>
      </c>
      <c r="AT667" s="41">
        <f t="shared" si="288"/>
        <v>0.16037735849056603</v>
      </c>
      <c r="AU667" s="21">
        <v>14</v>
      </c>
      <c r="AV667" s="41">
        <f t="shared" si="307"/>
        <v>0.14285714285714285</v>
      </c>
      <c r="AW667" s="21">
        <v>7</v>
      </c>
      <c r="AX667" s="41">
        <f t="shared" si="289"/>
        <v>6.6037735849056603E-2</v>
      </c>
      <c r="AY667" s="21">
        <v>5</v>
      </c>
      <c r="AZ667" s="41">
        <f t="shared" si="308"/>
        <v>5.1020408163265307E-2</v>
      </c>
      <c r="BA667" s="21">
        <v>3</v>
      </c>
      <c r="BB667" s="41">
        <f t="shared" si="290"/>
        <v>2.8301886792452831E-2</v>
      </c>
      <c r="BC667" s="21">
        <v>3</v>
      </c>
      <c r="BD667" s="41">
        <f t="shared" si="309"/>
        <v>3.0612244897959183E-2</v>
      </c>
      <c r="BE667" s="21">
        <v>106</v>
      </c>
      <c r="BF667" s="21">
        <v>98</v>
      </c>
    </row>
    <row r="668" spans="1:58" ht="15.75" customHeight="1" x14ac:dyDescent="0.25">
      <c r="A668" s="44">
        <v>2020</v>
      </c>
      <c r="B668" s="39">
        <v>171870</v>
      </c>
      <c r="C668" s="38" t="s">
        <v>148</v>
      </c>
      <c r="D668" s="38" t="s">
        <v>115</v>
      </c>
      <c r="E668" s="21">
        <v>0</v>
      </c>
      <c r="F668" s="42">
        <f t="shared" si="291"/>
        <v>0</v>
      </c>
      <c r="G668" s="21">
        <v>0</v>
      </c>
      <c r="H668" s="42">
        <f t="shared" si="292"/>
        <v>0</v>
      </c>
      <c r="I668" s="21">
        <v>1</v>
      </c>
      <c r="J668" s="41">
        <f t="shared" si="293"/>
        <v>7.3529411764705881E-3</v>
      </c>
      <c r="K668" s="21">
        <v>0</v>
      </c>
      <c r="L668" s="41">
        <f t="shared" si="294"/>
        <v>0</v>
      </c>
      <c r="M668" s="21">
        <v>133</v>
      </c>
      <c r="N668" s="41">
        <f t="shared" si="295"/>
        <v>0.9779411764705882</v>
      </c>
      <c r="O668" s="21">
        <v>107</v>
      </c>
      <c r="P668" s="41">
        <f t="shared" si="296"/>
        <v>0.98165137614678899</v>
      </c>
      <c r="Q668" s="21">
        <v>2</v>
      </c>
      <c r="R668" s="41">
        <f t="shared" si="297"/>
        <v>1.4705882352941176E-2</v>
      </c>
      <c r="S668" s="21">
        <v>2</v>
      </c>
      <c r="T668" s="41">
        <f t="shared" si="298"/>
        <v>1.834862385321101E-2</v>
      </c>
      <c r="U668" s="21">
        <v>16</v>
      </c>
      <c r="V668" s="41">
        <f t="shared" si="299"/>
        <v>0.11764705882352941</v>
      </c>
      <c r="W668" s="21">
        <v>14</v>
      </c>
      <c r="X668" s="41">
        <f t="shared" si="300"/>
        <v>0.12844036697247707</v>
      </c>
      <c r="Y668" s="21">
        <v>19</v>
      </c>
      <c r="Z668" s="41">
        <f t="shared" si="301"/>
        <v>0.13970588235294118</v>
      </c>
      <c r="AA668" s="21">
        <v>19</v>
      </c>
      <c r="AB668" s="41">
        <f t="shared" si="302"/>
        <v>0.1743119266055046</v>
      </c>
      <c r="AC668" s="21">
        <v>101</v>
      </c>
      <c r="AD668" s="41">
        <f t="shared" si="284"/>
        <v>0.74264705882352944</v>
      </c>
      <c r="AE668" s="21">
        <v>76</v>
      </c>
      <c r="AF668" s="41">
        <f t="shared" si="303"/>
        <v>0.69724770642201839</v>
      </c>
      <c r="AG668" s="21">
        <v>3</v>
      </c>
      <c r="AH668" s="41">
        <f t="shared" si="285"/>
        <v>2.2058823529411766E-2</v>
      </c>
      <c r="AI668" s="21">
        <v>2</v>
      </c>
      <c r="AJ668" s="41">
        <f t="shared" si="304"/>
        <v>1.834862385321101E-2</v>
      </c>
      <c r="AK668" s="21">
        <v>8</v>
      </c>
      <c r="AL668" s="41">
        <f t="shared" si="286"/>
        <v>5.8823529411764705E-2</v>
      </c>
      <c r="AM668" s="21">
        <v>7</v>
      </c>
      <c r="AN668" s="41">
        <f t="shared" si="305"/>
        <v>6.4220183486238536E-2</v>
      </c>
      <c r="AO668" s="21">
        <v>65</v>
      </c>
      <c r="AP668" s="41">
        <f t="shared" si="287"/>
        <v>0.47794117647058826</v>
      </c>
      <c r="AQ668" s="21">
        <v>48</v>
      </c>
      <c r="AR668" s="41">
        <f t="shared" si="306"/>
        <v>0.44036697247706424</v>
      </c>
      <c r="AS668" s="21">
        <v>32</v>
      </c>
      <c r="AT668" s="41">
        <f t="shared" si="288"/>
        <v>0.23529411764705882</v>
      </c>
      <c r="AU668" s="21">
        <v>26</v>
      </c>
      <c r="AV668" s="41">
        <f t="shared" si="307"/>
        <v>0.23853211009174313</v>
      </c>
      <c r="AW668" s="21">
        <v>17</v>
      </c>
      <c r="AX668" s="41">
        <f t="shared" si="289"/>
        <v>0.125</v>
      </c>
      <c r="AY668" s="21">
        <v>15</v>
      </c>
      <c r="AZ668" s="41">
        <f t="shared" si="308"/>
        <v>0.13761467889908258</v>
      </c>
      <c r="BA668" s="21">
        <v>11</v>
      </c>
      <c r="BB668" s="41">
        <f t="shared" si="290"/>
        <v>8.0882352941176475E-2</v>
      </c>
      <c r="BC668" s="21">
        <v>11</v>
      </c>
      <c r="BD668" s="41">
        <f t="shared" si="309"/>
        <v>0.10091743119266056</v>
      </c>
      <c r="BE668" s="21">
        <v>136</v>
      </c>
      <c r="BF668" s="21">
        <v>109</v>
      </c>
    </row>
    <row r="669" spans="1:58" ht="15.75" customHeight="1" x14ac:dyDescent="0.25">
      <c r="A669" s="44">
        <v>2020</v>
      </c>
      <c r="B669" s="39">
        <v>171875</v>
      </c>
      <c r="C669" s="38" t="s">
        <v>148</v>
      </c>
      <c r="D669" s="38" t="s">
        <v>116</v>
      </c>
      <c r="E669" s="21">
        <v>2</v>
      </c>
      <c r="F669" s="42">
        <f t="shared" si="291"/>
        <v>2.9850746268656716E-2</v>
      </c>
      <c r="G669" s="21">
        <v>1</v>
      </c>
      <c r="H669" s="42">
        <f t="shared" si="292"/>
        <v>2.564102564102564E-2</v>
      </c>
      <c r="I669" s="21">
        <v>3</v>
      </c>
      <c r="J669" s="41">
        <f t="shared" si="293"/>
        <v>4.4776119402985072E-2</v>
      </c>
      <c r="K669" s="21">
        <v>1</v>
      </c>
      <c r="L669" s="41">
        <f t="shared" si="294"/>
        <v>2.564102564102564E-2</v>
      </c>
      <c r="M669" s="21">
        <v>60</v>
      </c>
      <c r="N669" s="41">
        <f t="shared" si="295"/>
        <v>0.89552238805970152</v>
      </c>
      <c r="O669" s="21">
        <v>36</v>
      </c>
      <c r="P669" s="41">
        <f t="shared" si="296"/>
        <v>0.92307692307692313</v>
      </c>
      <c r="Q669" s="21">
        <v>2</v>
      </c>
      <c r="R669" s="41">
        <f t="shared" si="297"/>
        <v>2.9850746268656716E-2</v>
      </c>
      <c r="S669" s="21">
        <v>1</v>
      </c>
      <c r="T669" s="41">
        <f t="shared" si="298"/>
        <v>2.564102564102564E-2</v>
      </c>
      <c r="U669" s="21">
        <v>8</v>
      </c>
      <c r="V669" s="41">
        <f t="shared" si="299"/>
        <v>0.11940298507462686</v>
      </c>
      <c r="W669" s="21">
        <v>3</v>
      </c>
      <c r="X669" s="41">
        <f t="shared" si="300"/>
        <v>7.6923076923076927E-2</v>
      </c>
      <c r="Y669" s="21">
        <v>7</v>
      </c>
      <c r="Z669" s="41">
        <f t="shared" si="301"/>
        <v>0.1044776119402985</v>
      </c>
      <c r="AA669" s="21">
        <v>5</v>
      </c>
      <c r="AB669" s="41">
        <f t="shared" si="302"/>
        <v>0.12820512820512819</v>
      </c>
      <c r="AC669" s="21">
        <v>52</v>
      </c>
      <c r="AD669" s="41">
        <f t="shared" si="284"/>
        <v>0.77611940298507465</v>
      </c>
      <c r="AE669" s="21">
        <v>31</v>
      </c>
      <c r="AF669" s="41">
        <f t="shared" si="303"/>
        <v>0.79487179487179482</v>
      </c>
      <c r="AG669" s="21">
        <v>4</v>
      </c>
      <c r="AH669" s="41">
        <f t="shared" si="285"/>
        <v>5.9701492537313432E-2</v>
      </c>
      <c r="AI669" s="21">
        <v>3</v>
      </c>
      <c r="AJ669" s="41">
        <f t="shared" si="304"/>
        <v>7.6923076923076927E-2</v>
      </c>
      <c r="AK669" s="21">
        <v>3</v>
      </c>
      <c r="AL669" s="41">
        <f t="shared" si="286"/>
        <v>4.4776119402985072E-2</v>
      </c>
      <c r="AM669" s="21">
        <v>2</v>
      </c>
      <c r="AN669" s="41">
        <f t="shared" si="305"/>
        <v>5.128205128205128E-2</v>
      </c>
      <c r="AO669" s="21">
        <v>39</v>
      </c>
      <c r="AP669" s="41">
        <f t="shared" si="287"/>
        <v>0.58208955223880599</v>
      </c>
      <c r="AQ669" s="21">
        <v>23</v>
      </c>
      <c r="AR669" s="41">
        <f t="shared" si="306"/>
        <v>0.58974358974358976</v>
      </c>
      <c r="AS669" s="21">
        <v>16</v>
      </c>
      <c r="AT669" s="41">
        <f t="shared" si="288"/>
        <v>0.23880597014925373</v>
      </c>
      <c r="AU669" s="21">
        <v>9</v>
      </c>
      <c r="AV669" s="41">
        <f t="shared" si="307"/>
        <v>0.23076923076923078</v>
      </c>
      <c r="AW669" s="21">
        <v>2</v>
      </c>
      <c r="AX669" s="41">
        <f t="shared" si="289"/>
        <v>2.9850746268656716E-2</v>
      </c>
      <c r="AY669" s="21">
        <v>0</v>
      </c>
      <c r="AZ669" s="41">
        <f t="shared" si="308"/>
        <v>0</v>
      </c>
      <c r="BA669" s="21">
        <v>3</v>
      </c>
      <c r="BB669" s="41">
        <f t="shared" si="290"/>
        <v>4.4776119402985072E-2</v>
      </c>
      <c r="BC669" s="21">
        <v>2</v>
      </c>
      <c r="BD669" s="41">
        <f t="shared" si="309"/>
        <v>5.128205128205128E-2</v>
      </c>
      <c r="BE669" s="21">
        <v>67</v>
      </c>
      <c r="BF669" s="21">
        <v>39</v>
      </c>
    </row>
    <row r="670" spans="1:58" ht="15.75" customHeight="1" x14ac:dyDescent="0.25">
      <c r="A670" s="44">
        <v>2020</v>
      </c>
      <c r="B670" s="39">
        <v>171880</v>
      </c>
      <c r="C670" s="38" t="s">
        <v>145</v>
      </c>
      <c r="D670" s="38" t="s">
        <v>117</v>
      </c>
      <c r="E670" s="21">
        <v>5</v>
      </c>
      <c r="F670" s="42">
        <f t="shared" si="291"/>
        <v>1.5290519877675841E-2</v>
      </c>
      <c r="G670" s="21">
        <v>5</v>
      </c>
      <c r="H670" s="42">
        <f t="shared" si="292"/>
        <v>1.7064846416382253E-2</v>
      </c>
      <c r="I670" s="21">
        <v>11</v>
      </c>
      <c r="J670" s="41">
        <f t="shared" si="293"/>
        <v>3.3639143730886847E-2</v>
      </c>
      <c r="K670" s="21">
        <v>11</v>
      </c>
      <c r="L670" s="41">
        <f t="shared" si="294"/>
        <v>3.7542662116040959E-2</v>
      </c>
      <c r="M670" s="21">
        <v>219</v>
      </c>
      <c r="N670" s="41">
        <f t="shared" si="295"/>
        <v>0.66972477064220182</v>
      </c>
      <c r="O670" s="21">
        <v>190</v>
      </c>
      <c r="P670" s="41">
        <f t="shared" si="296"/>
        <v>0.64846416382252559</v>
      </c>
      <c r="Q670" s="21">
        <v>92</v>
      </c>
      <c r="R670" s="41">
        <f t="shared" si="297"/>
        <v>0.28134556574923547</v>
      </c>
      <c r="S670" s="21">
        <v>87</v>
      </c>
      <c r="T670" s="41">
        <f t="shared" si="298"/>
        <v>0.29692832764505117</v>
      </c>
      <c r="U670" s="21">
        <v>127</v>
      </c>
      <c r="V670" s="41">
        <f t="shared" si="299"/>
        <v>0.38837920489296635</v>
      </c>
      <c r="W670" s="21">
        <v>126</v>
      </c>
      <c r="X670" s="41">
        <f t="shared" si="300"/>
        <v>0.43003412969283278</v>
      </c>
      <c r="Y670" s="21">
        <v>34</v>
      </c>
      <c r="Z670" s="41">
        <f t="shared" si="301"/>
        <v>0.10397553516819572</v>
      </c>
      <c r="AA670" s="21">
        <v>33</v>
      </c>
      <c r="AB670" s="41">
        <f t="shared" si="302"/>
        <v>0.11262798634812286</v>
      </c>
      <c r="AC670" s="21">
        <v>166</v>
      </c>
      <c r="AD670" s="41">
        <f t="shared" si="284"/>
        <v>0.50764525993883791</v>
      </c>
      <c r="AE670" s="21">
        <v>134</v>
      </c>
      <c r="AF670" s="41">
        <f t="shared" si="303"/>
        <v>0.45733788395904434</v>
      </c>
      <c r="AG670" s="21">
        <v>5</v>
      </c>
      <c r="AH670" s="41">
        <f t="shared" si="285"/>
        <v>1.5290519877675841E-2</v>
      </c>
      <c r="AI670" s="21">
        <v>4</v>
      </c>
      <c r="AJ670" s="41">
        <f t="shared" si="304"/>
        <v>1.3651877133105802E-2</v>
      </c>
      <c r="AK670" s="21">
        <v>9</v>
      </c>
      <c r="AL670" s="41">
        <f t="shared" si="286"/>
        <v>2.7522935779816515E-2</v>
      </c>
      <c r="AM670" s="21">
        <v>9</v>
      </c>
      <c r="AN670" s="41">
        <f t="shared" si="305"/>
        <v>3.0716723549488054E-2</v>
      </c>
      <c r="AO670" s="21">
        <v>113</v>
      </c>
      <c r="AP670" s="41">
        <f t="shared" si="287"/>
        <v>0.34556574923547401</v>
      </c>
      <c r="AQ670" s="21">
        <v>84</v>
      </c>
      <c r="AR670" s="41">
        <f t="shared" si="306"/>
        <v>0.28668941979522183</v>
      </c>
      <c r="AS670" s="21">
        <v>33</v>
      </c>
      <c r="AT670" s="41">
        <f t="shared" si="288"/>
        <v>0.10091743119266056</v>
      </c>
      <c r="AU670" s="21">
        <v>32</v>
      </c>
      <c r="AV670" s="41">
        <f t="shared" si="307"/>
        <v>0.10921501706484642</v>
      </c>
      <c r="AW670" s="21">
        <v>27</v>
      </c>
      <c r="AX670" s="41">
        <f t="shared" si="289"/>
        <v>8.2568807339449546E-2</v>
      </c>
      <c r="AY670" s="21">
        <v>24</v>
      </c>
      <c r="AZ670" s="41">
        <f t="shared" si="308"/>
        <v>8.191126279863481E-2</v>
      </c>
      <c r="BA670" s="21">
        <v>140</v>
      </c>
      <c r="BB670" s="41">
        <f t="shared" si="290"/>
        <v>0.42813455657492355</v>
      </c>
      <c r="BC670" s="21">
        <v>140</v>
      </c>
      <c r="BD670" s="41">
        <f t="shared" si="309"/>
        <v>0.47781569965870307</v>
      </c>
      <c r="BE670" s="21">
        <v>327</v>
      </c>
      <c r="BF670" s="21">
        <v>293</v>
      </c>
    </row>
    <row r="671" spans="1:58" ht="15.75" customHeight="1" x14ac:dyDescent="0.25">
      <c r="A671" s="44">
        <v>2020</v>
      </c>
      <c r="B671" s="39">
        <v>171884</v>
      </c>
      <c r="C671" s="38" t="s">
        <v>146</v>
      </c>
      <c r="D671" s="38" t="s">
        <v>118</v>
      </c>
      <c r="E671" s="21">
        <v>0</v>
      </c>
      <c r="F671" s="42">
        <f t="shared" si="291"/>
        <v>0</v>
      </c>
      <c r="G671" s="21">
        <v>0</v>
      </c>
      <c r="H671" s="42">
        <f t="shared" si="292"/>
        <v>0</v>
      </c>
      <c r="I671" s="21">
        <v>2</v>
      </c>
      <c r="J671" s="41">
        <f t="shared" si="293"/>
        <v>6.0606060606060608E-2</v>
      </c>
      <c r="K671" s="21">
        <v>0</v>
      </c>
      <c r="L671" s="41">
        <f t="shared" si="294"/>
        <v>0</v>
      </c>
      <c r="M671" s="21">
        <v>30</v>
      </c>
      <c r="N671" s="41">
        <f t="shared" si="295"/>
        <v>0.90909090909090906</v>
      </c>
      <c r="O671" s="21">
        <v>8</v>
      </c>
      <c r="P671" s="41">
        <f t="shared" si="296"/>
        <v>1</v>
      </c>
      <c r="Q671" s="21">
        <v>1</v>
      </c>
      <c r="R671" s="41">
        <f t="shared" si="297"/>
        <v>3.0303030303030304E-2</v>
      </c>
      <c r="S671" s="21">
        <v>0</v>
      </c>
      <c r="T671" s="41">
        <f t="shared" si="298"/>
        <v>0</v>
      </c>
      <c r="U671" s="21">
        <v>2</v>
      </c>
      <c r="V671" s="41">
        <f t="shared" si="299"/>
        <v>6.0606060606060608E-2</v>
      </c>
      <c r="W671" s="21">
        <v>1</v>
      </c>
      <c r="X671" s="41">
        <f t="shared" si="300"/>
        <v>0.125</v>
      </c>
      <c r="Y671" s="21">
        <v>1</v>
      </c>
      <c r="Z671" s="41">
        <f t="shared" si="301"/>
        <v>3.0303030303030304E-2</v>
      </c>
      <c r="AA671" s="21">
        <v>0</v>
      </c>
      <c r="AB671" s="41">
        <f t="shared" si="302"/>
        <v>0</v>
      </c>
      <c r="AC671" s="21">
        <v>30</v>
      </c>
      <c r="AD671" s="41">
        <f t="shared" si="284"/>
        <v>0.90909090909090906</v>
      </c>
      <c r="AE671" s="21">
        <v>7</v>
      </c>
      <c r="AF671" s="41">
        <f t="shared" si="303"/>
        <v>0.875</v>
      </c>
      <c r="AG671" s="21">
        <v>0</v>
      </c>
      <c r="AH671" s="41">
        <f t="shared" si="285"/>
        <v>0</v>
      </c>
      <c r="AI671" s="21">
        <v>0</v>
      </c>
      <c r="AJ671" s="41">
        <f t="shared" si="304"/>
        <v>0</v>
      </c>
      <c r="AK671" s="21">
        <v>3</v>
      </c>
      <c r="AL671" s="41">
        <f t="shared" si="286"/>
        <v>9.0909090909090912E-2</v>
      </c>
      <c r="AM671" s="21">
        <v>0</v>
      </c>
      <c r="AN671" s="41">
        <f t="shared" si="305"/>
        <v>0</v>
      </c>
      <c r="AO671" s="21">
        <v>25</v>
      </c>
      <c r="AP671" s="41">
        <f t="shared" si="287"/>
        <v>0.75757575757575757</v>
      </c>
      <c r="AQ671" s="21">
        <v>8</v>
      </c>
      <c r="AR671" s="41">
        <f t="shared" si="306"/>
        <v>1</v>
      </c>
      <c r="AS671" s="21">
        <v>3</v>
      </c>
      <c r="AT671" s="41">
        <f t="shared" si="288"/>
        <v>9.0909090909090912E-2</v>
      </c>
      <c r="AU671" s="21">
        <v>0</v>
      </c>
      <c r="AV671" s="41">
        <f t="shared" si="307"/>
        <v>0</v>
      </c>
      <c r="AW671" s="21">
        <v>1</v>
      </c>
      <c r="AX671" s="41">
        <f t="shared" si="289"/>
        <v>3.0303030303030304E-2</v>
      </c>
      <c r="AY671" s="21">
        <v>0</v>
      </c>
      <c r="AZ671" s="41">
        <f t="shared" si="308"/>
        <v>0</v>
      </c>
      <c r="BA671" s="21">
        <v>1</v>
      </c>
      <c r="BB671" s="41">
        <f t="shared" si="290"/>
        <v>3.0303030303030304E-2</v>
      </c>
      <c r="BC671" s="21">
        <v>0</v>
      </c>
      <c r="BD671" s="41">
        <f t="shared" si="309"/>
        <v>0</v>
      </c>
      <c r="BE671" s="21">
        <v>33</v>
      </c>
      <c r="BF671" s="21">
        <v>8</v>
      </c>
    </row>
    <row r="672" spans="1:58" ht="15.75" customHeight="1" x14ac:dyDescent="0.25">
      <c r="A672" s="44">
        <v>2020</v>
      </c>
      <c r="B672" s="39">
        <v>171886</v>
      </c>
      <c r="C672" s="38" t="s">
        <v>149</v>
      </c>
      <c r="D672" s="38" t="s">
        <v>119</v>
      </c>
      <c r="E672" s="21">
        <v>2</v>
      </c>
      <c r="F672" s="42">
        <f t="shared" si="291"/>
        <v>9.3023255813953487E-3</v>
      </c>
      <c r="G672" s="21">
        <v>0</v>
      </c>
      <c r="H672" s="42">
        <f t="shared" si="292"/>
        <v>0</v>
      </c>
      <c r="I672" s="21">
        <v>3</v>
      </c>
      <c r="J672" s="41">
        <f t="shared" si="293"/>
        <v>1.3953488372093023E-2</v>
      </c>
      <c r="K672" s="21">
        <v>0</v>
      </c>
      <c r="L672" s="41">
        <f t="shared" si="294"/>
        <v>0</v>
      </c>
      <c r="M672" s="21">
        <v>195</v>
      </c>
      <c r="N672" s="41">
        <f t="shared" si="295"/>
        <v>0.90697674418604646</v>
      </c>
      <c r="O672" s="21">
        <v>45</v>
      </c>
      <c r="P672" s="41">
        <f t="shared" si="296"/>
        <v>0.9</v>
      </c>
      <c r="Q672" s="21">
        <v>15</v>
      </c>
      <c r="R672" s="41">
        <f t="shared" si="297"/>
        <v>6.9767441860465115E-2</v>
      </c>
      <c r="S672" s="21">
        <v>5</v>
      </c>
      <c r="T672" s="41">
        <f t="shared" si="298"/>
        <v>0.1</v>
      </c>
      <c r="U672" s="21">
        <v>2</v>
      </c>
      <c r="V672" s="41">
        <f t="shared" si="299"/>
        <v>9.3023255813953487E-3</v>
      </c>
      <c r="W672" s="21">
        <v>1</v>
      </c>
      <c r="X672" s="41">
        <f t="shared" si="300"/>
        <v>0.02</v>
      </c>
      <c r="Y672" s="21">
        <v>11</v>
      </c>
      <c r="Z672" s="41">
        <f t="shared" si="301"/>
        <v>5.1162790697674418E-2</v>
      </c>
      <c r="AA672" s="21">
        <v>4</v>
      </c>
      <c r="AB672" s="41">
        <f t="shared" si="302"/>
        <v>0.08</v>
      </c>
      <c r="AC672" s="21">
        <v>202</v>
      </c>
      <c r="AD672" s="41">
        <f t="shared" si="284"/>
        <v>0.93953488372093019</v>
      </c>
      <c r="AE672" s="21">
        <v>45</v>
      </c>
      <c r="AF672" s="41">
        <f t="shared" si="303"/>
        <v>0.9</v>
      </c>
      <c r="AG672" s="21">
        <v>3</v>
      </c>
      <c r="AH672" s="41">
        <f t="shared" si="285"/>
        <v>1.3953488372093023E-2</v>
      </c>
      <c r="AI672" s="21">
        <v>1</v>
      </c>
      <c r="AJ672" s="41">
        <f t="shared" si="304"/>
        <v>0.02</v>
      </c>
      <c r="AK672" s="21">
        <v>5</v>
      </c>
      <c r="AL672" s="41">
        <f t="shared" si="286"/>
        <v>2.3255813953488372E-2</v>
      </c>
      <c r="AM672" s="21">
        <v>1</v>
      </c>
      <c r="AN672" s="41">
        <f t="shared" si="305"/>
        <v>0.02</v>
      </c>
      <c r="AO672" s="21">
        <v>138</v>
      </c>
      <c r="AP672" s="41">
        <f t="shared" si="287"/>
        <v>0.64186046511627903</v>
      </c>
      <c r="AQ672" s="21">
        <v>32</v>
      </c>
      <c r="AR672" s="41">
        <f t="shared" si="306"/>
        <v>0.64</v>
      </c>
      <c r="AS672" s="21">
        <v>48</v>
      </c>
      <c r="AT672" s="41">
        <f t="shared" si="288"/>
        <v>0.22325581395348837</v>
      </c>
      <c r="AU672" s="21">
        <v>9</v>
      </c>
      <c r="AV672" s="41">
        <f t="shared" si="307"/>
        <v>0.18</v>
      </c>
      <c r="AW672" s="21">
        <v>18</v>
      </c>
      <c r="AX672" s="41">
        <f t="shared" si="289"/>
        <v>8.3720930232558138E-2</v>
      </c>
      <c r="AY672" s="21">
        <v>6</v>
      </c>
      <c r="AZ672" s="41">
        <f t="shared" si="308"/>
        <v>0.12</v>
      </c>
      <c r="BA672" s="21">
        <v>3</v>
      </c>
      <c r="BB672" s="41">
        <f t="shared" si="290"/>
        <v>1.3953488372093023E-2</v>
      </c>
      <c r="BC672" s="21">
        <v>1</v>
      </c>
      <c r="BD672" s="41">
        <f t="shared" si="309"/>
        <v>0.02</v>
      </c>
      <c r="BE672" s="21">
        <v>215</v>
      </c>
      <c r="BF672" s="21">
        <v>50</v>
      </c>
    </row>
    <row r="673" spans="1:58" ht="15.75" customHeight="1" x14ac:dyDescent="0.25">
      <c r="A673" s="44">
        <v>2020</v>
      </c>
      <c r="B673" s="39">
        <v>171888</v>
      </c>
      <c r="C673" s="38" t="s">
        <v>150</v>
      </c>
      <c r="D673" s="38" t="s">
        <v>120</v>
      </c>
      <c r="E673" s="21">
        <v>0</v>
      </c>
      <c r="F673" s="42">
        <f t="shared" si="291"/>
        <v>0</v>
      </c>
      <c r="G673" s="21">
        <v>0</v>
      </c>
      <c r="H673" s="42">
        <f t="shared" si="292"/>
        <v>0</v>
      </c>
      <c r="I673" s="21">
        <v>1</v>
      </c>
      <c r="J673" s="41">
        <f t="shared" si="293"/>
        <v>0.33333333333333331</v>
      </c>
      <c r="K673" s="21">
        <v>0</v>
      </c>
      <c r="L673" s="41">
        <f t="shared" si="294"/>
        <v>0</v>
      </c>
      <c r="M673" s="21">
        <v>2</v>
      </c>
      <c r="N673" s="41">
        <f t="shared" si="295"/>
        <v>0.66666666666666663</v>
      </c>
      <c r="O673" s="21">
        <v>0</v>
      </c>
      <c r="P673" s="41">
        <f t="shared" si="296"/>
        <v>0</v>
      </c>
      <c r="Q673" s="21">
        <v>0</v>
      </c>
      <c r="R673" s="41">
        <f t="shared" si="297"/>
        <v>0</v>
      </c>
      <c r="S673" s="21">
        <v>0</v>
      </c>
      <c r="T673" s="41">
        <f t="shared" si="298"/>
        <v>0</v>
      </c>
      <c r="U673" s="21">
        <v>0</v>
      </c>
      <c r="V673" s="41">
        <f t="shared" si="299"/>
        <v>0</v>
      </c>
      <c r="W673" s="21">
        <v>0</v>
      </c>
      <c r="X673" s="41">
        <f t="shared" si="300"/>
        <v>0</v>
      </c>
      <c r="Y673" s="21">
        <v>0</v>
      </c>
      <c r="Z673" s="41">
        <f t="shared" si="301"/>
        <v>0</v>
      </c>
      <c r="AA673" s="21">
        <v>0</v>
      </c>
      <c r="AB673" s="41">
        <f t="shared" si="302"/>
        <v>0</v>
      </c>
      <c r="AC673" s="21">
        <v>3</v>
      </c>
      <c r="AD673" s="41">
        <f t="shared" si="284"/>
        <v>1</v>
      </c>
      <c r="AE673" s="21">
        <v>0</v>
      </c>
      <c r="AF673" s="41">
        <f t="shared" si="303"/>
        <v>0</v>
      </c>
      <c r="AG673" s="21">
        <v>1</v>
      </c>
      <c r="AH673" s="41">
        <f t="shared" si="285"/>
        <v>0.33333333333333331</v>
      </c>
      <c r="AI673" s="21">
        <v>0</v>
      </c>
      <c r="AJ673" s="41">
        <f t="shared" si="304"/>
        <v>0</v>
      </c>
      <c r="AK673" s="21">
        <v>0</v>
      </c>
      <c r="AL673" s="41">
        <f t="shared" si="286"/>
        <v>0</v>
      </c>
      <c r="AM673" s="21">
        <v>0</v>
      </c>
      <c r="AN673" s="41">
        <f t="shared" si="305"/>
        <v>0</v>
      </c>
      <c r="AO673" s="21">
        <v>2</v>
      </c>
      <c r="AP673" s="41">
        <f t="shared" si="287"/>
        <v>0.66666666666666663</v>
      </c>
      <c r="AQ673" s="21">
        <v>0</v>
      </c>
      <c r="AR673" s="41">
        <f t="shared" si="306"/>
        <v>0</v>
      </c>
      <c r="AS673" s="21">
        <v>0</v>
      </c>
      <c r="AT673" s="41">
        <f t="shared" si="288"/>
        <v>0</v>
      </c>
      <c r="AU673" s="21">
        <v>0</v>
      </c>
      <c r="AV673" s="41">
        <f t="shared" si="307"/>
        <v>0</v>
      </c>
      <c r="AW673" s="21">
        <v>0</v>
      </c>
      <c r="AX673" s="41">
        <f t="shared" si="289"/>
        <v>0</v>
      </c>
      <c r="AY673" s="21">
        <v>0</v>
      </c>
      <c r="AZ673" s="41">
        <f t="shared" si="308"/>
        <v>0</v>
      </c>
      <c r="BA673" s="21">
        <v>0</v>
      </c>
      <c r="BB673" s="41">
        <f t="shared" si="290"/>
        <v>0</v>
      </c>
      <c r="BC673" s="21">
        <v>0</v>
      </c>
      <c r="BD673" s="41">
        <f t="shared" si="309"/>
        <v>0</v>
      </c>
      <c r="BE673" s="21">
        <v>3</v>
      </c>
      <c r="BF673" s="21">
        <v>0</v>
      </c>
    </row>
    <row r="674" spans="1:58" ht="15.75" customHeight="1" x14ac:dyDescent="0.25">
      <c r="A674" s="44">
        <v>2020</v>
      </c>
      <c r="B674" s="39">
        <v>171889</v>
      </c>
      <c r="C674" s="38" t="s">
        <v>146</v>
      </c>
      <c r="D674" s="38" t="s">
        <v>121</v>
      </c>
      <c r="E674" s="21">
        <v>0</v>
      </c>
      <c r="F674" s="42">
        <f t="shared" si="291"/>
        <v>0</v>
      </c>
      <c r="G674" s="21">
        <v>0</v>
      </c>
      <c r="H674" s="42">
        <f t="shared" si="292"/>
        <v>0</v>
      </c>
      <c r="I674" s="21">
        <v>2</v>
      </c>
      <c r="J674" s="41">
        <f t="shared" si="293"/>
        <v>1.9607843137254902E-2</v>
      </c>
      <c r="K674" s="21">
        <v>1</v>
      </c>
      <c r="L674" s="41">
        <f t="shared" si="294"/>
        <v>0.04</v>
      </c>
      <c r="M674" s="21">
        <v>95</v>
      </c>
      <c r="N674" s="41">
        <f t="shared" si="295"/>
        <v>0.93137254901960786</v>
      </c>
      <c r="O674" s="21">
        <v>21</v>
      </c>
      <c r="P674" s="41">
        <f t="shared" si="296"/>
        <v>0.84</v>
      </c>
      <c r="Q674" s="21">
        <v>5</v>
      </c>
      <c r="R674" s="41">
        <f t="shared" si="297"/>
        <v>4.9019607843137254E-2</v>
      </c>
      <c r="S674" s="21">
        <v>3</v>
      </c>
      <c r="T674" s="41">
        <f t="shared" si="298"/>
        <v>0.12</v>
      </c>
      <c r="U674" s="21">
        <v>3</v>
      </c>
      <c r="V674" s="41">
        <f t="shared" si="299"/>
        <v>2.9411764705882353E-2</v>
      </c>
      <c r="W674" s="21">
        <v>1</v>
      </c>
      <c r="X674" s="41">
        <f t="shared" si="300"/>
        <v>0.04</v>
      </c>
      <c r="Y674" s="21">
        <v>4</v>
      </c>
      <c r="Z674" s="41">
        <f t="shared" si="301"/>
        <v>3.9215686274509803E-2</v>
      </c>
      <c r="AA674" s="21">
        <v>1</v>
      </c>
      <c r="AB674" s="41">
        <f t="shared" si="302"/>
        <v>0.04</v>
      </c>
      <c r="AC674" s="21">
        <v>95</v>
      </c>
      <c r="AD674" s="41">
        <f t="shared" si="284"/>
        <v>0.93137254901960786</v>
      </c>
      <c r="AE674" s="21">
        <v>23</v>
      </c>
      <c r="AF674" s="41">
        <f t="shared" si="303"/>
        <v>0.92</v>
      </c>
      <c r="AG674" s="21">
        <v>3</v>
      </c>
      <c r="AH674" s="41">
        <f t="shared" si="285"/>
        <v>2.9411764705882353E-2</v>
      </c>
      <c r="AI674" s="21">
        <v>2</v>
      </c>
      <c r="AJ674" s="41">
        <f t="shared" si="304"/>
        <v>0.08</v>
      </c>
      <c r="AK674" s="21">
        <v>2</v>
      </c>
      <c r="AL674" s="41">
        <f t="shared" si="286"/>
        <v>1.9607843137254902E-2</v>
      </c>
      <c r="AM674" s="21">
        <v>0</v>
      </c>
      <c r="AN674" s="41">
        <f t="shared" si="305"/>
        <v>0</v>
      </c>
      <c r="AO674" s="21">
        <v>66</v>
      </c>
      <c r="AP674" s="41">
        <f t="shared" si="287"/>
        <v>0.6470588235294118</v>
      </c>
      <c r="AQ674" s="21">
        <v>15</v>
      </c>
      <c r="AR674" s="41">
        <f t="shared" si="306"/>
        <v>0.6</v>
      </c>
      <c r="AS674" s="21">
        <v>21</v>
      </c>
      <c r="AT674" s="41">
        <f t="shared" si="288"/>
        <v>0.20588235294117646</v>
      </c>
      <c r="AU674" s="21">
        <v>6</v>
      </c>
      <c r="AV674" s="41">
        <f t="shared" si="307"/>
        <v>0.24</v>
      </c>
      <c r="AW674" s="21">
        <v>5</v>
      </c>
      <c r="AX674" s="41">
        <f t="shared" si="289"/>
        <v>4.9019607843137254E-2</v>
      </c>
      <c r="AY674" s="21">
        <v>1</v>
      </c>
      <c r="AZ674" s="41">
        <f t="shared" si="308"/>
        <v>0.04</v>
      </c>
      <c r="BA674" s="21">
        <v>5</v>
      </c>
      <c r="BB674" s="41">
        <f t="shared" si="290"/>
        <v>4.9019607843137254E-2</v>
      </c>
      <c r="BC674" s="21">
        <v>1</v>
      </c>
      <c r="BD674" s="41">
        <f t="shared" si="309"/>
        <v>0.04</v>
      </c>
      <c r="BE674" s="21">
        <v>102</v>
      </c>
      <c r="BF674" s="21">
        <v>25</v>
      </c>
    </row>
    <row r="675" spans="1:58" ht="15.75" customHeight="1" x14ac:dyDescent="0.25">
      <c r="A675" s="44">
        <v>2020</v>
      </c>
      <c r="B675" s="39">
        <v>171890</v>
      </c>
      <c r="C675" s="38" t="s">
        <v>151</v>
      </c>
      <c r="D675" s="38" t="s">
        <v>122</v>
      </c>
      <c r="E675" s="21">
        <v>2</v>
      </c>
      <c r="F675" s="42">
        <f t="shared" si="291"/>
        <v>6.25E-2</v>
      </c>
      <c r="G675" s="21">
        <v>0</v>
      </c>
      <c r="H675" s="42">
        <f t="shared" si="292"/>
        <v>0</v>
      </c>
      <c r="I675" s="21">
        <v>2</v>
      </c>
      <c r="J675" s="41">
        <f t="shared" si="293"/>
        <v>6.25E-2</v>
      </c>
      <c r="K675" s="21">
        <v>0</v>
      </c>
      <c r="L675" s="41">
        <f t="shared" si="294"/>
        <v>0</v>
      </c>
      <c r="M675" s="21">
        <v>26</v>
      </c>
      <c r="N675" s="41">
        <f t="shared" si="295"/>
        <v>0.8125</v>
      </c>
      <c r="O675" s="21">
        <v>5</v>
      </c>
      <c r="P675" s="41">
        <f t="shared" si="296"/>
        <v>1</v>
      </c>
      <c r="Q675" s="21">
        <v>2</v>
      </c>
      <c r="R675" s="41">
        <f t="shared" si="297"/>
        <v>6.25E-2</v>
      </c>
      <c r="S675" s="21">
        <v>0</v>
      </c>
      <c r="T675" s="41">
        <f t="shared" si="298"/>
        <v>0</v>
      </c>
      <c r="U675" s="21">
        <v>0</v>
      </c>
      <c r="V675" s="41">
        <f t="shared" si="299"/>
        <v>0</v>
      </c>
      <c r="W675" s="21">
        <v>1</v>
      </c>
      <c r="X675" s="41">
        <f t="shared" si="300"/>
        <v>0.2</v>
      </c>
      <c r="Y675" s="21">
        <v>2</v>
      </c>
      <c r="Z675" s="41">
        <f t="shared" si="301"/>
        <v>6.25E-2</v>
      </c>
      <c r="AA675" s="21">
        <v>0</v>
      </c>
      <c r="AB675" s="41">
        <f t="shared" si="302"/>
        <v>0</v>
      </c>
      <c r="AC675" s="21">
        <v>30</v>
      </c>
      <c r="AD675" s="41">
        <f t="shared" si="284"/>
        <v>0.9375</v>
      </c>
      <c r="AE675" s="21">
        <v>4</v>
      </c>
      <c r="AF675" s="41">
        <f t="shared" si="303"/>
        <v>0.8</v>
      </c>
      <c r="AG675" s="21">
        <v>2</v>
      </c>
      <c r="AH675" s="41">
        <f t="shared" si="285"/>
        <v>6.25E-2</v>
      </c>
      <c r="AI675" s="21">
        <v>0</v>
      </c>
      <c r="AJ675" s="41">
        <f t="shared" si="304"/>
        <v>0</v>
      </c>
      <c r="AK675" s="21">
        <v>1</v>
      </c>
      <c r="AL675" s="41">
        <f t="shared" si="286"/>
        <v>3.125E-2</v>
      </c>
      <c r="AM675" s="21">
        <v>0</v>
      </c>
      <c r="AN675" s="41">
        <f t="shared" si="305"/>
        <v>0</v>
      </c>
      <c r="AO675" s="21">
        <v>22</v>
      </c>
      <c r="AP675" s="41">
        <f t="shared" si="287"/>
        <v>0.6875</v>
      </c>
      <c r="AQ675" s="21">
        <v>4</v>
      </c>
      <c r="AR675" s="41">
        <f t="shared" si="306"/>
        <v>0.8</v>
      </c>
      <c r="AS675" s="21">
        <v>4</v>
      </c>
      <c r="AT675" s="41">
        <f t="shared" si="288"/>
        <v>0.125</v>
      </c>
      <c r="AU675" s="21">
        <v>0</v>
      </c>
      <c r="AV675" s="41">
        <f t="shared" si="307"/>
        <v>0</v>
      </c>
      <c r="AW675" s="21">
        <v>3</v>
      </c>
      <c r="AX675" s="41">
        <f t="shared" si="289"/>
        <v>9.375E-2</v>
      </c>
      <c r="AY675" s="21">
        <v>0</v>
      </c>
      <c r="AZ675" s="41">
        <f t="shared" si="308"/>
        <v>0</v>
      </c>
      <c r="BA675" s="21">
        <v>0</v>
      </c>
      <c r="BB675" s="41">
        <f t="shared" si="290"/>
        <v>0</v>
      </c>
      <c r="BC675" s="21">
        <v>1</v>
      </c>
      <c r="BD675" s="41">
        <f t="shared" si="309"/>
        <v>0.2</v>
      </c>
      <c r="BE675" s="21">
        <v>32</v>
      </c>
      <c r="BF675" s="21">
        <v>5</v>
      </c>
    </row>
    <row r="676" spans="1:58" ht="15.75" customHeight="1" x14ac:dyDescent="0.25">
      <c r="A676" s="44">
        <v>2020</v>
      </c>
      <c r="B676" s="39">
        <v>171900</v>
      </c>
      <c r="C676" s="38" t="s">
        <v>148</v>
      </c>
      <c r="D676" s="38" t="s">
        <v>123</v>
      </c>
      <c r="E676" s="21">
        <v>2</v>
      </c>
      <c r="F676" s="42">
        <f t="shared" si="291"/>
        <v>1.0256410256410256E-2</v>
      </c>
      <c r="G676" s="21">
        <v>2</v>
      </c>
      <c r="H676" s="42">
        <f t="shared" si="292"/>
        <v>1.7391304347826087E-2</v>
      </c>
      <c r="I676" s="21">
        <v>4</v>
      </c>
      <c r="J676" s="41">
        <f t="shared" si="293"/>
        <v>2.0512820512820513E-2</v>
      </c>
      <c r="K676" s="21">
        <v>3</v>
      </c>
      <c r="L676" s="41">
        <f t="shared" si="294"/>
        <v>2.6086956521739129E-2</v>
      </c>
      <c r="M676" s="21">
        <v>182</v>
      </c>
      <c r="N676" s="41">
        <f t="shared" si="295"/>
        <v>0.93333333333333335</v>
      </c>
      <c r="O676" s="21">
        <v>107</v>
      </c>
      <c r="P676" s="41">
        <f t="shared" si="296"/>
        <v>0.93043478260869561</v>
      </c>
      <c r="Q676" s="21">
        <v>7</v>
      </c>
      <c r="R676" s="41">
        <f t="shared" si="297"/>
        <v>3.5897435897435895E-2</v>
      </c>
      <c r="S676" s="21">
        <v>3</v>
      </c>
      <c r="T676" s="41">
        <f t="shared" si="298"/>
        <v>2.6086956521739129E-2</v>
      </c>
      <c r="U676" s="21">
        <v>7</v>
      </c>
      <c r="V676" s="41">
        <f t="shared" si="299"/>
        <v>3.5897435897435895E-2</v>
      </c>
      <c r="W676" s="21">
        <v>5</v>
      </c>
      <c r="X676" s="41">
        <f t="shared" si="300"/>
        <v>4.3478260869565216E-2</v>
      </c>
      <c r="Y676" s="21">
        <v>24</v>
      </c>
      <c r="Z676" s="41">
        <f t="shared" si="301"/>
        <v>0.12307692307692308</v>
      </c>
      <c r="AA676" s="21">
        <v>20</v>
      </c>
      <c r="AB676" s="41">
        <f t="shared" si="302"/>
        <v>0.17391304347826086</v>
      </c>
      <c r="AC676" s="21">
        <v>164</v>
      </c>
      <c r="AD676" s="41">
        <f t="shared" si="284"/>
        <v>0.84102564102564104</v>
      </c>
      <c r="AE676" s="21">
        <v>90</v>
      </c>
      <c r="AF676" s="41">
        <f t="shared" si="303"/>
        <v>0.78260869565217395</v>
      </c>
      <c r="AG676" s="21">
        <v>3</v>
      </c>
      <c r="AH676" s="41">
        <f t="shared" si="285"/>
        <v>1.5384615384615385E-2</v>
      </c>
      <c r="AI676" s="21">
        <v>3</v>
      </c>
      <c r="AJ676" s="41">
        <f t="shared" si="304"/>
        <v>2.6086956521739129E-2</v>
      </c>
      <c r="AK676" s="21">
        <v>5</v>
      </c>
      <c r="AL676" s="41">
        <f t="shared" si="286"/>
        <v>2.564102564102564E-2</v>
      </c>
      <c r="AM676" s="21">
        <v>4</v>
      </c>
      <c r="AN676" s="41">
        <f t="shared" si="305"/>
        <v>3.4782608695652174E-2</v>
      </c>
      <c r="AO676" s="21">
        <v>126</v>
      </c>
      <c r="AP676" s="41">
        <f t="shared" si="287"/>
        <v>0.64615384615384619</v>
      </c>
      <c r="AQ676" s="21">
        <v>77</v>
      </c>
      <c r="AR676" s="41">
        <f t="shared" si="306"/>
        <v>0.66956521739130437</v>
      </c>
      <c r="AS676" s="21">
        <v>40</v>
      </c>
      <c r="AT676" s="41">
        <f t="shared" si="288"/>
        <v>0.20512820512820512</v>
      </c>
      <c r="AU676" s="21">
        <v>21</v>
      </c>
      <c r="AV676" s="41">
        <f t="shared" si="307"/>
        <v>0.18260869565217391</v>
      </c>
      <c r="AW676" s="21">
        <v>14</v>
      </c>
      <c r="AX676" s="41">
        <f t="shared" si="289"/>
        <v>7.179487179487179E-2</v>
      </c>
      <c r="AY676" s="21">
        <v>5</v>
      </c>
      <c r="AZ676" s="41">
        <f t="shared" si="308"/>
        <v>4.3478260869565216E-2</v>
      </c>
      <c r="BA676" s="21">
        <v>7</v>
      </c>
      <c r="BB676" s="41">
        <f t="shared" si="290"/>
        <v>3.5897435897435895E-2</v>
      </c>
      <c r="BC676" s="21">
        <v>5</v>
      </c>
      <c r="BD676" s="41">
        <f t="shared" si="309"/>
        <v>4.3478260869565216E-2</v>
      </c>
      <c r="BE676" s="21">
        <v>195</v>
      </c>
      <c r="BF676" s="21">
        <v>115</v>
      </c>
    </row>
    <row r="677" spans="1:58" ht="15.75" customHeight="1" x14ac:dyDescent="0.25">
      <c r="A677" s="44">
        <v>2020</v>
      </c>
      <c r="B677" s="39">
        <v>172000</v>
      </c>
      <c r="C677" s="38" t="s">
        <v>145</v>
      </c>
      <c r="D677" s="38" t="s">
        <v>124</v>
      </c>
      <c r="E677" s="21">
        <v>0</v>
      </c>
      <c r="F677" s="42">
        <f t="shared" si="291"/>
        <v>0</v>
      </c>
      <c r="G677" s="21">
        <v>0</v>
      </c>
      <c r="H677" s="42">
        <f t="shared" si="292"/>
        <v>0</v>
      </c>
      <c r="I677" s="21">
        <v>1</v>
      </c>
      <c r="J677" s="41">
        <f t="shared" si="293"/>
        <v>5.5555555555555552E-2</v>
      </c>
      <c r="K677" s="21">
        <v>0</v>
      </c>
      <c r="L677" s="41">
        <f t="shared" si="294"/>
        <v>0</v>
      </c>
      <c r="M677" s="21">
        <v>17</v>
      </c>
      <c r="N677" s="41">
        <f t="shared" si="295"/>
        <v>0.94444444444444442</v>
      </c>
      <c r="O677" s="21">
        <v>1</v>
      </c>
      <c r="P677" s="41">
        <f t="shared" si="296"/>
        <v>1</v>
      </c>
      <c r="Q677" s="21">
        <v>0</v>
      </c>
      <c r="R677" s="41">
        <f t="shared" si="297"/>
        <v>0</v>
      </c>
      <c r="S677" s="21">
        <v>0</v>
      </c>
      <c r="T677" s="41">
        <f t="shared" si="298"/>
        <v>0</v>
      </c>
      <c r="U677" s="21">
        <v>1</v>
      </c>
      <c r="V677" s="41">
        <f t="shared" si="299"/>
        <v>5.5555555555555552E-2</v>
      </c>
      <c r="W677" s="21">
        <v>0</v>
      </c>
      <c r="X677" s="41">
        <f t="shared" si="300"/>
        <v>0</v>
      </c>
      <c r="Y677" s="21">
        <v>2</v>
      </c>
      <c r="Z677" s="41">
        <f t="shared" si="301"/>
        <v>0.1111111111111111</v>
      </c>
      <c r="AA677" s="21">
        <v>0</v>
      </c>
      <c r="AB677" s="41">
        <f t="shared" si="302"/>
        <v>0</v>
      </c>
      <c r="AC677" s="21">
        <v>15</v>
      </c>
      <c r="AD677" s="41">
        <f t="shared" si="284"/>
        <v>0.83333333333333337</v>
      </c>
      <c r="AE677" s="21">
        <v>1</v>
      </c>
      <c r="AF677" s="41">
        <f t="shared" si="303"/>
        <v>1</v>
      </c>
      <c r="AG677" s="21">
        <v>0</v>
      </c>
      <c r="AH677" s="41">
        <f t="shared" si="285"/>
        <v>0</v>
      </c>
      <c r="AI677" s="21">
        <v>0</v>
      </c>
      <c r="AJ677" s="41">
        <f t="shared" si="304"/>
        <v>0</v>
      </c>
      <c r="AK677" s="21">
        <v>0</v>
      </c>
      <c r="AL677" s="41">
        <f t="shared" si="286"/>
        <v>0</v>
      </c>
      <c r="AM677" s="21">
        <v>0</v>
      </c>
      <c r="AN677" s="41">
        <f t="shared" si="305"/>
        <v>0</v>
      </c>
      <c r="AO677" s="21">
        <v>14</v>
      </c>
      <c r="AP677" s="41">
        <f t="shared" si="287"/>
        <v>0.77777777777777779</v>
      </c>
      <c r="AQ677" s="21">
        <v>1</v>
      </c>
      <c r="AR677" s="41">
        <f t="shared" si="306"/>
        <v>1</v>
      </c>
      <c r="AS677" s="21">
        <v>4</v>
      </c>
      <c r="AT677" s="41">
        <f t="shared" si="288"/>
        <v>0.22222222222222221</v>
      </c>
      <c r="AU677" s="21">
        <v>0</v>
      </c>
      <c r="AV677" s="41">
        <f t="shared" si="307"/>
        <v>0</v>
      </c>
      <c r="AW677" s="21">
        <v>0</v>
      </c>
      <c r="AX677" s="41">
        <f t="shared" si="289"/>
        <v>0</v>
      </c>
      <c r="AY677" s="21">
        <v>0</v>
      </c>
      <c r="AZ677" s="41">
        <f t="shared" si="308"/>
        <v>0</v>
      </c>
      <c r="BA677" s="21">
        <v>0</v>
      </c>
      <c r="BB677" s="41">
        <f t="shared" si="290"/>
        <v>0</v>
      </c>
      <c r="BC677" s="21">
        <v>0</v>
      </c>
      <c r="BD677" s="41">
        <f t="shared" si="309"/>
        <v>0</v>
      </c>
      <c r="BE677" s="21">
        <v>18</v>
      </c>
      <c r="BF677" s="21">
        <v>1</v>
      </c>
    </row>
    <row r="678" spans="1:58" ht="15.75" customHeight="1" x14ac:dyDescent="0.25">
      <c r="A678" s="44">
        <v>2020</v>
      </c>
      <c r="B678" s="39">
        <v>172010</v>
      </c>
      <c r="C678" s="38" t="s">
        <v>145</v>
      </c>
      <c r="D678" s="38" t="s">
        <v>125</v>
      </c>
      <c r="E678" s="21">
        <v>0</v>
      </c>
      <c r="F678" s="42">
        <f t="shared" si="291"/>
        <v>0</v>
      </c>
      <c r="G678" s="21">
        <v>0</v>
      </c>
      <c r="H678" s="42">
        <f t="shared" si="292"/>
        <v>0</v>
      </c>
      <c r="I678" s="21">
        <v>2</v>
      </c>
      <c r="J678" s="41">
        <f t="shared" si="293"/>
        <v>2.4096385542168676E-2</v>
      </c>
      <c r="K678" s="21">
        <v>0</v>
      </c>
      <c r="L678" s="41">
        <f t="shared" si="294"/>
        <v>0</v>
      </c>
      <c r="M678" s="21">
        <v>76</v>
      </c>
      <c r="N678" s="41">
        <f t="shared" si="295"/>
        <v>0.91566265060240959</v>
      </c>
      <c r="O678" s="21">
        <v>8</v>
      </c>
      <c r="P678" s="41">
        <f t="shared" si="296"/>
        <v>0.88888888888888884</v>
      </c>
      <c r="Q678" s="21">
        <v>5</v>
      </c>
      <c r="R678" s="41">
        <f t="shared" si="297"/>
        <v>6.0240963855421686E-2</v>
      </c>
      <c r="S678" s="21">
        <v>1</v>
      </c>
      <c r="T678" s="41">
        <f t="shared" si="298"/>
        <v>0.1111111111111111</v>
      </c>
      <c r="U678" s="21">
        <v>3</v>
      </c>
      <c r="V678" s="41">
        <f t="shared" si="299"/>
        <v>3.614457831325301E-2</v>
      </c>
      <c r="W678" s="21">
        <v>0</v>
      </c>
      <c r="X678" s="41">
        <f t="shared" si="300"/>
        <v>0</v>
      </c>
      <c r="Y678" s="21">
        <v>14</v>
      </c>
      <c r="Z678" s="41">
        <f t="shared" si="301"/>
        <v>0.16867469879518071</v>
      </c>
      <c r="AA678" s="21">
        <v>2</v>
      </c>
      <c r="AB678" s="41">
        <f t="shared" si="302"/>
        <v>0.22222222222222221</v>
      </c>
      <c r="AC678" s="21">
        <v>66</v>
      </c>
      <c r="AD678" s="41">
        <f t="shared" si="284"/>
        <v>0.79518072289156627</v>
      </c>
      <c r="AE678" s="21">
        <v>7</v>
      </c>
      <c r="AF678" s="41">
        <f t="shared" si="303"/>
        <v>0.77777777777777779</v>
      </c>
      <c r="AG678" s="21">
        <v>1</v>
      </c>
      <c r="AH678" s="41">
        <f t="shared" si="285"/>
        <v>1.2048192771084338E-2</v>
      </c>
      <c r="AI678" s="21">
        <v>0</v>
      </c>
      <c r="AJ678" s="41">
        <f t="shared" si="304"/>
        <v>0</v>
      </c>
      <c r="AK678" s="21">
        <v>5</v>
      </c>
      <c r="AL678" s="41">
        <f t="shared" si="286"/>
        <v>6.0240963855421686E-2</v>
      </c>
      <c r="AM678" s="21">
        <v>1</v>
      </c>
      <c r="AN678" s="41">
        <f t="shared" si="305"/>
        <v>0.1111111111111111</v>
      </c>
      <c r="AO678" s="21">
        <v>53</v>
      </c>
      <c r="AP678" s="41">
        <f t="shared" si="287"/>
        <v>0.63855421686746983</v>
      </c>
      <c r="AQ678" s="21">
        <v>6</v>
      </c>
      <c r="AR678" s="41">
        <f t="shared" si="306"/>
        <v>0.66666666666666663</v>
      </c>
      <c r="AS678" s="21">
        <v>14</v>
      </c>
      <c r="AT678" s="41">
        <f t="shared" si="288"/>
        <v>0.16867469879518071</v>
      </c>
      <c r="AU678" s="21">
        <v>1</v>
      </c>
      <c r="AV678" s="41">
        <f t="shared" si="307"/>
        <v>0.1111111111111111</v>
      </c>
      <c r="AW678" s="21">
        <v>5</v>
      </c>
      <c r="AX678" s="41">
        <f t="shared" si="289"/>
        <v>6.0240963855421686E-2</v>
      </c>
      <c r="AY678" s="21">
        <v>0</v>
      </c>
      <c r="AZ678" s="41">
        <f t="shared" si="308"/>
        <v>0</v>
      </c>
      <c r="BA678" s="21">
        <v>5</v>
      </c>
      <c r="BB678" s="41">
        <f t="shared" si="290"/>
        <v>6.0240963855421686E-2</v>
      </c>
      <c r="BC678" s="21">
        <v>1</v>
      </c>
      <c r="BD678" s="41">
        <f t="shared" si="309"/>
        <v>0.1111111111111111</v>
      </c>
      <c r="BE678" s="21">
        <v>83</v>
      </c>
      <c r="BF678" s="21">
        <v>9</v>
      </c>
    </row>
    <row r="679" spans="1:58" ht="15.75" customHeight="1" x14ac:dyDescent="0.25">
      <c r="A679" s="44">
        <v>2020</v>
      </c>
      <c r="B679" s="39">
        <v>172015</v>
      </c>
      <c r="C679" s="38" t="s">
        <v>148</v>
      </c>
      <c r="D679" s="38" t="s">
        <v>126</v>
      </c>
      <c r="E679" s="21">
        <v>6</v>
      </c>
      <c r="F679" s="42">
        <f t="shared" si="291"/>
        <v>6.0606060606060608E-2</v>
      </c>
      <c r="G679" s="21">
        <v>6</v>
      </c>
      <c r="H679" s="42">
        <f t="shared" si="292"/>
        <v>0.10526315789473684</v>
      </c>
      <c r="I679" s="21">
        <v>3</v>
      </c>
      <c r="J679" s="41">
        <f t="shared" si="293"/>
        <v>3.0303030303030304E-2</v>
      </c>
      <c r="K679" s="21">
        <v>2</v>
      </c>
      <c r="L679" s="41">
        <f t="shared" si="294"/>
        <v>3.5087719298245612E-2</v>
      </c>
      <c r="M679" s="21">
        <v>81</v>
      </c>
      <c r="N679" s="41">
        <f t="shared" si="295"/>
        <v>0.81818181818181823</v>
      </c>
      <c r="O679" s="21">
        <v>42</v>
      </c>
      <c r="P679" s="41">
        <f t="shared" si="296"/>
        <v>0.73684210526315785</v>
      </c>
      <c r="Q679" s="21">
        <v>9</v>
      </c>
      <c r="R679" s="41">
        <f t="shared" si="297"/>
        <v>9.0909090909090912E-2</v>
      </c>
      <c r="S679" s="21">
        <v>7</v>
      </c>
      <c r="T679" s="41">
        <f t="shared" si="298"/>
        <v>0.12280701754385964</v>
      </c>
      <c r="U679" s="21">
        <v>9</v>
      </c>
      <c r="V679" s="41">
        <f t="shared" si="299"/>
        <v>9.0909090909090912E-2</v>
      </c>
      <c r="W679" s="21">
        <v>2</v>
      </c>
      <c r="X679" s="41">
        <f t="shared" si="300"/>
        <v>3.5087719298245612E-2</v>
      </c>
      <c r="Y679" s="21">
        <v>9</v>
      </c>
      <c r="Z679" s="41">
        <f t="shared" si="301"/>
        <v>9.0909090909090912E-2</v>
      </c>
      <c r="AA679" s="21">
        <v>6</v>
      </c>
      <c r="AB679" s="41">
        <f t="shared" si="302"/>
        <v>0.10526315789473684</v>
      </c>
      <c r="AC679" s="21">
        <v>81</v>
      </c>
      <c r="AD679" s="41">
        <f t="shared" si="284"/>
        <v>0.81818181818181823</v>
      </c>
      <c r="AE679" s="21">
        <v>49</v>
      </c>
      <c r="AF679" s="41">
        <f t="shared" si="303"/>
        <v>0.85964912280701755</v>
      </c>
      <c r="AG679" s="21">
        <v>8</v>
      </c>
      <c r="AH679" s="41">
        <f t="shared" si="285"/>
        <v>8.0808080808080815E-2</v>
      </c>
      <c r="AI679" s="21">
        <v>8</v>
      </c>
      <c r="AJ679" s="41">
        <f t="shared" si="304"/>
        <v>0.14035087719298245</v>
      </c>
      <c r="AK679" s="21">
        <v>4</v>
      </c>
      <c r="AL679" s="41">
        <f t="shared" si="286"/>
        <v>4.0404040404040407E-2</v>
      </c>
      <c r="AM679" s="21">
        <v>2</v>
      </c>
      <c r="AN679" s="41">
        <f t="shared" si="305"/>
        <v>3.5087719298245612E-2</v>
      </c>
      <c r="AO679" s="21">
        <v>54</v>
      </c>
      <c r="AP679" s="41">
        <f t="shared" si="287"/>
        <v>0.54545454545454541</v>
      </c>
      <c r="AQ679" s="21">
        <v>29</v>
      </c>
      <c r="AR679" s="41">
        <f t="shared" si="306"/>
        <v>0.50877192982456143</v>
      </c>
      <c r="AS679" s="21">
        <v>16</v>
      </c>
      <c r="AT679" s="41">
        <f t="shared" si="288"/>
        <v>0.16161616161616163</v>
      </c>
      <c r="AU679" s="21">
        <v>9</v>
      </c>
      <c r="AV679" s="41">
        <f t="shared" si="307"/>
        <v>0.15789473684210525</v>
      </c>
      <c r="AW679" s="21">
        <v>6</v>
      </c>
      <c r="AX679" s="41">
        <f t="shared" si="289"/>
        <v>6.0606060606060608E-2</v>
      </c>
      <c r="AY679" s="21">
        <v>4</v>
      </c>
      <c r="AZ679" s="41">
        <f t="shared" si="308"/>
        <v>7.0175438596491224E-2</v>
      </c>
      <c r="BA679" s="21">
        <v>11</v>
      </c>
      <c r="BB679" s="41">
        <f t="shared" si="290"/>
        <v>0.1111111111111111</v>
      </c>
      <c r="BC679" s="21">
        <v>5</v>
      </c>
      <c r="BD679" s="41">
        <f t="shared" si="309"/>
        <v>8.771929824561403E-2</v>
      </c>
      <c r="BE679" s="21">
        <v>99</v>
      </c>
      <c r="BF679" s="21">
        <v>57</v>
      </c>
    </row>
    <row r="680" spans="1:58" ht="15.75" customHeight="1" x14ac:dyDescent="0.25">
      <c r="A680" s="44">
        <v>2020</v>
      </c>
      <c r="B680" s="39">
        <v>172020</v>
      </c>
      <c r="C680" s="38" t="s">
        <v>145</v>
      </c>
      <c r="D680" s="38" t="s">
        <v>127</v>
      </c>
      <c r="E680" s="21">
        <v>8</v>
      </c>
      <c r="F680" s="42">
        <f t="shared" si="291"/>
        <v>1.0075566750629723E-2</v>
      </c>
      <c r="G680" s="21">
        <v>7</v>
      </c>
      <c r="H680" s="42">
        <f t="shared" si="292"/>
        <v>1.3182674199623353E-2</v>
      </c>
      <c r="I680" s="21">
        <v>28</v>
      </c>
      <c r="J680" s="41">
        <f t="shared" si="293"/>
        <v>3.5264483627204031E-2</v>
      </c>
      <c r="K680" s="21">
        <v>19</v>
      </c>
      <c r="L680" s="41">
        <f t="shared" si="294"/>
        <v>3.5781544256120526E-2</v>
      </c>
      <c r="M680" s="21">
        <v>717</v>
      </c>
      <c r="N680" s="41">
        <f t="shared" si="295"/>
        <v>0.90302267002518888</v>
      </c>
      <c r="O680" s="21">
        <v>484</v>
      </c>
      <c r="P680" s="41">
        <f t="shared" si="296"/>
        <v>0.91148775894538603</v>
      </c>
      <c r="Q680" s="21">
        <v>41</v>
      </c>
      <c r="R680" s="41">
        <f t="shared" si="297"/>
        <v>5.163727959697733E-2</v>
      </c>
      <c r="S680" s="21">
        <v>21</v>
      </c>
      <c r="T680" s="41">
        <f t="shared" si="298"/>
        <v>3.954802259887006E-2</v>
      </c>
      <c r="U680" s="21">
        <v>31</v>
      </c>
      <c r="V680" s="41">
        <f t="shared" si="299"/>
        <v>3.9042821158690177E-2</v>
      </c>
      <c r="W680" s="21">
        <v>28</v>
      </c>
      <c r="X680" s="41">
        <f t="shared" si="300"/>
        <v>5.2730696798493411E-2</v>
      </c>
      <c r="Y680" s="21">
        <v>64</v>
      </c>
      <c r="Z680" s="41">
        <f t="shared" si="301"/>
        <v>8.0604534005037781E-2</v>
      </c>
      <c r="AA680" s="21">
        <v>46</v>
      </c>
      <c r="AB680" s="41">
        <f t="shared" si="302"/>
        <v>8.6629001883239173E-2</v>
      </c>
      <c r="AC680" s="21">
        <v>699</v>
      </c>
      <c r="AD680" s="41">
        <f t="shared" si="284"/>
        <v>0.88035264483627207</v>
      </c>
      <c r="AE680" s="21">
        <v>457</v>
      </c>
      <c r="AF680" s="41">
        <f t="shared" si="303"/>
        <v>0.86064030131826741</v>
      </c>
      <c r="AG680" s="21">
        <v>29</v>
      </c>
      <c r="AH680" s="41">
        <f t="shared" si="285"/>
        <v>3.6523929471032744E-2</v>
      </c>
      <c r="AI680" s="21">
        <v>25</v>
      </c>
      <c r="AJ680" s="41">
        <f t="shared" si="304"/>
        <v>4.7080979284369114E-2</v>
      </c>
      <c r="AK680" s="21">
        <v>40</v>
      </c>
      <c r="AL680" s="41">
        <f t="shared" si="286"/>
        <v>5.0377833753148617E-2</v>
      </c>
      <c r="AM680" s="21">
        <v>33</v>
      </c>
      <c r="AN680" s="41">
        <f t="shared" si="305"/>
        <v>6.2146892655367235E-2</v>
      </c>
      <c r="AO680" s="21">
        <v>529</v>
      </c>
      <c r="AP680" s="41">
        <f t="shared" si="287"/>
        <v>0.66624685138539042</v>
      </c>
      <c r="AQ680" s="21">
        <v>363</v>
      </c>
      <c r="AR680" s="41">
        <f t="shared" si="306"/>
        <v>0.68361581920903958</v>
      </c>
      <c r="AS680" s="21">
        <v>113</v>
      </c>
      <c r="AT680" s="41">
        <f t="shared" si="288"/>
        <v>0.14231738035264482</v>
      </c>
      <c r="AU680" s="21">
        <v>56</v>
      </c>
      <c r="AV680" s="41">
        <f t="shared" si="307"/>
        <v>0.10546139359698682</v>
      </c>
      <c r="AW680" s="21">
        <v>46</v>
      </c>
      <c r="AX680" s="41">
        <f t="shared" si="289"/>
        <v>5.793450881612091E-2</v>
      </c>
      <c r="AY680" s="21">
        <v>28</v>
      </c>
      <c r="AZ680" s="41">
        <f t="shared" si="308"/>
        <v>5.2730696798493411E-2</v>
      </c>
      <c r="BA680" s="21">
        <v>37</v>
      </c>
      <c r="BB680" s="41">
        <f t="shared" si="290"/>
        <v>4.659949622166247E-2</v>
      </c>
      <c r="BC680" s="21">
        <v>26</v>
      </c>
      <c r="BD680" s="41">
        <f t="shared" si="309"/>
        <v>4.8964218455743877E-2</v>
      </c>
      <c r="BE680" s="21">
        <v>794</v>
      </c>
      <c r="BF680" s="21">
        <v>531</v>
      </c>
    </row>
    <row r="681" spans="1:58" ht="15.75" customHeight="1" x14ac:dyDescent="0.25">
      <c r="A681" s="44">
        <v>2020</v>
      </c>
      <c r="B681" s="39">
        <v>172025</v>
      </c>
      <c r="C681" s="38" t="s">
        <v>146</v>
      </c>
      <c r="D681" s="38" t="s">
        <v>128</v>
      </c>
      <c r="E681" s="21">
        <v>1</v>
      </c>
      <c r="F681" s="42">
        <f t="shared" si="291"/>
        <v>3.8461538461538464E-2</v>
      </c>
      <c r="G681" s="21">
        <v>0</v>
      </c>
      <c r="H681" s="42">
        <f t="shared" si="292"/>
        <v>0</v>
      </c>
      <c r="I681" s="21">
        <v>0</v>
      </c>
      <c r="J681" s="41">
        <f t="shared" si="293"/>
        <v>0</v>
      </c>
      <c r="K681" s="21">
        <v>0</v>
      </c>
      <c r="L681" s="41">
        <f t="shared" si="294"/>
        <v>0</v>
      </c>
      <c r="M681" s="21">
        <v>23</v>
      </c>
      <c r="N681" s="41">
        <f t="shared" si="295"/>
        <v>0.88461538461538458</v>
      </c>
      <c r="O681" s="21">
        <v>1</v>
      </c>
      <c r="P681" s="41">
        <f t="shared" si="296"/>
        <v>1</v>
      </c>
      <c r="Q681" s="21">
        <v>2</v>
      </c>
      <c r="R681" s="41">
        <f t="shared" si="297"/>
        <v>7.6923076923076927E-2</v>
      </c>
      <c r="S681" s="21">
        <v>0</v>
      </c>
      <c r="T681" s="41">
        <f t="shared" si="298"/>
        <v>0</v>
      </c>
      <c r="U681" s="21">
        <v>1</v>
      </c>
      <c r="V681" s="41">
        <f t="shared" si="299"/>
        <v>3.8461538461538464E-2</v>
      </c>
      <c r="W681" s="21">
        <v>0</v>
      </c>
      <c r="X681" s="41">
        <f t="shared" si="300"/>
        <v>0</v>
      </c>
      <c r="Y681" s="21">
        <v>2</v>
      </c>
      <c r="Z681" s="41">
        <f t="shared" si="301"/>
        <v>7.6923076923076927E-2</v>
      </c>
      <c r="AA681" s="21">
        <v>0</v>
      </c>
      <c r="AB681" s="41">
        <f t="shared" si="302"/>
        <v>0</v>
      </c>
      <c r="AC681" s="21">
        <v>23</v>
      </c>
      <c r="AD681" s="41">
        <f t="shared" si="284"/>
        <v>0.88461538461538458</v>
      </c>
      <c r="AE681" s="21">
        <v>1</v>
      </c>
      <c r="AF681" s="41">
        <f t="shared" si="303"/>
        <v>1</v>
      </c>
      <c r="AG681" s="21">
        <v>2</v>
      </c>
      <c r="AH681" s="41">
        <f t="shared" si="285"/>
        <v>7.6923076923076927E-2</v>
      </c>
      <c r="AI681" s="21">
        <v>0</v>
      </c>
      <c r="AJ681" s="41">
        <f t="shared" si="304"/>
        <v>0</v>
      </c>
      <c r="AK681" s="21">
        <v>2</v>
      </c>
      <c r="AL681" s="41">
        <f t="shared" si="286"/>
        <v>7.6923076923076927E-2</v>
      </c>
      <c r="AM681" s="21">
        <v>0</v>
      </c>
      <c r="AN681" s="41">
        <f t="shared" si="305"/>
        <v>0</v>
      </c>
      <c r="AO681" s="21">
        <v>10</v>
      </c>
      <c r="AP681" s="41">
        <f t="shared" si="287"/>
        <v>0.38461538461538464</v>
      </c>
      <c r="AQ681" s="21">
        <v>1</v>
      </c>
      <c r="AR681" s="41">
        <f t="shared" si="306"/>
        <v>1</v>
      </c>
      <c r="AS681" s="21">
        <v>6</v>
      </c>
      <c r="AT681" s="41">
        <f t="shared" si="288"/>
        <v>0.23076923076923078</v>
      </c>
      <c r="AU681" s="21">
        <v>0</v>
      </c>
      <c r="AV681" s="41">
        <f t="shared" si="307"/>
        <v>0</v>
      </c>
      <c r="AW681" s="21">
        <v>3</v>
      </c>
      <c r="AX681" s="41">
        <f t="shared" si="289"/>
        <v>0.11538461538461539</v>
      </c>
      <c r="AY681" s="21">
        <v>0</v>
      </c>
      <c r="AZ681" s="41">
        <f t="shared" si="308"/>
        <v>0</v>
      </c>
      <c r="BA681" s="21">
        <v>3</v>
      </c>
      <c r="BB681" s="41">
        <f t="shared" si="290"/>
        <v>0.11538461538461539</v>
      </c>
      <c r="BC681" s="21">
        <v>0</v>
      </c>
      <c r="BD681" s="41">
        <f t="shared" si="309"/>
        <v>0</v>
      </c>
      <c r="BE681" s="21">
        <v>26</v>
      </c>
      <c r="BF681" s="21">
        <v>1</v>
      </c>
    </row>
    <row r="682" spans="1:58" ht="15.75" customHeight="1" x14ac:dyDescent="0.25">
      <c r="A682" s="44">
        <v>2020</v>
      </c>
      <c r="B682" s="39">
        <v>172030</v>
      </c>
      <c r="C682" s="38" t="s">
        <v>145</v>
      </c>
      <c r="D682" s="38" t="s">
        <v>129</v>
      </c>
      <c r="E682" s="21">
        <v>4</v>
      </c>
      <c r="F682" s="42">
        <f t="shared" si="291"/>
        <v>1.1869436201780416E-2</v>
      </c>
      <c r="G682" s="21">
        <v>2</v>
      </c>
      <c r="H682" s="42">
        <f t="shared" si="292"/>
        <v>9.5238095238095247E-3</v>
      </c>
      <c r="I682" s="21">
        <v>10</v>
      </c>
      <c r="J682" s="41">
        <f t="shared" si="293"/>
        <v>2.967359050445104E-2</v>
      </c>
      <c r="K682" s="21">
        <v>7</v>
      </c>
      <c r="L682" s="41">
        <f t="shared" si="294"/>
        <v>3.3333333333333333E-2</v>
      </c>
      <c r="M682" s="21">
        <v>305</v>
      </c>
      <c r="N682" s="41">
        <f t="shared" si="295"/>
        <v>0.90504451038575673</v>
      </c>
      <c r="O682" s="21">
        <v>186</v>
      </c>
      <c r="P682" s="41">
        <f t="shared" si="296"/>
        <v>0.88571428571428568</v>
      </c>
      <c r="Q682" s="21">
        <v>18</v>
      </c>
      <c r="R682" s="41">
        <f t="shared" si="297"/>
        <v>5.3412462908011868E-2</v>
      </c>
      <c r="S682" s="21">
        <v>15</v>
      </c>
      <c r="T682" s="41">
        <f t="shared" si="298"/>
        <v>7.1428571428571425E-2</v>
      </c>
      <c r="U682" s="21">
        <v>27</v>
      </c>
      <c r="V682" s="41">
        <f t="shared" si="299"/>
        <v>8.0118694362017809E-2</v>
      </c>
      <c r="W682" s="21">
        <v>10</v>
      </c>
      <c r="X682" s="41">
        <f t="shared" si="300"/>
        <v>4.7619047619047616E-2</v>
      </c>
      <c r="Y682" s="21">
        <v>18</v>
      </c>
      <c r="Z682" s="41">
        <f t="shared" si="301"/>
        <v>5.3412462908011868E-2</v>
      </c>
      <c r="AA682" s="21">
        <v>9</v>
      </c>
      <c r="AB682" s="41">
        <f t="shared" si="302"/>
        <v>4.2857142857142858E-2</v>
      </c>
      <c r="AC682" s="21">
        <v>292</v>
      </c>
      <c r="AD682" s="41">
        <f t="shared" si="284"/>
        <v>0.86646884272997038</v>
      </c>
      <c r="AE682" s="21">
        <v>191</v>
      </c>
      <c r="AF682" s="41">
        <f t="shared" si="303"/>
        <v>0.90952380952380951</v>
      </c>
      <c r="AG682" s="21">
        <v>10</v>
      </c>
      <c r="AH682" s="41">
        <f t="shared" si="285"/>
        <v>2.967359050445104E-2</v>
      </c>
      <c r="AI682" s="21">
        <v>8</v>
      </c>
      <c r="AJ682" s="41">
        <f t="shared" si="304"/>
        <v>3.8095238095238099E-2</v>
      </c>
      <c r="AK682" s="21">
        <v>15</v>
      </c>
      <c r="AL682" s="41">
        <f t="shared" si="286"/>
        <v>4.4510385756676561E-2</v>
      </c>
      <c r="AM682" s="21">
        <v>11</v>
      </c>
      <c r="AN682" s="41">
        <f t="shared" si="305"/>
        <v>5.2380952380952382E-2</v>
      </c>
      <c r="AO682" s="21">
        <v>223</v>
      </c>
      <c r="AP682" s="41">
        <f t="shared" si="287"/>
        <v>0.66172106824925814</v>
      </c>
      <c r="AQ682" s="21">
        <v>133</v>
      </c>
      <c r="AR682" s="41">
        <f t="shared" si="306"/>
        <v>0.6333333333333333</v>
      </c>
      <c r="AS682" s="21">
        <v>43</v>
      </c>
      <c r="AT682" s="41">
        <f t="shared" si="288"/>
        <v>0.12759643916913946</v>
      </c>
      <c r="AU682" s="21">
        <v>31</v>
      </c>
      <c r="AV682" s="41">
        <f t="shared" si="307"/>
        <v>0.14761904761904762</v>
      </c>
      <c r="AW682" s="21">
        <v>22</v>
      </c>
      <c r="AX682" s="41">
        <f t="shared" si="289"/>
        <v>6.5281899109792291E-2</v>
      </c>
      <c r="AY682" s="21">
        <v>16</v>
      </c>
      <c r="AZ682" s="41">
        <f t="shared" si="308"/>
        <v>7.6190476190476197E-2</v>
      </c>
      <c r="BA682" s="21">
        <v>24</v>
      </c>
      <c r="BB682" s="41">
        <f t="shared" si="290"/>
        <v>7.1216617210682495E-2</v>
      </c>
      <c r="BC682" s="21">
        <v>11</v>
      </c>
      <c r="BD682" s="41">
        <f t="shared" si="309"/>
        <v>5.2380952380952382E-2</v>
      </c>
      <c r="BE682" s="21">
        <v>337</v>
      </c>
      <c r="BF682" s="21">
        <v>210</v>
      </c>
    </row>
    <row r="683" spans="1:58" ht="15.75" customHeight="1" x14ac:dyDescent="0.25">
      <c r="A683" s="44">
        <v>2020</v>
      </c>
      <c r="B683" s="39">
        <v>172049</v>
      </c>
      <c r="C683" s="38" t="s">
        <v>146</v>
      </c>
      <c r="D683" s="38" t="s">
        <v>130</v>
      </c>
      <c r="E683" s="21">
        <v>0</v>
      </c>
      <c r="F683" s="42">
        <f t="shared" si="291"/>
        <v>0</v>
      </c>
      <c r="G683" s="21">
        <v>0</v>
      </c>
      <c r="H683" s="42">
        <f t="shared" si="292"/>
        <v>0</v>
      </c>
      <c r="I683" s="21">
        <v>9</v>
      </c>
      <c r="J683" s="41">
        <f t="shared" si="293"/>
        <v>3.7344398340248962E-2</v>
      </c>
      <c r="K683" s="21">
        <v>5</v>
      </c>
      <c r="L683" s="41">
        <f t="shared" si="294"/>
        <v>3.4722222222222224E-2</v>
      </c>
      <c r="M683" s="21">
        <v>212</v>
      </c>
      <c r="N683" s="41">
        <f t="shared" si="295"/>
        <v>0.8796680497925311</v>
      </c>
      <c r="O683" s="21">
        <v>125</v>
      </c>
      <c r="P683" s="41">
        <f t="shared" si="296"/>
        <v>0.86805555555555558</v>
      </c>
      <c r="Q683" s="21">
        <v>20</v>
      </c>
      <c r="R683" s="41">
        <f t="shared" si="297"/>
        <v>8.2987551867219914E-2</v>
      </c>
      <c r="S683" s="21">
        <v>14</v>
      </c>
      <c r="T683" s="41">
        <f t="shared" si="298"/>
        <v>9.7222222222222224E-2</v>
      </c>
      <c r="U683" s="21">
        <v>16</v>
      </c>
      <c r="V683" s="41">
        <f t="shared" si="299"/>
        <v>6.6390041493775934E-2</v>
      </c>
      <c r="W683" s="21">
        <v>15</v>
      </c>
      <c r="X683" s="41">
        <f t="shared" si="300"/>
        <v>0.10416666666666667</v>
      </c>
      <c r="Y683" s="21">
        <v>21</v>
      </c>
      <c r="Z683" s="41">
        <f t="shared" si="301"/>
        <v>8.7136929460580909E-2</v>
      </c>
      <c r="AA683" s="21">
        <v>15</v>
      </c>
      <c r="AB683" s="41">
        <f t="shared" si="302"/>
        <v>0.10416666666666667</v>
      </c>
      <c r="AC683" s="21">
        <v>204</v>
      </c>
      <c r="AD683" s="41">
        <f t="shared" si="284"/>
        <v>0.84647302904564314</v>
      </c>
      <c r="AE683" s="21">
        <v>114</v>
      </c>
      <c r="AF683" s="41">
        <f t="shared" si="303"/>
        <v>0.79166666666666663</v>
      </c>
      <c r="AG683" s="21">
        <v>7</v>
      </c>
      <c r="AH683" s="41">
        <f t="shared" si="285"/>
        <v>2.9045643153526972E-2</v>
      </c>
      <c r="AI683" s="21">
        <v>7</v>
      </c>
      <c r="AJ683" s="41">
        <f t="shared" si="304"/>
        <v>4.8611111111111112E-2</v>
      </c>
      <c r="AK683" s="21">
        <v>14</v>
      </c>
      <c r="AL683" s="41">
        <f t="shared" si="286"/>
        <v>5.8091286307053944E-2</v>
      </c>
      <c r="AM683" s="21">
        <v>8</v>
      </c>
      <c r="AN683" s="41">
        <f t="shared" si="305"/>
        <v>5.5555555555555552E-2</v>
      </c>
      <c r="AO683" s="21">
        <v>147</v>
      </c>
      <c r="AP683" s="41">
        <f t="shared" si="287"/>
        <v>0.60995850622406644</v>
      </c>
      <c r="AQ683" s="21">
        <v>81</v>
      </c>
      <c r="AR683" s="41">
        <f t="shared" si="306"/>
        <v>0.5625</v>
      </c>
      <c r="AS683" s="21">
        <v>35</v>
      </c>
      <c r="AT683" s="41">
        <f t="shared" si="288"/>
        <v>0.14522821576763487</v>
      </c>
      <c r="AU683" s="21">
        <v>18</v>
      </c>
      <c r="AV683" s="41">
        <f t="shared" si="307"/>
        <v>0.125</v>
      </c>
      <c r="AW683" s="21">
        <v>15</v>
      </c>
      <c r="AX683" s="41">
        <f t="shared" si="289"/>
        <v>6.2240663900414939E-2</v>
      </c>
      <c r="AY683" s="21">
        <v>11</v>
      </c>
      <c r="AZ683" s="41">
        <f t="shared" si="308"/>
        <v>7.6388888888888895E-2</v>
      </c>
      <c r="BA683" s="21">
        <v>23</v>
      </c>
      <c r="BB683" s="41">
        <f t="shared" si="290"/>
        <v>9.5435684647302899E-2</v>
      </c>
      <c r="BC683" s="21">
        <v>19</v>
      </c>
      <c r="BD683" s="41">
        <f t="shared" si="309"/>
        <v>0.13194444444444445</v>
      </c>
      <c r="BE683" s="21">
        <v>241</v>
      </c>
      <c r="BF683" s="21">
        <v>144</v>
      </c>
    </row>
    <row r="684" spans="1:58" ht="15.75" customHeight="1" x14ac:dyDescent="0.25">
      <c r="A684" s="44">
        <v>2020</v>
      </c>
      <c r="B684" s="39">
        <v>172065</v>
      </c>
      <c r="C684" s="38" t="s">
        <v>151</v>
      </c>
      <c r="D684" s="38" t="s">
        <v>131</v>
      </c>
      <c r="E684" s="21">
        <v>3</v>
      </c>
      <c r="F684" s="42">
        <f t="shared" si="291"/>
        <v>7.8534031413612562E-3</v>
      </c>
      <c r="G684" s="21">
        <v>2</v>
      </c>
      <c r="H684" s="42">
        <f t="shared" si="292"/>
        <v>8.4388185654008432E-3</v>
      </c>
      <c r="I684" s="21">
        <v>9</v>
      </c>
      <c r="J684" s="41">
        <f t="shared" si="293"/>
        <v>2.356020942408377E-2</v>
      </c>
      <c r="K684" s="21">
        <v>8</v>
      </c>
      <c r="L684" s="41">
        <f t="shared" si="294"/>
        <v>3.3755274261603373E-2</v>
      </c>
      <c r="M684" s="21">
        <v>346</v>
      </c>
      <c r="N684" s="41">
        <f t="shared" si="295"/>
        <v>0.90575916230366493</v>
      </c>
      <c r="O684" s="21">
        <v>210</v>
      </c>
      <c r="P684" s="41">
        <f t="shared" si="296"/>
        <v>0.88607594936708856</v>
      </c>
      <c r="Q684" s="21">
        <v>24</v>
      </c>
      <c r="R684" s="41">
        <f t="shared" si="297"/>
        <v>6.2827225130890049E-2</v>
      </c>
      <c r="S684" s="21">
        <v>17</v>
      </c>
      <c r="T684" s="41">
        <f t="shared" si="298"/>
        <v>7.1729957805907171E-2</v>
      </c>
      <c r="U684" s="21">
        <v>18</v>
      </c>
      <c r="V684" s="41">
        <f t="shared" si="299"/>
        <v>4.712041884816754E-2</v>
      </c>
      <c r="W684" s="21">
        <v>16</v>
      </c>
      <c r="X684" s="41">
        <f t="shared" si="300"/>
        <v>6.7510548523206745E-2</v>
      </c>
      <c r="Y684" s="21">
        <v>25</v>
      </c>
      <c r="Z684" s="41">
        <f t="shared" si="301"/>
        <v>6.5445026178010471E-2</v>
      </c>
      <c r="AA684" s="21">
        <v>20</v>
      </c>
      <c r="AB684" s="41">
        <f t="shared" si="302"/>
        <v>8.4388185654008435E-2</v>
      </c>
      <c r="AC684" s="21">
        <v>339</v>
      </c>
      <c r="AD684" s="41">
        <f t="shared" si="284"/>
        <v>0.88743455497382195</v>
      </c>
      <c r="AE684" s="21">
        <v>201</v>
      </c>
      <c r="AF684" s="41">
        <f t="shared" si="303"/>
        <v>0.84810126582278478</v>
      </c>
      <c r="AG684" s="21">
        <v>20</v>
      </c>
      <c r="AH684" s="41">
        <f t="shared" si="285"/>
        <v>5.2356020942408377E-2</v>
      </c>
      <c r="AI684" s="21">
        <v>17</v>
      </c>
      <c r="AJ684" s="41">
        <f t="shared" si="304"/>
        <v>7.1729957805907171E-2</v>
      </c>
      <c r="AK684" s="21">
        <v>15</v>
      </c>
      <c r="AL684" s="41">
        <f t="shared" si="286"/>
        <v>3.9267015706806283E-2</v>
      </c>
      <c r="AM684" s="21">
        <v>12</v>
      </c>
      <c r="AN684" s="41">
        <f t="shared" si="305"/>
        <v>5.0632911392405063E-2</v>
      </c>
      <c r="AO684" s="21">
        <v>248</v>
      </c>
      <c r="AP684" s="41">
        <f t="shared" si="287"/>
        <v>0.64921465968586389</v>
      </c>
      <c r="AQ684" s="21">
        <v>144</v>
      </c>
      <c r="AR684" s="41">
        <f t="shared" si="306"/>
        <v>0.60759493670886078</v>
      </c>
      <c r="AS684" s="21">
        <v>55</v>
      </c>
      <c r="AT684" s="41">
        <f t="shared" si="288"/>
        <v>0.14397905759162305</v>
      </c>
      <c r="AU684" s="21">
        <v>30</v>
      </c>
      <c r="AV684" s="41">
        <f t="shared" si="307"/>
        <v>0.12658227848101267</v>
      </c>
      <c r="AW684" s="21">
        <v>23</v>
      </c>
      <c r="AX684" s="41">
        <f t="shared" si="289"/>
        <v>6.0209424083769635E-2</v>
      </c>
      <c r="AY684" s="21">
        <v>16</v>
      </c>
      <c r="AZ684" s="41">
        <f t="shared" si="308"/>
        <v>6.7510548523206745E-2</v>
      </c>
      <c r="BA684" s="21">
        <v>21</v>
      </c>
      <c r="BB684" s="41">
        <f t="shared" si="290"/>
        <v>5.4973821989528798E-2</v>
      </c>
      <c r="BC684" s="21">
        <v>18</v>
      </c>
      <c r="BD684" s="41">
        <f t="shared" si="309"/>
        <v>7.5949367088607597E-2</v>
      </c>
      <c r="BE684" s="21">
        <v>382</v>
      </c>
      <c r="BF684" s="21">
        <v>237</v>
      </c>
    </row>
    <row r="685" spans="1:58" ht="15.75" customHeight="1" x14ac:dyDescent="0.25">
      <c r="A685" s="44">
        <v>2020</v>
      </c>
      <c r="B685" s="39">
        <v>172080</v>
      </c>
      <c r="C685" s="38" t="s">
        <v>145</v>
      </c>
      <c r="D685" s="38" t="s">
        <v>132</v>
      </c>
      <c r="E685" s="21">
        <v>4</v>
      </c>
      <c r="F685" s="42">
        <f t="shared" si="291"/>
        <v>6.379585326953748E-3</v>
      </c>
      <c r="G685" s="21">
        <v>0</v>
      </c>
      <c r="H685" s="42">
        <f t="shared" si="292"/>
        <v>0</v>
      </c>
      <c r="I685" s="21">
        <v>18</v>
      </c>
      <c r="J685" s="41">
        <f t="shared" si="293"/>
        <v>2.8708133971291867E-2</v>
      </c>
      <c r="K685" s="21">
        <v>3</v>
      </c>
      <c r="L685" s="41">
        <f t="shared" si="294"/>
        <v>3.9473684210526314E-2</v>
      </c>
      <c r="M685" s="21">
        <v>580</v>
      </c>
      <c r="N685" s="41">
        <f t="shared" si="295"/>
        <v>0.92503987240829344</v>
      </c>
      <c r="O685" s="21">
        <v>70</v>
      </c>
      <c r="P685" s="41">
        <f t="shared" si="296"/>
        <v>0.92105263157894735</v>
      </c>
      <c r="Q685" s="21">
        <v>25</v>
      </c>
      <c r="R685" s="41">
        <f t="shared" si="297"/>
        <v>3.9872408293460927E-2</v>
      </c>
      <c r="S685" s="21">
        <v>3</v>
      </c>
      <c r="T685" s="41">
        <f t="shared" si="298"/>
        <v>3.9473684210526314E-2</v>
      </c>
      <c r="U685" s="21">
        <v>33</v>
      </c>
      <c r="V685" s="41">
        <f t="shared" si="299"/>
        <v>5.2631578947368418E-2</v>
      </c>
      <c r="W685" s="21">
        <v>2</v>
      </c>
      <c r="X685" s="41">
        <f t="shared" si="300"/>
        <v>2.6315789473684209E-2</v>
      </c>
      <c r="Y685" s="21">
        <v>51</v>
      </c>
      <c r="Z685" s="41">
        <f t="shared" si="301"/>
        <v>8.1339712918660281E-2</v>
      </c>
      <c r="AA685" s="21">
        <v>6</v>
      </c>
      <c r="AB685" s="41">
        <f t="shared" si="302"/>
        <v>7.8947368421052627E-2</v>
      </c>
      <c r="AC685" s="21">
        <v>543</v>
      </c>
      <c r="AD685" s="41">
        <f t="shared" si="284"/>
        <v>0.86602870813397126</v>
      </c>
      <c r="AE685" s="21">
        <v>68</v>
      </c>
      <c r="AF685" s="41">
        <f t="shared" si="303"/>
        <v>0.89473684210526316</v>
      </c>
      <c r="AG685" s="21">
        <v>16</v>
      </c>
      <c r="AH685" s="41">
        <f t="shared" si="285"/>
        <v>2.5518341307814992E-2</v>
      </c>
      <c r="AI685" s="21">
        <v>1</v>
      </c>
      <c r="AJ685" s="41">
        <f t="shared" si="304"/>
        <v>1.3157894736842105E-2</v>
      </c>
      <c r="AK685" s="21">
        <v>22</v>
      </c>
      <c r="AL685" s="41">
        <f t="shared" si="286"/>
        <v>3.5087719298245612E-2</v>
      </c>
      <c r="AM685" s="21">
        <v>3</v>
      </c>
      <c r="AN685" s="41">
        <f t="shared" si="305"/>
        <v>3.9473684210526314E-2</v>
      </c>
      <c r="AO685" s="21">
        <v>394</v>
      </c>
      <c r="AP685" s="41">
        <f t="shared" si="287"/>
        <v>0.62838915470494416</v>
      </c>
      <c r="AQ685" s="21">
        <v>51</v>
      </c>
      <c r="AR685" s="41">
        <f t="shared" si="306"/>
        <v>0.67105263157894735</v>
      </c>
      <c r="AS685" s="21">
        <v>117</v>
      </c>
      <c r="AT685" s="41">
        <f t="shared" si="288"/>
        <v>0.18660287081339713</v>
      </c>
      <c r="AU685" s="21">
        <v>18</v>
      </c>
      <c r="AV685" s="41">
        <f t="shared" si="307"/>
        <v>0.23684210526315788</v>
      </c>
      <c r="AW685" s="21">
        <v>43</v>
      </c>
      <c r="AX685" s="41">
        <f t="shared" si="289"/>
        <v>6.8580542264752797E-2</v>
      </c>
      <c r="AY685" s="21">
        <v>1</v>
      </c>
      <c r="AZ685" s="41">
        <f t="shared" si="308"/>
        <v>1.3157894736842105E-2</v>
      </c>
      <c r="BA685" s="21">
        <v>35</v>
      </c>
      <c r="BB685" s="41">
        <f t="shared" si="290"/>
        <v>5.5821371610845293E-2</v>
      </c>
      <c r="BC685" s="21">
        <v>2</v>
      </c>
      <c r="BD685" s="41">
        <f t="shared" si="309"/>
        <v>2.6315789473684209E-2</v>
      </c>
      <c r="BE685" s="21">
        <v>627</v>
      </c>
      <c r="BF685" s="21">
        <v>76</v>
      </c>
    </row>
    <row r="686" spans="1:58" ht="15.75" customHeight="1" x14ac:dyDescent="0.25">
      <c r="A686" s="44">
        <v>2020</v>
      </c>
      <c r="B686" s="39">
        <v>172085</v>
      </c>
      <c r="C686" s="38" t="s">
        <v>146</v>
      </c>
      <c r="D686" s="38" t="s">
        <v>133</v>
      </c>
      <c r="E686" s="21">
        <v>0</v>
      </c>
      <c r="F686" s="42">
        <f t="shared" si="291"/>
        <v>0</v>
      </c>
      <c r="G686" s="21">
        <v>0</v>
      </c>
      <c r="H686" s="42">
        <f t="shared" si="292"/>
        <v>0</v>
      </c>
      <c r="I686" s="21">
        <v>2</v>
      </c>
      <c r="J686" s="41">
        <f t="shared" si="293"/>
        <v>2.0408163265306121E-2</v>
      </c>
      <c r="K686" s="21">
        <v>2</v>
      </c>
      <c r="L686" s="41">
        <f t="shared" si="294"/>
        <v>3.5714285714285712E-2</v>
      </c>
      <c r="M686" s="21">
        <v>85</v>
      </c>
      <c r="N686" s="41">
        <f t="shared" si="295"/>
        <v>0.86734693877551017</v>
      </c>
      <c r="O686" s="21">
        <v>51</v>
      </c>
      <c r="P686" s="41">
        <f t="shared" si="296"/>
        <v>0.9107142857142857</v>
      </c>
      <c r="Q686" s="21">
        <v>11</v>
      </c>
      <c r="R686" s="41">
        <f t="shared" si="297"/>
        <v>0.11224489795918367</v>
      </c>
      <c r="S686" s="21">
        <v>3</v>
      </c>
      <c r="T686" s="41">
        <f t="shared" si="298"/>
        <v>5.3571428571428568E-2</v>
      </c>
      <c r="U686" s="21">
        <v>4</v>
      </c>
      <c r="V686" s="41">
        <f t="shared" si="299"/>
        <v>4.0816326530612242E-2</v>
      </c>
      <c r="W686" s="21">
        <v>4</v>
      </c>
      <c r="X686" s="41">
        <f t="shared" si="300"/>
        <v>7.1428571428571425E-2</v>
      </c>
      <c r="Y686" s="21">
        <v>7</v>
      </c>
      <c r="Z686" s="41">
        <f t="shared" si="301"/>
        <v>7.1428571428571425E-2</v>
      </c>
      <c r="AA686" s="21">
        <v>4</v>
      </c>
      <c r="AB686" s="41">
        <f t="shared" si="302"/>
        <v>7.1428571428571425E-2</v>
      </c>
      <c r="AC686" s="21">
        <v>87</v>
      </c>
      <c r="AD686" s="41">
        <f t="shared" si="284"/>
        <v>0.88775510204081631</v>
      </c>
      <c r="AE686" s="21">
        <v>48</v>
      </c>
      <c r="AF686" s="41">
        <f t="shared" si="303"/>
        <v>0.8571428571428571</v>
      </c>
      <c r="AG686" s="21">
        <v>3</v>
      </c>
      <c r="AH686" s="41">
        <f t="shared" si="285"/>
        <v>3.0612244897959183E-2</v>
      </c>
      <c r="AI686" s="21">
        <v>1</v>
      </c>
      <c r="AJ686" s="41">
        <f t="shared" si="304"/>
        <v>1.7857142857142856E-2</v>
      </c>
      <c r="AK686" s="21">
        <v>3</v>
      </c>
      <c r="AL686" s="41">
        <f t="shared" si="286"/>
        <v>3.0612244897959183E-2</v>
      </c>
      <c r="AM686" s="21">
        <v>1</v>
      </c>
      <c r="AN686" s="41">
        <f t="shared" si="305"/>
        <v>1.7857142857142856E-2</v>
      </c>
      <c r="AO686" s="21">
        <v>57</v>
      </c>
      <c r="AP686" s="41">
        <f t="shared" si="287"/>
        <v>0.58163265306122447</v>
      </c>
      <c r="AQ686" s="21">
        <v>37</v>
      </c>
      <c r="AR686" s="41">
        <f t="shared" si="306"/>
        <v>0.6607142857142857</v>
      </c>
      <c r="AS686" s="21">
        <v>21</v>
      </c>
      <c r="AT686" s="41">
        <f t="shared" si="288"/>
        <v>0.21428571428571427</v>
      </c>
      <c r="AU686" s="21">
        <v>12</v>
      </c>
      <c r="AV686" s="41">
        <f t="shared" si="307"/>
        <v>0.21428571428571427</v>
      </c>
      <c r="AW686" s="21">
        <v>8</v>
      </c>
      <c r="AX686" s="41">
        <f t="shared" si="289"/>
        <v>8.1632653061224483E-2</v>
      </c>
      <c r="AY686" s="21">
        <v>4</v>
      </c>
      <c r="AZ686" s="41">
        <f t="shared" si="308"/>
        <v>7.1428571428571425E-2</v>
      </c>
      <c r="BA686" s="21">
        <v>6</v>
      </c>
      <c r="BB686" s="41">
        <f t="shared" si="290"/>
        <v>6.1224489795918366E-2</v>
      </c>
      <c r="BC686" s="21">
        <v>1</v>
      </c>
      <c r="BD686" s="41">
        <f t="shared" si="309"/>
        <v>1.7857142857142856E-2</v>
      </c>
      <c r="BE686" s="21">
        <v>98</v>
      </c>
      <c r="BF686" s="21">
        <v>56</v>
      </c>
    </row>
    <row r="687" spans="1:58" ht="15.75" customHeight="1" x14ac:dyDescent="0.25">
      <c r="A687" s="44">
        <v>2020</v>
      </c>
      <c r="B687" s="39">
        <v>170825</v>
      </c>
      <c r="C687" s="38" t="s">
        <v>148</v>
      </c>
      <c r="D687" s="38" t="s">
        <v>134</v>
      </c>
      <c r="E687" s="21">
        <v>0</v>
      </c>
      <c r="F687" s="42">
        <f t="shared" si="291"/>
        <v>0</v>
      </c>
      <c r="G687" s="21">
        <v>0</v>
      </c>
      <c r="H687" s="42">
        <f t="shared" si="292"/>
        <v>0</v>
      </c>
      <c r="I687" s="21">
        <v>1</v>
      </c>
      <c r="J687" s="41">
        <f t="shared" si="293"/>
        <v>7.462686567164179E-3</v>
      </c>
      <c r="K687" s="21">
        <v>1</v>
      </c>
      <c r="L687" s="41">
        <f t="shared" si="294"/>
        <v>7.462686567164179E-3</v>
      </c>
      <c r="M687" s="21">
        <v>128</v>
      </c>
      <c r="N687" s="41">
        <f t="shared" si="295"/>
        <v>0.95522388059701491</v>
      </c>
      <c r="O687" s="21">
        <v>128</v>
      </c>
      <c r="P687" s="41">
        <f t="shared" si="296"/>
        <v>0.95522388059701491</v>
      </c>
      <c r="Q687" s="21">
        <v>5</v>
      </c>
      <c r="R687" s="41">
        <f t="shared" si="297"/>
        <v>3.7313432835820892E-2</v>
      </c>
      <c r="S687" s="21">
        <v>5</v>
      </c>
      <c r="T687" s="41">
        <f t="shared" si="298"/>
        <v>3.7313432835820892E-2</v>
      </c>
      <c r="U687" s="21">
        <v>3</v>
      </c>
      <c r="V687" s="41">
        <f t="shared" si="299"/>
        <v>2.2388059701492536E-2</v>
      </c>
      <c r="W687" s="21">
        <v>3</v>
      </c>
      <c r="X687" s="41">
        <f t="shared" si="300"/>
        <v>2.2388059701492536E-2</v>
      </c>
      <c r="Y687" s="21">
        <v>6</v>
      </c>
      <c r="Z687" s="41">
        <f t="shared" si="301"/>
        <v>4.4776119402985072E-2</v>
      </c>
      <c r="AA687" s="21">
        <v>6</v>
      </c>
      <c r="AB687" s="41">
        <f t="shared" si="302"/>
        <v>4.4776119402985072E-2</v>
      </c>
      <c r="AC687" s="21">
        <v>125</v>
      </c>
      <c r="AD687" s="41">
        <f t="shared" si="284"/>
        <v>0.93283582089552242</v>
      </c>
      <c r="AE687" s="21">
        <v>125</v>
      </c>
      <c r="AF687" s="41">
        <f t="shared" si="303"/>
        <v>0.93283582089552242</v>
      </c>
      <c r="AG687" s="21">
        <v>5</v>
      </c>
      <c r="AH687" s="41">
        <f t="shared" si="285"/>
        <v>3.7313432835820892E-2</v>
      </c>
      <c r="AI687" s="21">
        <v>5</v>
      </c>
      <c r="AJ687" s="41">
        <f t="shared" si="304"/>
        <v>3.7313432835820892E-2</v>
      </c>
      <c r="AK687" s="21">
        <v>8</v>
      </c>
      <c r="AL687" s="41">
        <f t="shared" si="286"/>
        <v>5.9701492537313432E-2</v>
      </c>
      <c r="AM687" s="21">
        <v>8</v>
      </c>
      <c r="AN687" s="41">
        <f t="shared" si="305"/>
        <v>5.9701492537313432E-2</v>
      </c>
      <c r="AO687" s="21">
        <v>88</v>
      </c>
      <c r="AP687" s="41">
        <f t="shared" si="287"/>
        <v>0.65671641791044777</v>
      </c>
      <c r="AQ687" s="21">
        <v>88</v>
      </c>
      <c r="AR687" s="41">
        <f t="shared" si="306"/>
        <v>0.65671641791044777</v>
      </c>
      <c r="AS687" s="21">
        <v>24</v>
      </c>
      <c r="AT687" s="41">
        <f t="shared" si="288"/>
        <v>0.17910447761194029</v>
      </c>
      <c r="AU687" s="21">
        <v>24</v>
      </c>
      <c r="AV687" s="41">
        <f t="shared" si="307"/>
        <v>0.17910447761194029</v>
      </c>
      <c r="AW687" s="21">
        <v>5</v>
      </c>
      <c r="AX687" s="41">
        <f t="shared" si="289"/>
        <v>3.7313432835820892E-2</v>
      </c>
      <c r="AY687" s="21">
        <v>5</v>
      </c>
      <c r="AZ687" s="41">
        <f t="shared" si="308"/>
        <v>3.7313432835820892E-2</v>
      </c>
      <c r="BA687" s="21">
        <v>4</v>
      </c>
      <c r="BB687" s="41">
        <f t="shared" si="290"/>
        <v>2.9850746268656716E-2</v>
      </c>
      <c r="BC687" s="21">
        <v>4</v>
      </c>
      <c r="BD687" s="41">
        <f t="shared" si="309"/>
        <v>2.9850746268656716E-2</v>
      </c>
      <c r="BE687" s="21">
        <v>134</v>
      </c>
      <c r="BF687" s="21">
        <v>134</v>
      </c>
    </row>
    <row r="688" spans="1:58" ht="15.75" customHeight="1" x14ac:dyDescent="0.25">
      <c r="A688" s="44">
        <v>2020</v>
      </c>
      <c r="B688" s="39">
        <v>172090</v>
      </c>
      <c r="C688" s="38" t="s">
        <v>147</v>
      </c>
      <c r="D688" s="38" t="s">
        <v>135</v>
      </c>
      <c r="E688" s="21">
        <v>1</v>
      </c>
      <c r="F688" s="42">
        <f t="shared" si="291"/>
        <v>2.0408163265306121E-2</v>
      </c>
      <c r="G688" s="21">
        <v>1</v>
      </c>
      <c r="H688" s="42">
        <f t="shared" si="292"/>
        <v>0.14285714285714285</v>
      </c>
      <c r="I688" s="21">
        <v>3</v>
      </c>
      <c r="J688" s="41">
        <f t="shared" si="293"/>
        <v>6.1224489795918366E-2</v>
      </c>
      <c r="K688" s="21">
        <v>1</v>
      </c>
      <c r="L688" s="41">
        <f t="shared" si="294"/>
        <v>0.14285714285714285</v>
      </c>
      <c r="M688" s="21">
        <v>39</v>
      </c>
      <c r="N688" s="41">
        <f t="shared" si="295"/>
        <v>0.79591836734693877</v>
      </c>
      <c r="O688" s="21">
        <v>3</v>
      </c>
      <c r="P688" s="41">
        <f t="shared" si="296"/>
        <v>0.42857142857142855</v>
      </c>
      <c r="Q688" s="21">
        <v>6</v>
      </c>
      <c r="R688" s="41">
        <f t="shared" si="297"/>
        <v>0.12244897959183673</v>
      </c>
      <c r="S688" s="21">
        <v>2</v>
      </c>
      <c r="T688" s="41">
        <f t="shared" si="298"/>
        <v>0.2857142857142857</v>
      </c>
      <c r="U688" s="21">
        <v>1</v>
      </c>
      <c r="V688" s="41">
        <f t="shared" si="299"/>
        <v>2.0408163265306121E-2</v>
      </c>
      <c r="W688" s="21">
        <v>0</v>
      </c>
      <c r="X688" s="41">
        <f t="shared" si="300"/>
        <v>0</v>
      </c>
      <c r="Y688" s="21">
        <v>7</v>
      </c>
      <c r="Z688" s="41">
        <f t="shared" si="301"/>
        <v>0.14285714285714285</v>
      </c>
      <c r="AA688" s="21">
        <v>0</v>
      </c>
      <c r="AB688" s="41">
        <f t="shared" si="302"/>
        <v>0</v>
      </c>
      <c r="AC688" s="21">
        <v>41</v>
      </c>
      <c r="AD688" s="41">
        <f t="shared" si="284"/>
        <v>0.83673469387755106</v>
      </c>
      <c r="AE688" s="21">
        <v>7</v>
      </c>
      <c r="AF688" s="41">
        <f t="shared" si="303"/>
        <v>1</v>
      </c>
      <c r="AG688" s="21">
        <v>1</v>
      </c>
      <c r="AH688" s="41">
        <f t="shared" si="285"/>
        <v>2.0408163265306121E-2</v>
      </c>
      <c r="AI688" s="21">
        <v>1</v>
      </c>
      <c r="AJ688" s="41">
        <f t="shared" si="304"/>
        <v>0.14285714285714285</v>
      </c>
      <c r="AK688" s="21">
        <v>1</v>
      </c>
      <c r="AL688" s="41">
        <f t="shared" si="286"/>
        <v>2.0408163265306121E-2</v>
      </c>
      <c r="AM688" s="21">
        <v>0</v>
      </c>
      <c r="AN688" s="41">
        <f t="shared" si="305"/>
        <v>0</v>
      </c>
      <c r="AO688" s="21">
        <v>25</v>
      </c>
      <c r="AP688" s="41">
        <f t="shared" si="287"/>
        <v>0.51020408163265307</v>
      </c>
      <c r="AQ688" s="21">
        <v>4</v>
      </c>
      <c r="AR688" s="41">
        <f t="shared" si="306"/>
        <v>0.5714285714285714</v>
      </c>
      <c r="AS688" s="21">
        <v>12</v>
      </c>
      <c r="AT688" s="41">
        <f t="shared" si="288"/>
        <v>0.24489795918367346</v>
      </c>
      <c r="AU688" s="21">
        <v>2</v>
      </c>
      <c r="AV688" s="41">
        <f t="shared" si="307"/>
        <v>0.2857142857142857</v>
      </c>
      <c r="AW688" s="21">
        <v>5</v>
      </c>
      <c r="AX688" s="41">
        <f t="shared" si="289"/>
        <v>0.10204081632653061</v>
      </c>
      <c r="AY688" s="21">
        <v>0</v>
      </c>
      <c r="AZ688" s="41">
        <f t="shared" si="308"/>
        <v>0</v>
      </c>
      <c r="BA688" s="21">
        <v>5</v>
      </c>
      <c r="BB688" s="41">
        <f t="shared" si="290"/>
        <v>0.10204081632653061</v>
      </c>
      <c r="BC688" s="21">
        <v>0</v>
      </c>
      <c r="BD688" s="41">
        <f t="shared" si="309"/>
        <v>0</v>
      </c>
      <c r="BE688" s="21">
        <v>49</v>
      </c>
      <c r="BF688" s="21">
        <v>7</v>
      </c>
    </row>
    <row r="689" spans="1:58" ht="15.75" customHeight="1" x14ac:dyDescent="0.25">
      <c r="A689" s="44">
        <v>2020</v>
      </c>
      <c r="B689" s="39">
        <v>172093</v>
      </c>
      <c r="C689" s="38" t="s">
        <v>147</v>
      </c>
      <c r="D689" s="38" t="s">
        <v>136</v>
      </c>
      <c r="E689" s="21">
        <v>0</v>
      </c>
      <c r="F689" s="42">
        <f t="shared" si="291"/>
        <v>0</v>
      </c>
      <c r="G689" s="21">
        <v>0</v>
      </c>
      <c r="H689" s="42">
        <f t="shared" si="292"/>
        <v>0</v>
      </c>
      <c r="I689" s="21">
        <v>4</v>
      </c>
      <c r="J689" s="41">
        <f t="shared" si="293"/>
        <v>5.5555555555555552E-2</v>
      </c>
      <c r="K689" s="21">
        <v>3</v>
      </c>
      <c r="L689" s="41">
        <f t="shared" si="294"/>
        <v>4.6875E-2</v>
      </c>
      <c r="M689" s="21">
        <v>59</v>
      </c>
      <c r="N689" s="41">
        <f t="shared" si="295"/>
        <v>0.81944444444444442</v>
      </c>
      <c r="O689" s="21">
        <v>53</v>
      </c>
      <c r="P689" s="41">
        <f t="shared" si="296"/>
        <v>0.828125</v>
      </c>
      <c r="Q689" s="21">
        <v>9</v>
      </c>
      <c r="R689" s="41">
        <f t="shared" si="297"/>
        <v>0.125</v>
      </c>
      <c r="S689" s="21">
        <v>8</v>
      </c>
      <c r="T689" s="41">
        <f t="shared" si="298"/>
        <v>0.125</v>
      </c>
      <c r="U689" s="21">
        <v>1</v>
      </c>
      <c r="V689" s="41">
        <f t="shared" si="299"/>
        <v>1.3888888888888888E-2</v>
      </c>
      <c r="W689" s="21">
        <v>2</v>
      </c>
      <c r="X689" s="41">
        <f t="shared" si="300"/>
        <v>3.125E-2</v>
      </c>
      <c r="Y689" s="21">
        <v>4</v>
      </c>
      <c r="Z689" s="41">
        <f t="shared" si="301"/>
        <v>5.5555555555555552E-2</v>
      </c>
      <c r="AA689" s="21">
        <v>3</v>
      </c>
      <c r="AB689" s="41">
        <f t="shared" si="302"/>
        <v>4.6875E-2</v>
      </c>
      <c r="AC689" s="21">
        <v>67</v>
      </c>
      <c r="AD689" s="41">
        <f t="shared" si="284"/>
        <v>0.93055555555555558</v>
      </c>
      <c r="AE689" s="21">
        <v>59</v>
      </c>
      <c r="AF689" s="41">
        <f t="shared" si="303"/>
        <v>0.921875</v>
      </c>
      <c r="AG689" s="21">
        <v>5</v>
      </c>
      <c r="AH689" s="41">
        <f t="shared" si="285"/>
        <v>6.9444444444444448E-2</v>
      </c>
      <c r="AI689" s="21">
        <v>5</v>
      </c>
      <c r="AJ689" s="41">
        <f t="shared" si="304"/>
        <v>7.8125E-2</v>
      </c>
      <c r="AK689" s="21">
        <v>2</v>
      </c>
      <c r="AL689" s="41">
        <f t="shared" si="286"/>
        <v>2.7777777777777776E-2</v>
      </c>
      <c r="AM689" s="21">
        <v>3</v>
      </c>
      <c r="AN689" s="41">
        <f t="shared" si="305"/>
        <v>4.6875E-2</v>
      </c>
      <c r="AO689" s="21">
        <v>46</v>
      </c>
      <c r="AP689" s="41">
        <f t="shared" si="287"/>
        <v>0.63888888888888884</v>
      </c>
      <c r="AQ689" s="21">
        <v>41</v>
      </c>
      <c r="AR689" s="41">
        <f t="shared" si="306"/>
        <v>0.640625</v>
      </c>
      <c r="AS689" s="21">
        <v>10</v>
      </c>
      <c r="AT689" s="41">
        <f t="shared" si="288"/>
        <v>0.1388888888888889</v>
      </c>
      <c r="AU689" s="21">
        <v>9</v>
      </c>
      <c r="AV689" s="41">
        <f t="shared" si="307"/>
        <v>0.140625</v>
      </c>
      <c r="AW689" s="21">
        <v>4</v>
      </c>
      <c r="AX689" s="41">
        <f t="shared" si="289"/>
        <v>5.5555555555555552E-2</v>
      </c>
      <c r="AY689" s="21">
        <v>2</v>
      </c>
      <c r="AZ689" s="41">
        <f t="shared" si="308"/>
        <v>3.125E-2</v>
      </c>
      <c r="BA689" s="21">
        <v>5</v>
      </c>
      <c r="BB689" s="41">
        <f t="shared" si="290"/>
        <v>6.9444444444444448E-2</v>
      </c>
      <c r="BC689" s="21">
        <v>4</v>
      </c>
      <c r="BD689" s="41">
        <f t="shared" si="309"/>
        <v>6.25E-2</v>
      </c>
      <c r="BE689" s="21">
        <v>72</v>
      </c>
      <c r="BF689" s="21">
        <v>64</v>
      </c>
    </row>
    <row r="690" spans="1:58" ht="15.75" customHeight="1" x14ac:dyDescent="0.25">
      <c r="A690" s="44">
        <v>2020</v>
      </c>
      <c r="B690" s="39">
        <v>172097</v>
      </c>
      <c r="C690" s="38" t="s">
        <v>146</v>
      </c>
      <c r="D690" s="38" t="s">
        <v>137</v>
      </c>
      <c r="E690" s="21">
        <v>0</v>
      </c>
      <c r="F690" s="42">
        <f t="shared" si="291"/>
        <v>0</v>
      </c>
      <c r="G690" s="21">
        <v>0</v>
      </c>
      <c r="H690" s="42">
        <f t="shared" si="292"/>
        <v>0</v>
      </c>
      <c r="I690" s="21">
        <v>3</v>
      </c>
      <c r="J690" s="41">
        <f t="shared" si="293"/>
        <v>3.8461538461538464E-2</v>
      </c>
      <c r="K690" s="21">
        <v>1</v>
      </c>
      <c r="L690" s="41">
        <f t="shared" si="294"/>
        <v>4.3478260869565216E-2</v>
      </c>
      <c r="M690" s="21">
        <v>67</v>
      </c>
      <c r="N690" s="41">
        <f t="shared" si="295"/>
        <v>0.85897435897435892</v>
      </c>
      <c r="O690" s="21">
        <v>19</v>
      </c>
      <c r="P690" s="41">
        <f t="shared" si="296"/>
        <v>0.82608695652173914</v>
      </c>
      <c r="Q690" s="21">
        <v>8</v>
      </c>
      <c r="R690" s="41">
        <f t="shared" si="297"/>
        <v>0.10256410256410256</v>
      </c>
      <c r="S690" s="21">
        <v>3</v>
      </c>
      <c r="T690" s="41">
        <f t="shared" si="298"/>
        <v>0.13043478260869565</v>
      </c>
      <c r="U690" s="21">
        <v>0</v>
      </c>
      <c r="V690" s="41">
        <f t="shared" si="299"/>
        <v>0</v>
      </c>
      <c r="W690" s="21">
        <v>0</v>
      </c>
      <c r="X690" s="41">
        <f t="shared" si="300"/>
        <v>0</v>
      </c>
      <c r="Y690" s="21">
        <v>4</v>
      </c>
      <c r="Z690" s="41">
        <f t="shared" si="301"/>
        <v>5.128205128205128E-2</v>
      </c>
      <c r="AA690" s="21">
        <v>2</v>
      </c>
      <c r="AB690" s="41">
        <f t="shared" si="302"/>
        <v>8.6956521739130432E-2</v>
      </c>
      <c r="AC690" s="21">
        <v>74</v>
      </c>
      <c r="AD690" s="41">
        <f t="shared" si="284"/>
        <v>0.94871794871794868</v>
      </c>
      <c r="AE690" s="21">
        <v>21</v>
      </c>
      <c r="AF690" s="41">
        <f t="shared" si="303"/>
        <v>0.91304347826086951</v>
      </c>
      <c r="AG690" s="21">
        <v>1</v>
      </c>
      <c r="AH690" s="41">
        <f t="shared" si="285"/>
        <v>1.282051282051282E-2</v>
      </c>
      <c r="AI690" s="21">
        <v>1</v>
      </c>
      <c r="AJ690" s="41">
        <f t="shared" si="304"/>
        <v>4.3478260869565216E-2</v>
      </c>
      <c r="AK690" s="21">
        <v>1</v>
      </c>
      <c r="AL690" s="41">
        <f t="shared" si="286"/>
        <v>1.282051282051282E-2</v>
      </c>
      <c r="AM690" s="21">
        <v>0</v>
      </c>
      <c r="AN690" s="41">
        <f t="shared" si="305"/>
        <v>0</v>
      </c>
      <c r="AO690" s="21">
        <v>56</v>
      </c>
      <c r="AP690" s="41">
        <f t="shared" si="287"/>
        <v>0.71794871794871795</v>
      </c>
      <c r="AQ690" s="21">
        <v>18</v>
      </c>
      <c r="AR690" s="41">
        <f t="shared" si="306"/>
        <v>0.78260869565217395</v>
      </c>
      <c r="AS690" s="21">
        <v>13</v>
      </c>
      <c r="AT690" s="41">
        <f t="shared" si="288"/>
        <v>0.16666666666666666</v>
      </c>
      <c r="AU690" s="21">
        <v>1</v>
      </c>
      <c r="AV690" s="41">
        <f t="shared" si="307"/>
        <v>4.3478260869565216E-2</v>
      </c>
      <c r="AW690" s="21">
        <v>2</v>
      </c>
      <c r="AX690" s="41">
        <f t="shared" si="289"/>
        <v>2.564102564102564E-2</v>
      </c>
      <c r="AY690" s="21">
        <v>1</v>
      </c>
      <c r="AZ690" s="41">
        <f t="shared" si="308"/>
        <v>4.3478260869565216E-2</v>
      </c>
      <c r="BA690" s="21">
        <v>5</v>
      </c>
      <c r="BB690" s="41">
        <f t="shared" si="290"/>
        <v>6.4102564102564097E-2</v>
      </c>
      <c r="BC690" s="21">
        <v>2</v>
      </c>
      <c r="BD690" s="41">
        <f t="shared" si="309"/>
        <v>8.6956521739130432E-2</v>
      </c>
      <c r="BE690" s="21">
        <v>78</v>
      </c>
      <c r="BF690" s="21">
        <v>23</v>
      </c>
    </row>
    <row r="691" spans="1:58" ht="15.75" customHeight="1" x14ac:dyDescent="0.25">
      <c r="A691" s="44">
        <v>2020</v>
      </c>
      <c r="B691" s="39">
        <v>172110</v>
      </c>
      <c r="C691" s="38" t="s">
        <v>148</v>
      </c>
      <c r="D691" s="38" t="s">
        <v>138</v>
      </c>
      <c r="E691" s="21">
        <v>6</v>
      </c>
      <c r="F691" s="42">
        <f t="shared" si="291"/>
        <v>2.7777777777777776E-2</v>
      </c>
      <c r="G691" s="21">
        <v>0</v>
      </c>
      <c r="H691" s="42">
        <f t="shared" si="292"/>
        <v>0</v>
      </c>
      <c r="I691" s="21">
        <v>17</v>
      </c>
      <c r="J691" s="41">
        <f t="shared" si="293"/>
        <v>7.8703703703703706E-2</v>
      </c>
      <c r="K691" s="21">
        <v>0</v>
      </c>
      <c r="L691" s="41">
        <f t="shared" si="294"/>
        <v>0</v>
      </c>
      <c r="M691" s="21">
        <v>186</v>
      </c>
      <c r="N691" s="41">
        <f t="shared" si="295"/>
        <v>0.86111111111111116</v>
      </c>
      <c r="O691" s="21">
        <v>3</v>
      </c>
      <c r="P691" s="41">
        <f t="shared" si="296"/>
        <v>1</v>
      </c>
      <c r="Q691" s="21">
        <v>7</v>
      </c>
      <c r="R691" s="41">
        <f t="shared" si="297"/>
        <v>3.2407407407407406E-2</v>
      </c>
      <c r="S691" s="21">
        <v>0</v>
      </c>
      <c r="T691" s="41">
        <f t="shared" si="298"/>
        <v>0</v>
      </c>
      <c r="U691" s="21">
        <v>30</v>
      </c>
      <c r="V691" s="41">
        <f t="shared" si="299"/>
        <v>0.1388888888888889</v>
      </c>
      <c r="W691" s="21">
        <v>0</v>
      </c>
      <c r="X691" s="41">
        <f t="shared" si="300"/>
        <v>0</v>
      </c>
      <c r="Y691" s="21">
        <v>16</v>
      </c>
      <c r="Z691" s="41">
        <f t="shared" si="301"/>
        <v>7.407407407407407E-2</v>
      </c>
      <c r="AA691" s="21">
        <v>0</v>
      </c>
      <c r="AB691" s="41">
        <f t="shared" si="302"/>
        <v>0</v>
      </c>
      <c r="AC691" s="21">
        <v>170</v>
      </c>
      <c r="AD691" s="41">
        <f t="shared" si="284"/>
        <v>0.78703703703703709</v>
      </c>
      <c r="AE691" s="21">
        <v>3</v>
      </c>
      <c r="AF691" s="41">
        <f t="shared" si="303"/>
        <v>1</v>
      </c>
      <c r="AG691" s="21">
        <v>5</v>
      </c>
      <c r="AH691" s="41">
        <f t="shared" si="285"/>
        <v>2.3148148148148147E-2</v>
      </c>
      <c r="AI691" s="21">
        <v>0</v>
      </c>
      <c r="AJ691" s="41">
        <f t="shared" si="304"/>
        <v>0</v>
      </c>
      <c r="AK691" s="21">
        <v>6</v>
      </c>
      <c r="AL691" s="41">
        <f t="shared" si="286"/>
        <v>2.7777777777777776E-2</v>
      </c>
      <c r="AM691" s="21">
        <v>0</v>
      </c>
      <c r="AN691" s="41">
        <f t="shared" si="305"/>
        <v>0</v>
      </c>
      <c r="AO691" s="21">
        <v>139</v>
      </c>
      <c r="AP691" s="41">
        <f t="shared" si="287"/>
        <v>0.64351851851851849</v>
      </c>
      <c r="AQ691" s="21">
        <v>1</v>
      </c>
      <c r="AR691" s="41">
        <f t="shared" si="306"/>
        <v>0.33333333333333331</v>
      </c>
      <c r="AS691" s="21">
        <v>45</v>
      </c>
      <c r="AT691" s="41">
        <f t="shared" si="288"/>
        <v>0.20833333333333334</v>
      </c>
      <c r="AU691" s="21">
        <v>2</v>
      </c>
      <c r="AV691" s="41">
        <f t="shared" si="307"/>
        <v>0.66666666666666663</v>
      </c>
      <c r="AW691" s="21">
        <v>15</v>
      </c>
      <c r="AX691" s="41">
        <f t="shared" si="289"/>
        <v>6.9444444444444448E-2</v>
      </c>
      <c r="AY691" s="21">
        <v>0</v>
      </c>
      <c r="AZ691" s="41">
        <f t="shared" si="308"/>
        <v>0</v>
      </c>
      <c r="BA691" s="21">
        <v>6</v>
      </c>
      <c r="BB691" s="41">
        <f t="shared" si="290"/>
        <v>2.7777777777777776E-2</v>
      </c>
      <c r="BC691" s="21">
        <v>0</v>
      </c>
      <c r="BD691" s="41">
        <f t="shared" si="309"/>
        <v>0</v>
      </c>
      <c r="BE691" s="21">
        <v>216</v>
      </c>
      <c r="BF691" s="21">
        <v>3</v>
      </c>
    </row>
    <row r="692" spans="1:58" ht="15.75" customHeight="1" x14ac:dyDescent="0.25">
      <c r="A692" s="44">
        <v>2020</v>
      </c>
      <c r="B692" s="39">
        <v>172120</v>
      </c>
      <c r="C692" s="38" t="s">
        <v>145</v>
      </c>
      <c r="D692" s="38" t="s">
        <v>139</v>
      </c>
      <c r="E692" s="21">
        <v>2</v>
      </c>
      <c r="F692" s="42">
        <f t="shared" si="291"/>
        <v>7.4349442379182153E-3</v>
      </c>
      <c r="G692" s="21">
        <v>0</v>
      </c>
      <c r="H692" s="42">
        <f t="shared" si="292"/>
        <v>0</v>
      </c>
      <c r="I692" s="21">
        <v>12</v>
      </c>
      <c r="J692" s="41">
        <f t="shared" si="293"/>
        <v>4.4609665427509292E-2</v>
      </c>
      <c r="K692" s="21">
        <v>0</v>
      </c>
      <c r="L692" s="41">
        <f t="shared" si="294"/>
        <v>0</v>
      </c>
      <c r="M692" s="21">
        <v>237</v>
      </c>
      <c r="N692" s="41">
        <f t="shared" si="295"/>
        <v>0.8810408921933085</v>
      </c>
      <c r="O692" s="21">
        <v>22</v>
      </c>
      <c r="P692" s="41">
        <f t="shared" si="296"/>
        <v>1</v>
      </c>
      <c r="Q692" s="21">
        <v>18</v>
      </c>
      <c r="R692" s="41">
        <f t="shared" si="297"/>
        <v>6.6914498141263934E-2</v>
      </c>
      <c r="S692" s="21">
        <v>0</v>
      </c>
      <c r="T692" s="41">
        <f t="shared" si="298"/>
        <v>0</v>
      </c>
      <c r="U692" s="21">
        <v>17</v>
      </c>
      <c r="V692" s="41">
        <f t="shared" si="299"/>
        <v>6.3197026022304828E-2</v>
      </c>
      <c r="W692" s="21">
        <v>2</v>
      </c>
      <c r="X692" s="41">
        <f t="shared" si="300"/>
        <v>9.0909090909090912E-2</v>
      </c>
      <c r="Y692" s="21">
        <v>14</v>
      </c>
      <c r="Z692" s="41">
        <f t="shared" si="301"/>
        <v>5.204460966542751E-2</v>
      </c>
      <c r="AA692" s="21">
        <v>3</v>
      </c>
      <c r="AB692" s="41">
        <f t="shared" si="302"/>
        <v>0.13636363636363635</v>
      </c>
      <c r="AC692" s="21">
        <v>238</v>
      </c>
      <c r="AD692" s="41">
        <f t="shared" si="284"/>
        <v>0.88475836431226762</v>
      </c>
      <c r="AE692" s="21">
        <v>17</v>
      </c>
      <c r="AF692" s="41">
        <f t="shared" si="303"/>
        <v>0.77272727272727271</v>
      </c>
      <c r="AG692" s="21">
        <v>16</v>
      </c>
      <c r="AH692" s="41">
        <f t="shared" si="285"/>
        <v>5.9479553903345722E-2</v>
      </c>
      <c r="AI692" s="21">
        <v>0</v>
      </c>
      <c r="AJ692" s="41">
        <f t="shared" si="304"/>
        <v>0</v>
      </c>
      <c r="AK692" s="21">
        <v>5</v>
      </c>
      <c r="AL692" s="41">
        <f t="shared" si="286"/>
        <v>1.858736059479554E-2</v>
      </c>
      <c r="AM692" s="21">
        <v>0</v>
      </c>
      <c r="AN692" s="41">
        <f t="shared" si="305"/>
        <v>0</v>
      </c>
      <c r="AO692" s="21">
        <v>161</v>
      </c>
      <c r="AP692" s="41">
        <f t="shared" si="287"/>
        <v>0.5985130111524164</v>
      </c>
      <c r="AQ692" s="21">
        <v>15</v>
      </c>
      <c r="AR692" s="41">
        <f t="shared" si="306"/>
        <v>0.68181818181818177</v>
      </c>
      <c r="AS692" s="21">
        <v>39</v>
      </c>
      <c r="AT692" s="41">
        <f t="shared" si="288"/>
        <v>0.1449814126394052</v>
      </c>
      <c r="AU692" s="21">
        <v>5</v>
      </c>
      <c r="AV692" s="41">
        <f t="shared" si="307"/>
        <v>0.22727272727272727</v>
      </c>
      <c r="AW692" s="21">
        <v>29</v>
      </c>
      <c r="AX692" s="41">
        <f t="shared" si="289"/>
        <v>0.10780669144981413</v>
      </c>
      <c r="AY692" s="21">
        <v>1</v>
      </c>
      <c r="AZ692" s="41">
        <f t="shared" si="308"/>
        <v>4.5454545454545456E-2</v>
      </c>
      <c r="BA692" s="21">
        <v>19</v>
      </c>
      <c r="BB692" s="41">
        <f t="shared" si="290"/>
        <v>7.0631970260223054E-2</v>
      </c>
      <c r="BC692" s="21">
        <v>1</v>
      </c>
      <c r="BD692" s="41">
        <f t="shared" si="309"/>
        <v>4.5454545454545456E-2</v>
      </c>
      <c r="BE692" s="21">
        <v>269</v>
      </c>
      <c r="BF692" s="21">
        <v>22</v>
      </c>
    </row>
    <row r="693" spans="1:58" ht="15.75" customHeight="1" x14ac:dyDescent="0.25">
      <c r="A693" s="44">
        <v>2020</v>
      </c>
      <c r="B693" s="39">
        <v>172125</v>
      </c>
      <c r="C693" s="38" t="s">
        <v>150</v>
      </c>
      <c r="D693" s="38" t="s">
        <v>140</v>
      </c>
      <c r="E693" s="21">
        <v>1</v>
      </c>
      <c r="F693" s="42">
        <f t="shared" si="291"/>
        <v>1.4705882352941176E-2</v>
      </c>
      <c r="G693" s="21">
        <v>0</v>
      </c>
      <c r="H693" s="42">
        <f t="shared" si="292"/>
        <v>0</v>
      </c>
      <c r="I693" s="21">
        <v>7</v>
      </c>
      <c r="J693" s="41">
        <f t="shared" si="293"/>
        <v>0.10294117647058823</v>
      </c>
      <c r="K693" s="21">
        <v>0</v>
      </c>
      <c r="L693" s="41">
        <f t="shared" si="294"/>
        <v>0</v>
      </c>
      <c r="M693" s="21">
        <v>56</v>
      </c>
      <c r="N693" s="41">
        <f t="shared" si="295"/>
        <v>0.82352941176470584</v>
      </c>
      <c r="O693" s="21">
        <v>8</v>
      </c>
      <c r="P693" s="41">
        <f t="shared" si="296"/>
        <v>1</v>
      </c>
      <c r="Q693" s="21">
        <v>4</v>
      </c>
      <c r="R693" s="41">
        <f t="shared" si="297"/>
        <v>5.8823529411764705E-2</v>
      </c>
      <c r="S693" s="21">
        <v>0</v>
      </c>
      <c r="T693" s="41">
        <f t="shared" si="298"/>
        <v>0</v>
      </c>
      <c r="U693" s="21">
        <v>6</v>
      </c>
      <c r="V693" s="41">
        <f t="shared" si="299"/>
        <v>8.8235294117647065E-2</v>
      </c>
      <c r="W693" s="21">
        <v>0</v>
      </c>
      <c r="X693" s="41">
        <f t="shared" si="300"/>
        <v>0</v>
      </c>
      <c r="Y693" s="21">
        <v>6</v>
      </c>
      <c r="Z693" s="41">
        <f t="shared" si="301"/>
        <v>8.8235294117647065E-2</v>
      </c>
      <c r="AA693" s="21">
        <v>0</v>
      </c>
      <c r="AB693" s="41">
        <f t="shared" si="302"/>
        <v>0</v>
      </c>
      <c r="AC693" s="21">
        <v>56</v>
      </c>
      <c r="AD693" s="41">
        <f t="shared" si="284"/>
        <v>0.82352941176470584</v>
      </c>
      <c r="AE693" s="21">
        <v>8</v>
      </c>
      <c r="AF693" s="41">
        <f t="shared" si="303"/>
        <v>1</v>
      </c>
      <c r="AG693" s="21">
        <v>2</v>
      </c>
      <c r="AH693" s="41">
        <f t="shared" si="285"/>
        <v>2.9411764705882353E-2</v>
      </c>
      <c r="AI693" s="21">
        <v>0</v>
      </c>
      <c r="AJ693" s="41">
        <f t="shared" si="304"/>
        <v>0</v>
      </c>
      <c r="AK693" s="21">
        <v>6</v>
      </c>
      <c r="AL693" s="41">
        <f t="shared" si="286"/>
        <v>8.8235294117647065E-2</v>
      </c>
      <c r="AM693" s="21">
        <v>1</v>
      </c>
      <c r="AN693" s="41">
        <f t="shared" si="305"/>
        <v>0.125</v>
      </c>
      <c r="AO693" s="21">
        <v>38</v>
      </c>
      <c r="AP693" s="41">
        <f t="shared" si="287"/>
        <v>0.55882352941176472</v>
      </c>
      <c r="AQ693" s="21">
        <v>6</v>
      </c>
      <c r="AR693" s="41">
        <f t="shared" si="306"/>
        <v>0.75</v>
      </c>
      <c r="AS693" s="21">
        <v>10</v>
      </c>
      <c r="AT693" s="41">
        <f t="shared" si="288"/>
        <v>0.14705882352941177</v>
      </c>
      <c r="AU693" s="21">
        <v>1</v>
      </c>
      <c r="AV693" s="41">
        <f t="shared" si="307"/>
        <v>0.125</v>
      </c>
      <c r="AW693" s="21">
        <v>3</v>
      </c>
      <c r="AX693" s="41">
        <f t="shared" si="289"/>
        <v>4.4117647058823532E-2</v>
      </c>
      <c r="AY693" s="21">
        <v>0</v>
      </c>
      <c r="AZ693" s="41">
        <f t="shared" si="308"/>
        <v>0</v>
      </c>
      <c r="BA693" s="21">
        <v>9</v>
      </c>
      <c r="BB693" s="41">
        <f t="shared" si="290"/>
        <v>0.13235294117647059</v>
      </c>
      <c r="BC693" s="21">
        <v>0</v>
      </c>
      <c r="BD693" s="41">
        <f t="shared" si="309"/>
        <v>0</v>
      </c>
      <c r="BE693" s="21">
        <v>68</v>
      </c>
      <c r="BF693" s="21">
        <v>8</v>
      </c>
    </row>
    <row r="694" spans="1:58" ht="15.75" customHeight="1" x14ac:dyDescent="0.25">
      <c r="A694" s="44">
        <v>2020</v>
      </c>
      <c r="B694" s="39">
        <v>172130</v>
      </c>
      <c r="C694" s="38" t="s">
        <v>150</v>
      </c>
      <c r="D694" s="38" t="s">
        <v>141</v>
      </c>
      <c r="E694" s="21">
        <v>0</v>
      </c>
      <c r="F694" s="42">
        <f t="shared" si="291"/>
        <v>0</v>
      </c>
      <c r="G694" s="21">
        <v>0</v>
      </c>
      <c r="H694" s="42">
        <f t="shared" si="292"/>
        <v>0</v>
      </c>
      <c r="I694" s="21">
        <v>0</v>
      </c>
      <c r="J694" s="41">
        <f t="shared" si="293"/>
        <v>0</v>
      </c>
      <c r="K694" s="21">
        <v>0</v>
      </c>
      <c r="L694" s="41">
        <f t="shared" si="294"/>
        <v>0</v>
      </c>
      <c r="M694" s="21">
        <v>25</v>
      </c>
      <c r="N694" s="41">
        <f t="shared" si="295"/>
        <v>1</v>
      </c>
      <c r="O694" s="21">
        <v>15</v>
      </c>
      <c r="P694" s="41">
        <f t="shared" si="296"/>
        <v>1</v>
      </c>
      <c r="Q694" s="21">
        <v>0</v>
      </c>
      <c r="R694" s="41">
        <f t="shared" si="297"/>
        <v>0</v>
      </c>
      <c r="S694" s="21">
        <v>0</v>
      </c>
      <c r="T694" s="41">
        <f t="shared" si="298"/>
        <v>0</v>
      </c>
      <c r="U694" s="21">
        <v>0</v>
      </c>
      <c r="V694" s="41">
        <f t="shared" si="299"/>
        <v>0</v>
      </c>
      <c r="W694" s="21">
        <v>0</v>
      </c>
      <c r="X694" s="41">
        <f t="shared" si="300"/>
        <v>0</v>
      </c>
      <c r="Y694" s="21">
        <v>0</v>
      </c>
      <c r="Z694" s="41">
        <f t="shared" si="301"/>
        <v>0</v>
      </c>
      <c r="AA694" s="21">
        <v>0</v>
      </c>
      <c r="AB694" s="41">
        <f t="shared" si="302"/>
        <v>0</v>
      </c>
      <c r="AC694" s="21">
        <v>25</v>
      </c>
      <c r="AD694" s="41">
        <f t="shared" si="284"/>
        <v>1</v>
      </c>
      <c r="AE694" s="21">
        <v>15</v>
      </c>
      <c r="AF694" s="41">
        <f t="shared" si="303"/>
        <v>1</v>
      </c>
      <c r="AG694" s="21">
        <v>0</v>
      </c>
      <c r="AH694" s="41">
        <f t="shared" si="285"/>
        <v>0</v>
      </c>
      <c r="AI694" s="21">
        <v>0</v>
      </c>
      <c r="AJ694" s="41">
        <f t="shared" si="304"/>
        <v>0</v>
      </c>
      <c r="AK694" s="21">
        <v>0</v>
      </c>
      <c r="AL694" s="41">
        <f t="shared" si="286"/>
        <v>0</v>
      </c>
      <c r="AM694" s="21">
        <v>0</v>
      </c>
      <c r="AN694" s="41">
        <f t="shared" si="305"/>
        <v>0</v>
      </c>
      <c r="AO694" s="21">
        <v>21</v>
      </c>
      <c r="AP694" s="41">
        <f t="shared" si="287"/>
        <v>0.84</v>
      </c>
      <c r="AQ694" s="21">
        <v>13</v>
      </c>
      <c r="AR694" s="41">
        <f t="shared" si="306"/>
        <v>0.8666666666666667</v>
      </c>
      <c r="AS694" s="21">
        <v>2</v>
      </c>
      <c r="AT694" s="41">
        <f t="shared" si="288"/>
        <v>0.08</v>
      </c>
      <c r="AU694" s="21">
        <v>2</v>
      </c>
      <c r="AV694" s="41">
        <f t="shared" si="307"/>
        <v>0.13333333333333333</v>
      </c>
      <c r="AW694" s="21">
        <v>0</v>
      </c>
      <c r="AX694" s="41">
        <f t="shared" si="289"/>
        <v>0</v>
      </c>
      <c r="AY694" s="21">
        <v>0</v>
      </c>
      <c r="AZ694" s="41">
        <f t="shared" si="308"/>
        <v>0</v>
      </c>
      <c r="BA694" s="21">
        <v>2</v>
      </c>
      <c r="BB694" s="41">
        <f t="shared" si="290"/>
        <v>0.08</v>
      </c>
      <c r="BC694" s="21">
        <v>0</v>
      </c>
      <c r="BD694" s="41">
        <f t="shared" si="309"/>
        <v>0</v>
      </c>
      <c r="BE694" s="21">
        <v>25</v>
      </c>
      <c r="BF694" s="21">
        <v>15</v>
      </c>
    </row>
    <row r="695" spans="1:58" ht="15.75" customHeight="1" x14ac:dyDescent="0.25">
      <c r="A695" s="44">
        <v>2020</v>
      </c>
      <c r="B695" s="39">
        <v>172208</v>
      </c>
      <c r="C695" s="38" t="s">
        <v>149</v>
      </c>
      <c r="D695" s="38" t="s">
        <v>142</v>
      </c>
      <c r="E695" s="21">
        <v>0</v>
      </c>
      <c r="F695" s="42">
        <f t="shared" si="291"/>
        <v>0</v>
      </c>
      <c r="G695" s="21">
        <v>0</v>
      </c>
      <c r="H695" s="42">
        <f t="shared" si="292"/>
        <v>0</v>
      </c>
      <c r="I695" s="21">
        <v>0</v>
      </c>
      <c r="J695" s="41">
        <f t="shared" si="293"/>
        <v>0</v>
      </c>
      <c r="K695" s="21">
        <v>0</v>
      </c>
      <c r="L695" s="41">
        <f t="shared" si="294"/>
        <v>0</v>
      </c>
      <c r="M695" s="21">
        <v>58</v>
      </c>
      <c r="N695" s="41">
        <f t="shared" si="295"/>
        <v>0.93548387096774188</v>
      </c>
      <c r="O695" s="21">
        <v>8</v>
      </c>
      <c r="P695" s="41">
        <f t="shared" si="296"/>
        <v>0.8</v>
      </c>
      <c r="Q695" s="21">
        <v>4</v>
      </c>
      <c r="R695" s="41">
        <f t="shared" si="297"/>
        <v>6.4516129032258063E-2</v>
      </c>
      <c r="S695" s="21">
        <v>2</v>
      </c>
      <c r="T695" s="41">
        <f t="shared" si="298"/>
        <v>0.2</v>
      </c>
      <c r="U695" s="21">
        <v>3</v>
      </c>
      <c r="V695" s="41">
        <f t="shared" si="299"/>
        <v>4.8387096774193547E-2</v>
      </c>
      <c r="W695" s="21">
        <v>0</v>
      </c>
      <c r="X695" s="41">
        <f t="shared" si="300"/>
        <v>0</v>
      </c>
      <c r="Y695" s="21">
        <v>5</v>
      </c>
      <c r="Z695" s="41">
        <f t="shared" si="301"/>
        <v>8.0645161290322578E-2</v>
      </c>
      <c r="AA695" s="21">
        <v>1</v>
      </c>
      <c r="AB695" s="41">
        <f t="shared" si="302"/>
        <v>0.1</v>
      </c>
      <c r="AC695" s="21">
        <v>54</v>
      </c>
      <c r="AD695" s="41">
        <f t="shared" ref="AD695:AD726" si="310">IFERROR(AC695/$BE695,0)</f>
        <v>0.87096774193548387</v>
      </c>
      <c r="AE695" s="21">
        <v>9</v>
      </c>
      <c r="AF695" s="41">
        <f t="shared" si="303"/>
        <v>0.9</v>
      </c>
      <c r="AG695" s="21">
        <v>0</v>
      </c>
      <c r="AH695" s="41">
        <f t="shared" ref="AH695:AH726" si="311">IFERROR(AG695/$BE695,0)</f>
        <v>0</v>
      </c>
      <c r="AI695" s="21">
        <v>1</v>
      </c>
      <c r="AJ695" s="41">
        <f t="shared" si="304"/>
        <v>0.1</v>
      </c>
      <c r="AK695" s="21">
        <v>2</v>
      </c>
      <c r="AL695" s="41">
        <f t="shared" ref="AL695:AL726" si="312">IFERROR(AK695/$BE695,0)</f>
        <v>3.2258064516129031E-2</v>
      </c>
      <c r="AM695" s="21">
        <v>0</v>
      </c>
      <c r="AN695" s="41">
        <f t="shared" si="305"/>
        <v>0</v>
      </c>
      <c r="AO695" s="21">
        <v>28</v>
      </c>
      <c r="AP695" s="41">
        <f t="shared" ref="AP695:AP726" si="313">IFERROR(AO695/$BE695,0)</f>
        <v>0.45161290322580644</v>
      </c>
      <c r="AQ695" s="21">
        <v>5</v>
      </c>
      <c r="AR695" s="41">
        <f t="shared" si="306"/>
        <v>0.5</v>
      </c>
      <c r="AS695" s="21">
        <v>22</v>
      </c>
      <c r="AT695" s="41">
        <f t="shared" ref="AT695:AT726" si="314">IFERROR(AS695/$BE695,0)</f>
        <v>0.35483870967741937</v>
      </c>
      <c r="AU695" s="21">
        <v>2</v>
      </c>
      <c r="AV695" s="41">
        <f t="shared" si="307"/>
        <v>0.2</v>
      </c>
      <c r="AW695" s="21">
        <v>4</v>
      </c>
      <c r="AX695" s="41">
        <f t="shared" ref="AX695:AX726" si="315">IFERROR(AW695/$BE695,0)</f>
        <v>6.4516129032258063E-2</v>
      </c>
      <c r="AY695" s="21">
        <v>2</v>
      </c>
      <c r="AZ695" s="41">
        <f t="shared" si="308"/>
        <v>0.2</v>
      </c>
      <c r="BA695" s="21">
        <v>6</v>
      </c>
      <c r="BB695" s="41">
        <f t="shared" ref="BB695:BB726" si="316">IFERROR(BA695/$BE695,0)</f>
        <v>9.6774193548387094E-2</v>
      </c>
      <c r="BC695" s="21">
        <v>0</v>
      </c>
      <c r="BD695" s="41">
        <f t="shared" si="309"/>
        <v>0</v>
      </c>
      <c r="BE695" s="21">
        <v>62</v>
      </c>
      <c r="BF695" s="21">
        <v>10</v>
      </c>
    </row>
    <row r="696" spans="1:58" ht="15.75" customHeight="1" x14ac:dyDescent="0.25">
      <c r="A696" s="44">
        <v>2020</v>
      </c>
      <c r="B696" s="39">
        <v>172210</v>
      </c>
      <c r="C696" s="38" t="s">
        <v>149</v>
      </c>
      <c r="D696" s="38" t="s">
        <v>143</v>
      </c>
      <c r="E696" s="21">
        <v>3</v>
      </c>
      <c r="F696" s="42">
        <f t="shared" si="291"/>
        <v>8.9820359281437123E-3</v>
      </c>
      <c r="G696" s="21">
        <v>3</v>
      </c>
      <c r="H696" s="42">
        <f t="shared" si="292"/>
        <v>9.7719869706840382E-3</v>
      </c>
      <c r="I696" s="21">
        <v>9</v>
      </c>
      <c r="J696" s="41">
        <f t="shared" si="293"/>
        <v>2.6946107784431138E-2</v>
      </c>
      <c r="K696" s="21">
        <v>8</v>
      </c>
      <c r="L696" s="41">
        <f t="shared" si="294"/>
        <v>2.6058631921824105E-2</v>
      </c>
      <c r="M696" s="21">
        <v>306</v>
      </c>
      <c r="N696" s="41">
        <f t="shared" si="295"/>
        <v>0.91616766467065869</v>
      </c>
      <c r="O696" s="21">
        <v>282</v>
      </c>
      <c r="P696" s="41">
        <f t="shared" si="296"/>
        <v>0.91856677524429964</v>
      </c>
      <c r="Q696" s="21">
        <v>16</v>
      </c>
      <c r="R696" s="41">
        <f t="shared" si="297"/>
        <v>4.790419161676647E-2</v>
      </c>
      <c r="S696" s="21">
        <v>14</v>
      </c>
      <c r="T696" s="41">
        <f t="shared" si="298"/>
        <v>4.5602605863192182E-2</v>
      </c>
      <c r="U696" s="21">
        <v>12</v>
      </c>
      <c r="V696" s="41">
        <f t="shared" si="299"/>
        <v>3.5928143712574849E-2</v>
      </c>
      <c r="W696" s="21">
        <v>12</v>
      </c>
      <c r="X696" s="41">
        <f t="shared" si="300"/>
        <v>3.9087947882736153E-2</v>
      </c>
      <c r="Y696" s="21">
        <v>18</v>
      </c>
      <c r="Z696" s="41">
        <f t="shared" si="301"/>
        <v>5.3892215568862277E-2</v>
      </c>
      <c r="AA696" s="21">
        <v>16</v>
      </c>
      <c r="AB696" s="41">
        <f t="shared" si="302"/>
        <v>5.2117263843648211E-2</v>
      </c>
      <c r="AC696" s="21">
        <v>304</v>
      </c>
      <c r="AD696" s="41">
        <f t="shared" si="310"/>
        <v>0.91017964071856283</v>
      </c>
      <c r="AE696" s="21">
        <v>279</v>
      </c>
      <c r="AF696" s="41">
        <f t="shared" si="303"/>
        <v>0.90879478827361559</v>
      </c>
      <c r="AG696" s="21">
        <v>1</v>
      </c>
      <c r="AH696" s="41">
        <f t="shared" si="311"/>
        <v>2.9940119760479044E-3</v>
      </c>
      <c r="AI696" s="21">
        <v>1</v>
      </c>
      <c r="AJ696" s="41">
        <f t="shared" si="304"/>
        <v>3.2573289902280132E-3</v>
      </c>
      <c r="AK696" s="21">
        <v>20</v>
      </c>
      <c r="AL696" s="41">
        <f t="shared" si="312"/>
        <v>5.9880239520958084E-2</v>
      </c>
      <c r="AM696" s="21">
        <v>19</v>
      </c>
      <c r="AN696" s="41">
        <f t="shared" si="305"/>
        <v>6.1889250814332247E-2</v>
      </c>
      <c r="AO696" s="21">
        <v>230</v>
      </c>
      <c r="AP696" s="41">
        <f t="shared" si="313"/>
        <v>0.68862275449101795</v>
      </c>
      <c r="AQ696" s="21">
        <v>219</v>
      </c>
      <c r="AR696" s="41">
        <f t="shared" si="306"/>
        <v>0.71335504885993484</v>
      </c>
      <c r="AS696" s="21">
        <v>52</v>
      </c>
      <c r="AT696" s="41">
        <f t="shared" si="314"/>
        <v>0.15568862275449102</v>
      </c>
      <c r="AU696" s="21">
        <v>43</v>
      </c>
      <c r="AV696" s="41">
        <f t="shared" si="307"/>
        <v>0.14006514657980457</v>
      </c>
      <c r="AW696" s="21">
        <v>17</v>
      </c>
      <c r="AX696" s="41">
        <f t="shared" si="315"/>
        <v>5.089820359281437E-2</v>
      </c>
      <c r="AY696" s="21">
        <v>14</v>
      </c>
      <c r="AZ696" s="41">
        <f t="shared" si="308"/>
        <v>4.5602605863192182E-2</v>
      </c>
      <c r="BA696" s="21">
        <v>14</v>
      </c>
      <c r="BB696" s="41">
        <f t="shared" si="316"/>
        <v>4.1916167664670656E-2</v>
      </c>
      <c r="BC696" s="21">
        <v>11</v>
      </c>
      <c r="BD696" s="41">
        <f t="shared" si="309"/>
        <v>3.5830618892508145E-2</v>
      </c>
      <c r="BE696" s="21">
        <v>334</v>
      </c>
      <c r="BF696" s="21">
        <v>307</v>
      </c>
    </row>
    <row r="697" spans="1:58" ht="15.75" customHeight="1" x14ac:dyDescent="0.25">
      <c r="A697" s="44">
        <v>2019</v>
      </c>
      <c r="B697" s="39">
        <v>170025</v>
      </c>
      <c r="C697" s="38" t="s">
        <v>144</v>
      </c>
      <c r="D697" s="38" t="s">
        <v>5</v>
      </c>
      <c r="E697" s="21">
        <v>0</v>
      </c>
      <c r="F697" s="42">
        <f t="shared" si="291"/>
        <v>0</v>
      </c>
      <c r="G697" s="21">
        <v>2</v>
      </c>
      <c r="H697" s="42">
        <f t="shared" si="292"/>
        <v>2.6315789473684209E-2</v>
      </c>
      <c r="I697" s="21">
        <v>2</v>
      </c>
      <c r="J697" s="41">
        <f t="shared" si="293"/>
        <v>1.7094017094017096E-2</v>
      </c>
      <c r="K697" s="21">
        <v>1</v>
      </c>
      <c r="L697" s="41">
        <f t="shared" si="294"/>
        <v>1.3157894736842105E-2</v>
      </c>
      <c r="M697" s="21">
        <v>110</v>
      </c>
      <c r="N697" s="41">
        <f t="shared" si="295"/>
        <v>0.94017094017094016</v>
      </c>
      <c r="O697" s="21">
        <v>70</v>
      </c>
      <c r="P697" s="41">
        <f t="shared" si="296"/>
        <v>0.92105263157894735</v>
      </c>
      <c r="Q697" s="21">
        <v>5</v>
      </c>
      <c r="R697" s="41">
        <f t="shared" si="297"/>
        <v>4.2735042735042736E-2</v>
      </c>
      <c r="S697" s="21">
        <v>3</v>
      </c>
      <c r="T697" s="41">
        <f t="shared" si="298"/>
        <v>3.9473684210526314E-2</v>
      </c>
      <c r="U697" s="21">
        <v>5</v>
      </c>
      <c r="V697" s="41">
        <f t="shared" si="299"/>
        <v>4.2735042735042736E-2</v>
      </c>
      <c r="W697" s="21">
        <v>5</v>
      </c>
      <c r="X697" s="41">
        <f t="shared" si="300"/>
        <v>6.5789473684210523E-2</v>
      </c>
      <c r="Y697" s="21">
        <v>10</v>
      </c>
      <c r="Z697" s="41">
        <f t="shared" si="301"/>
        <v>8.5470085470085472E-2</v>
      </c>
      <c r="AA697" s="21">
        <v>6</v>
      </c>
      <c r="AB697" s="41">
        <f t="shared" si="302"/>
        <v>7.8947368421052627E-2</v>
      </c>
      <c r="AC697" s="21">
        <v>102</v>
      </c>
      <c r="AD697" s="41">
        <f t="shared" si="310"/>
        <v>0.87179487179487181</v>
      </c>
      <c r="AE697" s="21">
        <v>65</v>
      </c>
      <c r="AF697" s="41">
        <f t="shared" si="303"/>
        <v>0.85526315789473684</v>
      </c>
      <c r="AG697" s="21">
        <v>2</v>
      </c>
      <c r="AH697" s="41">
        <f t="shared" si="311"/>
        <v>1.7094017094017096E-2</v>
      </c>
      <c r="AI697" s="21">
        <v>2</v>
      </c>
      <c r="AJ697" s="41">
        <f t="shared" si="304"/>
        <v>2.6315789473684209E-2</v>
      </c>
      <c r="AK697" s="21">
        <v>6</v>
      </c>
      <c r="AL697" s="41">
        <f t="shared" si="312"/>
        <v>5.128205128205128E-2</v>
      </c>
      <c r="AM697" s="21">
        <v>4</v>
      </c>
      <c r="AN697" s="41">
        <f t="shared" si="305"/>
        <v>5.2631578947368418E-2</v>
      </c>
      <c r="AO697" s="21">
        <v>87</v>
      </c>
      <c r="AP697" s="41">
        <f t="shared" si="313"/>
        <v>0.74358974358974361</v>
      </c>
      <c r="AQ697" s="21">
        <v>57</v>
      </c>
      <c r="AR697" s="41">
        <f t="shared" si="306"/>
        <v>0.75</v>
      </c>
      <c r="AS697" s="21">
        <v>16</v>
      </c>
      <c r="AT697" s="41">
        <f t="shared" si="314"/>
        <v>0.13675213675213677</v>
      </c>
      <c r="AU697" s="21">
        <v>8</v>
      </c>
      <c r="AV697" s="41">
        <f t="shared" si="307"/>
        <v>0.10526315789473684</v>
      </c>
      <c r="AW697" s="21">
        <v>5</v>
      </c>
      <c r="AX697" s="41">
        <f t="shared" si="315"/>
        <v>4.2735042735042736E-2</v>
      </c>
      <c r="AY697" s="21">
        <v>4</v>
      </c>
      <c r="AZ697" s="41">
        <f t="shared" si="308"/>
        <v>5.2631578947368418E-2</v>
      </c>
      <c r="BA697" s="21">
        <v>1</v>
      </c>
      <c r="BB697" s="41">
        <f t="shared" si="316"/>
        <v>8.5470085470085479E-3</v>
      </c>
      <c r="BC697" s="21">
        <v>1</v>
      </c>
      <c r="BD697" s="41">
        <f t="shared" si="309"/>
        <v>1.3157894736842105E-2</v>
      </c>
      <c r="BE697" s="21">
        <v>117</v>
      </c>
      <c r="BF697" s="21">
        <v>76</v>
      </c>
    </row>
    <row r="698" spans="1:58" ht="15.75" customHeight="1" x14ac:dyDescent="0.25">
      <c r="A698" s="44">
        <v>2019</v>
      </c>
      <c r="B698" s="39">
        <v>170030</v>
      </c>
      <c r="C698" s="38" t="s">
        <v>145</v>
      </c>
      <c r="D698" s="38" t="s">
        <v>6</v>
      </c>
      <c r="E698" s="21">
        <v>1</v>
      </c>
      <c r="F698" s="42">
        <f t="shared" si="291"/>
        <v>3.1250000000000002E-3</v>
      </c>
      <c r="G698" s="21">
        <v>1</v>
      </c>
      <c r="H698" s="42">
        <f t="shared" si="292"/>
        <v>4.2553191489361703E-3</v>
      </c>
      <c r="I698" s="21">
        <v>14</v>
      </c>
      <c r="J698" s="41">
        <f t="shared" si="293"/>
        <v>4.3749999999999997E-2</v>
      </c>
      <c r="K698" s="21">
        <v>11</v>
      </c>
      <c r="L698" s="41">
        <f t="shared" si="294"/>
        <v>4.6808510638297871E-2</v>
      </c>
      <c r="M698" s="21">
        <v>289</v>
      </c>
      <c r="N698" s="41">
        <f t="shared" si="295"/>
        <v>0.90312499999999996</v>
      </c>
      <c r="O698" s="21">
        <v>211</v>
      </c>
      <c r="P698" s="41">
        <f t="shared" si="296"/>
        <v>0.89787234042553188</v>
      </c>
      <c r="Q698" s="21">
        <v>16</v>
      </c>
      <c r="R698" s="41">
        <f t="shared" si="297"/>
        <v>0.05</v>
      </c>
      <c r="S698" s="21">
        <v>12</v>
      </c>
      <c r="T698" s="41">
        <f t="shared" si="298"/>
        <v>5.106382978723404E-2</v>
      </c>
      <c r="U698" s="21">
        <v>19</v>
      </c>
      <c r="V698" s="41">
        <f t="shared" si="299"/>
        <v>5.9374999999999997E-2</v>
      </c>
      <c r="W698" s="21">
        <v>15</v>
      </c>
      <c r="X698" s="41">
        <f t="shared" si="300"/>
        <v>6.3829787234042548E-2</v>
      </c>
      <c r="Y698" s="21">
        <v>30</v>
      </c>
      <c r="Z698" s="41">
        <f t="shared" si="301"/>
        <v>9.375E-2</v>
      </c>
      <c r="AA698" s="21">
        <v>22</v>
      </c>
      <c r="AB698" s="41">
        <f t="shared" si="302"/>
        <v>9.3617021276595741E-2</v>
      </c>
      <c r="AC698" s="21">
        <v>271</v>
      </c>
      <c r="AD698" s="41">
        <f t="shared" si="310"/>
        <v>0.84687500000000004</v>
      </c>
      <c r="AE698" s="21">
        <v>198</v>
      </c>
      <c r="AF698" s="41">
        <f t="shared" si="303"/>
        <v>0.8425531914893617</v>
      </c>
      <c r="AG698" s="21">
        <v>12</v>
      </c>
      <c r="AH698" s="41">
        <f t="shared" si="311"/>
        <v>3.7499999999999999E-2</v>
      </c>
      <c r="AI698" s="21">
        <v>9</v>
      </c>
      <c r="AJ698" s="41">
        <f t="shared" si="304"/>
        <v>3.8297872340425532E-2</v>
      </c>
      <c r="AK698" s="21">
        <v>15</v>
      </c>
      <c r="AL698" s="41">
        <f t="shared" si="312"/>
        <v>4.6875E-2</v>
      </c>
      <c r="AM698" s="21">
        <v>11</v>
      </c>
      <c r="AN698" s="41">
        <f t="shared" si="305"/>
        <v>4.6808510638297871E-2</v>
      </c>
      <c r="AO698" s="21">
        <v>217</v>
      </c>
      <c r="AP698" s="41">
        <f t="shared" si="313"/>
        <v>0.67812499999999998</v>
      </c>
      <c r="AQ698" s="21">
        <v>170</v>
      </c>
      <c r="AR698" s="41">
        <f t="shared" si="306"/>
        <v>0.72340425531914898</v>
      </c>
      <c r="AS698" s="21">
        <v>43</v>
      </c>
      <c r="AT698" s="41">
        <f t="shared" si="314"/>
        <v>0.13437499999999999</v>
      </c>
      <c r="AU698" s="21">
        <v>23</v>
      </c>
      <c r="AV698" s="41">
        <f t="shared" si="307"/>
        <v>9.7872340425531917E-2</v>
      </c>
      <c r="AW698" s="21">
        <v>17</v>
      </c>
      <c r="AX698" s="41">
        <f t="shared" si="315"/>
        <v>5.3124999999999999E-2</v>
      </c>
      <c r="AY698" s="21">
        <v>11</v>
      </c>
      <c r="AZ698" s="41">
        <f t="shared" si="308"/>
        <v>4.6808510638297871E-2</v>
      </c>
      <c r="BA698" s="21">
        <v>16</v>
      </c>
      <c r="BB698" s="41">
        <f t="shared" si="316"/>
        <v>0.05</v>
      </c>
      <c r="BC698" s="21">
        <v>11</v>
      </c>
      <c r="BD698" s="41">
        <f t="shared" si="309"/>
        <v>4.6808510638297871E-2</v>
      </c>
      <c r="BE698" s="21">
        <v>320</v>
      </c>
      <c r="BF698" s="21">
        <v>235</v>
      </c>
    </row>
    <row r="699" spans="1:58" ht="15.75" customHeight="1" x14ac:dyDescent="0.25">
      <c r="A699" s="44">
        <v>2019</v>
      </c>
      <c r="B699" s="39">
        <v>170035</v>
      </c>
      <c r="C699" s="38" t="s">
        <v>146</v>
      </c>
      <c r="D699" s="38" t="s">
        <v>7</v>
      </c>
      <c r="E699" s="21">
        <v>1</v>
      </c>
      <c r="F699" s="42">
        <f t="shared" si="291"/>
        <v>4.1666666666666666E-3</v>
      </c>
      <c r="G699" s="21">
        <v>0</v>
      </c>
      <c r="H699" s="42">
        <f t="shared" si="292"/>
        <v>0</v>
      </c>
      <c r="I699" s="21">
        <v>4</v>
      </c>
      <c r="J699" s="41">
        <f t="shared" si="293"/>
        <v>1.6666666666666666E-2</v>
      </c>
      <c r="K699" s="21">
        <v>4</v>
      </c>
      <c r="L699" s="41">
        <f t="shared" si="294"/>
        <v>1.9801980198019802E-2</v>
      </c>
      <c r="M699" s="21">
        <v>214</v>
      </c>
      <c r="N699" s="41">
        <f t="shared" si="295"/>
        <v>0.89166666666666672</v>
      </c>
      <c r="O699" s="21">
        <v>180</v>
      </c>
      <c r="P699" s="41">
        <f t="shared" si="296"/>
        <v>0.8910891089108911</v>
      </c>
      <c r="Q699" s="21">
        <v>21</v>
      </c>
      <c r="R699" s="41">
        <f t="shared" si="297"/>
        <v>8.7499999999999994E-2</v>
      </c>
      <c r="S699" s="21">
        <v>18</v>
      </c>
      <c r="T699" s="41">
        <f t="shared" si="298"/>
        <v>8.9108910891089105E-2</v>
      </c>
      <c r="U699" s="21">
        <v>16</v>
      </c>
      <c r="V699" s="41">
        <f t="shared" si="299"/>
        <v>6.6666666666666666E-2</v>
      </c>
      <c r="W699" s="21">
        <v>16</v>
      </c>
      <c r="X699" s="41">
        <f t="shared" si="300"/>
        <v>7.9207920792079209E-2</v>
      </c>
      <c r="Y699" s="21">
        <v>26</v>
      </c>
      <c r="Z699" s="41">
        <f t="shared" si="301"/>
        <v>0.10833333333333334</v>
      </c>
      <c r="AA699" s="21">
        <v>25</v>
      </c>
      <c r="AB699" s="41">
        <f t="shared" si="302"/>
        <v>0.12376237623762376</v>
      </c>
      <c r="AC699" s="21">
        <v>198</v>
      </c>
      <c r="AD699" s="41">
        <f t="shared" si="310"/>
        <v>0.82499999999999996</v>
      </c>
      <c r="AE699" s="21">
        <v>161</v>
      </c>
      <c r="AF699" s="41">
        <f t="shared" si="303"/>
        <v>0.79702970297029707</v>
      </c>
      <c r="AG699" s="21">
        <v>11</v>
      </c>
      <c r="AH699" s="41">
        <f t="shared" si="311"/>
        <v>4.583333333333333E-2</v>
      </c>
      <c r="AI699" s="21">
        <v>9</v>
      </c>
      <c r="AJ699" s="41">
        <f t="shared" si="304"/>
        <v>4.4554455445544552E-2</v>
      </c>
      <c r="AK699" s="21">
        <v>8</v>
      </c>
      <c r="AL699" s="41">
        <f t="shared" si="312"/>
        <v>3.3333333333333333E-2</v>
      </c>
      <c r="AM699" s="21">
        <v>6</v>
      </c>
      <c r="AN699" s="41">
        <f t="shared" si="305"/>
        <v>2.9702970297029702E-2</v>
      </c>
      <c r="AO699" s="21">
        <v>139</v>
      </c>
      <c r="AP699" s="41">
        <f t="shared" si="313"/>
        <v>0.57916666666666672</v>
      </c>
      <c r="AQ699" s="21">
        <v>120</v>
      </c>
      <c r="AR699" s="41">
        <f t="shared" si="306"/>
        <v>0.59405940594059403</v>
      </c>
      <c r="AS699" s="21">
        <v>38</v>
      </c>
      <c r="AT699" s="41">
        <f t="shared" si="314"/>
        <v>0.15833333333333333</v>
      </c>
      <c r="AU699" s="21">
        <v>33</v>
      </c>
      <c r="AV699" s="41">
        <f t="shared" si="307"/>
        <v>0.16336633663366337</v>
      </c>
      <c r="AW699" s="21">
        <v>21</v>
      </c>
      <c r="AX699" s="41">
        <f t="shared" si="315"/>
        <v>8.7499999999999994E-2</v>
      </c>
      <c r="AY699" s="21">
        <v>15</v>
      </c>
      <c r="AZ699" s="41">
        <f t="shared" si="308"/>
        <v>7.4257425742574254E-2</v>
      </c>
      <c r="BA699" s="21">
        <v>23</v>
      </c>
      <c r="BB699" s="41">
        <f t="shared" si="316"/>
        <v>9.583333333333334E-2</v>
      </c>
      <c r="BC699" s="21">
        <v>19</v>
      </c>
      <c r="BD699" s="41">
        <f t="shared" si="309"/>
        <v>9.405940594059406E-2</v>
      </c>
      <c r="BE699" s="21">
        <v>240</v>
      </c>
      <c r="BF699" s="21">
        <v>202</v>
      </c>
    </row>
    <row r="700" spans="1:58" ht="15.75" customHeight="1" x14ac:dyDescent="0.25">
      <c r="A700" s="44">
        <v>2019</v>
      </c>
      <c r="B700" s="39">
        <v>170040</v>
      </c>
      <c r="C700" s="38" t="s">
        <v>147</v>
      </c>
      <c r="D700" s="38" t="s">
        <v>8</v>
      </c>
      <c r="E700" s="21">
        <v>11</v>
      </c>
      <c r="F700" s="42">
        <f t="shared" si="291"/>
        <v>3.1884057971014491E-2</v>
      </c>
      <c r="G700" s="21">
        <v>9</v>
      </c>
      <c r="H700" s="42">
        <f t="shared" si="292"/>
        <v>2.9315960912052116E-2</v>
      </c>
      <c r="I700" s="21">
        <v>12</v>
      </c>
      <c r="J700" s="41">
        <f t="shared" si="293"/>
        <v>3.4782608695652174E-2</v>
      </c>
      <c r="K700" s="21">
        <v>11</v>
      </c>
      <c r="L700" s="41">
        <f t="shared" si="294"/>
        <v>3.5830618892508145E-2</v>
      </c>
      <c r="M700" s="21">
        <v>314</v>
      </c>
      <c r="N700" s="41">
        <f t="shared" si="295"/>
        <v>0.91014492753623188</v>
      </c>
      <c r="O700" s="21">
        <v>281</v>
      </c>
      <c r="P700" s="41">
        <f t="shared" si="296"/>
        <v>0.91530944625407162</v>
      </c>
      <c r="Q700" s="21">
        <v>8</v>
      </c>
      <c r="R700" s="41">
        <f t="shared" si="297"/>
        <v>2.318840579710145E-2</v>
      </c>
      <c r="S700" s="21">
        <v>6</v>
      </c>
      <c r="T700" s="41">
        <f t="shared" si="298"/>
        <v>1.9543973941368076E-2</v>
      </c>
      <c r="U700" s="21">
        <v>38</v>
      </c>
      <c r="V700" s="41">
        <f t="shared" si="299"/>
        <v>0.11014492753623188</v>
      </c>
      <c r="W700" s="21">
        <v>36</v>
      </c>
      <c r="X700" s="41">
        <f t="shared" si="300"/>
        <v>0.11726384364820847</v>
      </c>
      <c r="Y700" s="21">
        <v>45</v>
      </c>
      <c r="Z700" s="41">
        <f t="shared" si="301"/>
        <v>0.13043478260869565</v>
      </c>
      <c r="AA700" s="21">
        <v>41</v>
      </c>
      <c r="AB700" s="41">
        <f t="shared" si="302"/>
        <v>0.13355048859934854</v>
      </c>
      <c r="AC700" s="21">
        <v>262</v>
      </c>
      <c r="AD700" s="41">
        <f t="shared" si="310"/>
        <v>0.75942028985507248</v>
      </c>
      <c r="AE700" s="21">
        <v>230</v>
      </c>
      <c r="AF700" s="41">
        <f t="shared" si="303"/>
        <v>0.749185667752443</v>
      </c>
      <c r="AG700" s="21">
        <v>22</v>
      </c>
      <c r="AH700" s="41">
        <f t="shared" si="311"/>
        <v>6.3768115942028983E-2</v>
      </c>
      <c r="AI700" s="21">
        <v>20</v>
      </c>
      <c r="AJ700" s="41">
        <f t="shared" si="304"/>
        <v>6.5146579804560262E-2</v>
      </c>
      <c r="AK700" s="21">
        <v>10</v>
      </c>
      <c r="AL700" s="41">
        <f t="shared" si="312"/>
        <v>2.8985507246376812E-2</v>
      </c>
      <c r="AM700" s="21">
        <v>10</v>
      </c>
      <c r="AN700" s="41">
        <f t="shared" si="305"/>
        <v>3.2573289902280131E-2</v>
      </c>
      <c r="AO700" s="21">
        <v>205</v>
      </c>
      <c r="AP700" s="41">
        <f t="shared" si="313"/>
        <v>0.59420289855072461</v>
      </c>
      <c r="AQ700" s="21">
        <v>179</v>
      </c>
      <c r="AR700" s="41">
        <f t="shared" si="306"/>
        <v>0.58306188925081437</v>
      </c>
      <c r="AS700" s="21">
        <v>61</v>
      </c>
      <c r="AT700" s="41">
        <f t="shared" si="314"/>
        <v>0.17681159420289855</v>
      </c>
      <c r="AU700" s="21">
        <v>57</v>
      </c>
      <c r="AV700" s="41">
        <f t="shared" si="307"/>
        <v>0.18566775244299674</v>
      </c>
      <c r="AW700" s="21">
        <v>25</v>
      </c>
      <c r="AX700" s="41">
        <f t="shared" si="315"/>
        <v>7.2463768115942032E-2</v>
      </c>
      <c r="AY700" s="21">
        <v>24</v>
      </c>
      <c r="AZ700" s="41">
        <f t="shared" si="308"/>
        <v>7.8175895765472306E-2</v>
      </c>
      <c r="BA700" s="21">
        <v>22</v>
      </c>
      <c r="BB700" s="41">
        <f t="shared" si="316"/>
        <v>6.3768115942028983E-2</v>
      </c>
      <c r="BC700" s="21">
        <v>17</v>
      </c>
      <c r="BD700" s="41">
        <f t="shared" si="309"/>
        <v>5.5374592833876218E-2</v>
      </c>
      <c r="BE700" s="21">
        <v>345</v>
      </c>
      <c r="BF700" s="21">
        <v>307</v>
      </c>
    </row>
    <row r="701" spans="1:58" ht="15.75" customHeight="1" x14ac:dyDescent="0.25">
      <c r="A701" s="44">
        <v>2019</v>
      </c>
      <c r="B701" s="39">
        <v>170070</v>
      </c>
      <c r="C701" s="38" t="s">
        <v>146</v>
      </c>
      <c r="D701" s="38" t="s">
        <v>9</v>
      </c>
      <c r="E701" s="21">
        <v>2</v>
      </c>
      <c r="F701" s="42">
        <f t="shared" si="291"/>
        <v>7.246376811594203E-3</v>
      </c>
      <c r="G701" s="21">
        <v>2</v>
      </c>
      <c r="H701" s="42">
        <f t="shared" si="292"/>
        <v>7.5471698113207548E-3</v>
      </c>
      <c r="I701" s="21">
        <v>7</v>
      </c>
      <c r="J701" s="41">
        <f t="shared" si="293"/>
        <v>2.5362318840579712E-2</v>
      </c>
      <c r="K701" s="21">
        <v>7</v>
      </c>
      <c r="L701" s="41">
        <f t="shared" si="294"/>
        <v>2.6415094339622643E-2</v>
      </c>
      <c r="M701" s="21">
        <v>261</v>
      </c>
      <c r="N701" s="41">
        <f t="shared" si="295"/>
        <v>0.94565217391304346</v>
      </c>
      <c r="O701" s="21">
        <v>251</v>
      </c>
      <c r="P701" s="41">
        <f t="shared" si="296"/>
        <v>0.94716981132075473</v>
      </c>
      <c r="Q701" s="21">
        <v>6</v>
      </c>
      <c r="R701" s="41">
        <f t="shared" si="297"/>
        <v>2.1739130434782608E-2</v>
      </c>
      <c r="S701" s="21">
        <v>5</v>
      </c>
      <c r="T701" s="41">
        <f t="shared" si="298"/>
        <v>1.8867924528301886E-2</v>
      </c>
      <c r="U701" s="21">
        <v>20</v>
      </c>
      <c r="V701" s="41">
        <f t="shared" si="299"/>
        <v>7.2463768115942032E-2</v>
      </c>
      <c r="W701" s="21">
        <v>20</v>
      </c>
      <c r="X701" s="41">
        <f t="shared" si="300"/>
        <v>7.5471698113207544E-2</v>
      </c>
      <c r="Y701" s="21">
        <v>24</v>
      </c>
      <c r="Z701" s="41">
        <f t="shared" si="301"/>
        <v>8.6956521739130432E-2</v>
      </c>
      <c r="AA701" s="21">
        <v>23</v>
      </c>
      <c r="AB701" s="41">
        <f t="shared" si="302"/>
        <v>8.6792452830188674E-2</v>
      </c>
      <c r="AC701" s="21">
        <v>232</v>
      </c>
      <c r="AD701" s="41">
        <f t="shared" si="310"/>
        <v>0.84057971014492749</v>
      </c>
      <c r="AE701" s="21">
        <v>222</v>
      </c>
      <c r="AF701" s="41">
        <f t="shared" si="303"/>
        <v>0.83773584905660381</v>
      </c>
      <c r="AG701" s="21">
        <v>6</v>
      </c>
      <c r="AH701" s="41">
        <f t="shared" si="311"/>
        <v>2.1739130434782608E-2</v>
      </c>
      <c r="AI701" s="21">
        <v>6</v>
      </c>
      <c r="AJ701" s="41">
        <f t="shared" si="304"/>
        <v>2.2641509433962263E-2</v>
      </c>
      <c r="AK701" s="21">
        <v>5</v>
      </c>
      <c r="AL701" s="41">
        <f t="shared" si="312"/>
        <v>1.8115942028985508E-2</v>
      </c>
      <c r="AM701" s="21">
        <v>5</v>
      </c>
      <c r="AN701" s="41">
        <f t="shared" si="305"/>
        <v>1.8867924528301886E-2</v>
      </c>
      <c r="AO701" s="21">
        <v>195</v>
      </c>
      <c r="AP701" s="41">
        <f t="shared" si="313"/>
        <v>0.70652173913043481</v>
      </c>
      <c r="AQ701" s="21">
        <v>188</v>
      </c>
      <c r="AR701" s="41">
        <f t="shared" si="306"/>
        <v>0.7094339622641509</v>
      </c>
      <c r="AS701" s="21">
        <v>45</v>
      </c>
      <c r="AT701" s="41">
        <f t="shared" si="314"/>
        <v>0.16304347826086957</v>
      </c>
      <c r="AU701" s="21">
        <v>43</v>
      </c>
      <c r="AV701" s="41">
        <f t="shared" si="307"/>
        <v>0.16226415094339622</v>
      </c>
      <c r="AW701" s="21">
        <v>10</v>
      </c>
      <c r="AX701" s="41">
        <f t="shared" si="315"/>
        <v>3.6231884057971016E-2</v>
      </c>
      <c r="AY701" s="21">
        <v>9</v>
      </c>
      <c r="AZ701" s="41">
        <f t="shared" si="308"/>
        <v>3.3962264150943396E-2</v>
      </c>
      <c r="BA701" s="21">
        <v>15</v>
      </c>
      <c r="BB701" s="41">
        <f t="shared" si="316"/>
        <v>5.434782608695652E-2</v>
      </c>
      <c r="BC701" s="21">
        <v>14</v>
      </c>
      <c r="BD701" s="41">
        <f t="shared" si="309"/>
        <v>5.2830188679245285E-2</v>
      </c>
      <c r="BE701" s="21">
        <v>276</v>
      </c>
      <c r="BF701" s="21">
        <v>265</v>
      </c>
    </row>
    <row r="702" spans="1:58" ht="15.75" customHeight="1" x14ac:dyDescent="0.25">
      <c r="A702" s="44">
        <v>2019</v>
      </c>
      <c r="B702" s="39">
        <v>170100</v>
      </c>
      <c r="C702" s="38" t="s">
        <v>145</v>
      </c>
      <c r="D702" s="38" t="s">
        <v>10</v>
      </c>
      <c r="E702" s="21">
        <v>9</v>
      </c>
      <c r="F702" s="42">
        <f t="shared" si="291"/>
        <v>1.4999999999999999E-2</v>
      </c>
      <c r="G702" s="21">
        <v>7</v>
      </c>
      <c r="H702" s="42">
        <f t="shared" si="292"/>
        <v>1.4799154334038054E-2</v>
      </c>
      <c r="I702" s="21">
        <v>28</v>
      </c>
      <c r="J702" s="41">
        <f t="shared" si="293"/>
        <v>4.6666666666666669E-2</v>
      </c>
      <c r="K702" s="21">
        <v>25</v>
      </c>
      <c r="L702" s="41">
        <f t="shared" si="294"/>
        <v>5.2854122621564484E-2</v>
      </c>
      <c r="M702" s="21">
        <v>524</v>
      </c>
      <c r="N702" s="41">
        <f t="shared" si="295"/>
        <v>0.87333333333333329</v>
      </c>
      <c r="O702" s="21">
        <v>402</v>
      </c>
      <c r="P702" s="41">
        <f t="shared" si="296"/>
        <v>0.84989429175475684</v>
      </c>
      <c r="Q702" s="21">
        <v>39</v>
      </c>
      <c r="R702" s="41">
        <f t="shared" si="297"/>
        <v>6.5000000000000002E-2</v>
      </c>
      <c r="S702" s="21">
        <v>39</v>
      </c>
      <c r="T702" s="41">
        <f t="shared" si="298"/>
        <v>8.2452431289640596E-2</v>
      </c>
      <c r="U702" s="21">
        <v>39</v>
      </c>
      <c r="V702" s="41">
        <f t="shared" si="299"/>
        <v>6.5000000000000002E-2</v>
      </c>
      <c r="W702" s="21">
        <v>36</v>
      </c>
      <c r="X702" s="41">
        <f t="shared" si="300"/>
        <v>7.6109936575052856E-2</v>
      </c>
      <c r="Y702" s="21">
        <v>50</v>
      </c>
      <c r="Z702" s="41">
        <f t="shared" si="301"/>
        <v>8.3333333333333329E-2</v>
      </c>
      <c r="AA702" s="21">
        <v>39</v>
      </c>
      <c r="AB702" s="41">
        <f t="shared" si="302"/>
        <v>8.2452431289640596E-2</v>
      </c>
      <c r="AC702" s="21">
        <v>511</v>
      </c>
      <c r="AD702" s="41">
        <f t="shared" si="310"/>
        <v>0.85166666666666668</v>
      </c>
      <c r="AE702" s="21">
        <v>398</v>
      </c>
      <c r="AF702" s="41">
        <f t="shared" si="303"/>
        <v>0.84143763213530653</v>
      </c>
      <c r="AG702" s="21">
        <v>23</v>
      </c>
      <c r="AH702" s="41">
        <f t="shared" si="311"/>
        <v>3.833333333333333E-2</v>
      </c>
      <c r="AI702" s="21">
        <v>23</v>
      </c>
      <c r="AJ702" s="41">
        <f t="shared" si="304"/>
        <v>4.8625792811839326E-2</v>
      </c>
      <c r="AK702" s="21">
        <v>28</v>
      </c>
      <c r="AL702" s="41">
        <f t="shared" si="312"/>
        <v>4.6666666666666669E-2</v>
      </c>
      <c r="AM702" s="21">
        <v>29</v>
      </c>
      <c r="AN702" s="41">
        <f t="shared" si="305"/>
        <v>6.13107822410148E-2</v>
      </c>
      <c r="AO702" s="21">
        <v>395</v>
      </c>
      <c r="AP702" s="41">
        <f t="shared" si="313"/>
        <v>0.65833333333333333</v>
      </c>
      <c r="AQ702" s="21">
        <v>298</v>
      </c>
      <c r="AR702" s="41">
        <f t="shared" si="306"/>
        <v>0.63002114164904865</v>
      </c>
      <c r="AS702" s="21">
        <v>90</v>
      </c>
      <c r="AT702" s="41">
        <f t="shared" si="314"/>
        <v>0.15</v>
      </c>
      <c r="AU702" s="21">
        <v>62</v>
      </c>
      <c r="AV702" s="41">
        <f t="shared" si="307"/>
        <v>0.13107822410147993</v>
      </c>
      <c r="AW702" s="21">
        <v>31</v>
      </c>
      <c r="AX702" s="41">
        <f t="shared" si="315"/>
        <v>5.1666666666666666E-2</v>
      </c>
      <c r="AY702" s="21">
        <v>28</v>
      </c>
      <c r="AZ702" s="41">
        <f t="shared" si="308"/>
        <v>5.9196617336152217E-2</v>
      </c>
      <c r="BA702" s="21">
        <v>33</v>
      </c>
      <c r="BB702" s="41">
        <f t="shared" si="316"/>
        <v>5.5E-2</v>
      </c>
      <c r="BC702" s="21">
        <v>33</v>
      </c>
      <c r="BD702" s="41">
        <f t="shared" si="309"/>
        <v>6.9767441860465115E-2</v>
      </c>
      <c r="BE702" s="21">
        <v>600</v>
      </c>
      <c r="BF702" s="21">
        <v>473</v>
      </c>
    </row>
    <row r="703" spans="1:58" ht="15.75" customHeight="1" x14ac:dyDescent="0.25">
      <c r="A703" s="44">
        <v>2019</v>
      </c>
      <c r="B703" s="39">
        <v>170105</v>
      </c>
      <c r="C703" s="38" t="s">
        <v>145</v>
      </c>
      <c r="D703" s="38" t="s">
        <v>11</v>
      </c>
      <c r="E703" s="21">
        <v>1</v>
      </c>
      <c r="F703" s="42">
        <f t="shared" si="291"/>
        <v>6.5359477124183009E-3</v>
      </c>
      <c r="G703" s="21">
        <v>1</v>
      </c>
      <c r="H703" s="42">
        <f t="shared" si="292"/>
        <v>9.0909090909090905E-3</v>
      </c>
      <c r="I703" s="21">
        <v>4</v>
      </c>
      <c r="J703" s="41">
        <f t="shared" si="293"/>
        <v>2.6143790849673203E-2</v>
      </c>
      <c r="K703" s="21">
        <v>3</v>
      </c>
      <c r="L703" s="41">
        <f t="shared" si="294"/>
        <v>2.7272727272727271E-2</v>
      </c>
      <c r="M703" s="21">
        <v>141</v>
      </c>
      <c r="N703" s="41">
        <f t="shared" si="295"/>
        <v>0.92156862745098034</v>
      </c>
      <c r="O703" s="21">
        <v>99</v>
      </c>
      <c r="P703" s="41">
        <f t="shared" si="296"/>
        <v>0.9</v>
      </c>
      <c r="Q703" s="21">
        <v>7</v>
      </c>
      <c r="R703" s="41">
        <f t="shared" si="297"/>
        <v>4.5751633986928102E-2</v>
      </c>
      <c r="S703" s="21">
        <v>7</v>
      </c>
      <c r="T703" s="41">
        <f t="shared" si="298"/>
        <v>6.363636363636363E-2</v>
      </c>
      <c r="U703" s="21">
        <v>7</v>
      </c>
      <c r="V703" s="41">
        <f t="shared" si="299"/>
        <v>4.5751633986928102E-2</v>
      </c>
      <c r="W703" s="21">
        <v>6</v>
      </c>
      <c r="X703" s="41">
        <f t="shared" si="300"/>
        <v>5.4545454545454543E-2</v>
      </c>
      <c r="Y703" s="21">
        <v>18</v>
      </c>
      <c r="Z703" s="41">
        <f t="shared" si="301"/>
        <v>0.11764705882352941</v>
      </c>
      <c r="AA703" s="21">
        <v>14</v>
      </c>
      <c r="AB703" s="41">
        <f t="shared" si="302"/>
        <v>0.12727272727272726</v>
      </c>
      <c r="AC703" s="21">
        <v>128</v>
      </c>
      <c r="AD703" s="41">
        <f t="shared" si="310"/>
        <v>0.83660130718954251</v>
      </c>
      <c r="AE703" s="21">
        <v>90</v>
      </c>
      <c r="AF703" s="41">
        <f t="shared" si="303"/>
        <v>0.81818181818181823</v>
      </c>
      <c r="AG703" s="21">
        <v>4</v>
      </c>
      <c r="AH703" s="41">
        <f t="shared" si="311"/>
        <v>2.6143790849673203E-2</v>
      </c>
      <c r="AI703" s="21">
        <v>4</v>
      </c>
      <c r="AJ703" s="41">
        <f t="shared" si="304"/>
        <v>3.6363636363636362E-2</v>
      </c>
      <c r="AK703" s="21">
        <v>7</v>
      </c>
      <c r="AL703" s="41">
        <f t="shared" si="312"/>
        <v>4.5751633986928102E-2</v>
      </c>
      <c r="AM703" s="21">
        <v>4</v>
      </c>
      <c r="AN703" s="41">
        <f t="shared" si="305"/>
        <v>3.6363636363636362E-2</v>
      </c>
      <c r="AO703" s="21">
        <v>96</v>
      </c>
      <c r="AP703" s="41">
        <f t="shared" si="313"/>
        <v>0.62745098039215685</v>
      </c>
      <c r="AQ703" s="21">
        <v>70</v>
      </c>
      <c r="AR703" s="41">
        <f t="shared" si="306"/>
        <v>0.63636363636363635</v>
      </c>
      <c r="AS703" s="21">
        <v>33</v>
      </c>
      <c r="AT703" s="41">
        <f t="shared" si="314"/>
        <v>0.21568627450980393</v>
      </c>
      <c r="AU703" s="21">
        <v>21</v>
      </c>
      <c r="AV703" s="41">
        <f t="shared" si="307"/>
        <v>0.19090909090909092</v>
      </c>
      <c r="AW703" s="21">
        <v>6</v>
      </c>
      <c r="AX703" s="41">
        <f t="shared" si="315"/>
        <v>3.9215686274509803E-2</v>
      </c>
      <c r="AY703" s="21">
        <v>4</v>
      </c>
      <c r="AZ703" s="41">
        <f t="shared" si="308"/>
        <v>3.6363636363636362E-2</v>
      </c>
      <c r="BA703" s="21">
        <v>7</v>
      </c>
      <c r="BB703" s="41">
        <f t="shared" si="316"/>
        <v>4.5751633986928102E-2</v>
      </c>
      <c r="BC703" s="21">
        <v>7</v>
      </c>
      <c r="BD703" s="41">
        <f t="shared" si="309"/>
        <v>6.363636363636363E-2</v>
      </c>
      <c r="BE703" s="21">
        <v>153</v>
      </c>
      <c r="BF703" s="21">
        <v>110</v>
      </c>
    </row>
    <row r="704" spans="1:58" ht="15.75" customHeight="1" x14ac:dyDescent="0.25">
      <c r="A704" s="44">
        <v>2019</v>
      </c>
      <c r="B704" s="39">
        <v>170110</v>
      </c>
      <c r="C704" s="38" t="s">
        <v>148</v>
      </c>
      <c r="D704" s="38" t="s">
        <v>12</v>
      </c>
      <c r="E704" s="21">
        <v>4</v>
      </c>
      <c r="F704" s="42">
        <f t="shared" si="291"/>
        <v>1.0282776349614395E-2</v>
      </c>
      <c r="G704" s="21">
        <v>0</v>
      </c>
      <c r="H704" s="42">
        <f t="shared" si="292"/>
        <v>0</v>
      </c>
      <c r="I704" s="21">
        <v>14</v>
      </c>
      <c r="J704" s="41">
        <f t="shared" si="293"/>
        <v>3.5989717223650387E-2</v>
      </c>
      <c r="K704" s="21">
        <v>4</v>
      </c>
      <c r="L704" s="41">
        <f t="shared" si="294"/>
        <v>2.6143790849673203E-2</v>
      </c>
      <c r="M704" s="21">
        <v>346</v>
      </c>
      <c r="N704" s="41">
        <f t="shared" si="295"/>
        <v>0.88946015424164526</v>
      </c>
      <c r="O704" s="21">
        <v>145</v>
      </c>
      <c r="P704" s="41">
        <f t="shared" si="296"/>
        <v>0.94771241830065356</v>
      </c>
      <c r="Q704" s="21">
        <v>25</v>
      </c>
      <c r="R704" s="41">
        <f t="shared" si="297"/>
        <v>6.4267352185089971E-2</v>
      </c>
      <c r="S704" s="21">
        <v>4</v>
      </c>
      <c r="T704" s="41">
        <f t="shared" si="298"/>
        <v>2.6143790849673203E-2</v>
      </c>
      <c r="U704" s="21">
        <v>19</v>
      </c>
      <c r="V704" s="41">
        <f t="shared" si="299"/>
        <v>4.8843187660668377E-2</v>
      </c>
      <c r="W704" s="21">
        <v>7</v>
      </c>
      <c r="X704" s="41">
        <f t="shared" si="300"/>
        <v>4.5751633986928102E-2</v>
      </c>
      <c r="Y704" s="21">
        <v>25</v>
      </c>
      <c r="Z704" s="41">
        <f t="shared" si="301"/>
        <v>6.4267352185089971E-2</v>
      </c>
      <c r="AA704" s="21">
        <v>8</v>
      </c>
      <c r="AB704" s="41">
        <f t="shared" si="302"/>
        <v>5.2287581699346407E-2</v>
      </c>
      <c r="AC704" s="21">
        <v>345</v>
      </c>
      <c r="AD704" s="41">
        <f t="shared" si="310"/>
        <v>0.88688946015424164</v>
      </c>
      <c r="AE704" s="21">
        <v>138</v>
      </c>
      <c r="AF704" s="41">
        <f t="shared" si="303"/>
        <v>0.90196078431372551</v>
      </c>
      <c r="AG704" s="21">
        <v>8</v>
      </c>
      <c r="AH704" s="41">
        <f t="shared" si="311"/>
        <v>2.056555269922879E-2</v>
      </c>
      <c r="AI704" s="21">
        <v>2</v>
      </c>
      <c r="AJ704" s="41">
        <f t="shared" si="304"/>
        <v>1.3071895424836602E-2</v>
      </c>
      <c r="AK704" s="21">
        <v>21</v>
      </c>
      <c r="AL704" s="41">
        <f t="shared" si="312"/>
        <v>5.3984575835475578E-2</v>
      </c>
      <c r="AM704" s="21">
        <v>11</v>
      </c>
      <c r="AN704" s="41">
        <f t="shared" si="305"/>
        <v>7.1895424836601302E-2</v>
      </c>
      <c r="AO704" s="21">
        <v>257</v>
      </c>
      <c r="AP704" s="41">
        <f t="shared" si="313"/>
        <v>0.66066838046272491</v>
      </c>
      <c r="AQ704" s="21">
        <v>113</v>
      </c>
      <c r="AR704" s="41">
        <f t="shared" si="306"/>
        <v>0.73856209150326801</v>
      </c>
      <c r="AS704" s="21">
        <v>56</v>
      </c>
      <c r="AT704" s="41">
        <f t="shared" si="314"/>
        <v>0.14395886889460155</v>
      </c>
      <c r="AU704" s="21">
        <v>18</v>
      </c>
      <c r="AV704" s="41">
        <f t="shared" si="307"/>
        <v>0.11764705882352941</v>
      </c>
      <c r="AW704" s="21">
        <v>24</v>
      </c>
      <c r="AX704" s="41">
        <f t="shared" si="315"/>
        <v>6.1696658097686374E-2</v>
      </c>
      <c r="AY704" s="21">
        <v>5</v>
      </c>
      <c r="AZ704" s="41">
        <f t="shared" si="308"/>
        <v>3.2679738562091505E-2</v>
      </c>
      <c r="BA704" s="21">
        <v>23</v>
      </c>
      <c r="BB704" s="41">
        <f t="shared" si="316"/>
        <v>5.9125964010282778E-2</v>
      </c>
      <c r="BC704" s="21">
        <v>4</v>
      </c>
      <c r="BD704" s="41">
        <f t="shared" si="309"/>
        <v>2.6143790849673203E-2</v>
      </c>
      <c r="BE704" s="21">
        <v>389</v>
      </c>
      <c r="BF704" s="21">
        <v>153</v>
      </c>
    </row>
    <row r="705" spans="1:58" ht="15.75" customHeight="1" x14ac:dyDescent="0.25">
      <c r="A705" s="44">
        <v>2019</v>
      </c>
      <c r="B705" s="39">
        <v>170130</v>
      </c>
      <c r="C705" s="38" t="s">
        <v>149</v>
      </c>
      <c r="D705" s="38" t="s">
        <v>13</v>
      </c>
      <c r="E705" s="21">
        <v>5</v>
      </c>
      <c r="F705" s="42">
        <f t="shared" si="291"/>
        <v>1.5197568389057751E-2</v>
      </c>
      <c r="G705" s="21">
        <v>3</v>
      </c>
      <c r="H705" s="42">
        <f t="shared" si="292"/>
        <v>1.5384615384615385E-2</v>
      </c>
      <c r="I705" s="21">
        <v>11</v>
      </c>
      <c r="J705" s="41">
        <f t="shared" si="293"/>
        <v>3.3434650455927049E-2</v>
      </c>
      <c r="K705" s="21">
        <v>5</v>
      </c>
      <c r="L705" s="41">
        <f t="shared" si="294"/>
        <v>2.564102564102564E-2</v>
      </c>
      <c r="M705" s="21">
        <v>295</v>
      </c>
      <c r="N705" s="41">
        <f t="shared" si="295"/>
        <v>0.89665653495440734</v>
      </c>
      <c r="O705" s="21">
        <v>174</v>
      </c>
      <c r="P705" s="41">
        <f t="shared" si="296"/>
        <v>0.89230769230769236</v>
      </c>
      <c r="Q705" s="21">
        <v>18</v>
      </c>
      <c r="R705" s="41">
        <f t="shared" si="297"/>
        <v>5.4711246200607903E-2</v>
      </c>
      <c r="S705" s="21">
        <v>13</v>
      </c>
      <c r="T705" s="41">
        <f t="shared" si="298"/>
        <v>6.6666666666666666E-2</v>
      </c>
      <c r="U705" s="21">
        <v>18</v>
      </c>
      <c r="V705" s="41">
        <f t="shared" si="299"/>
        <v>5.4711246200607903E-2</v>
      </c>
      <c r="W705" s="21">
        <v>13</v>
      </c>
      <c r="X705" s="41">
        <f t="shared" si="300"/>
        <v>6.6666666666666666E-2</v>
      </c>
      <c r="Y705" s="21">
        <v>17</v>
      </c>
      <c r="Z705" s="41">
        <f t="shared" si="301"/>
        <v>5.1671732522796353E-2</v>
      </c>
      <c r="AA705" s="21">
        <v>14</v>
      </c>
      <c r="AB705" s="41">
        <f t="shared" si="302"/>
        <v>7.179487179487179E-2</v>
      </c>
      <c r="AC705" s="21">
        <v>294</v>
      </c>
      <c r="AD705" s="41">
        <f t="shared" si="310"/>
        <v>0.8936170212765957</v>
      </c>
      <c r="AE705" s="21">
        <v>168</v>
      </c>
      <c r="AF705" s="41">
        <f t="shared" si="303"/>
        <v>0.86153846153846159</v>
      </c>
      <c r="AG705" s="21">
        <v>20</v>
      </c>
      <c r="AH705" s="41">
        <f t="shared" si="311"/>
        <v>6.0790273556231005E-2</v>
      </c>
      <c r="AI705" s="21">
        <v>15</v>
      </c>
      <c r="AJ705" s="41">
        <f t="shared" si="304"/>
        <v>7.6923076923076927E-2</v>
      </c>
      <c r="AK705" s="21">
        <v>20</v>
      </c>
      <c r="AL705" s="41">
        <f t="shared" si="312"/>
        <v>6.0790273556231005E-2</v>
      </c>
      <c r="AM705" s="21">
        <v>9</v>
      </c>
      <c r="AN705" s="41">
        <f t="shared" si="305"/>
        <v>4.6153846153846156E-2</v>
      </c>
      <c r="AO705" s="21">
        <v>194</v>
      </c>
      <c r="AP705" s="41">
        <f t="shared" si="313"/>
        <v>0.58966565349544076</v>
      </c>
      <c r="AQ705" s="21">
        <v>113</v>
      </c>
      <c r="AR705" s="41">
        <f t="shared" si="306"/>
        <v>0.57948717948717954</v>
      </c>
      <c r="AS705" s="21">
        <v>48</v>
      </c>
      <c r="AT705" s="41">
        <f t="shared" si="314"/>
        <v>0.1458966565349544</v>
      </c>
      <c r="AU705" s="21">
        <v>27</v>
      </c>
      <c r="AV705" s="41">
        <f t="shared" si="307"/>
        <v>0.13846153846153847</v>
      </c>
      <c r="AW705" s="21">
        <v>25</v>
      </c>
      <c r="AX705" s="41">
        <f t="shared" si="315"/>
        <v>7.598784194528875E-2</v>
      </c>
      <c r="AY705" s="21">
        <v>12</v>
      </c>
      <c r="AZ705" s="41">
        <f t="shared" si="308"/>
        <v>6.1538461538461542E-2</v>
      </c>
      <c r="BA705" s="21">
        <v>22</v>
      </c>
      <c r="BB705" s="41">
        <f t="shared" si="316"/>
        <v>6.6869300911854099E-2</v>
      </c>
      <c r="BC705" s="21">
        <v>19</v>
      </c>
      <c r="BD705" s="41">
        <f t="shared" si="309"/>
        <v>9.7435897435897437E-2</v>
      </c>
      <c r="BE705" s="21">
        <v>329</v>
      </c>
      <c r="BF705" s="21">
        <v>195</v>
      </c>
    </row>
    <row r="706" spans="1:58" ht="15.75" customHeight="1" x14ac:dyDescent="0.25">
      <c r="A706" s="44">
        <v>2019</v>
      </c>
      <c r="B706" s="39">
        <v>170190</v>
      </c>
      <c r="C706" s="38" t="s">
        <v>144</v>
      </c>
      <c r="D706" s="38" t="s">
        <v>14</v>
      </c>
      <c r="E706" s="21">
        <v>1</v>
      </c>
      <c r="F706" s="42">
        <f t="shared" ref="F706:F769" si="317">IFERROR(E706/$BE706,0)</f>
        <v>4.5045045045045045E-3</v>
      </c>
      <c r="G706" s="21">
        <v>1</v>
      </c>
      <c r="H706" s="42">
        <f t="shared" ref="H706:H769" si="318">IFERROR(G706/$BF706,0)</f>
        <v>5.4644808743169399E-3</v>
      </c>
      <c r="I706" s="21">
        <v>5</v>
      </c>
      <c r="J706" s="41">
        <f t="shared" ref="J706:J769" si="319">IFERROR(I706/$BE706,0)</f>
        <v>2.2522522522522521E-2</v>
      </c>
      <c r="K706" s="21">
        <v>4</v>
      </c>
      <c r="L706" s="41">
        <f t="shared" ref="L706:L769" si="320">IFERROR(K706/$BF706,0)</f>
        <v>2.185792349726776E-2</v>
      </c>
      <c r="M706" s="21">
        <v>210</v>
      </c>
      <c r="N706" s="41">
        <f t="shared" ref="N706:N769" si="321">IFERROR(M706/$BE706,0)</f>
        <v>0.94594594594594594</v>
      </c>
      <c r="O706" s="21">
        <v>174</v>
      </c>
      <c r="P706" s="41">
        <f t="shared" ref="P706:P769" si="322">IFERROR(O706/$BF706,0)</f>
        <v>0.95081967213114749</v>
      </c>
      <c r="Q706" s="21">
        <v>6</v>
      </c>
      <c r="R706" s="41">
        <f t="shared" ref="R706:R769" si="323">IFERROR(Q706/$BE706,0)</f>
        <v>2.7027027027027029E-2</v>
      </c>
      <c r="S706" s="21">
        <v>4</v>
      </c>
      <c r="T706" s="41">
        <f t="shared" ref="T706:T769" si="324">IFERROR(S706/$BF706,0)</f>
        <v>2.185792349726776E-2</v>
      </c>
      <c r="U706" s="21">
        <v>15</v>
      </c>
      <c r="V706" s="41">
        <f t="shared" ref="V706:V769" si="325">IFERROR(U706/$BE706,0)</f>
        <v>6.7567567567567571E-2</v>
      </c>
      <c r="W706" s="21">
        <v>15</v>
      </c>
      <c r="X706" s="41">
        <f t="shared" ref="X706:X769" si="326">IFERROR(W706/$BF706,0)</f>
        <v>8.1967213114754092E-2</v>
      </c>
      <c r="Y706" s="21">
        <v>25</v>
      </c>
      <c r="Z706" s="41">
        <f t="shared" ref="Z706:Z769" si="327">IFERROR(Y706/$BE706,0)</f>
        <v>0.11261261261261261</v>
      </c>
      <c r="AA706" s="21">
        <v>20</v>
      </c>
      <c r="AB706" s="41">
        <f t="shared" ref="AB706:AB769" si="328">IFERROR(AA706/$BF706,0)</f>
        <v>0.10928961748633879</v>
      </c>
      <c r="AC706" s="21">
        <v>182</v>
      </c>
      <c r="AD706" s="41">
        <f t="shared" si="310"/>
        <v>0.81981981981981977</v>
      </c>
      <c r="AE706" s="21">
        <v>148</v>
      </c>
      <c r="AF706" s="41">
        <f t="shared" ref="AF706:AF769" si="329">IFERROR(AE706/$BF706,0)</f>
        <v>0.80874316939890711</v>
      </c>
      <c r="AG706" s="21">
        <v>4</v>
      </c>
      <c r="AH706" s="41">
        <f t="shared" si="311"/>
        <v>1.8018018018018018E-2</v>
      </c>
      <c r="AI706" s="21">
        <v>4</v>
      </c>
      <c r="AJ706" s="41">
        <f t="shared" ref="AJ706:AJ769" si="330">IFERROR(AI706/$BF706,0)</f>
        <v>2.185792349726776E-2</v>
      </c>
      <c r="AK706" s="21">
        <v>11</v>
      </c>
      <c r="AL706" s="41">
        <f t="shared" si="312"/>
        <v>4.954954954954955E-2</v>
      </c>
      <c r="AM706" s="21">
        <v>13</v>
      </c>
      <c r="AN706" s="41">
        <f t="shared" ref="AN706:AN769" si="331">IFERROR(AM706/$BF706,0)</f>
        <v>7.1038251366120214E-2</v>
      </c>
      <c r="AO706" s="21">
        <v>143</v>
      </c>
      <c r="AP706" s="41">
        <f t="shared" si="313"/>
        <v>0.64414414414414412</v>
      </c>
      <c r="AQ706" s="21">
        <v>110</v>
      </c>
      <c r="AR706" s="41">
        <f t="shared" ref="AR706:AR769" si="332">IFERROR(AQ706/$BF706,0)</f>
        <v>0.60109289617486339</v>
      </c>
      <c r="AS706" s="21">
        <v>40</v>
      </c>
      <c r="AT706" s="41">
        <f t="shared" si="314"/>
        <v>0.18018018018018017</v>
      </c>
      <c r="AU706" s="21">
        <v>34</v>
      </c>
      <c r="AV706" s="41">
        <f t="shared" ref="AV706:AV769" si="333">IFERROR(AU706/$BF706,0)</f>
        <v>0.18579234972677597</v>
      </c>
      <c r="AW706" s="21">
        <v>12</v>
      </c>
      <c r="AX706" s="41">
        <f t="shared" si="315"/>
        <v>5.4054054054054057E-2</v>
      </c>
      <c r="AY706" s="21">
        <v>11</v>
      </c>
      <c r="AZ706" s="41">
        <f t="shared" ref="AZ706:AZ769" si="334">IFERROR(AY706/$BF706,0)</f>
        <v>6.0109289617486336E-2</v>
      </c>
      <c r="BA706" s="21">
        <v>12</v>
      </c>
      <c r="BB706" s="41">
        <f t="shared" si="316"/>
        <v>5.4054054054054057E-2</v>
      </c>
      <c r="BC706" s="21">
        <v>11</v>
      </c>
      <c r="BD706" s="41">
        <f t="shared" ref="BD706:BD769" si="335">IFERROR(BC706/$BF706,0)</f>
        <v>6.0109289617486336E-2</v>
      </c>
      <c r="BE706" s="21">
        <v>222</v>
      </c>
      <c r="BF706" s="21">
        <v>183</v>
      </c>
    </row>
    <row r="707" spans="1:58" ht="15.75" customHeight="1" x14ac:dyDescent="0.25">
      <c r="A707" s="44">
        <v>2019</v>
      </c>
      <c r="B707" s="39">
        <v>170200</v>
      </c>
      <c r="C707" s="38" t="s">
        <v>146</v>
      </c>
      <c r="D707" s="38" t="s">
        <v>15</v>
      </c>
      <c r="E707" s="21">
        <v>1</v>
      </c>
      <c r="F707" s="42">
        <f t="shared" si="317"/>
        <v>3.2786885245901639E-3</v>
      </c>
      <c r="G707" s="21">
        <v>0</v>
      </c>
      <c r="H707" s="42">
        <f t="shared" si="318"/>
        <v>0</v>
      </c>
      <c r="I707" s="21">
        <v>8</v>
      </c>
      <c r="J707" s="41">
        <f t="shared" si="319"/>
        <v>2.6229508196721311E-2</v>
      </c>
      <c r="K707" s="21">
        <v>4</v>
      </c>
      <c r="L707" s="41">
        <f t="shared" si="320"/>
        <v>2.3529411764705882E-2</v>
      </c>
      <c r="M707" s="21">
        <v>279</v>
      </c>
      <c r="N707" s="41">
        <f t="shared" si="321"/>
        <v>0.91475409836065569</v>
      </c>
      <c r="O707" s="21">
        <v>158</v>
      </c>
      <c r="P707" s="41">
        <f t="shared" si="322"/>
        <v>0.92941176470588238</v>
      </c>
      <c r="Q707" s="21">
        <v>17</v>
      </c>
      <c r="R707" s="41">
        <f t="shared" si="323"/>
        <v>5.5737704918032788E-2</v>
      </c>
      <c r="S707" s="21">
        <v>8</v>
      </c>
      <c r="T707" s="41">
        <f t="shared" si="324"/>
        <v>4.7058823529411764E-2</v>
      </c>
      <c r="U707" s="21">
        <v>11</v>
      </c>
      <c r="V707" s="41">
        <f t="shared" si="325"/>
        <v>3.6065573770491806E-2</v>
      </c>
      <c r="W707" s="21">
        <v>11</v>
      </c>
      <c r="X707" s="41">
        <f t="shared" si="326"/>
        <v>6.4705882352941183E-2</v>
      </c>
      <c r="Y707" s="21">
        <v>28</v>
      </c>
      <c r="Z707" s="41">
        <f t="shared" si="327"/>
        <v>9.1803278688524587E-2</v>
      </c>
      <c r="AA707" s="21">
        <v>20</v>
      </c>
      <c r="AB707" s="41">
        <f t="shared" si="328"/>
        <v>0.11764705882352941</v>
      </c>
      <c r="AC707" s="21">
        <v>266</v>
      </c>
      <c r="AD707" s="41">
        <f t="shared" si="310"/>
        <v>0.87213114754098364</v>
      </c>
      <c r="AE707" s="21">
        <v>139</v>
      </c>
      <c r="AF707" s="41">
        <f t="shared" si="329"/>
        <v>0.81764705882352939</v>
      </c>
      <c r="AG707" s="21">
        <v>6</v>
      </c>
      <c r="AH707" s="41">
        <f t="shared" si="311"/>
        <v>1.9672131147540985E-2</v>
      </c>
      <c r="AI707" s="21">
        <v>2</v>
      </c>
      <c r="AJ707" s="41">
        <f t="shared" si="330"/>
        <v>1.1764705882352941E-2</v>
      </c>
      <c r="AK707" s="21">
        <v>7</v>
      </c>
      <c r="AL707" s="41">
        <f t="shared" si="312"/>
        <v>2.2950819672131147E-2</v>
      </c>
      <c r="AM707" s="21">
        <v>5</v>
      </c>
      <c r="AN707" s="41">
        <f t="shared" si="331"/>
        <v>2.9411764705882353E-2</v>
      </c>
      <c r="AO707" s="21">
        <v>192</v>
      </c>
      <c r="AP707" s="41">
        <f t="shared" si="313"/>
        <v>0.62950819672131153</v>
      </c>
      <c r="AQ707" s="21">
        <v>112</v>
      </c>
      <c r="AR707" s="41">
        <f t="shared" si="332"/>
        <v>0.6588235294117647</v>
      </c>
      <c r="AS707" s="21">
        <v>57</v>
      </c>
      <c r="AT707" s="41">
        <f t="shared" si="314"/>
        <v>0.18688524590163935</v>
      </c>
      <c r="AU707" s="21">
        <v>31</v>
      </c>
      <c r="AV707" s="41">
        <f t="shared" si="333"/>
        <v>0.18235294117647058</v>
      </c>
      <c r="AW707" s="21">
        <v>27</v>
      </c>
      <c r="AX707" s="41">
        <f t="shared" si="315"/>
        <v>8.8524590163934422E-2</v>
      </c>
      <c r="AY707" s="21">
        <v>10</v>
      </c>
      <c r="AZ707" s="41">
        <f t="shared" si="334"/>
        <v>5.8823529411764705E-2</v>
      </c>
      <c r="BA707" s="21">
        <v>16</v>
      </c>
      <c r="BB707" s="41">
        <f t="shared" si="316"/>
        <v>5.2459016393442623E-2</v>
      </c>
      <c r="BC707" s="21">
        <v>10</v>
      </c>
      <c r="BD707" s="41">
        <f t="shared" si="335"/>
        <v>5.8823529411764705E-2</v>
      </c>
      <c r="BE707" s="21">
        <v>305</v>
      </c>
      <c r="BF707" s="21">
        <v>170</v>
      </c>
    </row>
    <row r="708" spans="1:58" ht="15.75" customHeight="1" x14ac:dyDescent="0.25">
      <c r="A708" s="44">
        <v>2019</v>
      </c>
      <c r="B708" s="39">
        <v>170210</v>
      </c>
      <c r="C708" s="38" t="s">
        <v>149</v>
      </c>
      <c r="D708" s="38" t="s">
        <v>16</v>
      </c>
      <c r="E708" s="21">
        <v>24</v>
      </c>
      <c r="F708" s="42">
        <f t="shared" si="317"/>
        <v>5.4372451291345722E-3</v>
      </c>
      <c r="G708" s="21">
        <v>13</v>
      </c>
      <c r="H708" s="42">
        <f t="shared" si="318"/>
        <v>3.7111047673422781E-3</v>
      </c>
      <c r="I708" s="21">
        <v>73</v>
      </c>
      <c r="J708" s="41">
        <f t="shared" si="319"/>
        <v>1.6538287267784321E-2</v>
      </c>
      <c r="K708" s="21">
        <v>46</v>
      </c>
      <c r="L708" s="41">
        <f t="shared" si="320"/>
        <v>1.3131601484441906E-2</v>
      </c>
      <c r="M708" s="20">
        <v>4156</v>
      </c>
      <c r="N708" s="41">
        <f t="shared" si="321"/>
        <v>0.94154961486180333</v>
      </c>
      <c r="O708" s="20">
        <v>3326</v>
      </c>
      <c r="P708" s="41">
        <f t="shared" si="322"/>
        <v>0.94947188124464743</v>
      </c>
      <c r="Q708" s="21">
        <v>161</v>
      </c>
      <c r="R708" s="41">
        <f t="shared" si="323"/>
        <v>3.647485274127775E-2</v>
      </c>
      <c r="S708" s="21">
        <v>118</v>
      </c>
      <c r="T708" s="41">
        <f t="shared" si="324"/>
        <v>3.3685412503568372E-2</v>
      </c>
      <c r="U708" s="21">
        <v>103</v>
      </c>
      <c r="V708" s="41">
        <f t="shared" si="325"/>
        <v>2.3334843679202539E-2</v>
      </c>
      <c r="W708" s="21">
        <v>56</v>
      </c>
      <c r="X708" s="41">
        <f t="shared" si="326"/>
        <v>1.5986297459320582E-2</v>
      </c>
      <c r="Y708" s="21">
        <v>142</v>
      </c>
      <c r="Z708" s="41">
        <f t="shared" si="327"/>
        <v>3.2170367014046214E-2</v>
      </c>
      <c r="AA708" s="21">
        <v>99</v>
      </c>
      <c r="AB708" s="41">
        <f t="shared" si="328"/>
        <v>2.8261490151298887E-2</v>
      </c>
      <c r="AC708" s="20">
        <v>4169</v>
      </c>
      <c r="AD708" s="41">
        <f t="shared" si="310"/>
        <v>0.94449478930675124</v>
      </c>
      <c r="AE708" s="20">
        <v>3348</v>
      </c>
      <c r="AF708" s="41">
        <f t="shared" si="329"/>
        <v>0.95575221238938057</v>
      </c>
      <c r="AG708" s="21">
        <v>103</v>
      </c>
      <c r="AH708" s="41">
        <f t="shared" si="311"/>
        <v>2.3334843679202539E-2</v>
      </c>
      <c r="AI708" s="21">
        <v>89</v>
      </c>
      <c r="AJ708" s="41">
        <f t="shared" si="330"/>
        <v>2.5406794176420212E-2</v>
      </c>
      <c r="AK708" s="21">
        <v>119</v>
      </c>
      <c r="AL708" s="41">
        <f t="shared" si="312"/>
        <v>2.6959673765292253E-2</v>
      </c>
      <c r="AM708" s="21">
        <v>86</v>
      </c>
      <c r="AN708" s="41">
        <f t="shared" si="331"/>
        <v>2.4550385383956607E-2</v>
      </c>
      <c r="AO708" s="20">
        <v>3192</v>
      </c>
      <c r="AP708" s="41">
        <f t="shared" si="313"/>
        <v>0.7231536021748981</v>
      </c>
      <c r="AQ708" s="20">
        <v>2574</v>
      </c>
      <c r="AR708" s="41">
        <f t="shared" si="332"/>
        <v>0.73479874393377109</v>
      </c>
      <c r="AS708" s="21">
        <v>715</v>
      </c>
      <c r="AT708" s="41">
        <f t="shared" si="314"/>
        <v>0.16198459447213412</v>
      </c>
      <c r="AU708" s="21">
        <v>581</v>
      </c>
      <c r="AV708" s="41">
        <f t="shared" si="333"/>
        <v>0.16585783614045105</v>
      </c>
      <c r="AW708" s="21">
        <v>170</v>
      </c>
      <c r="AX708" s="41">
        <f t="shared" si="315"/>
        <v>3.8513819664703214E-2</v>
      </c>
      <c r="AY708" s="21">
        <v>103</v>
      </c>
      <c r="AZ708" s="41">
        <f t="shared" si="334"/>
        <v>2.9403368541250356E-2</v>
      </c>
      <c r="BA708" s="21">
        <v>115</v>
      </c>
      <c r="BB708" s="41">
        <f t="shared" si="316"/>
        <v>2.6053466243769825E-2</v>
      </c>
      <c r="BC708" s="21">
        <v>70</v>
      </c>
      <c r="BD708" s="41">
        <f t="shared" si="335"/>
        <v>1.998287182415073E-2</v>
      </c>
      <c r="BE708" s="20">
        <v>4414</v>
      </c>
      <c r="BF708" s="20">
        <v>3503</v>
      </c>
    </row>
    <row r="709" spans="1:58" ht="15.75" customHeight="1" x14ac:dyDescent="0.25">
      <c r="A709" s="44">
        <v>2019</v>
      </c>
      <c r="B709" s="39">
        <v>170215</v>
      </c>
      <c r="C709" s="38" t="s">
        <v>149</v>
      </c>
      <c r="D709" s="38" t="s">
        <v>17</v>
      </c>
      <c r="E709" s="21">
        <v>2</v>
      </c>
      <c r="F709" s="42">
        <f t="shared" si="317"/>
        <v>3.6231884057971015E-3</v>
      </c>
      <c r="G709" s="21">
        <v>0</v>
      </c>
      <c r="H709" s="42">
        <f t="shared" si="318"/>
        <v>0</v>
      </c>
      <c r="I709" s="21">
        <v>13</v>
      </c>
      <c r="J709" s="41">
        <f t="shared" si="319"/>
        <v>2.355072463768116E-2</v>
      </c>
      <c r="K709" s="21">
        <v>7</v>
      </c>
      <c r="L709" s="41">
        <f t="shared" si="320"/>
        <v>2.7888446215139442E-2</v>
      </c>
      <c r="M709" s="21">
        <v>498</v>
      </c>
      <c r="N709" s="41">
        <f t="shared" si="321"/>
        <v>0.90217391304347827</v>
      </c>
      <c r="O709" s="21">
        <v>227</v>
      </c>
      <c r="P709" s="41">
        <f t="shared" si="322"/>
        <v>0.90438247011952189</v>
      </c>
      <c r="Q709" s="21">
        <v>39</v>
      </c>
      <c r="R709" s="41">
        <f t="shared" si="323"/>
        <v>7.0652173913043473E-2</v>
      </c>
      <c r="S709" s="21">
        <v>17</v>
      </c>
      <c r="T709" s="41">
        <f t="shared" si="324"/>
        <v>6.7729083665338641E-2</v>
      </c>
      <c r="U709" s="21">
        <v>30</v>
      </c>
      <c r="V709" s="41">
        <f t="shared" si="325"/>
        <v>5.434782608695652E-2</v>
      </c>
      <c r="W709" s="21">
        <v>14</v>
      </c>
      <c r="X709" s="41">
        <f t="shared" si="326"/>
        <v>5.5776892430278883E-2</v>
      </c>
      <c r="Y709" s="21">
        <v>43</v>
      </c>
      <c r="Z709" s="41">
        <f t="shared" si="327"/>
        <v>7.789855072463768E-2</v>
      </c>
      <c r="AA709" s="21">
        <v>24</v>
      </c>
      <c r="AB709" s="41">
        <f t="shared" si="328"/>
        <v>9.5617529880478086E-2</v>
      </c>
      <c r="AC709" s="21">
        <v>479</v>
      </c>
      <c r="AD709" s="41">
        <f t="shared" si="310"/>
        <v>0.86775362318840576</v>
      </c>
      <c r="AE709" s="21">
        <v>213</v>
      </c>
      <c r="AF709" s="41">
        <f t="shared" si="329"/>
        <v>0.84860557768924305</v>
      </c>
      <c r="AG709" s="21">
        <v>8</v>
      </c>
      <c r="AH709" s="41">
        <f t="shared" si="311"/>
        <v>1.4492753623188406E-2</v>
      </c>
      <c r="AI709" s="21">
        <v>5</v>
      </c>
      <c r="AJ709" s="41">
        <f t="shared" si="330"/>
        <v>1.9920318725099601E-2</v>
      </c>
      <c r="AK709" s="21">
        <v>15</v>
      </c>
      <c r="AL709" s="41">
        <f t="shared" si="312"/>
        <v>2.717391304347826E-2</v>
      </c>
      <c r="AM709" s="21">
        <v>8</v>
      </c>
      <c r="AN709" s="41">
        <f t="shared" si="331"/>
        <v>3.1872509960159362E-2</v>
      </c>
      <c r="AO709" s="21">
        <v>338</v>
      </c>
      <c r="AP709" s="41">
        <f t="shared" si="313"/>
        <v>0.6123188405797102</v>
      </c>
      <c r="AQ709" s="21">
        <v>158</v>
      </c>
      <c r="AR709" s="41">
        <f t="shared" si="332"/>
        <v>0.62948207171314741</v>
      </c>
      <c r="AS709" s="21">
        <v>109</v>
      </c>
      <c r="AT709" s="41">
        <f t="shared" si="314"/>
        <v>0.19746376811594202</v>
      </c>
      <c r="AU709" s="21">
        <v>41</v>
      </c>
      <c r="AV709" s="41">
        <f t="shared" si="333"/>
        <v>0.16334661354581673</v>
      </c>
      <c r="AW709" s="21">
        <v>49</v>
      </c>
      <c r="AX709" s="41">
        <f t="shared" si="315"/>
        <v>8.8768115942028991E-2</v>
      </c>
      <c r="AY709" s="21">
        <v>22</v>
      </c>
      <c r="AZ709" s="41">
        <f t="shared" si="334"/>
        <v>8.7649402390438252E-2</v>
      </c>
      <c r="BA709" s="21">
        <v>33</v>
      </c>
      <c r="BB709" s="41">
        <f t="shared" si="316"/>
        <v>5.9782608695652176E-2</v>
      </c>
      <c r="BC709" s="21">
        <v>17</v>
      </c>
      <c r="BD709" s="41">
        <f t="shared" si="335"/>
        <v>6.7729083665338641E-2</v>
      </c>
      <c r="BE709" s="21">
        <v>552</v>
      </c>
      <c r="BF709" s="21">
        <v>251</v>
      </c>
    </row>
    <row r="710" spans="1:58" ht="15.75" customHeight="1" x14ac:dyDescent="0.25">
      <c r="A710" s="44">
        <v>2019</v>
      </c>
      <c r="B710" s="39">
        <v>170220</v>
      </c>
      <c r="C710" s="38" t="s">
        <v>145</v>
      </c>
      <c r="D710" s="38" t="s">
        <v>18</v>
      </c>
      <c r="E710" s="21">
        <v>19</v>
      </c>
      <c r="F710" s="42">
        <f t="shared" si="317"/>
        <v>1.314878892733564E-2</v>
      </c>
      <c r="G710" s="21">
        <v>9</v>
      </c>
      <c r="H710" s="42">
        <f t="shared" si="318"/>
        <v>7.8397212543554005E-3</v>
      </c>
      <c r="I710" s="21">
        <v>62</v>
      </c>
      <c r="J710" s="41">
        <f t="shared" si="319"/>
        <v>4.2906574394463666E-2</v>
      </c>
      <c r="K710" s="21">
        <v>46</v>
      </c>
      <c r="L710" s="41">
        <f t="shared" si="320"/>
        <v>4.0069686411149823E-2</v>
      </c>
      <c r="M710" s="20">
        <v>1303</v>
      </c>
      <c r="N710" s="41">
        <f t="shared" si="321"/>
        <v>0.90173010380622842</v>
      </c>
      <c r="O710" s="20">
        <v>1042</v>
      </c>
      <c r="P710" s="41">
        <f t="shared" si="322"/>
        <v>0.90766550522648082</v>
      </c>
      <c r="Q710" s="21">
        <v>61</v>
      </c>
      <c r="R710" s="41">
        <f t="shared" si="323"/>
        <v>4.221453287197232E-2</v>
      </c>
      <c r="S710" s="21">
        <v>51</v>
      </c>
      <c r="T710" s="41">
        <f t="shared" si="324"/>
        <v>4.442508710801394E-2</v>
      </c>
      <c r="U710" s="21">
        <v>105</v>
      </c>
      <c r="V710" s="41">
        <f t="shared" si="325"/>
        <v>7.2664359861591699E-2</v>
      </c>
      <c r="W710" s="21">
        <v>78</v>
      </c>
      <c r="X710" s="41">
        <f t="shared" si="326"/>
        <v>6.7944250871080136E-2</v>
      </c>
      <c r="Y710" s="21">
        <v>127</v>
      </c>
      <c r="Z710" s="41">
        <f t="shared" si="327"/>
        <v>8.7889273356401384E-2</v>
      </c>
      <c r="AA710" s="21">
        <v>109</v>
      </c>
      <c r="AB710" s="41">
        <f t="shared" si="328"/>
        <v>9.4947735191637628E-2</v>
      </c>
      <c r="AC710" s="20">
        <v>1213</v>
      </c>
      <c r="AD710" s="41">
        <f t="shared" si="310"/>
        <v>0.8394463667820069</v>
      </c>
      <c r="AE710" s="21">
        <v>961</v>
      </c>
      <c r="AF710" s="41">
        <f t="shared" si="329"/>
        <v>0.83710801393728218</v>
      </c>
      <c r="AG710" s="21">
        <v>51</v>
      </c>
      <c r="AH710" s="41">
        <f t="shared" si="311"/>
        <v>3.5294117647058823E-2</v>
      </c>
      <c r="AI710" s="21">
        <v>41</v>
      </c>
      <c r="AJ710" s="41">
        <f t="shared" si="330"/>
        <v>3.5714285714285712E-2</v>
      </c>
      <c r="AK710" s="21">
        <v>61</v>
      </c>
      <c r="AL710" s="41">
        <f t="shared" si="312"/>
        <v>4.221453287197232E-2</v>
      </c>
      <c r="AM710" s="21">
        <v>52</v>
      </c>
      <c r="AN710" s="41">
        <f t="shared" si="331"/>
        <v>4.5296167247386762E-2</v>
      </c>
      <c r="AO710" s="21">
        <v>932</v>
      </c>
      <c r="AP710" s="41">
        <f t="shared" si="313"/>
        <v>0.64498269896193772</v>
      </c>
      <c r="AQ710" s="21">
        <v>748</v>
      </c>
      <c r="AR710" s="41">
        <f t="shared" si="332"/>
        <v>0.65156794425087106</v>
      </c>
      <c r="AS710" s="21">
        <v>226</v>
      </c>
      <c r="AT710" s="41">
        <f t="shared" si="314"/>
        <v>0.15640138408304499</v>
      </c>
      <c r="AU710" s="21">
        <v>174</v>
      </c>
      <c r="AV710" s="41">
        <f t="shared" si="333"/>
        <v>0.15156794425087108</v>
      </c>
      <c r="AW710" s="21">
        <v>101</v>
      </c>
      <c r="AX710" s="41">
        <f t="shared" si="315"/>
        <v>6.98961937716263E-2</v>
      </c>
      <c r="AY710" s="21">
        <v>77</v>
      </c>
      <c r="AZ710" s="41">
        <f t="shared" si="334"/>
        <v>6.7073170731707321E-2</v>
      </c>
      <c r="BA710" s="21">
        <v>74</v>
      </c>
      <c r="BB710" s="41">
        <f t="shared" si="316"/>
        <v>5.1211072664359862E-2</v>
      </c>
      <c r="BC710" s="21">
        <v>56</v>
      </c>
      <c r="BD710" s="41">
        <f t="shared" si="335"/>
        <v>4.878048780487805E-2</v>
      </c>
      <c r="BE710" s="20">
        <v>1445</v>
      </c>
      <c r="BF710" s="20">
        <v>1148</v>
      </c>
    </row>
    <row r="711" spans="1:58" ht="15.75" customHeight="1" x14ac:dyDescent="0.25">
      <c r="A711" s="44">
        <v>2019</v>
      </c>
      <c r="B711" s="39">
        <v>170230</v>
      </c>
      <c r="C711" s="38" t="s">
        <v>150</v>
      </c>
      <c r="D711" s="38" t="s">
        <v>19</v>
      </c>
      <c r="E711" s="21">
        <v>1</v>
      </c>
      <c r="F711" s="42">
        <f t="shared" si="317"/>
        <v>6.2893081761006293E-3</v>
      </c>
      <c r="G711" s="21">
        <v>1</v>
      </c>
      <c r="H711" s="42">
        <f t="shared" si="318"/>
        <v>7.6923076923076927E-3</v>
      </c>
      <c r="I711" s="21">
        <v>2</v>
      </c>
      <c r="J711" s="41">
        <f t="shared" si="319"/>
        <v>1.2578616352201259E-2</v>
      </c>
      <c r="K711" s="21">
        <v>1</v>
      </c>
      <c r="L711" s="41">
        <f t="shared" si="320"/>
        <v>7.6923076923076927E-3</v>
      </c>
      <c r="M711" s="21">
        <v>150</v>
      </c>
      <c r="N711" s="41">
        <f t="shared" si="321"/>
        <v>0.94339622641509435</v>
      </c>
      <c r="O711" s="21">
        <v>124</v>
      </c>
      <c r="P711" s="41">
        <f t="shared" si="322"/>
        <v>0.9538461538461539</v>
      </c>
      <c r="Q711" s="21">
        <v>6</v>
      </c>
      <c r="R711" s="41">
        <f t="shared" si="323"/>
        <v>3.7735849056603772E-2</v>
      </c>
      <c r="S711" s="21">
        <v>4</v>
      </c>
      <c r="T711" s="41">
        <f t="shared" si="324"/>
        <v>3.0769230769230771E-2</v>
      </c>
      <c r="U711" s="21">
        <v>4</v>
      </c>
      <c r="V711" s="41">
        <f t="shared" si="325"/>
        <v>2.5157232704402517E-2</v>
      </c>
      <c r="W711" s="21">
        <v>4</v>
      </c>
      <c r="X711" s="41">
        <f t="shared" si="326"/>
        <v>3.0769230769230771E-2</v>
      </c>
      <c r="Y711" s="21">
        <v>12</v>
      </c>
      <c r="Z711" s="41">
        <f t="shared" si="327"/>
        <v>7.5471698113207544E-2</v>
      </c>
      <c r="AA711" s="21">
        <v>9</v>
      </c>
      <c r="AB711" s="41">
        <f t="shared" si="328"/>
        <v>6.9230769230769235E-2</v>
      </c>
      <c r="AC711" s="21">
        <v>143</v>
      </c>
      <c r="AD711" s="41">
        <f t="shared" si="310"/>
        <v>0.89937106918238996</v>
      </c>
      <c r="AE711" s="21">
        <v>117</v>
      </c>
      <c r="AF711" s="41">
        <f t="shared" si="329"/>
        <v>0.9</v>
      </c>
      <c r="AG711" s="21">
        <v>3</v>
      </c>
      <c r="AH711" s="41">
        <f t="shared" si="311"/>
        <v>1.8867924528301886E-2</v>
      </c>
      <c r="AI711" s="21">
        <v>2</v>
      </c>
      <c r="AJ711" s="41">
        <f t="shared" si="330"/>
        <v>1.5384615384615385E-2</v>
      </c>
      <c r="AK711" s="21">
        <v>8</v>
      </c>
      <c r="AL711" s="41">
        <f t="shared" si="312"/>
        <v>5.0314465408805034E-2</v>
      </c>
      <c r="AM711" s="21">
        <v>8</v>
      </c>
      <c r="AN711" s="41">
        <f t="shared" si="331"/>
        <v>6.1538461538461542E-2</v>
      </c>
      <c r="AO711" s="21">
        <v>101</v>
      </c>
      <c r="AP711" s="41">
        <f t="shared" si="313"/>
        <v>0.63522012578616349</v>
      </c>
      <c r="AQ711" s="21">
        <v>80</v>
      </c>
      <c r="AR711" s="41">
        <f t="shared" si="332"/>
        <v>0.61538461538461542</v>
      </c>
      <c r="AS711" s="21">
        <v>29</v>
      </c>
      <c r="AT711" s="41">
        <f t="shared" si="314"/>
        <v>0.18238993710691823</v>
      </c>
      <c r="AU711" s="21">
        <v>24</v>
      </c>
      <c r="AV711" s="41">
        <f t="shared" si="333"/>
        <v>0.18461538461538463</v>
      </c>
      <c r="AW711" s="21">
        <v>13</v>
      </c>
      <c r="AX711" s="41">
        <f t="shared" si="315"/>
        <v>8.1761006289308172E-2</v>
      </c>
      <c r="AY711" s="21">
        <v>12</v>
      </c>
      <c r="AZ711" s="41">
        <f t="shared" si="334"/>
        <v>9.2307692307692313E-2</v>
      </c>
      <c r="BA711" s="21">
        <v>5</v>
      </c>
      <c r="BB711" s="41">
        <f t="shared" si="316"/>
        <v>3.1446540880503145E-2</v>
      </c>
      <c r="BC711" s="21">
        <v>4</v>
      </c>
      <c r="BD711" s="41">
        <f t="shared" si="335"/>
        <v>3.0769230769230771E-2</v>
      </c>
      <c r="BE711" s="21">
        <v>159</v>
      </c>
      <c r="BF711" s="21">
        <v>130</v>
      </c>
    </row>
    <row r="712" spans="1:58" ht="15.75" customHeight="1" x14ac:dyDescent="0.25">
      <c r="A712" s="44">
        <v>2019</v>
      </c>
      <c r="B712" s="39">
        <v>170240</v>
      </c>
      <c r="C712" s="38" t="s">
        <v>147</v>
      </c>
      <c r="D712" s="38" t="s">
        <v>20</v>
      </c>
      <c r="E712" s="21">
        <v>4</v>
      </c>
      <c r="F712" s="42">
        <f t="shared" si="317"/>
        <v>8.4566596194503175E-3</v>
      </c>
      <c r="G712" s="21">
        <v>4</v>
      </c>
      <c r="H712" s="42">
        <f t="shared" si="318"/>
        <v>8.8300220750551876E-3</v>
      </c>
      <c r="I712" s="21">
        <v>14</v>
      </c>
      <c r="J712" s="41">
        <f t="shared" si="319"/>
        <v>2.9598308668076109E-2</v>
      </c>
      <c r="K712" s="21">
        <v>14</v>
      </c>
      <c r="L712" s="41">
        <f t="shared" si="320"/>
        <v>3.0905077262693158E-2</v>
      </c>
      <c r="M712" s="21">
        <v>441</v>
      </c>
      <c r="N712" s="41">
        <f t="shared" si="321"/>
        <v>0.93234672304439747</v>
      </c>
      <c r="O712" s="21">
        <v>422</v>
      </c>
      <c r="P712" s="41">
        <f t="shared" si="322"/>
        <v>0.93156732891832228</v>
      </c>
      <c r="Q712" s="21">
        <v>14</v>
      </c>
      <c r="R712" s="41">
        <f t="shared" si="323"/>
        <v>2.9598308668076109E-2</v>
      </c>
      <c r="S712" s="21">
        <v>13</v>
      </c>
      <c r="T712" s="41">
        <f t="shared" si="324"/>
        <v>2.8697571743929361E-2</v>
      </c>
      <c r="U712" s="21">
        <v>25</v>
      </c>
      <c r="V712" s="41">
        <f t="shared" si="325"/>
        <v>5.2854122621564484E-2</v>
      </c>
      <c r="W712" s="21">
        <v>25</v>
      </c>
      <c r="X712" s="41">
        <f t="shared" si="326"/>
        <v>5.518763796909492E-2</v>
      </c>
      <c r="Y712" s="21">
        <v>54</v>
      </c>
      <c r="Z712" s="41">
        <f t="shared" si="327"/>
        <v>0.11416490486257928</v>
      </c>
      <c r="AA712" s="21">
        <v>52</v>
      </c>
      <c r="AB712" s="41">
        <f t="shared" si="328"/>
        <v>0.11479028697571744</v>
      </c>
      <c r="AC712" s="21">
        <v>394</v>
      </c>
      <c r="AD712" s="41">
        <f t="shared" si="310"/>
        <v>0.83298097251585623</v>
      </c>
      <c r="AE712" s="21">
        <v>376</v>
      </c>
      <c r="AF712" s="41">
        <f t="shared" si="329"/>
        <v>0.83002207505518766</v>
      </c>
      <c r="AG712" s="21">
        <v>12</v>
      </c>
      <c r="AH712" s="41">
        <f t="shared" si="311"/>
        <v>2.5369978858350951E-2</v>
      </c>
      <c r="AI712" s="21">
        <v>12</v>
      </c>
      <c r="AJ712" s="41">
        <f t="shared" si="330"/>
        <v>2.6490066225165563E-2</v>
      </c>
      <c r="AK712" s="21">
        <v>27</v>
      </c>
      <c r="AL712" s="41">
        <f t="shared" si="312"/>
        <v>5.7082452431289642E-2</v>
      </c>
      <c r="AM712" s="21">
        <v>27</v>
      </c>
      <c r="AN712" s="41">
        <f t="shared" si="331"/>
        <v>5.9602649006622516E-2</v>
      </c>
      <c r="AO712" s="21">
        <v>304</v>
      </c>
      <c r="AP712" s="41">
        <f t="shared" si="313"/>
        <v>0.64270613107822405</v>
      </c>
      <c r="AQ712" s="21">
        <v>289</v>
      </c>
      <c r="AR712" s="41">
        <f t="shared" si="332"/>
        <v>0.63796909492273735</v>
      </c>
      <c r="AS712" s="21">
        <v>83</v>
      </c>
      <c r="AT712" s="41">
        <f t="shared" si="314"/>
        <v>0.17547568710359407</v>
      </c>
      <c r="AU712" s="21">
        <v>80</v>
      </c>
      <c r="AV712" s="41">
        <f t="shared" si="333"/>
        <v>0.17660044150110377</v>
      </c>
      <c r="AW712" s="21">
        <v>23</v>
      </c>
      <c r="AX712" s="41">
        <f t="shared" si="315"/>
        <v>4.8625792811839326E-2</v>
      </c>
      <c r="AY712" s="21">
        <v>21</v>
      </c>
      <c r="AZ712" s="41">
        <f t="shared" si="334"/>
        <v>4.6357615894039736E-2</v>
      </c>
      <c r="BA712" s="21">
        <v>24</v>
      </c>
      <c r="BB712" s="41">
        <f t="shared" si="316"/>
        <v>5.0739957716701901E-2</v>
      </c>
      <c r="BC712" s="21">
        <v>24</v>
      </c>
      <c r="BD712" s="41">
        <f t="shared" si="335"/>
        <v>5.2980132450331126E-2</v>
      </c>
      <c r="BE712" s="21">
        <v>473</v>
      </c>
      <c r="BF712" s="21">
        <v>453</v>
      </c>
    </row>
    <row r="713" spans="1:58" ht="15.75" customHeight="1" x14ac:dyDescent="0.25">
      <c r="A713" s="44">
        <v>2019</v>
      </c>
      <c r="B713" s="39">
        <v>170255</v>
      </c>
      <c r="C713" s="38" t="s">
        <v>145</v>
      </c>
      <c r="D713" s="38" t="s">
        <v>21</v>
      </c>
      <c r="E713" s="21">
        <v>10</v>
      </c>
      <c r="F713" s="42">
        <f t="shared" si="317"/>
        <v>9.3283582089552231E-3</v>
      </c>
      <c r="G713" s="21">
        <v>6</v>
      </c>
      <c r="H713" s="42">
        <f t="shared" si="318"/>
        <v>1.0050251256281407E-2</v>
      </c>
      <c r="I713" s="21">
        <v>22</v>
      </c>
      <c r="J713" s="41">
        <f t="shared" si="319"/>
        <v>2.0522388059701493E-2</v>
      </c>
      <c r="K713" s="21">
        <v>18</v>
      </c>
      <c r="L713" s="41">
        <f t="shared" si="320"/>
        <v>3.015075376884422E-2</v>
      </c>
      <c r="M713" s="21">
        <v>981</v>
      </c>
      <c r="N713" s="41">
        <f t="shared" si="321"/>
        <v>0.91511194029850751</v>
      </c>
      <c r="O713" s="21">
        <v>547</v>
      </c>
      <c r="P713" s="41">
        <f t="shared" si="322"/>
        <v>0.91624790619765495</v>
      </c>
      <c r="Q713" s="21">
        <v>59</v>
      </c>
      <c r="R713" s="41">
        <f t="shared" si="323"/>
        <v>5.503731343283582E-2</v>
      </c>
      <c r="S713" s="21">
        <v>26</v>
      </c>
      <c r="T713" s="41">
        <f t="shared" si="324"/>
        <v>4.3551088777219429E-2</v>
      </c>
      <c r="U713" s="21">
        <v>51</v>
      </c>
      <c r="V713" s="41">
        <f t="shared" si="325"/>
        <v>4.757462686567164E-2</v>
      </c>
      <c r="W713" s="21">
        <v>38</v>
      </c>
      <c r="X713" s="41">
        <f t="shared" si="326"/>
        <v>6.3651591289782247E-2</v>
      </c>
      <c r="Y713" s="21">
        <v>86</v>
      </c>
      <c r="Z713" s="41">
        <f t="shared" si="327"/>
        <v>8.0223880597014921E-2</v>
      </c>
      <c r="AA713" s="21">
        <v>50</v>
      </c>
      <c r="AB713" s="41">
        <f t="shared" si="328"/>
        <v>8.3752093802345065E-2</v>
      </c>
      <c r="AC713" s="21">
        <v>935</v>
      </c>
      <c r="AD713" s="41">
        <f t="shared" si="310"/>
        <v>0.87220149253731338</v>
      </c>
      <c r="AE713" s="21">
        <v>509</v>
      </c>
      <c r="AF713" s="41">
        <f t="shared" si="329"/>
        <v>0.85259631490787269</v>
      </c>
      <c r="AG713" s="21">
        <v>25</v>
      </c>
      <c r="AH713" s="41">
        <f t="shared" si="311"/>
        <v>2.3320895522388061E-2</v>
      </c>
      <c r="AI713" s="21">
        <v>19</v>
      </c>
      <c r="AJ713" s="41">
        <f t="shared" si="330"/>
        <v>3.1825795644891124E-2</v>
      </c>
      <c r="AK713" s="21">
        <v>44</v>
      </c>
      <c r="AL713" s="41">
        <f t="shared" si="312"/>
        <v>4.1044776119402986E-2</v>
      </c>
      <c r="AM713" s="21">
        <v>36</v>
      </c>
      <c r="AN713" s="41">
        <f t="shared" si="331"/>
        <v>6.030150753768844E-2</v>
      </c>
      <c r="AO713" s="21">
        <v>731</v>
      </c>
      <c r="AP713" s="41">
        <f t="shared" si="313"/>
        <v>0.68190298507462688</v>
      </c>
      <c r="AQ713" s="21">
        <v>412</v>
      </c>
      <c r="AR713" s="41">
        <f t="shared" si="332"/>
        <v>0.69011725293132331</v>
      </c>
      <c r="AS713" s="21">
        <v>135</v>
      </c>
      <c r="AT713" s="41">
        <f t="shared" si="314"/>
        <v>0.12593283582089551</v>
      </c>
      <c r="AU713" s="21">
        <v>75</v>
      </c>
      <c r="AV713" s="41">
        <f t="shared" si="333"/>
        <v>0.12562814070351758</v>
      </c>
      <c r="AW713" s="21">
        <v>86</v>
      </c>
      <c r="AX713" s="41">
        <f t="shared" si="315"/>
        <v>8.0223880597014921E-2</v>
      </c>
      <c r="AY713" s="21">
        <v>28</v>
      </c>
      <c r="AZ713" s="41">
        <f t="shared" si="334"/>
        <v>4.690117252931323E-2</v>
      </c>
      <c r="BA713" s="21">
        <v>51</v>
      </c>
      <c r="BB713" s="41">
        <f t="shared" si="316"/>
        <v>4.757462686567164E-2</v>
      </c>
      <c r="BC713" s="21">
        <v>27</v>
      </c>
      <c r="BD713" s="41">
        <f t="shared" si="335"/>
        <v>4.5226130653266333E-2</v>
      </c>
      <c r="BE713" s="20">
        <v>1072</v>
      </c>
      <c r="BF713" s="21">
        <v>597</v>
      </c>
    </row>
    <row r="714" spans="1:58" ht="15.75" customHeight="1" x14ac:dyDescent="0.25">
      <c r="A714" s="44">
        <v>2019</v>
      </c>
      <c r="B714" s="39">
        <v>170270</v>
      </c>
      <c r="C714" s="38" t="s">
        <v>147</v>
      </c>
      <c r="D714" s="38" t="s">
        <v>22</v>
      </c>
      <c r="E714" s="21">
        <v>0</v>
      </c>
      <c r="F714" s="42">
        <f t="shared" si="317"/>
        <v>0</v>
      </c>
      <c r="G714" s="21">
        <v>0</v>
      </c>
      <c r="H714" s="42">
        <f t="shared" si="318"/>
        <v>0</v>
      </c>
      <c r="I714" s="21">
        <v>0</v>
      </c>
      <c r="J714" s="41">
        <f t="shared" si="319"/>
        <v>0</v>
      </c>
      <c r="K714" s="21">
        <v>0</v>
      </c>
      <c r="L714" s="41">
        <f t="shared" si="320"/>
        <v>0</v>
      </c>
      <c r="M714" s="21">
        <v>116</v>
      </c>
      <c r="N714" s="41">
        <f t="shared" si="321"/>
        <v>0.96666666666666667</v>
      </c>
      <c r="O714" s="21">
        <v>94</v>
      </c>
      <c r="P714" s="41">
        <f t="shared" si="322"/>
        <v>0.96907216494845361</v>
      </c>
      <c r="Q714" s="21">
        <v>4</v>
      </c>
      <c r="R714" s="41">
        <f t="shared" si="323"/>
        <v>3.3333333333333333E-2</v>
      </c>
      <c r="S714" s="21">
        <v>3</v>
      </c>
      <c r="T714" s="41">
        <f t="shared" si="324"/>
        <v>3.0927835051546393E-2</v>
      </c>
      <c r="U714" s="21">
        <v>4</v>
      </c>
      <c r="V714" s="41">
        <f t="shared" si="325"/>
        <v>3.3333333333333333E-2</v>
      </c>
      <c r="W714" s="21">
        <v>4</v>
      </c>
      <c r="X714" s="41">
        <f t="shared" si="326"/>
        <v>4.1237113402061855E-2</v>
      </c>
      <c r="Y714" s="21">
        <v>12</v>
      </c>
      <c r="Z714" s="41">
        <f t="shared" si="327"/>
        <v>0.1</v>
      </c>
      <c r="AA714" s="21">
        <v>11</v>
      </c>
      <c r="AB714" s="41">
        <f t="shared" si="328"/>
        <v>0.1134020618556701</v>
      </c>
      <c r="AC714" s="21">
        <v>104</v>
      </c>
      <c r="AD714" s="41">
        <f t="shared" si="310"/>
        <v>0.8666666666666667</v>
      </c>
      <c r="AE714" s="21">
        <v>82</v>
      </c>
      <c r="AF714" s="41">
        <f t="shared" si="329"/>
        <v>0.84536082474226804</v>
      </c>
      <c r="AG714" s="21">
        <v>0</v>
      </c>
      <c r="AH714" s="41">
        <f t="shared" si="311"/>
        <v>0</v>
      </c>
      <c r="AI714" s="21">
        <v>0</v>
      </c>
      <c r="AJ714" s="41">
        <f t="shared" si="330"/>
        <v>0</v>
      </c>
      <c r="AK714" s="21">
        <v>6</v>
      </c>
      <c r="AL714" s="41">
        <f t="shared" si="312"/>
        <v>0.05</v>
      </c>
      <c r="AM714" s="21">
        <v>5</v>
      </c>
      <c r="AN714" s="41">
        <f t="shared" si="331"/>
        <v>5.1546391752577317E-2</v>
      </c>
      <c r="AO714" s="21">
        <v>88</v>
      </c>
      <c r="AP714" s="41">
        <f t="shared" si="313"/>
        <v>0.73333333333333328</v>
      </c>
      <c r="AQ714" s="21">
        <v>71</v>
      </c>
      <c r="AR714" s="41">
        <f t="shared" si="332"/>
        <v>0.73195876288659789</v>
      </c>
      <c r="AS714" s="21">
        <v>16</v>
      </c>
      <c r="AT714" s="41">
        <f t="shared" si="314"/>
        <v>0.13333333333333333</v>
      </c>
      <c r="AU714" s="21">
        <v>12</v>
      </c>
      <c r="AV714" s="41">
        <f t="shared" si="333"/>
        <v>0.12371134020618557</v>
      </c>
      <c r="AW714" s="21">
        <v>6</v>
      </c>
      <c r="AX714" s="41">
        <f t="shared" si="315"/>
        <v>0.05</v>
      </c>
      <c r="AY714" s="21">
        <v>5</v>
      </c>
      <c r="AZ714" s="41">
        <f t="shared" si="334"/>
        <v>5.1546391752577317E-2</v>
      </c>
      <c r="BA714" s="21">
        <v>4</v>
      </c>
      <c r="BB714" s="41">
        <f t="shared" si="316"/>
        <v>3.3333333333333333E-2</v>
      </c>
      <c r="BC714" s="21">
        <v>4</v>
      </c>
      <c r="BD714" s="41">
        <f t="shared" si="335"/>
        <v>4.1237113402061855E-2</v>
      </c>
      <c r="BE714" s="21">
        <v>120</v>
      </c>
      <c r="BF714" s="21">
        <v>97</v>
      </c>
    </row>
    <row r="715" spans="1:58" ht="15.75" customHeight="1" x14ac:dyDescent="0.25">
      <c r="A715" s="44">
        <v>2019</v>
      </c>
      <c r="B715" s="39">
        <v>170290</v>
      </c>
      <c r="C715" s="38" t="s">
        <v>145</v>
      </c>
      <c r="D715" s="38" t="s">
        <v>23</v>
      </c>
      <c r="E715" s="21">
        <v>2</v>
      </c>
      <c r="F715" s="42">
        <f t="shared" si="317"/>
        <v>4.1928721174004195E-3</v>
      </c>
      <c r="G715" s="21">
        <v>2</v>
      </c>
      <c r="H715" s="42">
        <f t="shared" si="318"/>
        <v>4.8543689320388345E-3</v>
      </c>
      <c r="I715" s="21">
        <v>17</v>
      </c>
      <c r="J715" s="41">
        <f t="shared" si="319"/>
        <v>3.5639412997903561E-2</v>
      </c>
      <c r="K715" s="21">
        <v>14</v>
      </c>
      <c r="L715" s="41">
        <f t="shared" si="320"/>
        <v>3.3980582524271843E-2</v>
      </c>
      <c r="M715" s="21">
        <v>439</v>
      </c>
      <c r="N715" s="41">
        <f t="shared" si="321"/>
        <v>0.92033542976939209</v>
      </c>
      <c r="O715" s="21">
        <v>377</v>
      </c>
      <c r="P715" s="41">
        <f t="shared" si="322"/>
        <v>0.91504854368932043</v>
      </c>
      <c r="Q715" s="21">
        <v>19</v>
      </c>
      <c r="R715" s="41">
        <f t="shared" si="323"/>
        <v>3.9832285115303984E-2</v>
      </c>
      <c r="S715" s="21">
        <v>19</v>
      </c>
      <c r="T715" s="41">
        <f t="shared" si="324"/>
        <v>4.6116504854368932E-2</v>
      </c>
      <c r="U715" s="21">
        <v>25</v>
      </c>
      <c r="V715" s="41">
        <f t="shared" si="325"/>
        <v>5.2410901467505239E-2</v>
      </c>
      <c r="W715" s="21">
        <v>24</v>
      </c>
      <c r="X715" s="41">
        <f t="shared" si="326"/>
        <v>5.8252427184466021E-2</v>
      </c>
      <c r="Y715" s="21">
        <v>46</v>
      </c>
      <c r="Z715" s="41">
        <f t="shared" si="327"/>
        <v>9.6436058700209645E-2</v>
      </c>
      <c r="AA715" s="21">
        <v>40</v>
      </c>
      <c r="AB715" s="41">
        <f t="shared" si="328"/>
        <v>9.7087378640776698E-2</v>
      </c>
      <c r="AC715" s="21">
        <v>406</v>
      </c>
      <c r="AD715" s="41">
        <f t="shared" si="310"/>
        <v>0.85115303983228507</v>
      </c>
      <c r="AE715" s="21">
        <v>348</v>
      </c>
      <c r="AF715" s="41">
        <f t="shared" si="329"/>
        <v>0.84466019417475724</v>
      </c>
      <c r="AG715" s="21">
        <v>22</v>
      </c>
      <c r="AH715" s="41">
        <f t="shared" si="311"/>
        <v>4.6121593291404611E-2</v>
      </c>
      <c r="AI715" s="21">
        <v>21</v>
      </c>
      <c r="AJ715" s="41">
        <f t="shared" si="330"/>
        <v>5.0970873786407765E-2</v>
      </c>
      <c r="AK715" s="21">
        <v>32</v>
      </c>
      <c r="AL715" s="41">
        <f t="shared" si="312"/>
        <v>6.7085953878406712E-2</v>
      </c>
      <c r="AM715" s="21">
        <v>26</v>
      </c>
      <c r="AN715" s="41">
        <f t="shared" si="331"/>
        <v>6.3106796116504854E-2</v>
      </c>
      <c r="AO715" s="21">
        <v>328</v>
      </c>
      <c r="AP715" s="41">
        <f t="shared" si="313"/>
        <v>0.68763102725366876</v>
      </c>
      <c r="AQ715" s="21">
        <v>275</v>
      </c>
      <c r="AR715" s="41">
        <f t="shared" si="332"/>
        <v>0.66747572815533984</v>
      </c>
      <c r="AS715" s="21">
        <v>49</v>
      </c>
      <c r="AT715" s="41">
        <f t="shared" si="314"/>
        <v>0.10272536687631027</v>
      </c>
      <c r="AU715" s="21">
        <v>45</v>
      </c>
      <c r="AV715" s="41">
        <f t="shared" si="333"/>
        <v>0.10922330097087378</v>
      </c>
      <c r="AW715" s="21">
        <v>19</v>
      </c>
      <c r="AX715" s="41">
        <f t="shared" si="315"/>
        <v>3.9832285115303984E-2</v>
      </c>
      <c r="AY715" s="21">
        <v>17</v>
      </c>
      <c r="AZ715" s="41">
        <f t="shared" si="334"/>
        <v>4.12621359223301E-2</v>
      </c>
      <c r="BA715" s="21">
        <v>27</v>
      </c>
      <c r="BB715" s="41">
        <f t="shared" si="316"/>
        <v>5.6603773584905662E-2</v>
      </c>
      <c r="BC715" s="21">
        <v>28</v>
      </c>
      <c r="BD715" s="41">
        <f t="shared" si="335"/>
        <v>6.7961165048543687E-2</v>
      </c>
      <c r="BE715" s="21">
        <v>477</v>
      </c>
      <c r="BF715" s="21">
        <v>412</v>
      </c>
    </row>
    <row r="716" spans="1:58" ht="15.75" customHeight="1" x14ac:dyDescent="0.25">
      <c r="A716" s="44">
        <v>2019</v>
      </c>
      <c r="B716" s="39">
        <v>170300</v>
      </c>
      <c r="C716" s="38" t="s">
        <v>149</v>
      </c>
      <c r="D716" s="38" t="s">
        <v>24</v>
      </c>
      <c r="E716" s="21">
        <v>2</v>
      </c>
      <c r="F716" s="42">
        <f t="shared" si="317"/>
        <v>4.9751243781094526E-3</v>
      </c>
      <c r="G716" s="21">
        <v>1</v>
      </c>
      <c r="H716" s="42">
        <f t="shared" si="318"/>
        <v>2.6737967914438501E-3</v>
      </c>
      <c r="I716" s="21">
        <v>14</v>
      </c>
      <c r="J716" s="41">
        <f t="shared" si="319"/>
        <v>3.482587064676617E-2</v>
      </c>
      <c r="K716" s="21">
        <v>13</v>
      </c>
      <c r="L716" s="41">
        <f t="shared" si="320"/>
        <v>3.4759358288770054E-2</v>
      </c>
      <c r="M716" s="21">
        <v>374</v>
      </c>
      <c r="N716" s="41">
        <f t="shared" si="321"/>
        <v>0.93034825870646765</v>
      </c>
      <c r="O716" s="21">
        <v>349</v>
      </c>
      <c r="P716" s="41">
        <f t="shared" si="322"/>
        <v>0.9331550802139037</v>
      </c>
      <c r="Q716" s="21">
        <v>12</v>
      </c>
      <c r="R716" s="41">
        <f t="shared" si="323"/>
        <v>2.9850746268656716E-2</v>
      </c>
      <c r="S716" s="21">
        <v>11</v>
      </c>
      <c r="T716" s="41">
        <f t="shared" si="324"/>
        <v>2.9411764705882353E-2</v>
      </c>
      <c r="U716" s="21">
        <v>26</v>
      </c>
      <c r="V716" s="41">
        <f t="shared" si="325"/>
        <v>6.4676616915422883E-2</v>
      </c>
      <c r="W716" s="21">
        <v>25</v>
      </c>
      <c r="X716" s="41">
        <f t="shared" si="326"/>
        <v>6.684491978609626E-2</v>
      </c>
      <c r="Y716" s="21">
        <v>47</v>
      </c>
      <c r="Z716" s="41">
        <f t="shared" si="327"/>
        <v>0.11691542288557213</v>
      </c>
      <c r="AA716" s="21">
        <v>38</v>
      </c>
      <c r="AB716" s="41">
        <f t="shared" si="328"/>
        <v>0.10160427807486631</v>
      </c>
      <c r="AC716" s="21">
        <v>329</v>
      </c>
      <c r="AD716" s="41">
        <f t="shared" si="310"/>
        <v>0.81840796019900497</v>
      </c>
      <c r="AE716" s="21">
        <v>311</v>
      </c>
      <c r="AF716" s="41">
        <f t="shared" si="329"/>
        <v>0.83155080213903743</v>
      </c>
      <c r="AG716" s="21">
        <v>9</v>
      </c>
      <c r="AH716" s="41">
        <f t="shared" si="311"/>
        <v>2.2388059701492536E-2</v>
      </c>
      <c r="AI716" s="21">
        <v>9</v>
      </c>
      <c r="AJ716" s="41">
        <f t="shared" si="330"/>
        <v>2.4064171122994651E-2</v>
      </c>
      <c r="AK716" s="21">
        <v>10</v>
      </c>
      <c r="AL716" s="41">
        <f t="shared" si="312"/>
        <v>2.4875621890547265E-2</v>
      </c>
      <c r="AM716" s="21">
        <v>9</v>
      </c>
      <c r="AN716" s="41">
        <f t="shared" si="331"/>
        <v>2.4064171122994651E-2</v>
      </c>
      <c r="AO716" s="21">
        <v>281</v>
      </c>
      <c r="AP716" s="41">
        <f t="shared" si="313"/>
        <v>0.69900497512437809</v>
      </c>
      <c r="AQ716" s="21">
        <v>256</v>
      </c>
      <c r="AR716" s="41">
        <f t="shared" si="332"/>
        <v>0.68449197860962563</v>
      </c>
      <c r="AS716" s="21">
        <v>55</v>
      </c>
      <c r="AT716" s="41">
        <f t="shared" si="314"/>
        <v>0.13681592039800994</v>
      </c>
      <c r="AU716" s="21">
        <v>54</v>
      </c>
      <c r="AV716" s="41">
        <f t="shared" si="333"/>
        <v>0.14438502673796791</v>
      </c>
      <c r="AW716" s="21">
        <v>31</v>
      </c>
      <c r="AX716" s="41">
        <f t="shared" si="315"/>
        <v>7.7114427860696513E-2</v>
      </c>
      <c r="AY716" s="21">
        <v>32</v>
      </c>
      <c r="AZ716" s="41">
        <f t="shared" si="334"/>
        <v>8.5561497326203204E-2</v>
      </c>
      <c r="BA716" s="21">
        <v>16</v>
      </c>
      <c r="BB716" s="41">
        <f t="shared" si="316"/>
        <v>3.9800995024875621E-2</v>
      </c>
      <c r="BC716" s="21">
        <v>14</v>
      </c>
      <c r="BD716" s="41">
        <f t="shared" si="335"/>
        <v>3.7433155080213901E-2</v>
      </c>
      <c r="BE716" s="21">
        <v>402</v>
      </c>
      <c r="BF716" s="21">
        <v>374</v>
      </c>
    </row>
    <row r="717" spans="1:58" ht="15.75" customHeight="1" x14ac:dyDescent="0.25">
      <c r="A717" s="44">
        <v>2019</v>
      </c>
      <c r="B717" s="39">
        <v>170305</v>
      </c>
      <c r="C717" s="38" t="s">
        <v>150</v>
      </c>
      <c r="D717" s="38" t="s">
        <v>25</v>
      </c>
      <c r="E717" s="21">
        <v>3</v>
      </c>
      <c r="F717" s="42">
        <f t="shared" si="317"/>
        <v>3.125E-2</v>
      </c>
      <c r="G717" s="21">
        <v>3</v>
      </c>
      <c r="H717" s="42">
        <f t="shared" si="318"/>
        <v>3.3707865168539325E-2</v>
      </c>
      <c r="I717" s="21">
        <v>2</v>
      </c>
      <c r="J717" s="41">
        <f t="shared" si="319"/>
        <v>2.0833333333333332E-2</v>
      </c>
      <c r="K717" s="21">
        <v>2</v>
      </c>
      <c r="L717" s="41">
        <f t="shared" si="320"/>
        <v>2.247191011235955E-2</v>
      </c>
      <c r="M717" s="21">
        <v>85</v>
      </c>
      <c r="N717" s="41">
        <f t="shared" si="321"/>
        <v>0.88541666666666663</v>
      </c>
      <c r="O717" s="21">
        <v>78</v>
      </c>
      <c r="P717" s="41">
        <f t="shared" si="322"/>
        <v>0.8764044943820225</v>
      </c>
      <c r="Q717" s="21">
        <v>6</v>
      </c>
      <c r="R717" s="41">
        <f t="shared" si="323"/>
        <v>6.25E-2</v>
      </c>
      <c r="S717" s="21">
        <v>6</v>
      </c>
      <c r="T717" s="41">
        <f t="shared" si="324"/>
        <v>6.741573033707865E-2</v>
      </c>
      <c r="U717" s="21">
        <v>11</v>
      </c>
      <c r="V717" s="41">
        <f t="shared" si="325"/>
        <v>0.11458333333333333</v>
      </c>
      <c r="W717" s="21">
        <v>11</v>
      </c>
      <c r="X717" s="41">
        <f t="shared" si="326"/>
        <v>0.12359550561797752</v>
      </c>
      <c r="Y717" s="21">
        <v>9</v>
      </c>
      <c r="Z717" s="41">
        <f t="shared" si="327"/>
        <v>9.375E-2</v>
      </c>
      <c r="AA717" s="21">
        <v>9</v>
      </c>
      <c r="AB717" s="41">
        <f t="shared" si="328"/>
        <v>0.10112359550561797</v>
      </c>
      <c r="AC717" s="21">
        <v>76</v>
      </c>
      <c r="AD717" s="41">
        <f t="shared" si="310"/>
        <v>0.79166666666666663</v>
      </c>
      <c r="AE717" s="21">
        <v>69</v>
      </c>
      <c r="AF717" s="41">
        <f t="shared" si="329"/>
        <v>0.7752808988764045</v>
      </c>
      <c r="AG717" s="21">
        <v>2</v>
      </c>
      <c r="AH717" s="41">
        <f t="shared" si="311"/>
        <v>2.0833333333333332E-2</v>
      </c>
      <c r="AI717" s="21">
        <v>2</v>
      </c>
      <c r="AJ717" s="41">
        <f t="shared" si="330"/>
        <v>2.247191011235955E-2</v>
      </c>
      <c r="AK717" s="21">
        <v>2</v>
      </c>
      <c r="AL717" s="41">
        <f t="shared" si="312"/>
        <v>2.0833333333333332E-2</v>
      </c>
      <c r="AM717" s="21">
        <v>2</v>
      </c>
      <c r="AN717" s="41">
        <f t="shared" si="331"/>
        <v>2.247191011235955E-2</v>
      </c>
      <c r="AO717" s="21">
        <v>53</v>
      </c>
      <c r="AP717" s="41">
        <f t="shared" si="313"/>
        <v>0.55208333333333337</v>
      </c>
      <c r="AQ717" s="21">
        <v>46</v>
      </c>
      <c r="AR717" s="41">
        <f t="shared" si="332"/>
        <v>0.5168539325842697</v>
      </c>
      <c r="AS717" s="21">
        <v>17</v>
      </c>
      <c r="AT717" s="41">
        <f t="shared" si="314"/>
        <v>0.17708333333333334</v>
      </c>
      <c r="AU717" s="21">
        <v>17</v>
      </c>
      <c r="AV717" s="41">
        <f t="shared" si="333"/>
        <v>0.19101123595505617</v>
      </c>
      <c r="AW717" s="21">
        <v>16</v>
      </c>
      <c r="AX717" s="41">
        <f t="shared" si="315"/>
        <v>0.16666666666666666</v>
      </c>
      <c r="AY717" s="21">
        <v>16</v>
      </c>
      <c r="AZ717" s="41">
        <f t="shared" si="334"/>
        <v>0.1797752808988764</v>
      </c>
      <c r="BA717" s="21">
        <v>6</v>
      </c>
      <c r="BB717" s="41">
        <f t="shared" si="316"/>
        <v>6.25E-2</v>
      </c>
      <c r="BC717" s="21">
        <v>6</v>
      </c>
      <c r="BD717" s="41">
        <f t="shared" si="335"/>
        <v>6.741573033707865E-2</v>
      </c>
      <c r="BE717" s="21">
        <v>96</v>
      </c>
      <c r="BF717" s="21">
        <v>89</v>
      </c>
    </row>
    <row r="718" spans="1:58" ht="15.75" customHeight="1" x14ac:dyDescent="0.25">
      <c r="A718" s="44">
        <v>2019</v>
      </c>
      <c r="B718" s="39">
        <v>170307</v>
      </c>
      <c r="C718" s="38" t="s">
        <v>149</v>
      </c>
      <c r="D718" s="38" t="s">
        <v>26</v>
      </c>
      <c r="E718" s="21">
        <v>2</v>
      </c>
      <c r="F718" s="42">
        <f t="shared" si="317"/>
        <v>8.8888888888888889E-3</v>
      </c>
      <c r="G718" s="21">
        <v>0</v>
      </c>
      <c r="H718" s="42">
        <f t="shared" si="318"/>
        <v>0</v>
      </c>
      <c r="I718" s="21">
        <v>8</v>
      </c>
      <c r="J718" s="41">
        <f t="shared" si="319"/>
        <v>3.5555555555555556E-2</v>
      </c>
      <c r="K718" s="21">
        <v>5</v>
      </c>
      <c r="L718" s="41">
        <f t="shared" si="320"/>
        <v>3.4013605442176874E-2</v>
      </c>
      <c r="M718" s="21">
        <v>201</v>
      </c>
      <c r="N718" s="41">
        <f t="shared" si="321"/>
        <v>0.89333333333333331</v>
      </c>
      <c r="O718" s="21">
        <v>130</v>
      </c>
      <c r="P718" s="41">
        <f t="shared" si="322"/>
        <v>0.88435374149659862</v>
      </c>
      <c r="Q718" s="21">
        <v>14</v>
      </c>
      <c r="R718" s="41">
        <f t="shared" si="323"/>
        <v>6.222222222222222E-2</v>
      </c>
      <c r="S718" s="21">
        <v>12</v>
      </c>
      <c r="T718" s="41">
        <f t="shared" si="324"/>
        <v>8.1632653061224483E-2</v>
      </c>
      <c r="U718" s="21">
        <v>17</v>
      </c>
      <c r="V718" s="41">
        <f t="shared" si="325"/>
        <v>7.5555555555555556E-2</v>
      </c>
      <c r="W718" s="21">
        <v>8</v>
      </c>
      <c r="X718" s="41">
        <f t="shared" si="326"/>
        <v>5.4421768707482991E-2</v>
      </c>
      <c r="Y718" s="21">
        <v>25</v>
      </c>
      <c r="Z718" s="41">
        <f t="shared" si="327"/>
        <v>0.1111111111111111</v>
      </c>
      <c r="AA718" s="21">
        <v>17</v>
      </c>
      <c r="AB718" s="41">
        <f t="shared" si="328"/>
        <v>0.11564625850340136</v>
      </c>
      <c r="AC718" s="21">
        <v>183</v>
      </c>
      <c r="AD718" s="41">
        <f t="shared" si="310"/>
        <v>0.81333333333333335</v>
      </c>
      <c r="AE718" s="21">
        <v>122</v>
      </c>
      <c r="AF718" s="41">
        <f t="shared" si="329"/>
        <v>0.82993197278911568</v>
      </c>
      <c r="AG718" s="21">
        <v>1</v>
      </c>
      <c r="AH718" s="41">
        <f t="shared" si="311"/>
        <v>4.4444444444444444E-3</v>
      </c>
      <c r="AI718" s="21">
        <v>0</v>
      </c>
      <c r="AJ718" s="41">
        <f t="shared" si="330"/>
        <v>0</v>
      </c>
      <c r="AK718" s="21">
        <v>8</v>
      </c>
      <c r="AL718" s="41">
        <f t="shared" si="312"/>
        <v>3.5555555555555556E-2</v>
      </c>
      <c r="AM718" s="21">
        <v>9</v>
      </c>
      <c r="AN718" s="41">
        <f t="shared" si="331"/>
        <v>6.1224489795918366E-2</v>
      </c>
      <c r="AO718" s="21">
        <v>155</v>
      </c>
      <c r="AP718" s="41">
        <f t="shared" si="313"/>
        <v>0.68888888888888888</v>
      </c>
      <c r="AQ718" s="21">
        <v>103</v>
      </c>
      <c r="AR718" s="41">
        <f t="shared" si="332"/>
        <v>0.70068027210884354</v>
      </c>
      <c r="AS718" s="21">
        <v>34</v>
      </c>
      <c r="AT718" s="41">
        <f t="shared" si="314"/>
        <v>0.15111111111111111</v>
      </c>
      <c r="AU718" s="21">
        <v>18</v>
      </c>
      <c r="AV718" s="41">
        <f t="shared" si="333"/>
        <v>0.12244897959183673</v>
      </c>
      <c r="AW718" s="21">
        <v>17</v>
      </c>
      <c r="AX718" s="41">
        <f t="shared" si="315"/>
        <v>7.5555555555555556E-2</v>
      </c>
      <c r="AY718" s="21">
        <v>8</v>
      </c>
      <c r="AZ718" s="41">
        <f t="shared" si="334"/>
        <v>5.4421768707482991E-2</v>
      </c>
      <c r="BA718" s="21">
        <v>10</v>
      </c>
      <c r="BB718" s="41">
        <f t="shared" si="316"/>
        <v>4.4444444444444446E-2</v>
      </c>
      <c r="BC718" s="21">
        <v>9</v>
      </c>
      <c r="BD718" s="41">
        <f t="shared" si="335"/>
        <v>6.1224489795918366E-2</v>
      </c>
      <c r="BE718" s="21">
        <v>225</v>
      </c>
      <c r="BF718" s="21">
        <v>147</v>
      </c>
    </row>
    <row r="719" spans="1:58" ht="15.75" customHeight="1" x14ac:dyDescent="0.25">
      <c r="A719" s="44">
        <v>2019</v>
      </c>
      <c r="B719" s="39">
        <v>170310</v>
      </c>
      <c r="C719" s="38" t="s">
        <v>144</v>
      </c>
      <c r="D719" s="38" t="s">
        <v>27</v>
      </c>
      <c r="E719" s="21">
        <v>0</v>
      </c>
      <c r="F719" s="42">
        <f t="shared" si="317"/>
        <v>0</v>
      </c>
      <c r="G719" s="21">
        <v>0</v>
      </c>
      <c r="H719" s="42">
        <f t="shared" si="318"/>
        <v>0</v>
      </c>
      <c r="I719" s="21">
        <v>4</v>
      </c>
      <c r="J719" s="41">
        <f t="shared" si="319"/>
        <v>1.4925373134328358E-2</v>
      </c>
      <c r="K719" s="21">
        <v>4</v>
      </c>
      <c r="L719" s="41">
        <f t="shared" si="320"/>
        <v>1.9047619047619049E-2</v>
      </c>
      <c r="M719" s="21">
        <v>221</v>
      </c>
      <c r="N719" s="41">
        <f t="shared" si="321"/>
        <v>0.82462686567164178</v>
      </c>
      <c r="O719" s="21">
        <v>167</v>
      </c>
      <c r="P719" s="41">
        <f t="shared" si="322"/>
        <v>0.79523809523809519</v>
      </c>
      <c r="Q719" s="21">
        <v>43</v>
      </c>
      <c r="R719" s="41">
        <f t="shared" si="323"/>
        <v>0.16044776119402984</v>
      </c>
      <c r="S719" s="21">
        <v>39</v>
      </c>
      <c r="T719" s="41">
        <f t="shared" si="324"/>
        <v>0.18571428571428572</v>
      </c>
      <c r="U719" s="21">
        <v>10</v>
      </c>
      <c r="V719" s="41">
        <f t="shared" si="325"/>
        <v>3.7313432835820892E-2</v>
      </c>
      <c r="W719" s="21">
        <v>8</v>
      </c>
      <c r="X719" s="41">
        <f t="shared" si="326"/>
        <v>3.8095238095238099E-2</v>
      </c>
      <c r="Y719" s="21">
        <v>10</v>
      </c>
      <c r="Z719" s="41">
        <f t="shared" si="327"/>
        <v>3.7313432835820892E-2</v>
      </c>
      <c r="AA719" s="21">
        <v>9</v>
      </c>
      <c r="AB719" s="41">
        <f t="shared" si="328"/>
        <v>4.2857142857142858E-2</v>
      </c>
      <c r="AC719" s="21">
        <v>248</v>
      </c>
      <c r="AD719" s="41">
        <f t="shared" si="310"/>
        <v>0.92537313432835822</v>
      </c>
      <c r="AE719" s="21">
        <v>193</v>
      </c>
      <c r="AF719" s="41">
        <f t="shared" si="329"/>
        <v>0.919047619047619</v>
      </c>
      <c r="AG719" s="21">
        <v>24</v>
      </c>
      <c r="AH719" s="41">
        <f t="shared" si="311"/>
        <v>8.9552238805970144E-2</v>
      </c>
      <c r="AI719" s="21">
        <v>24</v>
      </c>
      <c r="AJ719" s="41">
        <f t="shared" si="330"/>
        <v>0.11428571428571428</v>
      </c>
      <c r="AK719" s="21">
        <v>26</v>
      </c>
      <c r="AL719" s="41">
        <f t="shared" si="312"/>
        <v>9.7014925373134331E-2</v>
      </c>
      <c r="AM719" s="21">
        <v>24</v>
      </c>
      <c r="AN719" s="41">
        <f t="shared" si="331"/>
        <v>0.11428571428571428</v>
      </c>
      <c r="AO719" s="21">
        <v>134</v>
      </c>
      <c r="AP719" s="41">
        <f t="shared" si="313"/>
        <v>0.5</v>
      </c>
      <c r="AQ719" s="21">
        <v>100</v>
      </c>
      <c r="AR719" s="41">
        <f t="shared" si="332"/>
        <v>0.47619047619047616</v>
      </c>
      <c r="AS719" s="21">
        <v>40</v>
      </c>
      <c r="AT719" s="41">
        <f t="shared" si="314"/>
        <v>0.14925373134328357</v>
      </c>
      <c r="AU719" s="21">
        <v>28</v>
      </c>
      <c r="AV719" s="41">
        <f t="shared" si="333"/>
        <v>0.13333333333333333</v>
      </c>
      <c r="AW719" s="21">
        <v>16</v>
      </c>
      <c r="AX719" s="41">
        <f t="shared" si="315"/>
        <v>5.9701492537313432E-2</v>
      </c>
      <c r="AY719" s="21">
        <v>14</v>
      </c>
      <c r="AZ719" s="41">
        <f t="shared" si="334"/>
        <v>6.6666666666666666E-2</v>
      </c>
      <c r="BA719" s="21">
        <v>28</v>
      </c>
      <c r="BB719" s="41">
        <f t="shared" si="316"/>
        <v>0.1044776119402985</v>
      </c>
      <c r="BC719" s="21">
        <v>20</v>
      </c>
      <c r="BD719" s="41">
        <f t="shared" si="335"/>
        <v>9.5238095238095233E-2</v>
      </c>
      <c r="BE719" s="21">
        <v>268</v>
      </c>
      <c r="BF719" s="21">
        <v>210</v>
      </c>
    </row>
    <row r="720" spans="1:58" ht="15.75" customHeight="1" x14ac:dyDescent="0.25">
      <c r="A720" s="44">
        <v>2019</v>
      </c>
      <c r="B720" s="39">
        <v>170320</v>
      </c>
      <c r="C720" s="38" t="s">
        <v>150</v>
      </c>
      <c r="D720" s="38" t="s">
        <v>28</v>
      </c>
      <c r="E720" s="21">
        <v>2</v>
      </c>
      <c r="F720" s="42">
        <f t="shared" si="317"/>
        <v>1.0582010582010581E-2</v>
      </c>
      <c r="G720" s="21">
        <v>2</v>
      </c>
      <c r="H720" s="42">
        <f t="shared" si="318"/>
        <v>1.3698630136986301E-2</v>
      </c>
      <c r="I720" s="21">
        <v>4</v>
      </c>
      <c r="J720" s="41">
        <f t="shared" si="319"/>
        <v>2.1164021164021163E-2</v>
      </c>
      <c r="K720" s="21">
        <v>5</v>
      </c>
      <c r="L720" s="41">
        <f t="shared" si="320"/>
        <v>3.4246575342465752E-2</v>
      </c>
      <c r="M720" s="21">
        <v>172</v>
      </c>
      <c r="N720" s="41">
        <f t="shared" si="321"/>
        <v>0.91005291005291</v>
      </c>
      <c r="O720" s="21">
        <v>131</v>
      </c>
      <c r="P720" s="41">
        <f t="shared" si="322"/>
        <v>0.89726027397260277</v>
      </c>
      <c r="Q720" s="21">
        <v>11</v>
      </c>
      <c r="R720" s="41">
        <f t="shared" si="323"/>
        <v>5.8201058201058198E-2</v>
      </c>
      <c r="S720" s="21">
        <v>8</v>
      </c>
      <c r="T720" s="41">
        <f t="shared" si="324"/>
        <v>5.4794520547945202E-2</v>
      </c>
      <c r="U720" s="21">
        <v>4</v>
      </c>
      <c r="V720" s="41">
        <f t="shared" si="325"/>
        <v>2.1164021164021163E-2</v>
      </c>
      <c r="W720" s="21">
        <v>6</v>
      </c>
      <c r="X720" s="41">
        <f t="shared" si="326"/>
        <v>4.1095890410958902E-2</v>
      </c>
      <c r="Y720" s="21">
        <v>8</v>
      </c>
      <c r="Z720" s="41">
        <f t="shared" si="327"/>
        <v>4.2328042328042326E-2</v>
      </c>
      <c r="AA720" s="21">
        <v>7</v>
      </c>
      <c r="AB720" s="41">
        <f t="shared" si="328"/>
        <v>4.7945205479452052E-2</v>
      </c>
      <c r="AC720" s="21">
        <v>177</v>
      </c>
      <c r="AD720" s="41">
        <f t="shared" si="310"/>
        <v>0.93650793650793651</v>
      </c>
      <c r="AE720" s="21">
        <v>133</v>
      </c>
      <c r="AF720" s="41">
        <f t="shared" si="329"/>
        <v>0.91095890410958902</v>
      </c>
      <c r="AG720" s="21">
        <v>14</v>
      </c>
      <c r="AH720" s="41">
        <f t="shared" si="311"/>
        <v>7.407407407407407E-2</v>
      </c>
      <c r="AI720" s="21">
        <v>15</v>
      </c>
      <c r="AJ720" s="41">
        <f t="shared" si="330"/>
        <v>0.10273972602739725</v>
      </c>
      <c r="AK720" s="21">
        <v>13</v>
      </c>
      <c r="AL720" s="41">
        <f t="shared" si="312"/>
        <v>6.8783068783068779E-2</v>
      </c>
      <c r="AM720" s="21">
        <v>12</v>
      </c>
      <c r="AN720" s="41">
        <f t="shared" si="331"/>
        <v>8.2191780821917804E-2</v>
      </c>
      <c r="AO720" s="21">
        <v>125</v>
      </c>
      <c r="AP720" s="41">
        <f t="shared" si="313"/>
        <v>0.66137566137566139</v>
      </c>
      <c r="AQ720" s="21">
        <v>92</v>
      </c>
      <c r="AR720" s="41">
        <f t="shared" si="332"/>
        <v>0.63013698630136983</v>
      </c>
      <c r="AS720" s="21">
        <v>18</v>
      </c>
      <c r="AT720" s="41">
        <f t="shared" si="314"/>
        <v>9.5238095238095233E-2</v>
      </c>
      <c r="AU720" s="21">
        <v>12</v>
      </c>
      <c r="AV720" s="41">
        <f t="shared" si="333"/>
        <v>8.2191780821917804E-2</v>
      </c>
      <c r="AW720" s="21">
        <v>6</v>
      </c>
      <c r="AX720" s="41">
        <f t="shared" si="315"/>
        <v>3.1746031746031744E-2</v>
      </c>
      <c r="AY720" s="21">
        <v>4</v>
      </c>
      <c r="AZ720" s="41">
        <f t="shared" si="334"/>
        <v>2.7397260273972601E-2</v>
      </c>
      <c r="BA720" s="21">
        <v>13</v>
      </c>
      <c r="BB720" s="41">
        <f t="shared" si="316"/>
        <v>6.8783068783068779E-2</v>
      </c>
      <c r="BC720" s="21">
        <v>11</v>
      </c>
      <c r="BD720" s="41">
        <f t="shared" si="335"/>
        <v>7.5342465753424653E-2</v>
      </c>
      <c r="BE720" s="21">
        <v>189</v>
      </c>
      <c r="BF720" s="21">
        <v>146</v>
      </c>
    </row>
    <row r="721" spans="1:58" ht="15.75" customHeight="1" x14ac:dyDescent="0.25">
      <c r="A721" s="44">
        <v>2019</v>
      </c>
      <c r="B721" s="39">
        <v>170330</v>
      </c>
      <c r="C721" s="38" t="s">
        <v>150</v>
      </c>
      <c r="D721" s="38" t="s">
        <v>29</v>
      </c>
      <c r="E721" s="21">
        <v>2</v>
      </c>
      <c r="F721" s="42">
        <f t="shared" si="317"/>
        <v>8.4745762711864406E-3</v>
      </c>
      <c r="G721" s="21">
        <v>0</v>
      </c>
      <c r="H721" s="42">
        <f t="shared" si="318"/>
        <v>0</v>
      </c>
      <c r="I721" s="21">
        <v>5</v>
      </c>
      <c r="J721" s="41">
        <f t="shared" si="319"/>
        <v>2.1186440677966101E-2</v>
      </c>
      <c r="K721" s="21">
        <v>5</v>
      </c>
      <c r="L721" s="41">
        <f t="shared" si="320"/>
        <v>2.8735632183908046E-2</v>
      </c>
      <c r="M721" s="21">
        <v>221</v>
      </c>
      <c r="N721" s="41">
        <f t="shared" si="321"/>
        <v>0.93644067796610164</v>
      </c>
      <c r="O721" s="21">
        <v>163</v>
      </c>
      <c r="P721" s="41">
        <f t="shared" si="322"/>
        <v>0.93678160919540232</v>
      </c>
      <c r="Q721" s="21">
        <v>8</v>
      </c>
      <c r="R721" s="41">
        <f t="shared" si="323"/>
        <v>3.3898305084745763E-2</v>
      </c>
      <c r="S721" s="21">
        <v>6</v>
      </c>
      <c r="T721" s="41">
        <f t="shared" si="324"/>
        <v>3.4482758620689655E-2</v>
      </c>
      <c r="U721" s="21">
        <v>29</v>
      </c>
      <c r="V721" s="41">
        <f t="shared" si="325"/>
        <v>0.1228813559322034</v>
      </c>
      <c r="W721" s="21">
        <v>9</v>
      </c>
      <c r="X721" s="41">
        <f t="shared" si="326"/>
        <v>5.1724137931034482E-2</v>
      </c>
      <c r="Y721" s="21">
        <v>26</v>
      </c>
      <c r="Z721" s="41">
        <f t="shared" si="327"/>
        <v>0.11016949152542373</v>
      </c>
      <c r="AA721" s="21">
        <v>16</v>
      </c>
      <c r="AB721" s="41">
        <f t="shared" si="328"/>
        <v>9.1954022988505746E-2</v>
      </c>
      <c r="AC721" s="21">
        <v>181</v>
      </c>
      <c r="AD721" s="41">
        <f t="shared" si="310"/>
        <v>0.76694915254237284</v>
      </c>
      <c r="AE721" s="21">
        <v>149</v>
      </c>
      <c r="AF721" s="41">
        <f t="shared" si="329"/>
        <v>0.85632183908045978</v>
      </c>
      <c r="AG721" s="21">
        <v>3</v>
      </c>
      <c r="AH721" s="41">
        <f t="shared" si="311"/>
        <v>1.2711864406779662E-2</v>
      </c>
      <c r="AI721" s="21">
        <v>4</v>
      </c>
      <c r="AJ721" s="41">
        <f t="shared" si="330"/>
        <v>2.2988505747126436E-2</v>
      </c>
      <c r="AK721" s="21">
        <v>15</v>
      </c>
      <c r="AL721" s="41">
        <f t="shared" si="312"/>
        <v>6.3559322033898302E-2</v>
      </c>
      <c r="AM721" s="21">
        <v>15</v>
      </c>
      <c r="AN721" s="41">
        <f t="shared" si="331"/>
        <v>8.6206896551724144E-2</v>
      </c>
      <c r="AO721" s="21">
        <v>150</v>
      </c>
      <c r="AP721" s="41">
        <f t="shared" si="313"/>
        <v>0.63559322033898302</v>
      </c>
      <c r="AQ721" s="21">
        <v>123</v>
      </c>
      <c r="AR721" s="41">
        <f t="shared" si="332"/>
        <v>0.7068965517241379</v>
      </c>
      <c r="AS721" s="21">
        <v>27</v>
      </c>
      <c r="AT721" s="41">
        <f t="shared" si="314"/>
        <v>0.11440677966101695</v>
      </c>
      <c r="AU721" s="21">
        <v>19</v>
      </c>
      <c r="AV721" s="41">
        <f t="shared" si="333"/>
        <v>0.10919540229885058</v>
      </c>
      <c r="AW721" s="21">
        <v>13</v>
      </c>
      <c r="AX721" s="41">
        <f t="shared" si="315"/>
        <v>5.5084745762711863E-2</v>
      </c>
      <c r="AY721" s="21">
        <v>6</v>
      </c>
      <c r="AZ721" s="41">
        <f t="shared" si="334"/>
        <v>3.4482758620689655E-2</v>
      </c>
      <c r="BA721" s="21">
        <v>28</v>
      </c>
      <c r="BB721" s="41">
        <f t="shared" si="316"/>
        <v>0.11864406779661017</v>
      </c>
      <c r="BC721" s="21">
        <v>7</v>
      </c>
      <c r="BD721" s="41">
        <f t="shared" si="335"/>
        <v>4.0229885057471264E-2</v>
      </c>
      <c r="BE721" s="21">
        <v>236</v>
      </c>
      <c r="BF721" s="21">
        <v>174</v>
      </c>
    </row>
    <row r="722" spans="1:58" ht="15.75" customHeight="1" x14ac:dyDescent="0.25">
      <c r="A722" s="44">
        <v>2019</v>
      </c>
      <c r="B722" s="39">
        <v>170360</v>
      </c>
      <c r="C722" s="38" t="s">
        <v>150</v>
      </c>
      <c r="D722" s="38" t="s">
        <v>30</v>
      </c>
      <c r="E722" s="21">
        <v>0</v>
      </c>
      <c r="F722" s="42">
        <f t="shared" si="317"/>
        <v>0</v>
      </c>
      <c r="G722" s="21">
        <v>0</v>
      </c>
      <c r="H722" s="42">
        <f t="shared" si="318"/>
        <v>0</v>
      </c>
      <c r="I722" s="21">
        <v>1</v>
      </c>
      <c r="J722" s="41">
        <f t="shared" si="319"/>
        <v>1.1235955056179775E-2</v>
      </c>
      <c r="K722" s="21">
        <v>1</v>
      </c>
      <c r="L722" s="41">
        <f t="shared" si="320"/>
        <v>1.6666666666666666E-2</v>
      </c>
      <c r="M722" s="21">
        <v>83</v>
      </c>
      <c r="N722" s="41">
        <f t="shared" si="321"/>
        <v>0.93258426966292129</v>
      </c>
      <c r="O722" s="21">
        <v>56</v>
      </c>
      <c r="P722" s="41">
        <f t="shared" si="322"/>
        <v>0.93333333333333335</v>
      </c>
      <c r="Q722" s="21">
        <v>5</v>
      </c>
      <c r="R722" s="41">
        <f t="shared" si="323"/>
        <v>5.6179775280898875E-2</v>
      </c>
      <c r="S722" s="21">
        <v>3</v>
      </c>
      <c r="T722" s="41">
        <f t="shared" si="324"/>
        <v>0.05</v>
      </c>
      <c r="U722" s="21">
        <v>6</v>
      </c>
      <c r="V722" s="41">
        <f t="shared" si="325"/>
        <v>6.741573033707865E-2</v>
      </c>
      <c r="W722" s="21">
        <v>3</v>
      </c>
      <c r="X722" s="41">
        <f t="shared" si="326"/>
        <v>0.05</v>
      </c>
      <c r="Y722" s="21">
        <v>5</v>
      </c>
      <c r="Z722" s="41">
        <f t="shared" si="327"/>
        <v>5.6179775280898875E-2</v>
      </c>
      <c r="AA722" s="21">
        <v>5</v>
      </c>
      <c r="AB722" s="41">
        <f t="shared" si="328"/>
        <v>8.3333333333333329E-2</v>
      </c>
      <c r="AC722" s="21">
        <v>78</v>
      </c>
      <c r="AD722" s="41">
        <f t="shared" si="310"/>
        <v>0.8764044943820225</v>
      </c>
      <c r="AE722" s="21">
        <v>52</v>
      </c>
      <c r="AF722" s="41">
        <f t="shared" si="329"/>
        <v>0.8666666666666667</v>
      </c>
      <c r="AG722" s="21">
        <v>3</v>
      </c>
      <c r="AH722" s="41">
        <f t="shared" si="311"/>
        <v>3.3707865168539325E-2</v>
      </c>
      <c r="AI722" s="21">
        <v>2</v>
      </c>
      <c r="AJ722" s="41">
        <f t="shared" si="330"/>
        <v>3.3333333333333333E-2</v>
      </c>
      <c r="AK722" s="21">
        <v>0</v>
      </c>
      <c r="AL722" s="41">
        <f t="shared" si="312"/>
        <v>0</v>
      </c>
      <c r="AM722" s="21">
        <v>0</v>
      </c>
      <c r="AN722" s="41">
        <f t="shared" si="331"/>
        <v>0</v>
      </c>
      <c r="AO722" s="21">
        <v>59</v>
      </c>
      <c r="AP722" s="41">
        <f t="shared" si="313"/>
        <v>0.6629213483146067</v>
      </c>
      <c r="AQ722" s="21">
        <v>42</v>
      </c>
      <c r="AR722" s="41">
        <f t="shared" si="332"/>
        <v>0.7</v>
      </c>
      <c r="AS722" s="21">
        <v>13</v>
      </c>
      <c r="AT722" s="41">
        <f t="shared" si="314"/>
        <v>0.14606741573033707</v>
      </c>
      <c r="AU722" s="21">
        <v>10</v>
      </c>
      <c r="AV722" s="41">
        <f t="shared" si="333"/>
        <v>0.16666666666666666</v>
      </c>
      <c r="AW722" s="21">
        <v>8</v>
      </c>
      <c r="AX722" s="41">
        <f t="shared" si="315"/>
        <v>8.98876404494382E-2</v>
      </c>
      <c r="AY722" s="21">
        <v>2</v>
      </c>
      <c r="AZ722" s="41">
        <f t="shared" si="334"/>
        <v>3.3333333333333333E-2</v>
      </c>
      <c r="BA722" s="21">
        <v>6</v>
      </c>
      <c r="BB722" s="41">
        <f t="shared" si="316"/>
        <v>6.741573033707865E-2</v>
      </c>
      <c r="BC722" s="21">
        <v>4</v>
      </c>
      <c r="BD722" s="41">
        <f t="shared" si="335"/>
        <v>6.6666666666666666E-2</v>
      </c>
      <c r="BE722" s="21">
        <v>89</v>
      </c>
      <c r="BF722" s="21">
        <v>60</v>
      </c>
    </row>
    <row r="723" spans="1:58" ht="15.75" customHeight="1" x14ac:dyDescent="0.25">
      <c r="A723" s="44">
        <v>2019</v>
      </c>
      <c r="B723" s="39">
        <v>170370</v>
      </c>
      <c r="C723" s="38" t="s">
        <v>151</v>
      </c>
      <c r="D723" s="38" t="s">
        <v>31</v>
      </c>
      <c r="E723" s="21">
        <v>1</v>
      </c>
      <c r="F723" s="42">
        <f t="shared" si="317"/>
        <v>4.1666666666666666E-3</v>
      </c>
      <c r="G723" s="21">
        <v>0</v>
      </c>
      <c r="H723" s="42">
        <f t="shared" si="318"/>
        <v>0</v>
      </c>
      <c r="I723" s="21">
        <v>8</v>
      </c>
      <c r="J723" s="41">
        <f t="shared" si="319"/>
        <v>3.3333333333333333E-2</v>
      </c>
      <c r="K723" s="21">
        <v>5</v>
      </c>
      <c r="L723" s="41">
        <f t="shared" si="320"/>
        <v>2.6455026455026454E-2</v>
      </c>
      <c r="M723" s="21">
        <v>217</v>
      </c>
      <c r="N723" s="41">
        <f t="shared" si="321"/>
        <v>0.90416666666666667</v>
      </c>
      <c r="O723" s="21">
        <v>173</v>
      </c>
      <c r="P723" s="41">
        <f t="shared" si="322"/>
        <v>0.91534391534391535</v>
      </c>
      <c r="Q723" s="21">
        <v>14</v>
      </c>
      <c r="R723" s="41">
        <f t="shared" si="323"/>
        <v>5.8333333333333334E-2</v>
      </c>
      <c r="S723" s="21">
        <v>11</v>
      </c>
      <c r="T723" s="41">
        <f t="shared" si="324"/>
        <v>5.8201058201058198E-2</v>
      </c>
      <c r="U723" s="21">
        <v>20</v>
      </c>
      <c r="V723" s="41">
        <f t="shared" si="325"/>
        <v>8.3333333333333329E-2</v>
      </c>
      <c r="W723" s="21">
        <v>16</v>
      </c>
      <c r="X723" s="41">
        <f t="shared" si="326"/>
        <v>8.4656084656084651E-2</v>
      </c>
      <c r="Y723" s="21">
        <v>19</v>
      </c>
      <c r="Z723" s="41">
        <f t="shared" si="327"/>
        <v>7.9166666666666663E-2</v>
      </c>
      <c r="AA723" s="21">
        <v>16</v>
      </c>
      <c r="AB723" s="41">
        <f t="shared" si="328"/>
        <v>8.4656084656084651E-2</v>
      </c>
      <c r="AC723" s="21">
        <v>201</v>
      </c>
      <c r="AD723" s="41">
        <f t="shared" si="310"/>
        <v>0.83750000000000002</v>
      </c>
      <c r="AE723" s="21">
        <v>157</v>
      </c>
      <c r="AF723" s="41">
        <f t="shared" si="329"/>
        <v>0.8306878306878307</v>
      </c>
      <c r="AG723" s="21">
        <v>12</v>
      </c>
      <c r="AH723" s="41">
        <f t="shared" si="311"/>
        <v>0.05</v>
      </c>
      <c r="AI723" s="21">
        <v>9</v>
      </c>
      <c r="AJ723" s="41">
        <f t="shared" si="330"/>
        <v>4.7619047619047616E-2</v>
      </c>
      <c r="AK723" s="21">
        <v>11</v>
      </c>
      <c r="AL723" s="41">
        <f t="shared" si="312"/>
        <v>4.583333333333333E-2</v>
      </c>
      <c r="AM723" s="21">
        <v>9</v>
      </c>
      <c r="AN723" s="41">
        <f t="shared" si="331"/>
        <v>4.7619047619047616E-2</v>
      </c>
      <c r="AO723" s="21">
        <v>143</v>
      </c>
      <c r="AP723" s="41">
        <f t="shared" si="313"/>
        <v>0.59583333333333333</v>
      </c>
      <c r="AQ723" s="21">
        <v>112</v>
      </c>
      <c r="AR723" s="41">
        <f t="shared" si="332"/>
        <v>0.59259259259259256</v>
      </c>
      <c r="AS723" s="21">
        <v>38</v>
      </c>
      <c r="AT723" s="41">
        <f t="shared" si="314"/>
        <v>0.15833333333333333</v>
      </c>
      <c r="AU723" s="21">
        <v>32</v>
      </c>
      <c r="AV723" s="41">
        <f t="shared" si="333"/>
        <v>0.1693121693121693</v>
      </c>
      <c r="AW723" s="21">
        <v>18</v>
      </c>
      <c r="AX723" s="41">
        <f t="shared" si="315"/>
        <v>7.4999999999999997E-2</v>
      </c>
      <c r="AY723" s="21">
        <v>14</v>
      </c>
      <c r="AZ723" s="41">
        <f t="shared" si="334"/>
        <v>7.407407407407407E-2</v>
      </c>
      <c r="BA723" s="21">
        <v>18</v>
      </c>
      <c r="BB723" s="41">
        <f t="shared" si="316"/>
        <v>7.4999999999999997E-2</v>
      </c>
      <c r="BC723" s="21">
        <v>13</v>
      </c>
      <c r="BD723" s="41">
        <f t="shared" si="335"/>
        <v>6.8783068783068779E-2</v>
      </c>
      <c r="BE723" s="21">
        <v>240</v>
      </c>
      <c r="BF723" s="21">
        <v>189</v>
      </c>
    </row>
    <row r="724" spans="1:58" ht="15.75" customHeight="1" x14ac:dyDescent="0.25">
      <c r="A724" s="44">
        <v>2019</v>
      </c>
      <c r="B724" s="39">
        <v>170380</v>
      </c>
      <c r="C724" s="38" t="s">
        <v>145</v>
      </c>
      <c r="D724" s="38" t="s">
        <v>32</v>
      </c>
      <c r="E724" s="21">
        <v>4</v>
      </c>
      <c r="F724" s="42">
        <f t="shared" si="317"/>
        <v>1.1396011396011397E-2</v>
      </c>
      <c r="G724" s="21">
        <v>3</v>
      </c>
      <c r="H724" s="42">
        <f t="shared" si="318"/>
        <v>1.1450381679389313E-2</v>
      </c>
      <c r="I724" s="21">
        <v>4</v>
      </c>
      <c r="J724" s="41">
        <f t="shared" si="319"/>
        <v>1.1396011396011397E-2</v>
      </c>
      <c r="K724" s="21">
        <v>4</v>
      </c>
      <c r="L724" s="41">
        <f t="shared" si="320"/>
        <v>1.5267175572519083E-2</v>
      </c>
      <c r="M724" s="21">
        <v>326</v>
      </c>
      <c r="N724" s="41">
        <f t="shared" si="321"/>
        <v>0.92877492877492873</v>
      </c>
      <c r="O724" s="21">
        <v>243</v>
      </c>
      <c r="P724" s="41">
        <f t="shared" si="322"/>
        <v>0.9274809160305344</v>
      </c>
      <c r="Q724" s="21">
        <v>17</v>
      </c>
      <c r="R724" s="41">
        <f t="shared" si="323"/>
        <v>4.843304843304843E-2</v>
      </c>
      <c r="S724" s="21">
        <v>12</v>
      </c>
      <c r="T724" s="41">
        <f t="shared" si="324"/>
        <v>4.5801526717557252E-2</v>
      </c>
      <c r="U724" s="21">
        <v>32</v>
      </c>
      <c r="V724" s="41">
        <f t="shared" si="325"/>
        <v>9.1168091168091173E-2</v>
      </c>
      <c r="W724" s="21">
        <v>31</v>
      </c>
      <c r="X724" s="41">
        <f t="shared" si="326"/>
        <v>0.1183206106870229</v>
      </c>
      <c r="Y724" s="21">
        <v>38</v>
      </c>
      <c r="Z724" s="41">
        <f t="shared" si="327"/>
        <v>0.10826210826210826</v>
      </c>
      <c r="AA724" s="21">
        <v>24</v>
      </c>
      <c r="AB724" s="41">
        <f t="shared" si="328"/>
        <v>9.1603053435114504E-2</v>
      </c>
      <c r="AC724" s="21">
        <v>281</v>
      </c>
      <c r="AD724" s="41">
        <f t="shared" si="310"/>
        <v>0.80056980056980054</v>
      </c>
      <c r="AE724" s="21">
        <v>207</v>
      </c>
      <c r="AF724" s="41">
        <f t="shared" si="329"/>
        <v>0.79007633587786263</v>
      </c>
      <c r="AG724" s="21">
        <v>26</v>
      </c>
      <c r="AH724" s="41">
        <f t="shared" si="311"/>
        <v>7.407407407407407E-2</v>
      </c>
      <c r="AI724" s="21">
        <v>26</v>
      </c>
      <c r="AJ724" s="41">
        <f t="shared" si="330"/>
        <v>9.9236641221374045E-2</v>
      </c>
      <c r="AK724" s="21">
        <v>17</v>
      </c>
      <c r="AL724" s="41">
        <f t="shared" si="312"/>
        <v>4.843304843304843E-2</v>
      </c>
      <c r="AM724" s="21">
        <v>15</v>
      </c>
      <c r="AN724" s="41">
        <f t="shared" si="331"/>
        <v>5.7251908396946563E-2</v>
      </c>
      <c r="AO724" s="21">
        <v>195</v>
      </c>
      <c r="AP724" s="41">
        <f t="shared" si="313"/>
        <v>0.55555555555555558</v>
      </c>
      <c r="AQ724" s="21">
        <v>135</v>
      </c>
      <c r="AR724" s="41">
        <f t="shared" si="332"/>
        <v>0.51526717557251911</v>
      </c>
      <c r="AS724" s="21">
        <v>56</v>
      </c>
      <c r="AT724" s="41">
        <f t="shared" si="314"/>
        <v>0.15954415954415954</v>
      </c>
      <c r="AU724" s="21">
        <v>40</v>
      </c>
      <c r="AV724" s="41">
        <f t="shared" si="333"/>
        <v>0.15267175572519084</v>
      </c>
      <c r="AW724" s="21">
        <v>31</v>
      </c>
      <c r="AX724" s="41">
        <f t="shared" si="315"/>
        <v>8.8319088319088315E-2</v>
      </c>
      <c r="AY724" s="21">
        <v>24</v>
      </c>
      <c r="AZ724" s="41">
        <f t="shared" si="334"/>
        <v>9.1603053435114504E-2</v>
      </c>
      <c r="BA724" s="21">
        <v>26</v>
      </c>
      <c r="BB724" s="41">
        <f t="shared" si="316"/>
        <v>7.407407407407407E-2</v>
      </c>
      <c r="BC724" s="21">
        <v>22</v>
      </c>
      <c r="BD724" s="41">
        <f t="shared" si="335"/>
        <v>8.3969465648854963E-2</v>
      </c>
      <c r="BE724" s="21">
        <v>351</v>
      </c>
      <c r="BF724" s="21">
        <v>262</v>
      </c>
    </row>
    <row r="725" spans="1:58" ht="15.75" customHeight="1" x14ac:dyDescent="0.25">
      <c r="A725" s="44">
        <v>2019</v>
      </c>
      <c r="B725" s="39">
        <v>170382</v>
      </c>
      <c r="C725" s="38" t="s">
        <v>145</v>
      </c>
      <c r="D725" s="38" t="s">
        <v>33</v>
      </c>
      <c r="E725" s="21">
        <v>1</v>
      </c>
      <c r="F725" s="42">
        <f t="shared" si="317"/>
        <v>7.4074074074074077E-3</v>
      </c>
      <c r="G725" s="21">
        <v>1</v>
      </c>
      <c r="H725" s="42">
        <f t="shared" si="318"/>
        <v>8.5470085470085479E-3</v>
      </c>
      <c r="I725" s="21">
        <v>1</v>
      </c>
      <c r="J725" s="41">
        <f t="shared" si="319"/>
        <v>7.4074074074074077E-3</v>
      </c>
      <c r="K725" s="21">
        <v>2</v>
      </c>
      <c r="L725" s="41">
        <f t="shared" si="320"/>
        <v>1.7094017094017096E-2</v>
      </c>
      <c r="M725" s="21">
        <v>128</v>
      </c>
      <c r="N725" s="41">
        <f t="shared" si="321"/>
        <v>0.94814814814814818</v>
      </c>
      <c r="O725" s="21">
        <v>110</v>
      </c>
      <c r="P725" s="41">
        <f t="shared" si="322"/>
        <v>0.94017094017094016</v>
      </c>
      <c r="Q725" s="21">
        <v>5</v>
      </c>
      <c r="R725" s="41">
        <f t="shared" si="323"/>
        <v>3.7037037037037035E-2</v>
      </c>
      <c r="S725" s="21">
        <v>4</v>
      </c>
      <c r="T725" s="41">
        <f t="shared" si="324"/>
        <v>3.4188034188034191E-2</v>
      </c>
      <c r="U725" s="21">
        <v>14</v>
      </c>
      <c r="V725" s="41">
        <f t="shared" si="325"/>
        <v>0.1037037037037037</v>
      </c>
      <c r="W725" s="21">
        <v>7</v>
      </c>
      <c r="X725" s="41">
        <f t="shared" si="326"/>
        <v>5.9829059829059832E-2</v>
      </c>
      <c r="Y725" s="21">
        <v>13</v>
      </c>
      <c r="Z725" s="41">
        <f t="shared" si="327"/>
        <v>9.6296296296296297E-2</v>
      </c>
      <c r="AA725" s="21">
        <v>10</v>
      </c>
      <c r="AB725" s="41">
        <f t="shared" si="328"/>
        <v>8.5470085470085472E-2</v>
      </c>
      <c r="AC725" s="21">
        <v>108</v>
      </c>
      <c r="AD725" s="41">
        <f t="shared" si="310"/>
        <v>0.8</v>
      </c>
      <c r="AE725" s="21">
        <v>100</v>
      </c>
      <c r="AF725" s="41">
        <f t="shared" si="329"/>
        <v>0.85470085470085466</v>
      </c>
      <c r="AG725" s="21">
        <v>4</v>
      </c>
      <c r="AH725" s="41">
        <f t="shared" si="311"/>
        <v>2.9629629629629631E-2</v>
      </c>
      <c r="AI725" s="21">
        <v>5</v>
      </c>
      <c r="AJ725" s="41">
        <f t="shared" si="330"/>
        <v>4.2735042735042736E-2</v>
      </c>
      <c r="AK725" s="21">
        <v>4</v>
      </c>
      <c r="AL725" s="41">
        <f t="shared" si="312"/>
        <v>2.9629629629629631E-2</v>
      </c>
      <c r="AM725" s="21">
        <v>5</v>
      </c>
      <c r="AN725" s="41">
        <f t="shared" si="331"/>
        <v>4.2735042735042736E-2</v>
      </c>
      <c r="AO725" s="21">
        <v>85</v>
      </c>
      <c r="AP725" s="41">
        <f t="shared" si="313"/>
        <v>0.62962962962962965</v>
      </c>
      <c r="AQ725" s="21">
        <v>76</v>
      </c>
      <c r="AR725" s="41">
        <f t="shared" si="332"/>
        <v>0.6495726495726496</v>
      </c>
      <c r="AS725" s="21">
        <v>20</v>
      </c>
      <c r="AT725" s="41">
        <f t="shared" si="314"/>
        <v>0.14814814814814814</v>
      </c>
      <c r="AU725" s="21">
        <v>17</v>
      </c>
      <c r="AV725" s="41">
        <f t="shared" si="333"/>
        <v>0.14529914529914531</v>
      </c>
      <c r="AW725" s="21">
        <v>8</v>
      </c>
      <c r="AX725" s="41">
        <f t="shared" si="315"/>
        <v>5.9259259259259262E-2</v>
      </c>
      <c r="AY725" s="21">
        <v>4</v>
      </c>
      <c r="AZ725" s="41">
        <f t="shared" si="334"/>
        <v>3.4188034188034191E-2</v>
      </c>
      <c r="BA725" s="21">
        <v>14</v>
      </c>
      <c r="BB725" s="41">
        <f t="shared" si="316"/>
        <v>0.1037037037037037</v>
      </c>
      <c r="BC725" s="21">
        <v>10</v>
      </c>
      <c r="BD725" s="41">
        <f t="shared" si="335"/>
        <v>8.5470085470085472E-2</v>
      </c>
      <c r="BE725" s="21">
        <v>135</v>
      </c>
      <c r="BF725" s="21">
        <v>117</v>
      </c>
    </row>
    <row r="726" spans="1:58" ht="15.75" customHeight="1" x14ac:dyDescent="0.25">
      <c r="A726" s="44">
        <v>2019</v>
      </c>
      <c r="B726" s="39">
        <v>170384</v>
      </c>
      <c r="C726" s="38" t="s">
        <v>149</v>
      </c>
      <c r="D726" s="38" t="s">
        <v>34</v>
      </c>
      <c r="E726" s="21">
        <v>3</v>
      </c>
      <c r="F726" s="42">
        <f t="shared" si="317"/>
        <v>5.859375E-3</v>
      </c>
      <c r="G726" s="21">
        <v>2</v>
      </c>
      <c r="H726" s="42">
        <f t="shared" si="318"/>
        <v>5.3619302949061663E-3</v>
      </c>
      <c r="I726" s="21">
        <v>17</v>
      </c>
      <c r="J726" s="41">
        <f t="shared" si="319"/>
        <v>3.3203125E-2</v>
      </c>
      <c r="K726" s="21">
        <v>15</v>
      </c>
      <c r="L726" s="41">
        <f t="shared" si="320"/>
        <v>4.0214477211796246E-2</v>
      </c>
      <c r="M726" s="21">
        <v>482</v>
      </c>
      <c r="N726" s="41">
        <f t="shared" si="321"/>
        <v>0.94140625</v>
      </c>
      <c r="O726" s="21">
        <v>352</v>
      </c>
      <c r="P726" s="41">
        <f t="shared" si="322"/>
        <v>0.94369973190348522</v>
      </c>
      <c r="Q726" s="21">
        <v>10</v>
      </c>
      <c r="R726" s="41">
        <f t="shared" si="323"/>
        <v>1.953125E-2</v>
      </c>
      <c r="S726" s="21">
        <v>4</v>
      </c>
      <c r="T726" s="41">
        <f t="shared" si="324"/>
        <v>1.0723860589812333E-2</v>
      </c>
      <c r="U726" s="21">
        <v>26</v>
      </c>
      <c r="V726" s="41">
        <f t="shared" si="325"/>
        <v>5.078125E-2</v>
      </c>
      <c r="W726" s="21">
        <v>20</v>
      </c>
      <c r="X726" s="41">
        <f t="shared" si="326"/>
        <v>5.3619302949061663E-2</v>
      </c>
      <c r="Y726" s="21">
        <v>36</v>
      </c>
      <c r="Z726" s="41">
        <f t="shared" si="327"/>
        <v>7.03125E-2</v>
      </c>
      <c r="AA726" s="21">
        <v>33</v>
      </c>
      <c r="AB726" s="41">
        <f t="shared" si="328"/>
        <v>8.8471849865951746E-2</v>
      </c>
      <c r="AC726" s="21">
        <v>450</v>
      </c>
      <c r="AD726" s="41">
        <f t="shared" si="310"/>
        <v>0.87890625</v>
      </c>
      <c r="AE726" s="21">
        <v>320</v>
      </c>
      <c r="AF726" s="41">
        <f t="shared" si="329"/>
        <v>0.85790884718498661</v>
      </c>
      <c r="AG726" s="21">
        <v>7</v>
      </c>
      <c r="AH726" s="41">
        <f t="shared" si="311"/>
        <v>1.3671875E-2</v>
      </c>
      <c r="AI726" s="21">
        <v>4</v>
      </c>
      <c r="AJ726" s="41">
        <f t="shared" si="330"/>
        <v>1.0723860589812333E-2</v>
      </c>
      <c r="AK726" s="21">
        <v>19</v>
      </c>
      <c r="AL726" s="41">
        <f t="shared" si="312"/>
        <v>3.7109375E-2</v>
      </c>
      <c r="AM726" s="21">
        <v>18</v>
      </c>
      <c r="AN726" s="41">
        <f t="shared" si="331"/>
        <v>4.8257372654155493E-2</v>
      </c>
      <c r="AO726" s="21">
        <v>382</v>
      </c>
      <c r="AP726" s="41">
        <f t="shared" si="313"/>
        <v>0.74609375</v>
      </c>
      <c r="AQ726" s="21">
        <v>290</v>
      </c>
      <c r="AR726" s="41">
        <f t="shared" si="332"/>
        <v>0.77747989276139406</v>
      </c>
      <c r="AS726" s="21">
        <v>75</v>
      </c>
      <c r="AT726" s="41">
        <f t="shared" si="314"/>
        <v>0.146484375</v>
      </c>
      <c r="AU726" s="21">
        <v>47</v>
      </c>
      <c r="AV726" s="41">
        <f t="shared" si="333"/>
        <v>0.12600536193029491</v>
      </c>
      <c r="AW726" s="21">
        <v>18</v>
      </c>
      <c r="AX726" s="41">
        <f t="shared" si="315"/>
        <v>3.515625E-2</v>
      </c>
      <c r="AY726" s="21">
        <v>9</v>
      </c>
      <c r="AZ726" s="41">
        <f t="shared" si="334"/>
        <v>2.4128686327077747E-2</v>
      </c>
      <c r="BA726" s="21">
        <v>11</v>
      </c>
      <c r="BB726" s="41">
        <f t="shared" si="316"/>
        <v>2.1484375E-2</v>
      </c>
      <c r="BC726" s="21">
        <v>5</v>
      </c>
      <c r="BD726" s="41">
        <f t="shared" si="335"/>
        <v>1.3404825737265416E-2</v>
      </c>
      <c r="BE726" s="21">
        <v>512</v>
      </c>
      <c r="BF726" s="21">
        <v>373</v>
      </c>
    </row>
    <row r="727" spans="1:58" ht="15.75" customHeight="1" x14ac:dyDescent="0.25">
      <c r="A727" s="44">
        <v>2019</v>
      </c>
      <c r="B727" s="39">
        <v>170386</v>
      </c>
      <c r="C727" s="38" t="s">
        <v>146</v>
      </c>
      <c r="D727" s="38" t="s">
        <v>35</v>
      </c>
      <c r="E727" s="21">
        <v>1</v>
      </c>
      <c r="F727" s="42">
        <f t="shared" si="317"/>
        <v>5.263157894736842E-3</v>
      </c>
      <c r="G727" s="21">
        <v>1</v>
      </c>
      <c r="H727" s="42">
        <f t="shared" si="318"/>
        <v>8.0000000000000002E-3</v>
      </c>
      <c r="I727" s="21">
        <v>4</v>
      </c>
      <c r="J727" s="41">
        <f t="shared" si="319"/>
        <v>2.1052631578947368E-2</v>
      </c>
      <c r="K727" s="21">
        <v>2</v>
      </c>
      <c r="L727" s="41">
        <f t="shared" si="320"/>
        <v>1.6E-2</v>
      </c>
      <c r="M727" s="21">
        <v>169</v>
      </c>
      <c r="N727" s="41">
        <f t="shared" si="321"/>
        <v>0.88947368421052631</v>
      </c>
      <c r="O727" s="21">
        <v>111</v>
      </c>
      <c r="P727" s="41">
        <f t="shared" si="322"/>
        <v>0.88800000000000001</v>
      </c>
      <c r="Q727" s="21">
        <v>16</v>
      </c>
      <c r="R727" s="41">
        <f t="shared" si="323"/>
        <v>8.4210526315789472E-2</v>
      </c>
      <c r="S727" s="21">
        <v>11</v>
      </c>
      <c r="T727" s="41">
        <f t="shared" si="324"/>
        <v>8.7999999999999995E-2</v>
      </c>
      <c r="U727" s="21">
        <v>11</v>
      </c>
      <c r="V727" s="41">
        <f t="shared" si="325"/>
        <v>5.7894736842105263E-2</v>
      </c>
      <c r="W727" s="21">
        <v>9</v>
      </c>
      <c r="X727" s="41">
        <f t="shared" si="326"/>
        <v>7.1999999999999995E-2</v>
      </c>
      <c r="Y727" s="21">
        <v>13</v>
      </c>
      <c r="Z727" s="41">
        <f t="shared" si="327"/>
        <v>6.8421052631578952E-2</v>
      </c>
      <c r="AA727" s="21">
        <v>10</v>
      </c>
      <c r="AB727" s="41">
        <f t="shared" si="328"/>
        <v>0.08</v>
      </c>
      <c r="AC727" s="21">
        <v>166</v>
      </c>
      <c r="AD727" s="41">
        <f t="shared" ref="AD727:AD755" si="336">IFERROR(AC727/$BE727,0)</f>
        <v>0.87368421052631584</v>
      </c>
      <c r="AE727" s="21">
        <v>106</v>
      </c>
      <c r="AF727" s="41">
        <f t="shared" si="329"/>
        <v>0.84799999999999998</v>
      </c>
      <c r="AG727" s="21">
        <v>8</v>
      </c>
      <c r="AH727" s="41">
        <f t="shared" ref="AH727:AH755" si="337">IFERROR(AG727/$BE727,0)</f>
        <v>4.2105263157894736E-2</v>
      </c>
      <c r="AI727" s="21">
        <v>7</v>
      </c>
      <c r="AJ727" s="41">
        <f t="shared" si="330"/>
        <v>5.6000000000000001E-2</v>
      </c>
      <c r="AK727" s="21">
        <v>7</v>
      </c>
      <c r="AL727" s="41">
        <f t="shared" ref="AL727:AL755" si="338">IFERROR(AK727/$BE727,0)</f>
        <v>3.6842105263157891E-2</v>
      </c>
      <c r="AM727" s="21">
        <v>5</v>
      </c>
      <c r="AN727" s="41">
        <f t="shared" si="331"/>
        <v>0.04</v>
      </c>
      <c r="AO727" s="21">
        <v>106</v>
      </c>
      <c r="AP727" s="41">
        <f t="shared" ref="AP727:AP755" si="339">IFERROR(AO727/$BE727,0)</f>
        <v>0.55789473684210522</v>
      </c>
      <c r="AQ727" s="21">
        <v>70</v>
      </c>
      <c r="AR727" s="41">
        <f t="shared" si="332"/>
        <v>0.56000000000000005</v>
      </c>
      <c r="AS727" s="21">
        <v>43</v>
      </c>
      <c r="AT727" s="41">
        <f t="shared" ref="AT727:AT755" si="340">IFERROR(AS727/$BE727,0)</f>
        <v>0.22631578947368422</v>
      </c>
      <c r="AU727" s="21">
        <v>24</v>
      </c>
      <c r="AV727" s="41">
        <f t="shared" si="333"/>
        <v>0.192</v>
      </c>
      <c r="AW727" s="21">
        <v>16</v>
      </c>
      <c r="AX727" s="41">
        <f t="shared" ref="AX727:AX755" si="341">IFERROR(AW727/$BE727,0)</f>
        <v>8.4210526315789472E-2</v>
      </c>
      <c r="AY727" s="21">
        <v>11</v>
      </c>
      <c r="AZ727" s="41">
        <f t="shared" si="334"/>
        <v>8.7999999999999995E-2</v>
      </c>
      <c r="BA727" s="21">
        <v>10</v>
      </c>
      <c r="BB727" s="41">
        <f t="shared" ref="BB727:BB755" si="342">IFERROR(BA727/$BE727,0)</f>
        <v>5.2631578947368418E-2</v>
      </c>
      <c r="BC727" s="21">
        <v>8</v>
      </c>
      <c r="BD727" s="41">
        <f t="shared" si="335"/>
        <v>6.4000000000000001E-2</v>
      </c>
      <c r="BE727" s="21">
        <v>190</v>
      </c>
      <c r="BF727" s="21">
        <v>125</v>
      </c>
    </row>
    <row r="728" spans="1:58" ht="15.75" customHeight="1" x14ac:dyDescent="0.25">
      <c r="A728" s="44">
        <v>2019</v>
      </c>
      <c r="B728" s="39">
        <v>170388</v>
      </c>
      <c r="C728" s="38" t="s">
        <v>149</v>
      </c>
      <c r="D728" s="38" t="s">
        <v>36</v>
      </c>
      <c r="E728" s="21">
        <v>2</v>
      </c>
      <c r="F728" s="42">
        <f t="shared" si="317"/>
        <v>1.4814814814814815E-2</v>
      </c>
      <c r="G728" s="21">
        <v>1</v>
      </c>
      <c r="H728" s="42">
        <f t="shared" si="318"/>
        <v>1.098901098901099E-2</v>
      </c>
      <c r="I728" s="21">
        <v>2</v>
      </c>
      <c r="J728" s="41">
        <f t="shared" si="319"/>
        <v>1.4814814814814815E-2</v>
      </c>
      <c r="K728" s="21">
        <v>2</v>
      </c>
      <c r="L728" s="41">
        <f t="shared" si="320"/>
        <v>2.197802197802198E-2</v>
      </c>
      <c r="M728" s="21">
        <v>124</v>
      </c>
      <c r="N728" s="41">
        <f t="shared" si="321"/>
        <v>0.91851851851851851</v>
      </c>
      <c r="O728" s="21">
        <v>81</v>
      </c>
      <c r="P728" s="41">
        <f t="shared" si="322"/>
        <v>0.89010989010989006</v>
      </c>
      <c r="Q728" s="21">
        <v>7</v>
      </c>
      <c r="R728" s="41">
        <f t="shared" si="323"/>
        <v>5.185185185185185E-2</v>
      </c>
      <c r="S728" s="21">
        <v>7</v>
      </c>
      <c r="T728" s="41">
        <f t="shared" si="324"/>
        <v>7.6923076923076927E-2</v>
      </c>
      <c r="U728" s="21">
        <v>5</v>
      </c>
      <c r="V728" s="41">
        <f t="shared" si="325"/>
        <v>3.7037037037037035E-2</v>
      </c>
      <c r="W728" s="21">
        <v>3</v>
      </c>
      <c r="X728" s="41">
        <f t="shared" si="326"/>
        <v>3.2967032967032968E-2</v>
      </c>
      <c r="Y728" s="21">
        <v>5</v>
      </c>
      <c r="Z728" s="41">
        <f t="shared" si="327"/>
        <v>3.7037037037037035E-2</v>
      </c>
      <c r="AA728" s="21">
        <v>4</v>
      </c>
      <c r="AB728" s="41">
        <f t="shared" si="328"/>
        <v>4.3956043956043959E-2</v>
      </c>
      <c r="AC728" s="21">
        <v>125</v>
      </c>
      <c r="AD728" s="41">
        <f t="shared" si="336"/>
        <v>0.92592592592592593</v>
      </c>
      <c r="AE728" s="21">
        <v>84</v>
      </c>
      <c r="AF728" s="41">
        <f t="shared" si="329"/>
        <v>0.92307692307692313</v>
      </c>
      <c r="AG728" s="21">
        <v>5</v>
      </c>
      <c r="AH728" s="41">
        <f t="shared" si="337"/>
        <v>3.7037037037037035E-2</v>
      </c>
      <c r="AI728" s="21">
        <v>4</v>
      </c>
      <c r="AJ728" s="41">
        <f t="shared" si="330"/>
        <v>4.3956043956043959E-2</v>
      </c>
      <c r="AK728" s="21">
        <v>5</v>
      </c>
      <c r="AL728" s="41">
        <f t="shared" si="338"/>
        <v>3.7037037037037035E-2</v>
      </c>
      <c r="AM728" s="21">
        <v>4</v>
      </c>
      <c r="AN728" s="41">
        <f t="shared" si="331"/>
        <v>4.3956043956043959E-2</v>
      </c>
      <c r="AO728" s="21">
        <v>102</v>
      </c>
      <c r="AP728" s="41">
        <f t="shared" si="339"/>
        <v>0.75555555555555554</v>
      </c>
      <c r="AQ728" s="21">
        <v>71</v>
      </c>
      <c r="AR728" s="41">
        <f t="shared" si="332"/>
        <v>0.78021978021978022</v>
      </c>
      <c r="AS728" s="21">
        <v>13</v>
      </c>
      <c r="AT728" s="41">
        <f t="shared" si="340"/>
        <v>9.6296296296296297E-2</v>
      </c>
      <c r="AU728" s="21">
        <v>4</v>
      </c>
      <c r="AV728" s="41">
        <f t="shared" si="333"/>
        <v>4.3956043956043959E-2</v>
      </c>
      <c r="AW728" s="21">
        <v>5</v>
      </c>
      <c r="AX728" s="41">
        <f t="shared" si="341"/>
        <v>3.7037037037037035E-2</v>
      </c>
      <c r="AY728" s="21">
        <v>4</v>
      </c>
      <c r="AZ728" s="41">
        <f t="shared" si="334"/>
        <v>4.3956043956043959E-2</v>
      </c>
      <c r="BA728" s="21">
        <v>5</v>
      </c>
      <c r="BB728" s="41">
        <f t="shared" si="342"/>
        <v>3.7037037037037035E-2</v>
      </c>
      <c r="BC728" s="21">
        <v>4</v>
      </c>
      <c r="BD728" s="41">
        <f t="shared" si="335"/>
        <v>4.3956043956043959E-2</v>
      </c>
      <c r="BE728" s="21">
        <v>135</v>
      </c>
      <c r="BF728" s="21">
        <v>91</v>
      </c>
    </row>
    <row r="729" spans="1:58" ht="15.75" customHeight="1" x14ac:dyDescent="0.25">
      <c r="A729" s="44">
        <v>2019</v>
      </c>
      <c r="B729" s="39">
        <v>170389</v>
      </c>
      <c r="C729" s="38" t="s">
        <v>145</v>
      </c>
      <c r="D729" s="38" t="s">
        <v>37</v>
      </c>
      <c r="E729" s="21">
        <v>1</v>
      </c>
      <c r="F729" s="42">
        <f t="shared" si="317"/>
        <v>3.1847133757961785E-3</v>
      </c>
      <c r="G729" s="21">
        <v>2</v>
      </c>
      <c r="H729" s="42">
        <f t="shared" si="318"/>
        <v>9.5238095238095247E-3</v>
      </c>
      <c r="I729" s="21">
        <v>10</v>
      </c>
      <c r="J729" s="41">
        <f t="shared" si="319"/>
        <v>3.1847133757961783E-2</v>
      </c>
      <c r="K729" s="21">
        <v>8</v>
      </c>
      <c r="L729" s="41">
        <f t="shared" si="320"/>
        <v>3.8095238095238099E-2</v>
      </c>
      <c r="M729" s="21">
        <v>292</v>
      </c>
      <c r="N729" s="41">
        <f t="shared" si="321"/>
        <v>0.92993630573248409</v>
      </c>
      <c r="O729" s="21">
        <v>188</v>
      </c>
      <c r="P729" s="41">
        <f t="shared" si="322"/>
        <v>0.89523809523809528</v>
      </c>
      <c r="Q729" s="21">
        <v>11</v>
      </c>
      <c r="R729" s="41">
        <f t="shared" si="323"/>
        <v>3.5031847133757961E-2</v>
      </c>
      <c r="S729" s="21">
        <v>12</v>
      </c>
      <c r="T729" s="41">
        <f t="shared" si="324"/>
        <v>5.7142857142857141E-2</v>
      </c>
      <c r="U729" s="21">
        <v>12</v>
      </c>
      <c r="V729" s="41">
        <f t="shared" si="325"/>
        <v>3.8216560509554139E-2</v>
      </c>
      <c r="W729" s="21">
        <v>8</v>
      </c>
      <c r="X729" s="41">
        <f t="shared" si="326"/>
        <v>3.8095238095238099E-2</v>
      </c>
      <c r="Y729" s="21">
        <v>40</v>
      </c>
      <c r="Z729" s="41">
        <f t="shared" si="327"/>
        <v>0.12738853503184713</v>
      </c>
      <c r="AA729" s="21">
        <v>30</v>
      </c>
      <c r="AB729" s="41">
        <f t="shared" si="328"/>
        <v>0.14285714285714285</v>
      </c>
      <c r="AC729" s="21">
        <v>262</v>
      </c>
      <c r="AD729" s="41">
        <f t="shared" si="336"/>
        <v>0.83439490445859876</v>
      </c>
      <c r="AE729" s="21">
        <v>172</v>
      </c>
      <c r="AF729" s="41">
        <f t="shared" si="329"/>
        <v>0.81904761904761902</v>
      </c>
      <c r="AG729" s="21">
        <v>6</v>
      </c>
      <c r="AH729" s="41">
        <f t="shared" si="337"/>
        <v>1.9108280254777069E-2</v>
      </c>
      <c r="AI729" s="21">
        <v>5</v>
      </c>
      <c r="AJ729" s="41">
        <f t="shared" si="330"/>
        <v>2.3809523809523808E-2</v>
      </c>
      <c r="AK729" s="21">
        <v>10</v>
      </c>
      <c r="AL729" s="41">
        <f t="shared" si="338"/>
        <v>3.1847133757961783E-2</v>
      </c>
      <c r="AM729" s="21">
        <v>7</v>
      </c>
      <c r="AN729" s="41">
        <f t="shared" si="331"/>
        <v>3.3333333333333333E-2</v>
      </c>
      <c r="AO729" s="21">
        <v>216</v>
      </c>
      <c r="AP729" s="41">
        <f t="shared" si="339"/>
        <v>0.68789808917197448</v>
      </c>
      <c r="AQ729" s="21">
        <v>146</v>
      </c>
      <c r="AR729" s="41">
        <f t="shared" si="332"/>
        <v>0.69523809523809521</v>
      </c>
      <c r="AS729" s="21">
        <v>48</v>
      </c>
      <c r="AT729" s="41">
        <f t="shared" si="340"/>
        <v>0.15286624203821655</v>
      </c>
      <c r="AU729" s="21">
        <v>27</v>
      </c>
      <c r="AV729" s="41">
        <f t="shared" si="333"/>
        <v>0.12857142857142856</v>
      </c>
      <c r="AW729" s="21">
        <v>23</v>
      </c>
      <c r="AX729" s="41">
        <f t="shared" si="341"/>
        <v>7.32484076433121E-2</v>
      </c>
      <c r="AY729" s="21">
        <v>19</v>
      </c>
      <c r="AZ729" s="41">
        <f t="shared" si="334"/>
        <v>9.0476190476190474E-2</v>
      </c>
      <c r="BA729" s="21">
        <v>11</v>
      </c>
      <c r="BB729" s="41">
        <f t="shared" si="342"/>
        <v>3.5031847133757961E-2</v>
      </c>
      <c r="BC729" s="21">
        <v>6</v>
      </c>
      <c r="BD729" s="41">
        <f t="shared" si="335"/>
        <v>2.8571428571428571E-2</v>
      </c>
      <c r="BE729" s="21">
        <v>314</v>
      </c>
      <c r="BF729" s="21">
        <v>210</v>
      </c>
    </row>
    <row r="730" spans="1:58" ht="15.75" customHeight="1" x14ac:dyDescent="0.25">
      <c r="A730" s="44">
        <v>2019</v>
      </c>
      <c r="B730" s="39">
        <v>170390</v>
      </c>
      <c r="C730" s="38" t="s">
        <v>144</v>
      </c>
      <c r="D730" s="38" t="s">
        <v>38</v>
      </c>
      <c r="E730" s="21">
        <v>4</v>
      </c>
      <c r="F730" s="42">
        <f t="shared" si="317"/>
        <v>1.1869436201780416E-2</v>
      </c>
      <c r="G730" s="21">
        <v>4</v>
      </c>
      <c r="H730" s="42">
        <f t="shared" si="318"/>
        <v>1.2861736334405145E-2</v>
      </c>
      <c r="I730" s="21">
        <v>13</v>
      </c>
      <c r="J730" s="41">
        <f t="shared" si="319"/>
        <v>3.857566765578635E-2</v>
      </c>
      <c r="K730" s="21">
        <v>11</v>
      </c>
      <c r="L730" s="41">
        <f t="shared" si="320"/>
        <v>3.5369774919614148E-2</v>
      </c>
      <c r="M730" s="21">
        <v>301</v>
      </c>
      <c r="N730" s="41">
        <f t="shared" si="321"/>
        <v>0.89317507418397624</v>
      </c>
      <c r="O730" s="21">
        <v>276</v>
      </c>
      <c r="P730" s="41">
        <f t="shared" si="322"/>
        <v>0.887459807073955</v>
      </c>
      <c r="Q730" s="21">
        <v>19</v>
      </c>
      <c r="R730" s="41">
        <f t="shared" si="323"/>
        <v>5.637982195845697E-2</v>
      </c>
      <c r="S730" s="21">
        <v>20</v>
      </c>
      <c r="T730" s="41">
        <f t="shared" si="324"/>
        <v>6.4308681672025719E-2</v>
      </c>
      <c r="U730" s="21">
        <v>20</v>
      </c>
      <c r="V730" s="41">
        <f t="shared" si="325"/>
        <v>5.9347181008902079E-2</v>
      </c>
      <c r="W730" s="21">
        <v>20</v>
      </c>
      <c r="X730" s="41">
        <f t="shared" si="326"/>
        <v>6.4308681672025719E-2</v>
      </c>
      <c r="Y730" s="21">
        <v>38</v>
      </c>
      <c r="Z730" s="41">
        <f t="shared" si="327"/>
        <v>0.11275964391691394</v>
      </c>
      <c r="AA730" s="21">
        <v>32</v>
      </c>
      <c r="AB730" s="41">
        <f t="shared" si="328"/>
        <v>0.10289389067524116</v>
      </c>
      <c r="AC730" s="21">
        <v>279</v>
      </c>
      <c r="AD730" s="41">
        <f t="shared" si="336"/>
        <v>0.82789317507418403</v>
      </c>
      <c r="AE730" s="21">
        <v>259</v>
      </c>
      <c r="AF730" s="41">
        <f t="shared" si="329"/>
        <v>0.83279742765273312</v>
      </c>
      <c r="AG730" s="21">
        <v>15</v>
      </c>
      <c r="AH730" s="41">
        <f t="shared" si="337"/>
        <v>4.4510385756676561E-2</v>
      </c>
      <c r="AI730" s="21">
        <v>15</v>
      </c>
      <c r="AJ730" s="41">
        <f t="shared" si="330"/>
        <v>4.8231511254019289E-2</v>
      </c>
      <c r="AK730" s="21">
        <v>16</v>
      </c>
      <c r="AL730" s="41">
        <f t="shared" si="338"/>
        <v>4.7477744807121663E-2</v>
      </c>
      <c r="AM730" s="21">
        <v>16</v>
      </c>
      <c r="AN730" s="41">
        <f t="shared" si="331"/>
        <v>5.1446945337620578E-2</v>
      </c>
      <c r="AO730" s="21">
        <v>209</v>
      </c>
      <c r="AP730" s="41">
        <f t="shared" si="339"/>
        <v>0.62017804154302669</v>
      </c>
      <c r="AQ730" s="21">
        <v>186</v>
      </c>
      <c r="AR730" s="41">
        <f t="shared" si="332"/>
        <v>0.59807073954983925</v>
      </c>
      <c r="AS730" s="21">
        <v>49</v>
      </c>
      <c r="AT730" s="41">
        <f t="shared" si="340"/>
        <v>0.14540059347181009</v>
      </c>
      <c r="AU730" s="21">
        <v>47</v>
      </c>
      <c r="AV730" s="41">
        <f t="shared" si="333"/>
        <v>0.15112540192926044</v>
      </c>
      <c r="AW730" s="21">
        <v>24</v>
      </c>
      <c r="AX730" s="41">
        <f t="shared" si="341"/>
        <v>7.1216617210682495E-2</v>
      </c>
      <c r="AY730" s="21">
        <v>23</v>
      </c>
      <c r="AZ730" s="41">
        <f t="shared" si="334"/>
        <v>7.3954983922829579E-2</v>
      </c>
      <c r="BA730" s="21">
        <v>24</v>
      </c>
      <c r="BB730" s="41">
        <f t="shared" si="342"/>
        <v>7.1216617210682495E-2</v>
      </c>
      <c r="BC730" s="21">
        <v>24</v>
      </c>
      <c r="BD730" s="41">
        <f t="shared" si="335"/>
        <v>7.7170418006430874E-2</v>
      </c>
      <c r="BE730" s="21">
        <v>337</v>
      </c>
      <c r="BF730" s="21">
        <v>311</v>
      </c>
    </row>
    <row r="731" spans="1:58" ht="15.75" customHeight="1" x14ac:dyDescent="0.25">
      <c r="A731" s="44">
        <v>2019</v>
      </c>
      <c r="B731" s="39">
        <v>170410</v>
      </c>
      <c r="C731" s="38" t="s">
        <v>150</v>
      </c>
      <c r="D731" s="38" t="s">
        <v>39</v>
      </c>
      <c r="E731" s="21">
        <v>0</v>
      </c>
      <c r="F731" s="42">
        <f t="shared" si="317"/>
        <v>0</v>
      </c>
      <c r="G731" s="21">
        <v>0</v>
      </c>
      <c r="H731" s="42">
        <f t="shared" si="318"/>
        <v>0</v>
      </c>
      <c r="I731" s="21">
        <v>1</v>
      </c>
      <c r="J731" s="41">
        <f t="shared" si="319"/>
        <v>0.01</v>
      </c>
      <c r="K731" s="21">
        <v>1</v>
      </c>
      <c r="L731" s="41">
        <f t="shared" si="320"/>
        <v>1.2500000000000001E-2</v>
      </c>
      <c r="M731" s="21">
        <v>94</v>
      </c>
      <c r="N731" s="41">
        <f t="shared" si="321"/>
        <v>0.94</v>
      </c>
      <c r="O731" s="21">
        <v>75</v>
      </c>
      <c r="P731" s="41">
        <f t="shared" si="322"/>
        <v>0.9375</v>
      </c>
      <c r="Q731" s="21">
        <v>5</v>
      </c>
      <c r="R731" s="41">
        <f t="shared" si="323"/>
        <v>0.05</v>
      </c>
      <c r="S731" s="21">
        <v>4</v>
      </c>
      <c r="T731" s="41">
        <f t="shared" si="324"/>
        <v>0.05</v>
      </c>
      <c r="U731" s="21">
        <v>5</v>
      </c>
      <c r="V731" s="41">
        <f t="shared" si="325"/>
        <v>0.05</v>
      </c>
      <c r="W731" s="21">
        <v>3</v>
      </c>
      <c r="X731" s="41">
        <f t="shared" si="326"/>
        <v>3.7499999999999999E-2</v>
      </c>
      <c r="Y731" s="21">
        <v>16</v>
      </c>
      <c r="Z731" s="41">
        <f t="shared" si="327"/>
        <v>0.16</v>
      </c>
      <c r="AA731" s="21">
        <v>12</v>
      </c>
      <c r="AB731" s="41">
        <f t="shared" si="328"/>
        <v>0.15</v>
      </c>
      <c r="AC731" s="21">
        <v>79</v>
      </c>
      <c r="AD731" s="41">
        <f t="shared" si="336"/>
        <v>0.79</v>
      </c>
      <c r="AE731" s="21">
        <v>65</v>
      </c>
      <c r="AF731" s="41">
        <f t="shared" si="329"/>
        <v>0.8125</v>
      </c>
      <c r="AG731" s="21">
        <v>2</v>
      </c>
      <c r="AH731" s="41">
        <f t="shared" si="337"/>
        <v>0.02</v>
      </c>
      <c r="AI731" s="21">
        <v>1</v>
      </c>
      <c r="AJ731" s="41">
        <f t="shared" si="330"/>
        <v>1.2500000000000001E-2</v>
      </c>
      <c r="AK731" s="21">
        <v>4</v>
      </c>
      <c r="AL731" s="41">
        <f t="shared" si="338"/>
        <v>0.04</v>
      </c>
      <c r="AM731" s="21">
        <v>4</v>
      </c>
      <c r="AN731" s="41">
        <f t="shared" si="331"/>
        <v>0.05</v>
      </c>
      <c r="AO731" s="21">
        <v>60</v>
      </c>
      <c r="AP731" s="41">
        <f t="shared" si="339"/>
        <v>0.6</v>
      </c>
      <c r="AQ731" s="21">
        <v>48</v>
      </c>
      <c r="AR731" s="41">
        <f t="shared" si="332"/>
        <v>0.6</v>
      </c>
      <c r="AS731" s="21">
        <v>21</v>
      </c>
      <c r="AT731" s="41">
        <f t="shared" si="340"/>
        <v>0.21</v>
      </c>
      <c r="AU731" s="21">
        <v>18</v>
      </c>
      <c r="AV731" s="41">
        <f t="shared" si="333"/>
        <v>0.22500000000000001</v>
      </c>
      <c r="AW731" s="21">
        <v>9</v>
      </c>
      <c r="AX731" s="41">
        <f t="shared" si="341"/>
        <v>0.09</v>
      </c>
      <c r="AY731" s="21">
        <v>7</v>
      </c>
      <c r="AZ731" s="41">
        <f t="shared" si="334"/>
        <v>8.7499999999999994E-2</v>
      </c>
      <c r="BA731" s="21">
        <v>4</v>
      </c>
      <c r="BB731" s="41">
        <f t="shared" si="342"/>
        <v>0.04</v>
      </c>
      <c r="BC731" s="21">
        <v>2</v>
      </c>
      <c r="BD731" s="41">
        <f t="shared" si="335"/>
        <v>2.5000000000000001E-2</v>
      </c>
      <c r="BE731" s="21">
        <v>100</v>
      </c>
      <c r="BF731" s="21">
        <v>80</v>
      </c>
    </row>
    <row r="732" spans="1:58" ht="15.75" customHeight="1" x14ac:dyDescent="0.25">
      <c r="A732" s="44">
        <v>2019</v>
      </c>
      <c r="B732" s="39">
        <v>170510</v>
      </c>
      <c r="C732" s="38" t="s">
        <v>151</v>
      </c>
      <c r="D732" s="38" t="s">
        <v>40</v>
      </c>
      <c r="E732" s="21">
        <v>2</v>
      </c>
      <c r="F732" s="42">
        <f t="shared" si="317"/>
        <v>1.1560693641618497E-2</v>
      </c>
      <c r="G732" s="21">
        <v>3</v>
      </c>
      <c r="H732" s="42">
        <f t="shared" si="318"/>
        <v>2.2556390977443608E-2</v>
      </c>
      <c r="I732" s="21">
        <v>7</v>
      </c>
      <c r="J732" s="41">
        <f t="shared" si="319"/>
        <v>4.046242774566474E-2</v>
      </c>
      <c r="K732" s="21">
        <v>2</v>
      </c>
      <c r="L732" s="41">
        <f t="shared" si="320"/>
        <v>1.5037593984962405E-2</v>
      </c>
      <c r="M732" s="21">
        <v>159</v>
      </c>
      <c r="N732" s="41">
        <f t="shared" si="321"/>
        <v>0.91907514450867056</v>
      </c>
      <c r="O732" s="21">
        <v>122</v>
      </c>
      <c r="P732" s="41">
        <f t="shared" si="322"/>
        <v>0.91729323308270672</v>
      </c>
      <c r="Q732" s="21">
        <v>5</v>
      </c>
      <c r="R732" s="41">
        <f t="shared" si="323"/>
        <v>2.8901734104046242E-2</v>
      </c>
      <c r="S732" s="21">
        <v>6</v>
      </c>
      <c r="T732" s="41">
        <f t="shared" si="324"/>
        <v>4.5112781954887216E-2</v>
      </c>
      <c r="U732" s="21">
        <v>9</v>
      </c>
      <c r="V732" s="41">
        <f t="shared" si="325"/>
        <v>5.2023121387283239E-2</v>
      </c>
      <c r="W732" s="21">
        <v>5</v>
      </c>
      <c r="X732" s="41">
        <f t="shared" si="326"/>
        <v>3.7593984962406013E-2</v>
      </c>
      <c r="Y732" s="21">
        <v>3</v>
      </c>
      <c r="Z732" s="41">
        <f t="shared" si="327"/>
        <v>1.7341040462427744E-2</v>
      </c>
      <c r="AA732" s="21">
        <v>3</v>
      </c>
      <c r="AB732" s="41">
        <f t="shared" si="328"/>
        <v>2.2556390977443608E-2</v>
      </c>
      <c r="AC732" s="21">
        <v>161</v>
      </c>
      <c r="AD732" s="41">
        <f t="shared" si="336"/>
        <v>0.93063583815028905</v>
      </c>
      <c r="AE732" s="21">
        <v>125</v>
      </c>
      <c r="AF732" s="41">
        <f t="shared" si="329"/>
        <v>0.93984962406015038</v>
      </c>
      <c r="AG732" s="21">
        <v>7</v>
      </c>
      <c r="AH732" s="41">
        <f t="shared" si="337"/>
        <v>4.046242774566474E-2</v>
      </c>
      <c r="AI732" s="21">
        <v>8</v>
      </c>
      <c r="AJ732" s="41">
        <f t="shared" si="330"/>
        <v>6.0150375939849621E-2</v>
      </c>
      <c r="AK732" s="21">
        <v>13</v>
      </c>
      <c r="AL732" s="41">
        <f t="shared" si="338"/>
        <v>7.5144508670520235E-2</v>
      </c>
      <c r="AM732" s="21">
        <v>8</v>
      </c>
      <c r="AN732" s="41">
        <f t="shared" si="331"/>
        <v>6.0150375939849621E-2</v>
      </c>
      <c r="AO732" s="21">
        <v>128</v>
      </c>
      <c r="AP732" s="41">
        <f t="shared" si="339"/>
        <v>0.73988439306358378</v>
      </c>
      <c r="AQ732" s="21">
        <v>97</v>
      </c>
      <c r="AR732" s="41">
        <f t="shared" si="332"/>
        <v>0.72932330827067671</v>
      </c>
      <c r="AS732" s="21">
        <v>13</v>
      </c>
      <c r="AT732" s="41">
        <f t="shared" si="340"/>
        <v>7.5144508670520235E-2</v>
      </c>
      <c r="AU732" s="21">
        <v>11</v>
      </c>
      <c r="AV732" s="41">
        <f t="shared" si="333"/>
        <v>8.2706766917293228E-2</v>
      </c>
      <c r="AW732" s="21">
        <v>7</v>
      </c>
      <c r="AX732" s="41">
        <f t="shared" si="341"/>
        <v>4.046242774566474E-2</v>
      </c>
      <c r="AY732" s="21">
        <v>5</v>
      </c>
      <c r="AZ732" s="41">
        <f t="shared" si="334"/>
        <v>3.7593984962406013E-2</v>
      </c>
      <c r="BA732" s="21">
        <v>5</v>
      </c>
      <c r="BB732" s="41">
        <f t="shared" si="342"/>
        <v>2.8901734104046242E-2</v>
      </c>
      <c r="BC732" s="21">
        <v>4</v>
      </c>
      <c r="BD732" s="41">
        <f t="shared" si="335"/>
        <v>3.007518796992481E-2</v>
      </c>
      <c r="BE732" s="21">
        <v>173</v>
      </c>
      <c r="BF732" s="21">
        <v>133</v>
      </c>
    </row>
    <row r="733" spans="1:58" ht="15.75" customHeight="1" x14ac:dyDescent="0.25">
      <c r="A733" s="44">
        <v>2019</v>
      </c>
      <c r="B733" s="39">
        <v>170460</v>
      </c>
      <c r="C733" s="38" t="s">
        <v>144</v>
      </c>
      <c r="D733" s="38" t="s">
        <v>41</v>
      </c>
      <c r="E733" s="21">
        <v>0</v>
      </c>
      <c r="F733" s="42">
        <f t="shared" si="317"/>
        <v>0</v>
      </c>
      <c r="G733" s="21">
        <v>0</v>
      </c>
      <c r="H733" s="42">
        <f t="shared" si="318"/>
        <v>0</v>
      </c>
      <c r="I733" s="21">
        <v>4</v>
      </c>
      <c r="J733" s="41">
        <f t="shared" si="319"/>
        <v>4.3478260869565216E-2</v>
      </c>
      <c r="K733" s="21">
        <v>3</v>
      </c>
      <c r="L733" s="41">
        <f t="shared" si="320"/>
        <v>4.7619047619047616E-2</v>
      </c>
      <c r="M733" s="21">
        <v>85</v>
      </c>
      <c r="N733" s="41">
        <f t="shared" si="321"/>
        <v>0.92391304347826086</v>
      </c>
      <c r="O733" s="21">
        <v>59</v>
      </c>
      <c r="P733" s="41">
        <f t="shared" si="322"/>
        <v>0.93650793650793651</v>
      </c>
      <c r="Q733" s="21">
        <v>3</v>
      </c>
      <c r="R733" s="41">
        <f t="shared" si="323"/>
        <v>3.2608695652173912E-2</v>
      </c>
      <c r="S733" s="21">
        <v>1</v>
      </c>
      <c r="T733" s="41">
        <f t="shared" si="324"/>
        <v>1.5873015873015872E-2</v>
      </c>
      <c r="U733" s="21">
        <v>3</v>
      </c>
      <c r="V733" s="41">
        <f t="shared" si="325"/>
        <v>3.2608695652173912E-2</v>
      </c>
      <c r="W733" s="21">
        <v>2</v>
      </c>
      <c r="X733" s="41">
        <f t="shared" si="326"/>
        <v>3.1746031746031744E-2</v>
      </c>
      <c r="Y733" s="21">
        <v>4</v>
      </c>
      <c r="Z733" s="41">
        <f t="shared" si="327"/>
        <v>4.3478260869565216E-2</v>
      </c>
      <c r="AA733" s="21">
        <v>2</v>
      </c>
      <c r="AB733" s="41">
        <f t="shared" si="328"/>
        <v>3.1746031746031744E-2</v>
      </c>
      <c r="AC733" s="21">
        <v>85</v>
      </c>
      <c r="AD733" s="41">
        <f t="shared" si="336"/>
        <v>0.92391304347826086</v>
      </c>
      <c r="AE733" s="21">
        <v>59</v>
      </c>
      <c r="AF733" s="41">
        <f t="shared" si="329"/>
        <v>0.93650793650793651</v>
      </c>
      <c r="AG733" s="21">
        <v>5</v>
      </c>
      <c r="AH733" s="41">
        <f t="shared" si="337"/>
        <v>5.434782608695652E-2</v>
      </c>
      <c r="AI733" s="21">
        <v>5</v>
      </c>
      <c r="AJ733" s="41">
        <f t="shared" si="330"/>
        <v>7.9365079365079361E-2</v>
      </c>
      <c r="AK733" s="21">
        <v>6</v>
      </c>
      <c r="AL733" s="41">
        <f t="shared" si="338"/>
        <v>6.5217391304347824E-2</v>
      </c>
      <c r="AM733" s="21">
        <v>5</v>
      </c>
      <c r="AN733" s="41">
        <f t="shared" si="331"/>
        <v>7.9365079365079361E-2</v>
      </c>
      <c r="AO733" s="21">
        <v>68</v>
      </c>
      <c r="AP733" s="41">
        <f t="shared" si="339"/>
        <v>0.73913043478260865</v>
      </c>
      <c r="AQ733" s="21">
        <v>48</v>
      </c>
      <c r="AR733" s="41">
        <f t="shared" si="332"/>
        <v>0.76190476190476186</v>
      </c>
      <c r="AS733" s="21">
        <v>8</v>
      </c>
      <c r="AT733" s="41">
        <f t="shared" si="340"/>
        <v>8.6956521739130432E-2</v>
      </c>
      <c r="AU733" s="21">
        <v>3</v>
      </c>
      <c r="AV733" s="41">
        <f t="shared" si="333"/>
        <v>4.7619047619047616E-2</v>
      </c>
      <c r="AW733" s="21">
        <v>4</v>
      </c>
      <c r="AX733" s="41">
        <f t="shared" si="341"/>
        <v>4.3478260869565216E-2</v>
      </c>
      <c r="AY733" s="21">
        <v>1</v>
      </c>
      <c r="AZ733" s="41">
        <f t="shared" si="334"/>
        <v>1.5873015873015872E-2</v>
      </c>
      <c r="BA733" s="21">
        <v>1</v>
      </c>
      <c r="BB733" s="41">
        <f t="shared" si="342"/>
        <v>1.0869565217391304E-2</v>
      </c>
      <c r="BC733" s="21">
        <v>1</v>
      </c>
      <c r="BD733" s="41">
        <f t="shared" si="335"/>
        <v>1.5873015873015872E-2</v>
      </c>
      <c r="BE733" s="21">
        <v>92</v>
      </c>
      <c r="BF733" s="21">
        <v>63</v>
      </c>
    </row>
    <row r="734" spans="1:58" ht="15.75" customHeight="1" x14ac:dyDescent="0.25">
      <c r="A734" s="44">
        <v>2019</v>
      </c>
      <c r="B734" s="39">
        <v>170550</v>
      </c>
      <c r="C734" s="38" t="s">
        <v>150</v>
      </c>
      <c r="D734" s="38" t="s">
        <v>42</v>
      </c>
      <c r="E734" s="21">
        <v>9</v>
      </c>
      <c r="F734" s="42">
        <f t="shared" si="317"/>
        <v>7.9575596816976128E-3</v>
      </c>
      <c r="G734" s="21">
        <v>9</v>
      </c>
      <c r="H734" s="42">
        <f t="shared" si="318"/>
        <v>1.070154577883472E-2</v>
      </c>
      <c r="I734" s="21">
        <v>35</v>
      </c>
      <c r="J734" s="41">
        <f t="shared" si="319"/>
        <v>3.0946065428824051E-2</v>
      </c>
      <c r="K734" s="21">
        <v>29</v>
      </c>
      <c r="L734" s="41">
        <f t="shared" si="320"/>
        <v>3.4482758620689655E-2</v>
      </c>
      <c r="M734" s="20">
        <v>1017</v>
      </c>
      <c r="N734" s="41">
        <f t="shared" si="321"/>
        <v>0.89920424403183019</v>
      </c>
      <c r="O734" s="21">
        <v>750</v>
      </c>
      <c r="P734" s="41">
        <f t="shared" si="322"/>
        <v>0.89179548156956001</v>
      </c>
      <c r="Q734" s="21">
        <v>70</v>
      </c>
      <c r="R734" s="41">
        <f t="shared" si="323"/>
        <v>6.1892130857648102E-2</v>
      </c>
      <c r="S734" s="21">
        <v>53</v>
      </c>
      <c r="T734" s="41">
        <f t="shared" si="324"/>
        <v>6.3020214030915581E-2</v>
      </c>
      <c r="U734" s="21">
        <v>62</v>
      </c>
      <c r="V734" s="41">
        <f t="shared" si="325"/>
        <v>5.4818744473916887E-2</v>
      </c>
      <c r="W734" s="21">
        <v>56</v>
      </c>
      <c r="X734" s="41">
        <f t="shared" si="326"/>
        <v>6.6587395957193818E-2</v>
      </c>
      <c r="Y734" s="21">
        <v>102</v>
      </c>
      <c r="Z734" s="41">
        <f t="shared" si="327"/>
        <v>9.0185676392572939E-2</v>
      </c>
      <c r="AA734" s="21">
        <v>90</v>
      </c>
      <c r="AB734" s="41">
        <f t="shared" si="328"/>
        <v>0.1070154577883472</v>
      </c>
      <c r="AC734" s="21">
        <v>967</v>
      </c>
      <c r="AD734" s="41">
        <f t="shared" si="336"/>
        <v>0.85499557913351021</v>
      </c>
      <c r="AE734" s="21">
        <v>695</v>
      </c>
      <c r="AF734" s="41">
        <f t="shared" si="329"/>
        <v>0.82639714625445893</v>
      </c>
      <c r="AG734" s="21">
        <v>41</v>
      </c>
      <c r="AH734" s="41">
        <f t="shared" si="337"/>
        <v>3.6251105216622455E-2</v>
      </c>
      <c r="AI734" s="21">
        <v>38</v>
      </c>
      <c r="AJ734" s="41">
        <f t="shared" si="330"/>
        <v>4.5184304399524373E-2</v>
      </c>
      <c r="AK734" s="21">
        <v>58</v>
      </c>
      <c r="AL734" s="41">
        <f t="shared" si="338"/>
        <v>5.128205128205128E-2</v>
      </c>
      <c r="AM734" s="21">
        <v>50</v>
      </c>
      <c r="AN734" s="41">
        <f t="shared" si="331"/>
        <v>5.9453032104637336E-2</v>
      </c>
      <c r="AO734" s="21">
        <v>698</v>
      </c>
      <c r="AP734" s="41">
        <f t="shared" si="339"/>
        <v>0.61715296198054814</v>
      </c>
      <c r="AQ734" s="21">
        <v>505</v>
      </c>
      <c r="AR734" s="41">
        <f t="shared" si="332"/>
        <v>0.60047562425683709</v>
      </c>
      <c r="AS734" s="21">
        <v>172</v>
      </c>
      <c r="AT734" s="41">
        <f t="shared" si="340"/>
        <v>0.15207780725022105</v>
      </c>
      <c r="AU734" s="21">
        <v>123</v>
      </c>
      <c r="AV734" s="41">
        <f t="shared" si="333"/>
        <v>0.14625445897740785</v>
      </c>
      <c r="AW734" s="21">
        <v>104</v>
      </c>
      <c r="AX734" s="41">
        <f t="shared" si="341"/>
        <v>9.1954022988505746E-2</v>
      </c>
      <c r="AY734" s="21">
        <v>80</v>
      </c>
      <c r="AZ734" s="41">
        <f t="shared" si="334"/>
        <v>9.5124851367419744E-2</v>
      </c>
      <c r="BA734" s="21">
        <v>58</v>
      </c>
      <c r="BB734" s="41">
        <f t="shared" si="342"/>
        <v>5.128205128205128E-2</v>
      </c>
      <c r="BC734" s="21">
        <v>45</v>
      </c>
      <c r="BD734" s="41">
        <f t="shared" si="335"/>
        <v>5.3507728894173601E-2</v>
      </c>
      <c r="BE734" s="20">
        <v>1131</v>
      </c>
      <c r="BF734" s="21">
        <v>841</v>
      </c>
    </row>
    <row r="735" spans="1:58" ht="15.75" customHeight="1" x14ac:dyDescent="0.25">
      <c r="A735" s="44">
        <v>2019</v>
      </c>
      <c r="B735" s="39">
        <v>171670</v>
      </c>
      <c r="C735" s="38" t="s">
        <v>150</v>
      </c>
      <c r="D735" s="38" t="s">
        <v>43</v>
      </c>
      <c r="E735" s="21">
        <v>1</v>
      </c>
      <c r="F735" s="42">
        <f t="shared" si="317"/>
        <v>3.5971223021582736E-3</v>
      </c>
      <c r="G735" s="21">
        <v>1</v>
      </c>
      <c r="H735" s="42">
        <f t="shared" si="318"/>
        <v>4.9019607843137254E-3</v>
      </c>
      <c r="I735" s="21">
        <v>7</v>
      </c>
      <c r="J735" s="41">
        <f t="shared" si="319"/>
        <v>2.5179856115107913E-2</v>
      </c>
      <c r="K735" s="21">
        <v>5</v>
      </c>
      <c r="L735" s="41">
        <f t="shared" si="320"/>
        <v>2.4509803921568627E-2</v>
      </c>
      <c r="M735" s="21">
        <v>254</v>
      </c>
      <c r="N735" s="41">
        <f t="shared" si="321"/>
        <v>0.91366906474820142</v>
      </c>
      <c r="O735" s="21">
        <v>188</v>
      </c>
      <c r="P735" s="41">
        <f t="shared" si="322"/>
        <v>0.92156862745098034</v>
      </c>
      <c r="Q735" s="21">
        <v>16</v>
      </c>
      <c r="R735" s="41">
        <f t="shared" si="323"/>
        <v>5.7553956834532377E-2</v>
      </c>
      <c r="S735" s="21">
        <v>10</v>
      </c>
      <c r="T735" s="41">
        <f t="shared" si="324"/>
        <v>4.9019607843137254E-2</v>
      </c>
      <c r="U735" s="21">
        <v>12</v>
      </c>
      <c r="V735" s="41">
        <f t="shared" si="325"/>
        <v>4.3165467625899283E-2</v>
      </c>
      <c r="W735" s="21">
        <v>12</v>
      </c>
      <c r="X735" s="41">
        <f t="shared" si="326"/>
        <v>5.8823529411764705E-2</v>
      </c>
      <c r="Y735" s="21">
        <v>14</v>
      </c>
      <c r="Z735" s="41">
        <f t="shared" si="327"/>
        <v>5.0359712230215826E-2</v>
      </c>
      <c r="AA735" s="21">
        <v>11</v>
      </c>
      <c r="AB735" s="41">
        <f t="shared" si="328"/>
        <v>5.3921568627450983E-2</v>
      </c>
      <c r="AC735" s="21">
        <v>252</v>
      </c>
      <c r="AD735" s="41">
        <f t="shared" si="336"/>
        <v>0.90647482014388492</v>
      </c>
      <c r="AE735" s="21">
        <v>181</v>
      </c>
      <c r="AF735" s="41">
        <f t="shared" si="329"/>
        <v>0.88725490196078427</v>
      </c>
      <c r="AG735" s="21">
        <v>7</v>
      </c>
      <c r="AH735" s="41">
        <f t="shared" si="337"/>
        <v>2.5179856115107913E-2</v>
      </c>
      <c r="AI735" s="21">
        <v>7</v>
      </c>
      <c r="AJ735" s="41">
        <f t="shared" si="330"/>
        <v>3.4313725490196081E-2</v>
      </c>
      <c r="AK735" s="21">
        <v>13</v>
      </c>
      <c r="AL735" s="41">
        <f t="shared" si="338"/>
        <v>4.6762589928057555E-2</v>
      </c>
      <c r="AM735" s="21">
        <v>13</v>
      </c>
      <c r="AN735" s="41">
        <f t="shared" si="331"/>
        <v>6.3725490196078427E-2</v>
      </c>
      <c r="AO735" s="21">
        <v>192</v>
      </c>
      <c r="AP735" s="41">
        <f t="shared" si="339"/>
        <v>0.69064748201438853</v>
      </c>
      <c r="AQ735" s="21">
        <v>135</v>
      </c>
      <c r="AR735" s="41">
        <f t="shared" si="332"/>
        <v>0.66176470588235292</v>
      </c>
      <c r="AS735" s="21">
        <v>39</v>
      </c>
      <c r="AT735" s="41">
        <f t="shared" si="340"/>
        <v>0.14028776978417265</v>
      </c>
      <c r="AU735" s="21">
        <v>28</v>
      </c>
      <c r="AV735" s="41">
        <f t="shared" si="333"/>
        <v>0.13725490196078433</v>
      </c>
      <c r="AW735" s="21">
        <v>16</v>
      </c>
      <c r="AX735" s="41">
        <f t="shared" si="341"/>
        <v>5.7553956834532377E-2</v>
      </c>
      <c r="AY735" s="21">
        <v>13</v>
      </c>
      <c r="AZ735" s="41">
        <f t="shared" si="334"/>
        <v>6.3725490196078427E-2</v>
      </c>
      <c r="BA735" s="21">
        <v>11</v>
      </c>
      <c r="BB735" s="41">
        <f t="shared" si="342"/>
        <v>3.9568345323741004E-2</v>
      </c>
      <c r="BC735" s="21">
        <v>8</v>
      </c>
      <c r="BD735" s="41">
        <f t="shared" si="335"/>
        <v>3.9215686274509803E-2</v>
      </c>
      <c r="BE735" s="21">
        <v>278</v>
      </c>
      <c r="BF735" s="21">
        <v>204</v>
      </c>
    </row>
    <row r="736" spans="1:58" ht="15.75" customHeight="1" x14ac:dyDescent="0.25">
      <c r="A736" s="44">
        <v>2019</v>
      </c>
      <c r="B736" s="39">
        <v>170555</v>
      </c>
      <c r="C736" s="38" t="s">
        <v>147</v>
      </c>
      <c r="D736" s="38" t="s">
        <v>44</v>
      </c>
      <c r="E736" s="21">
        <v>5</v>
      </c>
      <c r="F736" s="42">
        <f t="shared" si="317"/>
        <v>2.0661157024793389E-2</v>
      </c>
      <c r="G736" s="21">
        <v>5</v>
      </c>
      <c r="H736" s="42">
        <f t="shared" si="318"/>
        <v>2.976190476190476E-2</v>
      </c>
      <c r="I736" s="21">
        <v>15</v>
      </c>
      <c r="J736" s="41">
        <f t="shared" si="319"/>
        <v>6.1983471074380167E-2</v>
      </c>
      <c r="K736" s="21">
        <v>12</v>
      </c>
      <c r="L736" s="41">
        <f t="shared" si="320"/>
        <v>7.1428571428571425E-2</v>
      </c>
      <c r="M736" s="21">
        <v>208</v>
      </c>
      <c r="N736" s="41">
        <f t="shared" si="321"/>
        <v>0.85950413223140498</v>
      </c>
      <c r="O736" s="21">
        <v>141</v>
      </c>
      <c r="P736" s="41">
        <f t="shared" si="322"/>
        <v>0.8392857142857143</v>
      </c>
      <c r="Q736" s="21">
        <v>14</v>
      </c>
      <c r="R736" s="41">
        <f t="shared" si="323"/>
        <v>5.7851239669421489E-2</v>
      </c>
      <c r="S736" s="21">
        <v>10</v>
      </c>
      <c r="T736" s="41">
        <f t="shared" si="324"/>
        <v>5.9523809523809521E-2</v>
      </c>
      <c r="U736" s="21">
        <v>18</v>
      </c>
      <c r="V736" s="41">
        <f t="shared" si="325"/>
        <v>7.43801652892562E-2</v>
      </c>
      <c r="W736" s="21">
        <v>15</v>
      </c>
      <c r="X736" s="41">
        <f t="shared" si="326"/>
        <v>8.9285714285714288E-2</v>
      </c>
      <c r="Y736" s="21">
        <v>29</v>
      </c>
      <c r="Z736" s="41">
        <f t="shared" si="327"/>
        <v>0.11983471074380166</v>
      </c>
      <c r="AA736" s="21">
        <v>25</v>
      </c>
      <c r="AB736" s="41">
        <f t="shared" si="328"/>
        <v>0.14880952380952381</v>
      </c>
      <c r="AC736" s="21">
        <v>195</v>
      </c>
      <c r="AD736" s="41">
        <f t="shared" si="336"/>
        <v>0.80578512396694213</v>
      </c>
      <c r="AE736" s="21">
        <v>128</v>
      </c>
      <c r="AF736" s="41">
        <f t="shared" si="329"/>
        <v>0.76190476190476186</v>
      </c>
      <c r="AG736" s="21">
        <v>12</v>
      </c>
      <c r="AH736" s="41">
        <f t="shared" si="337"/>
        <v>4.9586776859504134E-2</v>
      </c>
      <c r="AI736" s="21">
        <v>9</v>
      </c>
      <c r="AJ736" s="41">
        <f t="shared" si="330"/>
        <v>5.3571428571428568E-2</v>
      </c>
      <c r="AK736" s="21">
        <v>14</v>
      </c>
      <c r="AL736" s="41">
        <f t="shared" si="338"/>
        <v>5.7851239669421489E-2</v>
      </c>
      <c r="AM736" s="21">
        <v>12</v>
      </c>
      <c r="AN736" s="41">
        <f t="shared" si="331"/>
        <v>7.1428571428571425E-2</v>
      </c>
      <c r="AO736" s="21">
        <v>151</v>
      </c>
      <c r="AP736" s="41">
        <f t="shared" si="339"/>
        <v>0.62396694214876036</v>
      </c>
      <c r="AQ736" s="21">
        <v>97</v>
      </c>
      <c r="AR736" s="41">
        <f t="shared" si="332"/>
        <v>0.57738095238095233</v>
      </c>
      <c r="AS736" s="21">
        <v>29</v>
      </c>
      <c r="AT736" s="41">
        <f t="shared" si="340"/>
        <v>0.11983471074380166</v>
      </c>
      <c r="AU736" s="21">
        <v>21</v>
      </c>
      <c r="AV736" s="41">
        <f t="shared" si="333"/>
        <v>0.125</v>
      </c>
      <c r="AW736" s="21">
        <v>24</v>
      </c>
      <c r="AX736" s="41">
        <f t="shared" si="341"/>
        <v>9.9173553719008267E-2</v>
      </c>
      <c r="AY736" s="21">
        <v>19</v>
      </c>
      <c r="AZ736" s="41">
        <f t="shared" si="334"/>
        <v>0.1130952380952381</v>
      </c>
      <c r="BA736" s="21">
        <v>12</v>
      </c>
      <c r="BB736" s="41">
        <f t="shared" si="342"/>
        <v>4.9586776859504134E-2</v>
      </c>
      <c r="BC736" s="21">
        <v>10</v>
      </c>
      <c r="BD736" s="41">
        <f t="shared" si="335"/>
        <v>5.9523809523809521E-2</v>
      </c>
      <c r="BE736" s="21">
        <v>242</v>
      </c>
      <c r="BF736" s="21">
        <v>168</v>
      </c>
    </row>
    <row r="737" spans="1:58" ht="15.75" customHeight="1" x14ac:dyDescent="0.25">
      <c r="A737" s="44">
        <v>2019</v>
      </c>
      <c r="B737" s="39">
        <v>170560</v>
      </c>
      <c r="C737" s="38" t="s">
        <v>147</v>
      </c>
      <c r="D737" s="38" t="s">
        <v>45</v>
      </c>
      <c r="E737" s="21">
        <v>1</v>
      </c>
      <c r="F737" s="42">
        <f t="shared" si="317"/>
        <v>3.7174721189591076E-3</v>
      </c>
      <c r="G737" s="21">
        <v>1</v>
      </c>
      <c r="H737" s="42">
        <f t="shared" si="318"/>
        <v>4.830917874396135E-3</v>
      </c>
      <c r="I737" s="21">
        <v>14</v>
      </c>
      <c r="J737" s="41">
        <f t="shared" si="319"/>
        <v>5.204460966542751E-2</v>
      </c>
      <c r="K737" s="21">
        <v>13</v>
      </c>
      <c r="L737" s="41">
        <f t="shared" si="320"/>
        <v>6.280193236714976E-2</v>
      </c>
      <c r="M737" s="21">
        <v>244</v>
      </c>
      <c r="N737" s="41">
        <f t="shared" si="321"/>
        <v>0.90706319702602234</v>
      </c>
      <c r="O737" s="21">
        <v>184</v>
      </c>
      <c r="P737" s="41">
        <f t="shared" si="322"/>
        <v>0.88888888888888884</v>
      </c>
      <c r="Q737" s="21">
        <v>10</v>
      </c>
      <c r="R737" s="41">
        <f t="shared" si="323"/>
        <v>3.717472118959108E-2</v>
      </c>
      <c r="S737" s="21">
        <v>9</v>
      </c>
      <c r="T737" s="41">
        <f t="shared" si="324"/>
        <v>4.3478260869565216E-2</v>
      </c>
      <c r="U737" s="21">
        <v>23</v>
      </c>
      <c r="V737" s="41">
        <f t="shared" si="325"/>
        <v>8.5501858736059477E-2</v>
      </c>
      <c r="W737" s="21">
        <v>23</v>
      </c>
      <c r="X737" s="41">
        <f t="shared" si="326"/>
        <v>0.1111111111111111</v>
      </c>
      <c r="Y737" s="21">
        <v>43</v>
      </c>
      <c r="Z737" s="41">
        <f t="shared" si="327"/>
        <v>0.15985130111524162</v>
      </c>
      <c r="AA737" s="21">
        <v>38</v>
      </c>
      <c r="AB737" s="41">
        <f t="shared" si="328"/>
        <v>0.18357487922705315</v>
      </c>
      <c r="AC737" s="21">
        <v>203</v>
      </c>
      <c r="AD737" s="41">
        <f t="shared" si="336"/>
        <v>0.75464684014869887</v>
      </c>
      <c r="AE737" s="21">
        <v>146</v>
      </c>
      <c r="AF737" s="41">
        <f t="shared" si="329"/>
        <v>0.70531400966183577</v>
      </c>
      <c r="AG737" s="21">
        <v>6</v>
      </c>
      <c r="AH737" s="41">
        <f t="shared" si="337"/>
        <v>2.2304832713754646E-2</v>
      </c>
      <c r="AI737" s="21">
        <v>6</v>
      </c>
      <c r="AJ737" s="41">
        <f t="shared" si="330"/>
        <v>2.8985507246376812E-2</v>
      </c>
      <c r="AK737" s="21">
        <v>11</v>
      </c>
      <c r="AL737" s="41">
        <f t="shared" si="338"/>
        <v>4.0892193308550186E-2</v>
      </c>
      <c r="AM737" s="21">
        <v>10</v>
      </c>
      <c r="AN737" s="41">
        <f t="shared" si="331"/>
        <v>4.8309178743961352E-2</v>
      </c>
      <c r="AO737" s="21">
        <v>170</v>
      </c>
      <c r="AP737" s="41">
        <f t="shared" si="339"/>
        <v>0.63197026022304836</v>
      </c>
      <c r="AQ737" s="21">
        <v>129</v>
      </c>
      <c r="AR737" s="41">
        <f t="shared" si="332"/>
        <v>0.62318840579710144</v>
      </c>
      <c r="AS737" s="21">
        <v>45</v>
      </c>
      <c r="AT737" s="41">
        <f t="shared" si="340"/>
        <v>0.16728624535315986</v>
      </c>
      <c r="AU737" s="21">
        <v>31</v>
      </c>
      <c r="AV737" s="41">
        <f t="shared" si="333"/>
        <v>0.14975845410628019</v>
      </c>
      <c r="AW737" s="21">
        <v>22</v>
      </c>
      <c r="AX737" s="41">
        <f t="shared" si="341"/>
        <v>8.1784386617100371E-2</v>
      </c>
      <c r="AY737" s="21">
        <v>18</v>
      </c>
      <c r="AZ737" s="41">
        <f t="shared" si="334"/>
        <v>8.6956521739130432E-2</v>
      </c>
      <c r="BA737" s="21">
        <v>15</v>
      </c>
      <c r="BB737" s="41">
        <f t="shared" si="342"/>
        <v>5.5762081784386616E-2</v>
      </c>
      <c r="BC737" s="21">
        <v>13</v>
      </c>
      <c r="BD737" s="41">
        <f t="shared" si="335"/>
        <v>6.280193236714976E-2</v>
      </c>
      <c r="BE737" s="21">
        <v>269</v>
      </c>
      <c r="BF737" s="21">
        <v>207</v>
      </c>
    </row>
    <row r="738" spans="1:58" ht="15.75" customHeight="1" x14ac:dyDescent="0.25">
      <c r="A738" s="44">
        <v>2019</v>
      </c>
      <c r="B738" s="39">
        <v>170600</v>
      </c>
      <c r="C738" s="38" t="s">
        <v>150</v>
      </c>
      <c r="D738" s="38" t="s">
        <v>46</v>
      </c>
      <c r="E738" s="21">
        <v>10</v>
      </c>
      <c r="F738" s="42">
        <f t="shared" si="317"/>
        <v>3.1545741324921134E-2</v>
      </c>
      <c r="G738" s="21">
        <v>11</v>
      </c>
      <c r="H738" s="42">
        <f t="shared" si="318"/>
        <v>4.2635658914728682E-2</v>
      </c>
      <c r="I738" s="21">
        <v>12</v>
      </c>
      <c r="J738" s="41">
        <f t="shared" si="319"/>
        <v>3.7854889589905363E-2</v>
      </c>
      <c r="K738" s="21">
        <v>13</v>
      </c>
      <c r="L738" s="41">
        <f t="shared" si="320"/>
        <v>5.0387596899224806E-2</v>
      </c>
      <c r="M738" s="21">
        <v>284</v>
      </c>
      <c r="N738" s="41">
        <f t="shared" si="321"/>
        <v>0.89589905362776023</v>
      </c>
      <c r="O738" s="21">
        <v>229</v>
      </c>
      <c r="P738" s="41">
        <f t="shared" si="322"/>
        <v>0.88759689922480622</v>
      </c>
      <c r="Q738" s="21">
        <v>11</v>
      </c>
      <c r="R738" s="41">
        <f t="shared" si="323"/>
        <v>3.4700315457413249E-2</v>
      </c>
      <c r="S738" s="21">
        <v>5</v>
      </c>
      <c r="T738" s="41">
        <f t="shared" si="324"/>
        <v>1.937984496124031E-2</v>
      </c>
      <c r="U738" s="21">
        <v>18</v>
      </c>
      <c r="V738" s="41">
        <f t="shared" si="325"/>
        <v>5.6782334384858045E-2</v>
      </c>
      <c r="W738" s="21">
        <v>17</v>
      </c>
      <c r="X738" s="41">
        <f t="shared" si="326"/>
        <v>6.589147286821706E-2</v>
      </c>
      <c r="Y738" s="21">
        <v>29</v>
      </c>
      <c r="Z738" s="41">
        <f t="shared" si="327"/>
        <v>9.1482649842271294E-2</v>
      </c>
      <c r="AA738" s="21">
        <v>28</v>
      </c>
      <c r="AB738" s="41">
        <f t="shared" si="328"/>
        <v>0.10852713178294573</v>
      </c>
      <c r="AC738" s="21">
        <v>270</v>
      </c>
      <c r="AD738" s="41">
        <f t="shared" si="336"/>
        <v>0.8517350157728707</v>
      </c>
      <c r="AE738" s="21">
        <v>213</v>
      </c>
      <c r="AF738" s="41">
        <f t="shared" si="329"/>
        <v>0.82558139534883723</v>
      </c>
      <c r="AG738" s="21">
        <v>22</v>
      </c>
      <c r="AH738" s="41">
        <f t="shared" si="337"/>
        <v>6.9400630914826497E-2</v>
      </c>
      <c r="AI738" s="21">
        <v>20</v>
      </c>
      <c r="AJ738" s="41">
        <f t="shared" si="330"/>
        <v>7.7519379844961239E-2</v>
      </c>
      <c r="AK738" s="21">
        <v>17</v>
      </c>
      <c r="AL738" s="41">
        <f t="shared" si="338"/>
        <v>5.362776025236593E-2</v>
      </c>
      <c r="AM738" s="21">
        <v>16</v>
      </c>
      <c r="AN738" s="41">
        <f t="shared" si="331"/>
        <v>6.2015503875968991E-2</v>
      </c>
      <c r="AO738" s="21">
        <v>188</v>
      </c>
      <c r="AP738" s="41">
        <f t="shared" si="339"/>
        <v>0.59305993690851733</v>
      </c>
      <c r="AQ738" s="21">
        <v>152</v>
      </c>
      <c r="AR738" s="41">
        <f t="shared" si="332"/>
        <v>0.58914728682170547</v>
      </c>
      <c r="AS738" s="21">
        <v>56</v>
      </c>
      <c r="AT738" s="41">
        <f t="shared" si="340"/>
        <v>0.17665615141955837</v>
      </c>
      <c r="AU738" s="21">
        <v>47</v>
      </c>
      <c r="AV738" s="41">
        <f t="shared" si="333"/>
        <v>0.18217054263565891</v>
      </c>
      <c r="AW738" s="21">
        <v>20</v>
      </c>
      <c r="AX738" s="41">
        <f t="shared" si="341"/>
        <v>6.3091482649842268E-2</v>
      </c>
      <c r="AY738" s="21">
        <v>14</v>
      </c>
      <c r="AZ738" s="41">
        <f t="shared" si="334"/>
        <v>5.4263565891472867E-2</v>
      </c>
      <c r="BA738" s="21">
        <v>14</v>
      </c>
      <c r="BB738" s="41">
        <f t="shared" si="342"/>
        <v>4.4164037854889593E-2</v>
      </c>
      <c r="BC738" s="21">
        <v>9</v>
      </c>
      <c r="BD738" s="41">
        <f t="shared" si="335"/>
        <v>3.4883720930232558E-2</v>
      </c>
      <c r="BE738" s="21">
        <v>317</v>
      </c>
      <c r="BF738" s="21">
        <v>258</v>
      </c>
    </row>
    <row r="739" spans="1:58" ht="15.75" customHeight="1" x14ac:dyDescent="0.25">
      <c r="A739" s="44">
        <v>2019</v>
      </c>
      <c r="B739" s="39">
        <v>170610</v>
      </c>
      <c r="C739" s="38" t="s">
        <v>144</v>
      </c>
      <c r="D739" s="38" t="s">
        <v>47</v>
      </c>
      <c r="E739" s="21">
        <v>11</v>
      </c>
      <c r="F739" s="42">
        <f t="shared" si="317"/>
        <v>3.125E-2</v>
      </c>
      <c r="G739" s="21">
        <v>11</v>
      </c>
      <c r="H739" s="42">
        <f t="shared" si="318"/>
        <v>4.8458149779735685E-2</v>
      </c>
      <c r="I739" s="21">
        <v>2</v>
      </c>
      <c r="J739" s="41">
        <f t="shared" si="319"/>
        <v>5.681818181818182E-3</v>
      </c>
      <c r="K739" s="21">
        <v>2</v>
      </c>
      <c r="L739" s="41">
        <f t="shared" si="320"/>
        <v>8.8105726872246704E-3</v>
      </c>
      <c r="M739" s="21">
        <v>312</v>
      </c>
      <c r="N739" s="41">
        <f t="shared" si="321"/>
        <v>0.88636363636363635</v>
      </c>
      <c r="O739" s="21">
        <v>200</v>
      </c>
      <c r="P739" s="41">
        <f t="shared" si="322"/>
        <v>0.88105726872246692</v>
      </c>
      <c r="Q739" s="21">
        <v>27</v>
      </c>
      <c r="R739" s="41">
        <f t="shared" si="323"/>
        <v>7.6704545454545456E-2</v>
      </c>
      <c r="S739" s="21">
        <v>14</v>
      </c>
      <c r="T739" s="41">
        <f t="shared" si="324"/>
        <v>6.1674008810572688E-2</v>
      </c>
      <c r="U739" s="21">
        <v>19</v>
      </c>
      <c r="V739" s="41">
        <f t="shared" si="325"/>
        <v>5.3977272727272728E-2</v>
      </c>
      <c r="W739" s="21">
        <v>16</v>
      </c>
      <c r="X739" s="41">
        <f t="shared" si="326"/>
        <v>7.0484581497797363E-2</v>
      </c>
      <c r="Y739" s="21">
        <v>23</v>
      </c>
      <c r="Z739" s="41">
        <f t="shared" si="327"/>
        <v>6.5340909090909088E-2</v>
      </c>
      <c r="AA739" s="21">
        <v>17</v>
      </c>
      <c r="AB739" s="41">
        <f t="shared" si="328"/>
        <v>7.4889867841409691E-2</v>
      </c>
      <c r="AC739" s="21">
        <v>310</v>
      </c>
      <c r="AD739" s="41">
        <f t="shared" si="336"/>
        <v>0.88068181818181823</v>
      </c>
      <c r="AE739" s="21">
        <v>194</v>
      </c>
      <c r="AF739" s="41">
        <f t="shared" si="329"/>
        <v>0.85462555066079293</v>
      </c>
      <c r="AG739" s="21">
        <v>9</v>
      </c>
      <c r="AH739" s="41">
        <f t="shared" si="337"/>
        <v>2.556818181818182E-2</v>
      </c>
      <c r="AI739" s="21">
        <v>8</v>
      </c>
      <c r="AJ739" s="41">
        <f t="shared" si="330"/>
        <v>3.5242290748898682E-2</v>
      </c>
      <c r="AK739" s="21">
        <v>20</v>
      </c>
      <c r="AL739" s="41">
        <f t="shared" si="338"/>
        <v>5.6818181818181816E-2</v>
      </c>
      <c r="AM739" s="21">
        <v>17</v>
      </c>
      <c r="AN739" s="41">
        <f t="shared" si="331"/>
        <v>7.4889867841409691E-2</v>
      </c>
      <c r="AO739" s="21">
        <v>223</v>
      </c>
      <c r="AP739" s="41">
        <f t="shared" si="339"/>
        <v>0.63352272727272729</v>
      </c>
      <c r="AQ739" s="21">
        <v>154</v>
      </c>
      <c r="AR739" s="41">
        <f t="shared" si="332"/>
        <v>0.67841409691629961</v>
      </c>
      <c r="AS739" s="21">
        <v>56</v>
      </c>
      <c r="AT739" s="41">
        <f t="shared" si="340"/>
        <v>0.15909090909090909</v>
      </c>
      <c r="AU739" s="21">
        <v>29</v>
      </c>
      <c r="AV739" s="41">
        <f t="shared" si="333"/>
        <v>0.1277533039647577</v>
      </c>
      <c r="AW739" s="21">
        <v>28</v>
      </c>
      <c r="AX739" s="41">
        <f t="shared" si="341"/>
        <v>7.9545454545454544E-2</v>
      </c>
      <c r="AY739" s="21">
        <v>9</v>
      </c>
      <c r="AZ739" s="41">
        <f t="shared" si="334"/>
        <v>3.9647577092511016E-2</v>
      </c>
      <c r="BA739" s="21">
        <v>16</v>
      </c>
      <c r="BB739" s="41">
        <f t="shared" si="342"/>
        <v>4.5454545454545456E-2</v>
      </c>
      <c r="BC739" s="21">
        <v>10</v>
      </c>
      <c r="BD739" s="41">
        <f t="shared" si="335"/>
        <v>4.405286343612335E-2</v>
      </c>
      <c r="BE739" s="21">
        <v>352</v>
      </c>
      <c r="BF739" s="21">
        <v>227</v>
      </c>
    </row>
    <row r="740" spans="1:58" ht="15.75" customHeight="1" x14ac:dyDescent="0.25">
      <c r="A740" s="44">
        <v>2019</v>
      </c>
      <c r="B740" s="39">
        <v>170625</v>
      </c>
      <c r="C740" s="38" t="s">
        <v>146</v>
      </c>
      <c r="D740" s="38" t="s">
        <v>48</v>
      </c>
      <c r="E740" s="21">
        <v>0</v>
      </c>
      <c r="F740" s="42">
        <f t="shared" si="317"/>
        <v>0</v>
      </c>
      <c r="G740" s="21">
        <v>0</v>
      </c>
      <c r="H740" s="42">
        <f t="shared" si="318"/>
        <v>0</v>
      </c>
      <c r="I740" s="21">
        <v>1</v>
      </c>
      <c r="J740" s="41">
        <f t="shared" si="319"/>
        <v>1.6949152542372881E-2</v>
      </c>
      <c r="K740" s="21">
        <v>1</v>
      </c>
      <c r="L740" s="41">
        <f t="shared" si="320"/>
        <v>2.8571428571428571E-2</v>
      </c>
      <c r="M740" s="21">
        <v>54</v>
      </c>
      <c r="N740" s="41">
        <f t="shared" si="321"/>
        <v>0.9152542372881356</v>
      </c>
      <c r="O740" s="21">
        <v>32</v>
      </c>
      <c r="P740" s="41">
        <f t="shared" si="322"/>
        <v>0.91428571428571426</v>
      </c>
      <c r="Q740" s="21">
        <v>4</v>
      </c>
      <c r="R740" s="41">
        <f t="shared" si="323"/>
        <v>6.7796610169491525E-2</v>
      </c>
      <c r="S740" s="21">
        <v>2</v>
      </c>
      <c r="T740" s="41">
        <f t="shared" si="324"/>
        <v>5.7142857142857141E-2</v>
      </c>
      <c r="U740" s="21">
        <v>18</v>
      </c>
      <c r="V740" s="41">
        <f t="shared" si="325"/>
        <v>0.30508474576271188</v>
      </c>
      <c r="W740" s="21">
        <v>12</v>
      </c>
      <c r="X740" s="41">
        <f t="shared" si="326"/>
        <v>0.34285714285714286</v>
      </c>
      <c r="Y740" s="21">
        <v>14</v>
      </c>
      <c r="Z740" s="41">
        <f t="shared" si="327"/>
        <v>0.23728813559322035</v>
      </c>
      <c r="AA740" s="21">
        <v>7</v>
      </c>
      <c r="AB740" s="41">
        <f t="shared" si="328"/>
        <v>0.2</v>
      </c>
      <c r="AC740" s="21">
        <v>27</v>
      </c>
      <c r="AD740" s="41">
        <f t="shared" si="336"/>
        <v>0.4576271186440678</v>
      </c>
      <c r="AE740" s="21">
        <v>16</v>
      </c>
      <c r="AF740" s="41">
        <f t="shared" si="329"/>
        <v>0.45714285714285713</v>
      </c>
      <c r="AG740" s="21">
        <v>0</v>
      </c>
      <c r="AH740" s="41">
        <f t="shared" si="337"/>
        <v>0</v>
      </c>
      <c r="AI740" s="21">
        <v>0</v>
      </c>
      <c r="AJ740" s="41">
        <f t="shared" si="330"/>
        <v>0</v>
      </c>
      <c r="AK740" s="21">
        <v>0</v>
      </c>
      <c r="AL740" s="41">
        <f t="shared" si="338"/>
        <v>0</v>
      </c>
      <c r="AM740" s="21">
        <v>0</v>
      </c>
      <c r="AN740" s="41">
        <f t="shared" si="331"/>
        <v>0</v>
      </c>
      <c r="AO740" s="21">
        <v>20</v>
      </c>
      <c r="AP740" s="41">
        <f t="shared" si="339"/>
        <v>0.33898305084745761</v>
      </c>
      <c r="AQ740" s="21">
        <v>12</v>
      </c>
      <c r="AR740" s="41">
        <f t="shared" si="332"/>
        <v>0.34285714285714286</v>
      </c>
      <c r="AS740" s="21">
        <v>15</v>
      </c>
      <c r="AT740" s="41">
        <f t="shared" si="340"/>
        <v>0.25423728813559321</v>
      </c>
      <c r="AU740" s="21">
        <v>6</v>
      </c>
      <c r="AV740" s="41">
        <f t="shared" si="333"/>
        <v>0.17142857142857143</v>
      </c>
      <c r="AW740" s="21">
        <v>13</v>
      </c>
      <c r="AX740" s="41">
        <f t="shared" si="341"/>
        <v>0.22033898305084745</v>
      </c>
      <c r="AY740" s="21">
        <v>6</v>
      </c>
      <c r="AZ740" s="41">
        <f t="shared" si="334"/>
        <v>0.17142857142857143</v>
      </c>
      <c r="BA740" s="21">
        <v>11</v>
      </c>
      <c r="BB740" s="41">
        <f t="shared" si="342"/>
        <v>0.1864406779661017</v>
      </c>
      <c r="BC740" s="21">
        <v>11</v>
      </c>
      <c r="BD740" s="41">
        <f t="shared" si="335"/>
        <v>0.31428571428571428</v>
      </c>
      <c r="BE740" s="21">
        <v>59</v>
      </c>
      <c r="BF740" s="21">
        <v>35</v>
      </c>
    </row>
    <row r="741" spans="1:58" ht="15.75" customHeight="1" x14ac:dyDescent="0.25">
      <c r="A741" s="44">
        <v>2019</v>
      </c>
      <c r="B741" s="39">
        <v>170650</v>
      </c>
      <c r="C741" s="38" t="s">
        <v>149</v>
      </c>
      <c r="D741" s="38" t="s">
        <v>49</v>
      </c>
      <c r="E741" s="21">
        <v>1</v>
      </c>
      <c r="F741" s="42">
        <f t="shared" si="317"/>
        <v>4.7393364928909956E-3</v>
      </c>
      <c r="G741" s="21">
        <v>1</v>
      </c>
      <c r="H741" s="42">
        <f t="shared" si="318"/>
        <v>5.0251256281407036E-3</v>
      </c>
      <c r="I741" s="21">
        <v>7</v>
      </c>
      <c r="J741" s="41">
        <f t="shared" si="319"/>
        <v>3.3175355450236969E-2</v>
      </c>
      <c r="K741" s="21">
        <v>7</v>
      </c>
      <c r="L741" s="41">
        <f t="shared" si="320"/>
        <v>3.5175879396984924E-2</v>
      </c>
      <c r="M741" s="21">
        <v>196</v>
      </c>
      <c r="N741" s="41">
        <f t="shared" si="321"/>
        <v>0.92890995260663511</v>
      </c>
      <c r="O741" s="21">
        <v>185</v>
      </c>
      <c r="P741" s="41">
        <f t="shared" si="322"/>
        <v>0.92964824120603018</v>
      </c>
      <c r="Q741" s="21">
        <v>7</v>
      </c>
      <c r="R741" s="41">
        <f t="shared" si="323"/>
        <v>3.3175355450236969E-2</v>
      </c>
      <c r="S741" s="21">
        <v>6</v>
      </c>
      <c r="T741" s="41">
        <f t="shared" si="324"/>
        <v>3.015075376884422E-2</v>
      </c>
      <c r="U741" s="21">
        <v>15</v>
      </c>
      <c r="V741" s="41">
        <f t="shared" si="325"/>
        <v>7.1090047393364927E-2</v>
      </c>
      <c r="W741" s="21">
        <v>15</v>
      </c>
      <c r="X741" s="41">
        <f t="shared" si="326"/>
        <v>7.5376884422110546E-2</v>
      </c>
      <c r="Y741" s="21">
        <v>8</v>
      </c>
      <c r="Z741" s="41">
        <f t="shared" si="327"/>
        <v>3.7914691943127965E-2</v>
      </c>
      <c r="AA741" s="21">
        <v>9</v>
      </c>
      <c r="AB741" s="41">
        <f t="shared" si="328"/>
        <v>4.5226130653266333E-2</v>
      </c>
      <c r="AC741" s="21">
        <v>188</v>
      </c>
      <c r="AD741" s="41">
        <f t="shared" si="336"/>
        <v>0.89099526066350709</v>
      </c>
      <c r="AE741" s="21">
        <v>175</v>
      </c>
      <c r="AF741" s="41">
        <f t="shared" si="329"/>
        <v>0.87939698492462315</v>
      </c>
      <c r="AG741" s="21">
        <v>14</v>
      </c>
      <c r="AH741" s="41">
        <f t="shared" si="337"/>
        <v>6.6350710900473939E-2</v>
      </c>
      <c r="AI741" s="21">
        <v>13</v>
      </c>
      <c r="AJ741" s="41">
        <f t="shared" si="330"/>
        <v>6.5326633165829151E-2</v>
      </c>
      <c r="AK741" s="21">
        <v>8</v>
      </c>
      <c r="AL741" s="41">
        <f t="shared" si="338"/>
        <v>3.7914691943127965E-2</v>
      </c>
      <c r="AM741" s="21">
        <v>8</v>
      </c>
      <c r="AN741" s="41">
        <f t="shared" si="331"/>
        <v>4.0201005025125629E-2</v>
      </c>
      <c r="AO741" s="21">
        <v>136</v>
      </c>
      <c r="AP741" s="41">
        <f t="shared" si="339"/>
        <v>0.64454976303317535</v>
      </c>
      <c r="AQ741" s="21">
        <v>128</v>
      </c>
      <c r="AR741" s="41">
        <f t="shared" si="332"/>
        <v>0.64321608040201006</v>
      </c>
      <c r="AS741" s="21">
        <v>27</v>
      </c>
      <c r="AT741" s="41">
        <f t="shared" si="340"/>
        <v>0.12796208530805686</v>
      </c>
      <c r="AU741" s="21">
        <v>26</v>
      </c>
      <c r="AV741" s="41">
        <f t="shared" si="333"/>
        <v>0.1306532663316583</v>
      </c>
      <c r="AW741" s="21">
        <v>14</v>
      </c>
      <c r="AX741" s="41">
        <f t="shared" si="341"/>
        <v>6.6350710900473939E-2</v>
      </c>
      <c r="AY741" s="21">
        <v>13</v>
      </c>
      <c r="AZ741" s="41">
        <f t="shared" si="334"/>
        <v>6.5326633165829151E-2</v>
      </c>
      <c r="BA741" s="21">
        <v>12</v>
      </c>
      <c r="BB741" s="41">
        <f t="shared" si="342"/>
        <v>5.6872037914691941E-2</v>
      </c>
      <c r="BC741" s="21">
        <v>11</v>
      </c>
      <c r="BD741" s="41">
        <f t="shared" si="335"/>
        <v>5.5276381909547742E-2</v>
      </c>
      <c r="BE741" s="21">
        <v>211</v>
      </c>
      <c r="BF741" s="21">
        <v>199</v>
      </c>
    </row>
    <row r="742" spans="1:58" ht="15.75" customHeight="1" x14ac:dyDescent="0.25">
      <c r="A742" s="44">
        <v>2019</v>
      </c>
      <c r="B742" s="39">
        <v>170700</v>
      </c>
      <c r="C742" s="38" t="s">
        <v>147</v>
      </c>
      <c r="D742" s="38" t="s">
        <v>50</v>
      </c>
      <c r="E742" s="21">
        <v>9</v>
      </c>
      <c r="F742" s="42">
        <f t="shared" si="317"/>
        <v>1.3062409288824383E-2</v>
      </c>
      <c r="G742" s="21">
        <v>9</v>
      </c>
      <c r="H742" s="42">
        <f t="shared" si="318"/>
        <v>1.7928286852589643E-2</v>
      </c>
      <c r="I742" s="21">
        <v>17</v>
      </c>
      <c r="J742" s="41">
        <f t="shared" si="319"/>
        <v>2.4673439767779391E-2</v>
      </c>
      <c r="K742" s="21">
        <v>13</v>
      </c>
      <c r="L742" s="41">
        <f t="shared" si="320"/>
        <v>2.5896414342629483E-2</v>
      </c>
      <c r="M742" s="21">
        <v>628</v>
      </c>
      <c r="N742" s="41">
        <f t="shared" si="321"/>
        <v>0.91146589259796806</v>
      </c>
      <c r="O742" s="21">
        <v>455</v>
      </c>
      <c r="P742" s="41">
        <f t="shared" si="322"/>
        <v>0.90637450199203184</v>
      </c>
      <c r="Q742" s="21">
        <v>35</v>
      </c>
      <c r="R742" s="41">
        <f t="shared" si="323"/>
        <v>5.0798258345428157E-2</v>
      </c>
      <c r="S742" s="21">
        <v>25</v>
      </c>
      <c r="T742" s="41">
        <f t="shared" si="324"/>
        <v>4.9800796812749001E-2</v>
      </c>
      <c r="U742" s="21">
        <v>42</v>
      </c>
      <c r="V742" s="41">
        <f t="shared" si="325"/>
        <v>6.095791001451379E-2</v>
      </c>
      <c r="W742" s="21">
        <v>36</v>
      </c>
      <c r="X742" s="41">
        <f t="shared" si="326"/>
        <v>7.1713147410358571E-2</v>
      </c>
      <c r="Y742" s="21">
        <v>42</v>
      </c>
      <c r="Z742" s="41">
        <f t="shared" si="327"/>
        <v>6.095791001451379E-2</v>
      </c>
      <c r="AA742" s="21">
        <v>34</v>
      </c>
      <c r="AB742" s="41">
        <f t="shared" si="328"/>
        <v>6.7729083665338641E-2</v>
      </c>
      <c r="AC742" s="21">
        <v>605</v>
      </c>
      <c r="AD742" s="41">
        <f t="shared" si="336"/>
        <v>0.87808417997097243</v>
      </c>
      <c r="AE742" s="21">
        <v>432</v>
      </c>
      <c r="AF742" s="41">
        <f t="shared" si="329"/>
        <v>0.8605577689243028</v>
      </c>
      <c r="AG742" s="21">
        <v>27</v>
      </c>
      <c r="AH742" s="41">
        <f t="shared" si="337"/>
        <v>3.9187227866473148E-2</v>
      </c>
      <c r="AI742" s="21">
        <v>27</v>
      </c>
      <c r="AJ742" s="41">
        <f t="shared" si="330"/>
        <v>5.3784860557768925E-2</v>
      </c>
      <c r="AK742" s="21">
        <v>41</v>
      </c>
      <c r="AL742" s="41">
        <f t="shared" si="338"/>
        <v>5.9506531204644414E-2</v>
      </c>
      <c r="AM742" s="21">
        <v>35</v>
      </c>
      <c r="AN742" s="41">
        <f t="shared" si="331"/>
        <v>6.9721115537848599E-2</v>
      </c>
      <c r="AO742" s="21">
        <v>456</v>
      </c>
      <c r="AP742" s="41">
        <f t="shared" si="339"/>
        <v>0.66182873730043545</v>
      </c>
      <c r="AQ742" s="21">
        <v>317</v>
      </c>
      <c r="AR742" s="41">
        <f t="shared" si="332"/>
        <v>0.63147410358565736</v>
      </c>
      <c r="AS742" s="21">
        <v>111</v>
      </c>
      <c r="AT742" s="41">
        <f t="shared" si="340"/>
        <v>0.16110304789550073</v>
      </c>
      <c r="AU742" s="21">
        <v>86</v>
      </c>
      <c r="AV742" s="41">
        <f t="shared" si="333"/>
        <v>0.17131474103585656</v>
      </c>
      <c r="AW742" s="21">
        <v>28</v>
      </c>
      <c r="AX742" s="41">
        <f t="shared" si="341"/>
        <v>4.0638606676342524E-2</v>
      </c>
      <c r="AY742" s="21">
        <v>15</v>
      </c>
      <c r="AZ742" s="41">
        <f t="shared" si="334"/>
        <v>2.9880478087649404E-2</v>
      </c>
      <c r="BA742" s="21">
        <v>26</v>
      </c>
      <c r="BB742" s="41">
        <f t="shared" si="342"/>
        <v>3.7735849056603772E-2</v>
      </c>
      <c r="BC742" s="21">
        <v>22</v>
      </c>
      <c r="BD742" s="41">
        <f t="shared" si="335"/>
        <v>4.3824701195219126E-2</v>
      </c>
      <c r="BE742" s="21">
        <v>689</v>
      </c>
      <c r="BF742" s="21">
        <v>502</v>
      </c>
    </row>
    <row r="743" spans="1:58" ht="15.75" customHeight="1" x14ac:dyDescent="0.25">
      <c r="A743" s="44">
        <v>2019</v>
      </c>
      <c r="B743" s="39">
        <v>170710</v>
      </c>
      <c r="C743" s="38" t="s">
        <v>144</v>
      </c>
      <c r="D743" s="38" t="s">
        <v>51</v>
      </c>
      <c r="E743" s="21">
        <v>6</v>
      </c>
      <c r="F743" s="42">
        <f t="shared" si="317"/>
        <v>1.6E-2</v>
      </c>
      <c r="G743" s="21">
        <v>3</v>
      </c>
      <c r="H743" s="42">
        <f t="shared" si="318"/>
        <v>1.2396694214876033E-2</v>
      </c>
      <c r="I743" s="21">
        <v>12</v>
      </c>
      <c r="J743" s="41">
        <f t="shared" si="319"/>
        <v>3.2000000000000001E-2</v>
      </c>
      <c r="K743" s="21">
        <v>10</v>
      </c>
      <c r="L743" s="41">
        <f t="shared" si="320"/>
        <v>4.1322314049586778E-2</v>
      </c>
      <c r="M743" s="21">
        <v>340</v>
      </c>
      <c r="N743" s="41">
        <f t="shared" si="321"/>
        <v>0.90666666666666662</v>
      </c>
      <c r="O743" s="21">
        <v>220</v>
      </c>
      <c r="P743" s="41">
        <f t="shared" si="322"/>
        <v>0.90909090909090906</v>
      </c>
      <c r="Q743" s="21">
        <v>17</v>
      </c>
      <c r="R743" s="41">
        <f t="shared" si="323"/>
        <v>4.5333333333333337E-2</v>
      </c>
      <c r="S743" s="21">
        <v>9</v>
      </c>
      <c r="T743" s="41">
        <f t="shared" si="324"/>
        <v>3.71900826446281E-2</v>
      </c>
      <c r="U743" s="21">
        <v>21</v>
      </c>
      <c r="V743" s="41">
        <f t="shared" si="325"/>
        <v>5.6000000000000001E-2</v>
      </c>
      <c r="W743" s="21">
        <v>16</v>
      </c>
      <c r="X743" s="41">
        <f t="shared" si="326"/>
        <v>6.6115702479338845E-2</v>
      </c>
      <c r="Y743" s="21">
        <v>23</v>
      </c>
      <c r="Z743" s="41">
        <f t="shared" si="327"/>
        <v>6.133333333333333E-2</v>
      </c>
      <c r="AA743" s="21">
        <v>17</v>
      </c>
      <c r="AB743" s="41">
        <f t="shared" si="328"/>
        <v>7.0247933884297523E-2</v>
      </c>
      <c r="AC743" s="21">
        <v>331</v>
      </c>
      <c r="AD743" s="41">
        <f t="shared" si="336"/>
        <v>0.88266666666666671</v>
      </c>
      <c r="AE743" s="21">
        <v>209</v>
      </c>
      <c r="AF743" s="41">
        <f t="shared" si="329"/>
        <v>0.86363636363636365</v>
      </c>
      <c r="AG743" s="21">
        <v>20</v>
      </c>
      <c r="AH743" s="41">
        <f t="shared" si="337"/>
        <v>5.3333333333333337E-2</v>
      </c>
      <c r="AI743" s="21">
        <v>13</v>
      </c>
      <c r="AJ743" s="41">
        <f t="shared" si="330"/>
        <v>5.3719008264462811E-2</v>
      </c>
      <c r="AK743" s="21">
        <v>15</v>
      </c>
      <c r="AL743" s="41">
        <f t="shared" si="338"/>
        <v>0.04</v>
      </c>
      <c r="AM743" s="21">
        <v>16</v>
      </c>
      <c r="AN743" s="41">
        <f t="shared" si="331"/>
        <v>6.6115702479338845E-2</v>
      </c>
      <c r="AO743" s="21">
        <v>238</v>
      </c>
      <c r="AP743" s="41">
        <f t="shared" si="339"/>
        <v>0.63466666666666671</v>
      </c>
      <c r="AQ743" s="21">
        <v>160</v>
      </c>
      <c r="AR743" s="41">
        <f t="shared" si="332"/>
        <v>0.66115702479338845</v>
      </c>
      <c r="AS743" s="21">
        <v>59</v>
      </c>
      <c r="AT743" s="41">
        <f t="shared" si="340"/>
        <v>0.15733333333333333</v>
      </c>
      <c r="AU743" s="21">
        <v>25</v>
      </c>
      <c r="AV743" s="41">
        <f t="shared" si="333"/>
        <v>0.10330578512396695</v>
      </c>
      <c r="AW743" s="21">
        <v>30</v>
      </c>
      <c r="AX743" s="41">
        <f t="shared" si="341"/>
        <v>0.08</v>
      </c>
      <c r="AY743" s="21">
        <v>21</v>
      </c>
      <c r="AZ743" s="41">
        <f t="shared" si="334"/>
        <v>8.6776859504132234E-2</v>
      </c>
      <c r="BA743" s="21">
        <v>13</v>
      </c>
      <c r="BB743" s="41">
        <f t="shared" si="342"/>
        <v>3.4666666666666665E-2</v>
      </c>
      <c r="BC743" s="21">
        <v>7</v>
      </c>
      <c r="BD743" s="41">
        <f t="shared" si="335"/>
        <v>2.8925619834710745E-2</v>
      </c>
      <c r="BE743" s="21">
        <v>375</v>
      </c>
      <c r="BF743" s="21">
        <v>242</v>
      </c>
    </row>
    <row r="744" spans="1:58" ht="15.75" customHeight="1" x14ac:dyDescent="0.25">
      <c r="A744" s="44">
        <v>2019</v>
      </c>
      <c r="B744" s="39">
        <v>170720</v>
      </c>
      <c r="C744" s="38" t="s">
        <v>144</v>
      </c>
      <c r="D744" s="38" t="s">
        <v>52</v>
      </c>
      <c r="E744" s="21">
        <v>0</v>
      </c>
      <c r="F744" s="42">
        <f t="shared" si="317"/>
        <v>0</v>
      </c>
      <c r="G744" s="21">
        <v>0</v>
      </c>
      <c r="H744" s="42">
        <f t="shared" si="318"/>
        <v>0</v>
      </c>
      <c r="I744" s="21">
        <v>3</v>
      </c>
      <c r="J744" s="41">
        <f t="shared" si="319"/>
        <v>1.1406844106463879E-2</v>
      </c>
      <c r="K744" s="21">
        <v>3</v>
      </c>
      <c r="L744" s="41">
        <f t="shared" si="320"/>
        <v>1.7751479289940829E-2</v>
      </c>
      <c r="M744" s="21">
        <v>236</v>
      </c>
      <c r="N744" s="41">
        <f t="shared" si="321"/>
        <v>0.89733840304182511</v>
      </c>
      <c r="O744" s="21">
        <v>154</v>
      </c>
      <c r="P744" s="41">
        <f t="shared" si="322"/>
        <v>0.91124260355029585</v>
      </c>
      <c r="Q744" s="21">
        <v>24</v>
      </c>
      <c r="R744" s="41">
        <f t="shared" si="323"/>
        <v>9.125475285171103E-2</v>
      </c>
      <c r="S744" s="21">
        <v>12</v>
      </c>
      <c r="T744" s="41">
        <f t="shared" si="324"/>
        <v>7.1005917159763315E-2</v>
      </c>
      <c r="U744" s="21">
        <v>9</v>
      </c>
      <c r="V744" s="41">
        <f t="shared" si="325"/>
        <v>3.4220532319391636E-2</v>
      </c>
      <c r="W744" s="21">
        <v>1</v>
      </c>
      <c r="X744" s="41">
        <f t="shared" si="326"/>
        <v>5.9171597633136093E-3</v>
      </c>
      <c r="Y744" s="21">
        <v>11</v>
      </c>
      <c r="Z744" s="41">
        <f t="shared" si="327"/>
        <v>4.1825095057034217E-2</v>
      </c>
      <c r="AA744" s="21">
        <v>6</v>
      </c>
      <c r="AB744" s="41">
        <f t="shared" si="328"/>
        <v>3.5502958579881658E-2</v>
      </c>
      <c r="AC744" s="21">
        <v>243</v>
      </c>
      <c r="AD744" s="41">
        <f t="shared" si="336"/>
        <v>0.92395437262357416</v>
      </c>
      <c r="AE744" s="21">
        <v>162</v>
      </c>
      <c r="AF744" s="41">
        <f t="shared" si="329"/>
        <v>0.95857988165680474</v>
      </c>
      <c r="AG744" s="21">
        <v>7</v>
      </c>
      <c r="AH744" s="41">
        <f t="shared" si="337"/>
        <v>2.6615969581749048E-2</v>
      </c>
      <c r="AI744" s="21">
        <v>6</v>
      </c>
      <c r="AJ744" s="41">
        <f t="shared" si="330"/>
        <v>3.5502958579881658E-2</v>
      </c>
      <c r="AK744" s="21">
        <v>11</v>
      </c>
      <c r="AL744" s="41">
        <f t="shared" si="338"/>
        <v>4.1825095057034217E-2</v>
      </c>
      <c r="AM744" s="21">
        <v>7</v>
      </c>
      <c r="AN744" s="41">
        <f t="shared" si="331"/>
        <v>4.142011834319527E-2</v>
      </c>
      <c r="AO744" s="21">
        <v>168</v>
      </c>
      <c r="AP744" s="41">
        <f t="shared" si="339"/>
        <v>0.63878326996197721</v>
      </c>
      <c r="AQ744" s="21">
        <v>112</v>
      </c>
      <c r="AR744" s="41">
        <f t="shared" si="332"/>
        <v>0.66272189349112431</v>
      </c>
      <c r="AS744" s="21">
        <v>36</v>
      </c>
      <c r="AT744" s="41">
        <f t="shared" si="340"/>
        <v>0.13688212927756654</v>
      </c>
      <c r="AU744" s="21">
        <v>24</v>
      </c>
      <c r="AV744" s="41">
        <f t="shared" si="333"/>
        <v>0.14201183431952663</v>
      </c>
      <c r="AW744" s="21">
        <v>15</v>
      </c>
      <c r="AX744" s="41">
        <f t="shared" si="341"/>
        <v>5.7034220532319393E-2</v>
      </c>
      <c r="AY744" s="21">
        <v>10</v>
      </c>
      <c r="AZ744" s="41">
        <f t="shared" si="334"/>
        <v>5.9171597633136092E-2</v>
      </c>
      <c r="BA744" s="21">
        <v>26</v>
      </c>
      <c r="BB744" s="41">
        <f t="shared" si="342"/>
        <v>9.8859315589353611E-2</v>
      </c>
      <c r="BC744" s="21">
        <v>10</v>
      </c>
      <c r="BD744" s="41">
        <f t="shared" si="335"/>
        <v>5.9171597633136092E-2</v>
      </c>
      <c r="BE744" s="21">
        <v>263</v>
      </c>
      <c r="BF744" s="21">
        <v>169</v>
      </c>
    </row>
    <row r="745" spans="1:58" ht="15.75" customHeight="1" x14ac:dyDescent="0.25">
      <c r="A745" s="44">
        <v>2019</v>
      </c>
      <c r="B745" s="39">
        <v>170730</v>
      </c>
      <c r="C745" s="38" t="s">
        <v>146</v>
      </c>
      <c r="D745" s="38" t="s">
        <v>53</v>
      </c>
      <c r="E745" s="21">
        <v>8</v>
      </c>
      <c r="F745" s="42">
        <f t="shared" si="317"/>
        <v>4.3715846994535519E-2</v>
      </c>
      <c r="G745" s="21">
        <v>8</v>
      </c>
      <c r="H745" s="42">
        <f t="shared" si="318"/>
        <v>5.6338028169014086E-2</v>
      </c>
      <c r="I745" s="21">
        <v>4</v>
      </c>
      <c r="J745" s="41">
        <f t="shared" si="319"/>
        <v>2.185792349726776E-2</v>
      </c>
      <c r="K745" s="21">
        <v>4</v>
      </c>
      <c r="L745" s="41">
        <f t="shared" si="320"/>
        <v>2.8169014084507043E-2</v>
      </c>
      <c r="M745" s="21">
        <v>162</v>
      </c>
      <c r="N745" s="41">
        <f t="shared" si="321"/>
        <v>0.88524590163934425</v>
      </c>
      <c r="O745" s="21">
        <v>125</v>
      </c>
      <c r="P745" s="41">
        <f t="shared" si="322"/>
        <v>0.88028169014084512</v>
      </c>
      <c r="Q745" s="21">
        <v>9</v>
      </c>
      <c r="R745" s="41">
        <f t="shared" si="323"/>
        <v>4.9180327868852458E-2</v>
      </c>
      <c r="S745" s="21">
        <v>5</v>
      </c>
      <c r="T745" s="41">
        <f t="shared" si="324"/>
        <v>3.5211267605633804E-2</v>
      </c>
      <c r="U745" s="21">
        <v>21</v>
      </c>
      <c r="V745" s="41">
        <f t="shared" si="325"/>
        <v>0.11475409836065574</v>
      </c>
      <c r="W745" s="21">
        <v>17</v>
      </c>
      <c r="X745" s="41">
        <f t="shared" si="326"/>
        <v>0.11971830985915492</v>
      </c>
      <c r="Y745" s="21">
        <v>25</v>
      </c>
      <c r="Z745" s="41">
        <f t="shared" si="327"/>
        <v>0.13661202185792351</v>
      </c>
      <c r="AA745" s="21">
        <v>21</v>
      </c>
      <c r="AB745" s="41">
        <f t="shared" si="328"/>
        <v>0.14788732394366197</v>
      </c>
      <c r="AC745" s="21">
        <v>137</v>
      </c>
      <c r="AD745" s="41">
        <f t="shared" si="336"/>
        <v>0.74863387978142082</v>
      </c>
      <c r="AE745" s="21">
        <v>104</v>
      </c>
      <c r="AF745" s="41">
        <f t="shared" si="329"/>
        <v>0.73239436619718312</v>
      </c>
      <c r="AG745" s="21">
        <v>10</v>
      </c>
      <c r="AH745" s="41">
        <f t="shared" si="337"/>
        <v>5.4644808743169397E-2</v>
      </c>
      <c r="AI745" s="21">
        <v>8</v>
      </c>
      <c r="AJ745" s="41">
        <f t="shared" si="330"/>
        <v>5.6338028169014086E-2</v>
      </c>
      <c r="AK745" s="21">
        <v>2</v>
      </c>
      <c r="AL745" s="41">
        <f t="shared" si="338"/>
        <v>1.092896174863388E-2</v>
      </c>
      <c r="AM745" s="21">
        <v>3</v>
      </c>
      <c r="AN745" s="41">
        <f t="shared" si="331"/>
        <v>2.1126760563380281E-2</v>
      </c>
      <c r="AO745" s="21">
        <v>108</v>
      </c>
      <c r="AP745" s="41">
        <f t="shared" si="339"/>
        <v>0.5901639344262295</v>
      </c>
      <c r="AQ745" s="21">
        <v>88</v>
      </c>
      <c r="AR745" s="41">
        <f t="shared" si="332"/>
        <v>0.61971830985915488</v>
      </c>
      <c r="AS745" s="21">
        <v>27</v>
      </c>
      <c r="AT745" s="41">
        <f t="shared" si="340"/>
        <v>0.14754098360655737</v>
      </c>
      <c r="AU745" s="21">
        <v>19</v>
      </c>
      <c r="AV745" s="41">
        <f t="shared" si="333"/>
        <v>0.13380281690140844</v>
      </c>
      <c r="AW745" s="21">
        <v>17</v>
      </c>
      <c r="AX745" s="41">
        <f t="shared" si="341"/>
        <v>9.2896174863387984E-2</v>
      </c>
      <c r="AY745" s="21">
        <v>13</v>
      </c>
      <c r="AZ745" s="41">
        <f t="shared" si="334"/>
        <v>9.154929577464789E-2</v>
      </c>
      <c r="BA745" s="21">
        <v>19</v>
      </c>
      <c r="BB745" s="41">
        <f t="shared" si="342"/>
        <v>0.10382513661202186</v>
      </c>
      <c r="BC745" s="21">
        <v>11</v>
      </c>
      <c r="BD745" s="41">
        <f t="shared" si="335"/>
        <v>7.746478873239436E-2</v>
      </c>
      <c r="BE745" s="21">
        <v>183</v>
      </c>
      <c r="BF745" s="21">
        <v>142</v>
      </c>
    </row>
    <row r="746" spans="1:58" ht="15.75" customHeight="1" x14ac:dyDescent="0.25">
      <c r="A746" s="44">
        <v>2019</v>
      </c>
      <c r="B746" s="39">
        <v>170740</v>
      </c>
      <c r="C746" s="38" t="s">
        <v>145</v>
      </c>
      <c r="D746" s="38" t="s">
        <v>54</v>
      </c>
      <c r="E746" s="21">
        <v>10</v>
      </c>
      <c r="F746" s="42">
        <f t="shared" si="317"/>
        <v>2.0408163265306121E-2</v>
      </c>
      <c r="G746" s="21">
        <v>9</v>
      </c>
      <c r="H746" s="42">
        <f t="shared" si="318"/>
        <v>1.9438444924406047E-2</v>
      </c>
      <c r="I746" s="21">
        <v>36</v>
      </c>
      <c r="J746" s="41">
        <f t="shared" si="319"/>
        <v>7.3469387755102047E-2</v>
      </c>
      <c r="K746" s="21">
        <v>34</v>
      </c>
      <c r="L746" s="41">
        <f t="shared" si="320"/>
        <v>7.3434125269978404E-2</v>
      </c>
      <c r="M746" s="21">
        <v>429</v>
      </c>
      <c r="N746" s="41">
        <f t="shared" si="321"/>
        <v>0.8755102040816326</v>
      </c>
      <c r="O746" s="21">
        <v>405</v>
      </c>
      <c r="P746" s="41">
        <f t="shared" si="322"/>
        <v>0.87473002159827218</v>
      </c>
      <c r="Q746" s="21">
        <v>15</v>
      </c>
      <c r="R746" s="41">
        <f t="shared" si="323"/>
        <v>3.0612244897959183E-2</v>
      </c>
      <c r="S746" s="21">
        <v>15</v>
      </c>
      <c r="T746" s="41">
        <f t="shared" si="324"/>
        <v>3.2397408207343416E-2</v>
      </c>
      <c r="U746" s="21">
        <v>34</v>
      </c>
      <c r="V746" s="41">
        <f t="shared" si="325"/>
        <v>6.9387755102040816E-2</v>
      </c>
      <c r="W746" s="21">
        <v>33</v>
      </c>
      <c r="X746" s="41">
        <f t="shared" si="326"/>
        <v>7.1274298056155511E-2</v>
      </c>
      <c r="Y746" s="21">
        <v>62</v>
      </c>
      <c r="Z746" s="41">
        <f t="shared" si="327"/>
        <v>0.12653061224489795</v>
      </c>
      <c r="AA746" s="21">
        <v>62</v>
      </c>
      <c r="AB746" s="41">
        <f t="shared" si="328"/>
        <v>0.13390928725701945</v>
      </c>
      <c r="AC746" s="21">
        <v>394</v>
      </c>
      <c r="AD746" s="41">
        <f t="shared" si="336"/>
        <v>0.80408163265306121</v>
      </c>
      <c r="AE746" s="21">
        <v>368</v>
      </c>
      <c r="AF746" s="41">
        <f t="shared" si="329"/>
        <v>0.79481641468682507</v>
      </c>
      <c r="AG746" s="21">
        <v>24</v>
      </c>
      <c r="AH746" s="41">
        <f t="shared" si="337"/>
        <v>4.8979591836734691E-2</v>
      </c>
      <c r="AI746" s="21">
        <v>20</v>
      </c>
      <c r="AJ746" s="41">
        <f t="shared" si="330"/>
        <v>4.3196544276457881E-2</v>
      </c>
      <c r="AK746" s="21">
        <v>28</v>
      </c>
      <c r="AL746" s="41">
        <f t="shared" si="338"/>
        <v>5.7142857142857141E-2</v>
      </c>
      <c r="AM746" s="21">
        <v>26</v>
      </c>
      <c r="AN746" s="41">
        <f t="shared" si="331"/>
        <v>5.6155507559395246E-2</v>
      </c>
      <c r="AO746" s="21">
        <v>320</v>
      </c>
      <c r="AP746" s="41">
        <f t="shared" si="339"/>
        <v>0.65306122448979587</v>
      </c>
      <c r="AQ746" s="21">
        <v>300</v>
      </c>
      <c r="AR746" s="41">
        <f t="shared" si="332"/>
        <v>0.64794816414686829</v>
      </c>
      <c r="AS746" s="21">
        <v>76</v>
      </c>
      <c r="AT746" s="41">
        <f t="shared" si="340"/>
        <v>0.15510204081632653</v>
      </c>
      <c r="AU746" s="21">
        <v>75</v>
      </c>
      <c r="AV746" s="41">
        <f t="shared" si="333"/>
        <v>0.16198704103671707</v>
      </c>
      <c r="AW746" s="21">
        <v>23</v>
      </c>
      <c r="AX746" s="41">
        <f t="shared" si="341"/>
        <v>4.6938775510204082E-2</v>
      </c>
      <c r="AY746" s="21">
        <v>24</v>
      </c>
      <c r="AZ746" s="41">
        <f t="shared" si="334"/>
        <v>5.183585313174946E-2</v>
      </c>
      <c r="BA746" s="21">
        <v>19</v>
      </c>
      <c r="BB746" s="41">
        <f t="shared" si="342"/>
        <v>3.8775510204081633E-2</v>
      </c>
      <c r="BC746" s="21">
        <v>18</v>
      </c>
      <c r="BD746" s="41">
        <f t="shared" si="335"/>
        <v>3.8876889848812095E-2</v>
      </c>
      <c r="BE746" s="21">
        <v>490</v>
      </c>
      <c r="BF746" s="21">
        <v>463</v>
      </c>
    </row>
    <row r="747" spans="1:58" ht="15.75" customHeight="1" x14ac:dyDescent="0.25">
      <c r="A747" s="44">
        <v>2019</v>
      </c>
      <c r="B747" s="39">
        <v>170755</v>
      </c>
      <c r="C747" s="38" t="s">
        <v>151</v>
      </c>
      <c r="D747" s="38" t="s">
        <v>55</v>
      </c>
      <c r="E747" s="21">
        <v>0</v>
      </c>
      <c r="F747" s="42">
        <f t="shared" si="317"/>
        <v>0</v>
      </c>
      <c r="G747" s="21">
        <v>0</v>
      </c>
      <c r="H747" s="42">
        <f t="shared" si="318"/>
        <v>0</v>
      </c>
      <c r="I747" s="21">
        <v>0</v>
      </c>
      <c r="J747" s="41">
        <f t="shared" si="319"/>
        <v>0</v>
      </c>
      <c r="K747" s="21">
        <v>0</v>
      </c>
      <c r="L747" s="41">
        <f t="shared" si="320"/>
        <v>0</v>
      </c>
      <c r="M747" s="21">
        <v>129</v>
      </c>
      <c r="N747" s="41">
        <f t="shared" si="321"/>
        <v>0.94852941176470584</v>
      </c>
      <c r="O747" s="21">
        <v>83</v>
      </c>
      <c r="P747" s="41">
        <f t="shared" si="322"/>
        <v>0.96511627906976749</v>
      </c>
      <c r="Q747" s="21">
        <v>7</v>
      </c>
      <c r="R747" s="41">
        <f t="shared" si="323"/>
        <v>5.1470588235294115E-2</v>
      </c>
      <c r="S747" s="21">
        <v>3</v>
      </c>
      <c r="T747" s="41">
        <f t="shared" si="324"/>
        <v>3.4883720930232558E-2</v>
      </c>
      <c r="U747" s="21">
        <v>3</v>
      </c>
      <c r="V747" s="41">
        <f t="shared" si="325"/>
        <v>2.2058823529411766E-2</v>
      </c>
      <c r="W747" s="21">
        <v>0</v>
      </c>
      <c r="X747" s="41">
        <f t="shared" si="326"/>
        <v>0</v>
      </c>
      <c r="Y747" s="21">
        <v>11</v>
      </c>
      <c r="Z747" s="41">
        <f t="shared" si="327"/>
        <v>8.0882352941176475E-2</v>
      </c>
      <c r="AA747" s="21">
        <v>9</v>
      </c>
      <c r="AB747" s="41">
        <f t="shared" si="328"/>
        <v>0.10465116279069768</v>
      </c>
      <c r="AC747" s="21">
        <v>122</v>
      </c>
      <c r="AD747" s="41">
        <f t="shared" si="336"/>
        <v>0.8970588235294118</v>
      </c>
      <c r="AE747" s="21">
        <v>77</v>
      </c>
      <c r="AF747" s="41">
        <f t="shared" si="329"/>
        <v>0.89534883720930236</v>
      </c>
      <c r="AG747" s="21">
        <v>3</v>
      </c>
      <c r="AH747" s="41">
        <f t="shared" si="337"/>
        <v>2.2058823529411766E-2</v>
      </c>
      <c r="AI747" s="21">
        <v>3</v>
      </c>
      <c r="AJ747" s="41">
        <f t="shared" si="330"/>
        <v>3.4883720930232558E-2</v>
      </c>
      <c r="AK747" s="21">
        <v>2</v>
      </c>
      <c r="AL747" s="41">
        <f t="shared" si="338"/>
        <v>1.4705882352941176E-2</v>
      </c>
      <c r="AM747" s="21">
        <v>2</v>
      </c>
      <c r="AN747" s="41">
        <f t="shared" si="331"/>
        <v>2.3255813953488372E-2</v>
      </c>
      <c r="AO747" s="21">
        <v>93</v>
      </c>
      <c r="AP747" s="41">
        <f t="shared" si="339"/>
        <v>0.68382352941176472</v>
      </c>
      <c r="AQ747" s="21">
        <v>59</v>
      </c>
      <c r="AR747" s="41">
        <f t="shared" si="332"/>
        <v>0.68604651162790697</v>
      </c>
      <c r="AS747" s="21">
        <v>21</v>
      </c>
      <c r="AT747" s="41">
        <f t="shared" si="340"/>
        <v>0.15441176470588236</v>
      </c>
      <c r="AU747" s="21">
        <v>14</v>
      </c>
      <c r="AV747" s="41">
        <f t="shared" si="333"/>
        <v>0.16279069767441862</v>
      </c>
      <c r="AW747" s="21">
        <v>9</v>
      </c>
      <c r="AX747" s="41">
        <f t="shared" si="341"/>
        <v>6.6176470588235295E-2</v>
      </c>
      <c r="AY747" s="21">
        <v>5</v>
      </c>
      <c r="AZ747" s="41">
        <f t="shared" si="334"/>
        <v>5.8139534883720929E-2</v>
      </c>
      <c r="BA747" s="21">
        <v>8</v>
      </c>
      <c r="BB747" s="41">
        <f t="shared" si="342"/>
        <v>5.8823529411764705E-2</v>
      </c>
      <c r="BC747" s="21">
        <v>3</v>
      </c>
      <c r="BD747" s="41">
        <f t="shared" si="335"/>
        <v>3.4883720930232558E-2</v>
      </c>
      <c r="BE747" s="21">
        <v>136</v>
      </c>
      <c r="BF747" s="21">
        <v>86</v>
      </c>
    </row>
    <row r="748" spans="1:58" ht="15.75" customHeight="1" x14ac:dyDescent="0.25">
      <c r="A748" s="44">
        <v>2019</v>
      </c>
      <c r="B748" s="39">
        <v>170765</v>
      </c>
      <c r="C748" s="38" t="s">
        <v>146</v>
      </c>
      <c r="D748" s="38" t="s">
        <v>56</v>
      </c>
      <c r="E748" s="21">
        <v>1</v>
      </c>
      <c r="F748" s="42">
        <f t="shared" si="317"/>
        <v>5.5865921787709499E-3</v>
      </c>
      <c r="G748" s="21">
        <v>1</v>
      </c>
      <c r="H748" s="42">
        <f t="shared" si="318"/>
        <v>5.7803468208092483E-3</v>
      </c>
      <c r="I748" s="21">
        <v>7</v>
      </c>
      <c r="J748" s="41">
        <f t="shared" si="319"/>
        <v>3.9106145251396648E-2</v>
      </c>
      <c r="K748" s="21">
        <v>8</v>
      </c>
      <c r="L748" s="41">
        <f t="shared" si="320"/>
        <v>4.6242774566473986E-2</v>
      </c>
      <c r="M748" s="21">
        <v>158</v>
      </c>
      <c r="N748" s="41">
        <f t="shared" si="321"/>
        <v>0.88268156424581001</v>
      </c>
      <c r="O748" s="21">
        <v>153</v>
      </c>
      <c r="P748" s="41">
        <f t="shared" si="322"/>
        <v>0.88439306358381498</v>
      </c>
      <c r="Q748" s="21">
        <v>13</v>
      </c>
      <c r="R748" s="41">
        <f t="shared" si="323"/>
        <v>7.2625698324022353E-2</v>
      </c>
      <c r="S748" s="21">
        <v>11</v>
      </c>
      <c r="T748" s="41">
        <f t="shared" si="324"/>
        <v>6.358381502890173E-2</v>
      </c>
      <c r="U748" s="21">
        <v>10</v>
      </c>
      <c r="V748" s="41">
        <f t="shared" si="325"/>
        <v>5.5865921787709494E-2</v>
      </c>
      <c r="W748" s="21">
        <v>10</v>
      </c>
      <c r="X748" s="41">
        <f t="shared" si="326"/>
        <v>5.7803468208092484E-2</v>
      </c>
      <c r="Y748" s="21">
        <v>17</v>
      </c>
      <c r="Z748" s="41">
        <f t="shared" si="327"/>
        <v>9.4972067039106142E-2</v>
      </c>
      <c r="AA748" s="21">
        <v>17</v>
      </c>
      <c r="AB748" s="41">
        <f t="shared" si="328"/>
        <v>9.8265895953757232E-2</v>
      </c>
      <c r="AC748" s="21">
        <v>152</v>
      </c>
      <c r="AD748" s="41">
        <f t="shared" si="336"/>
        <v>0.84916201117318435</v>
      </c>
      <c r="AE748" s="21">
        <v>146</v>
      </c>
      <c r="AF748" s="41">
        <f t="shared" si="329"/>
        <v>0.84393063583815031</v>
      </c>
      <c r="AG748" s="21">
        <v>4</v>
      </c>
      <c r="AH748" s="41">
        <f t="shared" si="337"/>
        <v>2.23463687150838E-2</v>
      </c>
      <c r="AI748" s="21">
        <v>4</v>
      </c>
      <c r="AJ748" s="41">
        <f t="shared" si="330"/>
        <v>2.3121387283236993E-2</v>
      </c>
      <c r="AK748" s="21">
        <v>9</v>
      </c>
      <c r="AL748" s="41">
        <f t="shared" si="338"/>
        <v>5.027932960893855E-2</v>
      </c>
      <c r="AM748" s="21">
        <v>10</v>
      </c>
      <c r="AN748" s="41">
        <f t="shared" si="331"/>
        <v>5.7803468208092484E-2</v>
      </c>
      <c r="AO748" s="21">
        <v>114</v>
      </c>
      <c r="AP748" s="41">
        <f t="shared" si="339"/>
        <v>0.63687150837988826</v>
      </c>
      <c r="AQ748" s="21">
        <v>109</v>
      </c>
      <c r="AR748" s="41">
        <f t="shared" si="332"/>
        <v>0.63005780346820806</v>
      </c>
      <c r="AS748" s="21">
        <v>26</v>
      </c>
      <c r="AT748" s="41">
        <f t="shared" si="340"/>
        <v>0.14525139664804471</v>
      </c>
      <c r="AU748" s="21">
        <v>26</v>
      </c>
      <c r="AV748" s="41">
        <f t="shared" si="333"/>
        <v>0.15028901734104047</v>
      </c>
      <c r="AW748" s="21">
        <v>12</v>
      </c>
      <c r="AX748" s="41">
        <f t="shared" si="341"/>
        <v>6.7039106145251395E-2</v>
      </c>
      <c r="AY748" s="21">
        <v>11</v>
      </c>
      <c r="AZ748" s="41">
        <f t="shared" si="334"/>
        <v>6.358381502890173E-2</v>
      </c>
      <c r="BA748" s="21">
        <v>14</v>
      </c>
      <c r="BB748" s="41">
        <f t="shared" si="342"/>
        <v>7.8212290502793297E-2</v>
      </c>
      <c r="BC748" s="21">
        <v>13</v>
      </c>
      <c r="BD748" s="41">
        <f t="shared" si="335"/>
        <v>7.5144508670520235E-2</v>
      </c>
      <c r="BE748" s="21">
        <v>179</v>
      </c>
      <c r="BF748" s="21">
        <v>173</v>
      </c>
    </row>
    <row r="749" spans="1:58" ht="15.75" customHeight="1" x14ac:dyDescent="0.25">
      <c r="A749" s="44">
        <v>2019</v>
      </c>
      <c r="B749" s="39">
        <v>170770</v>
      </c>
      <c r="C749" s="38" t="s">
        <v>149</v>
      </c>
      <c r="D749" s="38" t="s">
        <v>57</v>
      </c>
      <c r="E749" s="21">
        <v>1</v>
      </c>
      <c r="F749" s="42">
        <f t="shared" si="317"/>
        <v>2.5641025641025641E-3</v>
      </c>
      <c r="G749" s="21">
        <v>1</v>
      </c>
      <c r="H749" s="42">
        <f t="shared" si="318"/>
        <v>2.9411764705882353E-3</v>
      </c>
      <c r="I749" s="21">
        <v>14</v>
      </c>
      <c r="J749" s="41">
        <f t="shared" si="319"/>
        <v>3.5897435897435895E-2</v>
      </c>
      <c r="K749" s="21">
        <v>12</v>
      </c>
      <c r="L749" s="41">
        <f t="shared" si="320"/>
        <v>3.5294117647058823E-2</v>
      </c>
      <c r="M749" s="21">
        <v>359</v>
      </c>
      <c r="N749" s="41">
        <f t="shared" si="321"/>
        <v>0.92051282051282046</v>
      </c>
      <c r="O749" s="21">
        <v>313</v>
      </c>
      <c r="P749" s="41">
        <f t="shared" si="322"/>
        <v>0.9205882352941176</v>
      </c>
      <c r="Q749" s="21">
        <v>16</v>
      </c>
      <c r="R749" s="41">
        <f t="shared" si="323"/>
        <v>4.1025641025641026E-2</v>
      </c>
      <c r="S749" s="21">
        <v>14</v>
      </c>
      <c r="T749" s="41">
        <f t="shared" si="324"/>
        <v>4.1176470588235294E-2</v>
      </c>
      <c r="U749" s="21">
        <v>53</v>
      </c>
      <c r="V749" s="41">
        <f t="shared" si="325"/>
        <v>0.13589743589743589</v>
      </c>
      <c r="W749" s="21">
        <v>53</v>
      </c>
      <c r="X749" s="41">
        <f t="shared" si="326"/>
        <v>0.15588235294117647</v>
      </c>
      <c r="Y749" s="21">
        <v>34</v>
      </c>
      <c r="Z749" s="41">
        <f t="shared" si="327"/>
        <v>8.7179487179487175E-2</v>
      </c>
      <c r="AA749" s="21">
        <v>34</v>
      </c>
      <c r="AB749" s="41">
        <f t="shared" si="328"/>
        <v>0.1</v>
      </c>
      <c r="AC749" s="21">
        <v>303</v>
      </c>
      <c r="AD749" s="41">
        <f t="shared" si="336"/>
        <v>0.77692307692307694</v>
      </c>
      <c r="AE749" s="21">
        <v>253</v>
      </c>
      <c r="AF749" s="41">
        <f t="shared" si="329"/>
        <v>0.74411764705882355</v>
      </c>
      <c r="AG749" s="21">
        <v>12</v>
      </c>
      <c r="AH749" s="41">
        <f t="shared" si="337"/>
        <v>3.0769230769230771E-2</v>
      </c>
      <c r="AI749" s="21">
        <v>12</v>
      </c>
      <c r="AJ749" s="41">
        <f t="shared" si="330"/>
        <v>3.5294117647058823E-2</v>
      </c>
      <c r="AK749" s="21">
        <v>10</v>
      </c>
      <c r="AL749" s="41">
        <f t="shared" si="338"/>
        <v>2.564102564102564E-2</v>
      </c>
      <c r="AM749" s="21">
        <v>10</v>
      </c>
      <c r="AN749" s="41">
        <f t="shared" si="331"/>
        <v>2.9411764705882353E-2</v>
      </c>
      <c r="AO749" s="21">
        <v>254</v>
      </c>
      <c r="AP749" s="41">
        <f t="shared" si="339"/>
        <v>0.6512820512820513</v>
      </c>
      <c r="AQ749" s="21">
        <v>211</v>
      </c>
      <c r="AR749" s="41">
        <f t="shared" si="332"/>
        <v>0.62058823529411766</v>
      </c>
      <c r="AS749" s="21">
        <v>53</v>
      </c>
      <c r="AT749" s="41">
        <f t="shared" si="340"/>
        <v>0.13589743589743589</v>
      </c>
      <c r="AU749" s="21">
        <v>50</v>
      </c>
      <c r="AV749" s="41">
        <f t="shared" si="333"/>
        <v>0.14705882352941177</v>
      </c>
      <c r="AW749" s="21">
        <v>20</v>
      </c>
      <c r="AX749" s="41">
        <f t="shared" si="341"/>
        <v>5.128205128205128E-2</v>
      </c>
      <c r="AY749" s="21">
        <v>18</v>
      </c>
      <c r="AZ749" s="41">
        <f t="shared" si="334"/>
        <v>5.2941176470588235E-2</v>
      </c>
      <c r="BA749" s="21">
        <v>41</v>
      </c>
      <c r="BB749" s="41">
        <f t="shared" si="342"/>
        <v>0.10512820512820513</v>
      </c>
      <c r="BC749" s="21">
        <v>39</v>
      </c>
      <c r="BD749" s="41">
        <f t="shared" si="335"/>
        <v>0.11470588235294117</v>
      </c>
      <c r="BE749" s="21">
        <v>390</v>
      </c>
      <c r="BF749" s="21">
        <v>340</v>
      </c>
    </row>
    <row r="750" spans="1:58" ht="15.75" customHeight="1" x14ac:dyDescent="0.25">
      <c r="A750" s="44">
        <v>2019</v>
      </c>
      <c r="B750" s="39">
        <v>170820</v>
      </c>
      <c r="C750" s="38" t="s">
        <v>146</v>
      </c>
      <c r="D750" s="38" t="s">
        <v>58</v>
      </c>
      <c r="E750" s="21">
        <v>2</v>
      </c>
      <c r="F750" s="42">
        <f t="shared" si="317"/>
        <v>3.8834951456310678E-3</v>
      </c>
      <c r="G750" s="21">
        <v>2</v>
      </c>
      <c r="H750" s="42">
        <f t="shared" si="318"/>
        <v>3.937007874015748E-3</v>
      </c>
      <c r="I750" s="21">
        <v>9</v>
      </c>
      <c r="J750" s="41">
        <f t="shared" si="319"/>
        <v>1.7475728155339806E-2</v>
      </c>
      <c r="K750" s="21">
        <v>8</v>
      </c>
      <c r="L750" s="41">
        <f t="shared" si="320"/>
        <v>1.5748031496062992E-2</v>
      </c>
      <c r="M750" s="21">
        <v>477</v>
      </c>
      <c r="N750" s="41">
        <f t="shared" si="321"/>
        <v>0.9262135922330097</v>
      </c>
      <c r="O750" s="21">
        <v>471</v>
      </c>
      <c r="P750" s="41">
        <f t="shared" si="322"/>
        <v>0.92716535433070868</v>
      </c>
      <c r="Q750" s="21">
        <v>27</v>
      </c>
      <c r="R750" s="41">
        <f t="shared" si="323"/>
        <v>5.2427184466019419E-2</v>
      </c>
      <c r="S750" s="21">
        <v>27</v>
      </c>
      <c r="T750" s="41">
        <f t="shared" si="324"/>
        <v>5.3149606299212601E-2</v>
      </c>
      <c r="U750" s="21">
        <v>17</v>
      </c>
      <c r="V750" s="41">
        <f t="shared" si="325"/>
        <v>3.3009708737864081E-2</v>
      </c>
      <c r="W750" s="21">
        <v>17</v>
      </c>
      <c r="X750" s="41">
        <f t="shared" si="326"/>
        <v>3.3464566929133861E-2</v>
      </c>
      <c r="Y750" s="21">
        <v>33</v>
      </c>
      <c r="Z750" s="41">
        <f t="shared" si="327"/>
        <v>6.4077669902912623E-2</v>
      </c>
      <c r="AA750" s="21">
        <v>32</v>
      </c>
      <c r="AB750" s="41">
        <f t="shared" si="328"/>
        <v>6.2992125984251968E-2</v>
      </c>
      <c r="AC750" s="21">
        <v>465</v>
      </c>
      <c r="AD750" s="41">
        <f t="shared" si="336"/>
        <v>0.90291262135922334</v>
      </c>
      <c r="AE750" s="21">
        <v>459</v>
      </c>
      <c r="AF750" s="41">
        <f t="shared" si="329"/>
        <v>0.90354330708661412</v>
      </c>
      <c r="AG750" s="21">
        <v>10</v>
      </c>
      <c r="AH750" s="41">
        <f t="shared" si="337"/>
        <v>1.9417475728155338E-2</v>
      </c>
      <c r="AI750" s="21">
        <v>10</v>
      </c>
      <c r="AJ750" s="41">
        <f t="shared" si="330"/>
        <v>1.968503937007874E-2</v>
      </c>
      <c r="AK750" s="21">
        <v>14</v>
      </c>
      <c r="AL750" s="41">
        <f t="shared" si="338"/>
        <v>2.7184466019417475E-2</v>
      </c>
      <c r="AM750" s="21">
        <v>13</v>
      </c>
      <c r="AN750" s="41">
        <f t="shared" si="331"/>
        <v>2.5590551181102362E-2</v>
      </c>
      <c r="AO750" s="21">
        <v>370</v>
      </c>
      <c r="AP750" s="41">
        <f t="shared" si="339"/>
        <v>0.71844660194174759</v>
      </c>
      <c r="AQ750" s="21">
        <v>367</v>
      </c>
      <c r="AR750" s="41">
        <f t="shared" si="332"/>
        <v>0.72244094488188981</v>
      </c>
      <c r="AS750" s="21">
        <v>76</v>
      </c>
      <c r="AT750" s="41">
        <f t="shared" si="340"/>
        <v>0.14757281553398058</v>
      </c>
      <c r="AU750" s="21">
        <v>73</v>
      </c>
      <c r="AV750" s="41">
        <f t="shared" si="333"/>
        <v>0.1437007874015748</v>
      </c>
      <c r="AW750" s="21">
        <v>26</v>
      </c>
      <c r="AX750" s="41">
        <f t="shared" si="341"/>
        <v>5.0485436893203881E-2</v>
      </c>
      <c r="AY750" s="21">
        <v>27</v>
      </c>
      <c r="AZ750" s="41">
        <f t="shared" si="334"/>
        <v>5.3149606299212601E-2</v>
      </c>
      <c r="BA750" s="21">
        <v>19</v>
      </c>
      <c r="BB750" s="41">
        <f t="shared" si="342"/>
        <v>3.6893203883495145E-2</v>
      </c>
      <c r="BC750" s="21">
        <v>18</v>
      </c>
      <c r="BD750" s="41">
        <f t="shared" si="335"/>
        <v>3.5433070866141732E-2</v>
      </c>
      <c r="BE750" s="21">
        <v>515</v>
      </c>
      <c r="BF750" s="21">
        <v>508</v>
      </c>
    </row>
    <row r="751" spans="1:58" ht="15.75" customHeight="1" x14ac:dyDescent="0.25">
      <c r="A751" s="44">
        <v>2019</v>
      </c>
      <c r="B751" s="39">
        <v>170830</v>
      </c>
      <c r="C751" s="38" t="s">
        <v>150</v>
      </c>
      <c r="D751" s="38" t="s">
        <v>59</v>
      </c>
      <c r="E751" s="21">
        <v>2</v>
      </c>
      <c r="F751" s="42">
        <f t="shared" si="317"/>
        <v>8.771929824561403E-3</v>
      </c>
      <c r="G751" s="21">
        <v>2</v>
      </c>
      <c r="H751" s="42">
        <f t="shared" si="318"/>
        <v>9.7087378640776691E-3</v>
      </c>
      <c r="I751" s="21">
        <v>2</v>
      </c>
      <c r="J751" s="41">
        <f t="shared" si="319"/>
        <v>8.771929824561403E-3</v>
      </c>
      <c r="K751" s="21">
        <v>2</v>
      </c>
      <c r="L751" s="41">
        <f t="shared" si="320"/>
        <v>9.7087378640776691E-3</v>
      </c>
      <c r="M751" s="21">
        <v>219</v>
      </c>
      <c r="N751" s="41">
        <f t="shared" si="321"/>
        <v>0.96052631578947367</v>
      </c>
      <c r="O751" s="21">
        <v>198</v>
      </c>
      <c r="P751" s="41">
        <f t="shared" si="322"/>
        <v>0.96116504854368934</v>
      </c>
      <c r="Q751" s="21">
        <v>5</v>
      </c>
      <c r="R751" s="41">
        <f t="shared" si="323"/>
        <v>2.1929824561403508E-2</v>
      </c>
      <c r="S751" s="21">
        <v>4</v>
      </c>
      <c r="T751" s="41">
        <f t="shared" si="324"/>
        <v>1.9417475728155338E-2</v>
      </c>
      <c r="U751" s="21">
        <v>8</v>
      </c>
      <c r="V751" s="41">
        <f t="shared" si="325"/>
        <v>3.5087719298245612E-2</v>
      </c>
      <c r="W751" s="21">
        <v>7</v>
      </c>
      <c r="X751" s="41">
        <f t="shared" si="326"/>
        <v>3.3980582524271843E-2</v>
      </c>
      <c r="Y751" s="21">
        <v>8</v>
      </c>
      <c r="Z751" s="41">
        <f t="shared" si="327"/>
        <v>3.5087719298245612E-2</v>
      </c>
      <c r="AA751" s="21">
        <v>7</v>
      </c>
      <c r="AB751" s="41">
        <f t="shared" si="328"/>
        <v>3.3980582524271843E-2</v>
      </c>
      <c r="AC751" s="21">
        <v>212</v>
      </c>
      <c r="AD751" s="41">
        <f t="shared" si="336"/>
        <v>0.92982456140350878</v>
      </c>
      <c r="AE751" s="21">
        <v>192</v>
      </c>
      <c r="AF751" s="41">
        <f t="shared" si="329"/>
        <v>0.93203883495145634</v>
      </c>
      <c r="AG751" s="21">
        <v>5</v>
      </c>
      <c r="AH751" s="41">
        <f t="shared" si="337"/>
        <v>2.1929824561403508E-2</v>
      </c>
      <c r="AI751" s="21">
        <v>5</v>
      </c>
      <c r="AJ751" s="41">
        <f t="shared" si="330"/>
        <v>2.4271844660194174E-2</v>
      </c>
      <c r="AK751" s="21">
        <v>14</v>
      </c>
      <c r="AL751" s="41">
        <f t="shared" si="338"/>
        <v>6.1403508771929821E-2</v>
      </c>
      <c r="AM751" s="21">
        <v>13</v>
      </c>
      <c r="AN751" s="41">
        <f t="shared" si="331"/>
        <v>6.3106796116504854E-2</v>
      </c>
      <c r="AO751" s="21">
        <v>170</v>
      </c>
      <c r="AP751" s="41">
        <f t="shared" si="339"/>
        <v>0.74561403508771928</v>
      </c>
      <c r="AQ751" s="21">
        <v>153</v>
      </c>
      <c r="AR751" s="41">
        <f t="shared" si="332"/>
        <v>0.74271844660194175</v>
      </c>
      <c r="AS751" s="21">
        <v>28</v>
      </c>
      <c r="AT751" s="41">
        <f t="shared" si="340"/>
        <v>0.12280701754385964</v>
      </c>
      <c r="AU751" s="21">
        <v>25</v>
      </c>
      <c r="AV751" s="41">
        <f t="shared" si="333"/>
        <v>0.12135922330097088</v>
      </c>
      <c r="AW751" s="21">
        <v>4</v>
      </c>
      <c r="AX751" s="41">
        <f t="shared" si="341"/>
        <v>1.7543859649122806E-2</v>
      </c>
      <c r="AY751" s="21">
        <v>4</v>
      </c>
      <c r="AZ751" s="41">
        <f t="shared" si="334"/>
        <v>1.9417475728155338E-2</v>
      </c>
      <c r="BA751" s="21">
        <v>7</v>
      </c>
      <c r="BB751" s="41">
        <f t="shared" si="342"/>
        <v>3.0701754385964911E-2</v>
      </c>
      <c r="BC751" s="21">
        <v>6</v>
      </c>
      <c r="BD751" s="41">
        <f t="shared" si="335"/>
        <v>2.9126213592233011E-2</v>
      </c>
      <c r="BE751" s="21">
        <v>228</v>
      </c>
      <c r="BF751" s="21">
        <v>206</v>
      </c>
    </row>
    <row r="752" spans="1:58" ht="15.75" customHeight="1" x14ac:dyDescent="0.25">
      <c r="A752" s="44">
        <v>2019</v>
      </c>
      <c r="B752" s="39">
        <v>170900</v>
      </c>
      <c r="C752" s="38" t="s">
        <v>149</v>
      </c>
      <c r="D752" s="38" t="s">
        <v>60</v>
      </c>
      <c r="E752" s="21">
        <v>34</v>
      </c>
      <c r="F752" s="42">
        <f t="shared" si="317"/>
        <v>5.5105348460291734E-2</v>
      </c>
      <c r="G752" s="21">
        <v>33</v>
      </c>
      <c r="H752" s="42">
        <f t="shared" si="318"/>
        <v>6.4077669902912623E-2</v>
      </c>
      <c r="I752" s="21">
        <v>35</v>
      </c>
      <c r="J752" s="41">
        <f t="shared" si="319"/>
        <v>5.6726094003241488E-2</v>
      </c>
      <c r="K752" s="21">
        <v>33</v>
      </c>
      <c r="L752" s="41">
        <f t="shared" si="320"/>
        <v>6.4077669902912623E-2</v>
      </c>
      <c r="M752" s="21">
        <v>516</v>
      </c>
      <c r="N752" s="41">
        <f t="shared" si="321"/>
        <v>0.83630470016207459</v>
      </c>
      <c r="O752" s="21">
        <v>420</v>
      </c>
      <c r="P752" s="41">
        <f t="shared" si="322"/>
        <v>0.81553398058252424</v>
      </c>
      <c r="Q752" s="21">
        <v>32</v>
      </c>
      <c r="R752" s="41">
        <f t="shared" si="323"/>
        <v>5.1863857374392218E-2</v>
      </c>
      <c r="S752" s="21">
        <v>29</v>
      </c>
      <c r="T752" s="41">
        <f t="shared" si="324"/>
        <v>5.6310679611650483E-2</v>
      </c>
      <c r="U752" s="21">
        <v>84</v>
      </c>
      <c r="V752" s="41">
        <f t="shared" si="325"/>
        <v>0.13614262560777957</v>
      </c>
      <c r="W752" s="21">
        <v>78</v>
      </c>
      <c r="X752" s="41">
        <f t="shared" si="326"/>
        <v>0.15145631067961166</v>
      </c>
      <c r="Y752" s="21">
        <v>67</v>
      </c>
      <c r="Z752" s="41">
        <f t="shared" si="327"/>
        <v>0.10858995137763371</v>
      </c>
      <c r="AA752" s="21">
        <v>58</v>
      </c>
      <c r="AB752" s="41">
        <f t="shared" si="328"/>
        <v>0.11262135922330097</v>
      </c>
      <c r="AC752" s="21">
        <v>466</v>
      </c>
      <c r="AD752" s="41">
        <f t="shared" si="336"/>
        <v>0.75526742301458671</v>
      </c>
      <c r="AE752" s="21">
        <v>379</v>
      </c>
      <c r="AF752" s="41">
        <f t="shared" si="329"/>
        <v>0.73592233009708741</v>
      </c>
      <c r="AG752" s="21">
        <v>31</v>
      </c>
      <c r="AH752" s="41">
        <f t="shared" si="337"/>
        <v>5.0243111831442464E-2</v>
      </c>
      <c r="AI752" s="21">
        <v>32</v>
      </c>
      <c r="AJ752" s="41">
        <f t="shared" si="330"/>
        <v>6.2135922330097085E-2</v>
      </c>
      <c r="AK752" s="21">
        <v>33</v>
      </c>
      <c r="AL752" s="41">
        <f t="shared" si="338"/>
        <v>5.3484602917341979E-2</v>
      </c>
      <c r="AM752" s="21">
        <v>30</v>
      </c>
      <c r="AN752" s="41">
        <f t="shared" si="331"/>
        <v>5.8252427184466021E-2</v>
      </c>
      <c r="AO752" s="21">
        <v>368</v>
      </c>
      <c r="AP752" s="41">
        <f t="shared" si="339"/>
        <v>0.59643435980551052</v>
      </c>
      <c r="AQ752" s="21">
        <v>305</v>
      </c>
      <c r="AR752" s="41">
        <f t="shared" si="332"/>
        <v>0.59223300970873782</v>
      </c>
      <c r="AS752" s="21">
        <v>92</v>
      </c>
      <c r="AT752" s="41">
        <f t="shared" si="340"/>
        <v>0.14910858995137763</v>
      </c>
      <c r="AU752" s="21">
        <v>66</v>
      </c>
      <c r="AV752" s="41">
        <f t="shared" si="333"/>
        <v>0.12815533980582525</v>
      </c>
      <c r="AW752" s="21">
        <v>40</v>
      </c>
      <c r="AX752" s="41">
        <f t="shared" si="341"/>
        <v>6.4829821717990274E-2</v>
      </c>
      <c r="AY752" s="21">
        <v>34</v>
      </c>
      <c r="AZ752" s="41">
        <f t="shared" si="334"/>
        <v>6.6019417475728162E-2</v>
      </c>
      <c r="BA752" s="21">
        <v>53</v>
      </c>
      <c r="BB752" s="41">
        <f t="shared" si="342"/>
        <v>8.5899513776337116E-2</v>
      </c>
      <c r="BC752" s="21">
        <v>48</v>
      </c>
      <c r="BD752" s="41">
        <f t="shared" si="335"/>
        <v>9.3203883495145634E-2</v>
      </c>
      <c r="BE752" s="21">
        <v>617</v>
      </c>
      <c r="BF752" s="21">
        <v>515</v>
      </c>
    </row>
    <row r="753" spans="1:58" ht="15.75" customHeight="1" x14ac:dyDescent="0.25">
      <c r="A753" s="44">
        <v>2019</v>
      </c>
      <c r="B753" s="39">
        <v>170930</v>
      </c>
      <c r="C753" s="38" t="s">
        <v>150</v>
      </c>
      <c r="D753" s="38" t="s">
        <v>61</v>
      </c>
      <c r="E753" s="21">
        <v>3</v>
      </c>
      <c r="F753" s="42">
        <f t="shared" si="317"/>
        <v>4.7999999999999996E-3</v>
      </c>
      <c r="G753" s="21">
        <v>2</v>
      </c>
      <c r="H753" s="42">
        <f t="shared" si="318"/>
        <v>4.4943820224719105E-3</v>
      </c>
      <c r="I753" s="21">
        <v>18</v>
      </c>
      <c r="J753" s="41">
        <f t="shared" si="319"/>
        <v>2.8799999999999999E-2</v>
      </c>
      <c r="K753" s="21">
        <v>12</v>
      </c>
      <c r="L753" s="41">
        <f t="shared" si="320"/>
        <v>2.6966292134831461E-2</v>
      </c>
      <c r="M753" s="21">
        <v>575</v>
      </c>
      <c r="N753" s="41">
        <f t="shared" si="321"/>
        <v>0.92</v>
      </c>
      <c r="O753" s="21">
        <v>413</v>
      </c>
      <c r="P753" s="41">
        <f t="shared" si="322"/>
        <v>0.92808988764044942</v>
      </c>
      <c r="Q753" s="21">
        <v>29</v>
      </c>
      <c r="R753" s="41">
        <f t="shared" si="323"/>
        <v>4.6399999999999997E-2</v>
      </c>
      <c r="S753" s="21">
        <v>18</v>
      </c>
      <c r="T753" s="41">
        <f t="shared" si="324"/>
        <v>4.0449438202247189E-2</v>
      </c>
      <c r="U753" s="21">
        <v>18</v>
      </c>
      <c r="V753" s="41">
        <f t="shared" si="325"/>
        <v>2.8799999999999999E-2</v>
      </c>
      <c r="W753" s="21">
        <v>14</v>
      </c>
      <c r="X753" s="41">
        <f t="shared" si="326"/>
        <v>3.1460674157303373E-2</v>
      </c>
      <c r="Y753" s="21">
        <v>34</v>
      </c>
      <c r="Z753" s="41">
        <f t="shared" si="327"/>
        <v>5.4399999999999997E-2</v>
      </c>
      <c r="AA753" s="21">
        <v>29</v>
      </c>
      <c r="AB753" s="41">
        <f t="shared" si="328"/>
        <v>6.5168539325842698E-2</v>
      </c>
      <c r="AC753" s="21">
        <v>573</v>
      </c>
      <c r="AD753" s="41">
        <f t="shared" si="336"/>
        <v>0.91679999999999995</v>
      </c>
      <c r="AE753" s="21">
        <v>402</v>
      </c>
      <c r="AF753" s="41">
        <f t="shared" si="329"/>
        <v>0.90337078651685399</v>
      </c>
      <c r="AG753" s="21">
        <v>18</v>
      </c>
      <c r="AH753" s="41">
        <f t="shared" si="337"/>
        <v>2.8799999999999999E-2</v>
      </c>
      <c r="AI753" s="21">
        <v>15</v>
      </c>
      <c r="AJ753" s="41">
        <f t="shared" si="330"/>
        <v>3.3707865168539325E-2</v>
      </c>
      <c r="AK753" s="21">
        <v>21</v>
      </c>
      <c r="AL753" s="41">
        <f t="shared" si="338"/>
        <v>3.3599999999999998E-2</v>
      </c>
      <c r="AM753" s="21">
        <v>16</v>
      </c>
      <c r="AN753" s="41">
        <f t="shared" si="331"/>
        <v>3.5955056179775284E-2</v>
      </c>
      <c r="AO753" s="21">
        <v>433</v>
      </c>
      <c r="AP753" s="41">
        <f t="shared" si="339"/>
        <v>0.69279999999999997</v>
      </c>
      <c r="AQ753" s="21">
        <v>300</v>
      </c>
      <c r="AR753" s="41">
        <f t="shared" si="332"/>
        <v>0.6741573033707865</v>
      </c>
      <c r="AS753" s="21">
        <v>100</v>
      </c>
      <c r="AT753" s="41">
        <f t="shared" si="340"/>
        <v>0.16</v>
      </c>
      <c r="AU753" s="21">
        <v>76</v>
      </c>
      <c r="AV753" s="41">
        <f t="shared" si="333"/>
        <v>0.17078651685393259</v>
      </c>
      <c r="AW753" s="21">
        <v>21</v>
      </c>
      <c r="AX753" s="41">
        <f t="shared" si="341"/>
        <v>3.3599999999999998E-2</v>
      </c>
      <c r="AY753" s="21">
        <v>16</v>
      </c>
      <c r="AZ753" s="41">
        <f t="shared" si="334"/>
        <v>3.5955056179775284E-2</v>
      </c>
      <c r="BA753" s="21">
        <v>32</v>
      </c>
      <c r="BB753" s="41">
        <f t="shared" si="342"/>
        <v>5.1200000000000002E-2</v>
      </c>
      <c r="BC753" s="21">
        <v>22</v>
      </c>
      <c r="BD753" s="41">
        <f t="shared" si="335"/>
        <v>4.9438202247191011E-2</v>
      </c>
      <c r="BE753" s="21">
        <v>625</v>
      </c>
      <c r="BF753" s="21">
        <v>445</v>
      </c>
    </row>
    <row r="754" spans="1:58" ht="15.75" customHeight="1" x14ac:dyDescent="0.25">
      <c r="A754" s="44">
        <v>2019</v>
      </c>
      <c r="B754" s="39">
        <v>170950</v>
      </c>
      <c r="C754" s="38" t="s">
        <v>146</v>
      </c>
      <c r="D754" s="38" t="s">
        <v>62</v>
      </c>
      <c r="E754" s="21">
        <v>18</v>
      </c>
      <c r="F754" s="42">
        <f t="shared" si="317"/>
        <v>1.120099564405725E-2</v>
      </c>
      <c r="G754" s="21">
        <v>17</v>
      </c>
      <c r="H754" s="42">
        <f t="shared" si="318"/>
        <v>1.1356045424181697E-2</v>
      </c>
      <c r="I754" s="21">
        <v>86</v>
      </c>
      <c r="J754" s="41">
        <f t="shared" si="319"/>
        <v>5.3515868077162417E-2</v>
      </c>
      <c r="K754" s="21">
        <v>83</v>
      </c>
      <c r="L754" s="41">
        <f t="shared" si="320"/>
        <v>5.5444221776887105E-2</v>
      </c>
      <c r="M754" s="20">
        <v>1455</v>
      </c>
      <c r="N754" s="41">
        <f t="shared" si="321"/>
        <v>0.90541381456129433</v>
      </c>
      <c r="O754" s="20">
        <v>1360</v>
      </c>
      <c r="P754" s="41">
        <f t="shared" si="322"/>
        <v>0.90848363393453568</v>
      </c>
      <c r="Q754" s="21">
        <v>48</v>
      </c>
      <c r="R754" s="41">
        <f t="shared" si="323"/>
        <v>2.9869321717485998E-2</v>
      </c>
      <c r="S754" s="21">
        <v>37</v>
      </c>
      <c r="T754" s="41">
        <f t="shared" si="324"/>
        <v>2.4716098864395457E-2</v>
      </c>
      <c r="U754" s="21">
        <v>161</v>
      </c>
      <c r="V754" s="41">
        <f t="shared" si="325"/>
        <v>0.10018668326073429</v>
      </c>
      <c r="W754" s="21">
        <v>159</v>
      </c>
      <c r="X754" s="41">
        <f t="shared" si="326"/>
        <v>0.10621242484969939</v>
      </c>
      <c r="Y754" s="21">
        <v>308</v>
      </c>
      <c r="Z754" s="41">
        <f t="shared" si="327"/>
        <v>0.19166148102053515</v>
      </c>
      <c r="AA754" s="21">
        <v>300</v>
      </c>
      <c r="AB754" s="41">
        <f t="shared" si="328"/>
        <v>0.20040080160320642</v>
      </c>
      <c r="AC754" s="20">
        <v>1138</v>
      </c>
      <c r="AD754" s="41">
        <f t="shared" si="336"/>
        <v>0.70815183571873053</v>
      </c>
      <c r="AE754" s="20">
        <v>1038</v>
      </c>
      <c r="AF754" s="41">
        <f t="shared" si="329"/>
        <v>0.69338677354709422</v>
      </c>
      <c r="AG754" s="21">
        <v>33</v>
      </c>
      <c r="AH754" s="41">
        <f t="shared" si="337"/>
        <v>2.0535158680771624E-2</v>
      </c>
      <c r="AI754" s="21">
        <v>29</v>
      </c>
      <c r="AJ754" s="41">
        <f t="shared" si="330"/>
        <v>1.9372077488309953E-2</v>
      </c>
      <c r="AK754" s="21">
        <v>41</v>
      </c>
      <c r="AL754" s="41">
        <f t="shared" si="338"/>
        <v>2.5513378967019291E-2</v>
      </c>
      <c r="AM754" s="21">
        <v>36</v>
      </c>
      <c r="AN754" s="41">
        <f t="shared" si="331"/>
        <v>2.4048096192384769E-2</v>
      </c>
      <c r="AO754" s="20">
        <v>1126</v>
      </c>
      <c r="AP754" s="41">
        <f t="shared" si="339"/>
        <v>0.70068450528935911</v>
      </c>
      <c r="AQ754" s="20">
        <v>1062</v>
      </c>
      <c r="AR754" s="41">
        <f t="shared" si="332"/>
        <v>0.70941883767535074</v>
      </c>
      <c r="AS754" s="21">
        <v>237</v>
      </c>
      <c r="AT754" s="41">
        <f t="shared" si="340"/>
        <v>0.14747977598008713</v>
      </c>
      <c r="AU754" s="21">
        <v>218</v>
      </c>
      <c r="AV754" s="41">
        <f t="shared" si="333"/>
        <v>0.14562458249832999</v>
      </c>
      <c r="AW754" s="21">
        <v>109</v>
      </c>
      <c r="AX754" s="41">
        <f t="shared" si="341"/>
        <v>6.7828251400124454E-2</v>
      </c>
      <c r="AY754" s="21">
        <v>99</v>
      </c>
      <c r="AZ754" s="41">
        <f t="shared" si="334"/>
        <v>6.6132264529058113E-2</v>
      </c>
      <c r="BA754" s="21">
        <v>61</v>
      </c>
      <c r="BB754" s="41">
        <f t="shared" si="342"/>
        <v>3.7958929682638455E-2</v>
      </c>
      <c r="BC754" s="21">
        <v>53</v>
      </c>
      <c r="BD754" s="41">
        <f t="shared" si="335"/>
        <v>3.5404141616566465E-2</v>
      </c>
      <c r="BE754" s="20">
        <v>1607</v>
      </c>
      <c r="BF754" s="20">
        <v>1497</v>
      </c>
    </row>
    <row r="755" spans="1:58" ht="15.75" customHeight="1" x14ac:dyDescent="0.25">
      <c r="A755" s="44">
        <v>2019</v>
      </c>
      <c r="B755" s="39">
        <v>170980</v>
      </c>
      <c r="C755" s="38" t="s">
        <v>151</v>
      </c>
      <c r="D755" s="38" t="s">
        <v>63</v>
      </c>
      <c r="E755" s="21">
        <v>1</v>
      </c>
      <c r="F755" s="42">
        <f t="shared" si="317"/>
        <v>9.3457943925233638E-3</v>
      </c>
      <c r="G755" s="21">
        <v>0</v>
      </c>
      <c r="H755" s="42">
        <f t="shared" si="318"/>
        <v>0</v>
      </c>
      <c r="I755" s="21">
        <v>1</v>
      </c>
      <c r="J755" s="41">
        <f t="shared" si="319"/>
        <v>9.3457943925233638E-3</v>
      </c>
      <c r="K755" s="21">
        <v>1</v>
      </c>
      <c r="L755" s="41">
        <f t="shared" si="320"/>
        <v>1.5151515151515152E-2</v>
      </c>
      <c r="M755" s="21">
        <v>95</v>
      </c>
      <c r="N755" s="41">
        <f t="shared" si="321"/>
        <v>0.88785046728971961</v>
      </c>
      <c r="O755" s="21">
        <v>58</v>
      </c>
      <c r="P755" s="41">
        <f t="shared" si="322"/>
        <v>0.87878787878787878</v>
      </c>
      <c r="Q755" s="21">
        <v>10</v>
      </c>
      <c r="R755" s="41">
        <f t="shared" si="323"/>
        <v>9.3457943925233641E-2</v>
      </c>
      <c r="S755" s="21">
        <v>7</v>
      </c>
      <c r="T755" s="41">
        <f t="shared" si="324"/>
        <v>0.10606060606060606</v>
      </c>
      <c r="U755" s="21">
        <v>8</v>
      </c>
      <c r="V755" s="41">
        <f t="shared" si="325"/>
        <v>7.476635514018691E-2</v>
      </c>
      <c r="W755" s="21">
        <v>2</v>
      </c>
      <c r="X755" s="41">
        <f t="shared" si="326"/>
        <v>3.0303030303030304E-2</v>
      </c>
      <c r="Y755" s="21">
        <v>8</v>
      </c>
      <c r="Z755" s="41">
        <f t="shared" si="327"/>
        <v>7.476635514018691E-2</v>
      </c>
      <c r="AA755" s="21">
        <v>3</v>
      </c>
      <c r="AB755" s="41">
        <f t="shared" si="328"/>
        <v>4.5454545454545456E-2</v>
      </c>
      <c r="AC755" s="21">
        <v>91</v>
      </c>
      <c r="AD755" s="41">
        <f t="shared" si="336"/>
        <v>0.85046728971962615</v>
      </c>
      <c r="AE755" s="21">
        <v>61</v>
      </c>
      <c r="AF755" s="41">
        <f t="shared" si="329"/>
        <v>0.9242424242424242</v>
      </c>
      <c r="AG755" s="21">
        <v>3</v>
      </c>
      <c r="AH755" s="41">
        <f t="shared" si="337"/>
        <v>2.8037383177570093E-2</v>
      </c>
      <c r="AI755" s="21">
        <v>3</v>
      </c>
      <c r="AJ755" s="41">
        <f t="shared" si="330"/>
        <v>4.5454545454545456E-2</v>
      </c>
      <c r="AK755" s="21">
        <v>2</v>
      </c>
      <c r="AL755" s="41">
        <f t="shared" si="338"/>
        <v>1.8691588785046728E-2</v>
      </c>
      <c r="AM755" s="21">
        <v>2</v>
      </c>
      <c r="AN755" s="41">
        <f t="shared" si="331"/>
        <v>3.0303030303030304E-2</v>
      </c>
      <c r="AO755" s="21">
        <v>60</v>
      </c>
      <c r="AP755" s="41">
        <f t="shared" si="339"/>
        <v>0.56074766355140182</v>
      </c>
      <c r="AQ755" s="21">
        <v>35</v>
      </c>
      <c r="AR755" s="41">
        <f t="shared" si="332"/>
        <v>0.53030303030303028</v>
      </c>
      <c r="AS755" s="21">
        <v>20</v>
      </c>
      <c r="AT755" s="41">
        <f t="shared" si="340"/>
        <v>0.18691588785046728</v>
      </c>
      <c r="AU755" s="21">
        <v>14</v>
      </c>
      <c r="AV755" s="41">
        <f t="shared" si="333"/>
        <v>0.21212121212121213</v>
      </c>
      <c r="AW755" s="21">
        <v>11</v>
      </c>
      <c r="AX755" s="41">
        <f t="shared" si="341"/>
        <v>0.10280373831775701</v>
      </c>
      <c r="AY755" s="21">
        <v>6</v>
      </c>
      <c r="AZ755" s="41">
        <f t="shared" si="334"/>
        <v>9.0909090909090912E-2</v>
      </c>
      <c r="BA755" s="21">
        <v>11</v>
      </c>
      <c r="BB755" s="41">
        <f t="shared" si="342"/>
        <v>0.10280373831775701</v>
      </c>
      <c r="BC755" s="21">
        <v>6</v>
      </c>
      <c r="BD755" s="41">
        <f t="shared" si="335"/>
        <v>9.0909090909090912E-2</v>
      </c>
      <c r="BE755" s="21">
        <v>107</v>
      </c>
      <c r="BF755" s="21">
        <v>66</v>
      </c>
    </row>
    <row r="756" spans="1:58" ht="15.75" customHeight="1" x14ac:dyDescent="0.25">
      <c r="A756" s="44">
        <v>2019</v>
      </c>
      <c r="B756" s="39">
        <v>171050</v>
      </c>
      <c r="C756" s="38" t="s">
        <v>150</v>
      </c>
      <c r="D756" s="38" t="s">
        <v>64</v>
      </c>
      <c r="E756" s="21">
        <v>9</v>
      </c>
      <c r="F756" s="42">
        <f t="shared" si="317"/>
        <v>2.1582733812949641E-2</v>
      </c>
      <c r="G756" s="21">
        <v>8</v>
      </c>
      <c r="H756" s="42">
        <f t="shared" si="318"/>
        <v>2.1505376344086023E-2</v>
      </c>
      <c r="I756" s="21">
        <v>19</v>
      </c>
      <c r="J756" s="41">
        <f t="shared" si="319"/>
        <v>4.5563549160671464E-2</v>
      </c>
      <c r="K756" s="21">
        <v>19</v>
      </c>
      <c r="L756" s="41">
        <f t="shared" si="320"/>
        <v>5.1075268817204304E-2</v>
      </c>
      <c r="M756" s="21">
        <v>361</v>
      </c>
      <c r="N756" s="41">
        <f t="shared" si="321"/>
        <v>0.86570743405275774</v>
      </c>
      <c r="O756" s="21">
        <v>317</v>
      </c>
      <c r="P756" s="41">
        <f t="shared" si="322"/>
        <v>0.85215053763440862</v>
      </c>
      <c r="Q756" s="21">
        <v>28</v>
      </c>
      <c r="R756" s="41">
        <f t="shared" si="323"/>
        <v>6.7146282973621102E-2</v>
      </c>
      <c r="S756" s="21">
        <v>28</v>
      </c>
      <c r="T756" s="41">
        <f t="shared" si="324"/>
        <v>7.5268817204301078E-2</v>
      </c>
      <c r="U756" s="21">
        <v>46</v>
      </c>
      <c r="V756" s="41">
        <f t="shared" si="325"/>
        <v>0.11031175059952038</v>
      </c>
      <c r="W756" s="21">
        <v>47</v>
      </c>
      <c r="X756" s="41">
        <f t="shared" si="326"/>
        <v>0.12634408602150538</v>
      </c>
      <c r="Y756" s="21">
        <v>34</v>
      </c>
      <c r="Z756" s="41">
        <f t="shared" si="327"/>
        <v>8.1534772182254203E-2</v>
      </c>
      <c r="AA756" s="21">
        <v>32</v>
      </c>
      <c r="AB756" s="41">
        <f t="shared" si="328"/>
        <v>8.6021505376344093E-2</v>
      </c>
      <c r="AC756" s="21">
        <v>337</v>
      </c>
      <c r="AD756" s="41">
        <f t="shared" ref="AD756:AD819" si="343">IFERROR(AC756/$BE756,0)</f>
        <v>0.80815347721822539</v>
      </c>
      <c r="AE756" s="21">
        <v>293</v>
      </c>
      <c r="AF756" s="41">
        <f t="shared" si="329"/>
        <v>0.7876344086021505</v>
      </c>
      <c r="AG756" s="21">
        <v>19</v>
      </c>
      <c r="AH756" s="41">
        <f t="shared" ref="AH756:AH819" si="344">IFERROR(AG756/$BE756,0)</f>
        <v>4.5563549160671464E-2</v>
      </c>
      <c r="AI756" s="21">
        <v>18</v>
      </c>
      <c r="AJ756" s="41">
        <f t="shared" si="330"/>
        <v>4.8387096774193547E-2</v>
      </c>
      <c r="AK756" s="21">
        <v>23</v>
      </c>
      <c r="AL756" s="41">
        <f t="shared" ref="AL756:AL819" si="345">IFERROR(AK756/$BE756,0)</f>
        <v>5.5155875299760189E-2</v>
      </c>
      <c r="AM756" s="21">
        <v>18</v>
      </c>
      <c r="AN756" s="41">
        <f t="shared" si="331"/>
        <v>4.8387096774193547E-2</v>
      </c>
      <c r="AO756" s="21">
        <v>242</v>
      </c>
      <c r="AP756" s="41">
        <f t="shared" ref="AP756:AP819" si="346">IFERROR(AO756/$BE756,0)</f>
        <v>0.58033573141486805</v>
      </c>
      <c r="AQ756" s="21">
        <v>214</v>
      </c>
      <c r="AR756" s="41">
        <f t="shared" si="332"/>
        <v>0.57526881720430112</v>
      </c>
      <c r="AS756" s="21">
        <v>63</v>
      </c>
      <c r="AT756" s="41">
        <f t="shared" ref="AT756:AT819" si="347">IFERROR(AS756/$BE756,0)</f>
        <v>0.15107913669064749</v>
      </c>
      <c r="AU756" s="21">
        <v>51</v>
      </c>
      <c r="AV756" s="41">
        <f t="shared" si="333"/>
        <v>0.13709677419354838</v>
      </c>
      <c r="AW756" s="21">
        <v>32</v>
      </c>
      <c r="AX756" s="41">
        <f t="shared" ref="AX756:AX819" si="348">IFERROR(AW756/$BE756,0)</f>
        <v>7.6738609112709827E-2</v>
      </c>
      <c r="AY756" s="21">
        <v>32</v>
      </c>
      <c r="AZ756" s="41">
        <f t="shared" si="334"/>
        <v>8.6021505376344093E-2</v>
      </c>
      <c r="BA756" s="21">
        <v>38</v>
      </c>
      <c r="BB756" s="41">
        <f t="shared" ref="BB756:BB819" si="349">IFERROR(BA756/$BE756,0)</f>
        <v>9.1127098321342928E-2</v>
      </c>
      <c r="BC756" s="21">
        <v>39</v>
      </c>
      <c r="BD756" s="41">
        <f t="shared" si="335"/>
        <v>0.10483870967741936</v>
      </c>
      <c r="BE756" s="21">
        <v>417</v>
      </c>
      <c r="BF756" s="21">
        <v>372</v>
      </c>
    </row>
    <row r="757" spans="1:58" ht="15.75" customHeight="1" x14ac:dyDescent="0.25">
      <c r="A757" s="44">
        <v>2019</v>
      </c>
      <c r="B757" s="39">
        <v>171070</v>
      </c>
      <c r="C757" s="38" t="s">
        <v>145</v>
      </c>
      <c r="D757" s="38" t="s">
        <v>65</v>
      </c>
      <c r="E757" s="21">
        <v>1</v>
      </c>
      <c r="F757" s="42">
        <f t="shared" si="317"/>
        <v>4.3103448275862068E-3</v>
      </c>
      <c r="G757" s="21">
        <v>1</v>
      </c>
      <c r="H757" s="42">
        <f t="shared" si="318"/>
        <v>4.608294930875576E-3</v>
      </c>
      <c r="I757" s="21">
        <v>10</v>
      </c>
      <c r="J757" s="41">
        <f t="shared" si="319"/>
        <v>4.3103448275862072E-2</v>
      </c>
      <c r="K757" s="21">
        <v>10</v>
      </c>
      <c r="L757" s="41">
        <f t="shared" si="320"/>
        <v>4.6082949308755762E-2</v>
      </c>
      <c r="M757" s="21">
        <v>211</v>
      </c>
      <c r="N757" s="41">
        <f t="shared" si="321"/>
        <v>0.90948275862068961</v>
      </c>
      <c r="O757" s="21">
        <v>196</v>
      </c>
      <c r="P757" s="41">
        <f t="shared" si="322"/>
        <v>0.90322580645161288</v>
      </c>
      <c r="Q757" s="21">
        <v>10</v>
      </c>
      <c r="R757" s="41">
        <f t="shared" si="323"/>
        <v>4.3103448275862072E-2</v>
      </c>
      <c r="S757" s="21">
        <v>10</v>
      </c>
      <c r="T757" s="41">
        <f t="shared" si="324"/>
        <v>4.6082949308755762E-2</v>
      </c>
      <c r="U757" s="21">
        <v>36</v>
      </c>
      <c r="V757" s="41">
        <f t="shared" si="325"/>
        <v>0.15517241379310345</v>
      </c>
      <c r="W757" s="21">
        <v>37</v>
      </c>
      <c r="X757" s="41">
        <f t="shared" si="326"/>
        <v>0.17050691244239632</v>
      </c>
      <c r="Y757" s="21">
        <v>24</v>
      </c>
      <c r="Z757" s="41">
        <f t="shared" si="327"/>
        <v>0.10344827586206896</v>
      </c>
      <c r="AA757" s="21">
        <v>22</v>
      </c>
      <c r="AB757" s="41">
        <f t="shared" si="328"/>
        <v>0.10138248847926268</v>
      </c>
      <c r="AC757" s="21">
        <v>172</v>
      </c>
      <c r="AD757" s="41">
        <f t="shared" si="343"/>
        <v>0.74137931034482762</v>
      </c>
      <c r="AE757" s="21">
        <v>158</v>
      </c>
      <c r="AF757" s="41">
        <f t="shared" si="329"/>
        <v>0.72811059907834097</v>
      </c>
      <c r="AG757" s="21">
        <v>11</v>
      </c>
      <c r="AH757" s="41">
        <f t="shared" si="344"/>
        <v>4.7413793103448273E-2</v>
      </c>
      <c r="AI757" s="21">
        <v>10</v>
      </c>
      <c r="AJ757" s="41">
        <f t="shared" si="330"/>
        <v>4.6082949308755762E-2</v>
      </c>
      <c r="AK757" s="21">
        <v>7</v>
      </c>
      <c r="AL757" s="41">
        <f t="shared" si="345"/>
        <v>3.017241379310345E-2</v>
      </c>
      <c r="AM757" s="21">
        <v>7</v>
      </c>
      <c r="AN757" s="41">
        <f t="shared" si="331"/>
        <v>3.2258064516129031E-2</v>
      </c>
      <c r="AO757" s="21">
        <v>122</v>
      </c>
      <c r="AP757" s="41">
        <f t="shared" si="346"/>
        <v>0.52586206896551724</v>
      </c>
      <c r="AQ757" s="21">
        <v>113</v>
      </c>
      <c r="AR757" s="41">
        <f t="shared" si="332"/>
        <v>0.52073732718894006</v>
      </c>
      <c r="AS757" s="21">
        <v>32</v>
      </c>
      <c r="AT757" s="41">
        <f t="shared" si="347"/>
        <v>0.13793103448275862</v>
      </c>
      <c r="AU757" s="21">
        <v>27</v>
      </c>
      <c r="AV757" s="41">
        <f t="shared" si="333"/>
        <v>0.12442396313364056</v>
      </c>
      <c r="AW757" s="21">
        <v>27</v>
      </c>
      <c r="AX757" s="41">
        <f t="shared" si="348"/>
        <v>0.11637931034482758</v>
      </c>
      <c r="AY757" s="21">
        <v>26</v>
      </c>
      <c r="AZ757" s="41">
        <f t="shared" si="334"/>
        <v>0.11981566820276497</v>
      </c>
      <c r="BA757" s="21">
        <v>33</v>
      </c>
      <c r="BB757" s="41">
        <f t="shared" si="349"/>
        <v>0.14224137931034483</v>
      </c>
      <c r="BC757" s="21">
        <v>34</v>
      </c>
      <c r="BD757" s="41">
        <f t="shared" si="335"/>
        <v>0.15668202764976957</v>
      </c>
      <c r="BE757" s="21">
        <v>232</v>
      </c>
      <c r="BF757" s="21">
        <v>217</v>
      </c>
    </row>
    <row r="758" spans="1:58" ht="15.75" customHeight="1" x14ac:dyDescent="0.25">
      <c r="A758" s="44">
        <v>2019</v>
      </c>
      <c r="B758" s="39">
        <v>171090</v>
      </c>
      <c r="C758" s="38" t="s">
        <v>150</v>
      </c>
      <c r="D758" s="38" t="s">
        <v>66</v>
      </c>
      <c r="E758" s="21">
        <v>1</v>
      </c>
      <c r="F758" s="42">
        <f t="shared" si="317"/>
        <v>3.7037037037037038E-3</v>
      </c>
      <c r="G758" s="21">
        <v>1</v>
      </c>
      <c r="H758" s="42">
        <f t="shared" si="318"/>
        <v>6.3291139240506328E-3</v>
      </c>
      <c r="I758" s="21">
        <v>4</v>
      </c>
      <c r="J758" s="41">
        <f t="shared" si="319"/>
        <v>1.4814814814814815E-2</v>
      </c>
      <c r="K758" s="21">
        <v>4</v>
      </c>
      <c r="L758" s="41">
        <f t="shared" si="320"/>
        <v>2.5316455696202531E-2</v>
      </c>
      <c r="M758" s="21">
        <v>256</v>
      </c>
      <c r="N758" s="41">
        <f t="shared" si="321"/>
        <v>0.94814814814814818</v>
      </c>
      <c r="O758" s="21">
        <v>149</v>
      </c>
      <c r="P758" s="41">
        <f t="shared" si="322"/>
        <v>0.94303797468354433</v>
      </c>
      <c r="Q758" s="21">
        <v>9</v>
      </c>
      <c r="R758" s="41">
        <f t="shared" si="323"/>
        <v>3.3333333333333333E-2</v>
      </c>
      <c r="S758" s="21">
        <v>4</v>
      </c>
      <c r="T758" s="41">
        <f t="shared" si="324"/>
        <v>2.5316455696202531E-2</v>
      </c>
      <c r="U758" s="21">
        <v>8</v>
      </c>
      <c r="V758" s="41">
        <f t="shared" si="325"/>
        <v>2.9629629629629631E-2</v>
      </c>
      <c r="W758" s="21">
        <v>3</v>
      </c>
      <c r="X758" s="41">
        <f t="shared" si="326"/>
        <v>1.8987341772151899E-2</v>
      </c>
      <c r="Y758" s="21">
        <v>24</v>
      </c>
      <c r="Z758" s="41">
        <f t="shared" si="327"/>
        <v>8.8888888888888892E-2</v>
      </c>
      <c r="AA758" s="21">
        <v>17</v>
      </c>
      <c r="AB758" s="41">
        <f t="shared" si="328"/>
        <v>0.10759493670886076</v>
      </c>
      <c r="AC758" s="21">
        <v>238</v>
      </c>
      <c r="AD758" s="41">
        <f t="shared" si="343"/>
        <v>0.88148148148148153</v>
      </c>
      <c r="AE758" s="21">
        <v>138</v>
      </c>
      <c r="AF758" s="41">
        <f t="shared" si="329"/>
        <v>0.87341772151898733</v>
      </c>
      <c r="AG758" s="21">
        <v>3</v>
      </c>
      <c r="AH758" s="41">
        <f t="shared" si="344"/>
        <v>1.1111111111111112E-2</v>
      </c>
      <c r="AI758" s="21">
        <v>3</v>
      </c>
      <c r="AJ758" s="41">
        <f t="shared" si="330"/>
        <v>1.8987341772151899E-2</v>
      </c>
      <c r="AK758" s="21">
        <v>4</v>
      </c>
      <c r="AL758" s="41">
        <f t="shared" si="345"/>
        <v>1.4814814814814815E-2</v>
      </c>
      <c r="AM758" s="21">
        <v>3</v>
      </c>
      <c r="AN758" s="41">
        <f t="shared" si="331"/>
        <v>1.8987341772151899E-2</v>
      </c>
      <c r="AO758" s="21">
        <v>176</v>
      </c>
      <c r="AP758" s="41">
        <f t="shared" si="346"/>
        <v>0.6518518518518519</v>
      </c>
      <c r="AQ758" s="21">
        <v>109</v>
      </c>
      <c r="AR758" s="41">
        <f t="shared" si="332"/>
        <v>0.689873417721519</v>
      </c>
      <c r="AS758" s="21">
        <v>52</v>
      </c>
      <c r="AT758" s="41">
        <f t="shared" si="347"/>
        <v>0.19259259259259259</v>
      </c>
      <c r="AU758" s="21">
        <v>25</v>
      </c>
      <c r="AV758" s="41">
        <f t="shared" si="333"/>
        <v>0.15822784810126583</v>
      </c>
      <c r="AW758" s="21">
        <v>22</v>
      </c>
      <c r="AX758" s="41">
        <f t="shared" si="348"/>
        <v>8.1481481481481488E-2</v>
      </c>
      <c r="AY758" s="21">
        <v>12</v>
      </c>
      <c r="AZ758" s="41">
        <f t="shared" si="334"/>
        <v>7.5949367088607597E-2</v>
      </c>
      <c r="BA758" s="21">
        <v>13</v>
      </c>
      <c r="BB758" s="41">
        <f t="shared" si="349"/>
        <v>4.8148148148148148E-2</v>
      </c>
      <c r="BC758" s="21">
        <v>6</v>
      </c>
      <c r="BD758" s="41">
        <f t="shared" si="335"/>
        <v>3.7974683544303799E-2</v>
      </c>
      <c r="BE758" s="21">
        <v>270</v>
      </c>
      <c r="BF758" s="21">
        <v>158</v>
      </c>
    </row>
    <row r="759" spans="1:58" ht="15.75" customHeight="1" x14ac:dyDescent="0.25">
      <c r="A759" s="44">
        <v>2019</v>
      </c>
      <c r="B759" s="39">
        <v>171110</v>
      </c>
      <c r="C759" s="38" t="s">
        <v>150</v>
      </c>
      <c r="D759" s="38" t="s">
        <v>67</v>
      </c>
      <c r="E759" s="21">
        <v>0</v>
      </c>
      <c r="F759" s="42">
        <f t="shared" si="317"/>
        <v>0</v>
      </c>
      <c r="G759" s="21">
        <v>0</v>
      </c>
      <c r="H759" s="42">
        <f t="shared" si="318"/>
        <v>0</v>
      </c>
      <c r="I759" s="21">
        <v>0</v>
      </c>
      <c r="J759" s="41">
        <f t="shared" si="319"/>
        <v>0</v>
      </c>
      <c r="K759" s="21">
        <v>0</v>
      </c>
      <c r="L759" s="41">
        <f t="shared" si="320"/>
        <v>0</v>
      </c>
      <c r="M759" s="21">
        <v>76</v>
      </c>
      <c r="N759" s="41">
        <f t="shared" si="321"/>
        <v>0.92682926829268297</v>
      </c>
      <c r="O759" s="21">
        <v>54</v>
      </c>
      <c r="P759" s="41">
        <f t="shared" si="322"/>
        <v>0.9152542372881356</v>
      </c>
      <c r="Q759" s="21">
        <v>6</v>
      </c>
      <c r="R759" s="41">
        <f t="shared" si="323"/>
        <v>7.3170731707317069E-2</v>
      </c>
      <c r="S759" s="21">
        <v>5</v>
      </c>
      <c r="T759" s="41">
        <f t="shared" si="324"/>
        <v>8.4745762711864403E-2</v>
      </c>
      <c r="U759" s="21">
        <v>2</v>
      </c>
      <c r="V759" s="41">
        <f t="shared" si="325"/>
        <v>2.4390243902439025E-2</v>
      </c>
      <c r="W759" s="21">
        <v>0</v>
      </c>
      <c r="X759" s="41">
        <f t="shared" si="326"/>
        <v>0</v>
      </c>
      <c r="Y759" s="21">
        <v>8</v>
      </c>
      <c r="Z759" s="41">
        <f t="shared" si="327"/>
        <v>9.7560975609756101E-2</v>
      </c>
      <c r="AA759" s="21">
        <v>7</v>
      </c>
      <c r="AB759" s="41">
        <f t="shared" si="328"/>
        <v>0.11864406779661017</v>
      </c>
      <c r="AC759" s="21">
        <v>72</v>
      </c>
      <c r="AD759" s="41">
        <f t="shared" si="343"/>
        <v>0.87804878048780488</v>
      </c>
      <c r="AE759" s="21">
        <v>52</v>
      </c>
      <c r="AF759" s="41">
        <f t="shared" si="329"/>
        <v>0.88135593220338981</v>
      </c>
      <c r="AG759" s="21">
        <v>0</v>
      </c>
      <c r="AH759" s="41">
        <f t="shared" si="344"/>
        <v>0</v>
      </c>
      <c r="AI759" s="21">
        <v>0</v>
      </c>
      <c r="AJ759" s="41">
        <f t="shared" si="330"/>
        <v>0</v>
      </c>
      <c r="AK759" s="21">
        <v>2</v>
      </c>
      <c r="AL759" s="41">
        <f t="shared" si="345"/>
        <v>2.4390243902439025E-2</v>
      </c>
      <c r="AM759" s="21">
        <v>2</v>
      </c>
      <c r="AN759" s="41">
        <f t="shared" si="331"/>
        <v>3.3898305084745763E-2</v>
      </c>
      <c r="AO759" s="21">
        <v>48</v>
      </c>
      <c r="AP759" s="41">
        <f t="shared" si="346"/>
        <v>0.58536585365853655</v>
      </c>
      <c r="AQ759" s="21">
        <v>38</v>
      </c>
      <c r="AR759" s="41">
        <f t="shared" si="332"/>
        <v>0.64406779661016944</v>
      </c>
      <c r="AS759" s="21">
        <v>17</v>
      </c>
      <c r="AT759" s="41">
        <f t="shared" si="347"/>
        <v>0.2073170731707317</v>
      </c>
      <c r="AU759" s="21">
        <v>12</v>
      </c>
      <c r="AV759" s="41">
        <f t="shared" si="333"/>
        <v>0.20338983050847459</v>
      </c>
      <c r="AW759" s="21">
        <v>8</v>
      </c>
      <c r="AX759" s="41">
        <f t="shared" si="348"/>
        <v>9.7560975609756101E-2</v>
      </c>
      <c r="AY759" s="21">
        <v>4</v>
      </c>
      <c r="AZ759" s="41">
        <f t="shared" si="334"/>
        <v>6.7796610169491525E-2</v>
      </c>
      <c r="BA759" s="21">
        <v>7</v>
      </c>
      <c r="BB759" s="41">
        <f t="shared" si="349"/>
        <v>8.5365853658536592E-2</v>
      </c>
      <c r="BC759" s="21">
        <v>3</v>
      </c>
      <c r="BD759" s="41">
        <f t="shared" si="335"/>
        <v>5.0847457627118647E-2</v>
      </c>
      <c r="BE759" s="21">
        <v>82</v>
      </c>
      <c r="BF759" s="21">
        <v>59</v>
      </c>
    </row>
    <row r="760" spans="1:58" ht="15.75" customHeight="1" x14ac:dyDescent="0.25">
      <c r="A760" s="44">
        <v>2019</v>
      </c>
      <c r="B760" s="39">
        <v>171150</v>
      </c>
      <c r="C760" s="38" t="s">
        <v>146</v>
      </c>
      <c r="D760" s="38" t="s">
        <v>68</v>
      </c>
      <c r="E760" s="21">
        <v>1</v>
      </c>
      <c r="F760" s="42">
        <f t="shared" si="317"/>
        <v>5.5865921787709499E-3</v>
      </c>
      <c r="G760" s="21">
        <v>1</v>
      </c>
      <c r="H760" s="42">
        <f t="shared" si="318"/>
        <v>8.2644628099173556E-3</v>
      </c>
      <c r="I760" s="21">
        <v>8</v>
      </c>
      <c r="J760" s="41">
        <f t="shared" si="319"/>
        <v>4.4692737430167599E-2</v>
      </c>
      <c r="K760" s="21">
        <v>5</v>
      </c>
      <c r="L760" s="41">
        <f t="shared" si="320"/>
        <v>4.1322314049586778E-2</v>
      </c>
      <c r="M760" s="21">
        <v>155</v>
      </c>
      <c r="N760" s="41">
        <f t="shared" si="321"/>
        <v>0.86592178770949724</v>
      </c>
      <c r="O760" s="21">
        <v>107</v>
      </c>
      <c r="P760" s="41">
        <f t="shared" si="322"/>
        <v>0.88429752066115708</v>
      </c>
      <c r="Q760" s="21">
        <v>15</v>
      </c>
      <c r="R760" s="41">
        <f t="shared" si="323"/>
        <v>8.3798882681564241E-2</v>
      </c>
      <c r="S760" s="21">
        <v>8</v>
      </c>
      <c r="T760" s="41">
        <f t="shared" si="324"/>
        <v>6.6115702479338845E-2</v>
      </c>
      <c r="U760" s="21">
        <v>7</v>
      </c>
      <c r="V760" s="41">
        <f t="shared" si="325"/>
        <v>3.9106145251396648E-2</v>
      </c>
      <c r="W760" s="21">
        <v>6</v>
      </c>
      <c r="X760" s="41">
        <f t="shared" si="326"/>
        <v>4.9586776859504134E-2</v>
      </c>
      <c r="Y760" s="21">
        <v>11</v>
      </c>
      <c r="Z760" s="41">
        <f t="shared" si="327"/>
        <v>6.1452513966480445E-2</v>
      </c>
      <c r="AA760" s="21">
        <v>9</v>
      </c>
      <c r="AB760" s="41">
        <f t="shared" si="328"/>
        <v>7.43801652892562E-2</v>
      </c>
      <c r="AC760" s="21">
        <v>161</v>
      </c>
      <c r="AD760" s="41">
        <f t="shared" si="343"/>
        <v>0.8994413407821229</v>
      </c>
      <c r="AE760" s="21">
        <v>106</v>
      </c>
      <c r="AF760" s="41">
        <f t="shared" si="329"/>
        <v>0.87603305785123964</v>
      </c>
      <c r="AG760" s="21">
        <v>5</v>
      </c>
      <c r="AH760" s="41">
        <f t="shared" si="344"/>
        <v>2.7932960893854747E-2</v>
      </c>
      <c r="AI760" s="21">
        <v>2</v>
      </c>
      <c r="AJ760" s="41">
        <f t="shared" si="330"/>
        <v>1.6528925619834711E-2</v>
      </c>
      <c r="AK760" s="21">
        <v>6</v>
      </c>
      <c r="AL760" s="41">
        <f t="shared" si="345"/>
        <v>3.3519553072625698E-2</v>
      </c>
      <c r="AM760" s="21">
        <v>5</v>
      </c>
      <c r="AN760" s="41">
        <f t="shared" si="331"/>
        <v>4.1322314049586778E-2</v>
      </c>
      <c r="AO760" s="21">
        <v>111</v>
      </c>
      <c r="AP760" s="41">
        <f t="shared" si="346"/>
        <v>0.62011173184357538</v>
      </c>
      <c r="AQ760" s="21">
        <v>81</v>
      </c>
      <c r="AR760" s="41">
        <f t="shared" si="332"/>
        <v>0.66942148760330578</v>
      </c>
      <c r="AS760" s="21">
        <v>32</v>
      </c>
      <c r="AT760" s="41">
        <f t="shared" si="347"/>
        <v>0.1787709497206704</v>
      </c>
      <c r="AU760" s="21">
        <v>19</v>
      </c>
      <c r="AV760" s="41">
        <f t="shared" si="333"/>
        <v>0.15702479338842976</v>
      </c>
      <c r="AW760" s="21">
        <v>16</v>
      </c>
      <c r="AX760" s="41">
        <f t="shared" si="348"/>
        <v>8.9385474860335198E-2</v>
      </c>
      <c r="AY760" s="21">
        <v>9</v>
      </c>
      <c r="AZ760" s="41">
        <f t="shared" si="334"/>
        <v>7.43801652892562E-2</v>
      </c>
      <c r="BA760" s="21">
        <v>9</v>
      </c>
      <c r="BB760" s="41">
        <f t="shared" si="349"/>
        <v>5.027932960893855E-2</v>
      </c>
      <c r="BC760" s="21">
        <v>5</v>
      </c>
      <c r="BD760" s="41">
        <f t="shared" si="335"/>
        <v>4.1322314049586778E-2</v>
      </c>
      <c r="BE760" s="21">
        <v>179</v>
      </c>
      <c r="BF760" s="21">
        <v>121</v>
      </c>
    </row>
    <row r="761" spans="1:58" ht="15.75" customHeight="1" x14ac:dyDescent="0.25">
      <c r="A761" s="44">
        <v>2019</v>
      </c>
      <c r="B761" s="39">
        <v>171180</v>
      </c>
      <c r="C761" s="38" t="s">
        <v>150</v>
      </c>
      <c r="D761" s="38" t="s">
        <v>69</v>
      </c>
      <c r="E761" s="21">
        <v>0</v>
      </c>
      <c r="F761" s="42">
        <f t="shared" si="317"/>
        <v>0</v>
      </c>
      <c r="G761" s="21">
        <v>0</v>
      </c>
      <c r="H761" s="42">
        <f t="shared" si="318"/>
        <v>0</v>
      </c>
      <c r="I761" s="21">
        <v>2</v>
      </c>
      <c r="J761" s="41">
        <f t="shared" si="319"/>
        <v>2.1739130434782608E-2</v>
      </c>
      <c r="K761" s="21">
        <v>1</v>
      </c>
      <c r="L761" s="41">
        <f t="shared" si="320"/>
        <v>1.1904761904761904E-2</v>
      </c>
      <c r="M761" s="21">
        <v>84</v>
      </c>
      <c r="N761" s="41">
        <f t="shared" si="321"/>
        <v>0.91304347826086951</v>
      </c>
      <c r="O761" s="21">
        <v>77</v>
      </c>
      <c r="P761" s="41">
        <f t="shared" si="322"/>
        <v>0.91666666666666663</v>
      </c>
      <c r="Q761" s="21">
        <v>6</v>
      </c>
      <c r="R761" s="41">
        <f t="shared" si="323"/>
        <v>6.5217391304347824E-2</v>
      </c>
      <c r="S761" s="21">
        <v>6</v>
      </c>
      <c r="T761" s="41">
        <f t="shared" si="324"/>
        <v>7.1428571428571425E-2</v>
      </c>
      <c r="U761" s="21">
        <v>1</v>
      </c>
      <c r="V761" s="41">
        <f t="shared" si="325"/>
        <v>1.0869565217391304E-2</v>
      </c>
      <c r="W761" s="21">
        <v>0</v>
      </c>
      <c r="X761" s="41">
        <f t="shared" si="326"/>
        <v>0</v>
      </c>
      <c r="Y761" s="21">
        <v>3</v>
      </c>
      <c r="Z761" s="41">
        <f t="shared" si="327"/>
        <v>3.2608695652173912E-2</v>
      </c>
      <c r="AA761" s="21">
        <v>2</v>
      </c>
      <c r="AB761" s="41">
        <f t="shared" si="328"/>
        <v>2.3809523809523808E-2</v>
      </c>
      <c r="AC761" s="21">
        <v>88</v>
      </c>
      <c r="AD761" s="41">
        <f t="shared" si="343"/>
        <v>0.95652173913043481</v>
      </c>
      <c r="AE761" s="21">
        <v>82</v>
      </c>
      <c r="AF761" s="41">
        <f t="shared" si="329"/>
        <v>0.97619047619047616</v>
      </c>
      <c r="AG761" s="21">
        <v>4</v>
      </c>
      <c r="AH761" s="41">
        <f t="shared" si="344"/>
        <v>4.3478260869565216E-2</v>
      </c>
      <c r="AI761" s="21">
        <v>4</v>
      </c>
      <c r="AJ761" s="41">
        <f t="shared" si="330"/>
        <v>4.7619047619047616E-2</v>
      </c>
      <c r="AK761" s="21">
        <v>5</v>
      </c>
      <c r="AL761" s="41">
        <f t="shared" si="345"/>
        <v>5.434782608695652E-2</v>
      </c>
      <c r="AM761" s="21">
        <v>5</v>
      </c>
      <c r="AN761" s="41">
        <f t="shared" si="331"/>
        <v>5.9523809523809521E-2</v>
      </c>
      <c r="AO761" s="21">
        <v>69</v>
      </c>
      <c r="AP761" s="41">
        <f t="shared" si="346"/>
        <v>0.75</v>
      </c>
      <c r="AQ761" s="21">
        <v>62</v>
      </c>
      <c r="AR761" s="41">
        <f t="shared" si="332"/>
        <v>0.73809523809523814</v>
      </c>
      <c r="AS761" s="21">
        <v>10</v>
      </c>
      <c r="AT761" s="41">
        <f t="shared" si="347"/>
        <v>0.10869565217391304</v>
      </c>
      <c r="AU761" s="21">
        <v>10</v>
      </c>
      <c r="AV761" s="41">
        <f t="shared" si="333"/>
        <v>0.11904761904761904</v>
      </c>
      <c r="AW761" s="21">
        <v>3</v>
      </c>
      <c r="AX761" s="41">
        <f t="shared" si="348"/>
        <v>3.2608695652173912E-2</v>
      </c>
      <c r="AY761" s="21">
        <v>2</v>
      </c>
      <c r="AZ761" s="41">
        <f t="shared" si="334"/>
        <v>2.3809523809523808E-2</v>
      </c>
      <c r="BA761" s="21">
        <v>1</v>
      </c>
      <c r="BB761" s="41">
        <f t="shared" si="349"/>
        <v>1.0869565217391304E-2</v>
      </c>
      <c r="BC761" s="21">
        <v>1</v>
      </c>
      <c r="BD761" s="41">
        <f t="shared" si="335"/>
        <v>1.1904761904761904E-2</v>
      </c>
      <c r="BE761" s="21">
        <v>92</v>
      </c>
      <c r="BF761" s="21">
        <v>84</v>
      </c>
    </row>
    <row r="762" spans="1:58" ht="15.75" customHeight="1" x14ac:dyDescent="0.25">
      <c r="A762" s="44">
        <v>2019</v>
      </c>
      <c r="B762" s="39">
        <v>171190</v>
      </c>
      <c r="C762" s="38" t="s">
        <v>144</v>
      </c>
      <c r="D762" s="38" t="s">
        <v>70</v>
      </c>
      <c r="E762" s="21">
        <v>5</v>
      </c>
      <c r="F762" s="42">
        <f t="shared" si="317"/>
        <v>8.3056478405315621E-3</v>
      </c>
      <c r="G762" s="21">
        <v>5</v>
      </c>
      <c r="H762" s="42">
        <f t="shared" si="318"/>
        <v>1.1111111111111112E-2</v>
      </c>
      <c r="I762" s="21">
        <v>18</v>
      </c>
      <c r="J762" s="41">
        <f t="shared" si="319"/>
        <v>2.9900332225913623E-2</v>
      </c>
      <c r="K762" s="21">
        <v>13</v>
      </c>
      <c r="L762" s="41">
        <f t="shared" si="320"/>
        <v>2.8888888888888888E-2</v>
      </c>
      <c r="M762" s="21">
        <v>555</v>
      </c>
      <c r="N762" s="41">
        <f t="shared" si="321"/>
        <v>0.92192691029900331</v>
      </c>
      <c r="O762" s="21">
        <v>414</v>
      </c>
      <c r="P762" s="41">
        <f t="shared" si="322"/>
        <v>0.92</v>
      </c>
      <c r="Q762" s="21">
        <v>24</v>
      </c>
      <c r="R762" s="41">
        <f t="shared" si="323"/>
        <v>3.9867109634551492E-2</v>
      </c>
      <c r="S762" s="21">
        <v>18</v>
      </c>
      <c r="T762" s="41">
        <f t="shared" si="324"/>
        <v>0.04</v>
      </c>
      <c r="U762" s="21">
        <v>28</v>
      </c>
      <c r="V762" s="41">
        <f t="shared" si="325"/>
        <v>4.6511627906976744E-2</v>
      </c>
      <c r="W762" s="21">
        <v>23</v>
      </c>
      <c r="X762" s="41">
        <f t="shared" si="326"/>
        <v>5.1111111111111114E-2</v>
      </c>
      <c r="Y762" s="21">
        <v>61</v>
      </c>
      <c r="Z762" s="41">
        <f t="shared" si="327"/>
        <v>0.10132890365448505</v>
      </c>
      <c r="AA762" s="21">
        <v>51</v>
      </c>
      <c r="AB762" s="41">
        <f t="shared" si="328"/>
        <v>0.11333333333333333</v>
      </c>
      <c r="AC762" s="21">
        <v>513</v>
      </c>
      <c r="AD762" s="41">
        <f t="shared" si="343"/>
        <v>0.85215946843853818</v>
      </c>
      <c r="AE762" s="21">
        <v>376</v>
      </c>
      <c r="AF762" s="41">
        <f t="shared" si="329"/>
        <v>0.83555555555555561</v>
      </c>
      <c r="AG762" s="21">
        <v>21</v>
      </c>
      <c r="AH762" s="41">
        <f t="shared" si="344"/>
        <v>3.4883720930232558E-2</v>
      </c>
      <c r="AI762" s="21">
        <v>19</v>
      </c>
      <c r="AJ762" s="41">
        <f t="shared" si="330"/>
        <v>4.2222222222222223E-2</v>
      </c>
      <c r="AK762" s="21">
        <v>20</v>
      </c>
      <c r="AL762" s="41">
        <f t="shared" si="345"/>
        <v>3.3222591362126248E-2</v>
      </c>
      <c r="AM762" s="21">
        <v>15</v>
      </c>
      <c r="AN762" s="41">
        <f t="shared" si="331"/>
        <v>3.3333333333333333E-2</v>
      </c>
      <c r="AO762" s="21">
        <v>378</v>
      </c>
      <c r="AP762" s="41">
        <f t="shared" si="346"/>
        <v>0.62790697674418605</v>
      </c>
      <c r="AQ762" s="21">
        <v>288</v>
      </c>
      <c r="AR762" s="41">
        <f t="shared" si="332"/>
        <v>0.64</v>
      </c>
      <c r="AS762" s="21">
        <v>122</v>
      </c>
      <c r="AT762" s="41">
        <f t="shared" si="347"/>
        <v>0.20265780730897009</v>
      </c>
      <c r="AU762" s="21">
        <v>87</v>
      </c>
      <c r="AV762" s="41">
        <f t="shared" si="333"/>
        <v>0.19333333333333333</v>
      </c>
      <c r="AW762" s="21">
        <v>34</v>
      </c>
      <c r="AX762" s="41">
        <f t="shared" si="348"/>
        <v>5.647840531561462E-2</v>
      </c>
      <c r="AY762" s="21">
        <v>16</v>
      </c>
      <c r="AZ762" s="41">
        <f t="shared" si="334"/>
        <v>3.5555555555555556E-2</v>
      </c>
      <c r="BA762" s="21">
        <v>27</v>
      </c>
      <c r="BB762" s="41">
        <f t="shared" si="349"/>
        <v>4.4850498338870434E-2</v>
      </c>
      <c r="BC762" s="21">
        <v>25</v>
      </c>
      <c r="BD762" s="41">
        <f t="shared" si="335"/>
        <v>5.5555555555555552E-2</v>
      </c>
      <c r="BE762" s="21">
        <v>602</v>
      </c>
      <c r="BF762" s="21">
        <v>450</v>
      </c>
    </row>
    <row r="763" spans="1:58" ht="15.75" customHeight="1" x14ac:dyDescent="0.25">
      <c r="A763" s="44">
        <v>2019</v>
      </c>
      <c r="B763" s="39">
        <v>171195</v>
      </c>
      <c r="C763" s="38" t="s">
        <v>148</v>
      </c>
      <c r="D763" s="38" t="s">
        <v>71</v>
      </c>
      <c r="E763" s="21">
        <v>4</v>
      </c>
      <c r="F763" s="42">
        <f t="shared" si="317"/>
        <v>1.1695906432748537E-2</v>
      </c>
      <c r="G763" s="21">
        <v>3</v>
      </c>
      <c r="H763" s="42">
        <f t="shared" si="318"/>
        <v>1.3824884792626729E-2</v>
      </c>
      <c r="I763" s="21">
        <v>18</v>
      </c>
      <c r="J763" s="41">
        <f t="shared" si="319"/>
        <v>5.2631578947368418E-2</v>
      </c>
      <c r="K763" s="21">
        <v>11</v>
      </c>
      <c r="L763" s="41">
        <f t="shared" si="320"/>
        <v>5.0691244239631339E-2</v>
      </c>
      <c r="M763" s="21">
        <v>303</v>
      </c>
      <c r="N763" s="41">
        <f t="shared" si="321"/>
        <v>0.88596491228070173</v>
      </c>
      <c r="O763" s="21">
        <v>188</v>
      </c>
      <c r="P763" s="41">
        <f t="shared" si="322"/>
        <v>0.86635944700460832</v>
      </c>
      <c r="Q763" s="21">
        <v>17</v>
      </c>
      <c r="R763" s="41">
        <f t="shared" si="323"/>
        <v>4.9707602339181284E-2</v>
      </c>
      <c r="S763" s="21">
        <v>15</v>
      </c>
      <c r="T763" s="41">
        <f t="shared" si="324"/>
        <v>6.9124423963133647E-2</v>
      </c>
      <c r="U763" s="21">
        <v>16</v>
      </c>
      <c r="V763" s="41">
        <f t="shared" si="325"/>
        <v>4.6783625730994149E-2</v>
      </c>
      <c r="W763" s="21">
        <v>15</v>
      </c>
      <c r="X763" s="41">
        <f t="shared" si="326"/>
        <v>6.9124423963133647E-2</v>
      </c>
      <c r="Y763" s="21">
        <v>34</v>
      </c>
      <c r="Z763" s="41">
        <f t="shared" si="327"/>
        <v>9.9415204678362568E-2</v>
      </c>
      <c r="AA763" s="21">
        <v>22</v>
      </c>
      <c r="AB763" s="41">
        <f t="shared" si="328"/>
        <v>0.10138248847926268</v>
      </c>
      <c r="AC763" s="21">
        <v>292</v>
      </c>
      <c r="AD763" s="41">
        <f t="shared" si="343"/>
        <v>0.85380116959064323</v>
      </c>
      <c r="AE763" s="21">
        <v>180</v>
      </c>
      <c r="AF763" s="41">
        <f t="shared" si="329"/>
        <v>0.82949308755760365</v>
      </c>
      <c r="AG763" s="21">
        <v>9</v>
      </c>
      <c r="AH763" s="41">
        <f t="shared" si="344"/>
        <v>2.6315789473684209E-2</v>
      </c>
      <c r="AI763" s="21">
        <v>6</v>
      </c>
      <c r="AJ763" s="41">
        <f t="shared" si="330"/>
        <v>2.7649769585253458E-2</v>
      </c>
      <c r="AK763" s="21">
        <v>19</v>
      </c>
      <c r="AL763" s="41">
        <f t="shared" si="345"/>
        <v>5.5555555555555552E-2</v>
      </c>
      <c r="AM763" s="21">
        <v>13</v>
      </c>
      <c r="AN763" s="41">
        <f t="shared" si="331"/>
        <v>5.9907834101382486E-2</v>
      </c>
      <c r="AO763" s="21">
        <v>221</v>
      </c>
      <c r="AP763" s="41">
        <f t="shared" si="346"/>
        <v>0.64619883040935677</v>
      </c>
      <c r="AQ763" s="21">
        <v>142</v>
      </c>
      <c r="AR763" s="41">
        <f t="shared" si="332"/>
        <v>0.65437788018433185</v>
      </c>
      <c r="AS763" s="21">
        <v>60</v>
      </c>
      <c r="AT763" s="41">
        <f t="shared" si="347"/>
        <v>0.17543859649122806</v>
      </c>
      <c r="AU763" s="21">
        <v>32</v>
      </c>
      <c r="AV763" s="41">
        <f t="shared" si="333"/>
        <v>0.14746543778801843</v>
      </c>
      <c r="AW763" s="21">
        <v>17</v>
      </c>
      <c r="AX763" s="41">
        <f t="shared" si="348"/>
        <v>4.9707602339181284E-2</v>
      </c>
      <c r="AY763" s="21">
        <v>7</v>
      </c>
      <c r="AZ763" s="41">
        <f t="shared" si="334"/>
        <v>3.2258064516129031E-2</v>
      </c>
      <c r="BA763" s="21">
        <v>16</v>
      </c>
      <c r="BB763" s="41">
        <f t="shared" si="349"/>
        <v>4.6783625730994149E-2</v>
      </c>
      <c r="BC763" s="21">
        <v>17</v>
      </c>
      <c r="BD763" s="41">
        <f t="shared" si="335"/>
        <v>7.8341013824884786E-2</v>
      </c>
      <c r="BE763" s="21">
        <v>342</v>
      </c>
      <c r="BF763" s="21">
        <v>217</v>
      </c>
    </row>
    <row r="764" spans="1:58" ht="15.75" customHeight="1" x14ac:dyDescent="0.25">
      <c r="A764" s="44">
        <v>2019</v>
      </c>
      <c r="B764" s="39">
        <v>171200</v>
      </c>
      <c r="C764" s="38" t="s">
        <v>148</v>
      </c>
      <c r="D764" s="38" t="s">
        <v>72</v>
      </c>
      <c r="E764" s="21">
        <v>1</v>
      </c>
      <c r="F764" s="42">
        <f t="shared" si="317"/>
        <v>9.7087378640776691E-3</v>
      </c>
      <c r="G764" s="21">
        <v>1</v>
      </c>
      <c r="H764" s="42">
        <f t="shared" si="318"/>
        <v>1.0101010101010102E-2</v>
      </c>
      <c r="I764" s="21">
        <v>3</v>
      </c>
      <c r="J764" s="41">
        <f t="shared" si="319"/>
        <v>2.9126213592233011E-2</v>
      </c>
      <c r="K764" s="21">
        <v>3</v>
      </c>
      <c r="L764" s="41">
        <f t="shared" si="320"/>
        <v>3.0303030303030304E-2</v>
      </c>
      <c r="M764" s="21">
        <v>90</v>
      </c>
      <c r="N764" s="41">
        <f t="shared" si="321"/>
        <v>0.87378640776699024</v>
      </c>
      <c r="O764" s="21">
        <v>86</v>
      </c>
      <c r="P764" s="41">
        <f t="shared" si="322"/>
        <v>0.86868686868686873</v>
      </c>
      <c r="Q764" s="21">
        <v>9</v>
      </c>
      <c r="R764" s="41">
        <f t="shared" si="323"/>
        <v>8.7378640776699032E-2</v>
      </c>
      <c r="S764" s="21">
        <v>9</v>
      </c>
      <c r="T764" s="41">
        <f t="shared" si="324"/>
        <v>9.0909090909090912E-2</v>
      </c>
      <c r="U764" s="21">
        <v>12</v>
      </c>
      <c r="V764" s="41">
        <f t="shared" si="325"/>
        <v>0.11650485436893204</v>
      </c>
      <c r="W764" s="21">
        <v>12</v>
      </c>
      <c r="X764" s="41">
        <f t="shared" si="326"/>
        <v>0.12121212121212122</v>
      </c>
      <c r="Y764" s="21">
        <v>5</v>
      </c>
      <c r="Z764" s="41">
        <f t="shared" si="327"/>
        <v>4.8543689320388349E-2</v>
      </c>
      <c r="AA764" s="21">
        <v>5</v>
      </c>
      <c r="AB764" s="41">
        <f t="shared" si="328"/>
        <v>5.0505050505050504E-2</v>
      </c>
      <c r="AC764" s="21">
        <v>86</v>
      </c>
      <c r="AD764" s="41">
        <f t="shared" si="343"/>
        <v>0.83495145631067957</v>
      </c>
      <c r="AE764" s="21">
        <v>82</v>
      </c>
      <c r="AF764" s="41">
        <f t="shared" si="329"/>
        <v>0.82828282828282829</v>
      </c>
      <c r="AG764" s="21">
        <v>18</v>
      </c>
      <c r="AH764" s="41">
        <f t="shared" si="344"/>
        <v>0.17475728155339806</v>
      </c>
      <c r="AI764" s="21">
        <v>18</v>
      </c>
      <c r="AJ764" s="41">
        <f t="shared" si="330"/>
        <v>0.18181818181818182</v>
      </c>
      <c r="AK764" s="21">
        <v>14</v>
      </c>
      <c r="AL764" s="41">
        <f t="shared" si="345"/>
        <v>0.13592233009708737</v>
      </c>
      <c r="AM764" s="21">
        <v>14</v>
      </c>
      <c r="AN764" s="41">
        <f t="shared" si="331"/>
        <v>0.14141414141414141</v>
      </c>
      <c r="AO764" s="21">
        <v>37</v>
      </c>
      <c r="AP764" s="41">
        <f t="shared" si="346"/>
        <v>0.35922330097087379</v>
      </c>
      <c r="AQ764" s="21">
        <v>35</v>
      </c>
      <c r="AR764" s="41">
        <f t="shared" si="332"/>
        <v>0.35353535353535354</v>
      </c>
      <c r="AS764" s="21">
        <v>12</v>
      </c>
      <c r="AT764" s="41">
        <f t="shared" si="347"/>
        <v>0.11650485436893204</v>
      </c>
      <c r="AU764" s="21">
        <v>10</v>
      </c>
      <c r="AV764" s="41">
        <f t="shared" si="333"/>
        <v>0.10101010101010101</v>
      </c>
      <c r="AW764" s="21">
        <v>3</v>
      </c>
      <c r="AX764" s="41">
        <f t="shared" si="348"/>
        <v>2.9126213592233011E-2</v>
      </c>
      <c r="AY764" s="21">
        <v>3</v>
      </c>
      <c r="AZ764" s="41">
        <f t="shared" si="334"/>
        <v>3.0303030303030304E-2</v>
      </c>
      <c r="BA764" s="21">
        <v>19</v>
      </c>
      <c r="BB764" s="41">
        <f t="shared" si="349"/>
        <v>0.18446601941747573</v>
      </c>
      <c r="BC764" s="21">
        <v>19</v>
      </c>
      <c r="BD764" s="41">
        <f t="shared" si="335"/>
        <v>0.19191919191919191</v>
      </c>
      <c r="BE764" s="21">
        <v>103</v>
      </c>
      <c r="BF764" s="21">
        <v>99</v>
      </c>
    </row>
    <row r="765" spans="1:58" ht="15.75" customHeight="1" x14ac:dyDescent="0.25">
      <c r="A765" s="44">
        <v>2019</v>
      </c>
      <c r="B765" s="39">
        <v>171215</v>
      </c>
      <c r="C765" s="38" t="s">
        <v>147</v>
      </c>
      <c r="D765" s="38" t="s">
        <v>73</v>
      </c>
      <c r="E765" s="21">
        <v>0</v>
      </c>
      <c r="F765" s="42">
        <f t="shared" si="317"/>
        <v>0</v>
      </c>
      <c r="G765" s="21">
        <v>0</v>
      </c>
      <c r="H765" s="42">
        <f t="shared" si="318"/>
        <v>0</v>
      </c>
      <c r="I765" s="21">
        <v>1</v>
      </c>
      <c r="J765" s="41">
        <f t="shared" si="319"/>
        <v>9.5238095238095247E-3</v>
      </c>
      <c r="K765" s="21">
        <v>1</v>
      </c>
      <c r="L765" s="41">
        <f t="shared" si="320"/>
        <v>1.6949152542372881E-2</v>
      </c>
      <c r="M765" s="21">
        <v>100</v>
      </c>
      <c r="N765" s="41">
        <f t="shared" si="321"/>
        <v>0.95238095238095233</v>
      </c>
      <c r="O765" s="21">
        <v>58</v>
      </c>
      <c r="P765" s="41">
        <f t="shared" si="322"/>
        <v>0.98305084745762716</v>
      </c>
      <c r="Q765" s="21">
        <v>4</v>
      </c>
      <c r="R765" s="41">
        <f t="shared" si="323"/>
        <v>3.8095238095238099E-2</v>
      </c>
      <c r="S765" s="21">
        <v>0</v>
      </c>
      <c r="T765" s="41">
        <f t="shared" si="324"/>
        <v>0</v>
      </c>
      <c r="U765" s="21">
        <v>1</v>
      </c>
      <c r="V765" s="41">
        <f t="shared" si="325"/>
        <v>9.5238095238095247E-3</v>
      </c>
      <c r="W765" s="21">
        <v>1</v>
      </c>
      <c r="X765" s="41">
        <f t="shared" si="326"/>
        <v>1.6949152542372881E-2</v>
      </c>
      <c r="Y765" s="21">
        <v>10</v>
      </c>
      <c r="Z765" s="41">
        <f t="shared" si="327"/>
        <v>9.5238095238095233E-2</v>
      </c>
      <c r="AA765" s="21">
        <v>10</v>
      </c>
      <c r="AB765" s="41">
        <f t="shared" si="328"/>
        <v>0.16949152542372881</v>
      </c>
      <c r="AC765" s="21">
        <v>94</v>
      </c>
      <c r="AD765" s="41">
        <f t="shared" si="343"/>
        <v>0.89523809523809528</v>
      </c>
      <c r="AE765" s="21">
        <v>48</v>
      </c>
      <c r="AF765" s="41">
        <f t="shared" si="329"/>
        <v>0.81355932203389836</v>
      </c>
      <c r="AG765" s="21">
        <v>2</v>
      </c>
      <c r="AH765" s="41">
        <f t="shared" si="344"/>
        <v>1.9047619047619049E-2</v>
      </c>
      <c r="AI765" s="21">
        <v>2</v>
      </c>
      <c r="AJ765" s="41">
        <f t="shared" si="330"/>
        <v>3.3898305084745763E-2</v>
      </c>
      <c r="AK765" s="21">
        <v>4</v>
      </c>
      <c r="AL765" s="41">
        <f t="shared" si="345"/>
        <v>3.8095238095238099E-2</v>
      </c>
      <c r="AM765" s="21">
        <v>4</v>
      </c>
      <c r="AN765" s="41">
        <f t="shared" si="331"/>
        <v>6.7796610169491525E-2</v>
      </c>
      <c r="AO765" s="21">
        <v>64</v>
      </c>
      <c r="AP765" s="41">
        <f t="shared" si="346"/>
        <v>0.60952380952380958</v>
      </c>
      <c r="AQ765" s="21">
        <v>35</v>
      </c>
      <c r="AR765" s="41">
        <f t="shared" si="332"/>
        <v>0.59322033898305082</v>
      </c>
      <c r="AS765" s="21">
        <v>18</v>
      </c>
      <c r="AT765" s="41">
        <f t="shared" si="347"/>
        <v>0.17142857142857143</v>
      </c>
      <c r="AU765" s="21">
        <v>8</v>
      </c>
      <c r="AV765" s="41">
        <f t="shared" si="333"/>
        <v>0.13559322033898305</v>
      </c>
      <c r="AW765" s="21">
        <v>16</v>
      </c>
      <c r="AX765" s="41">
        <f t="shared" si="348"/>
        <v>0.15238095238095239</v>
      </c>
      <c r="AY765" s="21">
        <v>8</v>
      </c>
      <c r="AZ765" s="41">
        <f t="shared" si="334"/>
        <v>0.13559322033898305</v>
      </c>
      <c r="BA765" s="21">
        <v>1</v>
      </c>
      <c r="BB765" s="41">
        <f t="shared" si="349"/>
        <v>9.5238095238095247E-3</v>
      </c>
      <c r="BC765" s="21">
        <v>2</v>
      </c>
      <c r="BD765" s="41">
        <f t="shared" si="335"/>
        <v>3.3898305084745763E-2</v>
      </c>
      <c r="BE765" s="21">
        <v>105</v>
      </c>
      <c r="BF765" s="21">
        <v>59</v>
      </c>
    </row>
    <row r="766" spans="1:58" ht="15.75" customHeight="1" x14ac:dyDescent="0.25">
      <c r="A766" s="44">
        <v>2019</v>
      </c>
      <c r="B766" s="39">
        <v>171240</v>
      </c>
      <c r="C766" s="38" t="s">
        <v>148</v>
      </c>
      <c r="D766" s="38" t="s">
        <v>74</v>
      </c>
      <c r="E766" s="21">
        <v>0</v>
      </c>
      <c r="F766" s="42">
        <f t="shared" si="317"/>
        <v>0</v>
      </c>
      <c r="G766" s="21">
        <v>0</v>
      </c>
      <c r="H766" s="42">
        <f t="shared" si="318"/>
        <v>0</v>
      </c>
      <c r="I766" s="21">
        <v>4</v>
      </c>
      <c r="J766" s="41">
        <f t="shared" si="319"/>
        <v>4.2553191489361701E-2</v>
      </c>
      <c r="K766" s="21">
        <v>2</v>
      </c>
      <c r="L766" s="41">
        <f t="shared" si="320"/>
        <v>2.8571428571428571E-2</v>
      </c>
      <c r="M766" s="21">
        <v>85</v>
      </c>
      <c r="N766" s="41">
        <f t="shared" si="321"/>
        <v>0.9042553191489362</v>
      </c>
      <c r="O766" s="21">
        <v>62</v>
      </c>
      <c r="P766" s="41">
        <f t="shared" si="322"/>
        <v>0.88571428571428568</v>
      </c>
      <c r="Q766" s="21">
        <v>5</v>
      </c>
      <c r="R766" s="41">
        <f t="shared" si="323"/>
        <v>5.3191489361702128E-2</v>
      </c>
      <c r="S766" s="21">
        <v>6</v>
      </c>
      <c r="T766" s="41">
        <f t="shared" si="324"/>
        <v>8.5714285714285715E-2</v>
      </c>
      <c r="U766" s="21">
        <v>9</v>
      </c>
      <c r="V766" s="41">
        <f t="shared" si="325"/>
        <v>9.5744680851063829E-2</v>
      </c>
      <c r="W766" s="21">
        <v>10</v>
      </c>
      <c r="X766" s="41">
        <f t="shared" si="326"/>
        <v>0.14285714285714285</v>
      </c>
      <c r="Y766" s="21">
        <v>20</v>
      </c>
      <c r="Z766" s="41">
        <f t="shared" si="327"/>
        <v>0.21276595744680851</v>
      </c>
      <c r="AA766" s="21">
        <v>15</v>
      </c>
      <c r="AB766" s="41">
        <f t="shared" si="328"/>
        <v>0.21428571428571427</v>
      </c>
      <c r="AC766" s="21">
        <v>65</v>
      </c>
      <c r="AD766" s="41">
        <f t="shared" si="343"/>
        <v>0.69148936170212771</v>
      </c>
      <c r="AE766" s="21">
        <v>45</v>
      </c>
      <c r="AF766" s="41">
        <f t="shared" si="329"/>
        <v>0.6428571428571429</v>
      </c>
      <c r="AG766" s="21">
        <v>5</v>
      </c>
      <c r="AH766" s="41">
        <f t="shared" si="344"/>
        <v>5.3191489361702128E-2</v>
      </c>
      <c r="AI766" s="21">
        <v>3</v>
      </c>
      <c r="AJ766" s="41">
        <f t="shared" si="330"/>
        <v>4.2857142857142858E-2</v>
      </c>
      <c r="AK766" s="21">
        <v>3</v>
      </c>
      <c r="AL766" s="41">
        <f t="shared" si="345"/>
        <v>3.1914893617021274E-2</v>
      </c>
      <c r="AM766" s="21">
        <v>1</v>
      </c>
      <c r="AN766" s="41">
        <f t="shared" si="331"/>
        <v>1.4285714285714285E-2</v>
      </c>
      <c r="AO766" s="21">
        <v>47</v>
      </c>
      <c r="AP766" s="41">
        <f t="shared" si="346"/>
        <v>0.5</v>
      </c>
      <c r="AQ766" s="21">
        <v>30</v>
      </c>
      <c r="AR766" s="41">
        <f t="shared" si="332"/>
        <v>0.42857142857142855</v>
      </c>
      <c r="AS766" s="21">
        <v>15</v>
      </c>
      <c r="AT766" s="41">
        <f t="shared" si="347"/>
        <v>0.15957446808510639</v>
      </c>
      <c r="AU766" s="21">
        <v>10</v>
      </c>
      <c r="AV766" s="41">
        <f t="shared" si="333"/>
        <v>0.14285714285714285</v>
      </c>
      <c r="AW766" s="21">
        <v>9</v>
      </c>
      <c r="AX766" s="41">
        <f t="shared" si="348"/>
        <v>9.5744680851063829E-2</v>
      </c>
      <c r="AY766" s="21">
        <v>9</v>
      </c>
      <c r="AZ766" s="41">
        <f t="shared" si="334"/>
        <v>0.12857142857142856</v>
      </c>
      <c r="BA766" s="21">
        <v>15</v>
      </c>
      <c r="BB766" s="41">
        <f t="shared" si="349"/>
        <v>0.15957446808510639</v>
      </c>
      <c r="BC766" s="21">
        <v>17</v>
      </c>
      <c r="BD766" s="41">
        <f t="shared" si="335"/>
        <v>0.24285714285714285</v>
      </c>
      <c r="BE766" s="21">
        <v>94</v>
      </c>
      <c r="BF766" s="21">
        <v>70</v>
      </c>
    </row>
    <row r="767" spans="1:58" ht="15.75" customHeight="1" x14ac:dyDescent="0.25">
      <c r="A767" s="44">
        <v>2019</v>
      </c>
      <c r="B767" s="39">
        <v>171245</v>
      </c>
      <c r="C767" s="38" t="s">
        <v>145</v>
      </c>
      <c r="D767" s="38" t="s">
        <v>75</v>
      </c>
      <c r="E767" s="21">
        <v>1</v>
      </c>
      <c r="F767" s="42">
        <f t="shared" si="317"/>
        <v>9.1743119266055051E-3</v>
      </c>
      <c r="G767" s="21">
        <v>0</v>
      </c>
      <c r="H767" s="42">
        <f t="shared" si="318"/>
        <v>0</v>
      </c>
      <c r="I767" s="21">
        <v>6</v>
      </c>
      <c r="J767" s="41">
        <f t="shared" si="319"/>
        <v>5.5045871559633031E-2</v>
      </c>
      <c r="K767" s="21">
        <v>5</v>
      </c>
      <c r="L767" s="41">
        <f t="shared" si="320"/>
        <v>7.6923076923076927E-2</v>
      </c>
      <c r="M767" s="21">
        <v>96</v>
      </c>
      <c r="N767" s="41">
        <f t="shared" si="321"/>
        <v>0.88073394495412849</v>
      </c>
      <c r="O767" s="21">
        <v>56</v>
      </c>
      <c r="P767" s="41">
        <f t="shared" si="322"/>
        <v>0.86153846153846159</v>
      </c>
      <c r="Q767" s="21">
        <v>6</v>
      </c>
      <c r="R767" s="41">
        <f t="shared" si="323"/>
        <v>5.5045871559633031E-2</v>
      </c>
      <c r="S767" s="21">
        <v>4</v>
      </c>
      <c r="T767" s="41">
        <f t="shared" si="324"/>
        <v>6.1538461538461542E-2</v>
      </c>
      <c r="U767" s="21">
        <v>11</v>
      </c>
      <c r="V767" s="41">
        <f t="shared" si="325"/>
        <v>0.10091743119266056</v>
      </c>
      <c r="W767" s="21">
        <v>9</v>
      </c>
      <c r="X767" s="41">
        <f t="shared" si="326"/>
        <v>0.13846153846153847</v>
      </c>
      <c r="Y767" s="21">
        <v>12</v>
      </c>
      <c r="Z767" s="41">
        <f t="shared" si="327"/>
        <v>0.11009174311926606</v>
      </c>
      <c r="AA767" s="21">
        <v>6</v>
      </c>
      <c r="AB767" s="41">
        <f t="shared" si="328"/>
        <v>9.2307692307692313E-2</v>
      </c>
      <c r="AC767" s="21">
        <v>86</v>
      </c>
      <c r="AD767" s="41">
        <f t="shared" si="343"/>
        <v>0.78899082568807344</v>
      </c>
      <c r="AE767" s="21">
        <v>50</v>
      </c>
      <c r="AF767" s="41">
        <f t="shared" si="329"/>
        <v>0.76923076923076927</v>
      </c>
      <c r="AG767" s="21">
        <v>4</v>
      </c>
      <c r="AH767" s="41">
        <f t="shared" si="344"/>
        <v>3.669724770642202E-2</v>
      </c>
      <c r="AI767" s="21">
        <v>3</v>
      </c>
      <c r="AJ767" s="41">
        <f t="shared" si="330"/>
        <v>4.6153846153846156E-2</v>
      </c>
      <c r="AK767" s="21">
        <v>3</v>
      </c>
      <c r="AL767" s="41">
        <f t="shared" si="345"/>
        <v>2.7522935779816515E-2</v>
      </c>
      <c r="AM767" s="21">
        <v>2</v>
      </c>
      <c r="AN767" s="41">
        <f t="shared" si="331"/>
        <v>3.0769230769230771E-2</v>
      </c>
      <c r="AO767" s="21">
        <v>64</v>
      </c>
      <c r="AP767" s="41">
        <f t="shared" si="346"/>
        <v>0.58715596330275233</v>
      </c>
      <c r="AQ767" s="21">
        <v>37</v>
      </c>
      <c r="AR767" s="41">
        <f t="shared" si="332"/>
        <v>0.56923076923076921</v>
      </c>
      <c r="AS767" s="21">
        <v>19</v>
      </c>
      <c r="AT767" s="41">
        <f t="shared" si="347"/>
        <v>0.1743119266055046</v>
      </c>
      <c r="AU767" s="21">
        <v>12</v>
      </c>
      <c r="AV767" s="41">
        <f t="shared" si="333"/>
        <v>0.18461538461538463</v>
      </c>
      <c r="AW767" s="21">
        <v>10</v>
      </c>
      <c r="AX767" s="41">
        <f t="shared" si="348"/>
        <v>9.1743119266055051E-2</v>
      </c>
      <c r="AY767" s="21">
        <v>5</v>
      </c>
      <c r="AZ767" s="41">
        <f t="shared" si="334"/>
        <v>7.6923076923076927E-2</v>
      </c>
      <c r="BA767" s="21">
        <v>9</v>
      </c>
      <c r="BB767" s="41">
        <f t="shared" si="349"/>
        <v>8.2568807339449546E-2</v>
      </c>
      <c r="BC767" s="21">
        <v>6</v>
      </c>
      <c r="BD767" s="41">
        <f t="shared" si="335"/>
        <v>9.2307692307692313E-2</v>
      </c>
      <c r="BE767" s="21">
        <v>109</v>
      </c>
      <c r="BF767" s="21">
        <v>65</v>
      </c>
    </row>
    <row r="768" spans="1:58" ht="15.75" customHeight="1" x14ac:dyDescent="0.25">
      <c r="A768" s="44">
        <v>2019</v>
      </c>
      <c r="B768" s="39">
        <v>171250</v>
      </c>
      <c r="C768" s="38" t="s">
        <v>144</v>
      </c>
      <c r="D768" s="38" t="s">
        <v>76</v>
      </c>
      <c r="E768" s="21">
        <v>0</v>
      </c>
      <c r="F768" s="42">
        <f t="shared" si="317"/>
        <v>0</v>
      </c>
      <c r="G768" s="21">
        <v>1</v>
      </c>
      <c r="H768" s="42">
        <f t="shared" si="318"/>
        <v>7.4074074074074077E-3</v>
      </c>
      <c r="I768" s="21">
        <v>7</v>
      </c>
      <c r="J768" s="41">
        <f t="shared" si="319"/>
        <v>3.6842105263157891E-2</v>
      </c>
      <c r="K768" s="21">
        <v>7</v>
      </c>
      <c r="L768" s="41">
        <f t="shared" si="320"/>
        <v>5.185185185185185E-2</v>
      </c>
      <c r="M768" s="21">
        <v>167</v>
      </c>
      <c r="N768" s="41">
        <f t="shared" si="321"/>
        <v>0.87894736842105259</v>
      </c>
      <c r="O768" s="21">
        <v>116</v>
      </c>
      <c r="P768" s="41">
        <f t="shared" si="322"/>
        <v>0.85925925925925928</v>
      </c>
      <c r="Q768" s="21">
        <v>16</v>
      </c>
      <c r="R768" s="41">
        <f t="shared" si="323"/>
        <v>8.4210526315789472E-2</v>
      </c>
      <c r="S768" s="21">
        <v>11</v>
      </c>
      <c r="T768" s="41">
        <f t="shared" si="324"/>
        <v>8.1481481481481488E-2</v>
      </c>
      <c r="U768" s="21">
        <v>5</v>
      </c>
      <c r="V768" s="41">
        <f t="shared" si="325"/>
        <v>2.6315789473684209E-2</v>
      </c>
      <c r="W768" s="21">
        <v>4</v>
      </c>
      <c r="X768" s="41">
        <f t="shared" si="326"/>
        <v>2.9629629629629631E-2</v>
      </c>
      <c r="Y768" s="21">
        <v>16</v>
      </c>
      <c r="Z768" s="41">
        <f t="shared" si="327"/>
        <v>8.4210526315789472E-2</v>
      </c>
      <c r="AA768" s="21">
        <v>10</v>
      </c>
      <c r="AB768" s="41">
        <f t="shared" si="328"/>
        <v>7.407407407407407E-2</v>
      </c>
      <c r="AC768" s="21">
        <v>169</v>
      </c>
      <c r="AD768" s="41">
        <f t="shared" si="343"/>
        <v>0.88947368421052631</v>
      </c>
      <c r="AE768" s="21">
        <v>121</v>
      </c>
      <c r="AF768" s="41">
        <f t="shared" si="329"/>
        <v>0.89629629629629626</v>
      </c>
      <c r="AG768" s="21">
        <v>7</v>
      </c>
      <c r="AH768" s="41">
        <f t="shared" si="344"/>
        <v>3.6842105263157891E-2</v>
      </c>
      <c r="AI768" s="21">
        <v>6</v>
      </c>
      <c r="AJ768" s="41">
        <f t="shared" si="330"/>
        <v>4.4444444444444446E-2</v>
      </c>
      <c r="AK768" s="21">
        <v>8</v>
      </c>
      <c r="AL768" s="41">
        <f t="shared" si="345"/>
        <v>4.2105263157894736E-2</v>
      </c>
      <c r="AM768" s="21">
        <v>9</v>
      </c>
      <c r="AN768" s="41">
        <f t="shared" si="331"/>
        <v>6.6666666666666666E-2</v>
      </c>
      <c r="AO768" s="21">
        <v>104</v>
      </c>
      <c r="AP768" s="41">
        <f t="shared" si="346"/>
        <v>0.54736842105263162</v>
      </c>
      <c r="AQ768" s="21">
        <v>67</v>
      </c>
      <c r="AR768" s="41">
        <f t="shared" si="332"/>
        <v>0.49629629629629629</v>
      </c>
      <c r="AS768" s="21">
        <v>35</v>
      </c>
      <c r="AT768" s="41">
        <f t="shared" si="347"/>
        <v>0.18421052631578946</v>
      </c>
      <c r="AU768" s="21">
        <v>23</v>
      </c>
      <c r="AV768" s="41">
        <f t="shared" si="333"/>
        <v>0.17037037037037037</v>
      </c>
      <c r="AW768" s="21">
        <v>21</v>
      </c>
      <c r="AX768" s="41">
        <f t="shared" si="348"/>
        <v>0.11052631578947368</v>
      </c>
      <c r="AY768" s="21">
        <v>19</v>
      </c>
      <c r="AZ768" s="41">
        <f t="shared" si="334"/>
        <v>0.14074074074074075</v>
      </c>
      <c r="BA768" s="21">
        <v>15</v>
      </c>
      <c r="BB768" s="41">
        <f t="shared" si="349"/>
        <v>7.8947368421052627E-2</v>
      </c>
      <c r="BC768" s="21">
        <v>11</v>
      </c>
      <c r="BD768" s="41">
        <f t="shared" si="335"/>
        <v>8.1481481481481488E-2</v>
      </c>
      <c r="BE768" s="21">
        <v>190</v>
      </c>
      <c r="BF768" s="21">
        <v>135</v>
      </c>
    </row>
    <row r="769" spans="1:58" ht="15.75" customHeight="1" x14ac:dyDescent="0.25">
      <c r="A769" s="44">
        <v>2019</v>
      </c>
      <c r="B769" s="39">
        <v>171270</v>
      </c>
      <c r="C769" s="38" t="s">
        <v>151</v>
      </c>
      <c r="D769" s="38" t="s">
        <v>77</v>
      </c>
      <c r="E769" s="21">
        <v>4</v>
      </c>
      <c r="F769" s="42">
        <f t="shared" si="317"/>
        <v>3.8095238095238099E-2</v>
      </c>
      <c r="G769" s="21">
        <v>3</v>
      </c>
      <c r="H769" s="42">
        <f t="shared" si="318"/>
        <v>4.5454545454545456E-2</v>
      </c>
      <c r="I769" s="21">
        <v>7</v>
      </c>
      <c r="J769" s="41">
        <f t="shared" si="319"/>
        <v>6.6666666666666666E-2</v>
      </c>
      <c r="K769" s="21">
        <v>5</v>
      </c>
      <c r="L769" s="41">
        <f t="shared" si="320"/>
        <v>7.575757575757576E-2</v>
      </c>
      <c r="M769" s="21">
        <v>90</v>
      </c>
      <c r="N769" s="41">
        <f t="shared" si="321"/>
        <v>0.8571428571428571</v>
      </c>
      <c r="O769" s="21">
        <v>54</v>
      </c>
      <c r="P769" s="41">
        <f t="shared" si="322"/>
        <v>0.81818181818181823</v>
      </c>
      <c r="Q769" s="21">
        <v>4</v>
      </c>
      <c r="R769" s="41">
        <f t="shared" si="323"/>
        <v>3.8095238095238099E-2</v>
      </c>
      <c r="S769" s="21">
        <v>4</v>
      </c>
      <c r="T769" s="41">
        <f t="shared" si="324"/>
        <v>6.0606060606060608E-2</v>
      </c>
      <c r="U769" s="21">
        <v>6</v>
      </c>
      <c r="V769" s="41">
        <f t="shared" si="325"/>
        <v>5.7142857142857141E-2</v>
      </c>
      <c r="W769" s="21">
        <v>6</v>
      </c>
      <c r="X769" s="41">
        <f t="shared" si="326"/>
        <v>9.0909090909090912E-2</v>
      </c>
      <c r="Y769" s="21">
        <v>10</v>
      </c>
      <c r="Z769" s="41">
        <f t="shared" si="327"/>
        <v>9.5238095238095233E-2</v>
      </c>
      <c r="AA769" s="21">
        <v>6</v>
      </c>
      <c r="AB769" s="41">
        <f t="shared" si="328"/>
        <v>9.0909090909090912E-2</v>
      </c>
      <c r="AC769" s="21">
        <v>89</v>
      </c>
      <c r="AD769" s="41">
        <f t="shared" si="343"/>
        <v>0.84761904761904761</v>
      </c>
      <c r="AE769" s="21">
        <v>54</v>
      </c>
      <c r="AF769" s="41">
        <f t="shared" si="329"/>
        <v>0.81818181818181823</v>
      </c>
      <c r="AG769" s="21">
        <v>10</v>
      </c>
      <c r="AH769" s="41">
        <f t="shared" si="344"/>
        <v>9.5238095238095233E-2</v>
      </c>
      <c r="AI769" s="21">
        <v>6</v>
      </c>
      <c r="AJ769" s="41">
        <f t="shared" si="330"/>
        <v>9.0909090909090912E-2</v>
      </c>
      <c r="AK769" s="21">
        <v>8</v>
      </c>
      <c r="AL769" s="41">
        <f t="shared" si="345"/>
        <v>7.6190476190476197E-2</v>
      </c>
      <c r="AM769" s="21">
        <v>2</v>
      </c>
      <c r="AN769" s="41">
        <f t="shared" si="331"/>
        <v>3.0303030303030304E-2</v>
      </c>
      <c r="AO769" s="21">
        <v>66</v>
      </c>
      <c r="AP769" s="41">
        <f t="shared" si="346"/>
        <v>0.62857142857142856</v>
      </c>
      <c r="AQ769" s="21">
        <v>41</v>
      </c>
      <c r="AR769" s="41">
        <f t="shared" si="332"/>
        <v>0.62121212121212122</v>
      </c>
      <c r="AS769" s="21">
        <v>10</v>
      </c>
      <c r="AT769" s="41">
        <f t="shared" si="347"/>
        <v>9.5238095238095233E-2</v>
      </c>
      <c r="AU769" s="21">
        <v>7</v>
      </c>
      <c r="AV769" s="41">
        <f t="shared" si="333"/>
        <v>0.10606060606060606</v>
      </c>
      <c r="AW769" s="21">
        <v>5</v>
      </c>
      <c r="AX769" s="41">
        <f t="shared" si="348"/>
        <v>4.7619047619047616E-2</v>
      </c>
      <c r="AY769" s="21">
        <v>4</v>
      </c>
      <c r="AZ769" s="41">
        <f t="shared" si="334"/>
        <v>6.0606060606060608E-2</v>
      </c>
      <c r="BA769" s="21">
        <v>6</v>
      </c>
      <c r="BB769" s="41">
        <f t="shared" si="349"/>
        <v>5.7142857142857141E-2</v>
      </c>
      <c r="BC769" s="21">
        <v>6</v>
      </c>
      <c r="BD769" s="41">
        <f t="shared" si="335"/>
        <v>9.0909090909090912E-2</v>
      </c>
      <c r="BE769" s="21">
        <v>105</v>
      </c>
      <c r="BF769" s="21">
        <v>66</v>
      </c>
    </row>
    <row r="770" spans="1:58" ht="15.75" customHeight="1" x14ac:dyDescent="0.25">
      <c r="A770" s="44">
        <v>2019</v>
      </c>
      <c r="B770" s="39">
        <v>171280</v>
      </c>
      <c r="C770" s="38" t="s">
        <v>145</v>
      </c>
      <c r="D770" s="38" t="s">
        <v>78</v>
      </c>
      <c r="E770" s="21">
        <v>1</v>
      </c>
      <c r="F770" s="42">
        <f t="shared" ref="F770:F833" si="350">IFERROR(E770/$BE770,0)</f>
        <v>4.4247787610619468E-3</v>
      </c>
      <c r="G770" s="21">
        <v>1</v>
      </c>
      <c r="H770" s="42">
        <f t="shared" ref="H770:H833" si="351">IFERROR(G770/$BF770,0)</f>
        <v>7.2992700729927005E-3</v>
      </c>
      <c r="I770" s="21">
        <v>9</v>
      </c>
      <c r="J770" s="41">
        <f t="shared" ref="J770:J833" si="352">IFERROR(I770/$BE770,0)</f>
        <v>3.9823008849557522E-2</v>
      </c>
      <c r="K770" s="21">
        <v>6</v>
      </c>
      <c r="L770" s="41">
        <f t="shared" ref="L770:L833" si="353">IFERROR(K770/$BF770,0)</f>
        <v>4.3795620437956206E-2</v>
      </c>
      <c r="M770" s="21">
        <v>210</v>
      </c>
      <c r="N770" s="41">
        <f t="shared" ref="N770:N833" si="354">IFERROR(M770/$BE770,0)</f>
        <v>0.92920353982300885</v>
      </c>
      <c r="O770" s="21">
        <v>125</v>
      </c>
      <c r="P770" s="41">
        <f t="shared" ref="P770:P833" si="355">IFERROR(O770/$BF770,0)</f>
        <v>0.91240875912408759</v>
      </c>
      <c r="Q770" s="21">
        <v>6</v>
      </c>
      <c r="R770" s="41">
        <f t="shared" ref="R770:R833" si="356">IFERROR(Q770/$BE770,0)</f>
        <v>2.6548672566371681E-2</v>
      </c>
      <c r="S770" s="21">
        <v>5</v>
      </c>
      <c r="T770" s="41">
        <f t="shared" ref="T770:T833" si="357">IFERROR(S770/$BF770,0)</f>
        <v>3.6496350364963501E-2</v>
      </c>
      <c r="U770" s="21">
        <v>7</v>
      </c>
      <c r="V770" s="41">
        <f t="shared" ref="V770:V833" si="358">IFERROR(U770/$BE770,0)</f>
        <v>3.0973451327433628E-2</v>
      </c>
      <c r="W770" s="21">
        <v>8</v>
      </c>
      <c r="X770" s="41">
        <f t="shared" ref="X770:X833" si="359">IFERROR(W770/$BF770,0)</f>
        <v>5.8394160583941604E-2</v>
      </c>
      <c r="Y770" s="21">
        <v>16</v>
      </c>
      <c r="Z770" s="41">
        <f t="shared" ref="Z770:Z833" si="360">IFERROR(Y770/$BE770,0)</f>
        <v>7.0796460176991149E-2</v>
      </c>
      <c r="AA770" s="21">
        <v>11</v>
      </c>
      <c r="AB770" s="41">
        <f t="shared" ref="AB770:AB833" si="361">IFERROR(AA770/$BF770,0)</f>
        <v>8.0291970802919707E-2</v>
      </c>
      <c r="AC770" s="21">
        <v>203</v>
      </c>
      <c r="AD770" s="41">
        <f t="shared" si="343"/>
        <v>0.89823008849557517</v>
      </c>
      <c r="AE770" s="21">
        <v>118</v>
      </c>
      <c r="AF770" s="41">
        <f t="shared" ref="AF770:AF833" si="362">IFERROR(AE770/$BF770,0)</f>
        <v>0.86131386861313863</v>
      </c>
      <c r="AG770" s="21">
        <v>7</v>
      </c>
      <c r="AH770" s="41">
        <f t="shared" si="344"/>
        <v>3.0973451327433628E-2</v>
      </c>
      <c r="AI770" s="21">
        <v>6</v>
      </c>
      <c r="AJ770" s="41">
        <f t="shared" ref="AJ770:AJ833" si="363">IFERROR(AI770/$BF770,0)</f>
        <v>4.3795620437956206E-2</v>
      </c>
      <c r="AK770" s="21">
        <v>13</v>
      </c>
      <c r="AL770" s="41">
        <f t="shared" si="345"/>
        <v>5.7522123893805309E-2</v>
      </c>
      <c r="AM770" s="21">
        <v>11</v>
      </c>
      <c r="AN770" s="41">
        <f t="shared" ref="AN770:AN833" si="364">IFERROR(AM770/$BF770,0)</f>
        <v>8.0291970802919707E-2</v>
      </c>
      <c r="AO770" s="21">
        <v>160</v>
      </c>
      <c r="AP770" s="41">
        <f t="shared" si="346"/>
        <v>0.70796460176991149</v>
      </c>
      <c r="AQ770" s="21">
        <v>89</v>
      </c>
      <c r="AR770" s="41">
        <f t="shared" ref="AR770:AR833" si="365">IFERROR(AQ770/$BF770,0)</f>
        <v>0.64963503649635035</v>
      </c>
      <c r="AS770" s="21">
        <v>34</v>
      </c>
      <c r="AT770" s="41">
        <f t="shared" si="347"/>
        <v>0.15044247787610621</v>
      </c>
      <c r="AU770" s="21">
        <v>18</v>
      </c>
      <c r="AV770" s="41">
        <f t="shared" ref="AV770:AV833" si="366">IFERROR(AU770/$BF770,0)</f>
        <v>0.13138686131386862</v>
      </c>
      <c r="AW770" s="21">
        <v>5</v>
      </c>
      <c r="AX770" s="41">
        <f t="shared" si="348"/>
        <v>2.2123893805309734E-2</v>
      </c>
      <c r="AY770" s="21">
        <v>5</v>
      </c>
      <c r="AZ770" s="41">
        <f t="shared" ref="AZ770:AZ833" si="367">IFERROR(AY770/$BF770,0)</f>
        <v>3.6496350364963501E-2</v>
      </c>
      <c r="BA770" s="21">
        <v>7</v>
      </c>
      <c r="BB770" s="41">
        <f t="shared" si="349"/>
        <v>3.0973451327433628E-2</v>
      </c>
      <c r="BC770" s="21">
        <v>8</v>
      </c>
      <c r="BD770" s="41">
        <f t="shared" ref="BD770:BD833" si="368">IFERROR(BC770/$BF770,0)</f>
        <v>5.8394160583941604E-2</v>
      </c>
      <c r="BE770" s="21">
        <v>226</v>
      </c>
      <c r="BF770" s="21">
        <v>137</v>
      </c>
    </row>
    <row r="771" spans="1:58" ht="15.75" customHeight="1" x14ac:dyDescent="0.25">
      <c r="A771" s="44">
        <v>2019</v>
      </c>
      <c r="B771" s="39">
        <v>171320</v>
      </c>
      <c r="C771" s="38" t="s">
        <v>148</v>
      </c>
      <c r="D771" s="38" t="s">
        <v>79</v>
      </c>
      <c r="E771" s="21">
        <v>21</v>
      </c>
      <c r="F771" s="42">
        <f t="shared" si="350"/>
        <v>1.7857142857142856E-2</v>
      </c>
      <c r="G771" s="21">
        <v>4</v>
      </c>
      <c r="H771" s="42">
        <f t="shared" si="351"/>
        <v>7.4211502782931356E-3</v>
      </c>
      <c r="I771" s="21">
        <v>55</v>
      </c>
      <c r="J771" s="41">
        <f t="shared" si="352"/>
        <v>4.6768707482993201E-2</v>
      </c>
      <c r="K771" s="21">
        <v>23</v>
      </c>
      <c r="L771" s="41">
        <f t="shared" si="353"/>
        <v>4.267161410018553E-2</v>
      </c>
      <c r="M771" s="20">
        <v>1043</v>
      </c>
      <c r="N771" s="41">
        <f t="shared" si="354"/>
        <v>0.88690476190476186</v>
      </c>
      <c r="O771" s="21">
        <v>494</v>
      </c>
      <c r="P771" s="41">
        <f t="shared" si="355"/>
        <v>0.91651205936920221</v>
      </c>
      <c r="Q771" s="21">
        <v>57</v>
      </c>
      <c r="R771" s="41">
        <f t="shared" si="356"/>
        <v>4.8469387755102039E-2</v>
      </c>
      <c r="S771" s="21">
        <v>18</v>
      </c>
      <c r="T771" s="41">
        <f t="shared" si="357"/>
        <v>3.3395176252319109E-2</v>
      </c>
      <c r="U771" s="21">
        <v>75</v>
      </c>
      <c r="V771" s="41">
        <f t="shared" si="358"/>
        <v>6.3775510204081634E-2</v>
      </c>
      <c r="W771" s="21">
        <v>39</v>
      </c>
      <c r="X771" s="41">
        <f t="shared" si="359"/>
        <v>7.2356215213358069E-2</v>
      </c>
      <c r="Y771" s="21">
        <v>82</v>
      </c>
      <c r="Z771" s="41">
        <f t="shared" si="360"/>
        <v>6.9727891156462579E-2</v>
      </c>
      <c r="AA771" s="21">
        <v>47</v>
      </c>
      <c r="AB771" s="41">
        <f t="shared" si="361"/>
        <v>8.7198515769944335E-2</v>
      </c>
      <c r="AC771" s="20">
        <v>1019</v>
      </c>
      <c r="AD771" s="41">
        <f t="shared" si="343"/>
        <v>0.86649659863945583</v>
      </c>
      <c r="AE771" s="21">
        <v>453</v>
      </c>
      <c r="AF771" s="41">
        <f t="shared" si="362"/>
        <v>0.84044526901669758</v>
      </c>
      <c r="AG771" s="21">
        <v>76</v>
      </c>
      <c r="AH771" s="41">
        <f t="shared" si="344"/>
        <v>6.4625850340136057E-2</v>
      </c>
      <c r="AI771" s="21">
        <v>23</v>
      </c>
      <c r="AJ771" s="41">
        <f t="shared" si="363"/>
        <v>4.267161410018553E-2</v>
      </c>
      <c r="AK771" s="21">
        <v>68</v>
      </c>
      <c r="AL771" s="41">
        <f t="shared" si="345"/>
        <v>5.7823129251700682E-2</v>
      </c>
      <c r="AM771" s="21">
        <v>28</v>
      </c>
      <c r="AN771" s="41">
        <f t="shared" si="364"/>
        <v>5.1948051948051951E-2</v>
      </c>
      <c r="AO771" s="21">
        <v>733</v>
      </c>
      <c r="AP771" s="41">
        <f t="shared" si="346"/>
        <v>0.62329931972789121</v>
      </c>
      <c r="AQ771" s="21">
        <v>358</v>
      </c>
      <c r="AR771" s="41">
        <f t="shared" si="365"/>
        <v>0.66419294990723565</v>
      </c>
      <c r="AS771" s="21">
        <v>159</v>
      </c>
      <c r="AT771" s="41">
        <f t="shared" si="347"/>
        <v>0.13520408163265307</v>
      </c>
      <c r="AU771" s="21">
        <v>70</v>
      </c>
      <c r="AV771" s="41">
        <f t="shared" si="366"/>
        <v>0.12987012987012986</v>
      </c>
      <c r="AW771" s="21">
        <v>64</v>
      </c>
      <c r="AX771" s="41">
        <f t="shared" si="348"/>
        <v>5.4421768707482991E-2</v>
      </c>
      <c r="AY771" s="21">
        <v>31</v>
      </c>
      <c r="AZ771" s="41">
        <f t="shared" si="367"/>
        <v>5.7513914656771803E-2</v>
      </c>
      <c r="BA771" s="21">
        <v>76</v>
      </c>
      <c r="BB771" s="41">
        <f t="shared" si="349"/>
        <v>6.4625850340136057E-2</v>
      </c>
      <c r="BC771" s="21">
        <v>29</v>
      </c>
      <c r="BD771" s="41">
        <f t="shared" si="368"/>
        <v>5.3803339517625233E-2</v>
      </c>
      <c r="BE771" s="20">
        <v>1176</v>
      </c>
      <c r="BF771" s="21">
        <v>539</v>
      </c>
    </row>
    <row r="772" spans="1:58" ht="15.75" customHeight="1" x14ac:dyDescent="0.25">
      <c r="A772" s="44">
        <v>2019</v>
      </c>
      <c r="B772" s="39">
        <v>171330</v>
      </c>
      <c r="C772" s="38" t="s">
        <v>148</v>
      </c>
      <c r="D772" s="38" t="s">
        <v>80</v>
      </c>
      <c r="E772" s="21">
        <v>3</v>
      </c>
      <c r="F772" s="42">
        <f t="shared" si="350"/>
        <v>8.356545961002786E-3</v>
      </c>
      <c r="G772" s="21">
        <v>3</v>
      </c>
      <c r="H772" s="42">
        <f t="shared" si="351"/>
        <v>8.7209302325581394E-3</v>
      </c>
      <c r="I772" s="21">
        <v>5</v>
      </c>
      <c r="J772" s="41">
        <f t="shared" si="352"/>
        <v>1.3927576601671309E-2</v>
      </c>
      <c r="K772" s="21">
        <v>4</v>
      </c>
      <c r="L772" s="41">
        <f t="shared" si="353"/>
        <v>1.1627906976744186E-2</v>
      </c>
      <c r="M772" s="21">
        <v>327</v>
      </c>
      <c r="N772" s="41">
        <f t="shared" si="354"/>
        <v>0.91086350974930363</v>
      </c>
      <c r="O772" s="21">
        <v>317</v>
      </c>
      <c r="P772" s="41">
        <f t="shared" si="355"/>
        <v>0.92151162790697672</v>
      </c>
      <c r="Q772" s="21">
        <v>24</v>
      </c>
      <c r="R772" s="41">
        <f t="shared" si="356"/>
        <v>6.6852367688022288E-2</v>
      </c>
      <c r="S772" s="21">
        <v>20</v>
      </c>
      <c r="T772" s="41">
        <f t="shared" si="357"/>
        <v>5.8139534883720929E-2</v>
      </c>
      <c r="U772" s="21">
        <v>15</v>
      </c>
      <c r="V772" s="41">
        <f t="shared" si="358"/>
        <v>4.1782729805013928E-2</v>
      </c>
      <c r="W772" s="21">
        <v>15</v>
      </c>
      <c r="X772" s="41">
        <f t="shared" si="359"/>
        <v>4.3604651162790699E-2</v>
      </c>
      <c r="Y772" s="21">
        <v>19</v>
      </c>
      <c r="Z772" s="41">
        <f t="shared" si="360"/>
        <v>5.2924791086350974E-2</v>
      </c>
      <c r="AA772" s="21">
        <v>20</v>
      </c>
      <c r="AB772" s="41">
        <f t="shared" si="361"/>
        <v>5.8139534883720929E-2</v>
      </c>
      <c r="AC772" s="21">
        <v>325</v>
      </c>
      <c r="AD772" s="41">
        <f t="shared" si="343"/>
        <v>0.90529247910863508</v>
      </c>
      <c r="AE772" s="21">
        <v>309</v>
      </c>
      <c r="AF772" s="41">
        <f t="shared" si="362"/>
        <v>0.89825581395348841</v>
      </c>
      <c r="AG772" s="21">
        <v>22</v>
      </c>
      <c r="AH772" s="41">
        <f t="shared" si="344"/>
        <v>6.1281337047353758E-2</v>
      </c>
      <c r="AI772" s="21">
        <v>21</v>
      </c>
      <c r="AJ772" s="41">
        <f t="shared" si="363"/>
        <v>6.1046511627906974E-2</v>
      </c>
      <c r="AK772" s="21">
        <v>16</v>
      </c>
      <c r="AL772" s="41">
        <f t="shared" si="345"/>
        <v>4.456824512534819E-2</v>
      </c>
      <c r="AM772" s="21">
        <v>15</v>
      </c>
      <c r="AN772" s="41">
        <f t="shared" si="364"/>
        <v>4.3604651162790699E-2</v>
      </c>
      <c r="AO772" s="21">
        <v>233</v>
      </c>
      <c r="AP772" s="41">
        <f t="shared" si="346"/>
        <v>0.64902506963788298</v>
      </c>
      <c r="AQ772" s="21">
        <v>226</v>
      </c>
      <c r="AR772" s="41">
        <f t="shared" si="365"/>
        <v>0.65697674418604646</v>
      </c>
      <c r="AS772" s="21">
        <v>51</v>
      </c>
      <c r="AT772" s="41">
        <f t="shared" si="347"/>
        <v>0.14206128133704735</v>
      </c>
      <c r="AU772" s="21">
        <v>49</v>
      </c>
      <c r="AV772" s="41">
        <f t="shared" si="366"/>
        <v>0.14244186046511628</v>
      </c>
      <c r="AW772" s="21">
        <v>19</v>
      </c>
      <c r="AX772" s="41">
        <f t="shared" si="348"/>
        <v>5.2924791086350974E-2</v>
      </c>
      <c r="AY772" s="21">
        <v>15</v>
      </c>
      <c r="AZ772" s="41">
        <f t="shared" si="367"/>
        <v>4.3604651162790699E-2</v>
      </c>
      <c r="BA772" s="21">
        <v>18</v>
      </c>
      <c r="BB772" s="41">
        <f t="shared" si="349"/>
        <v>5.0139275766016712E-2</v>
      </c>
      <c r="BC772" s="21">
        <v>18</v>
      </c>
      <c r="BD772" s="41">
        <f t="shared" si="368"/>
        <v>5.232558139534884E-2</v>
      </c>
      <c r="BE772" s="21">
        <v>359</v>
      </c>
      <c r="BF772" s="21">
        <v>344</v>
      </c>
    </row>
    <row r="773" spans="1:58" ht="15.75" customHeight="1" x14ac:dyDescent="0.25">
      <c r="A773" s="44">
        <v>2019</v>
      </c>
      <c r="B773" s="39">
        <v>171360</v>
      </c>
      <c r="C773" s="38" t="s">
        <v>151</v>
      </c>
      <c r="D773" s="38" t="s">
        <v>81</v>
      </c>
      <c r="E773" s="21">
        <v>0</v>
      </c>
      <c r="F773" s="42">
        <f t="shared" si="350"/>
        <v>0</v>
      </c>
      <c r="G773" s="21">
        <v>0</v>
      </c>
      <c r="H773" s="42">
        <f t="shared" si="351"/>
        <v>0</v>
      </c>
      <c r="I773" s="21">
        <v>7</v>
      </c>
      <c r="J773" s="41">
        <f t="shared" si="352"/>
        <v>2.1671826625386997E-2</v>
      </c>
      <c r="K773" s="21">
        <v>5</v>
      </c>
      <c r="L773" s="41">
        <f t="shared" si="353"/>
        <v>1.6611295681063124E-2</v>
      </c>
      <c r="M773" s="21">
        <v>310</v>
      </c>
      <c r="N773" s="41">
        <f t="shared" si="354"/>
        <v>0.95975232198142413</v>
      </c>
      <c r="O773" s="21">
        <v>292</v>
      </c>
      <c r="P773" s="41">
        <f t="shared" si="355"/>
        <v>0.9700996677740864</v>
      </c>
      <c r="Q773" s="21">
        <v>6</v>
      </c>
      <c r="R773" s="41">
        <f t="shared" si="356"/>
        <v>1.8575851393188854E-2</v>
      </c>
      <c r="S773" s="21">
        <v>4</v>
      </c>
      <c r="T773" s="41">
        <f t="shared" si="357"/>
        <v>1.3289036544850499E-2</v>
      </c>
      <c r="U773" s="21">
        <v>19</v>
      </c>
      <c r="V773" s="41">
        <f t="shared" si="358"/>
        <v>5.8823529411764705E-2</v>
      </c>
      <c r="W773" s="21">
        <v>19</v>
      </c>
      <c r="X773" s="41">
        <f t="shared" si="359"/>
        <v>6.3122923588039864E-2</v>
      </c>
      <c r="Y773" s="21">
        <v>23</v>
      </c>
      <c r="Z773" s="41">
        <f t="shared" si="360"/>
        <v>7.1207430340557279E-2</v>
      </c>
      <c r="AA773" s="21">
        <v>21</v>
      </c>
      <c r="AB773" s="41">
        <f t="shared" si="361"/>
        <v>6.9767441860465115E-2</v>
      </c>
      <c r="AC773" s="21">
        <v>281</v>
      </c>
      <c r="AD773" s="41">
        <f t="shared" si="343"/>
        <v>0.86996904024767807</v>
      </c>
      <c r="AE773" s="21">
        <v>261</v>
      </c>
      <c r="AF773" s="41">
        <f t="shared" si="362"/>
        <v>0.86710963455149503</v>
      </c>
      <c r="AG773" s="21">
        <v>3</v>
      </c>
      <c r="AH773" s="41">
        <f t="shared" si="344"/>
        <v>9.2879256965944269E-3</v>
      </c>
      <c r="AI773" s="21">
        <v>3</v>
      </c>
      <c r="AJ773" s="41">
        <f t="shared" si="363"/>
        <v>9.9667774086378731E-3</v>
      </c>
      <c r="AK773" s="21">
        <v>20</v>
      </c>
      <c r="AL773" s="41">
        <f t="shared" si="345"/>
        <v>6.1919504643962849E-2</v>
      </c>
      <c r="AM773" s="21">
        <v>20</v>
      </c>
      <c r="AN773" s="41">
        <f t="shared" si="364"/>
        <v>6.6445182724252497E-2</v>
      </c>
      <c r="AO773" s="21">
        <v>221</v>
      </c>
      <c r="AP773" s="41">
        <f t="shared" si="346"/>
        <v>0.68421052631578949</v>
      </c>
      <c r="AQ773" s="21">
        <v>205</v>
      </c>
      <c r="AR773" s="41">
        <f t="shared" si="365"/>
        <v>0.68106312292358806</v>
      </c>
      <c r="AS773" s="21">
        <v>54</v>
      </c>
      <c r="AT773" s="41">
        <f t="shared" si="347"/>
        <v>0.16718266253869968</v>
      </c>
      <c r="AU773" s="21">
        <v>50</v>
      </c>
      <c r="AV773" s="41">
        <f t="shared" si="366"/>
        <v>0.16611295681063123</v>
      </c>
      <c r="AW773" s="21">
        <v>15</v>
      </c>
      <c r="AX773" s="41">
        <f t="shared" si="348"/>
        <v>4.6439628482972138E-2</v>
      </c>
      <c r="AY773" s="21">
        <v>13</v>
      </c>
      <c r="AZ773" s="41">
        <f t="shared" si="367"/>
        <v>4.3189368770764118E-2</v>
      </c>
      <c r="BA773" s="21">
        <v>10</v>
      </c>
      <c r="BB773" s="41">
        <f t="shared" si="349"/>
        <v>3.0959752321981424E-2</v>
      </c>
      <c r="BC773" s="21">
        <v>10</v>
      </c>
      <c r="BD773" s="41">
        <f t="shared" si="368"/>
        <v>3.3222591362126248E-2</v>
      </c>
      <c r="BE773" s="21">
        <v>323</v>
      </c>
      <c r="BF773" s="21">
        <v>301</v>
      </c>
    </row>
    <row r="774" spans="1:58" ht="15.75" customHeight="1" x14ac:dyDescent="0.25">
      <c r="A774" s="44">
        <v>2019</v>
      </c>
      <c r="B774" s="39">
        <v>171370</v>
      </c>
      <c r="C774" s="38" t="s">
        <v>144</v>
      </c>
      <c r="D774" s="38" t="s">
        <v>82</v>
      </c>
      <c r="E774" s="21">
        <v>2</v>
      </c>
      <c r="F774" s="42">
        <f t="shared" si="350"/>
        <v>1.1299435028248588E-2</v>
      </c>
      <c r="G774" s="21">
        <v>2</v>
      </c>
      <c r="H774" s="42">
        <f t="shared" si="351"/>
        <v>1.9230769230769232E-2</v>
      </c>
      <c r="I774" s="21">
        <v>7</v>
      </c>
      <c r="J774" s="41">
        <f t="shared" si="352"/>
        <v>3.954802259887006E-2</v>
      </c>
      <c r="K774" s="21">
        <v>4</v>
      </c>
      <c r="L774" s="41">
        <f t="shared" si="353"/>
        <v>3.8461538461538464E-2</v>
      </c>
      <c r="M774" s="21">
        <v>152</v>
      </c>
      <c r="N774" s="41">
        <f t="shared" si="354"/>
        <v>0.85875706214689262</v>
      </c>
      <c r="O774" s="21">
        <v>88</v>
      </c>
      <c r="P774" s="41">
        <f t="shared" si="355"/>
        <v>0.84615384615384615</v>
      </c>
      <c r="Q774" s="21">
        <v>16</v>
      </c>
      <c r="R774" s="41">
        <f t="shared" si="356"/>
        <v>9.03954802259887E-2</v>
      </c>
      <c r="S774" s="21">
        <v>10</v>
      </c>
      <c r="T774" s="41">
        <f t="shared" si="357"/>
        <v>9.6153846153846159E-2</v>
      </c>
      <c r="U774" s="21">
        <v>11</v>
      </c>
      <c r="V774" s="41">
        <f t="shared" si="358"/>
        <v>6.2146892655367235E-2</v>
      </c>
      <c r="W774" s="21">
        <v>7</v>
      </c>
      <c r="X774" s="41">
        <f t="shared" si="359"/>
        <v>6.7307692307692304E-2</v>
      </c>
      <c r="Y774" s="21">
        <v>14</v>
      </c>
      <c r="Z774" s="41">
        <f t="shared" si="360"/>
        <v>7.909604519774012E-2</v>
      </c>
      <c r="AA774" s="21">
        <v>6</v>
      </c>
      <c r="AB774" s="41">
        <f t="shared" si="361"/>
        <v>5.7692307692307696E-2</v>
      </c>
      <c r="AC774" s="21">
        <v>152</v>
      </c>
      <c r="AD774" s="41">
        <f t="shared" si="343"/>
        <v>0.85875706214689262</v>
      </c>
      <c r="AE774" s="21">
        <v>91</v>
      </c>
      <c r="AF774" s="41">
        <f t="shared" si="362"/>
        <v>0.875</v>
      </c>
      <c r="AG774" s="21">
        <v>4</v>
      </c>
      <c r="AH774" s="41">
        <f t="shared" si="344"/>
        <v>2.2598870056497175E-2</v>
      </c>
      <c r="AI774" s="21">
        <v>4</v>
      </c>
      <c r="AJ774" s="41">
        <f t="shared" si="363"/>
        <v>3.8461538461538464E-2</v>
      </c>
      <c r="AK774" s="21">
        <v>11</v>
      </c>
      <c r="AL774" s="41">
        <f t="shared" si="345"/>
        <v>6.2146892655367235E-2</v>
      </c>
      <c r="AM774" s="21">
        <v>7</v>
      </c>
      <c r="AN774" s="41">
        <f t="shared" si="364"/>
        <v>6.7307692307692304E-2</v>
      </c>
      <c r="AO774" s="21">
        <v>119</v>
      </c>
      <c r="AP774" s="41">
        <f t="shared" si="346"/>
        <v>0.67231638418079098</v>
      </c>
      <c r="AQ774" s="21">
        <v>69</v>
      </c>
      <c r="AR774" s="41">
        <f t="shared" si="365"/>
        <v>0.66346153846153844</v>
      </c>
      <c r="AS774" s="21">
        <v>22</v>
      </c>
      <c r="AT774" s="41">
        <f t="shared" si="347"/>
        <v>0.12429378531073447</v>
      </c>
      <c r="AU774" s="21">
        <v>14</v>
      </c>
      <c r="AV774" s="41">
        <f t="shared" si="366"/>
        <v>0.13461538461538461</v>
      </c>
      <c r="AW774" s="21">
        <v>8</v>
      </c>
      <c r="AX774" s="41">
        <f t="shared" si="348"/>
        <v>4.519774011299435E-2</v>
      </c>
      <c r="AY774" s="21">
        <v>7</v>
      </c>
      <c r="AZ774" s="41">
        <f t="shared" si="367"/>
        <v>6.7307692307692304E-2</v>
      </c>
      <c r="BA774" s="21">
        <v>13</v>
      </c>
      <c r="BB774" s="41">
        <f t="shared" si="349"/>
        <v>7.3446327683615822E-2</v>
      </c>
      <c r="BC774" s="21">
        <v>3</v>
      </c>
      <c r="BD774" s="41">
        <f t="shared" si="368"/>
        <v>2.8846153846153848E-2</v>
      </c>
      <c r="BE774" s="21">
        <v>177</v>
      </c>
      <c r="BF774" s="21">
        <v>104</v>
      </c>
    </row>
    <row r="775" spans="1:58" ht="15.75" customHeight="1" x14ac:dyDescent="0.25">
      <c r="A775" s="44">
        <v>2019</v>
      </c>
      <c r="B775" s="39">
        <v>171395</v>
      </c>
      <c r="C775" s="38" t="s">
        <v>149</v>
      </c>
      <c r="D775" s="38" t="s">
        <v>83</v>
      </c>
      <c r="E775" s="21">
        <v>5</v>
      </c>
      <c r="F775" s="42">
        <f t="shared" si="350"/>
        <v>2.3809523809523808E-2</v>
      </c>
      <c r="G775" s="21">
        <v>5</v>
      </c>
      <c r="H775" s="42">
        <f t="shared" si="351"/>
        <v>3.0120481927710843E-2</v>
      </c>
      <c r="I775" s="21">
        <v>6</v>
      </c>
      <c r="J775" s="41">
        <f t="shared" si="352"/>
        <v>2.8571428571428571E-2</v>
      </c>
      <c r="K775" s="21">
        <v>5</v>
      </c>
      <c r="L775" s="41">
        <f t="shared" si="353"/>
        <v>3.0120481927710843E-2</v>
      </c>
      <c r="M775" s="21">
        <v>189</v>
      </c>
      <c r="N775" s="41">
        <f t="shared" si="354"/>
        <v>0.9</v>
      </c>
      <c r="O775" s="21">
        <v>148</v>
      </c>
      <c r="P775" s="41">
        <f t="shared" si="355"/>
        <v>0.89156626506024095</v>
      </c>
      <c r="Q775" s="21">
        <v>10</v>
      </c>
      <c r="R775" s="41">
        <f t="shared" si="356"/>
        <v>4.7619047619047616E-2</v>
      </c>
      <c r="S775" s="21">
        <v>8</v>
      </c>
      <c r="T775" s="41">
        <f t="shared" si="357"/>
        <v>4.8192771084337352E-2</v>
      </c>
      <c r="U775" s="21">
        <v>15</v>
      </c>
      <c r="V775" s="41">
        <f t="shared" si="358"/>
        <v>7.1428571428571425E-2</v>
      </c>
      <c r="W775" s="21">
        <v>14</v>
      </c>
      <c r="X775" s="41">
        <f t="shared" si="359"/>
        <v>8.4337349397590355E-2</v>
      </c>
      <c r="Y775" s="21">
        <v>37</v>
      </c>
      <c r="Z775" s="41">
        <f t="shared" si="360"/>
        <v>0.1761904761904762</v>
      </c>
      <c r="AA775" s="21">
        <v>30</v>
      </c>
      <c r="AB775" s="41">
        <f t="shared" si="361"/>
        <v>0.18072289156626506</v>
      </c>
      <c r="AC775" s="21">
        <v>158</v>
      </c>
      <c r="AD775" s="41">
        <f t="shared" si="343"/>
        <v>0.75238095238095237</v>
      </c>
      <c r="AE775" s="21">
        <v>122</v>
      </c>
      <c r="AF775" s="41">
        <f t="shared" si="362"/>
        <v>0.73493975903614461</v>
      </c>
      <c r="AG775" s="21">
        <v>12</v>
      </c>
      <c r="AH775" s="41">
        <f t="shared" si="344"/>
        <v>5.7142857142857141E-2</v>
      </c>
      <c r="AI775" s="21">
        <v>12</v>
      </c>
      <c r="AJ775" s="41">
        <f t="shared" si="363"/>
        <v>7.2289156626506021E-2</v>
      </c>
      <c r="AK775" s="21">
        <v>8</v>
      </c>
      <c r="AL775" s="41">
        <f t="shared" si="345"/>
        <v>3.8095238095238099E-2</v>
      </c>
      <c r="AM775" s="21">
        <v>6</v>
      </c>
      <c r="AN775" s="41">
        <f t="shared" si="364"/>
        <v>3.614457831325301E-2</v>
      </c>
      <c r="AO775" s="21">
        <v>123</v>
      </c>
      <c r="AP775" s="41">
        <f t="shared" si="346"/>
        <v>0.58571428571428574</v>
      </c>
      <c r="AQ775" s="21">
        <v>101</v>
      </c>
      <c r="AR775" s="41">
        <f t="shared" si="365"/>
        <v>0.60843373493975905</v>
      </c>
      <c r="AS775" s="21">
        <v>31</v>
      </c>
      <c r="AT775" s="41">
        <f t="shared" si="347"/>
        <v>0.14761904761904762</v>
      </c>
      <c r="AU775" s="21">
        <v>17</v>
      </c>
      <c r="AV775" s="41">
        <f t="shared" si="366"/>
        <v>0.10240963855421686</v>
      </c>
      <c r="AW775" s="21">
        <v>24</v>
      </c>
      <c r="AX775" s="41">
        <f t="shared" si="348"/>
        <v>0.11428571428571428</v>
      </c>
      <c r="AY775" s="21">
        <v>19</v>
      </c>
      <c r="AZ775" s="41">
        <f t="shared" si="367"/>
        <v>0.1144578313253012</v>
      </c>
      <c r="BA775" s="21">
        <v>12</v>
      </c>
      <c r="BB775" s="41">
        <f t="shared" si="349"/>
        <v>5.7142857142857141E-2</v>
      </c>
      <c r="BC775" s="21">
        <v>11</v>
      </c>
      <c r="BD775" s="41">
        <f t="shared" si="368"/>
        <v>6.6265060240963861E-2</v>
      </c>
      <c r="BE775" s="21">
        <v>210</v>
      </c>
      <c r="BF775" s="21">
        <v>166</v>
      </c>
    </row>
    <row r="776" spans="1:58" ht="15.75" customHeight="1" x14ac:dyDescent="0.25">
      <c r="A776" s="44">
        <v>2019</v>
      </c>
      <c r="B776" s="39">
        <v>171420</v>
      </c>
      <c r="C776" s="38" t="s">
        <v>151</v>
      </c>
      <c r="D776" s="38" t="s">
        <v>84</v>
      </c>
      <c r="E776" s="21">
        <v>1</v>
      </c>
      <c r="F776" s="42">
        <f t="shared" si="350"/>
        <v>2.5252525252525255E-3</v>
      </c>
      <c r="G776" s="21">
        <v>1</v>
      </c>
      <c r="H776" s="42">
        <f t="shared" si="351"/>
        <v>3.4129692832764505E-3</v>
      </c>
      <c r="I776" s="21">
        <v>7</v>
      </c>
      <c r="J776" s="41">
        <f t="shared" si="352"/>
        <v>1.7676767676767676E-2</v>
      </c>
      <c r="K776" s="21">
        <v>6</v>
      </c>
      <c r="L776" s="41">
        <f t="shared" si="353"/>
        <v>2.0477815699658702E-2</v>
      </c>
      <c r="M776" s="21">
        <v>332</v>
      </c>
      <c r="N776" s="41">
        <f t="shared" si="354"/>
        <v>0.83838383838383834</v>
      </c>
      <c r="O776" s="21">
        <v>235</v>
      </c>
      <c r="P776" s="41">
        <f t="shared" si="355"/>
        <v>0.80204778156996592</v>
      </c>
      <c r="Q776" s="21">
        <v>56</v>
      </c>
      <c r="R776" s="41">
        <f t="shared" si="356"/>
        <v>0.14141414141414141</v>
      </c>
      <c r="S776" s="21">
        <v>51</v>
      </c>
      <c r="T776" s="41">
        <f t="shared" si="357"/>
        <v>0.17406143344709898</v>
      </c>
      <c r="U776" s="21">
        <v>8</v>
      </c>
      <c r="V776" s="41">
        <f t="shared" si="358"/>
        <v>2.0202020202020204E-2</v>
      </c>
      <c r="W776" s="21">
        <v>7</v>
      </c>
      <c r="X776" s="41">
        <f t="shared" si="359"/>
        <v>2.3890784982935155E-2</v>
      </c>
      <c r="Y776" s="21">
        <v>26</v>
      </c>
      <c r="Z776" s="41">
        <f t="shared" si="360"/>
        <v>6.5656565656565663E-2</v>
      </c>
      <c r="AA776" s="21">
        <v>20</v>
      </c>
      <c r="AB776" s="41">
        <f t="shared" si="361"/>
        <v>6.8259385665529013E-2</v>
      </c>
      <c r="AC776" s="21">
        <v>362</v>
      </c>
      <c r="AD776" s="41">
        <f t="shared" si="343"/>
        <v>0.91414141414141414</v>
      </c>
      <c r="AE776" s="21">
        <v>266</v>
      </c>
      <c r="AF776" s="41">
        <f t="shared" si="362"/>
        <v>0.9078498293515358</v>
      </c>
      <c r="AG776" s="21">
        <v>3</v>
      </c>
      <c r="AH776" s="41">
        <f t="shared" si="344"/>
        <v>7.575757575757576E-3</v>
      </c>
      <c r="AI776" s="21">
        <v>3</v>
      </c>
      <c r="AJ776" s="41">
        <f t="shared" si="363"/>
        <v>1.0238907849829351E-2</v>
      </c>
      <c r="AK776" s="21">
        <v>17</v>
      </c>
      <c r="AL776" s="41">
        <f t="shared" si="345"/>
        <v>4.2929292929292928E-2</v>
      </c>
      <c r="AM776" s="21">
        <v>16</v>
      </c>
      <c r="AN776" s="41">
        <f t="shared" si="364"/>
        <v>5.4607508532423209E-2</v>
      </c>
      <c r="AO776" s="21">
        <v>259</v>
      </c>
      <c r="AP776" s="41">
        <f t="shared" si="346"/>
        <v>0.65404040404040409</v>
      </c>
      <c r="AQ776" s="21">
        <v>187</v>
      </c>
      <c r="AR776" s="41">
        <f t="shared" si="365"/>
        <v>0.63822525597269619</v>
      </c>
      <c r="AS776" s="21">
        <v>65</v>
      </c>
      <c r="AT776" s="41">
        <f t="shared" si="347"/>
        <v>0.16414141414141414</v>
      </c>
      <c r="AU776" s="21">
        <v>46</v>
      </c>
      <c r="AV776" s="41">
        <f t="shared" si="366"/>
        <v>0.15699658703071673</v>
      </c>
      <c r="AW776" s="21">
        <v>18</v>
      </c>
      <c r="AX776" s="41">
        <f t="shared" si="348"/>
        <v>4.5454545454545456E-2</v>
      </c>
      <c r="AY776" s="21">
        <v>13</v>
      </c>
      <c r="AZ776" s="41">
        <f t="shared" si="367"/>
        <v>4.4368600682593858E-2</v>
      </c>
      <c r="BA776" s="21">
        <v>34</v>
      </c>
      <c r="BB776" s="41">
        <f t="shared" si="349"/>
        <v>8.5858585858585856E-2</v>
      </c>
      <c r="BC776" s="21">
        <v>28</v>
      </c>
      <c r="BD776" s="41">
        <f t="shared" si="368"/>
        <v>9.556313993174062E-2</v>
      </c>
      <c r="BE776" s="21">
        <v>396</v>
      </c>
      <c r="BF776" s="21">
        <v>293</v>
      </c>
    </row>
    <row r="777" spans="1:58" ht="15.75" customHeight="1" x14ac:dyDescent="0.25">
      <c r="A777" s="44">
        <v>2019</v>
      </c>
      <c r="B777" s="39">
        <v>171430</v>
      </c>
      <c r="C777" s="38" t="s">
        <v>145</v>
      </c>
      <c r="D777" s="38" t="s">
        <v>85</v>
      </c>
      <c r="E777" s="21">
        <v>3</v>
      </c>
      <c r="F777" s="42">
        <f t="shared" si="350"/>
        <v>1.4018691588785047E-2</v>
      </c>
      <c r="G777" s="21">
        <v>2</v>
      </c>
      <c r="H777" s="42">
        <f t="shared" si="351"/>
        <v>1.1764705882352941E-2</v>
      </c>
      <c r="I777" s="21">
        <v>6</v>
      </c>
      <c r="J777" s="41">
        <f t="shared" si="352"/>
        <v>2.8037383177570093E-2</v>
      </c>
      <c r="K777" s="21">
        <v>4</v>
      </c>
      <c r="L777" s="41">
        <f t="shared" si="353"/>
        <v>2.3529411764705882E-2</v>
      </c>
      <c r="M777" s="21">
        <v>197</v>
      </c>
      <c r="N777" s="41">
        <f t="shared" si="354"/>
        <v>0.92056074766355145</v>
      </c>
      <c r="O777" s="21">
        <v>159</v>
      </c>
      <c r="P777" s="41">
        <f t="shared" si="355"/>
        <v>0.93529411764705883</v>
      </c>
      <c r="Q777" s="21">
        <v>8</v>
      </c>
      <c r="R777" s="41">
        <f t="shared" si="356"/>
        <v>3.7383177570093455E-2</v>
      </c>
      <c r="S777" s="21">
        <v>5</v>
      </c>
      <c r="T777" s="41">
        <f t="shared" si="357"/>
        <v>2.9411764705882353E-2</v>
      </c>
      <c r="U777" s="21">
        <v>8</v>
      </c>
      <c r="V777" s="41">
        <f t="shared" si="358"/>
        <v>3.7383177570093455E-2</v>
      </c>
      <c r="W777" s="21">
        <v>3</v>
      </c>
      <c r="X777" s="41">
        <f t="shared" si="359"/>
        <v>1.7647058823529412E-2</v>
      </c>
      <c r="Y777" s="21">
        <v>12</v>
      </c>
      <c r="Z777" s="41">
        <f t="shared" si="360"/>
        <v>5.6074766355140186E-2</v>
      </c>
      <c r="AA777" s="21">
        <v>11</v>
      </c>
      <c r="AB777" s="41">
        <f t="shared" si="361"/>
        <v>6.4705882352941183E-2</v>
      </c>
      <c r="AC777" s="21">
        <v>194</v>
      </c>
      <c r="AD777" s="41">
        <f t="shared" si="343"/>
        <v>0.90654205607476634</v>
      </c>
      <c r="AE777" s="21">
        <v>156</v>
      </c>
      <c r="AF777" s="41">
        <f t="shared" si="362"/>
        <v>0.91764705882352937</v>
      </c>
      <c r="AG777" s="21">
        <v>5</v>
      </c>
      <c r="AH777" s="41">
        <f t="shared" si="344"/>
        <v>2.336448598130841E-2</v>
      </c>
      <c r="AI777" s="21">
        <v>4</v>
      </c>
      <c r="AJ777" s="41">
        <f t="shared" si="363"/>
        <v>2.3529411764705882E-2</v>
      </c>
      <c r="AK777" s="21">
        <v>13</v>
      </c>
      <c r="AL777" s="41">
        <f t="shared" si="345"/>
        <v>6.0747663551401869E-2</v>
      </c>
      <c r="AM777" s="21">
        <v>14</v>
      </c>
      <c r="AN777" s="41">
        <f t="shared" si="364"/>
        <v>8.2352941176470587E-2</v>
      </c>
      <c r="AO777" s="21">
        <v>150</v>
      </c>
      <c r="AP777" s="41">
        <f t="shared" si="346"/>
        <v>0.7009345794392523</v>
      </c>
      <c r="AQ777" s="21">
        <v>125</v>
      </c>
      <c r="AR777" s="41">
        <f t="shared" si="365"/>
        <v>0.73529411764705888</v>
      </c>
      <c r="AS777" s="21">
        <v>30</v>
      </c>
      <c r="AT777" s="41">
        <f t="shared" si="347"/>
        <v>0.14018691588785046</v>
      </c>
      <c r="AU777" s="21">
        <v>17</v>
      </c>
      <c r="AV777" s="41">
        <f t="shared" si="366"/>
        <v>0.1</v>
      </c>
      <c r="AW777" s="21">
        <v>12</v>
      </c>
      <c r="AX777" s="41">
        <f t="shared" si="348"/>
        <v>5.6074766355140186E-2</v>
      </c>
      <c r="AY777" s="21">
        <v>6</v>
      </c>
      <c r="AZ777" s="41">
        <f t="shared" si="367"/>
        <v>3.5294117647058823E-2</v>
      </c>
      <c r="BA777" s="21">
        <v>4</v>
      </c>
      <c r="BB777" s="41">
        <f t="shared" si="349"/>
        <v>1.8691588785046728E-2</v>
      </c>
      <c r="BC777" s="21">
        <v>4</v>
      </c>
      <c r="BD777" s="41">
        <f t="shared" si="368"/>
        <v>2.3529411764705882E-2</v>
      </c>
      <c r="BE777" s="21">
        <v>214</v>
      </c>
      <c r="BF777" s="21">
        <v>170</v>
      </c>
    </row>
    <row r="778" spans="1:58" ht="15.75" customHeight="1" x14ac:dyDescent="0.25">
      <c r="A778" s="44">
        <v>2019</v>
      </c>
      <c r="B778" s="39">
        <v>171488</v>
      </c>
      <c r="C778" s="38" t="s">
        <v>149</v>
      </c>
      <c r="D778" s="38" t="s">
        <v>86</v>
      </c>
      <c r="E778" s="21">
        <v>10</v>
      </c>
      <c r="F778" s="42">
        <f t="shared" si="350"/>
        <v>1.9607843137254902E-2</v>
      </c>
      <c r="G778" s="21">
        <v>7</v>
      </c>
      <c r="H778" s="42">
        <f t="shared" si="351"/>
        <v>1.7811704834605598E-2</v>
      </c>
      <c r="I778" s="21">
        <v>17</v>
      </c>
      <c r="J778" s="41">
        <f t="shared" si="352"/>
        <v>3.3333333333333333E-2</v>
      </c>
      <c r="K778" s="21">
        <v>14</v>
      </c>
      <c r="L778" s="41">
        <f t="shared" si="353"/>
        <v>3.5623409669211195E-2</v>
      </c>
      <c r="M778" s="21">
        <v>448</v>
      </c>
      <c r="N778" s="41">
        <f t="shared" si="354"/>
        <v>0.8784313725490196</v>
      </c>
      <c r="O778" s="21">
        <v>343</v>
      </c>
      <c r="P778" s="41">
        <f t="shared" si="355"/>
        <v>0.87277353689567427</v>
      </c>
      <c r="Q778" s="21">
        <v>35</v>
      </c>
      <c r="R778" s="41">
        <f t="shared" si="356"/>
        <v>6.8627450980392163E-2</v>
      </c>
      <c r="S778" s="21">
        <v>29</v>
      </c>
      <c r="T778" s="41">
        <f t="shared" si="357"/>
        <v>7.3791348600508899E-2</v>
      </c>
      <c r="U778" s="21">
        <v>89</v>
      </c>
      <c r="V778" s="41">
        <f t="shared" si="358"/>
        <v>0.17450980392156862</v>
      </c>
      <c r="W778" s="21">
        <v>72</v>
      </c>
      <c r="X778" s="41">
        <f t="shared" si="359"/>
        <v>0.18320610687022901</v>
      </c>
      <c r="Y778" s="21">
        <v>51</v>
      </c>
      <c r="Z778" s="41">
        <f t="shared" si="360"/>
        <v>0.1</v>
      </c>
      <c r="AA778" s="21">
        <v>41</v>
      </c>
      <c r="AB778" s="41">
        <f t="shared" si="361"/>
        <v>0.10432569974554708</v>
      </c>
      <c r="AC778" s="21">
        <v>370</v>
      </c>
      <c r="AD778" s="41">
        <f t="shared" si="343"/>
        <v>0.72549019607843135</v>
      </c>
      <c r="AE778" s="21">
        <v>280</v>
      </c>
      <c r="AF778" s="41">
        <f t="shared" si="362"/>
        <v>0.71246819338422396</v>
      </c>
      <c r="AG778" s="21">
        <v>27</v>
      </c>
      <c r="AH778" s="41">
        <f t="shared" si="344"/>
        <v>5.2941176470588235E-2</v>
      </c>
      <c r="AI778" s="21">
        <v>27</v>
      </c>
      <c r="AJ778" s="41">
        <f t="shared" si="363"/>
        <v>6.8702290076335881E-2</v>
      </c>
      <c r="AK778" s="21">
        <v>21</v>
      </c>
      <c r="AL778" s="41">
        <f t="shared" si="345"/>
        <v>4.1176470588235294E-2</v>
      </c>
      <c r="AM778" s="21">
        <v>18</v>
      </c>
      <c r="AN778" s="41">
        <f t="shared" si="364"/>
        <v>4.5801526717557252E-2</v>
      </c>
      <c r="AO778" s="21">
        <v>261</v>
      </c>
      <c r="AP778" s="41">
        <f t="shared" si="346"/>
        <v>0.5117647058823529</v>
      </c>
      <c r="AQ778" s="21">
        <v>191</v>
      </c>
      <c r="AR778" s="41">
        <f t="shared" si="365"/>
        <v>0.48600508905852419</v>
      </c>
      <c r="AS778" s="21">
        <v>77</v>
      </c>
      <c r="AT778" s="41">
        <f t="shared" si="347"/>
        <v>0.15098039215686274</v>
      </c>
      <c r="AU778" s="21">
        <v>63</v>
      </c>
      <c r="AV778" s="41">
        <f t="shared" si="366"/>
        <v>0.16030534351145037</v>
      </c>
      <c r="AW778" s="21">
        <v>48</v>
      </c>
      <c r="AX778" s="41">
        <f t="shared" si="348"/>
        <v>9.4117647058823528E-2</v>
      </c>
      <c r="AY778" s="21">
        <v>32</v>
      </c>
      <c r="AZ778" s="41">
        <f t="shared" si="367"/>
        <v>8.1424936386768454E-2</v>
      </c>
      <c r="BA778" s="21">
        <v>76</v>
      </c>
      <c r="BB778" s="41">
        <f t="shared" si="349"/>
        <v>0.14901960784313725</v>
      </c>
      <c r="BC778" s="21">
        <v>62</v>
      </c>
      <c r="BD778" s="41">
        <f t="shared" si="368"/>
        <v>0.15776081424936386</v>
      </c>
      <c r="BE778" s="21">
        <v>510</v>
      </c>
      <c r="BF778" s="21">
        <v>393</v>
      </c>
    </row>
    <row r="779" spans="1:58" ht="15.75" customHeight="1" x14ac:dyDescent="0.25">
      <c r="A779" s="44">
        <v>2019</v>
      </c>
      <c r="B779" s="39">
        <v>171500</v>
      </c>
      <c r="C779" s="38" t="s">
        <v>144</v>
      </c>
      <c r="D779" s="38" t="s">
        <v>87</v>
      </c>
      <c r="E779" s="21">
        <v>0</v>
      </c>
      <c r="F779" s="42">
        <f t="shared" si="350"/>
        <v>0</v>
      </c>
      <c r="G779" s="21">
        <v>0</v>
      </c>
      <c r="H779" s="42">
        <f t="shared" si="351"/>
        <v>0</v>
      </c>
      <c r="I779" s="21">
        <v>4</v>
      </c>
      <c r="J779" s="41">
        <f t="shared" si="352"/>
        <v>1.7167381974248927E-2</v>
      </c>
      <c r="K779" s="21">
        <v>2</v>
      </c>
      <c r="L779" s="41">
        <f t="shared" si="353"/>
        <v>1.3071895424836602E-2</v>
      </c>
      <c r="M779" s="21">
        <v>216</v>
      </c>
      <c r="N779" s="41">
        <f t="shared" si="354"/>
        <v>0.92703862660944203</v>
      </c>
      <c r="O779" s="21">
        <v>138</v>
      </c>
      <c r="P779" s="41">
        <f t="shared" si="355"/>
        <v>0.90196078431372551</v>
      </c>
      <c r="Q779" s="21">
        <v>13</v>
      </c>
      <c r="R779" s="41">
        <f t="shared" si="356"/>
        <v>5.5793991416309016E-2</v>
      </c>
      <c r="S779" s="21">
        <v>13</v>
      </c>
      <c r="T779" s="41">
        <f t="shared" si="357"/>
        <v>8.4967320261437912E-2</v>
      </c>
      <c r="U779" s="21">
        <v>8</v>
      </c>
      <c r="V779" s="41">
        <f t="shared" si="358"/>
        <v>3.4334763948497854E-2</v>
      </c>
      <c r="W779" s="21">
        <v>7</v>
      </c>
      <c r="X779" s="41">
        <f t="shared" si="359"/>
        <v>4.5751633986928102E-2</v>
      </c>
      <c r="Y779" s="21">
        <v>24</v>
      </c>
      <c r="Z779" s="41">
        <f t="shared" si="360"/>
        <v>0.10300429184549356</v>
      </c>
      <c r="AA779" s="21">
        <v>17</v>
      </c>
      <c r="AB779" s="41">
        <f t="shared" si="361"/>
        <v>0.1111111111111111</v>
      </c>
      <c r="AC779" s="21">
        <v>201</v>
      </c>
      <c r="AD779" s="41">
        <f t="shared" si="343"/>
        <v>0.86266094420600858</v>
      </c>
      <c r="AE779" s="21">
        <v>129</v>
      </c>
      <c r="AF779" s="41">
        <f t="shared" si="362"/>
        <v>0.84313725490196079</v>
      </c>
      <c r="AG779" s="21">
        <v>7</v>
      </c>
      <c r="AH779" s="41">
        <f t="shared" si="344"/>
        <v>3.0042918454935622E-2</v>
      </c>
      <c r="AI779" s="21">
        <v>6</v>
      </c>
      <c r="AJ779" s="41">
        <f t="shared" si="363"/>
        <v>3.9215686274509803E-2</v>
      </c>
      <c r="AK779" s="21">
        <v>5</v>
      </c>
      <c r="AL779" s="41">
        <f t="shared" si="345"/>
        <v>2.1459227467811159E-2</v>
      </c>
      <c r="AM779" s="21">
        <v>4</v>
      </c>
      <c r="AN779" s="41">
        <f t="shared" si="364"/>
        <v>2.6143790849673203E-2</v>
      </c>
      <c r="AO779" s="21">
        <v>136</v>
      </c>
      <c r="AP779" s="41">
        <f t="shared" si="346"/>
        <v>0.58369098712446355</v>
      </c>
      <c r="AQ779" s="21">
        <v>90</v>
      </c>
      <c r="AR779" s="41">
        <f t="shared" si="365"/>
        <v>0.58823529411764708</v>
      </c>
      <c r="AS779" s="21">
        <v>54</v>
      </c>
      <c r="AT779" s="41">
        <f t="shared" si="347"/>
        <v>0.23175965665236051</v>
      </c>
      <c r="AU779" s="21">
        <v>30</v>
      </c>
      <c r="AV779" s="41">
        <f t="shared" si="366"/>
        <v>0.19607843137254902</v>
      </c>
      <c r="AW779" s="21">
        <v>24</v>
      </c>
      <c r="AX779" s="41">
        <f t="shared" si="348"/>
        <v>0.10300429184549356</v>
      </c>
      <c r="AY779" s="21">
        <v>15</v>
      </c>
      <c r="AZ779" s="41">
        <f t="shared" si="367"/>
        <v>9.8039215686274508E-2</v>
      </c>
      <c r="BA779" s="21">
        <v>7</v>
      </c>
      <c r="BB779" s="41">
        <f t="shared" si="349"/>
        <v>3.0042918454935622E-2</v>
      </c>
      <c r="BC779" s="21">
        <v>8</v>
      </c>
      <c r="BD779" s="41">
        <f t="shared" si="368"/>
        <v>5.2287581699346407E-2</v>
      </c>
      <c r="BE779" s="21">
        <v>233</v>
      </c>
      <c r="BF779" s="21">
        <v>153</v>
      </c>
    </row>
    <row r="780" spans="1:58" ht="15.75" customHeight="1" x14ac:dyDescent="0.25">
      <c r="A780" s="44">
        <v>2019</v>
      </c>
      <c r="B780" s="39">
        <v>171510</v>
      </c>
      <c r="C780" s="38" t="s">
        <v>148</v>
      </c>
      <c r="D780" s="38" t="s">
        <v>88</v>
      </c>
      <c r="E780" s="21">
        <v>6</v>
      </c>
      <c r="F780" s="42">
        <f t="shared" si="350"/>
        <v>1.9417475728155338E-2</v>
      </c>
      <c r="G780" s="21">
        <v>2</v>
      </c>
      <c r="H780" s="42">
        <f t="shared" si="351"/>
        <v>1.3698630136986301E-2</v>
      </c>
      <c r="I780" s="21">
        <v>9</v>
      </c>
      <c r="J780" s="41">
        <f t="shared" si="352"/>
        <v>2.9126213592233011E-2</v>
      </c>
      <c r="K780" s="21">
        <v>6</v>
      </c>
      <c r="L780" s="41">
        <f t="shared" si="353"/>
        <v>4.1095890410958902E-2</v>
      </c>
      <c r="M780" s="21">
        <v>283</v>
      </c>
      <c r="N780" s="41">
        <f t="shared" si="354"/>
        <v>0.91585760517799353</v>
      </c>
      <c r="O780" s="21">
        <v>131</v>
      </c>
      <c r="P780" s="41">
        <f t="shared" si="355"/>
        <v>0.89726027397260277</v>
      </c>
      <c r="Q780" s="21">
        <v>11</v>
      </c>
      <c r="R780" s="41">
        <f t="shared" si="356"/>
        <v>3.5598705501618123E-2</v>
      </c>
      <c r="S780" s="21">
        <v>7</v>
      </c>
      <c r="T780" s="41">
        <f t="shared" si="357"/>
        <v>4.7945205479452052E-2</v>
      </c>
      <c r="U780" s="21">
        <v>16</v>
      </c>
      <c r="V780" s="41">
        <f t="shared" si="358"/>
        <v>5.1779935275080909E-2</v>
      </c>
      <c r="W780" s="21">
        <v>9</v>
      </c>
      <c r="X780" s="41">
        <f t="shared" si="359"/>
        <v>6.1643835616438353E-2</v>
      </c>
      <c r="Y780" s="21">
        <v>25</v>
      </c>
      <c r="Z780" s="41">
        <f t="shared" si="360"/>
        <v>8.0906148867313912E-2</v>
      </c>
      <c r="AA780" s="21">
        <v>15</v>
      </c>
      <c r="AB780" s="41">
        <f t="shared" si="361"/>
        <v>0.10273972602739725</v>
      </c>
      <c r="AC780" s="21">
        <v>268</v>
      </c>
      <c r="AD780" s="41">
        <f t="shared" si="343"/>
        <v>0.8673139158576052</v>
      </c>
      <c r="AE780" s="21">
        <v>122</v>
      </c>
      <c r="AF780" s="41">
        <f t="shared" si="362"/>
        <v>0.83561643835616439</v>
      </c>
      <c r="AG780" s="21">
        <v>10</v>
      </c>
      <c r="AH780" s="41">
        <f t="shared" si="344"/>
        <v>3.2362459546925564E-2</v>
      </c>
      <c r="AI780" s="21">
        <v>9</v>
      </c>
      <c r="AJ780" s="41">
        <f t="shared" si="363"/>
        <v>6.1643835616438353E-2</v>
      </c>
      <c r="AK780" s="21">
        <v>12</v>
      </c>
      <c r="AL780" s="41">
        <f t="shared" si="345"/>
        <v>3.8834951456310676E-2</v>
      </c>
      <c r="AM780" s="21">
        <v>8</v>
      </c>
      <c r="AN780" s="41">
        <f t="shared" si="364"/>
        <v>5.4794520547945202E-2</v>
      </c>
      <c r="AO780" s="21">
        <v>209</v>
      </c>
      <c r="AP780" s="41">
        <f t="shared" si="346"/>
        <v>0.6763754045307443</v>
      </c>
      <c r="AQ780" s="21">
        <v>95</v>
      </c>
      <c r="AR780" s="41">
        <f t="shared" si="365"/>
        <v>0.65068493150684936</v>
      </c>
      <c r="AS780" s="21">
        <v>57</v>
      </c>
      <c r="AT780" s="41">
        <f t="shared" si="347"/>
        <v>0.18446601941747573</v>
      </c>
      <c r="AU780" s="21">
        <v>22</v>
      </c>
      <c r="AV780" s="41">
        <f t="shared" si="366"/>
        <v>0.15068493150684931</v>
      </c>
      <c r="AW780" s="21">
        <v>13</v>
      </c>
      <c r="AX780" s="41">
        <f t="shared" si="348"/>
        <v>4.2071197411003236E-2</v>
      </c>
      <c r="AY780" s="21">
        <v>5</v>
      </c>
      <c r="AZ780" s="41">
        <f t="shared" si="367"/>
        <v>3.4246575342465752E-2</v>
      </c>
      <c r="BA780" s="21">
        <v>8</v>
      </c>
      <c r="BB780" s="41">
        <f t="shared" si="349"/>
        <v>2.5889967637540454E-2</v>
      </c>
      <c r="BC780" s="21">
        <v>7</v>
      </c>
      <c r="BD780" s="41">
        <f t="shared" si="368"/>
        <v>4.7945205479452052E-2</v>
      </c>
      <c r="BE780" s="21">
        <v>309</v>
      </c>
      <c r="BF780" s="21">
        <v>146</v>
      </c>
    </row>
    <row r="781" spans="1:58" ht="15.75" customHeight="1" x14ac:dyDescent="0.25">
      <c r="A781" s="44">
        <v>2019</v>
      </c>
      <c r="B781" s="39">
        <v>171515</v>
      </c>
      <c r="C781" s="38" t="s">
        <v>147</v>
      </c>
      <c r="D781" s="38" t="s">
        <v>89</v>
      </c>
      <c r="E781" s="21">
        <v>0</v>
      </c>
      <c r="F781" s="42">
        <f t="shared" si="350"/>
        <v>0</v>
      </c>
      <c r="G781" s="21">
        <v>0</v>
      </c>
      <c r="H781" s="42">
        <f t="shared" si="351"/>
        <v>0</v>
      </c>
      <c r="I781" s="21">
        <v>2</v>
      </c>
      <c r="J781" s="41">
        <f t="shared" si="352"/>
        <v>1.7857142857142856E-2</v>
      </c>
      <c r="K781" s="21">
        <v>0</v>
      </c>
      <c r="L781" s="41">
        <f t="shared" si="353"/>
        <v>0</v>
      </c>
      <c r="M781" s="21">
        <v>103</v>
      </c>
      <c r="N781" s="41">
        <f t="shared" si="354"/>
        <v>0.9196428571428571</v>
      </c>
      <c r="O781" s="21">
        <v>60</v>
      </c>
      <c r="P781" s="41">
        <f t="shared" si="355"/>
        <v>0.9375</v>
      </c>
      <c r="Q781" s="21">
        <v>7</v>
      </c>
      <c r="R781" s="41">
        <f t="shared" si="356"/>
        <v>6.25E-2</v>
      </c>
      <c r="S781" s="21">
        <v>4</v>
      </c>
      <c r="T781" s="41">
        <f t="shared" si="357"/>
        <v>6.25E-2</v>
      </c>
      <c r="U781" s="21">
        <v>2</v>
      </c>
      <c r="V781" s="41">
        <f t="shared" si="358"/>
        <v>1.7857142857142856E-2</v>
      </c>
      <c r="W781" s="21">
        <v>0</v>
      </c>
      <c r="X781" s="41">
        <f t="shared" si="359"/>
        <v>0</v>
      </c>
      <c r="Y781" s="21">
        <v>6</v>
      </c>
      <c r="Z781" s="41">
        <f t="shared" si="360"/>
        <v>5.3571428571428568E-2</v>
      </c>
      <c r="AA781" s="21">
        <v>5</v>
      </c>
      <c r="AB781" s="41">
        <f t="shared" si="361"/>
        <v>7.8125E-2</v>
      </c>
      <c r="AC781" s="21">
        <v>104</v>
      </c>
      <c r="AD781" s="41">
        <f t="shared" si="343"/>
        <v>0.9285714285714286</v>
      </c>
      <c r="AE781" s="21">
        <v>59</v>
      </c>
      <c r="AF781" s="41">
        <f t="shared" si="362"/>
        <v>0.921875</v>
      </c>
      <c r="AG781" s="21">
        <v>7</v>
      </c>
      <c r="AH781" s="41">
        <f t="shared" si="344"/>
        <v>6.25E-2</v>
      </c>
      <c r="AI781" s="21">
        <v>6</v>
      </c>
      <c r="AJ781" s="41">
        <f t="shared" si="363"/>
        <v>9.375E-2</v>
      </c>
      <c r="AK781" s="21">
        <v>6</v>
      </c>
      <c r="AL781" s="41">
        <f t="shared" si="345"/>
        <v>5.3571428571428568E-2</v>
      </c>
      <c r="AM781" s="21">
        <v>4</v>
      </c>
      <c r="AN781" s="41">
        <f t="shared" si="364"/>
        <v>6.25E-2</v>
      </c>
      <c r="AO781" s="21">
        <v>86</v>
      </c>
      <c r="AP781" s="41">
        <f t="shared" si="346"/>
        <v>0.7678571428571429</v>
      </c>
      <c r="AQ781" s="21">
        <v>45</v>
      </c>
      <c r="AR781" s="41">
        <f t="shared" si="365"/>
        <v>0.703125</v>
      </c>
      <c r="AS781" s="21">
        <v>8</v>
      </c>
      <c r="AT781" s="41">
        <f t="shared" si="347"/>
        <v>7.1428571428571425E-2</v>
      </c>
      <c r="AU781" s="21">
        <v>6</v>
      </c>
      <c r="AV781" s="41">
        <f t="shared" si="366"/>
        <v>9.375E-2</v>
      </c>
      <c r="AW781" s="21">
        <v>3</v>
      </c>
      <c r="AX781" s="41">
        <f t="shared" si="348"/>
        <v>2.6785714285714284E-2</v>
      </c>
      <c r="AY781" s="21">
        <v>1</v>
      </c>
      <c r="AZ781" s="41">
        <f t="shared" si="367"/>
        <v>1.5625E-2</v>
      </c>
      <c r="BA781" s="21">
        <v>2</v>
      </c>
      <c r="BB781" s="41">
        <f t="shared" si="349"/>
        <v>1.7857142857142856E-2</v>
      </c>
      <c r="BC781" s="21">
        <v>2</v>
      </c>
      <c r="BD781" s="41">
        <f t="shared" si="368"/>
        <v>3.125E-2</v>
      </c>
      <c r="BE781" s="21">
        <v>112</v>
      </c>
      <c r="BF781" s="21">
        <v>64</v>
      </c>
    </row>
    <row r="782" spans="1:58" ht="15.75" customHeight="1" x14ac:dyDescent="0.25">
      <c r="A782" s="44">
        <v>2019</v>
      </c>
      <c r="B782" s="39">
        <v>171525</v>
      </c>
      <c r="C782" s="38" t="s">
        <v>147</v>
      </c>
      <c r="D782" s="38" t="s">
        <v>90</v>
      </c>
      <c r="E782" s="21">
        <v>4</v>
      </c>
      <c r="F782" s="42">
        <f t="shared" si="350"/>
        <v>3.8461538461538464E-2</v>
      </c>
      <c r="G782" s="21">
        <v>4</v>
      </c>
      <c r="H782" s="42">
        <f t="shared" si="351"/>
        <v>4.1237113402061855E-2</v>
      </c>
      <c r="I782" s="21">
        <v>12</v>
      </c>
      <c r="J782" s="41">
        <f t="shared" si="352"/>
        <v>0.11538461538461539</v>
      </c>
      <c r="K782" s="21">
        <v>12</v>
      </c>
      <c r="L782" s="41">
        <f t="shared" si="353"/>
        <v>0.12371134020618557</v>
      </c>
      <c r="M782" s="21">
        <v>81</v>
      </c>
      <c r="N782" s="41">
        <f t="shared" si="354"/>
        <v>0.77884615384615385</v>
      </c>
      <c r="O782" s="21">
        <v>74</v>
      </c>
      <c r="P782" s="41">
        <f t="shared" si="355"/>
        <v>0.76288659793814428</v>
      </c>
      <c r="Q782" s="21">
        <v>7</v>
      </c>
      <c r="R782" s="41">
        <f t="shared" si="356"/>
        <v>6.7307692307692304E-2</v>
      </c>
      <c r="S782" s="21">
        <v>7</v>
      </c>
      <c r="T782" s="41">
        <f t="shared" si="357"/>
        <v>7.2164948453608241E-2</v>
      </c>
      <c r="U782" s="21">
        <v>26</v>
      </c>
      <c r="V782" s="41">
        <f t="shared" si="358"/>
        <v>0.25</v>
      </c>
      <c r="W782" s="21">
        <v>26</v>
      </c>
      <c r="X782" s="41">
        <f t="shared" si="359"/>
        <v>0.26804123711340205</v>
      </c>
      <c r="Y782" s="21">
        <v>10</v>
      </c>
      <c r="Z782" s="41">
        <f t="shared" si="360"/>
        <v>9.6153846153846159E-2</v>
      </c>
      <c r="AA782" s="21">
        <v>10</v>
      </c>
      <c r="AB782" s="41">
        <f t="shared" si="361"/>
        <v>0.10309278350515463</v>
      </c>
      <c r="AC782" s="21">
        <v>68</v>
      </c>
      <c r="AD782" s="41">
        <f t="shared" si="343"/>
        <v>0.65384615384615385</v>
      </c>
      <c r="AE782" s="21">
        <v>61</v>
      </c>
      <c r="AF782" s="41">
        <f t="shared" si="362"/>
        <v>0.62886597938144329</v>
      </c>
      <c r="AG782" s="21">
        <v>7</v>
      </c>
      <c r="AH782" s="41">
        <f t="shared" si="344"/>
        <v>6.7307692307692304E-2</v>
      </c>
      <c r="AI782" s="21">
        <v>7</v>
      </c>
      <c r="AJ782" s="41">
        <f t="shared" si="363"/>
        <v>7.2164948453608241E-2</v>
      </c>
      <c r="AK782" s="21">
        <v>4</v>
      </c>
      <c r="AL782" s="41">
        <f t="shared" si="345"/>
        <v>3.8461538461538464E-2</v>
      </c>
      <c r="AM782" s="21">
        <v>4</v>
      </c>
      <c r="AN782" s="41">
        <f t="shared" si="364"/>
        <v>4.1237113402061855E-2</v>
      </c>
      <c r="AO782" s="21">
        <v>54</v>
      </c>
      <c r="AP782" s="41">
        <f t="shared" si="346"/>
        <v>0.51923076923076927</v>
      </c>
      <c r="AQ782" s="21">
        <v>48</v>
      </c>
      <c r="AR782" s="41">
        <f t="shared" si="365"/>
        <v>0.49484536082474229</v>
      </c>
      <c r="AS782" s="21">
        <v>16</v>
      </c>
      <c r="AT782" s="41">
        <f t="shared" si="347"/>
        <v>0.15384615384615385</v>
      </c>
      <c r="AU782" s="21">
        <v>15</v>
      </c>
      <c r="AV782" s="41">
        <f t="shared" si="366"/>
        <v>0.15463917525773196</v>
      </c>
      <c r="AW782" s="21">
        <v>12</v>
      </c>
      <c r="AX782" s="41">
        <f t="shared" si="348"/>
        <v>0.11538461538461539</v>
      </c>
      <c r="AY782" s="21">
        <v>12</v>
      </c>
      <c r="AZ782" s="41">
        <f t="shared" si="367"/>
        <v>0.12371134020618557</v>
      </c>
      <c r="BA782" s="21">
        <v>11</v>
      </c>
      <c r="BB782" s="41">
        <f t="shared" si="349"/>
        <v>0.10576923076923077</v>
      </c>
      <c r="BC782" s="21">
        <v>11</v>
      </c>
      <c r="BD782" s="41">
        <f t="shared" si="368"/>
        <v>0.1134020618556701</v>
      </c>
      <c r="BE782" s="21">
        <v>104</v>
      </c>
      <c r="BF782" s="21">
        <v>97</v>
      </c>
    </row>
    <row r="783" spans="1:58" ht="15.75" customHeight="1" x14ac:dyDescent="0.25">
      <c r="A783" s="44">
        <v>2019</v>
      </c>
      <c r="B783" s="39">
        <v>171550</v>
      </c>
      <c r="C783" s="38" t="s">
        <v>151</v>
      </c>
      <c r="D783" s="38" t="s">
        <v>91</v>
      </c>
      <c r="E783" s="21">
        <v>0</v>
      </c>
      <c r="F783" s="42">
        <f t="shared" si="350"/>
        <v>0</v>
      </c>
      <c r="G783" s="21">
        <v>0</v>
      </c>
      <c r="H783" s="42">
        <f t="shared" si="351"/>
        <v>0</v>
      </c>
      <c r="I783" s="21">
        <v>1</v>
      </c>
      <c r="J783" s="41">
        <f t="shared" si="352"/>
        <v>9.9009900990099011E-3</v>
      </c>
      <c r="K783" s="21">
        <v>0</v>
      </c>
      <c r="L783" s="41">
        <f t="shared" si="353"/>
        <v>0</v>
      </c>
      <c r="M783" s="21">
        <v>97</v>
      </c>
      <c r="N783" s="41">
        <f t="shared" si="354"/>
        <v>0.96039603960396036</v>
      </c>
      <c r="O783" s="21">
        <v>65</v>
      </c>
      <c r="P783" s="41">
        <f t="shared" si="355"/>
        <v>0.94202898550724634</v>
      </c>
      <c r="Q783" s="21">
        <v>3</v>
      </c>
      <c r="R783" s="41">
        <f t="shared" si="356"/>
        <v>2.9702970297029702E-2</v>
      </c>
      <c r="S783" s="21">
        <v>4</v>
      </c>
      <c r="T783" s="41">
        <f t="shared" si="357"/>
        <v>5.7971014492753624E-2</v>
      </c>
      <c r="U783" s="21">
        <v>4</v>
      </c>
      <c r="V783" s="41">
        <f t="shared" si="358"/>
        <v>3.9603960396039604E-2</v>
      </c>
      <c r="W783" s="21">
        <v>4</v>
      </c>
      <c r="X783" s="41">
        <f t="shared" si="359"/>
        <v>5.7971014492753624E-2</v>
      </c>
      <c r="Y783" s="21">
        <v>2</v>
      </c>
      <c r="Z783" s="41">
        <f t="shared" si="360"/>
        <v>1.9801980198019802E-2</v>
      </c>
      <c r="AA783" s="21">
        <v>3</v>
      </c>
      <c r="AB783" s="41">
        <f t="shared" si="361"/>
        <v>4.3478260869565216E-2</v>
      </c>
      <c r="AC783" s="21">
        <v>95</v>
      </c>
      <c r="AD783" s="41">
        <f t="shared" si="343"/>
        <v>0.94059405940594054</v>
      </c>
      <c r="AE783" s="21">
        <v>62</v>
      </c>
      <c r="AF783" s="41">
        <f t="shared" si="362"/>
        <v>0.89855072463768115</v>
      </c>
      <c r="AG783" s="21">
        <v>1</v>
      </c>
      <c r="AH783" s="41">
        <f t="shared" si="344"/>
        <v>9.9009900990099011E-3</v>
      </c>
      <c r="AI783" s="21">
        <v>1</v>
      </c>
      <c r="AJ783" s="41">
        <f t="shared" si="363"/>
        <v>1.4492753623188406E-2</v>
      </c>
      <c r="AK783" s="21">
        <v>2</v>
      </c>
      <c r="AL783" s="41">
        <f t="shared" si="345"/>
        <v>1.9801980198019802E-2</v>
      </c>
      <c r="AM783" s="21">
        <v>4</v>
      </c>
      <c r="AN783" s="41">
        <f t="shared" si="364"/>
        <v>5.7971014492753624E-2</v>
      </c>
      <c r="AO783" s="21">
        <v>75</v>
      </c>
      <c r="AP783" s="41">
        <f t="shared" si="346"/>
        <v>0.74257425742574257</v>
      </c>
      <c r="AQ783" s="21">
        <v>43</v>
      </c>
      <c r="AR783" s="41">
        <f t="shared" si="365"/>
        <v>0.62318840579710144</v>
      </c>
      <c r="AS783" s="21">
        <v>13</v>
      </c>
      <c r="AT783" s="41">
        <f t="shared" si="347"/>
        <v>0.12871287128712872</v>
      </c>
      <c r="AU783" s="21">
        <v>13</v>
      </c>
      <c r="AV783" s="41">
        <f t="shared" si="366"/>
        <v>0.18840579710144928</v>
      </c>
      <c r="AW783" s="21">
        <v>6</v>
      </c>
      <c r="AX783" s="41">
        <f t="shared" si="348"/>
        <v>5.9405940594059403E-2</v>
      </c>
      <c r="AY783" s="21">
        <v>3</v>
      </c>
      <c r="AZ783" s="41">
        <f t="shared" si="367"/>
        <v>4.3478260869565216E-2</v>
      </c>
      <c r="BA783" s="21">
        <v>4</v>
      </c>
      <c r="BB783" s="41">
        <f t="shared" si="349"/>
        <v>3.9603960396039604E-2</v>
      </c>
      <c r="BC783" s="21">
        <v>5</v>
      </c>
      <c r="BD783" s="41">
        <f t="shared" si="368"/>
        <v>7.2463768115942032E-2</v>
      </c>
      <c r="BE783" s="21">
        <v>101</v>
      </c>
      <c r="BF783" s="21">
        <v>69</v>
      </c>
    </row>
    <row r="784" spans="1:58" ht="15.75" customHeight="1" x14ac:dyDescent="0.25">
      <c r="A784" s="44">
        <v>2019</v>
      </c>
      <c r="B784" s="39">
        <v>172100</v>
      </c>
      <c r="C784" s="38" t="s">
        <v>148</v>
      </c>
      <c r="D784" s="38" t="s">
        <v>92</v>
      </c>
      <c r="E784" s="21">
        <v>77</v>
      </c>
      <c r="F784" s="42">
        <f t="shared" si="350"/>
        <v>9.4178082191780817E-3</v>
      </c>
      <c r="G784" s="21">
        <v>60</v>
      </c>
      <c r="H784" s="42">
        <f t="shared" si="351"/>
        <v>1.3736263736263736E-2</v>
      </c>
      <c r="I784" s="21">
        <v>245</v>
      </c>
      <c r="J784" s="41">
        <f t="shared" si="352"/>
        <v>2.9965753424657533E-2</v>
      </c>
      <c r="K784" s="21">
        <v>159</v>
      </c>
      <c r="L784" s="41">
        <f t="shared" si="353"/>
        <v>3.6401098901098904E-2</v>
      </c>
      <c r="M784" s="20">
        <v>7314</v>
      </c>
      <c r="N784" s="41">
        <f t="shared" si="354"/>
        <v>0.89456947162426614</v>
      </c>
      <c r="O784" s="20">
        <v>3827</v>
      </c>
      <c r="P784" s="41">
        <f t="shared" si="355"/>
        <v>0.87614468864468864</v>
      </c>
      <c r="Q784" s="21">
        <v>540</v>
      </c>
      <c r="R784" s="41">
        <f t="shared" si="356"/>
        <v>6.6046966731898235E-2</v>
      </c>
      <c r="S784" s="21">
        <v>322</v>
      </c>
      <c r="T784" s="41">
        <f t="shared" si="357"/>
        <v>7.371794871794872E-2</v>
      </c>
      <c r="U784" s="21">
        <v>438</v>
      </c>
      <c r="V784" s="41">
        <f t="shared" si="358"/>
        <v>5.3571428571428568E-2</v>
      </c>
      <c r="W784" s="21">
        <v>367</v>
      </c>
      <c r="X784" s="41">
        <f t="shared" si="359"/>
        <v>8.4020146520146527E-2</v>
      </c>
      <c r="Y784" s="21">
        <v>560</v>
      </c>
      <c r="Z784" s="41">
        <f t="shared" si="360"/>
        <v>6.8493150684931503E-2</v>
      </c>
      <c r="AA784" s="21">
        <v>364</v>
      </c>
      <c r="AB784" s="41">
        <f t="shared" si="361"/>
        <v>8.3333333333333329E-2</v>
      </c>
      <c r="AC784" s="20">
        <v>7179</v>
      </c>
      <c r="AD784" s="41">
        <f t="shared" si="343"/>
        <v>0.87805772994129161</v>
      </c>
      <c r="AE784" s="20">
        <v>3638</v>
      </c>
      <c r="AF784" s="41">
        <f t="shared" si="362"/>
        <v>0.83287545787545791</v>
      </c>
      <c r="AG784" s="21">
        <v>294</v>
      </c>
      <c r="AH784" s="41">
        <f t="shared" si="344"/>
        <v>3.5958904109589039E-2</v>
      </c>
      <c r="AI784" s="21">
        <v>268</v>
      </c>
      <c r="AJ784" s="41">
        <f t="shared" si="363"/>
        <v>6.1355311355311352E-2</v>
      </c>
      <c r="AK784" s="21">
        <v>288</v>
      </c>
      <c r="AL784" s="41">
        <f t="shared" si="345"/>
        <v>3.5225048923679059E-2</v>
      </c>
      <c r="AM784" s="21">
        <v>206</v>
      </c>
      <c r="AN784" s="41">
        <f t="shared" si="364"/>
        <v>4.716117216117216E-2</v>
      </c>
      <c r="AO784" s="20">
        <v>5279</v>
      </c>
      <c r="AP784" s="41">
        <f t="shared" si="346"/>
        <v>0.64567025440313108</v>
      </c>
      <c r="AQ784" s="20">
        <v>2615</v>
      </c>
      <c r="AR784" s="41">
        <f t="shared" si="365"/>
        <v>0.59867216117216115</v>
      </c>
      <c r="AS784" s="20">
        <v>1288</v>
      </c>
      <c r="AT784" s="41">
        <f t="shared" si="347"/>
        <v>0.15753424657534246</v>
      </c>
      <c r="AU784" s="21">
        <v>606</v>
      </c>
      <c r="AV784" s="41">
        <f t="shared" si="366"/>
        <v>0.13873626373626374</v>
      </c>
      <c r="AW784" s="21">
        <v>561</v>
      </c>
      <c r="AX784" s="41">
        <f t="shared" si="348"/>
        <v>6.8615459882583177E-2</v>
      </c>
      <c r="AY784" s="21">
        <v>321</v>
      </c>
      <c r="AZ784" s="41">
        <f t="shared" si="367"/>
        <v>7.3489010989010992E-2</v>
      </c>
      <c r="BA784" s="21">
        <v>467</v>
      </c>
      <c r="BB784" s="41">
        <f t="shared" si="349"/>
        <v>5.711839530332681E-2</v>
      </c>
      <c r="BC784" s="21">
        <v>353</v>
      </c>
      <c r="BD784" s="41">
        <f t="shared" si="368"/>
        <v>8.0815018315018319E-2</v>
      </c>
      <c r="BE784" s="20">
        <v>8176</v>
      </c>
      <c r="BF784" s="20">
        <v>4368</v>
      </c>
    </row>
    <row r="785" spans="1:58" ht="15.75" customHeight="1" x14ac:dyDescent="0.25">
      <c r="A785" s="44">
        <v>2019</v>
      </c>
      <c r="B785" s="39">
        <v>171570</v>
      </c>
      <c r="C785" s="38" t="s">
        <v>150</v>
      </c>
      <c r="D785" s="38" t="s">
        <v>93</v>
      </c>
      <c r="E785" s="21">
        <v>3</v>
      </c>
      <c r="F785" s="42">
        <f t="shared" si="350"/>
        <v>1.0791366906474821E-2</v>
      </c>
      <c r="G785" s="21">
        <v>2</v>
      </c>
      <c r="H785" s="42">
        <f t="shared" si="351"/>
        <v>9.6618357487922701E-3</v>
      </c>
      <c r="I785" s="21">
        <v>11</v>
      </c>
      <c r="J785" s="41">
        <f t="shared" si="352"/>
        <v>3.9568345323741004E-2</v>
      </c>
      <c r="K785" s="21">
        <v>5</v>
      </c>
      <c r="L785" s="41">
        <f t="shared" si="353"/>
        <v>2.4154589371980676E-2</v>
      </c>
      <c r="M785" s="21">
        <v>253</v>
      </c>
      <c r="N785" s="41">
        <f t="shared" si="354"/>
        <v>0.91007194244604317</v>
      </c>
      <c r="O785" s="21">
        <v>197</v>
      </c>
      <c r="P785" s="41">
        <f t="shared" si="355"/>
        <v>0.95169082125603865</v>
      </c>
      <c r="Q785" s="21">
        <v>11</v>
      </c>
      <c r="R785" s="41">
        <f t="shared" si="356"/>
        <v>3.9568345323741004E-2</v>
      </c>
      <c r="S785" s="21">
        <v>3</v>
      </c>
      <c r="T785" s="41">
        <f t="shared" si="357"/>
        <v>1.4492753623188406E-2</v>
      </c>
      <c r="U785" s="21">
        <v>23</v>
      </c>
      <c r="V785" s="41">
        <f t="shared" si="358"/>
        <v>8.2733812949640287E-2</v>
      </c>
      <c r="W785" s="21">
        <v>20</v>
      </c>
      <c r="X785" s="41">
        <f t="shared" si="359"/>
        <v>9.6618357487922704E-2</v>
      </c>
      <c r="Y785" s="21">
        <v>44</v>
      </c>
      <c r="Z785" s="41">
        <f t="shared" si="360"/>
        <v>0.15827338129496402</v>
      </c>
      <c r="AA785" s="21">
        <v>32</v>
      </c>
      <c r="AB785" s="41">
        <f t="shared" si="361"/>
        <v>0.15458937198067632</v>
      </c>
      <c r="AC785" s="21">
        <v>211</v>
      </c>
      <c r="AD785" s="41">
        <f t="shared" si="343"/>
        <v>0.75899280575539574</v>
      </c>
      <c r="AE785" s="21">
        <v>155</v>
      </c>
      <c r="AF785" s="41">
        <f t="shared" si="362"/>
        <v>0.74879227053140096</v>
      </c>
      <c r="AG785" s="21">
        <v>5</v>
      </c>
      <c r="AH785" s="41">
        <f t="shared" si="344"/>
        <v>1.7985611510791366E-2</v>
      </c>
      <c r="AI785" s="21">
        <v>4</v>
      </c>
      <c r="AJ785" s="41">
        <f t="shared" si="363"/>
        <v>1.932367149758454E-2</v>
      </c>
      <c r="AK785" s="21">
        <v>7</v>
      </c>
      <c r="AL785" s="41">
        <f t="shared" si="345"/>
        <v>2.5179856115107913E-2</v>
      </c>
      <c r="AM785" s="21">
        <v>8</v>
      </c>
      <c r="AN785" s="41">
        <f t="shared" si="364"/>
        <v>3.864734299516908E-2</v>
      </c>
      <c r="AO785" s="21">
        <v>168</v>
      </c>
      <c r="AP785" s="41">
        <f t="shared" si="346"/>
        <v>0.60431654676258995</v>
      </c>
      <c r="AQ785" s="21">
        <v>128</v>
      </c>
      <c r="AR785" s="41">
        <f t="shared" si="365"/>
        <v>0.61835748792270528</v>
      </c>
      <c r="AS785" s="21">
        <v>52</v>
      </c>
      <c r="AT785" s="41">
        <f t="shared" si="347"/>
        <v>0.18705035971223022</v>
      </c>
      <c r="AU785" s="21">
        <v>39</v>
      </c>
      <c r="AV785" s="41">
        <f t="shared" si="366"/>
        <v>0.18840579710144928</v>
      </c>
      <c r="AW785" s="21">
        <v>24</v>
      </c>
      <c r="AX785" s="41">
        <f t="shared" si="348"/>
        <v>8.6330935251798566E-2</v>
      </c>
      <c r="AY785" s="21">
        <v>15</v>
      </c>
      <c r="AZ785" s="41">
        <f t="shared" si="367"/>
        <v>7.2463768115942032E-2</v>
      </c>
      <c r="BA785" s="21">
        <v>22</v>
      </c>
      <c r="BB785" s="41">
        <f t="shared" si="349"/>
        <v>7.9136690647482008E-2</v>
      </c>
      <c r="BC785" s="21">
        <v>13</v>
      </c>
      <c r="BD785" s="41">
        <f t="shared" si="368"/>
        <v>6.280193236714976E-2</v>
      </c>
      <c r="BE785" s="21">
        <v>278</v>
      </c>
      <c r="BF785" s="21">
        <v>207</v>
      </c>
    </row>
    <row r="786" spans="1:58" ht="15.75" customHeight="1" x14ac:dyDescent="0.25">
      <c r="A786" s="44">
        <v>2019</v>
      </c>
      <c r="B786" s="39">
        <v>171380</v>
      </c>
      <c r="C786" s="38" t="s">
        <v>145</v>
      </c>
      <c r="D786" s="38" t="s">
        <v>94</v>
      </c>
      <c r="E786" s="21">
        <v>3</v>
      </c>
      <c r="F786" s="42">
        <f t="shared" si="350"/>
        <v>1.0169491525423728E-2</v>
      </c>
      <c r="G786" s="21">
        <v>2</v>
      </c>
      <c r="H786" s="42">
        <f t="shared" si="351"/>
        <v>7.462686567164179E-3</v>
      </c>
      <c r="I786" s="21">
        <v>3</v>
      </c>
      <c r="J786" s="41">
        <f t="shared" si="352"/>
        <v>1.0169491525423728E-2</v>
      </c>
      <c r="K786" s="21">
        <v>2</v>
      </c>
      <c r="L786" s="41">
        <f t="shared" si="353"/>
        <v>7.462686567164179E-3</v>
      </c>
      <c r="M786" s="21">
        <v>272</v>
      </c>
      <c r="N786" s="41">
        <f t="shared" si="354"/>
        <v>0.92203389830508475</v>
      </c>
      <c r="O786" s="21">
        <v>249</v>
      </c>
      <c r="P786" s="41">
        <f t="shared" si="355"/>
        <v>0.92910447761194026</v>
      </c>
      <c r="Q786" s="21">
        <v>17</v>
      </c>
      <c r="R786" s="41">
        <f t="shared" si="356"/>
        <v>5.7627118644067797E-2</v>
      </c>
      <c r="S786" s="21">
        <v>15</v>
      </c>
      <c r="T786" s="41">
        <f t="shared" si="357"/>
        <v>5.5970149253731345E-2</v>
      </c>
      <c r="U786" s="21">
        <v>26</v>
      </c>
      <c r="V786" s="41">
        <f t="shared" si="358"/>
        <v>8.8135593220338981E-2</v>
      </c>
      <c r="W786" s="21">
        <v>23</v>
      </c>
      <c r="X786" s="41">
        <f t="shared" si="359"/>
        <v>8.5820895522388058E-2</v>
      </c>
      <c r="Y786" s="21">
        <v>34</v>
      </c>
      <c r="Z786" s="41">
        <f t="shared" si="360"/>
        <v>0.11525423728813559</v>
      </c>
      <c r="AA786" s="21">
        <v>33</v>
      </c>
      <c r="AB786" s="41">
        <f t="shared" si="361"/>
        <v>0.12313432835820895</v>
      </c>
      <c r="AC786" s="21">
        <v>235</v>
      </c>
      <c r="AD786" s="41">
        <f t="shared" si="343"/>
        <v>0.79661016949152541</v>
      </c>
      <c r="AE786" s="21">
        <v>212</v>
      </c>
      <c r="AF786" s="41">
        <f t="shared" si="362"/>
        <v>0.79104477611940294</v>
      </c>
      <c r="AG786" s="21">
        <v>11</v>
      </c>
      <c r="AH786" s="41">
        <f t="shared" si="344"/>
        <v>3.7288135593220341E-2</v>
      </c>
      <c r="AI786" s="21">
        <v>5</v>
      </c>
      <c r="AJ786" s="41">
        <f t="shared" si="363"/>
        <v>1.8656716417910446E-2</v>
      </c>
      <c r="AK786" s="21">
        <v>13</v>
      </c>
      <c r="AL786" s="41">
        <f t="shared" si="345"/>
        <v>4.4067796610169491E-2</v>
      </c>
      <c r="AM786" s="21">
        <v>8</v>
      </c>
      <c r="AN786" s="41">
        <f t="shared" si="364"/>
        <v>2.9850746268656716E-2</v>
      </c>
      <c r="AO786" s="21">
        <v>166</v>
      </c>
      <c r="AP786" s="41">
        <f t="shared" si="346"/>
        <v>0.56271186440677967</v>
      </c>
      <c r="AQ786" s="21">
        <v>157</v>
      </c>
      <c r="AR786" s="41">
        <f t="shared" si="365"/>
        <v>0.58582089552238803</v>
      </c>
      <c r="AS786" s="21">
        <v>59</v>
      </c>
      <c r="AT786" s="41">
        <f t="shared" si="347"/>
        <v>0.2</v>
      </c>
      <c r="AU786" s="21">
        <v>58</v>
      </c>
      <c r="AV786" s="41">
        <f t="shared" si="366"/>
        <v>0.21641791044776118</v>
      </c>
      <c r="AW786" s="21">
        <v>16</v>
      </c>
      <c r="AX786" s="41">
        <f t="shared" si="348"/>
        <v>5.4237288135593219E-2</v>
      </c>
      <c r="AY786" s="21">
        <v>14</v>
      </c>
      <c r="AZ786" s="41">
        <f t="shared" si="367"/>
        <v>5.2238805970149252E-2</v>
      </c>
      <c r="BA786" s="21">
        <v>30</v>
      </c>
      <c r="BB786" s="41">
        <f t="shared" si="349"/>
        <v>0.10169491525423729</v>
      </c>
      <c r="BC786" s="21">
        <v>26</v>
      </c>
      <c r="BD786" s="41">
        <f t="shared" si="368"/>
        <v>9.7014925373134331E-2</v>
      </c>
      <c r="BE786" s="21">
        <v>295</v>
      </c>
      <c r="BF786" s="21">
        <v>268</v>
      </c>
    </row>
    <row r="787" spans="1:58" ht="15.75" customHeight="1" x14ac:dyDescent="0.25">
      <c r="A787" s="44">
        <v>2019</v>
      </c>
      <c r="B787" s="39">
        <v>171575</v>
      </c>
      <c r="C787" s="38" t="s">
        <v>146</v>
      </c>
      <c r="D787" s="38" t="s">
        <v>95</v>
      </c>
      <c r="E787" s="21">
        <v>1</v>
      </c>
      <c r="F787" s="42">
        <f t="shared" si="350"/>
        <v>3.0395136778115501E-3</v>
      </c>
      <c r="G787" s="21">
        <v>0</v>
      </c>
      <c r="H787" s="42">
        <f t="shared" si="351"/>
        <v>0</v>
      </c>
      <c r="I787" s="21">
        <v>6</v>
      </c>
      <c r="J787" s="41">
        <f t="shared" si="352"/>
        <v>1.82370820668693E-2</v>
      </c>
      <c r="K787" s="21">
        <v>3</v>
      </c>
      <c r="L787" s="41">
        <f t="shared" si="353"/>
        <v>1.8518518518518517E-2</v>
      </c>
      <c r="M787" s="21">
        <v>304</v>
      </c>
      <c r="N787" s="41">
        <f t="shared" si="354"/>
        <v>0.92401215805471126</v>
      </c>
      <c r="O787" s="21">
        <v>150</v>
      </c>
      <c r="P787" s="41">
        <f t="shared" si="355"/>
        <v>0.92592592592592593</v>
      </c>
      <c r="Q787" s="21">
        <v>18</v>
      </c>
      <c r="R787" s="41">
        <f t="shared" si="356"/>
        <v>5.4711246200607903E-2</v>
      </c>
      <c r="S787" s="21">
        <v>9</v>
      </c>
      <c r="T787" s="41">
        <f t="shared" si="357"/>
        <v>5.5555555555555552E-2</v>
      </c>
      <c r="U787" s="21">
        <v>5</v>
      </c>
      <c r="V787" s="41">
        <f t="shared" si="358"/>
        <v>1.5197568389057751E-2</v>
      </c>
      <c r="W787" s="21">
        <v>0</v>
      </c>
      <c r="X787" s="41">
        <f t="shared" si="359"/>
        <v>0</v>
      </c>
      <c r="Y787" s="21">
        <v>8</v>
      </c>
      <c r="Z787" s="41">
        <f t="shared" si="360"/>
        <v>2.4316109422492401E-2</v>
      </c>
      <c r="AA787" s="21">
        <v>3</v>
      </c>
      <c r="AB787" s="41">
        <f t="shared" si="361"/>
        <v>1.8518518518518517E-2</v>
      </c>
      <c r="AC787" s="21">
        <v>316</v>
      </c>
      <c r="AD787" s="41">
        <f t="shared" si="343"/>
        <v>0.96048632218844987</v>
      </c>
      <c r="AE787" s="21">
        <v>159</v>
      </c>
      <c r="AF787" s="41">
        <f t="shared" si="362"/>
        <v>0.98148148148148151</v>
      </c>
      <c r="AG787" s="21">
        <v>13</v>
      </c>
      <c r="AH787" s="41">
        <f t="shared" si="344"/>
        <v>3.9513677811550151E-2</v>
      </c>
      <c r="AI787" s="21">
        <v>12</v>
      </c>
      <c r="AJ787" s="41">
        <f t="shared" si="363"/>
        <v>7.407407407407407E-2</v>
      </c>
      <c r="AK787" s="21">
        <v>9</v>
      </c>
      <c r="AL787" s="41">
        <f t="shared" si="345"/>
        <v>2.7355623100303952E-2</v>
      </c>
      <c r="AM787" s="21">
        <v>6</v>
      </c>
      <c r="AN787" s="41">
        <f t="shared" si="364"/>
        <v>3.7037037037037035E-2</v>
      </c>
      <c r="AO787" s="21">
        <v>238</v>
      </c>
      <c r="AP787" s="41">
        <f t="shared" si="346"/>
        <v>0.72340425531914898</v>
      </c>
      <c r="AQ787" s="21">
        <v>120</v>
      </c>
      <c r="AR787" s="41">
        <f t="shared" si="365"/>
        <v>0.7407407407407407</v>
      </c>
      <c r="AS787" s="21">
        <v>44</v>
      </c>
      <c r="AT787" s="41">
        <f t="shared" si="347"/>
        <v>0.1337386018237082</v>
      </c>
      <c r="AU787" s="21">
        <v>16</v>
      </c>
      <c r="AV787" s="41">
        <f t="shared" si="366"/>
        <v>9.8765432098765427E-2</v>
      </c>
      <c r="AW787" s="21">
        <v>18</v>
      </c>
      <c r="AX787" s="41">
        <f t="shared" si="348"/>
        <v>5.4711246200607903E-2</v>
      </c>
      <c r="AY787" s="21">
        <v>4</v>
      </c>
      <c r="AZ787" s="41">
        <f t="shared" si="367"/>
        <v>2.4691358024691357E-2</v>
      </c>
      <c r="BA787" s="21">
        <v>7</v>
      </c>
      <c r="BB787" s="41">
        <f t="shared" si="349"/>
        <v>2.1276595744680851E-2</v>
      </c>
      <c r="BC787" s="21">
        <v>4</v>
      </c>
      <c r="BD787" s="41">
        <f t="shared" si="368"/>
        <v>2.4691358024691357E-2</v>
      </c>
      <c r="BE787" s="21">
        <v>329</v>
      </c>
      <c r="BF787" s="21">
        <v>162</v>
      </c>
    </row>
    <row r="788" spans="1:58" ht="15.75" customHeight="1" x14ac:dyDescent="0.25">
      <c r="A788" s="44">
        <v>2019</v>
      </c>
      <c r="B788" s="39">
        <v>171610</v>
      </c>
      <c r="C788" s="38" t="s">
        <v>144</v>
      </c>
      <c r="D788" s="38" t="s">
        <v>96</v>
      </c>
      <c r="E788" s="21">
        <v>4</v>
      </c>
      <c r="F788" s="42">
        <f t="shared" si="350"/>
        <v>7.4074074074074077E-3</v>
      </c>
      <c r="G788" s="21">
        <v>3</v>
      </c>
      <c r="H788" s="42">
        <f t="shared" si="351"/>
        <v>6.1855670103092781E-3</v>
      </c>
      <c r="I788" s="21">
        <v>18</v>
      </c>
      <c r="J788" s="41">
        <f t="shared" si="352"/>
        <v>3.3333333333333333E-2</v>
      </c>
      <c r="K788" s="21">
        <v>17</v>
      </c>
      <c r="L788" s="41">
        <f t="shared" si="353"/>
        <v>3.5051546391752578E-2</v>
      </c>
      <c r="M788" s="21">
        <v>479</v>
      </c>
      <c r="N788" s="41">
        <f t="shared" si="354"/>
        <v>0.88703703703703707</v>
      </c>
      <c r="O788" s="21">
        <v>430</v>
      </c>
      <c r="P788" s="41">
        <f t="shared" si="355"/>
        <v>0.88659793814432986</v>
      </c>
      <c r="Q788" s="21">
        <v>39</v>
      </c>
      <c r="R788" s="41">
        <f t="shared" si="356"/>
        <v>7.2222222222222215E-2</v>
      </c>
      <c r="S788" s="21">
        <v>35</v>
      </c>
      <c r="T788" s="41">
        <f t="shared" si="357"/>
        <v>7.2164948453608241E-2</v>
      </c>
      <c r="U788" s="21">
        <v>21</v>
      </c>
      <c r="V788" s="41">
        <f t="shared" si="358"/>
        <v>3.888888888888889E-2</v>
      </c>
      <c r="W788" s="21">
        <v>19</v>
      </c>
      <c r="X788" s="41">
        <f t="shared" si="359"/>
        <v>3.9175257731958762E-2</v>
      </c>
      <c r="Y788" s="21">
        <v>33</v>
      </c>
      <c r="Z788" s="41">
        <f t="shared" si="360"/>
        <v>6.1111111111111109E-2</v>
      </c>
      <c r="AA788" s="21">
        <v>29</v>
      </c>
      <c r="AB788" s="41">
        <f t="shared" si="361"/>
        <v>5.9793814432989693E-2</v>
      </c>
      <c r="AC788" s="21">
        <v>486</v>
      </c>
      <c r="AD788" s="41">
        <f t="shared" si="343"/>
        <v>0.9</v>
      </c>
      <c r="AE788" s="21">
        <v>437</v>
      </c>
      <c r="AF788" s="41">
        <f t="shared" si="362"/>
        <v>0.90103092783505156</v>
      </c>
      <c r="AG788" s="21">
        <v>18</v>
      </c>
      <c r="AH788" s="41">
        <f t="shared" si="344"/>
        <v>3.3333333333333333E-2</v>
      </c>
      <c r="AI788" s="21">
        <v>17</v>
      </c>
      <c r="AJ788" s="41">
        <f t="shared" si="363"/>
        <v>3.5051546391752578E-2</v>
      </c>
      <c r="AK788" s="21">
        <v>31</v>
      </c>
      <c r="AL788" s="41">
        <f t="shared" si="345"/>
        <v>5.7407407407407407E-2</v>
      </c>
      <c r="AM788" s="21">
        <v>28</v>
      </c>
      <c r="AN788" s="41">
        <f t="shared" si="364"/>
        <v>5.7731958762886601E-2</v>
      </c>
      <c r="AO788" s="21">
        <v>347</v>
      </c>
      <c r="AP788" s="41">
        <f t="shared" si="346"/>
        <v>0.6425925925925926</v>
      </c>
      <c r="AQ788" s="21">
        <v>311</v>
      </c>
      <c r="AR788" s="41">
        <f t="shared" si="365"/>
        <v>0.64123711340206191</v>
      </c>
      <c r="AS788" s="21">
        <v>79</v>
      </c>
      <c r="AT788" s="41">
        <f t="shared" si="347"/>
        <v>0.14629629629629629</v>
      </c>
      <c r="AU788" s="21">
        <v>71</v>
      </c>
      <c r="AV788" s="41">
        <f t="shared" si="366"/>
        <v>0.14639175257731959</v>
      </c>
      <c r="AW788" s="21">
        <v>34</v>
      </c>
      <c r="AX788" s="41">
        <f t="shared" si="348"/>
        <v>6.2962962962962957E-2</v>
      </c>
      <c r="AY788" s="21">
        <v>28</v>
      </c>
      <c r="AZ788" s="41">
        <f t="shared" si="367"/>
        <v>5.7731958762886601E-2</v>
      </c>
      <c r="BA788" s="21">
        <v>31</v>
      </c>
      <c r="BB788" s="41">
        <f t="shared" si="349"/>
        <v>5.7407407407407407E-2</v>
      </c>
      <c r="BC788" s="21">
        <v>30</v>
      </c>
      <c r="BD788" s="41">
        <f t="shared" si="368"/>
        <v>6.1855670103092786E-2</v>
      </c>
      <c r="BE788" s="21">
        <v>540</v>
      </c>
      <c r="BF788" s="21">
        <v>485</v>
      </c>
    </row>
    <row r="789" spans="1:58" ht="15.75" customHeight="1" x14ac:dyDescent="0.25">
      <c r="A789" s="44">
        <v>2019</v>
      </c>
      <c r="B789" s="39">
        <v>171620</v>
      </c>
      <c r="C789" s="38" t="s">
        <v>147</v>
      </c>
      <c r="D789" s="38" t="s">
        <v>97</v>
      </c>
      <c r="E789" s="21">
        <v>6</v>
      </c>
      <c r="F789" s="42">
        <f t="shared" si="350"/>
        <v>8.130081300813009E-3</v>
      </c>
      <c r="G789" s="21">
        <v>6</v>
      </c>
      <c r="H789" s="42">
        <f t="shared" si="351"/>
        <v>1.0507880910683012E-2</v>
      </c>
      <c r="I789" s="21">
        <v>23</v>
      </c>
      <c r="J789" s="41">
        <f t="shared" si="352"/>
        <v>3.1165311653116531E-2</v>
      </c>
      <c r="K789" s="21">
        <v>16</v>
      </c>
      <c r="L789" s="41">
        <f t="shared" si="353"/>
        <v>2.8021015761821366E-2</v>
      </c>
      <c r="M789" s="21">
        <v>677</v>
      </c>
      <c r="N789" s="41">
        <f t="shared" si="354"/>
        <v>0.91734417344173447</v>
      </c>
      <c r="O789" s="21">
        <v>524</v>
      </c>
      <c r="P789" s="41">
        <f t="shared" si="355"/>
        <v>0.91768826619964972</v>
      </c>
      <c r="Q789" s="21">
        <v>32</v>
      </c>
      <c r="R789" s="41">
        <f t="shared" si="356"/>
        <v>4.3360433604336043E-2</v>
      </c>
      <c r="S789" s="21">
        <v>25</v>
      </c>
      <c r="T789" s="41">
        <f t="shared" si="357"/>
        <v>4.3782837127845885E-2</v>
      </c>
      <c r="U789" s="21">
        <v>71</v>
      </c>
      <c r="V789" s="41">
        <f t="shared" si="358"/>
        <v>9.6205962059620592E-2</v>
      </c>
      <c r="W789" s="21">
        <v>60</v>
      </c>
      <c r="X789" s="41">
        <f t="shared" si="359"/>
        <v>0.10507880910683012</v>
      </c>
      <c r="Y789" s="21">
        <v>70</v>
      </c>
      <c r="Z789" s="41">
        <f t="shared" si="360"/>
        <v>9.4850948509485097E-2</v>
      </c>
      <c r="AA789" s="21">
        <v>64</v>
      </c>
      <c r="AB789" s="41">
        <f t="shared" si="361"/>
        <v>0.11208406304728546</v>
      </c>
      <c r="AC789" s="21">
        <v>597</v>
      </c>
      <c r="AD789" s="41">
        <f t="shared" si="343"/>
        <v>0.80894308943089432</v>
      </c>
      <c r="AE789" s="21">
        <v>447</v>
      </c>
      <c r="AF789" s="41">
        <f t="shared" si="362"/>
        <v>0.78283712784588444</v>
      </c>
      <c r="AG789" s="21">
        <v>31</v>
      </c>
      <c r="AH789" s="41">
        <f t="shared" si="344"/>
        <v>4.2005420054200542E-2</v>
      </c>
      <c r="AI789" s="21">
        <v>21</v>
      </c>
      <c r="AJ789" s="41">
        <f t="shared" si="363"/>
        <v>3.6777583187390543E-2</v>
      </c>
      <c r="AK789" s="21">
        <v>37</v>
      </c>
      <c r="AL789" s="41">
        <f t="shared" si="345"/>
        <v>5.0135501355013552E-2</v>
      </c>
      <c r="AM789" s="21">
        <v>31</v>
      </c>
      <c r="AN789" s="41">
        <f t="shared" si="364"/>
        <v>5.4290718038528897E-2</v>
      </c>
      <c r="AO789" s="21">
        <v>453</v>
      </c>
      <c r="AP789" s="41">
        <f t="shared" si="346"/>
        <v>0.61382113821138207</v>
      </c>
      <c r="AQ789" s="21">
        <v>351</v>
      </c>
      <c r="AR789" s="41">
        <f t="shared" si="365"/>
        <v>0.61471103327495624</v>
      </c>
      <c r="AS789" s="21">
        <v>106</v>
      </c>
      <c r="AT789" s="41">
        <f t="shared" si="347"/>
        <v>0.14363143631436315</v>
      </c>
      <c r="AU789" s="21">
        <v>79</v>
      </c>
      <c r="AV789" s="41">
        <f t="shared" si="366"/>
        <v>0.13835376532399299</v>
      </c>
      <c r="AW789" s="21">
        <v>56</v>
      </c>
      <c r="AX789" s="41">
        <f t="shared" si="348"/>
        <v>7.5880758807588072E-2</v>
      </c>
      <c r="AY789" s="21">
        <v>43</v>
      </c>
      <c r="AZ789" s="41">
        <f t="shared" si="367"/>
        <v>7.5306479859894915E-2</v>
      </c>
      <c r="BA789" s="21">
        <v>55</v>
      </c>
      <c r="BB789" s="41">
        <f t="shared" si="349"/>
        <v>7.4525745257452577E-2</v>
      </c>
      <c r="BC789" s="21">
        <v>46</v>
      </c>
      <c r="BD789" s="41">
        <f t="shared" si="368"/>
        <v>8.0560420315236428E-2</v>
      </c>
      <c r="BE789" s="21">
        <v>738</v>
      </c>
      <c r="BF789" s="21">
        <v>571</v>
      </c>
    </row>
    <row r="790" spans="1:58" ht="15.75" customHeight="1" x14ac:dyDescent="0.25">
      <c r="A790" s="44">
        <v>2019</v>
      </c>
      <c r="B790" s="39">
        <v>171630</v>
      </c>
      <c r="C790" s="38" t="s">
        <v>149</v>
      </c>
      <c r="D790" s="38" t="s">
        <v>98</v>
      </c>
      <c r="E790" s="21">
        <v>1</v>
      </c>
      <c r="F790" s="42">
        <f t="shared" si="350"/>
        <v>4.0000000000000001E-3</v>
      </c>
      <c r="G790" s="21">
        <v>1</v>
      </c>
      <c r="H790" s="42">
        <f t="shared" si="351"/>
        <v>4.6511627906976744E-3</v>
      </c>
      <c r="I790" s="21">
        <v>2</v>
      </c>
      <c r="J790" s="41">
        <f t="shared" si="352"/>
        <v>8.0000000000000002E-3</v>
      </c>
      <c r="K790" s="21">
        <v>3</v>
      </c>
      <c r="L790" s="41">
        <f t="shared" si="353"/>
        <v>1.3953488372093023E-2</v>
      </c>
      <c r="M790" s="21">
        <v>235</v>
      </c>
      <c r="N790" s="41">
        <f t="shared" si="354"/>
        <v>0.94</v>
      </c>
      <c r="O790" s="21">
        <v>203</v>
      </c>
      <c r="P790" s="41">
        <f t="shared" si="355"/>
        <v>0.94418604651162785</v>
      </c>
      <c r="Q790" s="21">
        <v>12</v>
      </c>
      <c r="R790" s="41">
        <f t="shared" si="356"/>
        <v>4.8000000000000001E-2</v>
      </c>
      <c r="S790" s="21">
        <v>8</v>
      </c>
      <c r="T790" s="41">
        <f t="shared" si="357"/>
        <v>3.7209302325581395E-2</v>
      </c>
      <c r="U790" s="21">
        <v>13</v>
      </c>
      <c r="V790" s="41">
        <f t="shared" si="358"/>
        <v>5.1999999999999998E-2</v>
      </c>
      <c r="W790" s="21">
        <v>13</v>
      </c>
      <c r="X790" s="41">
        <f t="shared" si="359"/>
        <v>6.0465116279069767E-2</v>
      </c>
      <c r="Y790" s="21">
        <v>21</v>
      </c>
      <c r="Z790" s="41">
        <f t="shared" si="360"/>
        <v>8.4000000000000005E-2</v>
      </c>
      <c r="AA790" s="21">
        <v>21</v>
      </c>
      <c r="AB790" s="41">
        <f t="shared" si="361"/>
        <v>9.7674418604651161E-2</v>
      </c>
      <c r="AC790" s="21">
        <v>216</v>
      </c>
      <c r="AD790" s="41">
        <f t="shared" si="343"/>
        <v>0.86399999999999999</v>
      </c>
      <c r="AE790" s="21">
        <v>181</v>
      </c>
      <c r="AF790" s="41">
        <f t="shared" si="362"/>
        <v>0.8418604651162791</v>
      </c>
      <c r="AG790" s="21">
        <v>5</v>
      </c>
      <c r="AH790" s="41">
        <f t="shared" si="344"/>
        <v>0.02</v>
      </c>
      <c r="AI790" s="21">
        <v>5</v>
      </c>
      <c r="AJ790" s="41">
        <f t="shared" si="363"/>
        <v>2.3255813953488372E-2</v>
      </c>
      <c r="AK790" s="21">
        <v>16</v>
      </c>
      <c r="AL790" s="41">
        <f t="shared" si="345"/>
        <v>6.4000000000000001E-2</v>
      </c>
      <c r="AM790" s="21">
        <v>15</v>
      </c>
      <c r="AN790" s="41">
        <f t="shared" si="364"/>
        <v>6.9767441860465115E-2</v>
      </c>
      <c r="AO790" s="21">
        <v>139</v>
      </c>
      <c r="AP790" s="41">
        <f t="shared" si="346"/>
        <v>0.55600000000000005</v>
      </c>
      <c r="AQ790" s="21">
        <v>117</v>
      </c>
      <c r="AR790" s="41">
        <f t="shared" si="365"/>
        <v>0.54418604651162794</v>
      </c>
      <c r="AS790" s="21">
        <v>55</v>
      </c>
      <c r="AT790" s="41">
        <f t="shared" si="347"/>
        <v>0.22</v>
      </c>
      <c r="AU790" s="21">
        <v>46</v>
      </c>
      <c r="AV790" s="41">
        <f t="shared" si="366"/>
        <v>0.21395348837209302</v>
      </c>
      <c r="AW790" s="21">
        <v>18</v>
      </c>
      <c r="AX790" s="41">
        <f t="shared" si="348"/>
        <v>7.1999999999999995E-2</v>
      </c>
      <c r="AY790" s="21">
        <v>16</v>
      </c>
      <c r="AZ790" s="41">
        <f t="shared" si="367"/>
        <v>7.441860465116279E-2</v>
      </c>
      <c r="BA790" s="21">
        <v>17</v>
      </c>
      <c r="BB790" s="41">
        <f t="shared" si="349"/>
        <v>6.8000000000000005E-2</v>
      </c>
      <c r="BC790" s="21">
        <v>16</v>
      </c>
      <c r="BD790" s="41">
        <f t="shared" si="368"/>
        <v>7.441860465116279E-2</v>
      </c>
      <c r="BE790" s="21">
        <v>250</v>
      </c>
      <c r="BF790" s="21">
        <v>215</v>
      </c>
    </row>
    <row r="791" spans="1:58" ht="15.75" customHeight="1" x14ac:dyDescent="0.25">
      <c r="A791" s="44">
        <v>2019</v>
      </c>
      <c r="B791" s="39">
        <v>171650</v>
      </c>
      <c r="C791" s="38" t="s">
        <v>150</v>
      </c>
      <c r="D791" s="38" t="s">
        <v>99</v>
      </c>
      <c r="E791" s="21">
        <v>1</v>
      </c>
      <c r="F791" s="42">
        <f t="shared" si="350"/>
        <v>2.4570024570024569E-3</v>
      </c>
      <c r="G791" s="21">
        <v>1</v>
      </c>
      <c r="H791" s="42">
        <f t="shared" si="351"/>
        <v>3.2894736842105261E-3</v>
      </c>
      <c r="I791" s="21">
        <v>12</v>
      </c>
      <c r="J791" s="41">
        <f t="shared" si="352"/>
        <v>2.9484029484029485E-2</v>
      </c>
      <c r="K791" s="21">
        <v>11</v>
      </c>
      <c r="L791" s="41">
        <f t="shared" si="353"/>
        <v>3.6184210526315791E-2</v>
      </c>
      <c r="M791" s="21">
        <v>366</v>
      </c>
      <c r="N791" s="41">
        <f t="shared" si="354"/>
        <v>0.89926289926289926</v>
      </c>
      <c r="O791" s="21">
        <v>269</v>
      </c>
      <c r="P791" s="41">
        <f t="shared" si="355"/>
        <v>0.88486842105263153</v>
      </c>
      <c r="Q791" s="21">
        <v>28</v>
      </c>
      <c r="R791" s="41">
        <f t="shared" si="356"/>
        <v>6.8796068796068796E-2</v>
      </c>
      <c r="S791" s="21">
        <v>23</v>
      </c>
      <c r="T791" s="41">
        <f t="shared" si="357"/>
        <v>7.5657894736842105E-2</v>
      </c>
      <c r="U791" s="21">
        <v>26</v>
      </c>
      <c r="V791" s="41">
        <f t="shared" si="358"/>
        <v>6.3882063882063883E-2</v>
      </c>
      <c r="W791" s="21">
        <v>21</v>
      </c>
      <c r="X791" s="41">
        <f t="shared" si="359"/>
        <v>6.9078947368421059E-2</v>
      </c>
      <c r="Y791" s="21">
        <v>33</v>
      </c>
      <c r="Z791" s="41">
        <f t="shared" si="360"/>
        <v>8.1081081081081086E-2</v>
      </c>
      <c r="AA791" s="21">
        <v>23</v>
      </c>
      <c r="AB791" s="41">
        <f t="shared" si="361"/>
        <v>7.5657894736842105E-2</v>
      </c>
      <c r="AC791" s="21">
        <v>349</v>
      </c>
      <c r="AD791" s="41">
        <f t="shared" si="343"/>
        <v>0.85749385749385754</v>
      </c>
      <c r="AE791" s="21">
        <v>261</v>
      </c>
      <c r="AF791" s="41">
        <f t="shared" si="362"/>
        <v>0.85855263157894735</v>
      </c>
      <c r="AG791" s="21">
        <v>7</v>
      </c>
      <c r="AH791" s="41">
        <f t="shared" si="344"/>
        <v>1.7199017199017199E-2</v>
      </c>
      <c r="AI791" s="21">
        <v>5</v>
      </c>
      <c r="AJ791" s="41">
        <f t="shared" si="363"/>
        <v>1.6447368421052631E-2</v>
      </c>
      <c r="AK791" s="21">
        <v>14</v>
      </c>
      <c r="AL791" s="41">
        <f t="shared" si="345"/>
        <v>3.4398034398034398E-2</v>
      </c>
      <c r="AM791" s="21">
        <v>11</v>
      </c>
      <c r="AN791" s="41">
        <f t="shared" si="364"/>
        <v>3.6184210526315791E-2</v>
      </c>
      <c r="AO791" s="21">
        <v>264</v>
      </c>
      <c r="AP791" s="41">
        <f t="shared" si="346"/>
        <v>0.64864864864864868</v>
      </c>
      <c r="AQ791" s="21">
        <v>208</v>
      </c>
      <c r="AR791" s="41">
        <f t="shared" si="365"/>
        <v>0.68421052631578949</v>
      </c>
      <c r="AS791" s="21">
        <v>61</v>
      </c>
      <c r="AT791" s="41">
        <f t="shared" si="347"/>
        <v>0.14987714987714987</v>
      </c>
      <c r="AU791" s="21">
        <v>41</v>
      </c>
      <c r="AV791" s="41">
        <f t="shared" si="366"/>
        <v>0.13486842105263158</v>
      </c>
      <c r="AW791" s="21">
        <v>32</v>
      </c>
      <c r="AX791" s="41">
        <f t="shared" si="348"/>
        <v>7.8624078624078622E-2</v>
      </c>
      <c r="AY791" s="21">
        <v>15</v>
      </c>
      <c r="AZ791" s="41">
        <f t="shared" si="367"/>
        <v>4.9342105263157895E-2</v>
      </c>
      <c r="BA791" s="21">
        <v>30</v>
      </c>
      <c r="BB791" s="41">
        <f t="shared" si="349"/>
        <v>7.3710073710073709E-2</v>
      </c>
      <c r="BC791" s="21">
        <v>25</v>
      </c>
      <c r="BD791" s="41">
        <f t="shared" si="368"/>
        <v>8.2236842105263164E-2</v>
      </c>
      <c r="BE791" s="21">
        <v>407</v>
      </c>
      <c r="BF791" s="21">
        <v>304</v>
      </c>
    </row>
    <row r="792" spans="1:58" ht="15.75" customHeight="1" x14ac:dyDescent="0.25">
      <c r="A792" s="44">
        <v>2019</v>
      </c>
      <c r="B792" s="39">
        <v>171660</v>
      </c>
      <c r="C792" s="38" t="s">
        <v>146</v>
      </c>
      <c r="D792" s="38" t="s">
        <v>100</v>
      </c>
      <c r="E792" s="21">
        <v>3</v>
      </c>
      <c r="F792" s="42">
        <f t="shared" si="350"/>
        <v>8.5227272727272721E-3</v>
      </c>
      <c r="G792" s="21">
        <v>3</v>
      </c>
      <c r="H792" s="42">
        <f t="shared" si="351"/>
        <v>1.2096774193548387E-2</v>
      </c>
      <c r="I792" s="21">
        <v>16</v>
      </c>
      <c r="J792" s="41">
        <f t="shared" si="352"/>
        <v>4.5454545454545456E-2</v>
      </c>
      <c r="K792" s="21">
        <v>9</v>
      </c>
      <c r="L792" s="41">
        <f t="shared" si="353"/>
        <v>3.6290322580645164E-2</v>
      </c>
      <c r="M792" s="21">
        <v>310</v>
      </c>
      <c r="N792" s="41">
        <f t="shared" si="354"/>
        <v>0.88068181818181823</v>
      </c>
      <c r="O792" s="21">
        <v>222</v>
      </c>
      <c r="P792" s="41">
        <f t="shared" si="355"/>
        <v>0.89516129032258063</v>
      </c>
      <c r="Q792" s="21">
        <v>23</v>
      </c>
      <c r="R792" s="41">
        <f t="shared" si="356"/>
        <v>6.5340909090909088E-2</v>
      </c>
      <c r="S792" s="21">
        <v>14</v>
      </c>
      <c r="T792" s="41">
        <f t="shared" si="357"/>
        <v>5.6451612903225805E-2</v>
      </c>
      <c r="U792" s="21">
        <v>16</v>
      </c>
      <c r="V792" s="41">
        <f t="shared" si="358"/>
        <v>4.5454545454545456E-2</v>
      </c>
      <c r="W792" s="21">
        <v>11</v>
      </c>
      <c r="X792" s="41">
        <f t="shared" si="359"/>
        <v>4.4354838709677422E-2</v>
      </c>
      <c r="Y792" s="21">
        <v>39</v>
      </c>
      <c r="Z792" s="41">
        <f t="shared" si="360"/>
        <v>0.11079545454545454</v>
      </c>
      <c r="AA792" s="21">
        <v>28</v>
      </c>
      <c r="AB792" s="41">
        <f t="shared" si="361"/>
        <v>0.11290322580645161</v>
      </c>
      <c r="AC792" s="21">
        <v>297</v>
      </c>
      <c r="AD792" s="41">
        <f t="shared" si="343"/>
        <v>0.84375</v>
      </c>
      <c r="AE792" s="21">
        <v>209</v>
      </c>
      <c r="AF792" s="41">
        <f t="shared" si="362"/>
        <v>0.842741935483871</v>
      </c>
      <c r="AG792" s="21">
        <v>4</v>
      </c>
      <c r="AH792" s="41">
        <f t="shared" si="344"/>
        <v>1.1363636363636364E-2</v>
      </c>
      <c r="AI792" s="21">
        <v>4</v>
      </c>
      <c r="AJ792" s="41">
        <f t="shared" si="363"/>
        <v>1.6129032258064516E-2</v>
      </c>
      <c r="AK792" s="21">
        <v>13</v>
      </c>
      <c r="AL792" s="41">
        <f t="shared" si="345"/>
        <v>3.6931818181818184E-2</v>
      </c>
      <c r="AM792" s="21">
        <v>8</v>
      </c>
      <c r="AN792" s="41">
        <f t="shared" si="364"/>
        <v>3.2258064516129031E-2</v>
      </c>
      <c r="AO792" s="21">
        <v>214</v>
      </c>
      <c r="AP792" s="41">
        <f t="shared" si="346"/>
        <v>0.60795454545454541</v>
      </c>
      <c r="AQ792" s="21">
        <v>162</v>
      </c>
      <c r="AR792" s="41">
        <f t="shared" si="365"/>
        <v>0.65322580645161288</v>
      </c>
      <c r="AS792" s="21">
        <v>68</v>
      </c>
      <c r="AT792" s="41">
        <f t="shared" si="347"/>
        <v>0.19318181818181818</v>
      </c>
      <c r="AU792" s="21">
        <v>44</v>
      </c>
      <c r="AV792" s="41">
        <f t="shared" si="366"/>
        <v>0.17741935483870969</v>
      </c>
      <c r="AW792" s="21">
        <v>34</v>
      </c>
      <c r="AX792" s="41">
        <f t="shared" si="348"/>
        <v>9.6590909090909088E-2</v>
      </c>
      <c r="AY792" s="21">
        <v>21</v>
      </c>
      <c r="AZ792" s="41">
        <f t="shared" si="367"/>
        <v>8.4677419354838704E-2</v>
      </c>
      <c r="BA792" s="21">
        <v>19</v>
      </c>
      <c r="BB792" s="41">
        <f t="shared" si="349"/>
        <v>5.3977272727272728E-2</v>
      </c>
      <c r="BC792" s="21">
        <v>9</v>
      </c>
      <c r="BD792" s="41">
        <f t="shared" si="368"/>
        <v>3.6290322580645164E-2</v>
      </c>
      <c r="BE792" s="21">
        <v>352</v>
      </c>
      <c r="BF792" s="21">
        <v>248</v>
      </c>
    </row>
    <row r="793" spans="1:58" ht="15.75" customHeight="1" x14ac:dyDescent="0.25">
      <c r="A793" s="44">
        <v>2019</v>
      </c>
      <c r="B793" s="39">
        <v>171665</v>
      </c>
      <c r="C793" s="38" t="s">
        <v>150</v>
      </c>
      <c r="D793" s="38" t="s">
        <v>101</v>
      </c>
      <c r="E793" s="21">
        <v>1</v>
      </c>
      <c r="F793" s="42">
        <f t="shared" si="350"/>
        <v>5.7803468208092483E-3</v>
      </c>
      <c r="G793" s="21">
        <v>0</v>
      </c>
      <c r="H793" s="42">
        <f t="shared" si="351"/>
        <v>0</v>
      </c>
      <c r="I793" s="21">
        <v>10</v>
      </c>
      <c r="J793" s="41">
        <f t="shared" si="352"/>
        <v>5.7803468208092484E-2</v>
      </c>
      <c r="K793" s="21">
        <v>9</v>
      </c>
      <c r="L793" s="41">
        <f t="shared" si="353"/>
        <v>5.4878048780487805E-2</v>
      </c>
      <c r="M793" s="21">
        <v>155</v>
      </c>
      <c r="N793" s="41">
        <f t="shared" si="354"/>
        <v>0.89595375722543358</v>
      </c>
      <c r="O793" s="21">
        <v>148</v>
      </c>
      <c r="P793" s="41">
        <f t="shared" si="355"/>
        <v>0.90243902439024393</v>
      </c>
      <c r="Q793" s="21">
        <v>7</v>
      </c>
      <c r="R793" s="41">
        <f t="shared" si="356"/>
        <v>4.046242774566474E-2</v>
      </c>
      <c r="S793" s="21">
        <v>7</v>
      </c>
      <c r="T793" s="41">
        <f t="shared" si="357"/>
        <v>4.2682926829268296E-2</v>
      </c>
      <c r="U793" s="21">
        <v>24</v>
      </c>
      <c r="V793" s="41">
        <f t="shared" si="358"/>
        <v>0.13872832369942195</v>
      </c>
      <c r="W793" s="21">
        <v>23</v>
      </c>
      <c r="X793" s="41">
        <f t="shared" si="359"/>
        <v>0.1402439024390244</v>
      </c>
      <c r="Y793" s="21">
        <v>29</v>
      </c>
      <c r="Z793" s="41">
        <f t="shared" si="360"/>
        <v>0.16763005780346821</v>
      </c>
      <c r="AA793" s="21">
        <v>28</v>
      </c>
      <c r="AB793" s="41">
        <f t="shared" si="361"/>
        <v>0.17073170731707318</v>
      </c>
      <c r="AC793" s="21">
        <v>120</v>
      </c>
      <c r="AD793" s="41">
        <f t="shared" si="343"/>
        <v>0.69364161849710981</v>
      </c>
      <c r="AE793" s="21">
        <v>113</v>
      </c>
      <c r="AF793" s="41">
        <f t="shared" si="362"/>
        <v>0.68902439024390238</v>
      </c>
      <c r="AG793" s="21">
        <v>7</v>
      </c>
      <c r="AH793" s="41">
        <f t="shared" si="344"/>
        <v>4.046242774566474E-2</v>
      </c>
      <c r="AI793" s="21">
        <v>7</v>
      </c>
      <c r="AJ793" s="41">
        <f t="shared" si="363"/>
        <v>4.2682926829268296E-2</v>
      </c>
      <c r="AK793" s="21">
        <v>2</v>
      </c>
      <c r="AL793" s="41">
        <f t="shared" si="345"/>
        <v>1.1560693641618497E-2</v>
      </c>
      <c r="AM793" s="21">
        <v>1</v>
      </c>
      <c r="AN793" s="41">
        <f t="shared" si="364"/>
        <v>6.0975609756097563E-3</v>
      </c>
      <c r="AO793" s="21">
        <v>100</v>
      </c>
      <c r="AP793" s="41">
        <f t="shared" si="346"/>
        <v>0.5780346820809249</v>
      </c>
      <c r="AQ793" s="21">
        <v>94</v>
      </c>
      <c r="AR793" s="41">
        <f t="shared" si="365"/>
        <v>0.57317073170731703</v>
      </c>
      <c r="AS793" s="21">
        <v>30</v>
      </c>
      <c r="AT793" s="41">
        <f t="shared" si="347"/>
        <v>0.17341040462427745</v>
      </c>
      <c r="AU793" s="21">
        <v>28</v>
      </c>
      <c r="AV793" s="41">
        <f t="shared" si="366"/>
        <v>0.17073170731707318</v>
      </c>
      <c r="AW793" s="21">
        <v>20</v>
      </c>
      <c r="AX793" s="41">
        <f t="shared" si="348"/>
        <v>0.11560693641618497</v>
      </c>
      <c r="AY793" s="21">
        <v>21</v>
      </c>
      <c r="AZ793" s="41">
        <f t="shared" si="367"/>
        <v>0.12804878048780488</v>
      </c>
      <c r="BA793" s="21">
        <v>14</v>
      </c>
      <c r="BB793" s="41">
        <f t="shared" si="349"/>
        <v>8.0924855491329481E-2</v>
      </c>
      <c r="BC793" s="21">
        <v>13</v>
      </c>
      <c r="BD793" s="41">
        <f t="shared" si="368"/>
        <v>7.926829268292683E-2</v>
      </c>
      <c r="BE793" s="21">
        <v>173</v>
      </c>
      <c r="BF793" s="21">
        <v>164</v>
      </c>
    </row>
    <row r="794" spans="1:58" ht="15.75" customHeight="1" x14ac:dyDescent="0.25">
      <c r="A794" s="44">
        <v>2019</v>
      </c>
      <c r="B794" s="39">
        <v>171700</v>
      </c>
      <c r="C794" s="38" t="s">
        <v>151</v>
      </c>
      <c r="D794" s="38" t="s">
        <v>102</v>
      </c>
      <c r="E794" s="21">
        <v>0</v>
      </c>
      <c r="F794" s="42">
        <f t="shared" si="350"/>
        <v>0</v>
      </c>
      <c r="G794" s="21">
        <v>0</v>
      </c>
      <c r="H794" s="42">
        <f t="shared" si="351"/>
        <v>0</v>
      </c>
      <c r="I794" s="21">
        <v>1</v>
      </c>
      <c r="J794" s="41">
        <f t="shared" si="352"/>
        <v>4.7169811320754715E-3</v>
      </c>
      <c r="K794" s="21">
        <v>1</v>
      </c>
      <c r="L794" s="41">
        <f t="shared" si="353"/>
        <v>5.8823529411764705E-3</v>
      </c>
      <c r="M794" s="21">
        <v>201</v>
      </c>
      <c r="N794" s="41">
        <f t="shared" si="354"/>
        <v>0.94811320754716977</v>
      </c>
      <c r="O794" s="21">
        <v>161</v>
      </c>
      <c r="P794" s="41">
        <f t="shared" si="355"/>
        <v>0.94705882352941173</v>
      </c>
      <c r="Q794" s="21">
        <v>10</v>
      </c>
      <c r="R794" s="41">
        <f t="shared" si="356"/>
        <v>4.716981132075472E-2</v>
      </c>
      <c r="S794" s="21">
        <v>8</v>
      </c>
      <c r="T794" s="41">
        <f t="shared" si="357"/>
        <v>4.7058823529411764E-2</v>
      </c>
      <c r="U794" s="21">
        <v>15</v>
      </c>
      <c r="V794" s="41">
        <f t="shared" si="358"/>
        <v>7.0754716981132074E-2</v>
      </c>
      <c r="W794" s="21">
        <v>10</v>
      </c>
      <c r="X794" s="41">
        <f t="shared" si="359"/>
        <v>5.8823529411764705E-2</v>
      </c>
      <c r="Y794" s="21">
        <v>28</v>
      </c>
      <c r="Z794" s="41">
        <f t="shared" si="360"/>
        <v>0.13207547169811321</v>
      </c>
      <c r="AA794" s="21">
        <v>23</v>
      </c>
      <c r="AB794" s="41">
        <f t="shared" si="361"/>
        <v>0.13529411764705881</v>
      </c>
      <c r="AC794" s="21">
        <v>169</v>
      </c>
      <c r="AD794" s="41">
        <f t="shared" si="343"/>
        <v>0.79716981132075471</v>
      </c>
      <c r="AE794" s="21">
        <v>137</v>
      </c>
      <c r="AF794" s="41">
        <f t="shared" si="362"/>
        <v>0.80588235294117649</v>
      </c>
      <c r="AG794" s="21">
        <v>3</v>
      </c>
      <c r="AH794" s="41">
        <f t="shared" si="344"/>
        <v>1.4150943396226415E-2</v>
      </c>
      <c r="AI794" s="21">
        <v>3</v>
      </c>
      <c r="AJ794" s="41">
        <f t="shared" si="363"/>
        <v>1.7647058823529412E-2</v>
      </c>
      <c r="AK794" s="21">
        <v>5</v>
      </c>
      <c r="AL794" s="41">
        <f t="shared" si="345"/>
        <v>2.358490566037736E-2</v>
      </c>
      <c r="AM794" s="21">
        <v>4</v>
      </c>
      <c r="AN794" s="41">
        <f t="shared" si="364"/>
        <v>2.3529411764705882E-2</v>
      </c>
      <c r="AO794" s="21">
        <v>149</v>
      </c>
      <c r="AP794" s="41">
        <f t="shared" si="346"/>
        <v>0.70283018867924529</v>
      </c>
      <c r="AQ794" s="21">
        <v>124</v>
      </c>
      <c r="AR794" s="41">
        <f t="shared" si="365"/>
        <v>0.72941176470588232</v>
      </c>
      <c r="AS794" s="21">
        <v>31</v>
      </c>
      <c r="AT794" s="41">
        <f t="shared" si="347"/>
        <v>0.14622641509433962</v>
      </c>
      <c r="AU794" s="21">
        <v>23</v>
      </c>
      <c r="AV794" s="41">
        <f t="shared" si="366"/>
        <v>0.13529411764705881</v>
      </c>
      <c r="AW794" s="21">
        <v>10</v>
      </c>
      <c r="AX794" s="41">
        <f t="shared" si="348"/>
        <v>4.716981132075472E-2</v>
      </c>
      <c r="AY794" s="21">
        <v>8</v>
      </c>
      <c r="AZ794" s="41">
        <f t="shared" si="367"/>
        <v>4.7058823529411764E-2</v>
      </c>
      <c r="BA794" s="21">
        <v>14</v>
      </c>
      <c r="BB794" s="41">
        <f t="shared" si="349"/>
        <v>6.6037735849056603E-2</v>
      </c>
      <c r="BC794" s="21">
        <v>8</v>
      </c>
      <c r="BD794" s="41">
        <f t="shared" si="368"/>
        <v>4.7058823529411764E-2</v>
      </c>
      <c r="BE794" s="21">
        <v>212</v>
      </c>
      <c r="BF794" s="21">
        <v>170</v>
      </c>
    </row>
    <row r="795" spans="1:58" ht="15.75" customHeight="1" x14ac:dyDescent="0.25">
      <c r="A795" s="44">
        <v>2019</v>
      </c>
      <c r="B795" s="39">
        <v>171720</v>
      </c>
      <c r="C795" s="38" t="s">
        <v>149</v>
      </c>
      <c r="D795" s="38" t="s">
        <v>103</v>
      </c>
      <c r="E795" s="21">
        <v>0</v>
      </c>
      <c r="F795" s="42">
        <f t="shared" si="350"/>
        <v>0</v>
      </c>
      <c r="G795" s="21">
        <v>0</v>
      </c>
      <c r="H795" s="42">
        <f t="shared" si="351"/>
        <v>0</v>
      </c>
      <c r="I795" s="21">
        <v>3</v>
      </c>
      <c r="J795" s="41">
        <f t="shared" si="352"/>
        <v>5.6603773584905662E-2</v>
      </c>
      <c r="K795" s="21">
        <v>2</v>
      </c>
      <c r="L795" s="41">
        <f t="shared" si="353"/>
        <v>8.6956521739130432E-2</v>
      </c>
      <c r="M795" s="21">
        <v>48</v>
      </c>
      <c r="N795" s="41">
        <f t="shared" si="354"/>
        <v>0.90566037735849059</v>
      </c>
      <c r="O795" s="21">
        <v>20</v>
      </c>
      <c r="P795" s="41">
        <f t="shared" si="355"/>
        <v>0.86956521739130432</v>
      </c>
      <c r="Q795" s="21">
        <v>2</v>
      </c>
      <c r="R795" s="41">
        <f t="shared" si="356"/>
        <v>3.7735849056603772E-2</v>
      </c>
      <c r="S795" s="21">
        <v>1</v>
      </c>
      <c r="T795" s="41">
        <f t="shared" si="357"/>
        <v>4.3478260869565216E-2</v>
      </c>
      <c r="U795" s="21">
        <v>3</v>
      </c>
      <c r="V795" s="41">
        <f t="shared" si="358"/>
        <v>5.6603773584905662E-2</v>
      </c>
      <c r="W795" s="21">
        <v>1</v>
      </c>
      <c r="X795" s="41">
        <f t="shared" si="359"/>
        <v>4.3478260869565216E-2</v>
      </c>
      <c r="Y795" s="21">
        <v>4</v>
      </c>
      <c r="Z795" s="41">
        <f t="shared" si="360"/>
        <v>7.5471698113207544E-2</v>
      </c>
      <c r="AA795" s="21">
        <v>2</v>
      </c>
      <c r="AB795" s="41">
        <f t="shared" si="361"/>
        <v>8.6956521739130432E-2</v>
      </c>
      <c r="AC795" s="21">
        <v>46</v>
      </c>
      <c r="AD795" s="41">
        <f t="shared" si="343"/>
        <v>0.86792452830188682</v>
      </c>
      <c r="AE795" s="21">
        <v>20</v>
      </c>
      <c r="AF795" s="41">
        <f t="shared" si="362"/>
        <v>0.86956521739130432</v>
      </c>
      <c r="AG795" s="21">
        <v>3</v>
      </c>
      <c r="AH795" s="41">
        <f t="shared" si="344"/>
        <v>5.6603773584905662E-2</v>
      </c>
      <c r="AI795" s="21">
        <v>2</v>
      </c>
      <c r="AJ795" s="41">
        <f t="shared" si="363"/>
        <v>8.6956521739130432E-2</v>
      </c>
      <c r="AK795" s="21">
        <v>4</v>
      </c>
      <c r="AL795" s="41">
        <f t="shared" si="345"/>
        <v>7.5471698113207544E-2</v>
      </c>
      <c r="AM795" s="21">
        <v>1</v>
      </c>
      <c r="AN795" s="41">
        <f t="shared" si="364"/>
        <v>4.3478260869565216E-2</v>
      </c>
      <c r="AO795" s="21">
        <v>32</v>
      </c>
      <c r="AP795" s="41">
        <f t="shared" si="346"/>
        <v>0.60377358490566035</v>
      </c>
      <c r="AQ795" s="21">
        <v>15</v>
      </c>
      <c r="AR795" s="41">
        <f t="shared" si="365"/>
        <v>0.65217391304347827</v>
      </c>
      <c r="AS795" s="21">
        <v>8</v>
      </c>
      <c r="AT795" s="41">
        <f t="shared" si="347"/>
        <v>0.15094339622641509</v>
      </c>
      <c r="AU795" s="21">
        <v>3</v>
      </c>
      <c r="AV795" s="41">
        <f t="shared" si="366"/>
        <v>0.13043478260869565</v>
      </c>
      <c r="AW795" s="21">
        <v>3</v>
      </c>
      <c r="AX795" s="41">
        <f t="shared" si="348"/>
        <v>5.6603773584905662E-2</v>
      </c>
      <c r="AY795" s="21">
        <v>1</v>
      </c>
      <c r="AZ795" s="41">
        <f t="shared" si="367"/>
        <v>4.3478260869565216E-2</v>
      </c>
      <c r="BA795" s="21">
        <v>3</v>
      </c>
      <c r="BB795" s="41">
        <f t="shared" si="349"/>
        <v>5.6603773584905662E-2</v>
      </c>
      <c r="BC795" s="21">
        <v>1</v>
      </c>
      <c r="BD795" s="41">
        <f t="shared" si="368"/>
        <v>4.3478260869565216E-2</v>
      </c>
      <c r="BE795" s="21">
        <v>53</v>
      </c>
      <c r="BF795" s="21">
        <v>23</v>
      </c>
    </row>
    <row r="796" spans="1:58" ht="15.75" customHeight="1" x14ac:dyDescent="0.25">
      <c r="A796" s="44">
        <v>2019</v>
      </c>
      <c r="B796" s="39">
        <v>171750</v>
      </c>
      <c r="C796" s="38" t="s">
        <v>144</v>
      </c>
      <c r="D796" s="38" t="s">
        <v>104</v>
      </c>
      <c r="E796" s="21">
        <v>1</v>
      </c>
      <c r="F796" s="42">
        <f t="shared" si="350"/>
        <v>5.7142857142857143E-3</v>
      </c>
      <c r="G796" s="21">
        <v>1</v>
      </c>
      <c r="H796" s="42">
        <f t="shared" si="351"/>
        <v>1.1363636363636364E-2</v>
      </c>
      <c r="I796" s="21">
        <v>4</v>
      </c>
      <c r="J796" s="41">
        <f t="shared" si="352"/>
        <v>2.2857142857142857E-2</v>
      </c>
      <c r="K796" s="21">
        <v>1</v>
      </c>
      <c r="L796" s="41">
        <f t="shared" si="353"/>
        <v>1.1363636363636364E-2</v>
      </c>
      <c r="M796" s="21">
        <v>158</v>
      </c>
      <c r="N796" s="41">
        <f t="shared" si="354"/>
        <v>0.9028571428571428</v>
      </c>
      <c r="O796" s="21">
        <v>79</v>
      </c>
      <c r="P796" s="41">
        <f t="shared" si="355"/>
        <v>0.89772727272727271</v>
      </c>
      <c r="Q796" s="21">
        <v>12</v>
      </c>
      <c r="R796" s="41">
        <f t="shared" si="356"/>
        <v>6.8571428571428575E-2</v>
      </c>
      <c r="S796" s="21">
        <v>7</v>
      </c>
      <c r="T796" s="41">
        <f t="shared" si="357"/>
        <v>7.9545454545454544E-2</v>
      </c>
      <c r="U796" s="21">
        <v>5</v>
      </c>
      <c r="V796" s="41">
        <f t="shared" si="358"/>
        <v>2.8571428571428571E-2</v>
      </c>
      <c r="W796" s="21">
        <v>4</v>
      </c>
      <c r="X796" s="41">
        <f t="shared" si="359"/>
        <v>4.5454545454545456E-2</v>
      </c>
      <c r="Y796" s="21">
        <v>12</v>
      </c>
      <c r="Z796" s="41">
        <f t="shared" si="360"/>
        <v>6.8571428571428575E-2</v>
      </c>
      <c r="AA796" s="21">
        <v>7</v>
      </c>
      <c r="AB796" s="41">
        <f t="shared" si="361"/>
        <v>7.9545454545454544E-2</v>
      </c>
      <c r="AC796" s="21">
        <v>158</v>
      </c>
      <c r="AD796" s="41">
        <f t="shared" si="343"/>
        <v>0.9028571428571428</v>
      </c>
      <c r="AE796" s="21">
        <v>77</v>
      </c>
      <c r="AF796" s="41">
        <f t="shared" si="362"/>
        <v>0.875</v>
      </c>
      <c r="AG796" s="21">
        <v>5</v>
      </c>
      <c r="AH796" s="41">
        <f t="shared" si="344"/>
        <v>2.8571428571428571E-2</v>
      </c>
      <c r="AI796" s="21">
        <v>4</v>
      </c>
      <c r="AJ796" s="41">
        <f t="shared" si="363"/>
        <v>4.5454545454545456E-2</v>
      </c>
      <c r="AK796" s="21">
        <v>3</v>
      </c>
      <c r="AL796" s="41">
        <f t="shared" si="345"/>
        <v>1.7142857142857144E-2</v>
      </c>
      <c r="AM796" s="21">
        <v>2</v>
      </c>
      <c r="AN796" s="41">
        <f t="shared" si="364"/>
        <v>2.2727272727272728E-2</v>
      </c>
      <c r="AO796" s="21">
        <v>106</v>
      </c>
      <c r="AP796" s="41">
        <f t="shared" si="346"/>
        <v>0.60571428571428576</v>
      </c>
      <c r="AQ796" s="21">
        <v>56</v>
      </c>
      <c r="AR796" s="41">
        <f t="shared" si="365"/>
        <v>0.63636363636363635</v>
      </c>
      <c r="AS796" s="21">
        <v>31</v>
      </c>
      <c r="AT796" s="41">
        <f t="shared" si="347"/>
        <v>0.17714285714285713</v>
      </c>
      <c r="AU796" s="21">
        <v>12</v>
      </c>
      <c r="AV796" s="41">
        <f t="shared" si="366"/>
        <v>0.13636363636363635</v>
      </c>
      <c r="AW796" s="21">
        <v>22</v>
      </c>
      <c r="AX796" s="41">
        <f t="shared" si="348"/>
        <v>0.12571428571428572</v>
      </c>
      <c r="AY796" s="21">
        <v>10</v>
      </c>
      <c r="AZ796" s="41">
        <f t="shared" si="367"/>
        <v>0.11363636363636363</v>
      </c>
      <c r="BA796" s="21">
        <v>8</v>
      </c>
      <c r="BB796" s="41">
        <f t="shared" si="349"/>
        <v>4.5714285714285714E-2</v>
      </c>
      <c r="BC796" s="21">
        <v>4</v>
      </c>
      <c r="BD796" s="41">
        <f t="shared" si="368"/>
        <v>4.5454545454545456E-2</v>
      </c>
      <c r="BE796" s="21">
        <v>175</v>
      </c>
      <c r="BF796" s="21">
        <v>88</v>
      </c>
    </row>
    <row r="797" spans="1:58" ht="15.75" customHeight="1" x14ac:dyDescent="0.25">
      <c r="A797" s="44">
        <v>2019</v>
      </c>
      <c r="B797" s="39">
        <v>171780</v>
      </c>
      <c r="C797" s="38" t="s">
        <v>147</v>
      </c>
      <c r="D797" s="38" t="s">
        <v>105</v>
      </c>
      <c r="E797" s="21">
        <v>0</v>
      </c>
      <c r="F797" s="42">
        <f t="shared" si="350"/>
        <v>0</v>
      </c>
      <c r="G797" s="21">
        <v>0</v>
      </c>
      <c r="H797" s="42">
        <f t="shared" si="351"/>
        <v>0</v>
      </c>
      <c r="I797" s="21">
        <v>4</v>
      </c>
      <c r="J797" s="41">
        <f t="shared" si="352"/>
        <v>1.7021276595744681E-2</v>
      </c>
      <c r="K797" s="21">
        <v>4</v>
      </c>
      <c r="L797" s="41">
        <f t="shared" si="353"/>
        <v>1.9047619047619049E-2</v>
      </c>
      <c r="M797" s="21">
        <v>221</v>
      </c>
      <c r="N797" s="41">
        <f t="shared" si="354"/>
        <v>0.94042553191489364</v>
      </c>
      <c r="O797" s="21">
        <v>201</v>
      </c>
      <c r="P797" s="41">
        <f t="shared" si="355"/>
        <v>0.95714285714285718</v>
      </c>
      <c r="Q797" s="21">
        <v>10</v>
      </c>
      <c r="R797" s="41">
        <f t="shared" si="356"/>
        <v>4.2553191489361701E-2</v>
      </c>
      <c r="S797" s="21">
        <v>5</v>
      </c>
      <c r="T797" s="41">
        <f t="shared" si="357"/>
        <v>2.3809523809523808E-2</v>
      </c>
      <c r="U797" s="21">
        <v>7</v>
      </c>
      <c r="V797" s="41">
        <f t="shared" si="358"/>
        <v>2.9787234042553193E-2</v>
      </c>
      <c r="W797" s="21">
        <v>7</v>
      </c>
      <c r="X797" s="41">
        <f t="shared" si="359"/>
        <v>3.3333333333333333E-2</v>
      </c>
      <c r="Y797" s="21">
        <v>9</v>
      </c>
      <c r="Z797" s="41">
        <f t="shared" si="360"/>
        <v>3.8297872340425532E-2</v>
      </c>
      <c r="AA797" s="21">
        <v>6</v>
      </c>
      <c r="AB797" s="41">
        <f t="shared" si="361"/>
        <v>2.8571428571428571E-2</v>
      </c>
      <c r="AC797" s="21">
        <v>219</v>
      </c>
      <c r="AD797" s="41">
        <f t="shared" si="343"/>
        <v>0.93191489361702129</v>
      </c>
      <c r="AE797" s="21">
        <v>197</v>
      </c>
      <c r="AF797" s="41">
        <f t="shared" si="362"/>
        <v>0.93809523809523809</v>
      </c>
      <c r="AG797" s="21">
        <v>6</v>
      </c>
      <c r="AH797" s="41">
        <f t="shared" si="344"/>
        <v>2.553191489361702E-2</v>
      </c>
      <c r="AI797" s="21">
        <v>5</v>
      </c>
      <c r="AJ797" s="41">
        <f t="shared" si="363"/>
        <v>2.3809523809523808E-2</v>
      </c>
      <c r="AK797" s="21">
        <v>13</v>
      </c>
      <c r="AL797" s="41">
        <f t="shared" si="345"/>
        <v>5.5319148936170209E-2</v>
      </c>
      <c r="AM797" s="21">
        <v>10</v>
      </c>
      <c r="AN797" s="41">
        <f t="shared" si="364"/>
        <v>4.7619047619047616E-2</v>
      </c>
      <c r="AO797" s="21">
        <v>182</v>
      </c>
      <c r="AP797" s="41">
        <f t="shared" si="346"/>
        <v>0.77446808510638299</v>
      </c>
      <c r="AQ797" s="21">
        <v>169</v>
      </c>
      <c r="AR797" s="41">
        <f t="shared" si="365"/>
        <v>0.80476190476190479</v>
      </c>
      <c r="AS797" s="21">
        <v>21</v>
      </c>
      <c r="AT797" s="41">
        <f t="shared" si="347"/>
        <v>8.9361702127659579E-2</v>
      </c>
      <c r="AU797" s="21">
        <v>16</v>
      </c>
      <c r="AV797" s="41">
        <f t="shared" si="366"/>
        <v>7.6190476190476197E-2</v>
      </c>
      <c r="AW797" s="21">
        <v>8</v>
      </c>
      <c r="AX797" s="41">
        <f t="shared" si="348"/>
        <v>3.4042553191489362E-2</v>
      </c>
      <c r="AY797" s="21">
        <v>6</v>
      </c>
      <c r="AZ797" s="41">
        <f t="shared" si="367"/>
        <v>2.8571428571428571E-2</v>
      </c>
      <c r="BA797" s="21">
        <v>5</v>
      </c>
      <c r="BB797" s="41">
        <f t="shared" si="349"/>
        <v>2.1276595744680851E-2</v>
      </c>
      <c r="BC797" s="21">
        <v>4</v>
      </c>
      <c r="BD797" s="41">
        <f t="shared" si="368"/>
        <v>1.9047619047619049E-2</v>
      </c>
      <c r="BE797" s="21">
        <v>235</v>
      </c>
      <c r="BF797" s="21">
        <v>210</v>
      </c>
    </row>
    <row r="798" spans="1:58" ht="15.75" customHeight="1" x14ac:dyDescent="0.25">
      <c r="A798" s="44">
        <v>2019</v>
      </c>
      <c r="B798" s="39">
        <v>171790</v>
      </c>
      <c r="C798" s="38" t="s">
        <v>151</v>
      </c>
      <c r="D798" s="38" t="s">
        <v>106</v>
      </c>
      <c r="E798" s="21">
        <v>3</v>
      </c>
      <c r="F798" s="42">
        <f t="shared" si="350"/>
        <v>1.1320754716981131E-2</v>
      </c>
      <c r="G798" s="21">
        <v>2</v>
      </c>
      <c r="H798" s="42">
        <f t="shared" si="351"/>
        <v>8.3333333333333332E-3</v>
      </c>
      <c r="I798" s="21">
        <v>9</v>
      </c>
      <c r="J798" s="41">
        <f t="shared" si="352"/>
        <v>3.3962264150943396E-2</v>
      </c>
      <c r="K798" s="21">
        <v>10</v>
      </c>
      <c r="L798" s="41">
        <f t="shared" si="353"/>
        <v>4.1666666666666664E-2</v>
      </c>
      <c r="M798" s="21">
        <v>242</v>
      </c>
      <c r="N798" s="41">
        <f t="shared" si="354"/>
        <v>0.91320754716981134</v>
      </c>
      <c r="O798" s="21">
        <v>219</v>
      </c>
      <c r="P798" s="41">
        <f t="shared" si="355"/>
        <v>0.91249999999999998</v>
      </c>
      <c r="Q798" s="21">
        <v>11</v>
      </c>
      <c r="R798" s="41">
        <f t="shared" si="356"/>
        <v>4.1509433962264149E-2</v>
      </c>
      <c r="S798" s="21">
        <v>9</v>
      </c>
      <c r="T798" s="41">
        <f t="shared" si="357"/>
        <v>3.7499999999999999E-2</v>
      </c>
      <c r="U798" s="21">
        <v>6</v>
      </c>
      <c r="V798" s="41">
        <f t="shared" si="358"/>
        <v>2.2641509433962263E-2</v>
      </c>
      <c r="W798" s="21">
        <v>6</v>
      </c>
      <c r="X798" s="41">
        <f t="shared" si="359"/>
        <v>2.5000000000000001E-2</v>
      </c>
      <c r="Y798" s="21">
        <v>10</v>
      </c>
      <c r="Z798" s="41">
        <f t="shared" si="360"/>
        <v>3.7735849056603772E-2</v>
      </c>
      <c r="AA798" s="21">
        <v>9</v>
      </c>
      <c r="AB798" s="41">
        <f t="shared" si="361"/>
        <v>3.7499999999999999E-2</v>
      </c>
      <c r="AC798" s="21">
        <v>249</v>
      </c>
      <c r="AD798" s="41">
        <f t="shared" si="343"/>
        <v>0.93962264150943398</v>
      </c>
      <c r="AE798" s="21">
        <v>225</v>
      </c>
      <c r="AF798" s="41">
        <f t="shared" si="362"/>
        <v>0.9375</v>
      </c>
      <c r="AG798" s="21">
        <v>9</v>
      </c>
      <c r="AH798" s="41">
        <f t="shared" si="344"/>
        <v>3.3962264150943396E-2</v>
      </c>
      <c r="AI798" s="21">
        <v>8</v>
      </c>
      <c r="AJ798" s="41">
        <f t="shared" si="363"/>
        <v>3.3333333333333333E-2</v>
      </c>
      <c r="AK798" s="21">
        <v>15</v>
      </c>
      <c r="AL798" s="41">
        <f t="shared" si="345"/>
        <v>5.6603773584905662E-2</v>
      </c>
      <c r="AM798" s="21">
        <v>12</v>
      </c>
      <c r="AN798" s="41">
        <f t="shared" si="364"/>
        <v>0.05</v>
      </c>
      <c r="AO798" s="21">
        <v>183</v>
      </c>
      <c r="AP798" s="41">
        <f t="shared" si="346"/>
        <v>0.69056603773584901</v>
      </c>
      <c r="AQ798" s="21">
        <v>163</v>
      </c>
      <c r="AR798" s="41">
        <f t="shared" si="365"/>
        <v>0.6791666666666667</v>
      </c>
      <c r="AS798" s="21">
        <v>39</v>
      </c>
      <c r="AT798" s="41">
        <f t="shared" si="347"/>
        <v>0.14716981132075471</v>
      </c>
      <c r="AU798" s="21">
        <v>40</v>
      </c>
      <c r="AV798" s="41">
        <f t="shared" si="366"/>
        <v>0.16666666666666666</v>
      </c>
      <c r="AW798" s="21">
        <v>11</v>
      </c>
      <c r="AX798" s="41">
        <f t="shared" si="348"/>
        <v>4.1509433962264149E-2</v>
      </c>
      <c r="AY798" s="21">
        <v>11</v>
      </c>
      <c r="AZ798" s="41">
        <f t="shared" si="367"/>
        <v>4.583333333333333E-2</v>
      </c>
      <c r="BA798" s="21">
        <v>8</v>
      </c>
      <c r="BB798" s="41">
        <f t="shared" si="349"/>
        <v>3.0188679245283019E-2</v>
      </c>
      <c r="BC798" s="21">
        <v>6</v>
      </c>
      <c r="BD798" s="41">
        <f t="shared" si="368"/>
        <v>2.5000000000000001E-2</v>
      </c>
      <c r="BE798" s="21">
        <v>265</v>
      </c>
      <c r="BF798" s="21">
        <v>240</v>
      </c>
    </row>
    <row r="799" spans="1:58" ht="15.75" customHeight="1" x14ac:dyDescent="0.25">
      <c r="A799" s="44">
        <v>2019</v>
      </c>
      <c r="B799" s="39">
        <v>171800</v>
      </c>
      <c r="C799" s="38" t="s">
        <v>147</v>
      </c>
      <c r="D799" s="38" t="s">
        <v>107</v>
      </c>
      <c r="E799" s="21">
        <v>5</v>
      </c>
      <c r="F799" s="42">
        <f t="shared" si="350"/>
        <v>2.3148148148148147E-2</v>
      </c>
      <c r="G799" s="21">
        <v>5</v>
      </c>
      <c r="H799" s="42">
        <f t="shared" si="351"/>
        <v>3.5211267605633804E-2</v>
      </c>
      <c r="I799" s="21">
        <v>8</v>
      </c>
      <c r="J799" s="41">
        <f t="shared" si="352"/>
        <v>3.7037037037037035E-2</v>
      </c>
      <c r="K799" s="21">
        <v>7</v>
      </c>
      <c r="L799" s="41">
        <f t="shared" si="353"/>
        <v>4.9295774647887321E-2</v>
      </c>
      <c r="M799" s="21">
        <v>191</v>
      </c>
      <c r="N799" s="41">
        <f t="shared" si="354"/>
        <v>0.8842592592592593</v>
      </c>
      <c r="O799" s="21">
        <v>119</v>
      </c>
      <c r="P799" s="41">
        <f t="shared" si="355"/>
        <v>0.8380281690140845</v>
      </c>
      <c r="Q799" s="21">
        <v>12</v>
      </c>
      <c r="R799" s="41">
        <f t="shared" si="356"/>
        <v>5.5555555555555552E-2</v>
      </c>
      <c r="S799" s="21">
        <v>11</v>
      </c>
      <c r="T799" s="41">
        <f t="shared" si="357"/>
        <v>7.746478873239436E-2</v>
      </c>
      <c r="U799" s="21">
        <v>14</v>
      </c>
      <c r="V799" s="41">
        <f t="shared" si="358"/>
        <v>6.4814814814814811E-2</v>
      </c>
      <c r="W799" s="21">
        <v>13</v>
      </c>
      <c r="X799" s="41">
        <f t="shared" si="359"/>
        <v>9.154929577464789E-2</v>
      </c>
      <c r="Y799" s="21">
        <v>18</v>
      </c>
      <c r="Z799" s="41">
        <f t="shared" si="360"/>
        <v>8.3333333333333329E-2</v>
      </c>
      <c r="AA799" s="21">
        <v>14</v>
      </c>
      <c r="AB799" s="41">
        <f t="shared" si="361"/>
        <v>9.8591549295774641E-2</v>
      </c>
      <c r="AC799" s="21">
        <v>184</v>
      </c>
      <c r="AD799" s="41">
        <f t="shared" si="343"/>
        <v>0.85185185185185186</v>
      </c>
      <c r="AE799" s="21">
        <v>115</v>
      </c>
      <c r="AF799" s="41">
        <f t="shared" si="362"/>
        <v>0.8098591549295775</v>
      </c>
      <c r="AG799" s="21">
        <v>9</v>
      </c>
      <c r="AH799" s="41">
        <f t="shared" si="344"/>
        <v>4.1666666666666664E-2</v>
      </c>
      <c r="AI799" s="21">
        <v>10</v>
      </c>
      <c r="AJ799" s="41">
        <f t="shared" si="363"/>
        <v>7.0422535211267609E-2</v>
      </c>
      <c r="AK799" s="21">
        <v>5</v>
      </c>
      <c r="AL799" s="41">
        <f t="shared" si="345"/>
        <v>2.3148148148148147E-2</v>
      </c>
      <c r="AM799" s="21">
        <v>3</v>
      </c>
      <c r="AN799" s="41">
        <f t="shared" si="364"/>
        <v>2.1126760563380281E-2</v>
      </c>
      <c r="AO799" s="21">
        <v>142</v>
      </c>
      <c r="AP799" s="41">
        <f t="shared" si="346"/>
        <v>0.65740740740740744</v>
      </c>
      <c r="AQ799" s="21">
        <v>93</v>
      </c>
      <c r="AR799" s="41">
        <f t="shared" si="365"/>
        <v>0.65492957746478875</v>
      </c>
      <c r="AS799" s="21">
        <v>26</v>
      </c>
      <c r="AT799" s="41">
        <f t="shared" si="347"/>
        <v>0.12037037037037036</v>
      </c>
      <c r="AU799" s="21">
        <v>12</v>
      </c>
      <c r="AV799" s="41">
        <f t="shared" si="366"/>
        <v>8.4507042253521125E-2</v>
      </c>
      <c r="AW799" s="21">
        <v>18</v>
      </c>
      <c r="AX799" s="41">
        <f t="shared" si="348"/>
        <v>8.3333333333333329E-2</v>
      </c>
      <c r="AY799" s="21">
        <v>9</v>
      </c>
      <c r="AZ799" s="41">
        <f t="shared" si="367"/>
        <v>6.3380281690140844E-2</v>
      </c>
      <c r="BA799" s="21">
        <v>16</v>
      </c>
      <c r="BB799" s="41">
        <f t="shared" si="349"/>
        <v>7.407407407407407E-2</v>
      </c>
      <c r="BC799" s="21">
        <v>15</v>
      </c>
      <c r="BD799" s="41">
        <f t="shared" si="368"/>
        <v>0.10563380281690141</v>
      </c>
      <c r="BE799" s="21">
        <v>216</v>
      </c>
      <c r="BF799" s="21">
        <v>142</v>
      </c>
    </row>
    <row r="800" spans="1:58" ht="15.75" customHeight="1" x14ac:dyDescent="0.25">
      <c r="A800" s="44">
        <v>2019</v>
      </c>
      <c r="B800" s="39">
        <v>171820</v>
      </c>
      <c r="C800" s="38" t="s">
        <v>151</v>
      </c>
      <c r="D800" s="38" t="s">
        <v>108</v>
      </c>
      <c r="E800" s="21">
        <v>31</v>
      </c>
      <c r="F800" s="42">
        <f t="shared" si="350"/>
        <v>1.2905911740216486E-2</v>
      </c>
      <c r="G800" s="21">
        <v>9</v>
      </c>
      <c r="H800" s="42">
        <f t="shared" si="351"/>
        <v>5.4249547920433997E-3</v>
      </c>
      <c r="I800" s="21">
        <v>78</v>
      </c>
      <c r="J800" s="41">
        <f t="shared" si="352"/>
        <v>3.2472939217318898E-2</v>
      </c>
      <c r="K800" s="21">
        <v>48</v>
      </c>
      <c r="L800" s="41">
        <f t="shared" si="353"/>
        <v>2.8933092224231464E-2</v>
      </c>
      <c r="M800" s="20">
        <v>2162</v>
      </c>
      <c r="N800" s="41">
        <f t="shared" si="354"/>
        <v>0.90008326394671112</v>
      </c>
      <c r="O800" s="20">
        <v>1501</v>
      </c>
      <c r="P800" s="41">
        <f t="shared" si="355"/>
        <v>0.90476190476190477</v>
      </c>
      <c r="Q800" s="21">
        <v>131</v>
      </c>
      <c r="R800" s="41">
        <f t="shared" si="356"/>
        <v>5.4537885095753538E-2</v>
      </c>
      <c r="S800" s="21">
        <v>101</v>
      </c>
      <c r="T800" s="41">
        <f t="shared" si="357"/>
        <v>6.0880048221820374E-2</v>
      </c>
      <c r="U800" s="21">
        <v>113</v>
      </c>
      <c r="V800" s="41">
        <f t="shared" si="358"/>
        <v>4.7044129891756867E-2</v>
      </c>
      <c r="W800" s="21">
        <v>62</v>
      </c>
      <c r="X800" s="41">
        <f t="shared" si="359"/>
        <v>3.7371910789632305E-2</v>
      </c>
      <c r="Y800" s="21">
        <v>157</v>
      </c>
      <c r="Z800" s="41">
        <f t="shared" si="360"/>
        <v>6.5362198168193178E-2</v>
      </c>
      <c r="AA800" s="21">
        <v>114</v>
      </c>
      <c r="AB800" s="41">
        <f t="shared" si="361"/>
        <v>6.8716094032549732E-2</v>
      </c>
      <c r="AC800" s="20">
        <v>2132</v>
      </c>
      <c r="AD800" s="41">
        <f t="shared" si="343"/>
        <v>0.88759367194005001</v>
      </c>
      <c r="AE800" s="20">
        <v>1483</v>
      </c>
      <c r="AF800" s="41">
        <f t="shared" si="362"/>
        <v>0.89391199517781794</v>
      </c>
      <c r="AG800" s="21">
        <v>59</v>
      </c>
      <c r="AH800" s="41">
        <f t="shared" si="344"/>
        <v>2.4562864279766863E-2</v>
      </c>
      <c r="AI800" s="21">
        <v>54</v>
      </c>
      <c r="AJ800" s="41">
        <f t="shared" si="363"/>
        <v>3.25497287522604E-2</v>
      </c>
      <c r="AK800" s="21">
        <v>99</v>
      </c>
      <c r="AL800" s="41">
        <f t="shared" si="345"/>
        <v>4.1215653621981679E-2</v>
      </c>
      <c r="AM800" s="21">
        <v>89</v>
      </c>
      <c r="AN800" s="41">
        <f t="shared" si="364"/>
        <v>5.3646775165762509E-2</v>
      </c>
      <c r="AO800" s="20">
        <v>1684</v>
      </c>
      <c r="AP800" s="41">
        <f t="shared" si="346"/>
        <v>0.70108243130724401</v>
      </c>
      <c r="AQ800" s="20">
        <v>1138</v>
      </c>
      <c r="AR800" s="41">
        <f t="shared" si="365"/>
        <v>0.68595539481615431</v>
      </c>
      <c r="AS800" s="21">
        <v>326</v>
      </c>
      <c r="AT800" s="41">
        <f t="shared" si="347"/>
        <v>0.13572023313905079</v>
      </c>
      <c r="AU800" s="21">
        <v>208</v>
      </c>
      <c r="AV800" s="41">
        <f t="shared" si="366"/>
        <v>0.12537673297166968</v>
      </c>
      <c r="AW800" s="21">
        <v>129</v>
      </c>
      <c r="AX800" s="41">
        <f t="shared" si="348"/>
        <v>5.3705245628642796E-2</v>
      </c>
      <c r="AY800" s="21">
        <v>78</v>
      </c>
      <c r="AZ800" s="41">
        <f t="shared" si="367"/>
        <v>4.701627486437613E-2</v>
      </c>
      <c r="BA800" s="21">
        <v>105</v>
      </c>
      <c r="BB800" s="41">
        <f t="shared" si="349"/>
        <v>4.3713572023313906E-2</v>
      </c>
      <c r="BC800" s="21">
        <v>92</v>
      </c>
      <c r="BD800" s="41">
        <f t="shared" si="368"/>
        <v>5.5455093429776975E-2</v>
      </c>
      <c r="BE800" s="20">
        <v>2402</v>
      </c>
      <c r="BF800" s="20">
        <v>1659</v>
      </c>
    </row>
    <row r="801" spans="1:58" ht="15.75" customHeight="1" x14ac:dyDescent="0.25">
      <c r="A801" s="44">
        <v>2019</v>
      </c>
      <c r="B801" s="39">
        <v>171830</v>
      </c>
      <c r="C801" s="38" t="s">
        <v>145</v>
      </c>
      <c r="D801" s="38" t="s">
        <v>109</v>
      </c>
      <c r="E801" s="21">
        <v>2</v>
      </c>
      <c r="F801" s="42">
        <f t="shared" si="350"/>
        <v>4.807692307692308E-3</v>
      </c>
      <c r="G801" s="21">
        <v>3</v>
      </c>
      <c r="H801" s="42">
        <f t="shared" si="351"/>
        <v>1.0169491525423728E-2</v>
      </c>
      <c r="I801" s="21">
        <v>11</v>
      </c>
      <c r="J801" s="41">
        <f t="shared" si="352"/>
        <v>2.6442307692307692E-2</v>
      </c>
      <c r="K801" s="21">
        <v>10</v>
      </c>
      <c r="L801" s="41">
        <f t="shared" si="353"/>
        <v>3.3898305084745763E-2</v>
      </c>
      <c r="M801" s="21">
        <v>390</v>
      </c>
      <c r="N801" s="41">
        <f t="shared" si="354"/>
        <v>0.9375</v>
      </c>
      <c r="O801" s="21">
        <v>273</v>
      </c>
      <c r="P801" s="41">
        <f t="shared" si="355"/>
        <v>0.92542372881355928</v>
      </c>
      <c r="Q801" s="21">
        <v>13</v>
      </c>
      <c r="R801" s="41">
        <f t="shared" si="356"/>
        <v>3.125E-2</v>
      </c>
      <c r="S801" s="21">
        <v>9</v>
      </c>
      <c r="T801" s="41">
        <f t="shared" si="357"/>
        <v>3.0508474576271188E-2</v>
      </c>
      <c r="U801" s="21">
        <v>22</v>
      </c>
      <c r="V801" s="41">
        <f t="shared" si="358"/>
        <v>5.2884615384615384E-2</v>
      </c>
      <c r="W801" s="21">
        <v>20</v>
      </c>
      <c r="X801" s="41">
        <f t="shared" si="359"/>
        <v>6.7796610169491525E-2</v>
      </c>
      <c r="Y801" s="21">
        <v>42</v>
      </c>
      <c r="Z801" s="41">
        <f t="shared" si="360"/>
        <v>0.10096153846153846</v>
      </c>
      <c r="AA801" s="21">
        <v>31</v>
      </c>
      <c r="AB801" s="41">
        <f t="shared" si="361"/>
        <v>0.10508474576271186</v>
      </c>
      <c r="AC801" s="21">
        <v>352</v>
      </c>
      <c r="AD801" s="41">
        <f t="shared" si="343"/>
        <v>0.84615384615384615</v>
      </c>
      <c r="AE801" s="21">
        <v>244</v>
      </c>
      <c r="AF801" s="41">
        <f t="shared" si="362"/>
        <v>0.82711864406779656</v>
      </c>
      <c r="AG801" s="21">
        <v>9</v>
      </c>
      <c r="AH801" s="41">
        <f t="shared" si="344"/>
        <v>2.1634615384615384E-2</v>
      </c>
      <c r="AI801" s="21">
        <v>10</v>
      </c>
      <c r="AJ801" s="41">
        <f t="shared" si="363"/>
        <v>3.3898305084745763E-2</v>
      </c>
      <c r="AK801" s="21">
        <v>9</v>
      </c>
      <c r="AL801" s="41">
        <f t="shared" si="345"/>
        <v>2.1634615384615384E-2</v>
      </c>
      <c r="AM801" s="21">
        <v>10</v>
      </c>
      <c r="AN801" s="41">
        <f t="shared" si="364"/>
        <v>3.3898305084745763E-2</v>
      </c>
      <c r="AO801" s="21">
        <v>289</v>
      </c>
      <c r="AP801" s="41">
        <f t="shared" si="346"/>
        <v>0.69471153846153844</v>
      </c>
      <c r="AQ801" s="21">
        <v>202</v>
      </c>
      <c r="AR801" s="41">
        <f t="shared" si="365"/>
        <v>0.68474576271186438</v>
      </c>
      <c r="AS801" s="21">
        <v>64</v>
      </c>
      <c r="AT801" s="41">
        <f t="shared" si="347"/>
        <v>0.15384615384615385</v>
      </c>
      <c r="AU801" s="21">
        <v>42</v>
      </c>
      <c r="AV801" s="41">
        <f t="shared" si="366"/>
        <v>0.14237288135593221</v>
      </c>
      <c r="AW801" s="21">
        <v>26</v>
      </c>
      <c r="AX801" s="41">
        <f t="shared" si="348"/>
        <v>6.25E-2</v>
      </c>
      <c r="AY801" s="21">
        <v>14</v>
      </c>
      <c r="AZ801" s="41">
        <f t="shared" si="367"/>
        <v>4.7457627118644069E-2</v>
      </c>
      <c r="BA801" s="21">
        <v>19</v>
      </c>
      <c r="BB801" s="41">
        <f t="shared" si="349"/>
        <v>4.567307692307692E-2</v>
      </c>
      <c r="BC801" s="21">
        <v>17</v>
      </c>
      <c r="BD801" s="41">
        <f t="shared" si="368"/>
        <v>5.7627118644067797E-2</v>
      </c>
      <c r="BE801" s="21">
        <v>416</v>
      </c>
      <c r="BF801" s="21">
        <v>295</v>
      </c>
    </row>
    <row r="802" spans="1:58" ht="15.75" customHeight="1" x14ac:dyDescent="0.25">
      <c r="A802" s="44">
        <v>2019</v>
      </c>
      <c r="B802" s="39">
        <v>171840</v>
      </c>
      <c r="C802" s="38" t="s">
        <v>150</v>
      </c>
      <c r="D802" s="38" t="s">
        <v>110</v>
      </c>
      <c r="E802" s="21">
        <v>1</v>
      </c>
      <c r="F802" s="42">
        <f t="shared" si="350"/>
        <v>7.3529411764705881E-3</v>
      </c>
      <c r="G802" s="21">
        <v>1</v>
      </c>
      <c r="H802" s="42">
        <f t="shared" si="351"/>
        <v>1.3513513513513514E-2</v>
      </c>
      <c r="I802" s="21">
        <v>1</v>
      </c>
      <c r="J802" s="41">
        <f t="shared" si="352"/>
        <v>7.3529411764705881E-3</v>
      </c>
      <c r="K802" s="21">
        <v>1</v>
      </c>
      <c r="L802" s="41">
        <f t="shared" si="353"/>
        <v>1.3513513513513514E-2</v>
      </c>
      <c r="M802" s="21">
        <v>125</v>
      </c>
      <c r="N802" s="41">
        <f t="shared" si="354"/>
        <v>0.91911764705882348</v>
      </c>
      <c r="O802" s="21">
        <v>67</v>
      </c>
      <c r="P802" s="41">
        <f t="shared" si="355"/>
        <v>0.90540540540540537</v>
      </c>
      <c r="Q802" s="21">
        <v>9</v>
      </c>
      <c r="R802" s="41">
        <f t="shared" si="356"/>
        <v>6.6176470588235295E-2</v>
      </c>
      <c r="S802" s="21">
        <v>5</v>
      </c>
      <c r="T802" s="41">
        <f t="shared" si="357"/>
        <v>6.7567567567567571E-2</v>
      </c>
      <c r="U802" s="21">
        <v>6</v>
      </c>
      <c r="V802" s="41">
        <f t="shared" si="358"/>
        <v>4.4117647058823532E-2</v>
      </c>
      <c r="W802" s="21">
        <v>7</v>
      </c>
      <c r="X802" s="41">
        <f t="shared" si="359"/>
        <v>9.45945945945946E-2</v>
      </c>
      <c r="Y802" s="21">
        <v>8</v>
      </c>
      <c r="Z802" s="41">
        <f t="shared" si="360"/>
        <v>5.8823529411764705E-2</v>
      </c>
      <c r="AA802" s="21">
        <v>6</v>
      </c>
      <c r="AB802" s="41">
        <f t="shared" si="361"/>
        <v>8.1081081081081086E-2</v>
      </c>
      <c r="AC802" s="21">
        <v>122</v>
      </c>
      <c r="AD802" s="41">
        <f t="shared" si="343"/>
        <v>0.8970588235294118</v>
      </c>
      <c r="AE802" s="21">
        <v>61</v>
      </c>
      <c r="AF802" s="41">
        <f t="shared" si="362"/>
        <v>0.82432432432432434</v>
      </c>
      <c r="AG802" s="21">
        <v>1</v>
      </c>
      <c r="AH802" s="41">
        <f t="shared" si="344"/>
        <v>7.3529411764705881E-3</v>
      </c>
      <c r="AI802" s="21">
        <v>1</v>
      </c>
      <c r="AJ802" s="41">
        <f t="shared" si="363"/>
        <v>1.3513513513513514E-2</v>
      </c>
      <c r="AK802" s="21">
        <v>1</v>
      </c>
      <c r="AL802" s="41">
        <f t="shared" si="345"/>
        <v>7.3529411764705881E-3</v>
      </c>
      <c r="AM802" s="21">
        <v>1</v>
      </c>
      <c r="AN802" s="41">
        <f t="shared" si="364"/>
        <v>1.3513513513513514E-2</v>
      </c>
      <c r="AO802" s="21">
        <v>102</v>
      </c>
      <c r="AP802" s="41">
        <f t="shared" si="346"/>
        <v>0.75</v>
      </c>
      <c r="AQ802" s="21">
        <v>55</v>
      </c>
      <c r="AR802" s="41">
        <f t="shared" si="365"/>
        <v>0.7432432432432432</v>
      </c>
      <c r="AS802" s="21">
        <v>17</v>
      </c>
      <c r="AT802" s="41">
        <f t="shared" si="347"/>
        <v>0.125</v>
      </c>
      <c r="AU802" s="21">
        <v>9</v>
      </c>
      <c r="AV802" s="41">
        <f t="shared" si="366"/>
        <v>0.12162162162162163</v>
      </c>
      <c r="AW802" s="21">
        <v>7</v>
      </c>
      <c r="AX802" s="41">
        <f t="shared" si="348"/>
        <v>5.1470588235294115E-2</v>
      </c>
      <c r="AY802" s="21">
        <v>2</v>
      </c>
      <c r="AZ802" s="41">
        <f t="shared" si="367"/>
        <v>2.7027027027027029E-2</v>
      </c>
      <c r="BA802" s="21">
        <v>8</v>
      </c>
      <c r="BB802" s="41">
        <f t="shared" si="349"/>
        <v>5.8823529411764705E-2</v>
      </c>
      <c r="BC802" s="21">
        <v>6</v>
      </c>
      <c r="BD802" s="41">
        <f t="shared" si="368"/>
        <v>8.1081081081081086E-2</v>
      </c>
      <c r="BE802" s="21">
        <v>136</v>
      </c>
      <c r="BF802" s="21">
        <v>74</v>
      </c>
    </row>
    <row r="803" spans="1:58" ht="15.75" customHeight="1" x14ac:dyDescent="0.25">
      <c r="A803" s="44">
        <v>2019</v>
      </c>
      <c r="B803" s="39">
        <v>171845</v>
      </c>
      <c r="C803" s="38" t="s">
        <v>144</v>
      </c>
      <c r="D803" s="38" t="s">
        <v>111</v>
      </c>
      <c r="E803" s="21">
        <v>1</v>
      </c>
      <c r="F803" s="42">
        <f t="shared" si="350"/>
        <v>6.6666666666666671E-3</v>
      </c>
      <c r="G803" s="21">
        <v>1</v>
      </c>
      <c r="H803" s="42">
        <f t="shared" si="351"/>
        <v>1.1494252873563218E-2</v>
      </c>
      <c r="I803" s="21">
        <v>3</v>
      </c>
      <c r="J803" s="41">
        <f t="shared" si="352"/>
        <v>0.02</v>
      </c>
      <c r="K803" s="21">
        <v>1</v>
      </c>
      <c r="L803" s="41">
        <f t="shared" si="353"/>
        <v>1.1494252873563218E-2</v>
      </c>
      <c r="M803" s="21">
        <v>133</v>
      </c>
      <c r="N803" s="41">
        <f t="shared" si="354"/>
        <v>0.88666666666666671</v>
      </c>
      <c r="O803" s="21">
        <v>79</v>
      </c>
      <c r="P803" s="41">
        <f t="shared" si="355"/>
        <v>0.90804597701149425</v>
      </c>
      <c r="Q803" s="21">
        <v>13</v>
      </c>
      <c r="R803" s="41">
        <f t="shared" si="356"/>
        <v>8.666666666666667E-2</v>
      </c>
      <c r="S803" s="21">
        <v>6</v>
      </c>
      <c r="T803" s="41">
        <f t="shared" si="357"/>
        <v>6.8965517241379309E-2</v>
      </c>
      <c r="U803" s="21">
        <v>10</v>
      </c>
      <c r="V803" s="41">
        <f t="shared" si="358"/>
        <v>6.6666666666666666E-2</v>
      </c>
      <c r="W803" s="21">
        <v>5</v>
      </c>
      <c r="X803" s="41">
        <f t="shared" si="359"/>
        <v>5.7471264367816091E-2</v>
      </c>
      <c r="Y803" s="21">
        <v>11</v>
      </c>
      <c r="Z803" s="41">
        <f t="shared" si="360"/>
        <v>7.3333333333333334E-2</v>
      </c>
      <c r="AA803" s="21">
        <v>10</v>
      </c>
      <c r="AB803" s="41">
        <f t="shared" si="361"/>
        <v>0.11494252873563218</v>
      </c>
      <c r="AC803" s="21">
        <v>129</v>
      </c>
      <c r="AD803" s="41">
        <f t="shared" si="343"/>
        <v>0.86</v>
      </c>
      <c r="AE803" s="21">
        <v>72</v>
      </c>
      <c r="AF803" s="41">
        <f t="shared" si="362"/>
        <v>0.82758620689655171</v>
      </c>
      <c r="AG803" s="21">
        <v>4</v>
      </c>
      <c r="AH803" s="41">
        <f t="shared" si="344"/>
        <v>2.6666666666666668E-2</v>
      </c>
      <c r="AI803" s="21">
        <v>1</v>
      </c>
      <c r="AJ803" s="41">
        <f t="shared" si="363"/>
        <v>1.1494252873563218E-2</v>
      </c>
      <c r="AK803" s="21">
        <v>8</v>
      </c>
      <c r="AL803" s="41">
        <f t="shared" si="345"/>
        <v>5.3333333333333337E-2</v>
      </c>
      <c r="AM803" s="21">
        <v>1</v>
      </c>
      <c r="AN803" s="41">
        <f t="shared" si="364"/>
        <v>1.1494252873563218E-2</v>
      </c>
      <c r="AO803" s="21">
        <v>86</v>
      </c>
      <c r="AP803" s="41">
        <f t="shared" si="346"/>
        <v>0.57333333333333336</v>
      </c>
      <c r="AQ803" s="21">
        <v>54</v>
      </c>
      <c r="AR803" s="41">
        <f t="shared" si="365"/>
        <v>0.62068965517241381</v>
      </c>
      <c r="AS803" s="21">
        <v>30</v>
      </c>
      <c r="AT803" s="41">
        <f t="shared" si="347"/>
        <v>0.2</v>
      </c>
      <c r="AU803" s="21">
        <v>19</v>
      </c>
      <c r="AV803" s="41">
        <f t="shared" si="366"/>
        <v>0.21839080459770116</v>
      </c>
      <c r="AW803" s="21">
        <v>13</v>
      </c>
      <c r="AX803" s="41">
        <f t="shared" si="348"/>
        <v>8.666666666666667E-2</v>
      </c>
      <c r="AY803" s="21">
        <v>8</v>
      </c>
      <c r="AZ803" s="41">
        <f t="shared" si="367"/>
        <v>9.1954022988505746E-2</v>
      </c>
      <c r="BA803" s="21">
        <v>9</v>
      </c>
      <c r="BB803" s="41">
        <f t="shared" si="349"/>
        <v>0.06</v>
      </c>
      <c r="BC803" s="21">
        <v>4</v>
      </c>
      <c r="BD803" s="41">
        <f t="shared" si="368"/>
        <v>4.5977011494252873E-2</v>
      </c>
      <c r="BE803" s="21">
        <v>150</v>
      </c>
      <c r="BF803" s="21">
        <v>87</v>
      </c>
    </row>
    <row r="804" spans="1:58" ht="15.75" customHeight="1" x14ac:dyDescent="0.25">
      <c r="A804" s="44">
        <v>2019</v>
      </c>
      <c r="B804" s="39">
        <v>171850</v>
      </c>
      <c r="C804" s="38" t="s">
        <v>150</v>
      </c>
      <c r="D804" s="38" t="s">
        <v>112</v>
      </c>
      <c r="E804" s="21">
        <v>4</v>
      </c>
      <c r="F804" s="42">
        <f t="shared" si="350"/>
        <v>1.4545454545454545E-2</v>
      </c>
      <c r="G804" s="21">
        <v>1</v>
      </c>
      <c r="H804" s="42">
        <f t="shared" si="351"/>
        <v>6.0975609756097563E-3</v>
      </c>
      <c r="I804" s="21">
        <v>8</v>
      </c>
      <c r="J804" s="41">
        <f t="shared" si="352"/>
        <v>2.9090909090909091E-2</v>
      </c>
      <c r="K804" s="21">
        <v>5</v>
      </c>
      <c r="L804" s="41">
        <f t="shared" si="353"/>
        <v>3.048780487804878E-2</v>
      </c>
      <c r="M804" s="21">
        <v>252</v>
      </c>
      <c r="N804" s="41">
        <f t="shared" si="354"/>
        <v>0.91636363636363638</v>
      </c>
      <c r="O804" s="21">
        <v>146</v>
      </c>
      <c r="P804" s="41">
        <f t="shared" si="355"/>
        <v>0.8902439024390244</v>
      </c>
      <c r="Q804" s="21">
        <v>11</v>
      </c>
      <c r="R804" s="41">
        <f t="shared" si="356"/>
        <v>0.04</v>
      </c>
      <c r="S804" s="21">
        <v>12</v>
      </c>
      <c r="T804" s="41">
        <f t="shared" si="357"/>
        <v>7.3170731707317069E-2</v>
      </c>
      <c r="U804" s="21">
        <v>25</v>
      </c>
      <c r="V804" s="41">
        <f t="shared" si="358"/>
        <v>9.0909090909090912E-2</v>
      </c>
      <c r="W804" s="21">
        <v>11</v>
      </c>
      <c r="X804" s="41">
        <f t="shared" si="359"/>
        <v>6.7073170731707321E-2</v>
      </c>
      <c r="Y804" s="21">
        <v>27</v>
      </c>
      <c r="Z804" s="41">
        <f t="shared" si="360"/>
        <v>9.8181818181818176E-2</v>
      </c>
      <c r="AA804" s="21">
        <v>18</v>
      </c>
      <c r="AB804" s="41">
        <f t="shared" si="361"/>
        <v>0.10975609756097561</v>
      </c>
      <c r="AC804" s="21">
        <v>223</v>
      </c>
      <c r="AD804" s="41">
        <f t="shared" si="343"/>
        <v>0.81090909090909091</v>
      </c>
      <c r="AE804" s="21">
        <v>135</v>
      </c>
      <c r="AF804" s="41">
        <f t="shared" si="362"/>
        <v>0.82317073170731703</v>
      </c>
      <c r="AG804" s="21">
        <v>3</v>
      </c>
      <c r="AH804" s="41">
        <f t="shared" si="344"/>
        <v>1.090909090909091E-2</v>
      </c>
      <c r="AI804" s="21">
        <v>3</v>
      </c>
      <c r="AJ804" s="41">
        <f t="shared" si="363"/>
        <v>1.8292682926829267E-2</v>
      </c>
      <c r="AK804" s="21">
        <v>1</v>
      </c>
      <c r="AL804" s="41">
        <f t="shared" si="345"/>
        <v>3.6363636363636364E-3</v>
      </c>
      <c r="AM804" s="21">
        <v>3</v>
      </c>
      <c r="AN804" s="41">
        <f t="shared" si="364"/>
        <v>1.8292682926829267E-2</v>
      </c>
      <c r="AO804" s="21">
        <v>178</v>
      </c>
      <c r="AP804" s="41">
        <f t="shared" si="346"/>
        <v>0.64727272727272722</v>
      </c>
      <c r="AQ804" s="21">
        <v>113</v>
      </c>
      <c r="AR804" s="41">
        <f t="shared" si="365"/>
        <v>0.68902439024390238</v>
      </c>
      <c r="AS804" s="21">
        <v>54</v>
      </c>
      <c r="AT804" s="41">
        <f t="shared" si="347"/>
        <v>0.19636363636363635</v>
      </c>
      <c r="AU804" s="21">
        <v>28</v>
      </c>
      <c r="AV804" s="41">
        <f t="shared" si="366"/>
        <v>0.17073170731707318</v>
      </c>
      <c r="AW804" s="21">
        <v>22</v>
      </c>
      <c r="AX804" s="41">
        <f t="shared" si="348"/>
        <v>0.08</v>
      </c>
      <c r="AY804" s="21">
        <v>10</v>
      </c>
      <c r="AZ804" s="41">
        <f t="shared" si="367"/>
        <v>6.097560975609756E-2</v>
      </c>
      <c r="BA804" s="21">
        <v>17</v>
      </c>
      <c r="BB804" s="41">
        <f t="shared" si="349"/>
        <v>6.1818181818181821E-2</v>
      </c>
      <c r="BC804" s="21">
        <v>7</v>
      </c>
      <c r="BD804" s="41">
        <f t="shared" si="368"/>
        <v>4.2682926829268296E-2</v>
      </c>
      <c r="BE804" s="21">
        <v>275</v>
      </c>
      <c r="BF804" s="21">
        <v>164</v>
      </c>
    </row>
    <row r="805" spans="1:58" ht="15.75" customHeight="1" x14ac:dyDescent="0.25">
      <c r="A805" s="44">
        <v>2019</v>
      </c>
      <c r="B805" s="39">
        <v>171855</v>
      </c>
      <c r="C805" s="38" t="s">
        <v>145</v>
      </c>
      <c r="D805" s="38" t="s">
        <v>113</v>
      </c>
      <c r="E805" s="21">
        <v>1</v>
      </c>
      <c r="F805" s="42">
        <f t="shared" si="350"/>
        <v>4.2016806722689074E-3</v>
      </c>
      <c r="G805" s="21">
        <v>1</v>
      </c>
      <c r="H805" s="42">
        <f t="shared" si="351"/>
        <v>5.4945054945054949E-3</v>
      </c>
      <c r="I805" s="21">
        <v>3</v>
      </c>
      <c r="J805" s="41">
        <f t="shared" si="352"/>
        <v>1.2605042016806723E-2</v>
      </c>
      <c r="K805" s="21">
        <v>3</v>
      </c>
      <c r="L805" s="41">
        <f t="shared" si="353"/>
        <v>1.6483516483516484E-2</v>
      </c>
      <c r="M805" s="21">
        <v>224</v>
      </c>
      <c r="N805" s="41">
        <f t="shared" si="354"/>
        <v>0.94117647058823528</v>
      </c>
      <c r="O805" s="21">
        <v>170</v>
      </c>
      <c r="P805" s="41">
        <f t="shared" si="355"/>
        <v>0.93406593406593408</v>
      </c>
      <c r="Q805" s="21">
        <v>10</v>
      </c>
      <c r="R805" s="41">
        <f t="shared" si="356"/>
        <v>4.2016806722689079E-2</v>
      </c>
      <c r="S805" s="21">
        <v>8</v>
      </c>
      <c r="T805" s="41">
        <f t="shared" si="357"/>
        <v>4.3956043956043959E-2</v>
      </c>
      <c r="U805" s="21">
        <v>4</v>
      </c>
      <c r="V805" s="41">
        <f t="shared" si="358"/>
        <v>1.680672268907563E-2</v>
      </c>
      <c r="W805" s="21">
        <v>3</v>
      </c>
      <c r="X805" s="41">
        <f t="shared" si="359"/>
        <v>1.6483516483516484E-2</v>
      </c>
      <c r="Y805" s="21">
        <v>12</v>
      </c>
      <c r="Z805" s="41">
        <f t="shared" si="360"/>
        <v>5.0420168067226892E-2</v>
      </c>
      <c r="AA805" s="21">
        <v>9</v>
      </c>
      <c r="AB805" s="41">
        <f t="shared" si="361"/>
        <v>4.9450549450549448E-2</v>
      </c>
      <c r="AC805" s="21">
        <v>222</v>
      </c>
      <c r="AD805" s="41">
        <f t="shared" si="343"/>
        <v>0.9327731092436975</v>
      </c>
      <c r="AE805" s="21">
        <v>170</v>
      </c>
      <c r="AF805" s="41">
        <f t="shared" si="362"/>
        <v>0.93406593406593408</v>
      </c>
      <c r="AG805" s="21">
        <v>5</v>
      </c>
      <c r="AH805" s="41">
        <f t="shared" si="344"/>
        <v>2.100840336134454E-2</v>
      </c>
      <c r="AI805" s="21">
        <v>4</v>
      </c>
      <c r="AJ805" s="41">
        <f t="shared" si="363"/>
        <v>2.197802197802198E-2</v>
      </c>
      <c r="AK805" s="21">
        <v>5</v>
      </c>
      <c r="AL805" s="41">
        <f t="shared" si="345"/>
        <v>2.100840336134454E-2</v>
      </c>
      <c r="AM805" s="21">
        <v>4</v>
      </c>
      <c r="AN805" s="41">
        <f t="shared" si="364"/>
        <v>2.197802197802198E-2</v>
      </c>
      <c r="AO805" s="21">
        <v>168</v>
      </c>
      <c r="AP805" s="41">
        <f t="shared" si="346"/>
        <v>0.70588235294117652</v>
      </c>
      <c r="AQ805" s="21">
        <v>132</v>
      </c>
      <c r="AR805" s="41">
        <f t="shared" si="365"/>
        <v>0.72527472527472525</v>
      </c>
      <c r="AS805" s="21">
        <v>36</v>
      </c>
      <c r="AT805" s="41">
        <f t="shared" si="347"/>
        <v>0.15126050420168066</v>
      </c>
      <c r="AU805" s="21">
        <v>27</v>
      </c>
      <c r="AV805" s="41">
        <f t="shared" si="366"/>
        <v>0.14835164835164835</v>
      </c>
      <c r="AW805" s="21">
        <v>15</v>
      </c>
      <c r="AX805" s="41">
        <f t="shared" si="348"/>
        <v>6.3025210084033612E-2</v>
      </c>
      <c r="AY805" s="21">
        <v>8</v>
      </c>
      <c r="AZ805" s="41">
        <f t="shared" si="367"/>
        <v>4.3956043956043959E-2</v>
      </c>
      <c r="BA805" s="21">
        <v>9</v>
      </c>
      <c r="BB805" s="41">
        <f t="shared" si="349"/>
        <v>3.7815126050420166E-2</v>
      </c>
      <c r="BC805" s="21">
        <v>7</v>
      </c>
      <c r="BD805" s="41">
        <f t="shared" si="368"/>
        <v>3.8461538461538464E-2</v>
      </c>
      <c r="BE805" s="21">
        <v>238</v>
      </c>
      <c r="BF805" s="21">
        <v>182</v>
      </c>
    </row>
    <row r="806" spans="1:58" ht="15.75" customHeight="1" x14ac:dyDescent="0.25">
      <c r="A806" s="44">
        <v>2019</v>
      </c>
      <c r="B806" s="39">
        <v>171865</v>
      </c>
      <c r="C806" s="38" t="s">
        <v>147</v>
      </c>
      <c r="D806" s="38" t="s">
        <v>114</v>
      </c>
      <c r="E806" s="21">
        <v>1</v>
      </c>
      <c r="F806" s="42">
        <f t="shared" si="350"/>
        <v>8.6956521739130436E-3</v>
      </c>
      <c r="G806" s="21">
        <v>0</v>
      </c>
      <c r="H806" s="42">
        <f t="shared" si="351"/>
        <v>0</v>
      </c>
      <c r="I806" s="21">
        <v>3</v>
      </c>
      <c r="J806" s="41">
        <f t="shared" si="352"/>
        <v>2.6086956521739129E-2</v>
      </c>
      <c r="K806" s="21">
        <v>3</v>
      </c>
      <c r="L806" s="41">
        <f t="shared" si="353"/>
        <v>3.0303030303030304E-2</v>
      </c>
      <c r="M806" s="21">
        <v>107</v>
      </c>
      <c r="N806" s="41">
        <f t="shared" si="354"/>
        <v>0.93043478260869561</v>
      </c>
      <c r="O806" s="21">
        <v>92</v>
      </c>
      <c r="P806" s="41">
        <f t="shared" si="355"/>
        <v>0.92929292929292928</v>
      </c>
      <c r="Q806" s="21">
        <v>4</v>
      </c>
      <c r="R806" s="41">
        <f t="shared" si="356"/>
        <v>3.4782608695652174E-2</v>
      </c>
      <c r="S806" s="21">
        <v>4</v>
      </c>
      <c r="T806" s="41">
        <f t="shared" si="357"/>
        <v>4.0404040404040407E-2</v>
      </c>
      <c r="U806" s="21">
        <v>3</v>
      </c>
      <c r="V806" s="41">
        <f t="shared" si="358"/>
        <v>2.6086956521739129E-2</v>
      </c>
      <c r="W806" s="21">
        <v>3</v>
      </c>
      <c r="X806" s="41">
        <f t="shared" si="359"/>
        <v>3.0303030303030304E-2</v>
      </c>
      <c r="Y806" s="21">
        <v>12</v>
      </c>
      <c r="Z806" s="41">
        <f t="shared" si="360"/>
        <v>0.10434782608695652</v>
      </c>
      <c r="AA806" s="21">
        <v>11</v>
      </c>
      <c r="AB806" s="41">
        <f t="shared" si="361"/>
        <v>0.1111111111111111</v>
      </c>
      <c r="AC806" s="21">
        <v>100</v>
      </c>
      <c r="AD806" s="41">
        <f t="shared" si="343"/>
        <v>0.86956521739130432</v>
      </c>
      <c r="AE806" s="21">
        <v>85</v>
      </c>
      <c r="AF806" s="41">
        <f t="shared" si="362"/>
        <v>0.85858585858585856</v>
      </c>
      <c r="AG806" s="21">
        <v>1</v>
      </c>
      <c r="AH806" s="41">
        <f t="shared" si="344"/>
        <v>8.6956521739130436E-3</v>
      </c>
      <c r="AI806" s="21">
        <v>2</v>
      </c>
      <c r="AJ806" s="41">
        <f t="shared" si="363"/>
        <v>2.0202020202020204E-2</v>
      </c>
      <c r="AK806" s="21">
        <v>9</v>
      </c>
      <c r="AL806" s="41">
        <f t="shared" si="345"/>
        <v>7.8260869565217397E-2</v>
      </c>
      <c r="AM806" s="21">
        <v>8</v>
      </c>
      <c r="AN806" s="41">
        <f t="shared" si="364"/>
        <v>8.0808080808080815E-2</v>
      </c>
      <c r="AO806" s="21">
        <v>92</v>
      </c>
      <c r="AP806" s="41">
        <f t="shared" si="346"/>
        <v>0.8</v>
      </c>
      <c r="AQ806" s="21">
        <v>78</v>
      </c>
      <c r="AR806" s="41">
        <f t="shared" si="365"/>
        <v>0.78787878787878785</v>
      </c>
      <c r="AS806" s="21">
        <v>10</v>
      </c>
      <c r="AT806" s="41">
        <f t="shared" si="347"/>
        <v>8.6956521739130432E-2</v>
      </c>
      <c r="AU806" s="21">
        <v>8</v>
      </c>
      <c r="AV806" s="41">
        <f t="shared" si="366"/>
        <v>8.0808080808080815E-2</v>
      </c>
      <c r="AW806" s="21">
        <v>2</v>
      </c>
      <c r="AX806" s="41">
        <f t="shared" si="348"/>
        <v>1.7391304347826087E-2</v>
      </c>
      <c r="AY806" s="21">
        <v>2</v>
      </c>
      <c r="AZ806" s="41">
        <f t="shared" si="367"/>
        <v>2.0202020202020204E-2</v>
      </c>
      <c r="BA806" s="21">
        <v>1</v>
      </c>
      <c r="BB806" s="41">
        <f t="shared" si="349"/>
        <v>8.6956521739130436E-3</v>
      </c>
      <c r="BC806" s="21">
        <v>1</v>
      </c>
      <c r="BD806" s="41">
        <f t="shared" si="368"/>
        <v>1.0101010101010102E-2</v>
      </c>
      <c r="BE806" s="21">
        <v>115</v>
      </c>
      <c r="BF806" s="21">
        <v>99</v>
      </c>
    </row>
    <row r="807" spans="1:58" ht="15.75" customHeight="1" x14ac:dyDescent="0.25">
      <c r="A807" s="44">
        <v>2019</v>
      </c>
      <c r="B807" s="39">
        <v>171870</v>
      </c>
      <c r="C807" s="38" t="s">
        <v>148</v>
      </c>
      <c r="D807" s="38" t="s">
        <v>115</v>
      </c>
      <c r="E807" s="21">
        <v>0</v>
      </c>
      <c r="F807" s="42">
        <f t="shared" si="350"/>
        <v>0</v>
      </c>
      <c r="G807" s="21">
        <v>0</v>
      </c>
      <c r="H807" s="42">
        <f t="shared" si="351"/>
        <v>0</v>
      </c>
      <c r="I807" s="21">
        <v>6</v>
      </c>
      <c r="J807" s="41">
        <f t="shared" si="352"/>
        <v>4.6875E-2</v>
      </c>
      <c r="K807" s="21">
        <v>5</v>
      </c>
      <c r="L807" s="41">
        <f t="shared" si="353"/>
        <v>4.0983606557377046E-2</v>
      </c>
      <c r="M807" s="21">
        <v>116</v>
      </c>
      <c r="N807" s="41">
        <f t="shared" si="354"/>
        <v>0.90625</v>
      </c>
      <c r="O807" s="21">
        <v>111</v>
      </c>
      <c r="P807" s="41">
        <f t="shared" si="355"/>
        <v>0.9098360655737705</v>
      </c>
      <c r="Q807" s="21">
        <v>6</v>
      </c>
      <c r="R807" s="41">
        <f t="shared" si="356"/>
        <v>4.6875E-2</v>
      </c>
      <c r="S807" s="21">
        <v>6</v>
      </c>
      <c r="T807" s="41">
        <f t="shared" si="357"/>
        <v>4.9180327868852458E-2</v>
      </c>
      <c r="U807" s="21">
        <v>15</v>
      </c>
      <c r="V807" s="41">
        <f t="shared" si="358"/>
        <v>0.1171875</v>
      </c>
      <c r="W807" s="21">
        <v>13</v>
      </c>
      <c r="X807" s="41">
        <f t="shared" si="359"/>
        <v>0.10655737704918032</v>
      </c>
      <c r="Y807" s="21">
        <v>10</v>
      </c>
      <c r="Z807" s="41">
        <f t="shared" si="360"/>
        <v>7.8125E-2</v>
      </c>
      <c r="AA807" s="21">
        <v>8</v>
      </c>
      <c r="AB807" s="41">
        <f t="shared" si="361"/>
        <v>6.5573770491803282E-2</v>
      </c>
      <c r="AC807" s="21">
        <v>103</v>
      </c>
      <c r="AD807" s="41">
        <f t="shared" si="343"/>
        <v>0.8046875</v>
      </c>
      <c r="AE807" s="21">
        <v>101</v>
      </c>
      <c r="AF807" s="41">
        <f t="shared" si="362"/>
        <v>0.82786885245901642</v>
      </c>
      <c r="AG807" s="21">
        <v>3</v>
      </c>
      <c r="AH807" s="41">
        <f t="shared" si="344"/>
        <v>2.34375E-2</v>
      </c>
      <c r="AI807" s="21">
        <v>3</v>
      </c>
      <c r="AJ807" s="41">
        <f t="shared" si="363"/>
        <v>2.4590163934426229E-2</v>
      </c>
      <c r="AK807" s="21">
        <v>4</v>
      </c>
      <c r="AL807" s="41">
        <f t="shared" si="345"/>
        <v>3.125E-2</v>
      </c>
      <c r="AM807" s="21">
        <v>4</v>
      </c>
      <c r="AN807" s="41">
        <f t="shared" si="364"/>
        <v>3.2786885245901641E-2</v>
      </c>
      <c r="AO807" s="21">
        <v>76</v>
      </c>
      <c r="AP807" s="41">
        <f t="shared" si="346"/>
        <v>0.59375</v>
      </c>
      <c r="AQ807" s="21">
        <v>75</v>
      </c>
      <c r="AR807" s="41">
        <f t="shared" si="365"/>
        <v>0.61475409836065575</v>
      </c>
      <c r="AS807" s="21">
        <v>23</v>
      </c>
      <c r="AT807" s="41">
        <f t="shared" si="347"/>
        <v>0.1796875</v>
      </c>
      <c r="AU807" s="21">
        <v>21</v>
      </c>
      <c r="AV807" s="41">
        <f t="shared" si="366"/>
        <v>0.1721311475409836</v>
      </c>
      <c r="AW807" s="21">
        <v>12</v>
      </c>
      <c r="AX807" s="41">
        <f t="shared" si="348"/>
        <v>9.375E-2</v>
      </c>
      <c r="AY807" s="21">
        <v>11</v>
      </c>
      <c r="AZ807" s="41">
        <f t="shared" si="367"/>
        <v>9.0163934426229511E-2</v>
      </c>
      <c r="BA807" s="21">
        <v>10</v>
      </c>
      <c r="BB807" s="41">
        <f t="shared" si="349"/>
        <v>7.8125E-2</v>
      </c>
      <c r="BC807" s="21">
        <v>8</v>
      </c>
      <c r="BD807" s="41">
        <f t="shared" si="368"/>
        <v>6.5573770491803282E-2</v>
      </c>
      <c r="BE807" s="21">
        <v>128</v>
      </c>
      <c r="BF807" s="21">
        <v>122</v>
      </c>
    </row>
    <row r="808" spans="1:58" ht="15.75" customHeight="1" x14ac:dyDescent="0.25">
      <c r="A808" s="44">
        <v>2019</v>
      </c>
      <c r="B808" s="39">
        <v>171875</v>
      </c>
      <c r="C808" s="38" t="s">
        <v>148</v>
      </c>
      <c r="D808" s="38" t="s">
        <v>116</v>
      </c>
      <c r="E808" s="21">
        <v>7</v>
      </c>
      <c r="F808" s="42">
        <f t="shared" si="350"/>
        <v>1.9943019943019943E-2</v>
      </c>
      <c r="G808" s="21">
        <v>6</v>
      </c>
      <c r="H808" s="42">
        <f t="shared" si="351"/>
        <v>2.1739130434782608E-2</v>
      </c>
      <c r="I808" s="21">
        <v>3</v>
      </c>
      <c r="J808" s="41">
        <f t="shared" si="352"/>
        <v>8.5470085470085479E-3</v>
      </c>
      <c r="K808" s="21">
        <v>2</v>
      </c>
      <c r="L808" s="41">
        <f t="shared" si="353"/>
        <v>7.246376811594203E-3</v>
      </c>
      <c r="M808" s="21">
        <v>319</v>
      </c>
      <c r="N808" s="41">
        <f t="shared" si="354"/>
        <v>0.90883190883190879</v>
      </c>
      <c r="O808" s="21">
        <v>249</v>
      </c>
      <c r="P808" s="41">
        <f t="shared" si="355"/>
        <v>0.90217391304347827</v>
      </c>
      <c r="Q808" s="21">
        <v>22</v>
      </c>
      <c r="R808" s="41">
        <f t="shared" si="356"/>
        <v>6.2678062678062682E-2</v>
      </c>
      <c r="S808" s="21">
        <v>19</v>
      </c>
      <c r="T808" s="41">
        <f t="shared" si="357"/>
        <v>6.8840579710144928E-2</v>
      </c>
      <c r="U808" s="21">
        <v>26</v>
      </c>
      <c r="V808" s="41">
        <f t="shared" si="358"/>
        <v>7.407407407407407E-2</v>
      </c>
      <c r="W808" s="21">
        <v>23</v>
      </c>
      <c r="X808" s="41">
        <f t="shared" si="359"/>
        <v>8.3333333333333329E-2</v>
      </c>
      <c r="Y808" s="21">
        <v>37</v>
      </c>
      <c r="Z808" s="41">
        <f t="shared" si="360"/>
        <v>0.10541310541310542</v>
      </c>
      <c r="AA808" s="21">
        <v>29</v>
      </c>
      <c r="AB808" s="41">
        <f t="shared" si="361"/>
        <v>0.10507246376811594</v>
      </c>
      <c r="AC808" s="21">
        <v>288</v>
      </c>
      <c r="AD808" s="41">
        <f t="shared" si="343"/>
        <v>0.82051282051282048</v>
      </c>
      <c r="AE808" s="21">
        <v>224</v>
      </c>
      <c r="AF808" s="41">
        <f t="shared" si="362"/>
        <v>0.81159420289855078</v>
      </c>
      <c r="AG808" s="21">
        <v>15</v>
      </c>
      <c r="AH808" s="41">
        <f t="shared" si="344"/>
        <v>4.2735042735042736E-2</v>
      </c>
      <c r="AI808" s="21">
        <v>15</v>
      </c>
      <c r="AJ808" s="41">
        <f t="shared" si="363"/>
        <v>5.434782608695652E-2</v>
      </c>
      <c r="AK808" s="21">
        <v>17</v>
      </c>
      <c r="AL808" s="41">
        <f t="shared" si="345"/>
        <v>4.843304843304843E-2</v>
      </c>
      <c r="AM808" s="21">
        <v>15</v>
      </c>
      <c r="AN808" s="41">
        <f t="shared" si="364"/>
        <v>5.434782608695652E-2</v>
      </c>
      <c r="AO808" s="21">
        <v>195</v>
      </c>
      <c r="AP808" s="41">
        <f t="shared" si="346"/>
        <v>0.55555555555555558</v>
      </c>
      <c r="AQ808" s="21">
        <v>156</v>
      </c>
      <c r="AR808" s="41">
        <f t="shared" si="365"/>
        <v>0.56521739130434778</v>
      </c>
      <c r="AS808" s="21">
        <v>71</v>
      </c>
      <c r="AT808" s="41">
        <f t="shared" si="347"/>
        <v>0.20227920227920229</v>
      </c>
      <c r="AU808" s="21">
        <v>48</v>
      </c>
      <c r="AV808" s="41">
        <f t="shared" si="366"/>
        <v>0.17391304347826086</v>
      </c>
      <c r="AW808" s="21">
        <v>35</v>
      </c>
      <c r="AX808" s="41">
        <f t="shared" si="348"/>
        <v>9.9715099715099717E-2</v>
      </c>
      <c r="AY808" s="21">
        <v>28</v>
      </c>
      <c r="AZ808" s="41">
        <f t="shared" si="367"/>
        <v>0.10144927536231885</v>
      </c>
      <c r="BA808" s="21">
        <v>18</v>
      </c>
      <c r="BB808" s="41">
        <f t="shared" si="349"/>
        <v>5.128205128205128E-2</v>
      </c>
      <c r="BC808" s="21">
        <v>14</v>
      </c>
      <c r="BD808" s="41">
        <f t="shared" si="368"/>
        <v>5.0724637681159424E-2</v>
      </c>
      <c r="BE808" s="21">
        <v>351</v>
      </c>
      <c r="BF808" s="21">
        <v>276</v>
      </c>
    </row>
    <row r="809" spans="1:58" ht="15.75" customHeight="1" x14ac:dyDescent="0.25">
      <c r="A809" s="44">
        <v>2019</v>
      </c>
      <c r="B809" s="39">
        <v>171880</v>
      </c>
      <c r="C809" s="38" t="s">
        <v>145</v>
      </c>
      <c r="D809" s="38" t="s">
        <v>117</v>
      </c>
      <c r="E809" s="21">
        <v>1</v>
      </c>
      <c r="F809" s="42">
        <f t="shared" si="350"/>
        <v>2.4330900243309003E-3</v>
      </c>
      <c r="G809" s="21">
        <v>1</v>
      </c>
      <c r="H809" s="42">
        <f t="shared" si="351"/>
        <v>2.7100271002710027E-3</v>
      </c>
      <c r="I809" s="21">
        <v>8</v>
      </c>
      <c r="J809" s="41">
        <f t="shared" si="352"/>
        <v>1.9464720194647202E-2</v>
      </c>
      <c r="K809" s="21">
        <v>7</v>
      </c>
      <c r="L809" s="41">
        <f t="shared" si="353"/>
        <v>1.8970189701897018E-2</v>
      </c>
      <c r="M809" s="21">
        <v>345</v>
      </c>
      <c r="N809" s="41">
        <f t="shared" si="354"/>
        <v>0.83941605839416056</v>
      </c>
      <c r="O809" s="21">
        <v>306</v>
      </c>
      <c r="P809" s="41">
        <f t="shared" si="355"/>
        <v>0.82926829268292679</v>
      </c>
      <c r="Q809" s="21">
        <v>57</v>
      </c>
      <c r="R809" s="41">
        <f t="shared" si="356"/>
        <v>0.13868613138686131</v>
      </c>
      <c r="S809" s="21">
        <v>55</v>
      </c>
      <c r="T809" s="41">
        <f t="shared" si="357"/>
        <v>0.14905149051490515</v>
      </c>
      <c r="U809" s="21">
        <v>70</v>
      </c>
      <c r="V809" s="41">
        <f t="shared" si="358"/>
        <v>0.170316301703163</v>
      </c>
      <c r="W809" s="21">
        <v>74</v>
      </c>
      <c r="X809" s="41">
        <f t="shared" si="359"/>
        <v>0.20054200542005421</v>
      </c>
      <c r="Y809" s="21">
        <v>39</v>
      </c>
      <c r="Z809" s="41">
        <f t="shared" si="360"/>
        <v>9.4890510948905105E-2</v>
      </c>
      <c r="AA809" s="21">
        <v>35</v>
      </c>
      <c r="AB809" s="41">
        <f t="shared" si="361"/>
        <v>9.4850948509485097E-2</v>
      </c>
      <c r="AC809" s="21">
        <v>302</v>
      </c>
      <c r="AD809" s="41">
        <f t="shared" si="343"/>
        <v>0.73479318734793186</v>
      </c>
      <c r="AE809" s="21">
        <v>260</v>
      </c>
      <c r="AF809" s="41">
        <f t="shared" si="362"/>
        <v>0.70460704607046065</v>
      </c>
      <c r="AG809" s="21">
        <v>11</v>
      </c>
      <c r="AH809" s="41">
        <f t="shared" si="344"/>
        <v>2.6763990267639901E-2</v>
      </c>
      <c r="AI809" s="21">
        <v>7</v>
      </c>
      <c r="AJ809" s="41">
        <f t="shared" si="363"/>
        <v>1.8970189701897018E-2</v>
      </c>
      <c r="AK809" s="21">
        <v>8</v>
      </c>
      <c r="AL809" s="41">
        <f t="shared" si="345"/>
        <v>1.9464720194647202E-2</v>
      </c>
      <c r="AM809" s="21">
        <v>7</v>
      </c>
      <c r="AN809" s="41">
        <f t="shared" si="364"/>
        <v>1.8970189701897018E-2</v>
      </c>
      <c r="AO809" s="21">
        <v>211</v>
      </c>
      <c r="AP809" s="41">
        <f t="shared" si="346"/>
        <v>0.51338199513381999</v>
      </c>
      <c r="AQ809" s="21">
        <v>178</v>
      </c>
      <c r="AR809" s="41">
        <f t="shared" si="365"/>
        <v>0.4823848238482385</v>
      </c>
      <c r="AS809" s="21">
        <v>47</v>
      </c>
      <c r="AT809" s="41">
        <f t="shared" si="347"/>
        <v>0.11435523114355231</v>
      </c>
      <c r="AU809" s="21">
        <v>37</v>
      </c>
      <c r="AV809" s="41">
        <f t="shared" si="366"/>
        <v>0.1002710027100271</v>
      </c>
      <c r="AW809" s="21">
        <v>40</v>
      </c>
      <c r="AX809" s="41">
        <f t="shared" si="348"/>
        <v>9.7323600973236016E-2</v>
      </c>
      <c r="AY809" s="21">
        <v>40</v>
      </c>
      <c r="AZ809" s="41">
        <f t="shared" si="367"/>
        <v>0.10840108401084012</v>
      </c>
      <c r="BA809" s="21">
        <v>94</v>
      </c>
      <c r="BB809" s="41">
        <f t="shared" si="349"/>
        <v>0.22871046228710462</v>
      </c>
      <c r="BC809" s="21">
        <v>100</v>
      </c>
      <c r="BD809" s="41">
        <f t="shared" si="368"/>
        <v>0.27100271002710025</v>
      </c>
      <c r="BE809" s="21">
        <v>411</v>
      </c>
      <c r="BF809" s="21">
        <v>369</v>
      </c>
    </row>
    <row r="810" spans="1:58" ht="15.75" customHeight="1" x14ac:dyDescent="0.25">
      <c r="A810" s="44">
        <v>2019</v>
      </c>
      <c r="B810" s="39">
        <v>171884</v>
      </c>
      <c r="C810" s="38" t="s">
        <v>146</v>
      </c>
      <c r="D810" s="38" t="s">
        <v>118</v>
      </c>
      <c r="E810" s="21">
        <v>2</v>
      </c>
      <c r="F810" s="42">
        <f t="shared" si="350"/>
        <v>1.4084507042253521E-2</v>
      </c>
      <c r="G810" s="21">
        <v>2</v>
      </c>
      <c r="H810" s="42">
        <f t="shared" si="351"/>
        <v>1.7241379310344827E-2</v>
      </c>
      <c r="I810" s="21">
        <v>6</v>
      </c>
      <c r="J810" s="41">
        <f t="shared" si="352"/>
        <v>4.2253521126760563E-2</v>
      </c>
      <c r="K810" s="21">
        <v>4</v>
      </c>
      <c r="L810" s="41">
        <f t="shared" si="353"/>
        <v>3.4482758620689655E-2</v>
      </c>
      <c r="M810" s="21">
        <v>128</v>
      </c>
      <c r="N810" s="41">
        <f t="shared" si="354"/>
        <v>0.90140845070422537</v>
      </c>
      <c r="O810" s="21">
        <v>105</v>
      </c>
      <c r="P810" s="41">
        <f t="shared" si="355"/>
        <v>0.90517241379310343</v>
      </c>
      <c r="Q810" s="21">
        <v>6</v>
      </c>
      <c r="R810" s="41">
        <f t="shared" si="356"/>
        <v>4.2253521126760563E-2</v>
      </c>
      <c r="S810" s="21">
        <v>5</v>
      </c>
      <c r="T810" s="41">
        <f t="shared" si="357"/>
        <v>4.3103448275862072E-2</v>
      </c>
      <c r="U810" s="21">
        <v>14</v>
      </c>
      <c r="V810" s="41">
        <f t="shared" si="358"/>
        <v>9.8591549295774641E-2</v>
      </c>
      <c r="W810" s="21">
        <v>12</v>
      </c>
      <c r="X810" s="41">
        <f t="shared" si="359"/>
        <v>0.10344827586206896</v>
      </c>
      <c r="Y810" s="21">
        <v>6</v>
      </c>
      <c r="Z810" s="41">
        <f t="shared" si="360"/>
        <v>4.2253521126760563E-2</v>
      </c>
      <c r="AA810" s="21">
        <v>5</v>
      </c>
      <c r="AB810" s="41">
        <f t="shared" si="361"/>
        <v>4.3103448275862072E-2</v>
      </c>
      <c r="AC810" s="21">
        <v>122</v>
      </c>
      <c r="AD810" s="41">
        <f t="shared" si="343"/>
        <v>0.85915492957746475</v>
      </c>
      <c r="AE810" s="21">
        <v>99</v>
      </c>
      <c r="AF810" s="41">
        <f t="shared" si="362"/>
        <v>0.85344827586206895</v>
      </c>
      <c r="AG810" s="21">
        <v>5</v>
      </c>
      <c r="AH810" s="41">
        <f t="shared" si="344"/>
        <v>3.5211267605633804E-2</v>
      </c>
      <c r="AI810" s="21">
        <v>5</v>
      </c>
      <c r="AJ810" s="41">
        <f t="shared" si="363"/>
        <v>4.3103448275862072E-2</v>
      </c>
      <c r="AK810" s="21">
        <v>8</v>
      </c>
      <c r="AL810" s="41">
        <f t="shared" si="345"/>
        <v>5.6338028169014086E-2</v>
      </c>
      <c r="AM810" s="21">
        <v>6</v>
      </c>
      <c r="AN810" s="41">
        <f t="shared" si="364"/>
        <v>5.1724137931034482E-2</v>
      </c>
      <c r="AO810" s="21">
        <v>83</v>
      </c>
      <c r="AP810" s="41">
        <f t="shared" si="346"/>
        <v>0.58450704225352113</v>
      </c>
      <c r="AQ810" s="21">
        <v>62</v>
      </c>
      <c r="AR810" s="41">
        <f t="shared" si="365"/>
        <v>0.53448275862068961</v>
      </c>
      <c r="AS810" s="21">
        <v>22</v>
      </c>
      <c r="AT810" s="41">
        <f t="shared" si="347"/>
        <v>0.15492957746478872</v>
      </c>
      <c r="AU810" s="21">
        <v>24</v>
      </c>
      <c r="AV810" s="41">
        <f t="shared" si="366"/>
        <v>0.20689655172413793</v>
      </c>
      <c r="AW810" s="21">
        <v>8</v>
      </c>
      <c r="AX810" s="41">
        <f t="shared" si="348"/>
        <v>5.6338028169014086E-2</v>
      </c>
      <c r="AY810" s="21">
        <v>7</v>
      </c>
      <c r="AZ810" s="41">
        <f t="shared" si="367"/>
        <v>6.0344827586206899E-2</v>
      </c>
      <c r="BA810" s="21">
        <v>16</v>
      </c>
      <c r="BB810" s="41">
        <f t="shared" si="349"/>
        <v>0.11267605633802817</v>
      </c>
      <c r="BC810" s="21">
        <v>12</v>
      </c>
      <c r="BD810" s="41">
        <f t="shared" si="368"/>
        <v>0.10344827586206896</v>
      </c>
      <c r="BE810" s="21">
        <v>142</v>
      </c>
      <c r="BF810" s="21">
        <v>116</v>
      </c>
    </row>
    <row r="811" spans="1:58" ht="15.75" customHeight="1" x14ac:dyDescent="0.25">
      <c r="A811" s="44">
        <v>2019</v>
      </c>
      <c r="B811" s="39">
        <v>171886</v>
      </c>
      <c r="C811" s="38" t="s">
        <v>149</v>
      </c>
      <c r="D811" s="38" t="s">
        <v>119</v>
      </c>
      <c r="E811" s="21">
        <v>4</v>
      </c>
      <c r="F811" s="42">
        <f t="shared" si="350"/>
        <v>1.1976047904191617E-2</v>
      </c>
      <c r="G811" s="21">
        <v>2</v>
      </c>
      <c r="H811" s="42">
        <f t="shared" si="351"/>
        <v>8.3333333333333332E-3</v>
      </c>
      <c r="I811" s="21">
        <v>7</v>
      </c>
      <c r="J811" s="41">
        <f t="shared" si="352"/>
        <v>2.0958083832335328E-2</v>
      </c>
      <c r="K811" s="21">
        <v>6</v>
      </c>
      <c r="L811" s="41">
        <f t="shared" si="353"/>
        <v>2.5000000000000001E-2</v>
      </c>
      <c r="M811" s="21">
        <v>312</v>
      </c>
      <c r="N811" s="41">
        <f t="shared" si="354"/>
        <v>0.93413173652694614</v>
      </c>
      <c r="O811" s="21">
        <v>224</v>
      </c>
      <c r="P811" s="41">
        <f t="shared" si="355"/>
        <v>0.93333333333333335</v>
      </c>
      <c r="Q811" s="21">
        <v>11</v>
      </c>
      <c r="R811" s="41">
        <f t="shared" si="356"/>
        <v>3.2934131736526949E-2</v>
      </c>
      <c r="S811" s="21">
        <v>8</v>
      </c>
      <c r="T811" s="41">
        <f t="shared" si="357"/>
        <v>3.3333333333333333E-2</v>
      </c>
      <c r="U811" s="21">
        <v>13</v>
      </c>
      <c r="V811" s="41">
        <f t="shared" si="358"/>
        <v>3.8922155688622756E-2</v>
      </c>
      <c r="W811" s="21">
        <v>16</v>
      </c>
      <c r="X811" s="41">
        <f t="shared" si="359"/>
        <v>6.6666666666666666E-2</v>
      </c>
      <c r="Y811" s="21">
        <v>21</v>
      </c>
      <c r="Z811" s="41">
        <f t="shared" si="360"/>
        <v>6.2874251497005984E-2</v>
      </c>
      <c r="AA811" s="21">
        <v>18</v>
      </c>
      <c r="AB811" s="41">
        <f t="shared" si="361"/>
        <v>7.4999999999999997E-2</v>
      </c>
      <c r="AC811" s="21">
        <v>300</v>
      </c>
      <c r="AD811" s="41">
        <f t="shared" si="343"/>
        <v>0.89820359281437123</v>
      </c>
      <c r="AE811" s="21">
        <v>206</v>
      </c>
      <c r="AF811" s="41">
        <f t="shared" si="362"/>
        <v>0.85833333333333328</v>
      </c>
      <c r="AG811" s="21">
        <v>8</v>
      </c>
      <c r="AH811" s="41">
        <f t="shared" si="344"/>
        <v>2.3952095808383235E-2</v>
      </c>
      <c r="AI811" s="21">
        <v>11</v>
      </c>
      <c r="AJ811" s="41">
        <f t="shared" si="363"/>
        <v>4.583333333333333E-2</v>
      </c>
      <c r="AK811" s="21">
        <v>14</v>
      </c>
      <c r="AL811" s="41">
        <f t="shared" si="345"/>
        <v>4.1916167664670656E-2</v>
      </c>
      <c r="AM811" s="21">
        <v>16</v>
      </c>
      <c r="AN811" s="41">
        <f t="shared" si="364"/>
        <v>6.6666666666666666E-2</v>
      </c>
      <c r="AO811" s="21">
        <v>237</v>
      </c>
      <c r="AP811" s="41">
        <f t="shared" si="346"/>
        <v>0.70958083832335328</v>
      </c>
      <c r="AQ811" s="21">
        <v>155</v>
      </c>
      <c r="AR811" s="41">
        <f t="shared" si="365"/>
        <v>0.64583333333333337</v>
      </c>
      <c r="AS811" s="21">
        <v>48</v>
      </c>
      <c r="AT811" s="41">
        <f t="shared" si="347"/>
        <v>0.1437125748502994</v>
      </c>
      <c r="AU811" s="21">
        <v>34</v>
      </c>
      <c r="AV811" s="41">
        <f t="shared" si="366"/>
        <v>0.14166666666666666</v>
      </c>
      <c r="AW811" s="21">
        <v>18</v>
      </c>
      <c r="AX811" s="41">
        <f t="shared" si="348"/>
        <v>5.3892215568862277E-2</v>
      </c>
      <c r="AY811" s="21">
        <v>13</v>
      </c>
      <c r="AZ811" s="41">
        <f t="shared" si="367"/>
        <v>5.4166666666666669E-2</v>
      </c>
      <c r="BA811" s="21">
        <v>9</v>
      </c>
      <c r="BB811" s="41">
        <f t="shared" si="349"/>
        <v>2.6946107784431138E-2</v>
      </c>
      <c r="BC811" s="21">
        <v>11</v>
      </c>
      <c r="BD811" s="41">
        <f t="shared" si="368"/>
        <v>4.583333333333333E-2</v>
      </c>
      <c r="BE811" s="21">
        <v>334</v>
      </c>
      <c r="BF811" s="21">
        <v>240</v>
      </c>
    </row>
    <row r="812" spans="1:58" ht="15.75" customHeight="1" x14ac:dyDescent="0.25">
      <c r="A812" s="44">
        <v>2019</v>
      </c>
      <c r="B812" s="39">
        <v>171888</v>
      </c>
      <c r="C812" s="38" t="s">
        <v>150</v>
      </c>
      <c r="D812" s="38" t="s">
        <v>120</v>
      </c>
      <c r="E812" s="21">
        <v>2</v>
      </c>
      <c r="F812" s="42">
        <f t="shared" si="350"/>
        <v>1.3333333333333334E-2</v>
      </c>
      <c r="G812" s="21">
        <v>2</v>
      </c>
      <c r="H812" s="42">
        <f t="shared" si="351"/>
        <v>2.6315789473684209E-2</v>
      </c>
      <c r="I812" s="21">
        <v>7</v>
      </c>
      <c r="J812" s="41">
        <f t="shared" si="352"/>
        <v>4.6666666666666669E-2</v>
      </c>
      <c r="K812" s="21">
        <v>4</v>
      </c>
      <c r="L812" s="41">
        <f t="shared" si="353"/>
        <v>5.2631578947368418E-2</v>
      </c>
      <c r="M812" s="21">
        <v>137</v>
      </c>
      <c r="N812" s="41">
        <f t="shared" si="354"/>
        <v>0.91333333333333333</v>
      </c>
      <c r="O812" s="21">
        <v>67</v>
      </c>
      <c r="P812" s="41">
        <f t="shared" si="355"/>
        <v>0.88157894736842102</v>
      </c>
      <c r="Q812" s="21">
        <v>4</v>
      </c>
      <c r="R812" s="41">
        <f t="shared" si="356"/>
        <v>2.6666666666666668E-2</v>
      </c>
      <c r="S812" s="21">
        <v>3</v>
      </c>
      <c r="T812" s="41">
        <f t="shared" si="357"/>
        <v>3.9473684210526314E-2</v>
      </c>
      <c r="U812" s="21">
        <v>8</v>
      </c>
      <c r="V812" s="41">
        <f t="shared" si="358"/>
        <v>5.3333333333333337E-2</v>
      </c>
      <c r="W812" s="21">
        <v>4</v>
      </c>
      <c r="X812" s="41">
        <f t="shared" si="359"/>
        <v>5.2631578947368418E-2</v>
      </c>
      <c r="Y812" s="21">
        <v>15</v>
      </c>
      <c r="Z812" s="41">
        <f t="shared" si="360"/>
        <v>0.1</v>
      </c>
      <c r="AA812" s="21">
        <v>11</v>
      </c>
      <c r="AB812" s="41">
        <f t="shared" si="361"/>
        <v>0.14473684210526316</v>
      </c>
      <c r="AC812" s="21">
        <v>127</v>
      </c>
      <c r="AD812" s="41">
        <f t="shared" si="343"/>
        <v>0.84666666666666668</v>
      </c>
      <c r="AE812" s="21">
        <v>61</v>
      </c>
      <c r="AF812" s="41">
        <f t="shared" si="362"/>
        <v>0.80263157894736847</v>
      </c>
      <c r="AG812" s="21">
        <v>3</v>
      </c>
      <c r="AH812" s="41">
        <f t="shared" si="344"/>
        <v>0.02</v>
      </c>
      <c r="AI812" s="21">
        <v>3</v>
      </c>
      <c r="AJ812" s="41">
        <f t="shared" si="363"/>
        <v>3.9473684210526314E-2</v>
      </c>
      <c r="AK812" s="21">
        <v>3</v>
      </c>
      <c r="AL812" s="41">
        <f t="shared" si="345"/>
        <v>0.02</v>
      </c>
      <c r="AM812" s="21">
        <v>1</v>
      </c>
      <c r="AN812" s="41">
        <f t="shared" si="364"/>
        <v>1.3157894736842105E-2</v>
      </c>
      <c r="AO812" s="21">
        <v>92</v>
      </c>
      <c r="AP812" s="41">
        <f t="shared" si="346"/>
        <v>0.61333333333333329</v>
      </c>
      <c r="AQ812" s="21">
        <v>44</v>
      </c>
      <c r="AR812" s="41">
        <f t="shared" si="365"/>
        <v>0.57894736842105265</v>
      </c>
      <c r="AS812" s="21">
        <v>34</v>
      </c>
      <c r="AT812" s="41">
        <f t="shared" si="347"/>
        <v>0.22666666666666666</v>
      </c>
      <c r="AU812" s="21">
        <v>18</v>
      </c>
      <c r="AV812" s="41">
        <f t="shared" si="366"/>
        <v>0.23684210526315788</v>
      </c>
      <c r="AW812" s="21">
        <v>10</v>
      </c>
      <c r="AX812" s="41">
        <f t="shared" si="348"/>
        <v>6.6666666666666666E-2</v>
      </c>
      <c r="AY812" s="21">
        <v>6</v>
      </c>
      <c r="AZ812" s="41">
        <f t="shared" si="367"/>
        <v>7.8947368421052627E-2</v>
      </c>
      <c r="BA812" s="21">
        <v>8</v>
      </c>
      <c r="BB812" s="41">
        <f t="shared" si="349"/>
        <v>5.3333333333333337E-2</v>
      </c>
      <c r="BC812" s="21">
        <v>4</v>
      </c>
      <c r="BD812" s="41">
        <f t="shared" si="368"/>
        <v>5.2631578947368418E-2</v>
      </c>
      <c r="BE812" s="21">
        <v>150</v>
      </c>
      <c r="BF812" s="21">
        <v>76</v>
      </c>
    </row>
    <row r="813" spans="1:58" ht="15.75" customHeight="1" x14ac:dyDescent="0.25">
      <c r="A813" s="44">
        <v>2019</v>
      </c>
      <c r="B813" s="39">
        <v>171889</v>
      </c>
      <c r="C813" s="38" t="s">
        <v>146</v>
      </c>
      <c r="D813" s="38" t="s">
        <v>121</v>
      </c>
      <c r="E813" s="21">
        <v>0</v>
      </c>
      <c r="F813" s="42">
        <f t="shared" si="350"/>
        <v>0</v>
      </c>
      <c r="G813" s="21">
        <v>0</v>
      </c>
      <c r="H813" s="42">
        <f t="shared" si="351"/>
        <v>0</v>
      </c>
      <c r="I813" s="21">
        <v>2</v>
      </c>
      <c r="J813" s="41">
        <f t="shared" si="352"/>
        <v>2.7777777777777776E-2</v>
      </c>
      <c r="K813" s="21">
        <v>2</v>
      </c>
      <c r="L813" s="41">
        <f t="shared" si="353"/>
        <v>5.2631578947368418E-2</v>
      </c>
      <c r="M813" s="21">
        <v>64</v>
      </c>
      <c r="N813" s="41">
        <f t="shared" si="354"/>
        <v>0.88888888888888884</v>
      </c>
      <c r="O813" s="21">
        <v>33</v>
      </c>
      <c r="P813" s="41">
        <f t="shared" si="355"/>
        <v>0.86842105263157898</v>
      </c>
      <c r="Q813" s="21">
        <v>6</v>
      </c>
      <c r="R813" s="41">
        <f t="shared" si="356"/>
        <v>8.3333333333333329E-2</v>
      </c>
      <c r="S813" s="21">
        <v>3</v>
      </c>
      <c r="T813" s="41">
        <f t="shared" si="357"/>
        <v>7.8947368421052627E-2</v>
      </c>
      <c r="U813" s="21">
        <v>6</v>
      </c>
      <c r="V813" s="41">
        <f t="shared" si="358"/>
        <v>8.3333333333333329E-2</v>
      </c>
      <c r="W813" s="21">
        <v>6</v>
      </c>
      <c r="X813" s="41">
        <f t="shared" si="359"/>
        <v>0.15789473684210525</v>
      </c>
      <c r="Y813" s="21">
        <v>4</v>
      </c>
      <c r="Z813" s="41">
        <f t="shared" si="360"/>
        <v>5.5555555555555552E-2</v>
      </c>
      <c r="AA813" s="21">
        <v>2</v>
      </c>
      <c r="AB813" s="41">
        <f t="shared" si="361"/>
        <v>5.2631578947368418E-2</v>
      </c>
      <c r="AC813" s="21">
        <v>62</v>
      </c>
      <c r="AD813" s="41">
        <f t="shared" si="343"/>
        <v>0.86111111111111116</v>
      </c>
      <c r="AE813" s="21">
        <v>30</v>
      </c>
      <c r="AF813" s="41">
        <f t="shared" si="362"/>
        <v>0.78947368421052633</v>
      </c>
      <c r="AG813" s="21">
        <v>0</v>
      </c>
      <c r="AH813" s="41">
        <f t="shared" si="344"/>
        <v>0</v>
      </c>
      <c r="AI813" s="21">
        <v>1</v>
      </c>
      <c r="AJ813" s="41">
        <f t="shared" si="363"/>
        <v>2.6315789473684209E-2</v>
      </c>
      <c r="AK813" s="21">
        <v>4</v>
      </c>
      <c r="AL813" s="41">
        <f t="shared" si="345"/>
        <v>5.5555555555555552E-2</v>
      </c>
      <c r="AM813" s="21">
        <v>2</v>
      </c>
      <c r="AN813" s="41">
        <f t="shared" si="364"/>
        <v>5.2631578947368418E-2</v>
      </c>
      <c r="AO813" s="21">
        <v>40</v>
      </c>
      <c r="AP813" s="41">
        <f t="shared" si="346"/>
        <v>0.55555555555555558</v>
      </c>
      <c r="AQ813" s="21">
        <v>19</v>
      </c>
      <c r="AR813" s="41">
        <f t="shared" si="365"/>
        <v>0.5</v>
      </c>
      <c r="AS813" s="21">
        <v>17</v>
      </c>
      <c r="AT813" s="41">
        <f t="shared" si="347"/>
        <v>0.2361111111111111</v>
      </c>
      <c r="AU813" s="21">
        <v>11</v>
      </c>
      <c r="AV813" s="41">
        <f t="shared" si="366"/>
        <v>0.28947368421052633</v>
      </c>
      <c r="AW813" s="21">
        <v>7</v>
      </c>
      <c r="AX813" s="41">
        <f t="shared" si="348"/>
        <v>9.7222222222222224E-2</v>
      </c>
      <c r="AY813" s="21">
        <v>3</v>
      </c>
      <c r="AZ813" s="41">
        <f t="shared" si="367"/>
        <v>7.8947368421052627E-2</v>
      </c>
      <c r="BA813" s="21">
        <v>4</v>
      </c>
      <c r="BB813" s="41">
        <f t="shared" si="349"/>
        <v>5.5555555555555552E-2</v>
      </c>
      <c r="BC813" s="21">
        <v>2</v>
      </c>
      <c r="BD813" s="41">
        <f t="shared" si="368"/>
        <v>5.2631578947368418E-2</v>
      </c>
      <c r="BE813" s="21">
        <v>72</v>
      </c>
      <c r="BF813" s="21">
        <v>38</v>
      </c>
    </row>
    <row r="814" spans="1:58" ht="15.75" customHeight="1" x14ac:dyDescent="0.25">
      <c r="A814" s="44">
        <v>2019</v>
      </c>
      <c r="B814" s="39">
        <v>171890</v>
      </c>
      <c r="C814" s="38" t="s">
        <v>151</v>
      </c>
      <c r="D814" s="38" t="s">
        <v>122</v>
      </c>
      <c r="E814" s="21">
        <v>1</v>
      </c>
      <c r="F814" s="42">
        <f t="shared" si="350"/>
        <v>4.807692307692308E-3</v>
      </c>
      <c r="G814" s="21">
        <v>1</v>
      </c>
      <c r="H814" s="42">
        <f t="shared" si="351"/>
        <v>5.5248618784530384E-3</v>
      </c>
      <c r="I814" s="21">
        <v>3</v>
      </c>
      <c r="J814" s="41">
        <f t="shared" si="352"/>
        <v>1.4423076923076924E-2</v>
      </c>
      <c r="K814" s="21">
        <v>3</v>
      </c>
      <c r="L814" s="41">
        <f t="shared" si="353"/>
        <v>1.6574585635359115E-2</v>
      </c>
      <c r="M814" s="21">
        <v>195</v>
      </c>
      <c r="N814" s="41">
        <f t="shared" si="354"/>
        <v>0.9375</v>
      </c>
      <c r="O814" s="21">
        <v>168</v>
      </c>
      <c r="P814" s="41">
        <f t="shared" si="355"/>
        <v>0.92817679558011046</v>
      </c>
      <c r="Q814" s="21">
        <v>9</v>
      </c>
      <c r="R814" s="41">
        <f t="shared" si="356"/>
        <v>4.3269230769230768E-2</v>
      </c>
      <c r="S814" s="21">
        <v>9</v>
      </c>
      <c r="T814" s="41">
        <f t="shared" si="357"/>
        <v>4.9723756906077346E-2</v>
      </c>
      <c r="U814" s="21">
        <v>6</v>
      </c>
      <c r="V814" s="41">
        <f t="shared" si="358"/>
        <v>2.8846153846153848E-2</v>
      </c>
      <c r="W814" s="21">
        <v>6</v>
      </c>
      <c r="X814" s="41">
        <f t="shared" si="359"/>
        <v>3.3149171270718231E-2</v>
      </c>
      <c r="Y814" s="21">
        <v>9</v>
      </c>
      <c r="Z814" s="41">
        <f t="shared" si="360"/>
        <v>4.3269230769230768E-2</v>
      </c>
      <c r="AA814" s="21">
        <v>9</v>
      </c>
      <c r="AB814" s="41">
        <f t="shared" si="361"/>
        <v>4.9723756906077346E-2</v>
      </c>
      <c r="AC814" s="21">
        <v>193</v>
      </c>
      <c r="AD814" s="41">
        <f t="shared" si="343"/>
        <v>0.92788461538461542</v>
      </c>
      <c r="AE814" s="21">
        <v>166</v>
      </c>
      <c r="AF814" s="41">
        <f t="shared" si="362"/>
        <v>0.91712707182320441</v>
      </c>
      <c r="AG814" s="21">
        <v>4</v>
      </c>
      <c r="AH814" s="41">
        <f t="shared" si="344"/>
        <v>1.9230769230769232E-2</v>
      </c>
      <c r="AI814" s="21">
        <v>3</v>
      </c>
      <c r="AJ814" s="41">
        <f t="shared" si="363"/>
        <v>1.6574585635359115E-2</v>
      </c>
      <c r="AK814" s="21">
        <v>18</v>
      </c>
      <c r="AL814" s="41">
        <f t="shared" si="345"/>
        <v>8.6538461538461536E-2</v>
      </c>
      <c r="AM814" s="21">
        <v>18</v>
      </c>
      <c r="AN814" s="41">
        <f t="shared" si="364"/>
        <v>9.9447513812154692E-2</v>
      </c>
      <c r="AO814" s="21">
        <v>147</v>
      </c>
      <c r="AP814" s="41">
        <f t="shared" si="346"/>
        <v>0.70673076923076927</v>
      </c>
      <c r="AQ814" s="21">
        <v>127</v>
      </c>
      <c r="AR814" s="41">
        <f t="shared" si="365"/>
        <v>0.7016574585635359</v>
      </c>
      <c r="AS814" s="21">
        <v>27</v>
      </c>
      <c r="AT814" s="41">
        <f t="shared" si="347"/>
        <v>0.12980769230769232</v>
      </c>
      <c r="AU814" s="21">
        <v>22</v>
      </c>
      <c r="AV814" s="41">
        <f t="shared" si="366"/>
        <v>0.12154696132596685</v>
      </c>
      <c r="AW814" s="21">
        <v>5</v>
      </c>
      <c r="AX814" s="41">
        <f t="shared" si="348"/>
        <v>2.403846153846154E-2</v>
      </c>
      <c r="AY814" s="21">
        <v>3</v>
      </c>
      <c r="AZ814" s="41">
        <f t="shared" si="367"/>
        <v>1.6574585635359115E-2</v>
      </c>
      <c r="BA814" s="21">
        <v>7</v>
      </c>
      <c r="BB814" s="41">
        <f t="shared" si="349"/>
        <v>3.3653846153846152E-2</v>
      </c>
      <c r="BC814" s="21">
        <v>8</v>
      </c>
      <c r="BD814" s="41">
        <f t="shared" si="368"/>
        <v>4.4198895027624308E-2</v>
      </c>
      <c r="BE814" s="21">
        <v>208</v>
      </c>
      <c r="BF814" s="21">
        <v>181</v>
      </c>
    </row>
    <row r="815" spans="1:58" ht="15.75" customHeight="1" x14ac:dyDescent="0.25">
      <c r="A815" s="44">
        <v>2019</v>
      </c>
      <c r="B815" s="39">
        <v>171900</v>
      </c>
      <c r="C815" s="38" t="s">
        <v>148</v>
      </c>
      <c r="D815" s="38" t="s">
        <v>123</v>
      </c>
      <c r="E815" s="21">
        <v>1</v>
      </c>
      <c r="F815" s="42">
        <f t="shared" si="350"/>
        <v>3.5087719298245615E-3</v>
      </c>
      <c r="G815" s="21">
        <v>0</v>
      </c>
      <c r="H815" s="42">
        <f t="shared" si="351"/>
        <v>0</v>
      </c>
      <c r="I815" s="21">
        <v>10</v>
      </c>
      <c r="J815" s="41">
        <f t="shared" si="352"/>
        <v>3.5087719298245612E-2</v>
      </c>
      <c r="K815" s="21">
        <v>5</v>
      </c>
      <c r="L815" s="41">
        <f t="shared" si="353"/>
        <v>4.9504950495049507E-2</v>
      </c>
      <c r="M815" s="21">
        <v>260</v>
      </c>
      <c r="N815" s="41">
        <f t="shared" si="354"/>
        <v>0.91228070175438591</v>
      </c>
      <c r="O815" s="21">
        <v>96</v>
      </c>
      <c r="P815" s="41">
        <f t="shared" si="355"/>
        <v>0.95049504950495045</v>
      </c>
      <c r="Q815" s="21">
        <v>14</v>
      </c>
      <c r="R815" s="41">
        <f t="shared" si="356"/>
        <v>4.912280701754386E-2</v>
      </c>
      <c r="S815" s="21">
        <v>0</v>
      </c>
      <c r="T815" s="41">
        <f t="shared" si="357"/>
        <v>0</v>
      </c>
      <c r="U815" s="21">
        <v>8</v>
      </c>
      <c r="V815" s="41">
        <f t="shared" si="358"/>
        <v>2.8070175438596492E-2</v>
      </c>
      <c r="W815" s="21">
        <v>3</v>
      </c>
      <c r="X815" s="41">
        <f t="shared" si="359"/>
        <v>2.9702970297029702E-2</v>
      </c>
      <c r="Y815" s="21">
        <v>25</v>
      </c>
      <c r="Z815" s="41">
        <f t="shared" si="360"/>
        <v>8.771929824561403E-2</v>
      </c>
      <c r="AA815" s="21">
        <v>15</v>
      </c>
      <c r="AB815" s="41">
        <f t="shared" si="361"/>
        <v>0.14851485148514851</v>
      </c>
      <c r="AC815" s="21">
        <v>252</v>
      </c>
      <c r="AD815" s="41">
        <f t="shared" si="343"/>
        <v>0.88421052631578945</v>
      </c>
      <c r="AE815" s="21">
        <v>83</v>
      </c>
      <c r="AF815" s="41">
        <f t="shared" si="362"/>
        <v>0.82178217821782173</v>
      </c>
      <c r="AG815" s="21">
        <v>2</v>
      </c>
      <c r="AH815" s="41">
        <f t="shared" si="344"/>
        <v>7.0175438596491229E-3</v>
      </c>
      <c r="AI815" s="21">
        <v>1</v>
      </c>
      <c r="AJ815" s="41">
        <f t="shared" si="363"/>
        <v>9.9009900990099011E-3</v>
      </c>
      <c r="AK815" s="21">
        <v>6</v>
      </c>
      <c r="AL815" s="41">
        <f t="shared" si="345"/>
        <v>2.1052631578947368E-2</v>
      </c>
      <c r="AM815" s="21">
        <v>6</v>
      </c>
      <c r="AN815" s="41">
        <f t="shared" si="364"/>
        <v>5.9405940594059403E-2</v>
      </c>
      <c r="AO815" s="21">
        <v>197</v>
      </c>
      <c r="AP815" s="41">
        <f t="shared" si="346"/>
        <v>0.69122807017543864</v>
      </c>
      <c r="AQ815" s="21">
        <v>73</v>
      </c>
      <c r="AR815" s="41">
        <f t="shared" si="365"/>
        <v>0.72277227722772275</v>
      </c>
      <c r="AS815" s="21">
        <v>47</v>
      </c>
      <c r="AT815" s="41">
        <f t="shared" si="347"/>
        <v>0.1649122807017544</v>
      </c>
      <c r="AU815" s="21">
        <v>14</v>
      </c>
      <c r="AV815" s="41">
        <f t="shared" si="366"/>
        <v>0.13861386138613863</v>
      </c>
      <c r="AW815" s="21">
        <v>24</v>
      </c>
      <c r="AX815" s="41">
        <f t="shared" si="348"/>
        <v>8.4210526315789472E-2</v>
      </c>
      <c r="AY815" s="21">
        <v>4</v>
      </c>
      <c r="AZ815" s="41">
        <f t="shared" si="367"/>
        <v>3.9603960396039604E-2</v>
      </c>
      <c r="BA815" s="21">
        <v>9</v>
      </c>
      <c r="BB815" s="41">
        <f t="shared" si="349"/>
        <v>3.1578947368421054E-2</v>
      </c>
      <c r="BC815" s="21">
        <v>3</v>
      </c>
      <c r="BD815" s="41">
        <f t="shared" si="368"/>
        <v>2.9702970297029702E-2</v>
      </c>
      <c r="BE815" s="21">
        <v>285</v>
      </c>
      <c r="BF815" s="21">
        <v>101</v>
      </c>
    </row>
    <row r="816" spans="1:58" ht="15.75" customHeight="1" x14ac:dyDescent="0.25">
      <c r="A816" s="44">
        <v>2019</v>
      </c>
      <c r="B816" s="39">
        <v>172000</v>
      </c>
      <c r="C816" s="38" t="s">
        <v>145</v>
      </c>
      <c r="D816" s="38" t="s">
        <v>124</v>
      </c>
      <c r="E816" s="21">
        <v>0</v>
      </c>
      <c r="F816" s="42">
        <f t="shared" si="350"/>
        <v>0</v>
      </c>
      <c r="G816" s="21">
        <v>0</v>
      </c>
      <c r="H816" s="42">
        <f t="shared" si="351"/>
        <v>0</v>
      </c>
      <c r="I816" s="21">
        <v>5</v>
      </c>
      <c r="J816" s="41">
        <f t="shared" si="352"/>
        <v>4.1322314049586778E-2</v>
      </c>
      <c r="K816" s="21">
        <v>3</v>
      </c>
      <c r="L816" s="41">
        <f t="shared" si="353"/>
        <v>4.2857142857142858E-2</v>
      </c>
      <c r="M816" s="21">
        <v>114</v>
      </c>
      <c r="N816" s="41">
        <f t="shared" si="354"/>
        <v>0.94214876033057848</v>
      </c>
      <c r="O816" s="21">
        <v>66</v>
      </c>
      <c r="P816" s="41">
        <f t="shared" si="355"/>
        <v>0.94285714285714284</v>
      </c>
      <c r="Q816" s="21">
        <v>2</v>
      </c>
      <c r="R816" s="41">
        <f t="shared" si="356"/>
        <v>1.6528925619834711E-2</v>
      </c>
      <c r="S816" s="21">
        <v>1</v>
      </c>
      <c r="T816" s="41">
        <f t="shared" si="357"/>
        <v>1.4285714285714285E-2</v>
      </c>
      <c r="U816" s="21">
        <v>6</v>
      </c>
      <c r="V816" s="41">
        <f t="shared" si="358"/>
        <v>4.9586776859504134E-2</v>
      </c>
      <c r="W816" s="21">
        <v>2</v>
      </c>
      <c r="X816" s="41">
        <f t="shared" si="359"/>
        <v>2.8571428571428571E-2</v>
      </c>
      <c r="Y816" s="21">
        <v>14</v>
      </c>
      <c r="Z816" s="41">
        <f t="shared" si="360"/>
        <v>0.11570247933884298</v>
      </c>
      <c r="AA816" s="21">
        <v>8</v>
      </c>
      <c r="AB816" s="41">
        <f t="shared" si="361"/>
        <v>0.11428571428571428</v>
      </c>
      <c r="AC816" s="21">
        <v>101</v>
      </c>
      <c r="AD816" s="41">
        <f t="shared" si="343"/>
        <v>0.83471074380165289</v>
      </c>
      <c r="AE816" s="21">
        <v>60</v>
      </c>
      <c r="AF816" s="41">
        <f t="shared" si="362"/>
        <v>0.8571428571428571</v>
      </c>
      <c r="AG816" s="21">
        <v>3</v>
      </c>
      <c r="AH816" s="41">
        <f t="shared" si="344"/>
        <v>2.4793388429752067E-2</v>
      </c>
      <c r="AI816" s="21">
        <v>2</v>
      </c>
      <c r="AJ816" s="41">
        <f t="shared" si="363"/>
        <v>2.8571428571428571E-2</v>
      </c>
      <c r="AK816" s="21">
        <v>2</v>
      </c>
      <c r="AL816" s="41">
        <f t="shared" si="345"/>
        <v>1.6528925619834711E-2</v>
      </c>
      <c r="AM816" s="21">
        <v>1</v>
      </c>
      <c r="AN816" s="41">
        <f t="shared" si="364"/>
        <v>1.4285714285714285E-2</v>
      </c>
      <c r="AO816" s="21">
        <v>75</v>
      </c>
      <c r="AP816" s="41">
        <f t="shared" si="346"/>
        <v>0.6198347107438017</v>
      </c>
      <c r="AQ816" s="21">
        <v>45</v>
      </c>
      <c r="AR816" s="41">
        <f t="shared" si="365"/>
        <v>0.6428571428571429</v>
      </c>
      <c r="AS816" s="21">
        <v>25</v>
      </c>
      <c r="AT816" s="41">
        <f t="shared" si="347"/>
        <v>0.20661157024793389</v>
      </c>
      <c r="AU816" s="21">
        <v>15</v>
      </c>
      <c r="AV816" s="41">
        <f t="shared" si="366"/>
        <v>0.21428571428571427</v>
      </c>
      <c r="AW816" s="21">
        <v>13</v>
      </c>
      <c r="AX816" s="41">
        <f t="shared" si="348"/>
        <v>0.10743801652892562</v>
      </c>
      <c r="AY816" s="21">
        <v>5</v>
      </c>
      <c r="AZ816" s="41">
        <f t="shared" si="367"/>
        <v>7.1428571428571425E-2</v>
      </c>
      <c r="BA816" s="21">
        <v>3</v>
      </c>
      <c r="BB816" s="41">
        <f t="shared" si="349"/>
        <v>2.4793388429752067E-2</v>
      </c>
      <c r="BC816" s="21">
        <v>2</v>
      </c>
      <c r="BD816" s="41">
        <f t="shared" si="368"/>
        <v>2.8571428571428571E-2</v>
      </c>
      <c r="BE816" s="21">
        <v>121</v>
      </c>
      <c r="BF816" s="21">
        <v>70</v>
      </c>
    </row>
    <row r="817" spans="1:58" ht="15.75" customHeight="1" x14ac:dyDescent="0.25">
      <c r="A817" s="44">
        <v>2019</v>
      </c>
      <c r="B817" s="39">
        <v>172010</v>
      </c>
      <c r="C817" s="38" t="s">
        <v>145</v>
      </c>
      <c r="D817" s="38" t="s">
        <v>125</v>
      </c>
      <c r="E817" s="21">
        <v>1</v>
      </c>
      <c r="F817" s="42">
        <f t="shared" si="350"/>
        <v>3.7174721189591076E-3</v>
      </c>
      <c r="G817" s="21">
        <v>1</v>
      </c>
      <c r="H817" s="42">
        <f t="shared" si="351"/>
        <v>5.263157894736842E-3</v>
      </c>
      <c r="I817" s="21">
        <v>6</v>
      </c>
      <c r="J817" s="41">
        <f t="shared" si="352"/>
        <v>2.2304832713754646E-2</v>
      </c>
      <c r="K817" s="21">
        <v>2</v>
      </c>
      <c r="L817" s="41">
        <f t="shared" si="353"/>
        <v>1.0526315789473684E-2</v>
      </c>
      <c r="M817" s="21">
        <v>246</v>
      </c>
      <c r="N817" s="41">
        <f t="shared" si="354"/>
        <v>0.91449814126394047</v>
      </c>
      <c r="O817" s="21">
        <v>177</v>
      </c>
      <c r="P817" s="41">
        <f t="shared" si="355"/>
        <v>0.93157894736842106</v>
      </c>
      <c r="Q817" s="21">
        <v>16</v>
      </c>
      <c r="R817" s="41">
        <f t="shared" si="356"/>
        <v>5.9479553903345722E-2</v>
      </c>
      <c r="S817" s="21">
        <v>10</v>
      </c>
      <c r="T817" s="41">
        <f t="shared" si="357"/>
        <v>5.2631578947368418E-2</v>
      </c>
      <c r="U817" s="21">
        <v>13</v>
      </c>
      <c r="V817" s="41">
        <f t="shared" si="358"/>
        <v>4.8327137546468404E-2</v>
      </c>
      <c r="W817" s="21">
        <v>9</v>
      </c>
      <c r="X817" s="41">
        <f t="shared" si="359"/>
        <v>4.736842105263158E-2</v>
      </c>
      <c r="Y817" s="21">
        <v>24</v>
      </c>
      <c r="Z817" s="41">
        <f t="shared" si="360"/>
        <v>8.9219330855018583E-2</v>
      </c>
      <c r="AA817" s="21">
        <v>16</v>
      </c>
      <c r="AB817" s="41">
        <f t="shared" si="361"/>
        <v>8.4210526315789472E-2</v>
      </c>
      <c r="AC817" s="21">
        <v>232</v>
      </c>
      <c r="AD817" s="41">
        <f t="shared" si="343"/>
        <v>0.86245353159851301</v>
      </c>
      <c r="AE817" s="21">
        <v>165</v>
      </c>
      <c r="AF817" s="41">
        <f t="shared" si="362"/>
        <v>0.86842105263157898</v>
      </c>
      <c r="AG817" s="21">
        <v>2</v>
      </c>
      <c r="AH817" s="41">
        <f t="shared" si="344"/>
        <v>7.4349442379182153E-3</v>
      </c>
      <c r="AI817" s="21">
        <v>2</v>
      </c>
      <c r="AJ817" s="41">
        <f t="shared" si="363"/>
        <v>1.0526315789473684E-2</v>
      </c>
      <c r="AK817" s="21">
        <v>11</v>
      </c>
      <c r="AL817" s="41">
        <f t="shared" si="345"/>
        <v>4.0892193308550186E-2</v>
      </c>
      <c r="AM817" s="21">
        <v>8</v>
      </c>
      <c r="AN817" s="41">
        <f t="shared" si="364"/>
        <v>4.2105263157894736E-2</v>
      </c>
      <c r="AO817" s="21">
        <v>193</v>
      </c>
      <c r="AP817" s="41">
        <f t="shared" si="346"/>
        <v>0.71747211895910779</v>
      </c>
      <c r="AQ817" s="21">
        <v>143</v>
      </c>
      <c r="AR817" s="41">
        <f t="shared" si="365"/>
        <v>0.75263157894736843</v>
      </c>
      <c r="AS817" s="21">
        <v>35</v>
      </c>
      <c r="AT817" s="41">
        <f t="shared" si="347"/>
        <v>0.13011152416356878</v>
      </c>
      <c r="AU817" s="21">
        <v>18</v>
      </c>
      <c r="AV817" s="41">
        <f t="shared" si="366"/>
        <v>9.4736842105263161E-2</v>
      </c>
      <c r="AW817" s="21">
        <v>15</v>
      </c>
      <c r="AX817" s="41">
        <f t="shared" si="348"/>
        <v>5.5762081784386616E-2</v>
      </c>
      <c r="AY817" s="21">
        <v>11</v>
      </c>
      <c r="AZ817" s="41">
        <f t="shared" si="367"/>
        <v>5.7894736842105263E-2</v>
      </c>
      <c r="BA817" s="21">
        <v>13</v>
      </c>
      <c r="BB817" s="41">
        <f t="shared" si="349"/>
        <v>4.8327137546468404E-2</v>
      </c>
      <c r="BC817" s="21">
        <v>8</v>
      </c>
      <c r="BD817" s="41">
        <f t="shared" si="368"/>
        <v>4.2105263157894736E-2</v>
      </c>
      <c r="BE817" s="21">
        <v>269</v>
      </c>
      <c r="BF817" s="21">
        <v>190</v>
      </c>
    </row>
    <row r="818" spans="1:58" ht="15.75" customHeight="1" x14ac:dyDescent="0.25">
      <c r="A818" s="44">
        <v>2019</v>
      </c>
      <c r="B818" s="39">
        <v>172015</v>
      </c>
      <c r="C818" s="38" t="s">
        <v>148</v>
      </c>
      <c r="D818" s="38" t="s">
        <v>126</v>
      </c>
      <c r="E818" s="21">
        <v>2</v>
      </c>
      <c r="F818" s="42">
        <f t="shared" si="350"/>
        <v>2.7777777777777776E-2</v>
      </c>
      <c r="G818" s="21">
        <v>2</v>
      </c>
      <c r="H818" s="42">
        <f t="shared" si="351"/>
        <v>3.5087719298245612E-2</v>
      </c>
      <c r="I818" s="21">
        <v>2</v>
      </c>
      <c r="J818" s="41">
        <f t="shared" si="352"/>
        <v>2.7777777777777776E-2</v>
      </c>
      <c r="K818" s="21">
        <v>3</v>
      </c>
      <c r="L818" s="41">
        <f t="shared" si="353"/>
        <v>5.2631578947368418E-2</v>
      </c>
      <c r="M818" s="21">
        <v>66</v>
      </c>
      <c r="N818" s="41">
        <f t="shared" si="354"/>
        <v>0.91666666666666663</v>
      </c>
      <c r="O818" s="21">
        <v>50</v>
      </c>
      <c r="P818" s="41">
        <f t="shared" si="355"/>
        <v>0.8771929824561403</v>
      </c>
      <c r="Q818" s="21">
        <v>2</v>
      </c>
      <c r="R818" s="41">
        <f t="shared" si="356"/>
        <v>2.7777777777777776E-2</v>
      </c>
      <c r="S818" s="21">
        <v>2</v>
      </c>
      <c r="T818" s="41">
        <f t="shared" si="357"/>
        <v>3.5087719298245612E-2</v>
      </c>
      <c r="U818" s="21">
        <v>5</v>
      </c>
      <c r="V818" s="41">
        <f t="shared" si="358"/>
        <v>6.9444444444444448E-2</v>
      </c>
      <c r="W818" s="21">
        <v>6</v>
      </c>
      <c r="X818" s="41">
        <f t="shared" si="359"/>
        <v>0.10526315789473684</v>
      </c>
      <c r="Y818" s="21">
        <v>8</v>
      </c>
      <c r="Z818" s="41">
        <f t="shared" si="360"/>
        <v>0.1111111111111111</v>
      </c>
      <c r="AA818" s="21">
        <v>7</v>
      </c>
      <c r="AB818" s="41">
        <f t="shared" si="361"/>
        <v>0.12280701754385964</v>
      </c>
      <c r="AC818" s="21">
        <v>59</v>
      </c>
      <c r="AD818" s="41">
        <f t="shared" si="343"/>
        <v>0.81944444444444442</v>
      </c>
      <c r="AE818" s="21">
        <v>44</v>
      </c>
      <c r="AF818" s="41">
        <f t="shared" si="362"/>
        <v>0.77192982456140347</v>
      </c>
      <c r="AG818" s="21">
        <v>5</v>
      </c>
      <c r="AH818" s="41">
        <f t="shared" si="344"/>
        <v>6.9444444444444448E-2</v>
      </c>
      <c r="AI818" s="21">
        <v>4</v>
      </c>
      <c r="AJ818" s="41">
        <f t="shared" si="363"/>
        <v>7.0175438596491224E-2</v>
      </c>
      <c r="AK818" s="21">
        <v>2</v>
      </c>
      <c r="AL818" s="41">
        <f t="shared" si="345"/>
        <v>2.7777777777777776E-2</v>
      </c>
      <c r="AM818" s="21">
        <v>3</v>
      </c>
      <c r="AN818" s="41">
        <f t="shared" si="364"/>
        <v>5.2631578947368418E-2</v>
      </c>
      <c r="AO818" s="21">
        <v>47</v>
      </c>
      <c r="AP818" s="41">
        <f t="shared" si="346"/>
        <v>0.65277777777777779</v>
      </c>
      <c r="AQ818" s="21">
        <v>34</v>
      </c>
      <c r="AR818" s="41">
        <f t="shared" si="365"/>
        <v>0.59649122807017541</v>
      </c>
      <c r="AS818" s="21">
        <v>13</v>
      </c>
      <c r="AT818" s="41">
        <f t="shared" si="347"/>
        <v>0.18055555555555555</v>
      </c>
      <c r="AU818" s="21">
        <v>11</v>
      </c>
      <c r="AV818" s="41">
        <f t="shared" si="366"/>
        <v>0.19298245614035087</v>
      </c>
      <c r="AW818" s="21">
        <v>2</v>
      </c>
      <c r="AX818" s="41">
        <f t="shared" si="348"/>
        <v>2.7777777777777776E-2</v>
      </c>
      <c r="AY818" s="21">
        <v>2</v>
      </c>
      <c r="AZ818" s="41">
        <f t="shared" si="367"/>
        <v>3.5087719298245612E-2</v>
      </c>
      <c r="BA818" s="21">
        <v>3</v>
      </c>
      <c r="BB818" s="41">
        <f t="shared" si="349"/>
        <v>4.1666666666666664E-2</v>
      </c>
      <c r="BC818" s="21">
        <v>3</v>
      </c>
      <c r="BD818" s="41">
        <f t="shared" si="368"/>
        <v>5.2631578947368418E-2</v>
      </c>
      <c r="BE818" s="21">
        <v>72</v>
      </c>
      <c r="BF818" s="21">
        <v>57</v>
      </c>
    </row>
    <row r="819" spans="1:58" ht="15.75" customHeight="1" x14ac:dyDescent="0.25">
      <c r="A819" s="44">
        <v>2019</v>
      </c>
      <c r="B819" s="39">
        <v>172020</v>
      </c>
      <c r="C819" s="38" t="s">
        <v>145</v>
      </c>
      <c r="D819" s="38" t="s">
        <v>127</v>
      </c>
      <c r="E819" s="21">
        <v>3</v>
      </c>
      <c r="F819" s="42">
        <f t="shared" si="350"/>
        <v>3.6496350364963502E-3</v>
      </c>
      <c r="G819" s="21">
        <v>2</v>
      </c>
      <c r="H819" s="42">
        <f t="shared" si="351"/>
        <v>3.003003003003003E-3</v>
      </c>
      <c r="I819" s="21">
        <v>40</v>
      </c>
      <c r="J819" s="41">
        <f t="shared" si="352"/>
        <v>4.8661800486618008E-2</v>
      </c>
      <c r="K819" s="21">
        <v>38</v>
      </c>
      <c r="L819" s="41">
        <f t="shared" si="353"/>
        <v>5.7057057057057055E-2</v>
      </c>
      <c r="M819" s="21">
        <v>755</v>
      </c>
      <c r="N819" s="41">
        <f t="shared" si="354"/>
        <v>0.91849148418491489</v>
      </c>
      <c r="O819" s="21">
        <v>608</v>
      </c>
      <c r="P819" s="41">
        <f t="shared" si="355"/>
        <v>0.91291291291291288</v>
      </c>
      <c r="Q819" s="21">
        <v>24</v>
      </c>
      <c r="R819" s="41">
        <f t="shared" si="356"/>
        <v>2.9197080291970802E-2</v>
      </c>
      <c r="S819" s="21">
        <v>18</v>
      </c>
      <c r="T819" s="41">
        <f t="shared" si="357"/>
        <v>2.7027027027027029E-2</v>
      </c>
      <c r="U819" s="21">
        <v>48</v>
      </c>
      <c r="V819" s="41">
        <f t="shared" si="358"/>
        <v>5.8394160583941604E-2</v>
      </c>
      <c r="W819" s="21">
        <v>45</v>
      </c>
      <c r="X819" s="41">
        <f t="shared" si="359"/>
        <v>6.7567567567567571E-2</v>
      </c>
      <c r="Y819" s="21">
        <v>52</v>
      </c>
      <c r="Z819" s="41">
        <f t="shared" si="360"/>
        <v>6.3260340632603412E-2</v>
      </c>
      <c r="AA819" s="21">
        <v>37</v>
      </c>
      <c r="AB819" s="41">
        <f t="shared" si="361"/>
        <v>5.5555555555555552E-2</v>
      </c>
      <c r="AC819" s="21">
        <v>722</v>
      </c>
      <c r="AD819" s="41">
        <f t="shared" si="343"/>
        <v>0.87834549878345503</v>
      </c>
      <c r="AE819" s="21">
        <v>584</v>
      </c>
      <c r="AF819" s="41">
        <f t="shared" si="362"/>
        <v>0.87687687687687688</v>
      </c>
      <c r="AG819" s="21">
        <v>24</v>
      </c>
      <c r="AH819" s="41">
        <f t="shared" si="344"/>
        <v>2.9197080291970802E-2</v>
      </c>
      <c r="AI819" s="21">
        <v>22</v>
      </c>
      <c r="AJ819" s="41">
        <f t="shared" si="363"/>
        <v>3.3033033033033031E-2</v>
      </c>
      <c r="AK819" s="21">
        <v>48</v>
      </c>
      <c r="AL819" s="41">
        <f t="shared" si="345"/>
        <v>5.8394160583941604E-2</v>
      </c>
      <c r="AM819" s="21">
        <v>48</v>
      </c>
      <c r="AN819" s="41">
        <f t="shared" si="364"/>
        <v>7.2072072072072071E-2</v>
      </c>
      <c r="AO819" s="21">
        <v>567</v>
      </c>
      <c r="AP819" s="41">
        <f t="shared" si="346"/>
        <v>0.68978102189781021</v>
      </c>
      <c r="AQ819" s="21">
        <v>460</v>
      </c>
      <c r="AR819" s="41">
        <f t="shared" si="365"/>
        <v>0.69069069069069067</v>
      </c>
      <c r="AS819" s="21">
        <v>121</v>
      </c>
      <c r="AT819" s="41">
        <f t="shared" si="347"/>
        <v>0.14720194647201945</v>
      </c>
      <c r="AU819" s="21">
        <v>86</v>
      </c>
      <c r="AV819" s="41">
        <f t="shared" si="366"/>
        <v>0.12912912912912913</v>
      </c>
      <c r="AW819" s="21">
        <v>38</v>
      </c>
      <c r="AX819" s="41">
        <f t="shared" si="348"/>
        <v>4.6228710462287104E-2</v>
      </c>
      <c r="AY819" s="21">
        <v>29</v>
      </c>
      <c r="AZ819" s="41">
        <f t="shared" si="367"/>
        <v>4.3543543543543541E-2</v>
      </c>
      <c r="BA819" s="21">
        <v>24</v>
      </c>
      <c r="BB819" s="41">
        <f t="shared" si="349"/>
        <v>2.9197080291970802E-2</v>
      </c>
      <c r="BC819" s="21">
        <v>21</v>
      </c>
      <c r="BD819" s="41">
        <f t="shared" si="368"/>
        <v>3.1531531531531529E-2</v>
      </c>
      <c r="BE819" s="21">
        <v>822</v>
      </c>
      <c r="BF819" s="21">
        <v>666</v>
      </c>
    </row>
    <row r="820" spans="1:58" ht="15.75" customHeight="1" x14ac:dyDescent="0.25">
      <c r="A820" s="44">
        <v>2019</v>
      </c>
      <c r="B820" s="39">
        <v>172025</v>
      </c>
      <c r="C820" s="38" t="s">
        <v>146</v>
      </c>
      <c r="D820" s="38" t="s">
        <v>128</v>
      </c>
      <c r="E820" s="21">
        <v>2</v>
      </c>
      <c r="F820" s="42">
        <f t="shared" si="350"/>
        <v>1.6528925619834711E-2</v>
      </c>
      <c r="G820" s="21">
        <v>1</v>
      </c>
      <c r="H820" s="42">
        <f t="shared" si="351"/>
        <v>9.3457943925233638E-3</v>
      </c>
      <c r="I820" s="21">
        <v>0</v>
      </c>
      <c r="J820" s="41">
        <f t="shared" si="352"/>
        <v>0</v>
      </c>
      <c r="K820" s="21">
        <v>0</v>
      </c>
      <c r="L820" s="41">
        <f t="shared" si="353"/>
        <v>0</v>
      </c>
      <c r="M820" s="21">
        <v>117</v>
      </c>
      <c r="N820" s="41">
        <f t="shared" si="354"/>
        <v>0.96694214876033058</v>
      </c>
      <c r="O820" s="21">
        <v>104</v>
      </c>
      <c r="P820" s="41">
        <f t="shared" si="355"/>
        <v>0.9719626168224299</v>
      </c>
      <c r="Q820" s="21">
        <v>2</v>
      </c>
      <c r="R820" s="41">
        <f t="shared" si="356"/>
        <v>1.6528925619834711E-2</v>
      </c>
      <c r="S820" s="21">
        <v>2</v>
      </c>
      <c r="T820" s="41">
        <f t="shared" si="357"/>
        <v>1.8691588785046728E-2</v>
      </c>
      <c r="U820" s="21">
        <v>7</v>
      </c>
      <c r="V820" s="41">
        <f t="shared" si="358"/>
        <v>5.7851239669421489E-2</v>
      </c>
      <c r="W820" s="21">
        <v>4</v>
      </c>
      <c r="X820" s="41">
        <f t="shared" si="359"/>
        <v>3.7383177570093455E-2</v>
      </c>
      <c r="Y820" s="21">
        <v>11</v>
      </c>
      <c r="Z820" s="41">
        <f t="shared" si="360"/>
        <v>9.0909090909090912E-2</v>
      </c>
      <c r="AA820" s="21">
        <v>11</v>
      </c>
      <c r="AB820" s="41">
        <f t="shared" si="361"/>
        <v>0.10280373831775701</v>
      </c>
      <c r="AC820" s="21">
        <v>103</v>
      </c>
      <c r="AD820" s="41">
        <f t="shared" ref="AD820:AD851" si="369">IFERROR(AC820/$BE820,0)</f>
        <v>0.85123966942148765</v>
      </c>
      <c r="AE820" s="21">
        <v>92</v>
      </c>
      <c r="AF820" s="41">
        <f t="shared" si="362"/>
        <v>0.85981308411214952</v>
      </c>
      <c r="AG820" s="21">
        <v>2</v>
      </c>
      <c r="AH820" s="41">
        <f t="shared" ref="AH820:AH851" si="370">IFERROR(AG820/$BE820,0)</f>
        <v>1.6528925619834711E-2</v>
      </c>
      <c r="AI820" s="21">
        <v>2</v>
      </c>
      <c r="AJ820" s="41">
        <f t="shared" si="363"/>
        <v>1.8691588785046728E-2</v>
      </c>
      <c r="AK820" s="21">
        <v>3</v>
      </c>
      <c r="AL820" s="41">
        <f t="shared" ref="AL820:AL851" si="371">IFERROR(AK820/$BE820,0)</f>
        <v>2.4793388429752067E-2</v>
      </c>
      <c r="AM820" s="21">
        <v>2</v>
      </c>
      <c r="AN820" s="41">
        <f t="shared" si="364"/>
        <v>1.8691588785046728E-2</v>
      </c>
      <c r="AO820" s="21">
        <v>77</v>
      </c>
      <c r="AP820" s="41">
        <f t="shared" ref="AP820:AP851" si="372">IFERROR(AO820/$BE820,0)</f>
        <v>0.63636363636363635</v>
      </c>
      <c r="AQ820" s="21">
        <v>68</v>
      </c>
      <c r="AR820" s="41">
        <f t="shared" si="365"/>
        <v>0.63551401869158874</v>
      </c>
      <c r="AS820" s="21">
        <v>26</v>
      </c>
      <c r="AT820" s="41">
        <f t="shared" ref="AT820:AT851" si="373">IFERROR(AS820/$BE820,0)</f>
        <v>0.21487603305785125</v>
      </c>
      <c r="AU820" s="21">
        <v>25</v>
      </c>
      <c r="AV820" s="41">
        <f t="shared" si="366"/>
        <v>0.23364485981308411</v>
      </c>
      <c r="AW820" s="21">
        <v>6</v>
      </c>
      <c r="AX820" s="41">
        <f t="shared" ref="AX820:AX851" si="374">IFERROR(AW820/$BE820,0)</f>
        <v>4.9586776859504134E-2</v>
      </c>
      <c r="AY820" s="21">
        <v>4</v>
      </c>
      <c r="AZ820" s="41">
        <f t="shared" si="367"/>
        <v>3.7383177570093455E-2</v>
      </c>
      <c r="BA820" s="21">
        <v>7</v>
      </c>
      <c r="BB820" s="41">
        <f t="shared" ref="BB820:BB851" si="375">IFERROR(BA820/$BE820,0)</f>
        <v>5.7851239669421489E-2</v>
      </c>
      <c r="BC820" s="21">
        <v>6</v>
      </c>
      <c r="BD820" s="41">
        <f t="shared" si="368"/>
        <v>5.6074766355140186E-2</v>
      </c>
      <c r="BE820" s="21">
        <v>121</v>
      </c>
      <c r="BF820" s="21">
        <v>107</v>
      </c>
    </row>
    <row r="821" spans="1:58" ht="15.75" customHeight="1" x14ac:dyDescent="0.25">
      <c r="A821" s="44">
        <v>2019</v>
      </c>
      <c r="B821" s="39">
        <v>172030</v>
      </c>
      <c r="C821" s="38" t="s">
        <v>145</v>
      </c>
      <c r="D821" s="38" t="s">
        <v>129</v>
      </c>
      <c r="E821" s="21">
        <v>2</v>
      </c>
      <c r="F821" s="42">
        <f t="shared" si="350"/>
        <v>4.6838407494145199E-3</v>
      </c>
      <c r="G821" s="21">
        <v>1</v>
      </c>
      <c r="H821" s="42">
        <f t="shared" si="351"/>
        <v>3.7593984962406013E-3</v>
      </c>
      <c r="I821" s="21">
        <v>16</v>
      </c>
      <c r="J821" s="41">
        <f t="shared" si="352"/>
        <v>3.7470725995316159E-2</v>
      </c>
      <c r="K821" s="21">
        <v>10</v>
      </c>
      <c r="L821" s="41">
        <f t="shared" si="353"/>
        <v>3.7593984962406013E-2</v>
      </c>
      <c r="M821" s="21">
        <v>393</v>
      </c>
      <c r="N821" s="41">
        <f t="shared" si="354"/>
        <v>0.92037470725995318</v>
      </c>
      <c r="O821" s="21">
        <v>240</v>
      </c>
      <c r="P821" s="41">
        <f t="shared" si="355"/>
        <v>0.90225563909774431</v>
      </c>
      <c r="Q821" s="21">
        <v>16</v>
      </c>
      <c r="R821" s="41">
        <f t="shared" si="356"/>
        <v>3.7470725995316159E-2</v>
      </c>
      <c r="S821" s="21">
        <v>15</v>
      </c>
      <c r="T821" s="41">
        <f t="shared" si="357"/>
        <v>5.6390977443609019E-2</v>
      </c>
      <c r="U821" s="21">
        <v>11</v>
      </c>
      <c r="V821" s="41">
        <f t="shared" si="358"/>
        <v>2.576112412177986E-2</v>
      </c>
      <c r="W821" s="21">
        <v>9</v>
      </c>
      <c r="X821" s="41">
        <f t="shared" si="359"/>
        <v>3.3834586466165412E-2</v>
      </c>
      <c r="Y821" s="21">
        <v>27</v>
      </c>
      <c r="Z821" s="41">
        <f t="shared" si="360"/>
        <v>6.323185011709602E-2</v>
      </c>
      <c r="AA821" s="21">
        <v>18</v>
      </c>
      <c r="AB821" s="41">
        <f t="shared" si="361"/>
        <v>6.7669172932330823E-2</v>
      </c>
      <c r="AC821" s="21">
        <v>389</v>
      </c>
      <c r="AD821" s="41">
        <f t="shared" si="369"/>
        <v>0.91100702576112413</v>
      </c>
      <c r="AE821" s="21">
        <v>239</v>
      </c>
      <c r="AF821" s="41">
        <f t="shared" si="362"/>
        <v>0.89849624060150379</v>
      </c>
      <c r="AG821" s="21">
        <v>12</v>
      </c>
      <c r="AH821" s="41">
        <f t="shared" si="370"/>
        <v>2.8103044496487119E-2</v>
      </c>
      <c r="AI821" s="21">
        <v>7</v>
      </c>
      <c r="AJ821" s="41">
        <f t="shared" si="363"/>
        <v>2.6315789473684209E-2</v>
      </c>
      <c r="AK821" s="21">
        <v>22</v>
      </c>
      <c r="AL821" s="41">
        <f t="shared" si="371"/>
        <v>5.1522248243559721E-2</v>
      </c>
      <c r="AM821" s="21">
        <v>20</v>
      </c>
      <c r="AN821" s="41">
        <f t="shared" si="364"/>
        <v>7.5187969924812026E-2</v>
      </c>
      <c r="AO821" s="21">
        <v>295</v>
      </c>
      <c r="AP821" s="41">
        <f t="shared" si="372"/>
        <v>0.69086651053864168</v>
      </c>
      <c r="AQ821" s="21">
        <v>181</v>
      </c>
      <c r="AR821" s="41">
        <f t="shared" si="365"/>
        <v>0.68045112781954886</v>
      </c>
      <c r="AS821" s="21">
        <v>52</v>
      </c>
      <c r="AT821" s="41">
        <f t="shared" si="373"/>
        <v>0.12177985948477751</v>
      </c>
      <c r="AU821" s="21">
        <v>29</v>
      </c>
      <c r="AV821" s="41">
        <f t="shared" si="366"/>
        <v>0.10902255639097744</v>
      </c>
      <c r="AW821" s="21">
        <v>32</v>
      </c>
      <c r="AX821" s="41">
        <f t="shared" si="374"/>
        <v>7.4941451990632318E-2</v>
      </c>
      <c r="AY821" s="21">
        <v>15</v>
      </c>
      <c r="AZ821" s="41">
        <f t="shared" si="367"/>
        <v>5.6390977443609019E-2</v>
      </c>
      <c r="BA821" s="21">
        <v>14</v>
      </c>
      <c r="BB821" s="41">
        <f t="shared" si="375"/>
        <v>3.2786885245901641E-2</v>
      </c>
      <c r="BC821" s="21">
        <v>14</v>
      </c>
      <c r="BD821" s="41">
        <f t="shared" si="368"/>
        <v>5.2631578947368418E-2</v>
      </c>
      <c r="BE821" s="21">
        <v>427</v>
      </c>
      <c r="BF821" s="21">
        <v>266</v>
      </c>
    </row>
    <row r="822" spans="1:58" ht="15.75" customHeight="1" x14ac:dyDescent="0.25">
      <c r="A822" s="44">
        <v>2019</v>
      </c>
      <c r="B822" s="39">
        <v>172049</v>
      </c>
      <c r="C822" s="38" t="s">
        <v>146</v>
      </c>
      <c r="D822" s="38" t="s">
        <v>130</v>
      </c>
      <c r="E822" s="21">
        <v>0</v>
      </c>
      <c r="F822" s="42">
        <f t="shared" si="350"/>
        <v>0</v>
      </c>
      <c r="G822" s="21">
        <v>0</v>
      </c>
      <c r="H822" s="42">
        <f t="shared" si="351"/>
        <v>0</v>
      </c>
      <c r="I822" s="21">
        <v>13</v>
      </c>
      <c r="J822" s="41">
        <f t="shared" si="352"/>
        <v>4.9808429118773943E-2</v>
      </c>
      <c r="K822" s="21">
        <v>11</v>
      </c>
      <c r="L822" s="41">
        <f t="shared" si="353"/>
        <v>6.7901234567901231E-2</v>
      </c>
      <c r="M822" s="21">
        <v>239</v>
      </c>
      <c r="N822" s="41">
        <f t="shared" si="354"/>
        <v>0.91570881226053635</v>
      </c>
      <c r="O822" s="21">
        <v>143</v>
      </c>
      <c r="P822" s="41">
        <f t="shared" si="355"/>
        <v>0.88271604938271608</v>
      </c>
      <c r="Q822" s="21">
        <v>9</v>
      </c>
      <c r="R822" s="41">
        <f t="shared" si="356"/>
        <v>3.4482758620689655E-2</v>
      </c>
      <c r="S822" s="21">
        <v>8</v>
      </c>
      <c r="T822" s="41">
        <f t="shared" si="357"/>
        <v>4.9382716049382713E-2</v>
      </c>
      <c r="U822" s="21">
        <v>9</v>
      </c>
      <c r="V822" s="41">
        <f t="shared" si="358"/>
        <v>3.4482758620689655E-2</v>
      </c>
      <c r="W822" s="21">
        <v>12</v>
      </c>
      <c r="X822" s="41">
        <f t="shared" si="359"/>
        <v>7.407407407407407E-2</v>
      </c>
      <c r="Y822" s="21">
        <v>18</v>
      </c>
      <c r="Z822" s="41">
        <f t="shared" si="360"/>
        <v>6.8965517241379309E-2</v>
      </c>
      <c r="AA822" s="21">
        <v>16</v>
      </c>
      <c r="AB822" s="41">
        <f t="shared" si="361"/>
        <v>9.8765432098765427E-2</v>
      </c>
      <c r="AC822" s="21">
        <v>234</v>
      </c>
      <c r="AD822" s="41">
        <f t="shared" si="369"/>
        <v>0.89655172413793105</v>
      </c>
      <c r="AE822" s="21">
        <v>134</v>
      </c>
      <c r="AF822" s="41">
        <f t="shared" si="362"/>
        <v>0.8271604938271605</v>
      </c>
      <c r="AG822" s="21">
        <v>16</v>
      </c>
      <c r="AH822" s="41">
        <f t="shared" si="370"/>
        <v>6.1302681992337162E-2</v>
      </c>
      <c r="AI822" s="21">
        <v>15</v>
      </c>
      <c r="AJ822" s="41">
        <f t="shared" si="363"/>
        <v>9.2592592592592587E-2</v>
      </c>
      <c r="AK822" s="21">
        <v>13</v>
      </c>
      <c r="AL822" s="41">
        <f t="shared" si="371"/>
        <v>4.9808429118773943E-2</v>
      </c>
      <c r="AM822" s="21">
        <v>11</v>
      </c>
      <c r="AN822" s="41">
        <f t="shared" si="364"/>
        <v>6.7901234567901231E-2</v>
      </c>
      <c r="AO822" s="21">
        <v>162</v>
      </c>
      <c r="AP822" s="41">
        <f t="shared" si="372"/>
        <v>0.62068965517241381</v>
      </c>
      <c r="AQ822" s="21">
        <v>78</v>
      </c>
      <c r="AR822" s="41">
        <f t="shared" si="365"/>
        <v>0.48148148148148145</v>
      </c>
      <c r="AS822" s="21">
        <v>43</v>
      </c>
      <c r="AT822" s="41">
        <f t="shared" si="373"/>
        <v>0.16475095785440613</v>
      </c>
      <c r="AU822" s="21">
        <v>33</v>
      </c>
      <c r="AV822" s="41">
        <f t="shared" si="366"/>
        <v>0.20370370370370369</v>
      </c>
      <c r="AW822" s="21">
        <v>13</v>
      </c>
      <c r="AX822" s="41">
        <f t="shared" si="374"/>
        <v>4.9808429118773943E-2</v>
      </c>
      <c r="AY822" s="21">
        <v>10</v>
      </c>
      <c r="AZ822" s="41">
        <f t="shared" si="367"/>
        <v>6.1728395061728392E-2</v>
      </c>
      <c r="BA822" s="21">
        <v>14</v>
      </c>
      <c r="BB822" s="41">
        <f t="shared" si="375"/>
        <v>5.3639846743295021E-2</v>
      </c>
      <c r="BC822" s="21">
        <v>15</v>
      </c>
      <c r="BD822" s="41">
        <f t="shared" si="368"/>
        <v>9.2592592592592587E-2</v>
      </c>
      <c r="BE822" s="21">
        <v>261</v>
      </c>
      <c r="BF822" s="21">
        <v>162</v>
      </c>
    </row>
    <row r="823" spans="1:58" ht="15.75" customHeight="1" x14ac:dyDescent="0.25">
      <c r="A823" s="44">
        <v>2019</v>
      </c>
      <c r="B823" s="39">
        <v>172065</v>
      </c>
      <c r="C823" s="38" t="s">
        <v>151</v>
      </c>
      <c r="D823" s="38" t="s">
        <v>131</v>
      </c>
      <c r="E823" s="21">
        <v>2</v>
      </c>
      <c r="F823" s="42">
        <f t="shared" si="350"/>
        <v>4.9627791563275434E-3</v>
      </c>
      <c r="G823" s="21">
        <v>3</v>
      </c>
      <c r="H823" s="42">
        <f t="shared" si="351"/>
        <v>9.9667774086378731E-3</v>
      </c>
      <c r="I823" s="21">
        <v>11</v>
      </c>
      <c r="J823" s="41">
        <f t="shared" si="352"/>
        <v>2.729528535980149E-2</v>
      </c>
      <c r="K823" s="21">
        <v>5</v>
      </c>
      <c r="L823" s="41">
        <f t="shared" si="353"/>
        <v>1.6611295681063124E-2</v>
      </c>
      <c r="M823" s="21">
        <v>363</v>
      </c>
      <c r="N823" s="41">
        <f t="shared" si="354"/>
        <v>0.90074441687344908</v>
      </c>
      <c r="O823" s="21">
        <v>267</v>
      </c>
      <c r="P823" s="41">
        <f t="shared" si="355"/>
        <v>0.8870431893687708</v>
      </c>
      <c r="Q823" s="21">
        <v>27</v>
      </c>
      <c r="R823" s="41">
        <f t="shared" si="356"/>
        <v>6.699751861042183E-2</v>
      </c>
      <c r="S823" s="21">
        <v>26</v>
      </c>
      <c r="T823" s="41">
        <f t="shared" si="357"/>
        <v>8.6378737541528236E-2</v>
      </c>
      <c r="U823" s="21">
        <v>10</v>
      </c>
      <c r="V823" s="41">
        <f t="shared" si="358"/>
        <v>2.4813895781637719E-2</v>
      </c>
      <c r="W823" s="21">
        <v>11</v>
      </c>
      <c r="X823" s="41">
        <f t="shared" si="359"/>
        <v>3.6544850498338874E-2</v>
      </c>
      <c r="Y823" s="21">
        <v>25</v>
      </c>
      <c r="Z823" s="41">
        <f t="shared" si="360"/>
        <v>6.2034739454094295E-2</v>
      </c>
      <c r="AA823" s="21">
        <v>17</v>
      </c>
      <c r="AB823" s="41">
        <f t="shared" si="361"/>
        <v>5.647840531561462E-2</v>
      </c>
      <c r="AC823" s="21">
        <v>368</v>
      </c>
      <c r="AD823" s="41">
        <f t="shared" si="369"/>
        <v>0.91315136476426795</v>
      </c>
      <c r="AE823" s="21">
        <v>273</v>
      </c>
      <c r="AF823" s="41">
        <f t="shared" si="362"/>
        <v>0.90697674418604646</v>
      </c>
      <c r="AG823" s="21">
        <v>12</v>
      </c>
      <c r="AH823" s="41">
        <f t="shared" si="370"/>
        <v>2.9776674937965261E-2</v>
      </c>
      <c r="AI823" s="21">
        <v>13</v>
      </c>
      <c r="AJ823" s="41">
        <f t="shared" si="363"/>
        <v>4.3189368770764118E-2</v>
      </c>
      <c r="AK823" s="21">
        <v>15</v>
      </c>
      <c r="AL823" s="41">
        <f t="shared" si="371"/>
        <v>3.7220843672456573E-2</v>
      </c>
      <c r="AM823" s="21">
        <v>16</v>
      </c>
      <c r="AN823" s="41">
        <f t="shared" si="364"/>
        <v>5.3156146179401995E-2</v>
      </c>
      <c r="AO823" s="21">
        <v>282</v>
      </c>
      <c r="AP823" s="41">
        <f t="shared" si="372"/>
        <v>0.69975186104218368</v>
      </c>
      <c r="AQ823" s="21">
        <v>189</v>
      </c>
      <c r="AR823" s="41">
        <f t="shared" si="365"/>
        <v>0.62790697674418605</v>
      </c>
      <c r="AS823" s="21">
        <v>45</v>
      </c>
      <c r="AT823" s="41">
        <f t="shared" si="373"/>
        <v>0.11166253101736973</v>
      </c>
      <c r="AU823" s="21">
        <v>41</v>
      </c>
      <c r="AV823" s="41">
        <f t="shared" si="366"/>
        <v>0.13621262458471761</v>
      </c>
      <c r="AW823" s="21">
        <v>24</v>
      </c>
      <c r="AX823" s="41">
        <f t="shared" si="374"/>
        <v>5.9553349875930521E-2</v>
      </c>
      <c r="AY823" s="21">
        <v>18</v>
      </c>
      <c r="AZ823" s="41">
        <f t="shared" si="367"/>
        <v>5.9800664451827246E-2</v>
      </c>
      <c r="BA823" s="21">
        <v>25</v>
      </c>
      <c r="BB823" s="41">
        <f t="shared" si="375"/>
        <v>6.2034739454094295E-2</v>
      </c>
      <c r="BC823" s="21">
        <v>24</v>
      </c>
      <c r="BD823" s="41">
        <f t="shared" si="368"/>
        <v>7.9734219269102985E-2</v>
      </c>
      <c r="BE823" s="21">
        <v>403</v>
      </c>
      <c r="BF823" s="21">
        <v>301</v>
      </c>
    </row>
    <row r="824" spans="1:58" ht="15.75" customHeight="1" x14ac:dyDescent="0.25">
      <c r="A824" s="44">
        <v>2019</v>
      </c>
      <c r="B824" s="39">
        <v>172080</v>
      </c>
      <c r="C824" s="38" t="s">
        <v>145</v>
      </c>
      <c r="D824" s="38" t="s">
        <v>132</v>
      </c>
      <c r="E824" s="21">
        <v>6</v>
      </c>
      <c r="F824" s="42">
        <f t="shared" si="350"/>
        <v>8.836524300441826E-3</v>
      </c>
      <c r="G824" s="21">
        <v>4</v>
      </c>
      <c r="H824" s="42">
        <f t="shared" si="351"/>
        <v>1.0335917312661499E-2</v>
      </c>
      <c r="I824" s="21">
        <v>18</v>
      </c>
      <c r="J824" s="41">
        <f t="shared" si="352"/>
        <v>2.6509572901325478E-2</v>
      </c>
      <c r="K824" s="21">
        <v>12</v>
      </c>
      <c r="L824" s="41">
        <f t="shared" si="353"/>
        <v>3.1007751937984496E-2</v>
      </c>
      <c r="M824" s="21">
        <v>581</v>
      </c>
      <c r="N824" s="41">
        <f t="shared" si="354"/>
        <v>0.85567010309278346</v>
      </c>
      <c r="O824" s="21">
        <v>306</v>
      </c>
      <c r="P824" s="41">
        <f t="shared" si="355"/>
        <v>0.79069767441860461</v>
      </c>
      <c r="Q824" s="21">
        <v>74</v>
      </c>
      <c r="R824" s="41">
        <f t="shared" si="356"/>
        <v>0.10898379970544919</v>
      </c>
      <c r="S824" s="21">
        <v>65</v>
      </c>
      <c r="T824" s="41">
        <f t="shared" si="357"/>
        <v>0.16795865633074936</v>
      </c>
      <c r="U824" s="21">
        <v>42</v>
      </c>
      <c r="V824" s="41">
        <f t="shared" si="358"/>
        <v>6.1855670103092786E-2</v>
      </c>
      <c r="W824" s="21">
        <v>30</v>
      </c>
      <c r="X824" s="41">
        <f t="shared" si="359"/>
        <v>7.7519379844961239E-2</v>
      </c>
      <c r="Y824" s="21">
        <v>47</v>
      </c>
      <c r="Z824" s="41">
        <f t="shared" si="360"/>
        <v>6.9219440353460976E-2</v>
      </c>
      <c r="AA824" s="21">
        <v>29</v>
      </c>
      <c r="AB824" s="41">
        <f t="shared" si="361"/>
        <v>7.4935400516795869E-2</v>
      </c>
      <c r="AC824" s="21">
        <v>590</v>
      </c>
      <c r="AD824" s="41">
        <f t="shared" si="369"/>
        <v>0.86892488954344627</v>
      </c>
      <c r="AE824" s="21">
        <v>328</v>
      </c>
      <c r="AF824" s="41">
        <f t="shared" si="362"/>
        <v>0.84754521963824292</v>
      </c>
      <c r="AG824" s="21">
        <v>35</v>
      </c>
      <c r="AH824" s="41">
        <f t="shared" si="370"/>
        <v>5.1546391752577317E-2</v>
      </c>
      <c r="AI824" s="21">
        <v>36</v>
      </c>
      <c r="AJ824" s="41">
        <f t="shared" si="363"/>
        <v>9.3023255813953487E-2</v>
      </c>
      <c r="AK824" s="21">
        <v>19</v>
      </c>
      <c r="AL824" s="41">
        <f t="shared" si="371"/>
        <v>2.7982326951399118E-2</v>
      </c>
      <c r="AM824" s="21">
        <v>14</v>
      </c>
      <c r="AN824" s="41">
        <f t="shared" si="364"/>
        <v>3.6175710594315243E-2</v>
      </c>
      <c r="AO824" s="21">
        <v>428</v>
      </c>
      <c r="AP824" s="41">
        <f t="shared" si="372"/>
        <v>0.63033873343151692</v>
      </c>
      <c r="AQ824" s="21">
        <v>214</v>
      </c>
      <c r="AR824" s="41">
        <f t="shared" si="365"/>
        <v>0.55297157622739013</v>
      </c>
      <c r="AS824" s="21">
        <v>119</v>
      </c>
      <c r="AT824" s="41">
        <f t="shared" si="373"/>
        <v>0.17525773195876287</v>
      </c>
      <c r="AU824" s="21">
        <v>73</v>
      </c>
      <c r="AV824" s="41">
        <f t="shared" si="366"/>
        <v>0.18863049095607234</v>
      </c>
      <c r="AW824" s="21">
        <v>39</v>
      </c>
      <c r="AX824" s="41">
        <f t="shared" si="374"/>
        <v>5.7437407952871868E-2</v>
      </c>
      <c r="AY824" s="21">
        <v>21</v>
      </c>
      <c r="AZ824" s="41">
        <f t="shared" si="367"/>
        <v>5.4263565891472867E-2</v>
      </c>
      <c r="BA824" s="21">
        <v>39</v>
      </c>
      <c r="BB824" s="41">
        <f t="shared" si="375"/>
        <v>5.7437407952871868E-2</v>
      </c>
      <c r="BC824" s="21">
        <v>29</v>
      </c>
      <c r="BD824" s="41">
        <f t="shared" si="368"/>
        <v>7.4935400516795869E-2</v>
      </c>
      <c r="BE824" s="21">
        <v>679</v>
      </c>
      <c r="BF824" s="21">
        <v>387</v>
      </c>
    </row>
    <row r="825" spans="1:58" ht="15.75" customHeight="1" x14ac:dyDescent="0.25">
      <c r="A825" s="44">
        <v>2019</v>
      </c>
      <c r="B825" s="39">
        <v>172085</v>
      </c>
      <c r="C825" s="38" t="s">
        <v>146</v>
      </c>
      <c r="D825" s="38" t="s">
        <v>133</v>
      </c>
      <c r="E825" s="21">
        <v>2</v>
      </c>
      <c r="F825" s="42">
        <f t="shared" si="350"/>
        <v>1.3888888888888888E-2</v>
      </c>
      <c r="G825" s="21">
        <v>0</v>
      </c>
      <c r="H825" s="42">
        <f t="shared" si="351"/>
        <v>0</v>
      </c>
      <c r="I825" s="21">
        <v>6</v>
      </c>
      <c r="J825" s="41">
        <f t="shared" si="352"/>
        <v>4.1666666666666664E-2</v>
      </c>
      <c r="K825" s="21">
        <v>4</v>
      </c>
      <c r="L825" s="41">
        <f t="shared" si="353"/>
        <v>5.8823529411764705E-2</v>
      </c>
      <c r="M825" s="21">
        <v>130</v>
      </c>
      <c r="N825" s="41">
        <f t="shared" si="354"/>
        <v>0.90277777777777779</v>
      </c>
      <c r="O825" s="21">
        <v>64</v>
      </c>
      <c r="P825" s="41">
        <f t="shared" si="355"/>
        <v>0.94117647058823528</v>
      </c>
      <c r="Q825" s="21">
        <v>6</v>
      </c>
      <c r="R825" s="41">
        <f t="shared" si="356"/>
        <v>4.1666666666666664E-2</v>
      </c>
      <c r="S825" s="21">
        <v>0</v>
      </c>
      <c r="T825" s="41">
        <f t="shared" si="357"/>
        <v>0</v>
      </c>
      <c r="U825" s="21">
        <v>5</v>
      </c>
      <c r="V825" s="41">
        <f t="shared" si="358"/>
        <v>3.4722222222222224E-2</v>
      </c>
      <c r="W825" s="21">
        <v>2</v>
      </c>
      <c r="X825" s="41">
        <f t="shared" si="359"/>
        <v>2.9411764705882353E-2</v>
      </c>
      <c r="Y825" s="21">
        <v>6</v>
      </c>
      <c r="Z825" s="41">
        <f t="shared" si="360"/>
        <v>4.1666666666666664E-2</v>
      </c>
      <c r="AA825" s="21">
        <v>2</v>
      </c>
      <c r="AB825" s="41">
        <f t="shared" si="361"/>
        <v>2.9411764705882353E-2</v>
      </c>
      <c r="AC825" s="21">
        <v>133</v>
      </c>
      <c r="AD825" s="41">
        <f t="shared" si="369"/>
        <v>0.92361111111111116</v>
      </c>
      <c r="AE825" s="21">
        <v>64</v>
      </c>
      <c r="AF825" s="41">
        <f t="shared" si="362"/>
        <v>0.94117647058823528</v>
      </c>
      <c r="AG825" s="21">
        <v>10</v>
      </c>
      <c r="AH825" s="41">
        <f t="shared" si="370"/>
        <v>6.9444444444444448E-2</v>
      </c>
      <c r="AI825" s="21">
        <v>2</v>
      </c>
      <c r="AJ825" s="41">
        <f t="shared" si="363"/>
        <v>2.9411764705882353E-2</v>
      </c>
      <c r="AK825" s="21">
        <v>12</v>
      </c>
      <c r="AL825" s="41">
        <f t="shared" si="371"/>
        <v>8.3333333333333329E-2</v>
      </c>
      <c r="AM825" s="21">
        <v>9</v>
      </c>
      <c r="AN825" s="41">
        <f t="shared" si="364"/>
        <v>0.13235294117647059</v>
      </c>
      <c r="AO825" s="21">
        <v>83</v>
      </c>
      <c r="AP825" s="41">
        <f t="shared" si="372"/>
        <v>0.57638888888888884</v>
      </c>
      <c r="AQ825" s="21">
        <v>44</v>
      </c>
      <c r="AR825" s="41">
        <f t="shared" si="365"/>
        <v>0.6470588235294118</v>
      </c>
      <c r="AS825" s="21">
        <v>24</v>
      </c>
      <c r="AT825" s="41">
        <f t="shared" si="373"/>
        <v>0.16666666666666666</v>
      </c>
      <c r="AU825" s="21">
        <v>8</v>
      </c>
      <c r="AV825" s="41">
        <f t="shared" si="366"/>
        <v>0.11764705882352941</v>
      </c>
      <c r="AW825" s="21">
        <v>8</v>
      </c>
      <c r="AX825" s="41">
        <f t="shared" si="374"/>
        <v>5.5555555555555552E-2</v>
      </c>
      <c r="AY825" s="21">
        <v>4</v>
      </c>
      <c r="AZ825" s="41">
        <f t="shared" si="367"/>
        <v>5.8823529411764705E-2</v>
      </c>
      <c r="BA825" s="21">
        <v>7</v>
      </c>
      <c r="BB825" s="41">
        <f t="shared" si="375"/>
        <v>4.8611111111111112E-2</v>
      </c>
      <c r="BC825" s="21">
        <v>1</v>
      </c>
      <c r="BD825" s="41">
        <f t="shared" si="368"/>
        <v>1.4705882352941176E-2</v>
      </c>
      <c r="BE825" s="21">
        <v>144</v>
      </c>
      <c r="BF825" s="21">
        <v>68</v>
      </c>
    </row>
    <row r="826" spans="1:58" ht="15.75" customHeight="1" x14ac:dyDescent="0.25">
      <c r="A826" s="44">
        <v>2019</v>
      </c>
      <c r="B826" s="39">
        <v>170825</v>
      </c>
      <c r="C826" s="38" t="s">
        <v>148</v>
      </c>
      <c r="D826" s="38" t="s">
        <v>134</v>
      </c>
      <c r="E826" s="21">
        <v>0</v>
      </c>
      <c r="F826" s="42">
        <f t="shared" si="350"/>
        <v>0</v>
      </c>
      <c r="G826" s="21">
        <v>0</v>
      </c>
      <c r="H826" s="42">
        <f t="shared" si="351"/>
        <v>0</v>
      </c>
      <c r="I826" s="21">
        <v>6</v>
      </c>
      <c r="J826" s="41">
        <f t="shared" si="352"/>
        <v>3.870967741935484E-2</v>
      </c>
      <c r="K826" s="21">
        <v>6</v>
      </c>
      <c r="L826" s="41">
        <f t="shared" si="353"/>
        <v>3.9473684210526314E-2</v>
      </c>
      <c r="M826" s="21">
        <v>141</v>
      </c>
      <c r="N826" s="41">
        <f t="shared" si="354"/>
        <v>0.9096774193548387</v>
      </c>
      <c r="O826" s="21">
        <v>139</v>
      </c>
      <c r="P826" s="41">
        <f t="shared" si="355"/>
        <v>0.91447368421052633</v>
      </c>
      <c r="Q826" s="21">
        <v>8</v>
      </c>
      <c r="R826" s="41">
        <f t="shared" si="356"/>
        <v>5.1612903225806452E-2</v>
      </c>
      <c r="S826" s="21">
        <v>7</v>
      </c>
      <c r="T826" s="41">
        <f t="shared" si="357"/>
        <v>4.6052631578947366E-2</v>
      </c>
      <c r="U826" s="21">
        <v>12</v>
      </c>
      <c r="V826" s="41">
        <f t="shared" si="358"/>
        <v>7.7419354838709681E-2</v>
      </c>
      <c r="W826" s="21">
        <v>12</v>
      </c>
      <c r="X826" s="41">
        <f t="shared" si="359"/>
        <v>7.8947368421052627E-2</v>
      </c>
      <c r="Y826" s="21">
        <v>9</v>
      </c>
      <c r="Z826" s="41">
        <f t="shared" si="360"/>
        <v>5.8064516129032261E-2</v>
      </c>
      <c r="AA826" s="21">
        <v>9</v>
      </c>
      <c r="AB826" s="41">
        <f t="shared" si="361"/>
        <v>5.921052631578947E-2</v>
      </c>
      <c r="AC826" s="21">
        <v>134</v>
      </c>
      <c r="AD826" s="41">
        <f t="shared" si="369"/>
        <v>0.86451612903225805</v>
      </c>
      <c r="AE826" s="21">
        <v>131</v>
      </c>
      <c r="AF826" s="41">
        <f t="shared" si="362"/>
        <v>0.86184210526315785</v>
      </c>
      <c r="AG826" s="21">
        <v>9</v>
      </c>
      <c r="AH826" s="41">
        <f t="shared" si="370"/>
        <v>5.8064516129032261E-2</v>
      </c>
      <c r="AI826" s="21">
        <v>9</v>
      </c>
      <c r="AJ826" s="41">
        <f t="shared" si="363"/>
        <v>5.921052631578947E-2</v>
      </c>
      <c r="AK826" s="21">
        <v>12</v>
      </c>
      <c r="AL826" s="41">
        <f t="shared" si="371"/>
        <v>7.7419354838709681E-2</v>
      </c>
      <c r="AM826" s="21">
        <v>11</v>
      </c>
      <c r="AN826" s="41">
        <f t="shared" si="364"/>
        <v>7.2368421052631582E-2</v>
      </c>
      <c r="AO826" s="21">
        <v>89</v>
      </c>
      <c r="AP826" s="41">
        <f t="shared" si="372"/>
        <v>0.5741935483870968</v>
      </c>
      <c r="AQ826" s="21">
        <v>88</v>
      </c>
      <c r="AR826" s="41">
        <f t="shared" si="365"/>
        <v>0.57894736842105265</v>
      </c>
      <c r="AS826" s="21">
        <v>23</v>
      </c>
      <c r="AT826" s="41">
        <f t="shared" si="373"/>
        <v>0.14838709677419354</v>
      </c>
      <c r="AU826" s="21">
        <v>22</v>
      </c>
      <c r="AV826" s="41">
        <f t="shared" si="366"/>
        <v>0.14473684210526316</v>
      </c>
      <c r="AW826" s="21">
        <v>8</v>
      </c>
      <c r="AX826" s="41">
        <f t="shared" si="374"/>
        <v>5.1612903225806452E-2</v>
      </c>
      <c r="AY826" s="21">
        <v>9</v>
      </c>
      <c r="AZ826" s="41">
        <f t="shared" si="367"/>
        <v>5.921052631578947E-2</v>
      </c>
      <c r="BA826" s="21">
        <v>14</v>
      </c>
      <c r="BB826" s="41">
        <f t="shared" si="375"/>
        <v>9.0322580645161285E-2</v>
      </c>
      <c r="BC826" s="21">
        <v>13</v>
      </c>
      <c r="BD826" s="41">
        <f t="shared" si="368"/>
        <v>8.5526315789473686E-2</v>
      </c>
      <c r="BE826" s="21">
        <v>155</v>
      </c>
      <c r="BF826" s="21">
        <v>152</v>
      </c>
    </row>
    <row r="827" spans="1:58" ht="15.75" customHeight="1" x14ac:dyDescent="0.25">
      <c r="A827" s="44">
        <v>2019</v>
      </c>
      <c r="B827" s="39">
        <v>172090</v>
      </c>
      <c r="C827" s="38" t="s">
        <v>147</v>
      </c>
      <c r="D827" s="38" t="s">
        <v>135</v>
      </c>
      <c r="E827" s="21">
        <v>301</v>
      </c>
      <c r="F827" s="42">
        <f t="shared" si="350"/>
        <v>0.46594427244582043</v>
      </c>
      <c r="G827" s="21">
        <v>302</v>
      </c>
      <c r="H827" s="42">
        <f t="shared" si="351"/>
        <v>0.46821705426356591</v>
      </c>
      <c r="I827" s="21">
        <v>25</v>
      </c>
      <c r="J827" s="41">
        <f t="shared" si="352"/>
        <v>3.8699690402476783E-2</v>
      </c>
      <c r="K827" s="21">
        <v>26</v>
      </c>
      <c r="L827" s="41">
        <f t="shared" si="353"/>
        <v>4.0310077519379844E-2</v>
      </c>
      <c r="M827" s="21">
        <v>297</v>
      </c>
      <c r="N827" s="41">
        <f t="shared" si="354"/>
        <v>0.45975232198142413</v>
      </c>
      <c r="O827" s="21">
        <v>294</v>
      </c>
      <c r="P827" s="41">
        <f t="shared" si="355"/>
        <v>0.45581395348837211</v>
      </c>
      <c r="Q827" s="21">
        <v>23</v>
      </c>
      <c r="R827" s="41">
        <f t="shared" si="356"/>
        <v>3.5603715170278639E-2</v>
      </c>
      <c r="S827" s="21">
        <v>23</v>
      </c>
      <c r="T827" s="41">
        <f t="shared" si="357"/>
        <v>3.565891472868217E-2</v>
      </c>
      <c r="U827" s="21">
        <v>8</v>
      </c>
      <c r="V827" s="41">
        <f t="shared" si="358"/>
        <v>1.238390092879257E-2</v>
      </c>
      <c r="W827" s="21">
        <v>8</v>
      </c>
      <c r="X827" s="41">
        <f t="shared" si="359"/>
        <v>1.2403100775193798E-2</v>
      </c>
      <c r="Y827" s="21">
        <v>19</v>
      </c>
      <c r="Z827" s="41">
        <f t="shared" si="360"/>
        <v>2.9411764705882353E-2</v>
      </c>
      <c r="AA827" s="21">
        <v>18</v>
      </c>
      <c r="AB827" s="41">
        <f t="shared" si="361"/>
        <v>2.7906976744186046E-2</v>
      </c>
      <c r="AC827" s="21">
        <v>619</v>
      </c>
      <c r="AD827" s="41">
        <f t="shared" si="369"/>
        <v>0.95820433436532504</v>
      </c>
      <c r="AE827" s="21">
        <v>619</v>
      </c>
      <c r="AF827" s="41">
        <f t="shared" si="362"/>
        <v>0.95968992248062013</v>
      </c>
      <c r="AG827" s="21">
        <v>338</v>
      </c>
      <c r="AH827" s="41">
        <f t="shared" si="370"/>
        <v>0.52321981424148611</v>
      </c>
      <c r="AI827" s="21">
        <v>340</v>
      </c>
      <c r="AJ827" s="41">
        <f t="shared" si="363"/>
        <v>0.52713178294573648</v>
      </c>
      <c r="AK827" s="21">
        <v>18</v>
      </c>
      <c r="AL827" s="41">
        <f t="shared" si="371"/>
        <v>2.7863777089783281E-2</v>
      </c>
      <c r="AM827" s="21">
        <v>18</v>
      </c>
      <c r="AN827" s="41">
        <f t="shared" si="364"/>
        <v>2.7906976744186046E-2</v>
      </c>
      <c r="AO827" s="21">
        <v>205</v>
      </c>
      <c r="AP827" s="41">
        <f t="shared" si="372"/>
        <v>0.3173374613003096</v>
      </c>
      <c r="AQ827" s="21">
        <v>204</v>
      </c>
      <c r="AR827" s="41">
        <f t="shared" si="365"/>
        <v>0.31627906976744186</v>
      </c>
      <c r="AS827" s="21">
        <v>50</v>
      </c>
      <c r="AT827" s="41">
        <f t="shared" si="373"/>
        <v>7.7399380804953566E-2</v>
      </c>
      <c r="AU827" s="21">
        <v>48</v>
      </c>
      <c r="AV827" s="41">
        <f t="shared" si="366"/>
        <v>7.441860465116279E-2</v>
      </c>
      <c r="AW827" s="21">
        <v>24</v>
      </c>
      <c r="AX827" s="41">
        <f t="shared" si="374"/>
        <v>3.7151702786377708E-2</v>
      </c>
      <c r="AY827" s="21">
        <v>24</v>
      </c>
      <c r="AZ827" s="41">
        <f t="shared" si="367"/>
        <v>3.7209302325581395E-2</v>
      </c>
      <c r="BA827" s="21">
        <v>11</v>
      </c>
      <c r="BB827" s="41">
        <f t="shared" si="375"/>
        <v>1.7027863777089782E-2</v>
      </c>
      <c r="BC827" s="21">
        <v>11</v>
      </c>
      <c r="BD827" s="41">
        <f t="shared" si="368"/>
        <v>1.7054263565891473E-2</v>
      </c>
      <c r="BE827" s="21">
        <v>646</v>
      </c>
      <c r="BF827" s="21">
        <v>645</v>
      </c>
    </row>
    <row r="828" spans="1:58" ht="15.75" customHeight="1" x14ac:dyDescent="0.25">
      <c r="A828" s="44">
        <v>2019</v>
      </c>
      <c r="B828" s="39">
        <v>172093</v>
      </c>
      <c r="C828" s="38" t="s">
        <v>147</v>
      </c>
      <c r="D828" s="38" t="s">
        <v>136</v>
      </c>
      <c r="E828" s="21">
        <v>0</v>
      </c>
      <c r="F828" s="42">
        <f t="shared" si="350"/>
        <v>0</v>
      </c>
      <c r="G828" s="21">
        <v>0</v>
      </c>
      <c r="H828" s="42">
        <f t="shared" si="351"/>
        <v>0</v>
      </c>
      <c r="I828" s="21">
        <v>3</v>
      </c>
      <c r="J828" s="41">
        <f t="shared" si="352"/>
        <v>4.1095890410958902E-2</v>
      </c>
      <c r="K828" s="21">
        <v>3</v>
      </c>
      <c r="L828" s="41">
        <f t="shared" si="353"/>
        <v>5.4545454545454543E-2</v>
      </c>
      <c r="M828" s="21">
        <v>67</v>
      </c>
      <c r="N828" s="41">
        <f t="shared" si="354"/>
        <v>0.9178082191780822</v>
      </c>
      <c r="O828" s="21">
        <v>50</v>
      </c>
      <c r="P828" s="41">
        <f t="shared" si="355"/>
        <v>0.90909090909090906</v>
      </c>
      <c r="Q828" s="21">
        <v>3</v>
      </c>
      <c r="R828" s="41">
        <f t="shared" si="356"/>
        <v>4.1095890410958902E-2</v>
      </c>
      <c r="S828" s="21">
        <v>2</v>
      </c>
      <c r="T828" s="41">
        <f t="shared" si="357"/>
        <v>3.6363636363636362E-2</v>
      </c>
      <c r="U828" s="21">
        <v>3</v>
      </c>
      <c r="V828" s="41">
        <f t="shared" si="358"/>
        <v>4.1095890410958902E-2</v>
      </c>
      <c r="W828" s="21">
        <v>2</v>
      </c>
      <c r="X828" s="41">
        <f t="shared" si="359"/>
        <v>3.6363636363636362E-2</v>
      </c>
      <c r="Y828" s="21">
        <v>7</v>
      </c>
      <c r="Z828" s="41">
        <f t="shared" si="360"/>
        <v>9.5890410958904104E-2</v>
      </c>
      <c r="AA828" s="21">
        <v>6</v>
      </c>
      <c r="AB828" s="41">
        <f t="shared" si="361"/>
        <v>0.10909090909090909</v>
      </c>
      <c r="AC828" s="21">
        <v>63</v>
      </c>
      <c r="AD828" s="41">
        <f t="shared" si="369"/>
        <v>0.86301369863013699</v>
      </c>
      <c r="AE828" s="21">
        <v>47</v>
      </c>
      <c r="AF828" s="41">
        <f t="shared" si="362"/>
        <v>0.8545454545454545</v>
      </c>
      <c r="AG828" s="21">
        <v>0</v>
      </c>
      <c r="AH828" s="41">
        <f t="shared" si="370"/>
        <v>0</v>
      </c>
      <c r="AI828" s="21">
        <v>0</v>
      </c>
      <c r="AJ828" s="41">
        <f t="shared" si="363"/>
        <v>0</v>
      </c>
      <c r="AK828" s="21">
        <v>4</v>
      </c>
      <c r="AL828" s="41">
        <f t="shared" si="371"/>
        <v>5.4794520547945202E-2</v>
      </c>
      <c r="AM828" s="21">
        <v>3</v>
      </c>
      <c r="AN828" s="41">
        <f t="shared" si="364"/>
        <v>5.4545454545454543E-2</v>
      </c>
      <c r="AO828" s="21">
        <v>55</v>
      </c>
      <c r="AP828" s="41">
        <f t="shared" si="372"/>
        <v>0.75342465753424659</v>
      </c>
      <c r="AQ828" s="21">
        <v>43</v>
      </c>
      <c r="AR828" s="41">
        <f t="shared" si="365"/>
        <v>0.78181818181818186</v>
      </c>
      <c r="AS828" s="21">
        <v>7</v>
      </c>
      <c r="AT828" s="41">
        <f t="shared" si="373"/>
        <v>9.5890410958904104E-2</v>
      </c>
      <c r="AU828" s="21">
        <v>5</v>
      </c>
      <c r="AV828" s="41">
        <f t="shared" si="366"/>
        <v>9.0909090909090912E-2</v>
      </c>
      <c r="AW828" s="21">
        <v>3</v>
      </c>
      <c r="AX828" s="41">
        <f t="shared" si="374"/>
        <v>4.1095890410958902E-2</v>
      </c>
      <c r="AY828" s="21">
        <v>2</v>
      </c>
      <c r="AZ828" s="41">
        <f t="shared" si="367"/>
        <v>3.6363636363636362E-2</v>
      </c>
      <c r="BA828" s="21">
        <v>4</v>
      </c>
      <c r="BB828" s="41">
        <f t="shared" si="375"/>
        <v>5.4794520547945202E-2</v>
      </c>
      <c r="BC828" s="21">
        <v>2</v>
      </c>
      <c r="BD828" s="41">
        <f t="shared" si="368"/>
        <v>3.6363636363636362E-2</v>
      </c>
      <c r="BE828" s="21">
        <v>73</v>
      </c>
      <c r="BF828" s="21">
        <v>55</v>
      </c>
    </row>
    <row r="829" spans="1:58" ht="15.75" customHeight="1" x14ac:dyDescent="0.25">
      <c r="A829" s="44">
        <v>2019</v>
      </c>
      <c r="B829" s="39">
        <v>172097</v>
      </c>
      <c r="C829" s="38" t="s">
        <v>146</v>
      </c>
      <c r="D829" s="38" t="s">
        <v>137</v>
      </c>
      <c r="E829" s="21">
        <v>0</v>
      </c>
      <c r="F829" s="42">
        <f t="shared" si="350"/>
        <v>0</v>
      </c>
      <c r="G829" s="21">
        <v>0</v>
      </c>
      <c r="H829" s="42">
        <f t="shared" si="351"/>
        <v>0</v>
      </c>
      <c r="I829" s="21">
        <v>4</v>
      </c>
      <c r="J829" s="41">
        <f t="shared" si="352"/>
        <v>4.2553191489361701E-2</v>
      </c>
      <c r="K829" s="21">
        <v>3</v>
      </c>
      <c r="L829" s="41">
        <f t="shared" si="353"/>
        <v>4.6153846153846156E-2</v>
      </c>
      <c r="M829" s="21">
        <v>81</v>
      </c>
      <c r="N829" s="41">
        <f t="shared" si="354"/>
        <v>0.86170212765957444</v>
      </c>
      <c r="O829" s="21">
        <v>55</v>
      </c>
      <c r="P829" s="41">
        <f t="shared" si="355"/>
        <v>0.84615384615384615</v>
      </c>
      <c r="Q829" s="21">
        <v>9</v>
      </c>
      <c r="R829" s="41">
        <f t="shared" si="356"/>
        <v>9.5744680851063829E-2</v>
      </c>
      <c r="S829" s="21">
        <v>7</v>
      </c>
      <c r="T829" s="41">
        <f t="shared" si="357"/>
        <v>0.1076923076923077</v>
      </c>
      <c r="U829" s="21">
        <v>5</v>
      </c>
      <c r="V829" s="41">
        <f t="shared" si="358"/>
        <v>5.3191489361702128E-2</v>
      </c>
      <c r="W829" s="21">
        <v>3</v>
      </c>
      <c r="X829" s="41">
        <f t="shared" si="359"/>
        <v>4.6153846153846156E-2</v>
      </c>
      <c r="Y829" s="21">
        <v>7</v>
      </c>
      <c r="Z829" s="41">
        <f t="shared" si="360"/>
        <v>7.4468085106382975E-2</v>
      </c>
      <c r="AA829" s="21">
        <v>4</v>
      </c>
      <c r="AB829" s="41">
        <f t="shared" si="361"/>
        <v>6.1538461538461542E-2</v>
      </c>
      <c r="AC829" s="21">
        <v>82</v>
      </c>
      <c r="AD829" s="41">
        <f t="shared" si="369"/>
        <v>0.87234042553191493</v>
      </c>
      <c r="AE829" s="21">
        <v>58</v>
      </c>
      <c r="AF829" s="41">
        <f t="shared" si="362"/>
        <v>0.89230769230769236</v>
      </c>
      <c r="AG829" s="21">
        <v>0</v>
      </c>
      <c r="AH829" s="41">
        <f t="shared" si="370"/>
        <v>0</v>
      </c>
      <c r="AI829" s="21">
        <v>0</v>
      </c>
      <c r="AJ829" s="41">
        <f t="shared" si="363"/>
        <v>0</v>
      </c>
      <c r="AK829" s="21">
        <v>1</v>
      </c>
      <c r="AL829" s="41">
        <f t="shared" si="371"/>
        <v>1.0638297872340425E-2</v>
      </c>
      <c r="AM829" s="21">
        <v>1</v>
      </c>
      <c r="AN829" s="41">
        <f t="shared" si="364"/>
        <v>1.5384615384615385E-2</v>
      </c>
      <c r="AO829" s="21">
        <v>61</v>
      </c>
      <c r="AP829" s="41">
        <f t="shared" si="372"/>
        <v>0.64893617021276595</v>
      </c>
      <c r="AQ829" s="21">
        <v>41</v>
      </c>
      <c r="AR829" s="41">
        <f t="shared" si="365"/>
        <v>0.63076923076923075</v>
      </c>
      <c r="AS829" s="21">
        <v>11</v>
      </c>
      <c r="AT829" s="41">
        <f t="shared" si="373"/>
        <v>0.11702127659574468</v>
      </c>
      <c r="AU829" s="21">
        <v>8</v>
      </c>
      <c r="AV829" s="41">
        <f t="shared" si="366"/>
        <v>0.12307692307692308</v>
      </c>
      <c r="AW829" s="21">
        <v>9</v>
      </c>
      <c r="AX829" s="41">
        <f t="shared" si="374"/>
        <v>9.5744680851063829E-2</v>
      </c>
      <c r="AY829" s="21">
        <v>5</v>
      </c>
      <c r="AZ829" s="41">
        <f t="shared" si="367"/>
        <v>7.6923076923076927E-2</v>
      </c>
      <c r="BA829" s="21">
        <v>12</v>
      </c>
      <c r="BB829" s="41">
        <f t="shared" si="375"/>
        <v>0.1276595744680851</v>
      </c>
      <c r="BC829" s="21">
        <v>10</v>
      </c>
      <c r="BD829" s="41">
        <f t="shared" si="368"/>
        <v>0.15384615384615385</v>
      </c>
      <c r="BE829" s="21">
        <v>94</v>
      </c>
      <c r="BF829" s="21">
        <v>65</v>
      </c>
    </row>
    <row r="830" spans="1:58" ht="15.75" customHeight="1" x14ac:dyDescent="0.25">
      <c r="A830" s="44">
        <v>2019</v>
      </c>
      <c r="B830" s="39">
        <v>172110</v>
      </c>
      <c r="C830" s="38" t="s">
        <v>148</v>
      </c>
      <c r="D830" s="38" t="s">
        <v>138</v>
      </c>
      <c r="E830" s="21">
        <v>8</v>
      </c>
      <c r="F830" s="42">
        <f t="shared" si="350"/>
        <v>1.3093289689034371E-2</v>
      </c>
      <c r="G830" s="21">
        <v>8</v>
      </c>
      <c r="H830" s="42">
        <f t="shared" si="351"/>
        <v>1.444043321299639E-2</v>
      </c>
      <c r="I830" s="21">
        <v>9</v>
      </c>
      <c r="J830" s="41">
        <f t="shared" si="352"/>
        <v>1.4729950900163666E-2</v>
      </c>
      <c r="K830" s="21">
        <v>9</v>
      </c>
      <c r="L830" s="41">
        <f t="shared" si="353"/>
        <v>1.6245487364620937E-2</v>
      </c>
      <c r="M830" s="21">
        <v>570</v>
      </c>
      <c r="N830" s="41">
        <f t="shared" si="354"/>
        <v>0.93289689034369883</v>
      </c>
      <c r="O830" s="21">
        <v>516</v>
      </c>
      <c r="P830" s="41">
        <f t="shared" si="355"/>
        <v>0.93140794223826717</v>
      </c>
      <c r="Q830" s="21">
        <v>24</v>
      </c>
      <c r="R830" s="41">
        <f t="shared" si="356"/>
        <v>3.927986906710311E-2</v>
      </c>
      <c r="S830" s="21">
        <v>21</v>
      </c>
      <c r="T830" s="41">
        <f t="shared" si="357"/>
        <v>3.7906137184115521E-2</v>
      </c>
      <c r="U830" s="21">
        <v>24</v>
      </c>
      <c r="V830" s="41">
        <f t="shared" si="358"/>
        <v>3.927986906710311E-2</v>
      </c>
      <c r="W830" s="21">
        <v>26</v>
      </c>
      <c r="X830" s="41">
        <f t="shared" si="359"/>
        <v>4.6931407942238268E-2</v>
      </c>
      <c r="Y830" s="21">
        <v>54</v>
      </c>
      <c r="Z830" s="41">
        <f t="shared" si="360"/>
        <v>8.8379705400982E-2</v>
      </c>
      <c r="AA830" s="21">
        <v>52</v>
      </c>
      <c r="AB830" s="41">
        <f t="shared" si="361"/>
        <v>9.3862815884476536E-2</v>
      </c>
      <c r="AC830" s="21">
        <v>533</v>
      </c>
      <c r="AD830" s="41">
        <f t="shared" si="369"/>
        <v>0.87234042553191493</v>
      </c>
      <c r="AE830" s="21">
        <v>476</v>
      </c>
      <c r="AF830" s="41">
        <f t="shared" si="362"/>
        <v>0.8592057761732852</v>
      </c>
      <c r="AG830" s="21">
        <v>33</v>
      </c>
      <c r="AH830" s="41">
        <f t="shared" si="370"/>
        <v>5.4009819967266774E-2</v>
      </c>
      <c r="AI830" s="21">
        <v>31</v>
      </c>
      <c r="AJ830" s="41">
        <f t="shared" si="363"/>
        <v>5.5956678700361008E-2</v>
      </c>
      <c r="AK830" s="21">
        <v>22</v>
      </c>
      <c r="AL830" s="41">
        <f t="shared" si="371"/>
        <v>3.6006546644844518E-2</v>
      </c>
      <c r="AM830" s="21">
        <v>20</v>
      </c>
      <c r="AN830" s="41">
        <f t="shared" si="364"/>
        <v>3.6101083032490974E-2</v>
      </c>
      <c r="AO830" s="21">
        <v>408</v>
      </c>
      <c r="AP830" s="41">
        <f t="shared" si="372"/>
        <v>0.66775777414075288</v>
      </c>
      <c r="AQ830" s="21">
        <v>366</v>
      </c>
      <c r="AR830" s="41">
        <f t="shared" si="365"/>
        <v>0.66064981949458479</v>
      </c>
      <c r="AS830" s="21">
        <v>97</v>
      </c>
      <c r="AT830" s="41">
        <f t="shared" si="373"/>
        <v>0.15875613747954173</v>
      </c>
      <c r="AU830" s="21">
        <v>87</v>
      </c>
      <c r="AV830" s="41">
        <f t="shared" si="366"/>
        <v>0.15703971119133575</v>
      </c>
      <c r="AW830" s="21">
        <v>31</v>
      </c>
      <c r="AX830" s="41">
        <f t="shared" si="374"/>
        <v>5.0736497545008183E-2</v>
      </c>
      <c r="AY830" s="21">
        <v>31</v>
      </c>
      <c r="AZ830" s="41">
        <f t="shared" si="367"/>
        <v>5.5956678700361008E-2</v>
      </c>
      <c r="BA830" s="21">
        <v>20</v>
      </c>
      <c r="BB830" s="41">
        <f t="shared" si="375"/>
        <v>3.2733224222585927E-2</v>
      </c>
      <c r="BC830" s="21">
        <v>19</v>
      </c>
      <c r="BD830" s="41">
        <f t="shared" si="368"/>
        <v>3.4296028880866428E-2</v>
      </c>
      <c r="BE830" s="21">
        <v>611</v>
      </c>
      <c r="BF830" s="21">
        <v>554</v>
      </c>
    </row>
    <row r="831" spans="1:58" ht="15.75" customHeight="1" x14ac:dyDescent="0.25">
      <c r="A831" s="44">
        <v>2019</v>
      </c>
      <c r="B831" s="39">
        <v>172120</v>
      </c>
      <c r="C831" s="38" t="s">
        <v>145</v>
      </c>
      <c r="D831" s="38" t="s">
        <v>139</v>
      </c>
      <c r="E831" s="21">
        <v>20</v>
      </c>
      <c r="F831" s="42">
        <f t="shared" si="350"/>
        <v>1.5232292460015232E-2</v>
      </c>
      <c r="G831" s="21">
        <v>19</v>
      </c>
      <c r="H831" s="42">
        <f t="shared" si="351"/>
        <v>1.9019019019019021E-2</v>
      </c>
      <c r="I831" s="21">
        <v>34</v>
      </c>
      <c r="J831" s="41">
        <f t="shared" si="352"/>
        <v>2.5894897182025894E-2</v>
      </c>
      <c r="K831" s="21">
        <v>32</v>
      </c>
      <c r="L831" s="41">
        <f t="shared" si="353"/>
        <v>3.2032032032032032E-2</v>
      </c>
      <c r="M831" s="20">
        <v>1211</v>
      </c>
      <c r="N831" s="41">
        <f t="shared" si="354"/>
        <v>0.92231530845392229</v>
      </c>
      <c r="O831" s="21">
        <v>911</v>
      </c>
      <c r="P831" s="41">
        <f t="shared" si="355"/>
        <v>0.9119119119119119</v>
      </c>
      <c r="Q831" s="21">
        <v>48</v>
      </c>
      <c r="R831" s="41">
        <f t="shared" si="356"/>
        <v>3.655750190403656E-2</v>
      </c>
      <c r="S831" s="21">
        <v>37</v>
      </c>
      <c r="T831" s="41">
        <f t="shared" si="357"/>
        <v>3.7037037037037035E-2</v>
      </c>
      <c r="U831" s="21">
        <v>104</v>
      </c>
      <c r="V831" s="41">
        <f t="shared" si="358"/>
        <v>7.9207920792079209E-2</v>
      </c>
      <c r="W831" s="21">
        <v>82</v>
      </c>
      <c r="X831" s="41">
        <f t="shared" si="359"/>
        <v>8.2082082082082078E-2</v>
      </c>
      <c r="Y831" s="21">
        <v>116</v>
      </c>
      <c r="Z831" s="41">
        <f t="shared" si="360"/>
        <v>8.8347296268088349E-2</v>
      </c>
      <c r="AA831" s="21">
        <v>100</v>
      </c>
      <c r="AB831" s="41">
        <f t="shared" si="361"/>
        <v>0.10010010010010011</v>
      </c>
      <c r="AC831" s="20">
        <v>1093</v>
      </c>
      <c r="AD831" s="41">
        <f t="shared" si="369"/>
        <v>0.83244478293983248</v>
      </c>
      <c r="AE831" s="21">
        <v>817</v>
      </c>
      <c r="AF831" s="41">
        <f t="shared" si="362"/>
        <v>0.81781781781781782</v>
      </c>
      <c r="AG831" s="21">
        <v>54</v>
      </c>
      <c r="AH831" s="41">
        <f t="shared" si="370"/>
        <v>4.112718964204113E-2</v>
      </c>
      <c r="AI831" s="21">
        <v>49</v>
      </c>
      <c r="AJ831" s="41">
        <f t="shared" si="363"/>
        <v>4.9049049049049047E-2</v>
      </c>
      <c r="AK831" s="21">
        <v>50</v>
      </c>
      <c r="AL831" s="41">
        <f t="shared" si="371"/>
        <v>3.8080731150038079E-2</v>
      </c>
      <c r="AM831" s="21">
        <v>42</v>
      </c>
      <c r="AN831" s="41">
        <f t="shared" si="364"/>
        <v>4.2042042042042045E-2</v>
      </c>
      <c r="AO831" s="21">
        <v>842</v>
      </c>
      <c r="AP831" s="41">
        <f t="shared" si="372"/>
        <v>0.64127951256664129</v>
      </c>
      <c r="AQ831" s="21">
        <v>633</v>
      </c>
      <c r="AR831" s="41">
        <f t="shared" si="365"/>
        <v>0.63363363363363367</v>
      </c>
      <c r="AS831" s="21">
        <v>213</v>
      </c>
      <c r="AT831" s="41">
        <f t="shared" si="373"/>
        <v>0.16222391469916222</v>
      </c>
      <c r="AU831" s="21">
        <v>165</v>
      </c>
      <c r="AV831" s="41">
        <f t="shared" si="366"/>
        <v>0.16516516516516516</v>
      </c>
      <c r="AW831" s="21">
        <v>77</v>
      </c>
      <c r="AX831" s="41">
        <f t="shared" si="374"/>
        <v>5.8644325971058647E-2</v>
      </c>
      <c r="AY831" s="21">
        <v>54</v>
      </c>
      <c r="AZ831" s="41">
        <f t="shared" si="367"/>
        <v>5.4054054054054057E-2</v>
      </c>
      <c r="BA831" s="21">
        <v>77</v>
      </c>
      <c r="BB831" s="41">
        <f t="shared" si="375"/>
        <v>5.8644325971058647E-2</v>
      </c>
      <c r="BC831" s="21">
        <v>56</v>
      </c>
      <c r="BD831" s="41">
        <f t="shared" si="368"/>
        <v>5.6056056056056056E-2</v>
      </c>
      <c r="BE831" s="20">
        <v>1313</v>
      </c>
      <c r="BF831" s="21">
        <v>999</v>
      </c>
    </row>
    <row r="832" spans="1:58" ht="15.75" customHeight="1" x14ac:dyDescent="0.25">
      <c r="A832" s="44">
        <v>2019</v>
      </c>
      <c r="B832" s="39">
        <v>172125</v>
      </c>
      <c r="C832" s="38" t="s">
        <v>150</v>
      </c>
      <c r="D832" s="38" t="s">
        <v>140</v>
      </c>
      <c r="E832" s="21">
        <v>2</v>
      </c>
      <c r="F832" s="42">
        <f t="shared" si="350"/>
        <v>1.7391304347826087E-2</v>
      </c>
      <c r="G832" s="21">
        <v>0</v>
      </c>
      <c r="H832" s="42">
        <f t="shared" si="351"/>
        <v>0</v>
      </c>
      <c r="I832" s="21">
        <v>4</v>
      </c>
      <c r="J832" s="41">
        <f t="shared" si="352"/>
        <v>3.4782608695652174E-2</v>
      </c>
      <c r="K832" s="21">
        <v>1</v>
      </c>
      <c r="L832" s="41">
        <f t="shared" si="353"/>
        <v>2.8571428571428571E-2</v>
      </c>
      <c r="M832" s="21">
        <v>101</v>
      </c>
      <c r="N832" s="41">
        <f t="shared" si="354"/>
        <v>0.87826086956521743</v>
      </c>
      <c r="O832" s="21">
        <v>32</v>
      </c>
      <c r="P832" s="41">
        <f t="shared" si="355"/>
        <v>0.91428571428571426</v>
      </c>
      <c r="Q832" s="21">
        <v>8</v>
      </c>
      <c r="R832" s="41">
        <f t="shared" si="356"/>
        <v>6.9565217391304349E-2</v>
      </c>
      <c r="S832" s="21">
        <v>2</v>
      </c>
      <c r="T832" s="41">
        <f t="shared" si="357"/>
        <v>5.7142857142857141E-2</v>
      </c>
      <c r="U832" s="21">
        <v>4</v>
      </c>
      <c r="V832" s="41">
        <f t="shared" si="358"/>
        <v>3.4782608695652174E-2</v>
      </c>
      <c r="W832" s="21">
        <v>0</v>
      </c>
      <c r="X832" s="41">
        <f t="shared" si="359"/>
        <v>0</v>
      </c>
      <c r="Y832" s="21">
        <v>9</v>
      </c>
      <c r="Z832" s="41">
        <f t="shared" si="360"/>
        <v>7.8260869565217397E-2</v>
      </c>
      <c r="AA832" s="21">
        <v>2</v>
      </c>
      <c r="AB832" s="41">
        <f t="shared" si="361"/>
        <v>5.7142857142857141E-2</v>
      </c>
      <c r="AC832" s="21">
        <v>102</v>
      </c>
      <c r="AD832" s="41">
        <f t="shared" si="369"/>
        <v>0.88695652173913042</v>
      </c>
      <c r="AE832" s="21">
        <v>33</v>
      </c>
      <c r="AF832" s="41">
        <f t="shared" si="362"/>
        <v>0.94285714285714284</v>
      </c>
      <c r="AG832" s="21">
        <v>5</v>
      </c>
      <c r="AH832" s="41">
        <f t="shared" si="370"/>
        <v>4.3478260869565216E-2</v>
      </c>
      <c r="AI832" s="21">
        <v>2</v>
      </c>
      <c r="AJ832" s="41">
        <f t="shared" si="363"/>
        <v>5.7142857142857141E-2</v>
      </c>
      <c r="AK832" s="21">
        <v>3</v>
      </c>
      <c r="AL832" s="41">
        <f t="shared" si="371"/>
        <v>2.6086956521739129E-2</v>
      </c>
      <c r="AM832" s="21">
        <v>3</v>
      </c>
      <c r="AN832" s="41">
        <f t="shared" si="364"/>
        <v>8.5714285714285715E-2</v>
      </c>
      <c r="AO832" s="21">
        <v>84</v>
      </c>
      <c r="AP832" s="41">
        <f t="shared" si="372"/>
        <v>0.73043478260869565</v>
      </c>
      <c r="AQ832" s="21">
        <v>25</v>
      </c>
      <c r="AR832" s="41">
        <f t="shared" si="365"/>
        <v>0.7142857142857143</v>
      </c>
      <c r="AS832" s="21">
        <v>9</v>
      </c>
      <c r="AT832" s="41">
        <f t="shared" si="373"/>
        <v>7.8260869565217397E-2</v>
      </c>
      <c r="AU832" s="21">
        <v>3</v>
      </c>
      <c r="AV832" s="41">
        <f t="shared" si="366"/>
        <v>8.5714285714285715E-2</v>
      </c>
      <c r="AW832" s="21">
        <v>9</v>
      </c>
      <c r="AX832" s="41">
        <f t="shared" si="374"/>
        <v>7.8260869565217397E-2</v>
      </c>
      <c r="AY832" s="21">
        <v>2</v>
      </c>
      <c r="AZ832" s="41">
        <f t="shared" si="367"/>
        <v>5.7142857142857141E-2</v>
      </c>
      <c r="BA832" s="21">
        <v>5</v>
      </c>
      <c r="BB832" s="41">
        <f t="shared" si="375"/>
        <v>4.3478260869565216E-2</v>
      </c>
      <c r="BC832" s="21">
        <v>0</v>
      </c>
      <c r="BD832" s="41">
        <f t="shared" si="368"/>
        <v>0</v>
      </c>
      <c r="BE832" s="21">
        <v>115</v>
      </c>
      <c r="BF832" s="21">
        <v>35</v>
      </c>
    </row>
    <row r="833" spans="1:58" ht="15.75" customHeight="1" x14ac:dyDescent="0.25">
      <c r="A833" s="44">
        <v>2019</v>
      </c>
      <c r="B833" s="39">
        <v>172130</v>
      </c>
      <c r="C833" s="38" t="s">
        <v>150</v>
      </c>
      <c r="D833" s="38" t="s">
        <v>141</v>
      </c>
      <c r="E833" s="21">
        <v>1</v>
      </c>
      <c r="F833" s="42">
        <f t="shared" si="350"/>
        <v>1.1627906976744186E-2</v>
      </c>
      <c r="G833" s="21">
        <v>0</v>
      </c>
      <c r="H833" s="42">
        <f t="shared" si="351"/>
        <v>0</v>
      </c>
      <c r="I833" s="21">
        <v>0</v>
      </c>
      <c r="J833" s="41">
        <f t="shared" si="352"/>
        <v>0</v>
      </c>
      <c r="K833" s="21">
        <v>0</v>
      </c>
      <c r="L833" s="41">
        <f t="shared" si="353"/>
        <v>0</v>
      </c>
      <c r="M833" s="21">
        <v>85</v>
      </c>
      <c r="N833" s="41">
        <f t="shared" si="354"/>
        <v>0.98837209302325579</v>
      </c>
      <c r="O833" s="21">
        <v>57</v>
      </c>
      <c r="P833" s="41">
        <f t="shared" si="355"/>
        <v>1</v>
      </c>
      <c r="Q833" s="21">
        <v>0</v>
      </c>
      <c r="R833" s="41">
        <f t="shared" si="356"/>
        <v>0</v>
      </c>
      <c r="S833" s="21">
        <v>0</v>
      </c>
      <c r="T833" s="41">
        <f t="shared" si="357"/>
        <v>0</v>
      </c>
      <c r="U833" s="21">
        <v>2</v>
      </c>
      <c r="V833" s="41">
        <f t="shared" si="358"/>
        <v>2.3255813953488372E-2</v>
      </c>
      <c r="W833" s="21">
        <v>1</v>
      </c>
      <c r="X833" s="41">
        <f t="shared" si="359"/>
        <v>1.7543859649122806E-2</v>
      </c>
      <c r="Y833" s="21">
        <v>9</v>
      </c>
      <c r="Z833" s="41">
        <f t="shared" si="360"/>
        <v>0.10465116279069768</v>
      </c>
      <c r="AA833" s="21">
        <v>8</v>
      </c>
      <c r="AB833" s="41">
        <f t="shared" si="361"/>
        <v>0.14035087719298245</v>
      </c>
      <c r="AC833" s="21">
        <v>75</v>
      </c>
      <c r="AD833" s="41">
        <f t="shared" si="369"/>
        <v>0.87209302325581395</v>
      </c>
      <c r="AE833" s="21">
        <v>48</v>
      </c>
      <c r="AF833" s="41">
        <f t="shared" si="362"/>
        <v>0.84210526315789469</v>
      </c>
      <c r="AG833" s="21">
        <v>1</v>
      </c>
      <c r="AH833" s="41">
        <f t="shared" si="370"/>
        <v>1.1627906976744186E-2</v>
      </c>
      <c r="AI833" s="21">
        <v>0</v>
      </c>
      <c r="AJ833" s="41">
        <f t="shared" si="363"/>
        <v>0</v>
      </c>
      <c r="AK833" s="21">
        <v>1</v>
      </c>
      <c r="AL833" s="41">
        <f t="shared" si="371"/>
        <v>1.1627906976744186E-2</v>
      </c>
      <c r="AM833" s="21">
        <v>1</v>
      </c>
      <c r="AN833" s="41">
        <f t="shared" si="364"/>
        <v>1.7543859649122806E-2</v>
      </c>
      <c r="AO833" s="21">
        <v>54</v>
      </c>
      <c r="AP833" s="41">
        <f t="shared" si="372"/>
        <v>0.62790697674418605</v>
      </c>
      <c r="AQ833" s="21">
        <v>38</v>
      </c>
      <c r="AR833" s="41">
        <f t="shared" si="365"/>
        <v>0.66666666666666663</v>
      </c>
      <c r="AS833" s="21">
        <v>21</v>
      </c>
      <c r="AT833" s="41">
        <f t="shared" si="373"/>
        <v>0.2441860465116279</v>
      </c>
      <c r="AU833" s="21">
        <v>15</v>
      </c>
      <c r="AV833" s="41">
        <f t="shared" si="366"/>
        <v>0.26315789473684209</v>
      </c>
      <c r="AW833" s="21">
        <v>8</v>
      </c>
      <c r="AX833" s="41">
        <f t="shared" si="374"/>
        <v>9.3023255813953487E-2</v>
      </c>
      <c r="AY833" s="21">
        <v>3</v>
      </c>
      <c r="AZ833" s="41">
        <f t="shared" si="367"/>
        <v>5.2631578947368418E-2</v>
      </c>
      <c r="BA833" s="21">
        <v>1</v>
      </c>
      <c r="BB833" s="41">
        <f t="shared" si="375"/>
        <v>1.1627906976744186E-2</v>
      </c>
      <c r="BC833" s="21">
        <v>0</v>
      </c>
      <c r="BD833" s="41">
        <f t="shared" si="368"/>
        <v>0</v>
      </c>
      <c r="BE833" s="21">
        <v>86</v>
      </c>
      <c r="BF833" s="21">
        <v>57</v>
      </c>
    </row>
    <row r="834" spans="1:58" ht="15.75" customHeight="1" x14ac:dyDescent="0.25">
      <c r="A834" s="44">
        <v>2019</v>
      </c>
      <c r="B834" s="39">
        <v>172208</v>
      </c>
      <c r="C834" s="38" t="s">
        <v>149</v>
      </c>
      <c r="D834" s="38" t="s">
        <v>142</v>
      </c>
      <c r="E834" s="21">
        <v>8</v>
      </c>
      <c r="F834" s="42">
        <f t="shared" ref="F834:F897" si="376">IFERROR(E834/$BE834,0)</f>
        <v>1.5296367112810707E-2</v>
      </c>
      <c r="G834" s="21">
        <v>8</v>
      </c>
      <c r="H834" s="42">
        <f t="shared" ref="H834:H897" si="377">IFERROR(G834/$BF834,0)</f>
        <v>1.7204301075268817E-2</v>
      </c>
      <c r="I834" s="21">
        <v>26</v>
      </c>
      <c r="J834" s="41">
        <f t="shared" ref="J834:J897" si="378">IFERROR(I834/$BE834,0)</f>
        <v>4.9713193116634802E-2</v>
      </c>
      <c r="K834" s="21">
        <v>20</v>
      </c>
      <c r="L834" s="41">
        <f t="shared" ref="L834:L897" si="379">IFERROR(K834/$BF834,0)</f>
        <v>4.3010752688172046E-2</v>
      </c>
      <c r="M834" s="21">
        <v>466</v>
      </c>
      <c r="N834" s="41">
        <f t="shared" ref="N834:N897" si="380">IFERROR(M834/$BE834,0)</f>
        <v>0.89101338432122368</v>
      </c>
      <c r="O834" s="21">
        <v>418</v>
      </c>
      <c r="P834" s="41">
        <f t="shared" ref="P834:P897" si="381">IFERROR(O834/$BF834,0)</f>
        <v>0.8989247311827957</v>
      </c>
      <c r="Q834" s="21">
        <v>23</v>
      </c>
      <c r="R834" s="41">
        <f t="shared" ref="R834:R897" si="382">IFERROR(Q834/$BE834,0)</f>
        <v>4.3977055449330782E-2</v>
      </c>
      <c r="S834" s="21">
        <v>19</v>
      </c>
      <c r="T834" s="41">
        <f t="shared" ref="T834:T897" si="383">IFERROR(S834/$BF834,0)</f>
        <v>4.0860215053763443E-2</v>
      </c>
      <c r="U834" s="21">
        <v>46</v>
      </c>
      <c r="V834" s="41">
        <f t="shared" ref="V834:V897" si="384">IFERROR(U834/$BE834,0)</f>
        <v>8.7954110898661564E-2</v>
      </c>
      <c r="W834" s="21">
        <v>33</v>
      </c>
      <c r="X834" s="41">
        <f t="shared" ref="X834:X897" si="385">IFERROR(W834/$BF834,0)</f>
        <v>7.0967741935483872E-2</v>
      </c>
      <c r="Y834" s="21">
        <v>54</v>
      </c>
      <c r="Z834" s="41">
        <f t="shared" ref="Z834:Z897" si="386">IFERROR(Y834/$BE834,0)</f>
        <v>0.10325047801147227</v>
      </c>
      <c r="AA834" s="21">
        <v>46</v>
      </c>
      <c r="AB834" s="41">
        <f t="shared" ref="AB834:AB897" si="387">IFERROR(AA834/$BF834,0)</f>
        <v>9.8924731182795697E-2</v>
      </c>
      <c r="AC834" s="21">
        <v>423</v>
      </c>
      <c r="AD834" s="41">
        <f t="shared" si="369"/>
        <v>0.80879541108986619</v>
      </c>
      <c r="AE834" s="21">
        <v>386</v>
      </c>
      <c r="AF834" s="41">
        <f t="shared" ref="AF834:AF897" si="388">IFERROR(AE834/$BF834,0)</f>
        <v>0.8301075268817204</v>
      </c>
      <c r="AG834" s="21">
        <v>20</v>
      </c>
      <c r="AH834" s="41">
        <f t="shared" si="370"/>
        <v>3.8240917782026769E-2</v>
      </c>
      <c r="AI834" s="21">
        <v>20</v>
      </c>
      <c r="AJ834" s="41">
        <f t="shared" ref="AJ834:AJ897" si="389">IFERROR(AI834/$BF834,0)</f>
        <v>4.3010752688172046E-2</v>
      </c>
      <c r="AK834" s="21">
        <v>31</v>
      </c>
      <c r="AL834" s="41">
        <f t="shared" si="371"/>
        <v>5.9273422562141492E-2</v>
      </c>
      <c r="AM834" s="21">
        <v>33</v>
      </c>
      <c r="AN834" s="41">
        <f t="shared" ref="AN834:AN897" si="390">IFERROR(AM834/$BF834,0)</f>
        <v>7.0967741935483872E-2</v>
      </c>
      <c r="AO834" s="21">
        <v>300</v>
      </c>
      <c r="AP834" s="41">
        <f t="shared" si="372"/>
        <v>0.57361376673040154</v>
      </c>
      <c r="AQ834" s="21">
        <v>272</v>
      </c>
      <c r="AR834" s="41">
        <f t="shared" ref="AR834:AR897" si="391">IFERROR(AQ834/$BF834,0)</f>
        <v>0.5849462365591398</v>
      </c>
      <c r="AS834" s="21">
        <v>84</v>
      </c>
      <c r="AT834" s="41">
        <f t="shared" si="373"/>
        <v>0.16061185468451242</v>
      </c>
      <c r="AU834" s="21">
        <v>69</v>
      </c>
      <c r="AV834" s="41">
        <f t="shared" ref="AV834:AV897" si="392">IFERROR(AU834/$BF834,0)</f>
        <v>0.14838709677419354</v>
      </c>
      <c r="AW834" s="21">
        <v>48</v>
      </c>
      <c r="AX834" s="41">
        <f t="shared" si="374"/>
        <v>9.1778202676864248E-2</v>
      </c>
      <c r="AY834" s="21">
        <v>41</v>
      </c>
      <c r="AZ834" s="41">
        <f t="shared" ref="AZ834:AZ897" si="393">IFERROR(AY834/$BF834,0)</f>
        <v>8.8172043010752682E-2</v>
      </c>
      <c r="BA834" s="21">
        <v>40</v>
      </c>
      <c r="BB834" s="41">
        <f t="shared" si="375"/>
        <v>7.6481835564053538E-2</v>
      </c>
      <c r="BC834" s="21">
        <v>30</v>
      </c>
      <c r="BD834" s="41">
        <f t="shared" ref="BD834:BD897" si="394">IFERROR(BC834/$BF834,0)</f>
        <v>6.4516129032258063E-2</v>
      </c>
      <c r="BE834" s="21">
        <v>523</v>
      </c>
      <c r="BF834" s="21">
        <v>465</v>
      </c>
    </row>
    <row r="835" spans="1:58" ht="15.75" customHeight="1" x14ac:dyDescent="0.25">
      <c r="A835" s="44">
        <v>2019</v>
      </c>
      <c r="B835" s="39">
        <v>172210</v>
      </c>
      <c r="C835" s="38" t="s">
        <v>149</v>
      </c>
      <c r="D835" s="38" t="s">
        <v>143</v>
      </c>
      <c r="E835" s="21">
        <v>1</v>
      </c>
      <c r="F835" s="42">
        <f t="shared" si="376"/>
        <v>1.8656716417910447E-3</v>
      </c>
      <c r="G835" s="21">
        <v>0</v>
      </c>
      <c r="H835" s="42">
        <f t="shared" si="377"/>
        <v>0</v>
      </c>
      <c r="I835" s="21">
        <v>17</v>
      </c>
      <c r="J835" s="41">
        <f t="shared" si="378"/>
        <v>3.1716417910447763E-2</v>
      </c>
      <c r="K835" s="21">
        <v>13</v>
      </c>
      <c r="L835" s="41">
        <f t="shared" si="379"/>
        <v>2.8571428571428571E-2</v>
      </c>
      <c r="M835" s="21">
        <v>495</v>
      </c>
      <c r="N835" s="41">
        <f t="shared" si="380"/>
        <v>0.92350746268656714</v>
      </c>
      <c r="O835" s="21">
        <v>421</v>
      </c>
      <c r="P835" s="41">
        <f t="shared" si="381"/>
        <v>0.92527472527472532</v>
      </c>
      <c r="Q835" s="21">
        <v>23</v>
      </c>
      <c r="R835" s="41">
        <f t="shared" si="382"/>
        <v>4.2910447761194029E-2</v>
      </c>
      <c r="S835" s="21">
        <v>21</v>
      </c>
      <c r="T835" s="41">
        <f t="shared" si="383"/>
        <v>4.6153846153846156E-2</v>
      </c>
      <c r="U835" s="21">
        <v>10</v>
      </c>
      <c r="V835" s="41">
        <f t="shared" si="384"/>
        <v>1.8656716417910446E-2</v>
      </c>
      <c r="W835" s="21">
        <v>8</v>
      </c>
      <c r="X835" s="41">
        <f t="shared" si="385"/>
        <v>1.7582417582417582E-2</v>
      </c>
      <c r="Y835" s="21">
        <v>41</v>
      </c>
      <c r="Z835" s="41">
        <f t="shared" si="386"/>
        <v>7.6492537313432835E-2</v>
      </c>
      <c r="AA835" s="21">
        <v>25</v>
      </c>
      <c r="AB835" s="41">
        <f t="shared" si="387"/>
        <v>5.4945054945054944E-2</v>
      </c>
      <c r="AC835" s="21">
        <v>485</v>
      </c>
      <c r="AD835" s="41">
        <f t="shared" si="369"/>
        <v>0.90485074626865669</v>
      </c>
      <c r="AE835" s="21">
        <v>422</v>
      </c>
      <c r="AF835" s="41">
        <f t="shared" si="388"/>
        <v>0.92747252747252751</v>
      </c>
      <c r="AG835" s="21">
        <v>9</v>
      </c>
      <c r="AH835" s="41">
        <f t="shared" si="370"/>
        <v>1.6791044776119403E-2</v>
      </c>
      <c r="AI835" s="21">
        <v>6</v>
      </c>
      <c r="AJ835" s="41">
        <f t="shared" si="389"/>
        <v>1.3186813186813187E-2</v>
      </c>
      <c r="AK835" s="21">
        <v>26</v>
      </c>
      <c r="AL835" s="41">
        <f t="shared" si="371"/>
        <v>4.8507462686567165E-2</v>
      </c>
      <c r="AM835" s="21">
        <v>28</v>
      </c>
      <c r="AN835" s="41">
        <f t="shared" si="390"/>
        <v>6.1538461538461542E-2</v>
      </c>
      <c r="AO835" s="21">
        <v>367</v>
      </c>
      <c r="AP835" s="41">
        <f t="shared" si="372"/>
        <v>0.68470149253731338</v>
      </c>
      <c r="AQ835" s="21">
        <v>323</v>
      </c>
      <c r="AR835" s="41">
        <f t="shared" si="391"/>
        <v>0.70989010989010992</v>
      </c>
      <c r="AS835" s="21">
        <v>84</v>
      </c>
      <c r="AT835" s="41">
        <f t="shared" si="373"/>
        <v>0.15671641791044777</v>
      </c>
      <c r="AU835" s="21">
        <v>57</v>
      </c>
      <c r="AV835" s="41">
        <f t="shared" si="392"/>
        <v>0.12527472527472527</v>
      </c>
      <c r="AW835" s="21">
        <v>31</v>
      </c>
      <c r="AX835" s="41">
        <f t="shared" si="374"/>
        <v>5.7835820895522388E-2</v>
      </c>
      <c r="AY835" s="21">
        <v>24</v>
      </c>
      <c r="AZ835" s="41">
        <f t="shared" si="393"/>
        <v>5.2747252747252747E-2</v>
      </c>
      <c r="BA835" s="21">
        <v>19</v>
      </c>
      <c r="BB835" s="41">
        <f t="shared" si="375"/>
        <v>3.5447761194029849E-2</v>
      </c>
      <c r="BC835" s="21">
        <v>17</v>
      </c>
      <c r="BD835" s="41">
        <f t="shared" si="394"/>
        <v>3.7362637362637362E-2</v>
      </c>
      <c r="BE835" s="21">
        <v>536</v>
      </c>
      <c r="BF835" s="21">
        <v>455</v>
      </c>
    </row>
    <row r="836" spans="1:58" ht="15.75" customHeight="1" x14ac:dyDescent="0.25">
      <c r="A836" s="44">
        <v>2018</v>
      </c>
      <c r="B836" s="39">
        <v>170025</v>
      </c>
      <c r="C836" s="38" t="s">
        <v>144</v>
      </c>
      <c r="D836" s="38" t="s">
        <v>5</v>
      </c>
      <c r="E836" s="39"/>
      <c r="F836" s="42">
        <f t="shared" si="376"/>
        <v>0</v>
      </c>
      <c r="G836" s="47"/>
      <c r="H836" s="42">
        <f t="shared" si="377"/>
        <v>0</v>
      </c>
      <c r="I836" s="39"/>
      <c r="J836" s="41">
        <f t="shared" si="378"/>
        <v>0</v>
      </c>
      <c r="K836" s="47"/>
      <c r="L836" s="41">
        <f t="shared" si="379"/>
        <v>0</v>
      </c>
      <c r="M836" s="39"/>
      <c r="N836" s="41">
        <f t="shared" si="380"/>
        <v>0</v>
      </c>
      <c r="O836" s="47"/>
      <c r="P836" s="41">
        <f t="shared" si="381"/>
        <v>0</v>
      </c>
      <c r="Q836" s="39"/>
      <c r="R836" s="41">
        <f t="shared" si="382"/>
        <v>0</v>
      </c>
      <c r="S836" s="47"/>
      <c r="T836" s="41">
        <f t="shared" si="383"/>
        <v>0</v>
      </c>
      <c r="U836" s="39"/>
      <c r="V836" s="41">
        <f t="shared" si="384"/>
        <v>0</v>
      </c>
      <c r="W836" s="47"/>
      <c r="X836" s="41">
        <f t="shared" si="385"/>
        <v>0</v>
      </c>
      <c r="Y836" s="39"/>
      <c r="Z836" s="41">
        <f t="shared" si="386"/>
        <v>0</v>
      </c>
      <c r="AA836" s="47"/>
      <c r="AB836" s="41">
        <f t="shared" si="387"/>
        <v>0</v>
      </c>
      <c r="AC836" s="39"/>
      <c r="AD836" s="41">
        <f t="shared" si="369"/>
        <v>0</v>
      </c>
      <c r="AE836" s="47"/>
      <c r="AF836" s="41">
        <f t="shared" si="388"/>
        <v>0</v>
      </c>
      <c r="AG836" s="39"/>
      <c r="AH836" s="41">
        <f t="shared" si="370"/>
        <v>0</v>
      </c>
      <c r="AI836" s="47"/>
      <c r="AJ836" s="41">
        <f t="shared" si="389"/>
        <v>0</v>
      </c>
      <c r="AK836" s="39"/>
      <c r="AL836" s="41">
        <f t="shared" si="371"/>
        <v>0</v>
      </c>
      <c r="AM836" s="47"/>
      <c r="AN836" s="41">
        <f t="shared" si="390"/>
        <v>0</v>
      </c>
      <c r="AO836" s="39"/>
      <c r="AP836" s="41">
        <f t="shared" si="372"/>
        <v>0</v>
      </c>
      <c r="AQ836" s="47"/>
      <c r="AR836" s="41">
        <f t="shared" si="391"/>
        <v>0</v>
      </c>
      <c r="AS836" s="39"/>
      <c r="AT836" s="41">
        <f t="shared" si="373"/>
        <v>0</v>
      </c>
      <c r="AU836" s="47"/>
      <c r="AV836" s="41">
        <f t="shared" si="392"/>
        <v>0</v>
      </c>
      <c r="AW836" s="39"/>
      <c r="AX836" s="41">
        <f t="shared" si="374"/>
        <v>0</v>
      </c>
      <c r="AY836" s="47"/>
      <c r="AZ836" s="41">
        <f t="shared" si="393"/>
        <v>0</v>
      </c>
      <c r="BA836" s="39"/>
      <c r="BB836" s="41">
        <f t="shared" si="375"/>
        <v>0</v>
      </c>
      <c r="BC836" s="47"/>
      <c r="BD836" s="41">
        <f t="shared" si="394"/>
        <v>0</v>
      </c>
      <c r="BE836" s="39"/>
      <c r="BF836" s="47"/>
    </row>
    <row r="837" spans="1:58" ht="15.75" customHeight="1" x14ac:dyDescent="0.25">
      <c r="A837" s="44">
        <v>2018</v>
      </c>
      <c r="B837" s="39">
        <v>170030</v>
      </c>
      <c r="C837" s="38" t="s">
        <v>145</v>
      </c>
      <c r="D837" s="38" t="s">
        <v>6</v>
      </c>
      <c r="E837" s="39"/>
      <c r="F837" s="42">
        <f t="shared" si="376"/>
        <v>0</v>
      </c>
      <c r="G837" s="47"/>
      <c r="H837" s="42">
        <f t="shared" si="377"/>
        <v>0</v>
      </c>
      <c r="I837" s="39"/>
      <c r="J837" s="41">
        <f t="shared" si="378"/>
        <v>0</v>
      </c>
      <c r="K837" s="47"/>
      <c r="L837" s="41">
        <f t="shared" si="379"/>
        <v>0</v>
      </c>
      <c r="M837" s="39"/>
      <c r="N837" s="41">
        <f t="shared" si="380"/>
        <v>0</v>
      </c>
      <c r="O837" s="47"/>
      <c r="P837" s="41">
        <f t="shared" si="381"/>
        <v>0</v>
      </c>
      <c r="Q837" s="39"/>
      <c r="R837" s="41">
        <f t="shared" si="382"/>
        <v>0</v>
      </c>
      <c r="S837" s="47"/>
      <c r="T837" s="41">
        <f t="shared" si="383"/>
        <v>0</v>
      </c>
      <c r="U837" s="39"/>
      <c r="V837" s="41">
        <f t="shared" si="384"/>
        <v>0</v>
      </c>
      <c r="W837" s="47"/>
      <c r="X837" s="41">
        <f t="shared" si="385"/>
        <v>0</v>
      </c>
      <c r="Y837" s="39"/>
      <c r="Z837" s="41">
        <f t="shared" si="386"/>
        <v>0</v>
      </c>
      <c r="AA837" s="47"/>
      <c r="AB837" s="41">
        <f t="shared" si="387"/>
        <v>0</v>
      </c>
      <c r="AC837" s="39"/>
      <c r="AD837" s="41">
        <f t="shared" si="369"/>
        <v>0</v>
      </c>
      <c r="AE837" s="47"/>
      <c r="AF837" s="41">
        <f t="shared" si="388"/>
        <v>0</v>
      </c>
      <c r="AG837" s="39"/>
      <c r="AH837" s="41">
        <f t="shared" si="370"/>
        <v>0</v>
      </c>
      <c r="AI837" s="47"/>
      <c r="AJ837" s="41">
        <f t="shared" si="389"/>
        <v>0</v>
      </c>
      <c r="AK837" s="39"/>
      <c r="AL837" s="41">
        <f t="shared" si="371"/>
        <v>0</v>
      </c>
      <c r="AM837" s="47"/>
      <c r="AN837" s="41">
        <f t="shared" si="390"/>
        <v>0</v>
      </c>
      <c r="AO837" s="39"/>
      <c r="AP837" s="41">
        <f t="shared" si="372"/>
        <v>0</v>
      </c>
      <c r="AQ837" s="47"/>
      <c r="AR837" s="41">
        <f t="shared" si="391"/>
        <v>0</v>
      </c>
      <c r="AS837" s="39"/>
      <c r="AT837" s="41">
        <f t="shared" si="373"/>
        <v>0</v>
      </c>
      <c r="AU837" s="47"/>
      <c r="AV837" s="41">
        <f t="shared" si="392"/>
        <v>0</v>
      </c>
      <c r="AW837" s="39"/>
      <c r="AX837" s="41">
        <f t="shared" si="374"/>
        <v>0</v>
      </c>
      <c r="AY837" s="47"/>
      <c r="AZ837" s="41">
        <f t="shared" si="393"/>
        <v>0</v>
      </c>
      <c r="BA837" s="39"/>
      <c r="BB837" s="41">
        <f t="shared" si="375"/>
        <v>0</v>
      </c>
      <c r="BC837" s="47"/>
      <c r="BD837" s="41">
        <f t="shared" si="394"/>
        <v>0</v>
      </c>
      <c r="BE837" s="39"/>
      <c r="BF837" s="47"/>
    </row>
    <row r="838" spans="1:58" ht="15.75" customHeight="1" x14ac:dyDescent="0.25">
      <c r="A838" s="44">
        <v>2018</v>
      </c>
      <c r="B838" s="39">
        <v>170035</v>
      </c>
      <c r="C838" s="38" t="s">
        <v>146</v>
      </c>
      <c r="D838" s="38" t="s">
        <v>7</v>
      </c>
      <c r="E838" s="39"/>
      <c r="F838" s="42">
        <f t="shared" si="376"/>
        <v>0</v>
      </c>
      <c r="G838" s="47"/>
      <c r="H838" s="42">
        <f t="shared" si="377"/>
        <v>0</v>
      </c>
      <c r="I838" s="39"/>
      <c r="J838" s="41">
        <f t="shared" si="378"/>
        <v>0</v>
      </c>
      <c r="K838" s="47"/>
      <c r="L838" s="41">
        <f t="shared" si="379"/>
        <v>0</v>
      </c>
      <c r="M838" s="39"/>
      <c r="N838" s="41">
        <f t="shared" si="380"/>
        <v>0</v>
      </c>
      <c r="O838" s="47"/>
      <c r="P838" s="41">
        <f t="shared" si="381"/>
        <v>0</v>
      </c>
      <c r="Q838" s="39"/>
      <c r="R838" s="41">
        <f t="shared" si="382"/>
        <v>0</v>
      </c>
      <c r="S838" s="47"/>
      <c r="T838" s="41">
        <f t="shared" si="383"/>
        <v>0</v>
      </c>
      <c r="U838" s="39"/>
      <c r="V838" s="41">
        <f t="shared" si="384"/>
        <v>0</v>
      </c>
      <c r="W838" s="47"/>
      <c r="X838" s="41">
        <f t="shared" si="385"/>
        <v>0</v>
      </c>
      <c r="Y838" s="39"/>
      <c r="Z838" s="41">
        <f t="shared" si="386"/>
        <v>0</v>
      </c>
      <c r="AA838" s="47"/>
      <c r="AB838" s="41">
        <f t="shared" si="387"/>
        <v>0</v>
      </c>
      <c r="AC838" s="39"/>
      <c r="AD838" s="41">
        <f t="shared" si="369"/>
        <v>0</v>
      </c>
      <c r="AE838" s="47"/>
      <c r="AF838" s="41">
        <f t="shared" si="388"/>
        <v>0</v>
      </c>
      <c r="AG838" s="39"/>
      <c r="AH838" s="41">
        <f t="shared" si="370"/>
        <v>0</v>
      </c>
      <c r="AI838" s="47"/>
      <c r="AJ838" s="41">
        <f t="shared" si="389"/>
        <v>0</v>
      </c>
      <c r="AK838" s="39"/>
      <c r="AL838" s="41">
        <f t="shared" si="371"/>
        <v>0</v>
      </c>
      <c r="AM838" s="47"/>
      <c r="AN838" s="41">
        <f t="shared" si="390"/>
        <v>0</v>
      </c>
      <c r="AO838" s="39"/>
      <c r="AP838" s="41">
        <f t="shared" si="372"/>
        <v>0</v>
      </c>
      <c r="AQ838" s="47"/>
      <c r="AR838" s="41">
        <f t="shared" si="391"/>
        <v>0</v>
      </c>
      <c r="AS838" s="39"/>
      <c r="AT838" s="41">
        <f t="shared" si="373"/>
        <v>0</v>
      </c>
      <c r="AU838" s="47"/>
      <c r="AV838" s="41">
        <f t="shared" si="392"/>
        <v>0</v>
      </c>
      <c r="AW838" s="39"/>
      <c r="AX838" s="41">
        <f t="shared" si="374"/>
        <v>0</v>
      </c>
      <c r="AY838" s="47"/>
      <c r="AZ838" s="41">
        <f t="shared" si="393"/>
        <v>0</v>
      </c>
      <c r="BA838" s="39"/>
      <c r="BB838" s="41">
        <f t="shared" si="375"/>
        <v>0</v>
      </c>
      <c r="BC838" s="47"/>
      <c r="BD838" s="41">
        <f t="shared" si="394"/>
        <v>0</v>
      </c>
      <c r="BE838" s="39"/>
      <c r="BF838" s="47"/>
    </row>
    <row r="839" spans="1:58" ht="15.75" customHeight="1" x14ac:dyDescent="0.25">
      <c r="A839" s="44">
        <v>2018</v>
      </c>
      <c r="B839" s="39">
        <v>170040</v>
      </c>
      <c r="C839" s="38" t="s">
        <v>147</v>
      </c>
      <c r="D839" s="38" t="s">
        <v>8</v>
      </c>
      <c r="E839" s="39"/>
      <c r="F839" s="42">
        <f t="shared" si="376"/>
        <v>0</v>
      </c>
      <c r="G839" s="47"/>
      <c r="H839" s="42">
        <f t="shared" si="377"/>
        <v>0</v>
      </c>
      <c r="I839" s="39"/>
      <c r="J839" s="41">
        <f t="shared" si="378"/>
        <v>0</v>
      </c>
      <c r="K839" s="47"/>
      <c r="L839" s="41">
        <f t="shared" si="379"/>
        <v>0</v>
      </c>
      <c r="M839" s="39"/>
      <c r="N839" s="41">
        <f t="shared" si="380"/>
        <v>0</v>
      </c>
      <c r="O839" s="47"/>
      <c r="P839" s="41">
        <f t="shared" si="381"/>
        <v>0</v>
      </c>
      <c r="Q839" s="39"/>
      <c r="R839" s="41">
        <f t="shared" si="382"/>
        <v>0</v>
      </c>
      <c r="S839" s="47"/>
      <c r="T839" s="41">
        <f t="shared" si="383"/>
        <v>0</v>
      </c>
      <c r="U839" s="39"/>
      <c r="V839" s="41">
        <f t="shared" si="384"/>
        <v>0</v>
      </c>
      <c r="W839" s="47"/>
      <c r="X839" s="41">
        <f t="shared" si="385"/>
        <v>0</v>
      </c>
      <c r="Y839" s="39"/>
      <c r="Z839" s="41">
        <f t="shared" si="386"/>
        <v>0</v>
      </c>
      <c r="AA839" s="47"/>
      <c r="AB839" s="41">
        <f t="shared" si="387"/>
        <v>0</v>
      </c>
      <c r="AC839" s="39"/>
      <c r="AD839" s="41">
        <f t="shared" si="369"/>
        <v>0</v>
      </c>
      <c r="AE839" s="47"/>
      <c r="AF839" s="41">
        <f t="shared" si="388"/>
        <v>0</v>
      </c>
      <c r="AG839" s="39"/>
      <c r="AH839" s="41">
        <f t="shared" si="370"/>
        <v>0</v>
      </c>
      <c r="AI839" s="47"/>
      <c r="AJ839" s="41">
        <f t="shared" si="389"/>
        <v>0</v>
      </c>
      <c r="AK839" s="39"/>
      <c r="AL839" s="41">
        <f t="shared" si="371"/>
        <v>0</v>
      </c>
      <c r="AM839" s="47"/>
      <c r="AN839" s="41">
        <f t="shared" si="390"/>
        <v>0</v>
      </c>
      <c r="AO839" s="39"/>
      <c r="AP839" s="41">
        <f t="shared" si="372"/>
        <v>0</v>
      </c>
      <c r="AQ839" s="47"/>
      <c r="AR839" s="41">
        <f t="shared" si="391"/>
        <v>0</v>
      </c>
      <c r="AS839" s="39"/>
      <c r="AT839" s="41">
        <f t="shared" si="373"/>
        <v>0</v>
      </c>
      <c r="AU839" s="47"/>
      <c r="AV839" s="41">
        <f t="shared" si="392"/>
        <v>0</v>
      </c>
      <c r="AW839" s="39"/>
      <c r="AX839" s="41">
        <f t="shared" si="374"/>
        <v>0</v>
      </c>
      <c r="AY839" s="47"/>
      <c r="AZ839" s="41">
        <f t="shared" si="393"/>
        <v>0</v>
      </c>
      <c r="BA839" s="39"/>
      <c r="BB839" s="41">
        <f t="shared" si="375"/>
        <v>0</v>
      </c>
      <c r="BC839" s="47"/>
      <c r="BD839" s="41">
        <f t="shared" si="394"/>
        <v>0</v>
      </c>
      <c r="BE839" s="39"/>
      <c r="BF839" s="47"/>
    </row>
    <row r="840" spans="1:58" ht="15.75" customHeight="1" x14ac:dyDescent="0.25">
      <c r="A840" s="44">
        <v>2018</v>
      </c>
      <c r="B840" s="39">
        <v>170070</v>
      </c>
      <c r="C840" s="38" t="s">
        <v>146</v>
      </c>
      <c r="D840" s="38" t="s">
        <v>9</v>
      </c>
      <c r="E840" s="39"/>
      <c r="F840" s="42">
        <f t="shared" si="376"/>
        <v>0</v>
      </c>
      <c r="G840" s="47"/>
      <c r="H840" s="42">
        <f t="shared" si="377"/>
        <v>0</v>
      </c>
      <c r="I840" s="39"/>
      <c r="J840" s="41">
        <f t="shared" si="378"/>
        <v>0</v>
      </c>
      <c r="K840" s="47"/>
      <c r="L840" s="41">
        <f t="shared" si="379"/>
        <v>0</v>
      </c>
      <c r="M840" s="39"/>
      <c r="N840" s="41">
        <f t="shared" si="380"/>
        <v>0</v>
      </c>
      <c r="O840" s="47"/>
      <c r="P840" s="41">
        <f t="shared" si="381"/>
        <v>0</v>
      </c>
      <c r="Q840" s="39"/>
      <c r="R840" s="41">
        <f t="shared" si="382"/>
        <v>0</v>
      </c>
      <c r="S840" s="47"/>
      <c r="T840" s="41">
        <f t="shared" si="383"/>
        <v>0</v>
      </c>
      <c r="U840" s="39"/>
      <c r="V840" s="41">
        <f t="shared" si="384"/>
        <v>0</v>
      </c>
      <c r="W840" s="47"/>
      <c r="X840" s="41">
        <f t="shared" si="385"/>
        <v>0</v>
      </c>
      <c r="Y840" s="39"/>
      <c r="Z840" s="41">
        <f t="shared" si="386"/>
        <v>0</v>
      </c>
      <c r="AA840" s="47"/>
      <c r="AB840" s="41">
        <f t="shared" si="387"/>
        <v>0</v>
      </c>
      <c r="AC840" s="39"/>
      <c r="AD840" s="41">
        <f t="shared" si="369"/>
        <v>0</v>
      </c>
      <c r="AE840" s="47"/>
      <c r="AF840" s="41">
        <f t="shared" si="388"/>
        <v>0</v>
      </c>
      <c r="AG840" s="39"/>
      <c r="AH840" s="41">
        <f t="shared" si="370"/>
        <v>0</v>
      </c>
      <c r="AI840" s="47"/>
      <c r="AJ840" s="41">
        <f t="shared" si="389"/>
        <v>0</v>
      </c>
      <c r="AK840" s="39"/>
      <c r="AL840" s="41">
        <f t="shared" si="371"/>
        <v>0</v>
      </c>
      <c r="AM840" s="47"/>
      <c r="AN840" s="41">
        <f t="shared" si="390"/>
        <v>0</v>
      </c>
      <c r="AO840" s="39"/>
      <c r="AP840" s="41">
        <f t="shared" si="372"/>
        <v>0</v>
      </c>
      <c r="AQ840" s="47"/>
      <c r="AR840" s="41">
        <f t="shared" si="391"/>
        <v>0</v>
      </c>
      <c r="AS840" s="39"/>
      <c r="AT840" s="41">
        <f t="shared" si="373"/>
        <v>0</v>
      </c>
      <c r="AU840" s="47"/>
      <c r="AV840" s="41">
        <f t="shared" si="392"/>
        <v>0</v>
      </c>
      <c r="AW840" s="39"/>
      <c r="AX840" s="41">
        <f t="shared" si="374"/>
        <v>0</v>
      </c>
      <c r="AY840" s="47"/>
      <c r="AZ840" s="41">
        <f t="shared" si="393"/>
        <v>0</v>
      </c>
      <c r="BA840" s="39"/>
      <c r="BB840" s="41">
        <f t="shared" si="375"/>
        <v>0</v>
      </c>
      <c r="BC840" s="47"/>
      <c r="BD840" s="41">
        <f t="shared" si="394"/>
        <v>0</v>
      </c>
      <c r="BE840" s="39"/>
      <c r="BF840" s="47"/>
    </row>
    <row r="841" spans="1:58" ht="15.75" customHeight="1" x14ac:dyDescent="0.25">
      <c r="A841" s="44">
        <v>2018</v>
      </c>
      <c r="B841" s="39">
        <v>170100</v>
      </c>
      <c r="C841" s="38" t="s">
        <v>145</v>
      </c>
      <c r="D841" s="38" t="s">
        <v>10</v>
      </c>
      <c r="E841" s="39"/>
      <c r="F841" s="42">
        <f t="shared" si="376"/>
        <v>0</v>
      </c>
      <c r="G841" s="47"/>
      <c r="H841" s="42">
        <f t="shared" si="377"/>
        <v>0</v>
      </c>
      <c r="I841" s="39"/>
      <c r="J841" s="41">
        <f t="shared" si="378"/>
        <v>0</v>
      </c>
      <c r="K841" s="47"/>
      <c r="L841" s="41">
        <f t="shared" si="379"/>
        <v>0</v>
      </c>
      <c r="M841" s="39"/>
      <c r="N841" s="41">
        <f t="shared" si="380"/>
        <v>0</v>
      </c>
      <c r="O841" s="47"/>
      <c r="P841" s="41">
        <f t="shared" si="381"/>
        <v>0</v>
      </c>
      <c r="Q841" s="39"/>
      <c r="R841" s="41">
        <f t="shared" si="382"/>
        <v>0</v>
      </c>
      <c r="S841" s="47"/>
      <c r="T841" s="41">
        <f t="shared" si="383"/>
        <v>0</v>
      </c>
      <c r="U841" s="39"/>
      <c r="V841" s="41">
        <f t="shared" si="384"/>
        <v>0</v>
      </c>
      <c r="W841" s="47"/>
      <c r="X841" s="41">
        <f t="shared" si="385"/>
        <v>0</v>
      </c>
      <c r="Y841" s="39"/>
      <c r="Z841" s="41">
        <f t="shared" si="386"/>
        <v>0</v>
      </c>
      <c r="AA841" s="47"/>
      <c r="AB841" s="41">
        <f t="shared" si="387"/>
        <v>0</v>
      </c>
      <c r="AC841" s="39"/>
      <c r="AD841" s="41">
        <f t="shared" si="369"/>
        <v>0</v>
      </c>
      <c r="AE841" s="47"/>
      <c r="AF841" s="41">
        <f t="shared" si="388"/>
        <v>0</v>
      </c>
      <c r="AG841" s="39"/>
      <c r="AH841" s="41">
        <f t="shared" si="370"/>
        <v>0</v>
      </c>
      <c r="AI841" s="47"/>
      <c r="AJ841" s="41">
        <f t="shared" si="389"/>
        <v>0</v>
      </c>
      <c r="AK841" s="39"/>
      <c r="AL841" s="41">
        <f t="shared" si="371"/>
        <v>0</v>
      </c>
      <c r="AM841" s="47"/>
      <c r="AN841" s="41">
        <f t="shared" si="390"/>
        <v>0</v>
      </c>
      <c r="AO841" s="39"/>
      <c r="AP841" s="41">
        <f t="shared" si="372"/>
        <v>0</v>
      </c>
      <c r="AQ841" s="47"/>
      <c r="AR841" s="41">
        <f t="shared" si="391"/>
        <v>0</v>
      </c>
      <c r="AS841" s="39"/>
      <c r="AT841" s="41">
        <f t="shared" si="373"/>
        <v>0</v>
      </c>
      <c r="AU841" s="47"/>
      <c r="AV841" s="41">
        <f t="shared" si="392"/>
        <v>0</v>
      </c>
      <c r="AW841" s="39"/>
      <c r="AX841" s="41">
        <f t="shared" si="374"/>
        <v>0</v>
      </c>
      <c r="AY841" s="47"/>
      <c r="AZ841" s="41">
        <f t="shared" si="393"/>
        <v>0</v>
      </c>
      <c r="BA841" s="39"/>
      <c r="BB841" s="41">
        <f t="shared" si="375"/>
        <v>0</v>
      </c>
      <c r="BC841" s="47"/>
      <c r="BD841" s="41">
        <f t="shared" si="394"/>
        <v>0</v>
      </c>
      <c r="BE841" s="39"/>
      <c r="BF841" s="47"/>
    </row>
    <row r="842" spans="1:58" ht="15.75" customHeight="1" x14ac:dyDescent="0.25">
      <c r="A842" s="44">
        <v>2018</v>
      </c>
      <c r="B842" s="39">
        <v>170105</v>
      </c>
      <c r="C842" s="38" t="s">
        <v>145</v>
      </c>
      <c r="D842" s="38" t="s">
        <v>11</v>
      </c>
      <c r="E842" s="39"/>
      <c r="F842" s="42">
        <f t="shared" si="376"/>
        <v>0</v>
      </c>
      <c r="G842" s="47"/>
      <c r="H842" s="42">
        <f t="shared" si="377"/>
        <v>0</v>
      </c>
      <c r="I842" s="39"/>
      <c r="J842" s="41">
        <f t="shared" si="378"/>
        <v>0</v>
      </c>
      <c r="K842" s="47"/>
      <c r="L842" s="41">
        <f t="shared" si="379"/>
        <v>0</v>
      </c>
      <c r="M842" s="39"/>
      <c r="N842" s="41">
        <f t="shared" si="380"/>
        <v>0</v>
      </c>
      <c r="O842" s="47"/>
      <c r="P842" s="41">
        <f t="shared" si="381"/>
        <v>0</v>
      </c>
      <c r="Q842" s="39"/>
      <c r="R842" s="41">
        <f t="shared" si="382"/>
        <v>0</v>
      </c>
      <c r="S842" s="47"/>
      <c r="T842" s="41">
        <f t="shared" si="383"/>
        <v>0</v>
      </c>
      <c r="U842" s="39"/>
      <c r="V842" s="41">
        <f t="shared" si="384"/>
        <v>0</v>
      </c>
      <c r="W842" s="47"/>
      <c r="X842" s="41">
        <f t="shared" si="385"/>
        <v>0</v>
      </c>
      <c r="Y842" s="39"/>
      <c r="Z842" s="41">
        <f t="shared" si="386"/>
        <v>0</v>
      </c>
      <c r="AA842" s="47"/>
      <c r="AB842" s="41">
        <f t="shared" si="387"/>
        <v>0</v>
      </c>
      <c r="AC842" s="39"/>
      <c r="AD842" s="41">
        <f t="shared" si="369"/>
        <v>0</v>
      </c>
      <c r="AE842" s="47"/>
      <c r="AF842" s="41">
        <f t="shared" si="388"/>
        <v>0</v>
      </c>
      <c r="AG842" s="39"/>
      <c r="AH842" s="41">
        <f t="shared" si="370"/>
        <v>0</v>
      </c>
      <c r="AI842" s="47"/>
      <c r="AJ842" s="41">
        <f t="shared" si="389"/>
        <v>0</v>
      </c>
      <c r="AK842" s="39"/>
      <c r="AL842" s="41">
        <f t="shared" si="371"/>
        <v>0</v>
      </c>
      <c r="AM842" s="47"/>
      <c r="AN842" s="41">
        <f t="shared" si="390"/>
        <v>0</v>
      </c>
      <c r="AO842" s="39"/>
      <c r="AP842" s="41">
        <f t="shared" si="372"/>
        <v>0</v>
      </c>
      <c r="AQ842" s="47"/>
      <c r="AR842" s="41">
        <f t="shared" si="391"/>
        <v>0</v>
      </c>
      <c r="AS842" s="39"/>
      <c r="AT842" s="41">
        <f t="shared" si="373"/>
        <v>0</v>
      </c>
      <c r="AU842" s="47"/>
      <c r="AV842" s="41">
        <f t="shared" si="392"/>
        <v>0</v>
      </c>
      <c r="AW842" s="39"/>
      <c r="AX842" s="41">
        <f t="shared" si="374"/>
        <v>0</v>
      </c>
      <c r="AY842" s="47"/>
      <c r="AZ842" s="41">
        <f t="shared" si="393"/>
        <v>0</v>
      </c>
      <c r="BA842" s="39"/>
      <c r="BB842" s="41">
        <f t="shared" si="375"/>
        <v>0</v>
      </c>
      <c r="BC842" s="47"/>
      <c r="BD842" s="41">
        <f t="shared" si="394"/>
        <v>0</v>
      </c>
      <c r="BE842" s="39"/>
      <c r="BF842" s="47"/>
    </row>
    <row r="843" spans="1:58" ht="15.75" customHeight="1" x14ac:dyDescent="0.25">
      <c r="A843" s="44">
        <v>2018</v>
      </c>
      <c r="B843" s="39">
        <v>170110</v>
      </c>
      <c r="C843" s="38" t="s">
        <v>148</v>
      </c>
      <c r="D843" s="38" t="s">
        <v>12</v>
      </c>
      <c r="E843" s="39"/>
      <c r="F843" s="42">
        <f t="shared" si="376"/>
        <v>0</v>
      </c>
      <c r="G843" s="47"/>
      <c r="H843" s="42">
        <f t="shared" si="377"/>
        <v>0</v>
      </c>
      <c r="I843" s="39"/>
      <c r="J843" s="41">
        <f t="shared" si="378"/>
        <v>0</v>
      </c>
      <c r="K843" s="47"/>
      <c r="L843" s="41">
        <f t="shared" si="379"/>
        <v>0</v>
      </c>
      <c r="M843" s="39"/>
      <c r="N843" s="41">
        <f t="shared" si="380"/>
        <v>0</v>
      </c>
      <c r="O843" s="47"/>
      <c r="P843" s="41">
        <f t="shared" si="381"/>
        <v>0</v>
      </c>
      <c r="Q843" s="39"/>
      <c r="R843" s="41">
        <f t="shared" si="382"/>
        <v>0</v>
      </c>
      <c r="S843" s="47"/>
      <c r="T843" s="41">
        <f t="shared" si="383"/>
        <v>0</v>
      </c>
      <c r="U843" s="39"/>
      <c r="V843" s="41">
        <f t="shared" si="384"/>
        <v>0</v>
      </c>
      <c r="W843" s="47"/>
      <c r="X843" s="41">
        <f t="shared" si="385"/>
        <v>0</v>
      </c>
      <c r="Y843" s="39"/>
      <c r="Z843" s="41">
        <f t="shared" si="386"/>
        <v>0</v>
      </c>
      <c r="AA843" s="47"/>
      <c r="AB843" s="41">
        <f t="shared" si="387"/>
        <v>0</v>
      </c>
      <c r="AC843" s="39"/>
      <c r="AD843" s="41">
        <f t="shared" si="369"/>
        <v>0</v>
      </c>
      <c r="AE843" s="47"/>
      <c r="AF843" s="41">
        <f t="shared" si="388"/>
        <v>0</v>
      </c>
      <c r="AG843" s="39"/>
      <c r="AH843" s="41">
        <f t="shared" si="370"/>
        <v>0</v>
      </c>
      <c r="AI843" s="47"/>
      <c r="AJ843" s="41">
        <f t="shared" si="389"/>
        <v>0</v>
      </c>
      <c r="AK843" s="39"/>
      <c r="AL843" s="41">
        <f t="shared" si="371"/>
        <v>0</v>
      </c>
      <c r="AM843" s="47"/>
      <c r="AN843" s="41">
        <f t="shared" si="390"/>
        <v>0</v>
      </c>
      <c r="AO843" s="39"/>
      <c r="AP843" s="41">
        <f t="shared" si="372"/>
        <v>0</v>
      </c>
      <c r="AQ843" s="47"/>
      <c r="AR843" s="41">
        <f t="shared" si="391"/>
        <v>0</v>
      </c>
      <c r="AS843" s="39"/>
      <c r="AT843" s="41">
        <f t="shared" si="373"/>
        <v>0</v>
      </c>
      <c r="AU843" s="47"/>
      <c r="AV843" s="41">
        <f t="shared" si="392"/>
        <v>0</v>
      </c>
      <c r="AW843" s="39"/>
      <c r="AX843" s="41">
        <f t="shared" si="374"/>
        <v>0</v>
      </c>
      <c r="AY843" s="47"/>
      <c r="AZ843" s="41">
        <f t="shared" si="393"/>
        <v>0</v>
      </c>
      <c r="BA843" s="39"/>
      <c r="BB843" s="41">
        <f t="shared" si="375"/>
        <v>0</v>
      </c>
      <c r="BC843" s="47"/>
      <c r="BD843" s="41">
        <f t="shared" si="394"/>
        <v>0</v>
      </c>
      <c r="BE843" s="39"/>
      <c r="BF843" s="47"/>
    </row>
    <row r="844" spans="1:58" ht="15.75" customHeight="1" x14ac:dyDescent="0.25">
      <c r="A844" s="44">
        <v>2018</v>
      </c>
      <c r="B844" s="39">
        <v>170130</v>
      </c>
      <c r="C844" s="38" t="s">
        <v>149</v>
      </c>
      <c r="D844" s="38" t="s">
        <v>13</v>
      </c>
      <c r="E844" s="39"/>
      <c r="F844" s="42">
        <f t="shared" si="376"/>
        <v>0</v>
      </c>
      <c r="G844" s="47"/>
      <c r="H844" s="42">
        <f t="shared" si="377"/>
        <v>0</v>
      </c>
      <c r="I844" s="39"/>
      <c r="J844" s="41">
        <f t="shared" si="378"/>
        <v>0</v>
      </c>
      <c r="K844" s="47"/>
      <c r="L844" s="41">
        <f t="shared" si="379"/>
        <v>0</v>
      </c>
      <c r="M844" s="39"/>
      <c r="N844" s="41">
        <f t="shared" si="380"/>
        <v>0</v>
      </c>
      <c r="O844" s="47"/>
      <c r="P844" s="41">
        <f t="shared" si="381"/>
        <v>0</v>
      </c>
      <c r="Q844" s="39"/>
      <c r="R844" s="41">
        <f t="shared" si="382"/>
        <v>0</v>
      </c>
      <c r="S844" s="47"/>
      <c r="T844" s="41">
        <f t="shared" si="383"/>
        <v>0</v>
      </c>
      <c r="U844" s="39"/>
      <c r="V844" s="41">
        <f t="shared" si="384"/>
        <v>0</v>
      </c>
      <c r="W844" s="47"/>
      <c r="X844" s="41">
        <f t="shared" si="385"/>
        <v>0</v>
      </c>
      <c r="Y844" s="39"/>
      <c r="Z844" s="41">
        <f t="shared" si="386"/>
        <v>0</v>
      </c>
      <c r="AA844" s="47"/>
      <c r="AB844" s="41">
        <f t="shared" si="387"/>
        <v>0</v>
      </c>
      <c r="AC844" s="39"/>
      <c r="AD844" s="41">
        <f t="shared" si="369"/>
        <v>0</v>
      </c>
      <c r="AE844" s="47"/>
      <c r="AF844" s="41">
        <f t="shared" si="388"/>
        <v>0</v>
      </c>
      <c r="AG844" s="39"/>
      <c r="AH844" s="41">
        <f t="shared" si="370"/>
        <v>0</v>
      </c>
      <c r="AI844" s="47"/>
      <c r="AJ844" s="41">
        <f t="shared" si="389"/>
        <v>0</v>
      </c>
      <c r="AK844" s="39"/>
      <c r="AL844" s="41">
        <f t="shared" si="371"/>
        <v>0</v>
      </c>
      <c r="AM844" s="47"/>
      <c r="AN844" s="41">
        <f t="shared" si="390"/>
        <v>0</v>
      </c>
      <c r="AO844" s="39"/>
      <c r="AP844" s="41">
        <f t="shared" si="372"/>
        <v>0</v>
      </c>
      <c r="AQ844" s="47"/>
      <c r="AR844" s="41">
        <f t="shared" si="391"/>
        <v>0</v>
      </c>
      <c r="AS844" s="39"/>
      <c r="AT844" s="41">
        <f t="shared" si="373"/>
        <v>0</v>
      </c>
      <c r="AU844" s="47"/>
      <c r="AV844" s="41">
        <f t="shared" si="392"/>
        <v>0</v>
      </c>
      <c r="AW844" s="39"/>
      <c r="AX844" s="41">
        <f t="shared" si="374"/>
        <v>0</v>
      </c>
      <c r="AY844" s="47"/>
      <c r="AZ844" s="41">
        <f t="shared" si="393"/>
        <v>0</v>
      </c>
      <c r="BA844" s="39"/>
      <c r="BB844" s="41">
        <f t="shared" si="375"/>
        <v>0</v>
      </c>
      <c r="BC844" s="47"/>
      <c r="BD844" s="41">
        <f t="shared" si="394"/>
        <v>0</v>
      </c>
      <c r="BE844" s="39"/>
      <c r="BF844" s="47"/>
    </row>
    <row r="845" spans="1:58" ht="15.75" customHeight="1" x14ac:dyDescent="0.25">
      <c r="A845" s="44">
        <v>2018</v>
      </c>
      <c r="B845" s="39">
        <v>170190</v>
      </c>
      <c r="C845" s="38" t="s">
        <v>144</v>
      </c>
      <c r="D845" s="38" t="s">
        <v>14</v>
      </c>
      <c r="E845" s="39"/>
      <c r="F845" s="42">
        <f t="shared" si="376"/>
        <v>0</v>
      </c>
      <c r="G845" s="47"/>
      <c r="H845" s="42">
        <f t="shared" si="377"/>
        <v>0</v>
      </c>
      <c r="I845" s="39"/>
      <c r="J845" s="41">
        <f t="shared" si="378"/>
        <v>0</v>
      </c>
      <c r="K845" s="47"/>
      <c r="L845" s="41">
        <f t="shared" si="379"/>
        <v>0</v>
      </c>
      <c r="M845" s="39"/>
      <c r="N845" s="41">
        <f t="shared" si="380"/>
        <v>0</v>
      </c>
      <c r="O845" s="47"/>
      <c r="P845" s="41">
        <f t="shared" si="381"/>
        <v>0</v>
      </c>
      <c r="Q845" s="39"/>
      <c r="R845" s="41">
        <f t="shared" si="382"/>
        <v>0</v>
      </c>
      <c r="S845" s="47"/>
      <c r="T845" s="41">
        <f t="shared" si="383"/>
        <v>0</v>
      </c>
      <c r="U845" s="39"/>
      <c r="V845" s="41">
        <f t="shared" si="384"/>
        <v>0</v>
      </c>
      <c r="W845" s="47"/>
      <c r="X845" s="41">
        <f t="shared" si="385"/>
        <v>0</v>
      </c>
      <c r="Y845" s="39"/>
      <c r="Z845" s="41">
        <f t="shared" si="386"/>
        <v>0</v>
      </c>
      <c r="AA845" s="47"/>
      <c r="AB845" s="41">
        <f t="shared" si="387"/>
        <v>0</v>
      </c>
      <c r="AC845" s="39"/>
      <c r="AD845" s="41">
        <f t="shared" si="369"/>
        <v>0</v>
      </c>
      <c r="AE845" s="47"/>
      <c r="AF845" s="41">
        <f t="shared" si="388"/>
        <v>0</v>
      </c>
      <c r="AG845" s="39"/>
      <c r="AH845" s="41">
        <f t="shared" si="370"/>
        <v>0</v>
      </c>
      <c r="AI845" s="47"/>
      <c r="AJ845" s="41">
        <f t="shared" si="389"/>
        <v>0</v>
      </c>
      <c r="AK845" s="39"/>
      <c r="AL845" s="41">
        <f t="shared" si="371"/>
        <v>0</v>
      </c>
      <c r="AM845" s="47"/>
      <c r="AN845" s="41">
        <f t="shared" si="390"/>
        <v>0</v>
      </c>
      <c r="AO845" s="39"/>
      <c r="AP845" s="41">
        <f t="shared" si="372"/>
        <v>0</v>
      </c>
      <c r="AQ845" s="47"/>
      <c r="AR845" s="41">
        <f t="shared" si="391"/>
        <v>0</v>
      </c>
      <c r="AS845" s="39"/>
      <c r="AT845" s="41">
        <f t="shared" si="373"/>
        <v>0</v>
      </c>
      <c r="AU845" s="47"/>
      <c r="AV845" s="41">
        <f t="shared" si="392"/>
        <v>0</v>
      </c>
      <c r="AW845" s="39"/>
      <c r="AX845" s="41">
        <f t="shared" si="374"/>
        <v>0</v>
      </c>
      <c r="AY845" s="47"/>
      <c r="AZ845" s="41">
        <f t="shared" si="393"/>
        <v>0</v>
      </c>
      <c r="BA845" s="39"/>
      <c r="BB845" s="41">
        <f t="shared" si="375"/>
        <v>0</v>
      </c>
      <c r="BC845" s="47"/>
      <c r="BD845" s="41">
        <f t="shared" si="394"/>
        <v>0</v>
      </c>
      <c r="BE845" s="39"/>
      <c r="BF845" s="47"/>
    </row>
    <row r="846" spans="1:58" ht="15.75" customHeight="1" x14ac:dyDescent="0.25">
      <c r="A846" s="44">
        <v>2018</v>
      </c>
      <c r="B846" s="39">
        <v>170200</v>
      </c>
      <c r="C846" s="38" t="s">
        <v>146</v>
      </c>
      <c r="D846" s="38" t="s">
        <v>15</v>
      </c>
      <c r="E846" s="39"/>
      <c r="F846" s="42">
        <f t="shared" si="376"/>
        <v>0</v>
      </c>
      <c r="G846" s="47"/>
      <c r="H846" s="42">
        <f t="shared" si="377"/>
        <v>0</v>
      </c>
      <c r="I846" s="39"/>
      <c r="J846" s="41">
        <f t="shared" si="378"/>
        <v>0</v>
      </c>
      <c r="K846" s="47"/>
      <c r="L846" s="41">
        <f t="shared" si="379"/>
        <v>0</v>
      </c>
      <c r="M846" s="39"/>
      <c r="N846" s="41">
        <f t="shared" si="380"/>
        <v>0</v>
      </c>
      <c r="O846" s="47"/>
      <c r="P846" s="41">
        <f t="shared" si="381"/>
        <v>0</v>
      </c>
      <c r="Q846" s="39"/>
      <c r="R846" s="41">
        <f t="shared" si="382"/>
        <v>0</v>
      </c>
      <c r="S846" s="47"/>
      <c r="T846" s="41">
        <f t="shared" si="383"/>
        <v>0</v>
      </c>
      <c r="U846" s="39"/>
      <c r="V846" s="41">
        <f t="shared" si="384"/>
        <v>0</v>
      </c>
      <c r="W846" s="47"/>
      <c r="X846" s="41">
        <f t="shared" si="385"/>
        <v>0</v>
      </c>
      <c r="Y846" s="39"/>
      <c r="Z846" s="41">
        <f t="shared" si="386"/>
        <v>0</v>
      </c>
      <c r="AA846" s="47"/>
      <c r="AB846" s="41">
        <f t="shared" si="387"/>
        <v>0</v>
      </c>
      <c r="AC846" s="39"/>
      <c r="AD846" s="41">
        <f t="shared" si="369"/>
        <v>0</v>
      </c>
      <c r="AE846" s="47"/>
      <c r="AF846" s="41">
        <f t="shared" si="388"/>
        <v>0</v>
      </c>
      <c r="AG846" s="39"/>
      <c r="AH846" s="41">
        <f t="shared" si="370"/>
        <v>0</v>
      </c>
      <c r="AI846" s="47"/>
      <c r="AJ846" s="41">
        <f t="shared" si="389"/>
        <v>0</v>
      </c>
      <c r="AK846" s="39"/>
      <c r="AL846" s="41">
        <f t="shared" si="371"/>
        <v>0</v>
      </c>
      <c r="AM846" s="47"/>
      <c r="AN846" s="41">
        <f t="shared" si="390"/>
        <v>0</v>
      </c>
      <c r="AO846" s="39"/>
      <c r="AP846" s="41">
        <f t="shared" si="372"/>
        <v>0</v>
      </c>
      <c r="AQ846" s="47"/>
      <c r="AR846" s="41">
        <f t="shared" si="391"/>
        <v>0</v>
      </c>
      <c r="AS846" s="39"/>
      <c r="AT846" s="41">
        <f t="shared" si="373"/>
        <v>0</v>
      </c>
      <c r="AU846" s="47"/>
      <c r="AV846" s="41">
        <f t="shared" si="392"/>
        <v>0</v>
      </c>
      <c r="AW846" s="39"/>
      <c r="AX846" s="41">
        <f t="shared" si="374"/>
        <v>0</v>
      </c>
      <c r="AY846" s="47"/>
      <c r="AZ846" s="41">
        <f t="shared" si="393"/>
        <v>0</v>
      </c>
      <c r="BA846" s="39"/>
      <c r="BB846" s="41">
        <f t="shared" si="375"/>
        <v>0</v>
      </c>
      <c r="BC846" s="47"/>
      <c r="BD846" s="41">
        <f t="shared" si="394"/>
        <v>0</v>
      </c>
      <c r="BE846" s="39"/>
      <c r="BF846" s="47"/>
    </row>
    <row r="847" spans="1:58" ht="15.75" customHeight="1" x14ac:dyDescent="0.25">
      <c r="A847" s="44">
        <v>2018</v>
      </c>
      <c r="B847" s="39">
        <v>170210</v>
      </c>
      <c r="C847" s="38" t="s">
        <v>149</v>
      </c>
      <c r="D847" s="38" t="s">
        <v>16</v>
      </c>
      <c r="E847" s="39"/>
      <c r="F847" s="42">
        <f t="shared" si="376"/>
        <v>0</v>
      </c>
      <c r="G847" s="47"/>
      <c r="H847" s="42">
        <f t="shared" si="377"/>
        <v>0</v>
      </c>
      <c r="I847" s="39"/>
      <c r="J847" s="41">
        <f t="shared" si="378"/>
        <v>0</v>
      </c>
      <c r="K847" s="47"/>
      <c r="L847" s="41">
        <f t="shared" si="379"/>
        <v>0</v>
      </c>
      <c r="M847" s="39"/>
      <c r="N847" s="41">
        <f t="shared" si="380"/>
        <v>0</v>
      </c>
      <c r="O847" s="48"/>
      <c r="P847" s="41">
        <f t="shared" si="381"/>
        <v>0</v>
      </c>
      <c r="Q847" s="39"/>
      <c r="R847" s="41">
        <f t="shared" si="382"/>
        <v>0</v>
      </c>
      <c r="S847" s="47"/>
      <c r="T847" s="41">
        <f t="shared" si="383"/>
        <v>0</v>
      </c>
      <c r="U847" s="39"/>
      <c r="V847" s="41">
        <f t="shared" si="384"/>
        <v>0</v>
      </c>
      <c r="W847" s="47"/>
      <c r="X847" s="41">
        <f t="shared" si="385"/>
        <v>0</v>
      </c>
      <c r="Y847" s="39"/>
      <c r="Z847" s="41">
        <f t="shared" si="386"/>
        <v>0</v>
      </c>
      <c r="AA847" s="47"/>
      <c r="AB847" s="41">
        <f t="shared" si="387"/>
        <v>0</v>
      </c>
      <c r="AC847" s="39"/>
      <c r="AD847" s="41">
        <f t="shared" si="369"/>
        <v>0</v>
      </c>
      <c r="AE847" s="48"/>
      <c r="AF847" s="41">
        <f t="shared" si="388"/>
        <v>0</v>
      </c>
      <c r="AG847" s="39"/>
      <c r="AH847" s="41">
        <f t="shared" si="370"/>
        <v>0</v>
      </c>
      <c r="AI847" s="47"/>
      <c r="AJ847" s="41">
        <f t="shared" si="389"/>
        <v>0</v>
      </c>
      <c r="AK847" s="39"/>
      <c r="AL847" s="41">
        <f t="shared" si="371"/>
        <v>0</v>
      </c>
      <c r="AM847" s="47"/>
      <c r="AN847" s="41">
        <f t="shared" si="390"/>
        <v>0</v>
      </c>
      <c r="AO847" s="39"/>
      <c r="AP847" s="41">
        <f t="shared" si="372"/>
        <v>0</v>
      </c>
      <c r="AQ847" s="48"/>
      <c r="AR847" s="41">
        <f t="shared" si="391"/>
        <v>0</v>
      </c>
      <c r="AS847" s="39"/>
      <c r="AT847" s="41">
        <f t="shared" si="373"/>
        <v>0</v>
      </c>
      <c r="AU847" s="47"/>
      <c r="AV847" s="41">
        <f t="shared" si="392"/>
        <v>0</v>
      </c>
      <c r="AW847" s="39"/>
      <c r="AX847" s="41">
        <f t="shared" si="374"/>
        <v>0</v>
      </c>
      <c r="AY847" s="47"/>
      <c r="AZ847" s="41">
        <f t="shared" si="393"/>
        <v>0</v>
      </c>
      <c r="BA847" s="39"/>
      <c r="BB847" s="41">
        <f t="shared" si="375"/>
        <v>0</v>
      </c>
      <c r="BC847" s="47"/>
      <c r="BD847" s="41">
        <f t="shared" si="394"/>
        <v>0</v>
      </c>
      <c r="BE847" s="39"/>
      <c r="BF847" s="48"/>
    </row>
    <row r="848" spans="1:58" ht="15.75" customHeight="1" x14ac:dyDescent="0.25">
      <c r="A848" s="44">
        <v>2018</v>
      </c>
      <c r="B848" s="39">
        <v>170215</v>
      </c>
      <c r="C848" s="38" t="s">
        <v>149</v>
      </c>
      <c r="D848" s="38" t="s">
        <v>17</v>
      </c>
      <c r="E848" s="39"/>
      <c r="F848" s="42">
        <f t="shared" si="376"/>
        <v>0</v>
      </c>
      <c r="G848" s="47"/>
      <c r="H848" s="42">
        <f t="shared" si="377"/>
        <v>0</v>
      </c>
      <c r="I848" s="39"/>
      <c r="J848" s="41">
        <f t="shared" si="378"/>
        <v>0</v>
      </c>
      <c r="K848" s="47"/>
      <c r="L848" s="41">
        <f t="shared" si="379"/>
        <v>0</v>
      </c>
      <c r="M848" s="39"/>
      <c r="N848" s="41">
        <f t="shared" si="380"/>
        <v>0</v>
      </c>
      <c r="O848" s="47"/>
      <c r="P848" s="41">
        <f t="shared" si="381"/>
        <v>0</v>
      </c>
      <c r="Q848" s="39"/>
      <c r="R848" s="41">
        <f t="shared" si="382"/>
        <v>0</v>
      </c>
      <c r="S848" s="47"/>
      <c r="T848" s="41">
        <f t="shared" si="383"/>
        <v>0</v>
      </c>
      <c r="U848" s="39"/>
      <c r="V848" s="41">
        <f t="shared" si="384"/>
        <v>0</v>
      </c>
      <c r="W848" s="47"/>
      <c r="X848" s="41">
        <f t="shared" si="385"/>
        <v>0</v>
      </c>
      <c r="Y848" s="39"/>
      <c r="Z848" s="41">
        <f t="shared" si="386"/>
        <v>0</v>
      </c>
      <c r="AA848" s="47"/>
      <c r="AB848" s="41">
        <f t="shared" si="387"/>
        <v>0</v>
      </c>
      <c r="AC848" s="39"/>
      <c r="AD848" s="41">
        <f t="shared" si="369"/>
        <v>0</v>
      </c>
      <c r="AE848" s="47"/>
      <c r="AF848" s="41">
        <f t="shared" si="388"/>
        <v>0</v>
      </c>
      <c r="AG848" s="39"/>
      <c r="AH848" s="41">
        <f t="shared" si="370"/>
        <v>0</v>
      </c>
      <c r="AI848" s="47"/>
      <c r="AJ848" s="41">
        <f t="shared" si="389"/>
        <v>0</v>
      </c>
      <c r="AK848" s="39"/>
      <c r="AL848" s="41">
        <f t="shared" si="371"/>
        <v>0</v>
      </c>
      <c r="AM848" s="47"/>
      <c r="AN848" s="41">
        <f t="shared" si="390"/>
        <v>0</v>
      </c>
      <c r="AO848" s="39"/>
      <c r="AP848" s="41">
        <f t="shared" si="372"/>
        <v>0</v>
      </c>
      <c r="AQ848" s="47"/>
      <c r="AR848" s="41">
        <f t="shared" si="391"/>
        <v>0</v>
      </c>
      <c r="AS848" s="39"/>
      <c r="AT848" s="41">
        <f t="shared" si="373"/>
        <v>0</v>
      </c>
      <c r="AU848" s="47"/>
      <c r="AV848" s="41">
        <f t="shared" si="392"/>
        <v>0</v>
      </c>
      <c r="AW848" s="39"/>
      <c r="AX848" s="41">
        <f t="shared" si="374"/>
        <v>0</v>
      </c>
      <c r="AY848" s="47"/>
      <c r="AZ848" s="41">
        <f t="shared" si="393"/>
        <v>0</v>
      </c>
      <c r="BA848" s="39"/>
      <c r="BB848" s="41">
        <f t="shared" si="375"/>
        <v>0</v>
      </c>
      <c r="BC848" s="47"/>
      <c r="BD848" s="41">
        <f t="shared" si="394"/>
        <v>0</v>
      </c>
      <c r="BE848" s="39"/>
      <c r="BF848" s="47"/>
    </row>
    <row r="849" spans="1:58" ht="15.75" customHeight="1" x14ac:dyDescent="0.25">
      <c r="A849" s="44">
        <v>2018</v>
      </c>
      <c r="B849" s="39">
        <v>170220</v>
      </c>
      <c r="C849" s="38" t="s">
        <v>145</v>
      </c>
      <c r="D849" s="38" t="s">
        <v>18</v>
      </c>
      <c r="E849" s="39"/>
      <c r="F849" s="42">
        <f t="shared" si="376"/>
        <v>0</v>
      </c>
      <c r="G849" s="47"/>
      <c r="H849" s="42">
        <f t="shared" si="377"/>
        <v>0</v>
      </c>
      <c r="I849" s="39"/>
      <c r="J849" s="41">
        <f t="shared" si="378"/>
        <v>0</v>
      </c>
      <c r="K849" s="47"/>
      <c r="L849" s="41">
        <f t="shared" si="379"/>
        <v>0</v>
      </c>
      <c r="M849" s="39"/>
      <c r="N849" s="41">
        <f t="shared" si="380"/>
        <v>0</v>
      </c>
      <c r="O849" s="48"/>
      <c r="P849" s="41">
        <f t="shared" si="381"/>
        <v>0</v>
      </c>
      <c r="Q849" s="39"/>
      <c r="R849" s="41">
        <f t="shared" si="382"/>
        <v>0</v>
      </c>
      <c r="S849" s="47"/>
      <c r="T849" s="41">
        <f t="shared" si="383"/>
        <v>0</v>
      </c>
      <c r="U849" s="39"/>
      <c r="V849" s="41">
        <f t="shared" si="384"/>
        <v>0</v>
      </c>
      <c r="W849" s="47"/>
      <c r="X849" s="41">
        <f t="shared" si="385"/>
        <v>0</v>
      </c>
      <c r="Y849" s="39"/>
      <c r="Z849" s="41">
        <f t="shared" si="386"/>
        <v>0</v>
      </c>
      <c r="AA849" s="47"/>
      <c r="AB849" s="41">
        <f t="shared" si="387"/>
        <v>0</v>
      </c>
      <c r="AC849" s="39"/>
      <c r="AD849" s="41">
        <f t="shared" si="369"/>
        <v>0</v>
      </c>
      <c r="AE849" s="48"/>
      <c r="AF849" s="41">
        <f t="shared" si="388"/>
        <v>0</v>
      </c>
      <c r="AG849" s="39"/>
      <c r="AH849" s="41">
        <f t="shared" si="370"/>
        <v>0</v>
      </c>
      <c r="AI849" s="47"/>
      <c r="AJ849" s="41">
        <f t="shared" si="389"/>
        <v>0</v>
      </c>
      <c r="AK849" s="39"/>
      <c r="AL849" s="41">
        <f t="shared" si="371"/>
        <v>0</v>
      </c>
      <c r="AM849" s="47"/>
      <c r="AN849" s="41">
        <f t="shared" si="390"/>
        <v>0</v>
      </c>
      <c r="AO849" s="39"/>
      <c r="AP849" s="41">
        <f t="shared" si="372"/>
        <v>0</v>
      </c>
      <c r="AQ849" s="47"/>
      <c r="AR849" s="41">
        <f t="shared" si="391"/>
        <v>0</v>
      </c>
      <c r="AS849" s="39"/>
      <c r="AT849" s="41">
        <f t="shared" si="373"/>
        <v>0</v>
      </c>
      <c r="AU849" s="47"/>
      <c r="AV849" s="41">
        <f t="shared" si="392"/>
        <v>0</v>
      </c>
      <c r="AW849" s="39"/>
      <c r="AX849" s="41">
        <f t="shared" si="374"/>
        <v>0</v>
      </c>
      <c r="AY849" s="47"/>
      <c r="AZ849" s="41">
        <f t="shared" si="393"/>
        <v>0</v>
      </c>
      <c r="BA849" s="39"/>
      <c r="BB849" s="41">
        <f t="shared" si="375"/>
        <v>0</v>
      </c>
      <c r="BC849" s="47"/>
      <c r="BD849" s="41">
        <f t="shared" si="394"/>
        <v>0</v>
      </c>
      <c r="BE849" s="39"/>
      <c r="BF849" s="48"/>
    </row>
    <row r="850" spans="1:58" ht="15.75" customHeight="1" x14ac:dyDescent="0.25">
      <c r="A850" s="44">
        <v>2018</v>
      </c>
      <c r="B850" s="39">
        <v>170230</v>
      </c>
      <c r="C850" s="38" t="s">
        <v>150</v>
      </c>
      <c r="D850" s="38" t="s">
        <v>19</v>
      </c>
      <c r="E850" s="39"/>
      <c r="F850" s="42">
        <f t="shared" si="376"/>
        <v>0</v>
      </c>
      <c r="G850" s="47"/>
      <c r="H850" s="42">
        <f t="shared" si="377"/>
        <v>0</v>
      </c>
      <c r="I850" s="39"/>
      <c r="J850" s="41">
        <f t="shared" si="378"/>
        <v>0</v>
      </c>
      <c r="K850" s="47"/>
      <c r="L850" s="41">
        <f t="shared" si="379"/>
        <v>0</v>
      </c>
      <c r="M850" s="39"/>
      <c r="N850" s="41">
        <f t="shared" si="380"/>
        <v>0</v>
      </c>
      <c r="O850" s="47"/>
      <c r="P850" s="41">
        <f t="shared" si="381"/>
        <v>0</v>
      </c>
      <c r="Q850" s="39"/>
      <c r="R850" s="41">
        <f t="shared" si="382"/>
        <v>0</v>
      </c>
      <c r="S850" s="47"/>
      <c r="T850" s="41">
        <f t="shared" si="383"/>
        <v>0</v>
      </c>
      <c r="U850" s="39"/>
      <c r="V850" s="41">
        <f t="shared" si="384"/>
        <v>0</v>
      </c>
      <c r="W850" s="47"/>
      <c r="X850" s="41">
        <f t="shared" si="385"/>
        <v>0</v>
      </c>
      <c r="Y850" s="39"/>
      <c r="Z850" s="41">
        <f t="shared" si="386"/>
        <v>0</v>
      </c>
      <c r="AA850" s="47"/>
      <c r="AB850" s="41">
        <f t="shared" si="387"/>
        <v>0</v>
      </c>
      <c r="AC850" s="39"/>
      <c r="AD850" s="41">
        <f t="shared" si="369"/>
        <v>0</v>
      </c>
      <c r="AE850" s="47"/>
      <c r="AF850" s="41">
        <f t="shared" si="388"/>
        <v>0</v>
      </c>
      <c r="AG850" s="39"/>
      <c r="AH850" s="41">
        <f t="shared" si="370"/>
        <v>0</v>
      </c>
      <c r="AI850" s="47"/>
      <c r="AJ850" s="41">
        <f t="shared" si="389"/>
        <v>0</v>
      </c>
      <c r="AK850" s="39"/>
      <c r="AL850" s="41">
        <f t="shared" si="371"/>
        <v>0</v>
      </c>
      <c r="AM850" s="47"/>
      <c r="AN850" s="41">
        <f t="shared" si="390"/>
        <v>0</v>
      </c>
      <c r="AO850" s="39"/>
      <c r="AP850" s="41">
        <f t="shared" si="372"/>
        <v>0</v>
      </c>
      <c r="AQ850" s="47"/>
      <c r="AR850" s="41">
        <f t="shared" si="391"/>
        <v>0</v>
      </c>
      <c r="AS850" s="39"/>
      <c r="AT850" s="41">
        <f t="shared" si="373"/>
        <v>0</v>
      </c>
      <c r="AU850" s="47"/>
      <c r="AV850" s="41">
        <f t="shared" si="392"/>
        <v>0</v>
      </c>
      <c r="AW850" s="39"/>
      <c r="AX850" s="41">
        <f t="shared" si="374"/>
        <v>0</v>
      </c>
      <c r="AY850" s="47"/>
      <c r="AZ850" s="41">
        <f t="shared" si="393"/>
        <v>0</v>
      </c>
      <c r="BA850" s="39"/>
      <c r="BB850" s="41">
        <f t="shared" si="375"/>
        <v>0</v>
      </c>
      <c r="BC850" s="47"/>
      <c r="BD850" s="41">
        <f t="shared" si="394"/>
        <v>0</v>
      </c>
      <c r="BE850" s="39"/>
      <c r="BF850" s="47"/>
    </row>
    <row r="851" spans="1:58" ht="15.75" customHeight="1" x14ac:dyDescent="0.25">
      <c r="A851" s="44">
        <v>2018</v>
      </c>
      <c r="B851" s="39">
        <v>170240</v>
      </c>
      <c r="C851" s="38" t="s">
        <v>147</v>
      </c>
      <c r="D851" s="38" t="s">
        <v>20</v>
      </c>
      <c r="E851" s="39"/>
      <c r="F851" s="42">
        <f t="shared" si="376"/>
        <v>0</v>
      </c>
      <c r="G851" s="47"/>
      <c r="H851" s="42">
        <f t="shared" si="377"/>
        <v>0</v>
      </c>
      <c r="I851" s="39"/>
      <c r="J851" s="41">
        <f t="shared" si="378"/>
        <v>0</v>
      </c>
      <c r="K851" s="47"/>
      <c r="L851" s="41">
        <f t="shared" si="379"/>
        <v>0</v>
      </c>
      <c r="M851" s="39"/>
      <c r="N851" s="41">
        <f t="shared" si="380"/>
        <v>0</v>
      </c>
      <c r="O851" s="47"/>
      <c r="P851" s="41">
        <f t="shared" si="381"/>
        <v>0</v>
      </c>
      <c r="Q851" s="39"/>
      <c r="R851" s="41">
        <f t="shared" si="382"/>
        <v>0</v>
      </c>
      <c r="S851" s="47"/>
      <c r="T851" s="41">
        <f t="shared" si="383"/>
        <v>0</v>
      </c>
      <c r="U851" s="39"/>
      <c r="V851" s="41">
        <f t="shared" si="384"/>
        <v>0</v>
      </c>
      <c r="W851" s="47"/>
      <c r="X851" s="41">
        <f t="shared" si="385"/>
        <v>0</v>
      </c>
      <c r="Y851" s="39"/>
      <c r="Z851" s="41">
        <f t="shared" si="386"/>
        <v>0</v>
      </c>
      <c r="AA851" s="47"/>
      <c r="AB851" s="41">
        <f t="shared" si="387"/>
        <v>0</v>
      </c>
      <c r="AC851" s="39"/>
      <c r="AD851" s="41">
        <f t="shared" si="369"/>
        <v>0</v>
      </c>
      <c r="AE851" s="47"/>
      <c r="AF851" s="41">
        <f t="shared" si="388"/>
        <v>0</v>
      </c>
      <c r="AG851" s="39"/>
      <c r="AH851" s="41">
        <f t="shared" si="370"/>
        <v>0</v>
      </c>
      <c r="AI851" s="47"/>
      <c r="AJ851" s="41">
        <f t="shared" si="389"/>
        <v>0</v>
      </c>
      <c r="AK851" s="39"/>
      <c r="AL851" s="41">
        <f t="shared" si="371"/>
        <v>0</v>
      </c>
      <c r="AM851" s="47"/>
      <c r="AN851" s="41">
        <f t="shared" si="390"/>
        <v>0</v>
      </c>
      <c r="AO851" s="39"/>
      <c r="AP851" s="41">
        <f t="shared" si="372"/>
        <v>0</v>
      </c>
      <c r="AQ851" s="47"/>
      <c r="AR851" s="41">
        <f t="shared" si="391"/>
        <v>0</v>
      </c>
      <c r="AS851" s="39"/>
      <c r="AT851" s="41">
        <f t="shared" si="373"/>
        <v>0</v>
      </c>
      <c r="AU851" s="47"/>
      <c r="AV851" s="41">
        <f t="shared" si="392"/>
        <v>0</v>
      </c>
      <c r="AW851" s="39"/>
      <c r="AX851" s="41">
        <f t="shared" si="374"/>
        <v>0</v>
      </c>
      <c r="AY851" s="47"/>
      <c r="AZ851" s="41">
        <f t="shared" si="393"/>
        <v>0</v>
      </c>
      <c r="BA851" s="39"/>
      <c r="BB851" s="41">
        <f t="shared" si="375"/>
        <v>0</v>
      </c>
      <c r="BC851" s="47"/>
      <c r="BD851" s="41">
        <f t="shared" si="394"/>
        <v>0</v>
      </c>
      <c r="BE851" s="39"/>
      <c r="BF851" s="47"/>
    </row>
    <row r="852" spans="1:58" ht="15.75" customHeight="1" x14ac:dyDescent="0.25">
      <c r="A852" s="44">
        <v>2018</v>
      </c>
      <c r="B852" s="39">
        <v>170255</v>
      </c>
      <c r="C852" s="38" t="s">
        <v>145</v>
      </c>
      <c r="D852" s="38" t="s">
        <v>21</v>
      </c>
      <c r="E852" s="39"/>
      <c r="F852" s="42">
        <f t="shared" si="376"/>
        <v>0</v>
      </c>
      <c r="G852" s="47"/>
      <c r="H852" s="42">
        <f t="shared" si="377"/>
        <v>0</v>
      </c>
      <c r="I852" s="39"/>
      <c r="J852" s="41">
        <f t="shared" si="378"/>
        <v>0</v>
      </c>
      <c r="K852" s="47"/>
      <c r="L852" s="41">
        <f t="shared" si="379"/>
        <v>0</v>
      </c>
      <c r="M852" s="39"/>
      <c r="N852" s="41">
        <f t="shared" si="380"/>
        <v>0</v>
      </c>
      <c r="O852" s="47"/>
      <c r="P852" s="41">
        <f t="shared" si="381"/>
        <v>0</v>
      </c>
      <c r="Q852" s="39"/>
      <c r="R852" s="41">
        <f t="shared" si="382"/>
        <v>0</v>
      </c>
      <c r="S852" s="47"/>
      <c r="T852" s="41">
        <f t="shared" si="383"/>
        <v>0</v>
      </c>
      <c r="U852" s="39"/>
      <c r="V852" s="41">
        <f t="shared" si="384"/>
        <v>0</v>
      </c>
      <c r="W852" s="47"/>
      <c r="X852" s="41">
        <f t="shared" si="385"/>
        <v>0</v>
      </c>
      <c r="Y852" s="39"/>
      <c r="Z852" s="41">
        <f t="shared" si="386"/>
        <v>0</v>
      </c>
      <c r="AA852" s="47"/>
      <c r="AB852" s="41">
        <f t="shared" si="387"/>
        <v>0</v>
      </c>
      <c r="AC852" s="39"/>
      <c r="AD852" s="41">
        <f t="shared" ref="AD852:AD880" si="395">IFERROR(AC852/$BE852,0)</f>
        <v>0</v>
      </c>
      <c r="AE852" s="47"/>
      <c r="AF852" s="41">
        <f t="shared" si="388"/>
        <v>0</v>
      </c>
      <c r="AG852" s="39"/>
      <c r="AH852" s="41">
        <f t="shared" ref="AH852:AH880" si="396">IFERROR(AG852/$BE852,0)</f>
        <v>0</v>
      </c>
      <c r="AI852" s="47"/>
      <c r="AJ852" s="41">
        <f t="shared" si="389"/>
        <v>0</v>
      </c>
      <c r="AK852" s="39"/>
      <c r="AL852" s="41">
        <f t="shared" ref="AL852:AL880" si="397">IFERROR(AK852/$BE852,0)</f>
        <v>0</v>
      </c>
      <c r="AM852" s="47"/>
      <c r="AN852" s="41">
        <f t="shared" si="390"/>
        <v>0</v>
      </c>
      <c r="AO852" s="39"/>
      <c r="AP852" s="41">
        <f t="shared" ref="AP852:AP880" si="398">IFERROR(AO852/$BE852,0)</f>
        <v>0</v>
      </c>
      <c r="AQ852" s="47"/>
      <c r="AR852" s="41">
        <f t="shared" si="391"/>
        <v>0</v>
      </c>
      <c r="AS852" s="39"/>
      <c r="AT852" s="41">
        <f t="shared" ref="AT852:AT880" si="399">IFERROR(AS852/$BE852,0)</f>
        <v>0</v>
      </c>
      <c r="AU852" s="47"/>
      <c r="AV852" s="41">
        <f t="shared" si="392"/>
        <v>0</v>
      </c>
      <c r="AW852" s="39"/>
      <c r="AX852" s="41">
        <f t="shared" ref="AX852:AX880" si="400">IFERROR(AW852/$BE852,0)</f>
        <v>0</v>
      </c>
      <c r="AY852" s="47"/>
      <c r="AZ852" s="41">
        <f t="shared" si="393"/>
        <v>0</v>
      </c>
      <c r="BA852" s="39"/>
      <c r="BB852" s="41">
        <f t="shared" ref="BB852:BB880" si="401">IFERROR(BA852/$BE852,0)</f>
        <v>0</v>
      </c>
      <c r="BC852" s="47"/>
      <c r="BD852" s="41">
        <f t="shared" si="394"/>
        <v>0</v>
      </c>
      <c r="BE852" s="39"/>
      <c r="BF852" s="47"/>
    </row>
    <row r="853" spans="1:58" ht="15.75" customHeight="1" x14ac:dyDescent="0.25">
      <c r="A853" s="44">
        <v>2018</v>
      </c>
      <c r="B853" s="39">
        <v>170270</v>
      </c>
      <c r="C853" s="38" t="s">
        <v>147</v>
      </c>
      <c r="D853" s="38" t="s">
        <v>22</v>
      </c>
      <c r="E853" s="39"/>
      <c r="F853" s="42">
        <f t="shared" si="376"/>
        <v>0</v>
      </c>
      <c r="G853" s="47"/>
      <c r="H853" s="42">
        <f t="shared" si="377"/>
        <v>0</v>
      </c>
      <c r="I853" s="39"/>
      <c r="J853" s="41">
        <f t="shared" si="378"/>
        <v>0</v>
      </c>
      <c r="K853" s="47"/>
      <c r="L853" s="41">
        <f t="shared" si="379"/>
        <v>0</v>
      </c>
      <c r="M853" s="39"/>
      <c r="N853" s="41">
        <f t="shared" si="380"/>
        <v>0</v>
      </c>
      <c r="O853" s="47"/>
      <c r="P853" s="41">
        <f t="shared" si="381"/>
        <v>0</v>
      </c>
      <c r="Q853" s="39"/>
      <c r="R853" s="41">
        <f t="shared" si="382"/>
        <v>0</v>
      </c>
      <c r="S853" s="47"/>
      <c r="T853" s="41">
        <f t="shared" si="383"/>
        <v>0</v>
      </c>
      <c r="U853" s="39"/>
      <c r="V853" s="41">
        <f t="shared" si="384"/>
        <v>0</v>
      </c>
      <c r="W853" s="47"/>
      <c r="X853" s="41">
        <f t="shared" si="385"/>
        <v>0</v>
      </c>
      <c r="Y853" s="39"/>
      <c r="Z853" s="41">
        <f t="shared" si="386"/>
        <v>0</v>
      </c>
      <c r="AA853" s="47"/>
      <c r="AB853" s="41">
        <f t="shared" si="387"/>
        <v>0</v>
      </c>
      <c r="AC853" s="39"/>
      <c r="AD853" s="41">
        <f t="shared" si="395"/>
        <v>0</v>
      </c>
      <c r="AE853" s="47"/>
      <c r="AF853" s="41">
        <f t="shared" si="388"/>
        <v>0</v>
      </c>
      <c r="AG853" s="39"/>
      <c r="AH853" s="41">
        <f t="shared" si="396"/>
        <v>0</v>
      </c>
      <c r="AI853" s="47"/>
      <c r="AJ853" s="41">
        <f t="shared" si="389"/>
        <v>0</v>
      </c>
      <c r="AK853" s="39"/>
      <c r="AL853" s="41">
        <f t="shared" si="397"/>
        <v>0</v>
      </c>
      <c r="AM853" s="47"/>
      <c r="AN853" s="41">
        <f t="shared" si="390"/>
        <v>0</v>
      </c>
      <c r="AO853" s="39"/>
      <c r="AP853" s="41">
        <f t="shared" si="398"/>
        <v>0</v>
      </c>
      <c r="AQ853" s="47"/>
      <c r="AR853" s="41">
        <f t="shared" si="391"/>
        <v>0</v>
      </c>
      <c r="AS853" s="39"/>
      <c r="AT853" s="41">
        <f t="shared" si="399"/>
        <v>0</v>
      </c>
      <c r="AU853" s="47"/>
      <c r="AV853" s="41">
        <f t="shared" si="392"/>
        <v>0</v>
      </c>
      <c r="AW853" s="39"/>
      <c r="AX853" s="41">
        <f t="shared" si="400"/>
        <v>0</v>
      </c>
      <c r="AY853" s="47"/>
      <c r="AZ853" s="41">
        <f t="shared" si="393"/>
        <v>0</v>
      </c>
      <c r="BA853" s="39"/>
      <c r="BB853" s="41">
        <f t="shared" si="401"/>
        <v>0</v>
      </c>
      <c r="BC853" s="47"/>
      <c r="BD853" s="41">
        <f t="shared" si="394"/>
        <v>0</v>
      </c>
      <c r="BE853" s="39"/>
      <c r="BF853" s="47"/>
    </row>
    <row r="854" spans="1:58" ht="15.75" customHeight="1" x14ac:dyDescent="0.25">
      <c r="A854" s="44">
        <v>2018</v>
      </c>
      <c r="B854" s="39">
        <v>170290</v>
      </c>
      <c r="C854" s="38" t="s">
        <v>145</v>
      </c>
      <c r="D854" s="38" t="s">
        <v>23</v>
      </c>
      <c r="E854" s="39"/>
      <c r="F854" s="42">
        <f t="shared" si="376"/>
        <v>0</v>
      </c>
      <c r="G854" s="47"/>
      <c r="H854" s="42">
        <f t="shared" si="377"/>
        <v>0</v>
      </c>
      <c r="I854" s="39"/>
      <c r="J854" s="41">
        <f t="shared" si="378"/>
        <v>0</v>
      </c>
      <c r="K854" s="47"/>
      <c r="L854" s="41">
        <f t="shared" si="379"/>
        <v>0</v>
      </c>
      <c r="M854" s="39"/>
      <c r="N854" s="41">
        <f t="shared" si="380"/>
        <v>0</v>
      </c>
      <c r="O854" s="47"/>
      <c r="P854" s="41">
        <f t="shared" si="381"/>
        <v>0</v>
      </c>
      <c r="Q854" s="39"/>
      <c r="R854" s="41">
        <f t="shared" si="382"/>
        <v>0</v>
      </c>
      <c r="S854" s="47"/>
      <c r="T854" s="41">
        <f t="shared" si="383"/>
        <v>0</v>
      </c>
      <c r="U854" s="39"/>
      <c r="V854" s="41">
        <f t="shared" si="384"/>
        <v>0</v>
      </c>
      <c r="W854" s="47"/>
      <c r="X854" s="41">
        <f t="shared" si="385"/>
        <v>0</v>
      </c>
      <c r="Y854" s="39"/>
      <c r="Z854" s="41">
        <f t="shared" si="386"/>
        <v>0</v>
      </c>
      <c r="AA854" s="47"/>
      <c r="AB854" s="41">
        <f t="shared" si="387"/>
        <v>0</v>
      </c>
      <c r="AC854" s="39"/>
      <c r="AD854" s="41">
        <f t="shared" si="395"/>
        <v>0</v>
      </c>
      <c r="AE854" s="47"/>
      <c r="AF854" s="41">
        <f t="shared" si="388"/>
        <v>0</v>
      </c>
      <c r="AG854" s="39"/>
      <c r="AH854" s="41">
        <f t="shared" si="396"/>
        <v>0</v>
      </c>
      <c r="AI854" s="47"/>
      <c r="AJ854" s="41">
        <f t="shared" si="389"/>
        <v>0</v>
      </c>
      <c r="AK854" s="39"/>
      <c r="AL854" s="41">
        <f t="shared" si="397"/>
        <v>0</v>
      </c>
      <c r="AM854" s="47"/>
      <c r="AN854" s="41">
        <f t="shared" si="390"/>
        <v>0</v>
      </c>
      <c r="AO854" s="39"/>
      <c r="AP854" s="41">
        <f t="shared" si="398"/>
        <v>0</v>
      </c>
      <c r="AQ854" s="47"/>
      <c r="AR854" s="41">
        <f t="shared" si="391"/>
        <v>0</v>
      </c>
      <c r="AS854" s="39"/>
      <c r="AT854" s="41">
        <f t="shared" si="399"/>
        <v>0</v>
      </c>
      <c r="AU854" s="47"/>
      <c r="AV854" s="41">
        <f t="shared" si="392"/>
        <v>0</v>
      </c>
      <c r="AW854" s="39"/>
      <c r="AX854" s="41">
        <f t="shared" si="400"/>
        <v>0</v>
      </c>
      <c r="AY854" s="47"/>
      <c r="AZ854" s="41">
        <f t="shared" si="393"/>
        <v>0</v>
      </c>
      <c r="BA854" s="39"/>
      <c r="BB854" s="41">
        <f t="shared" si="401"/>
        <v>0</v>
      </c>
      <c r="BC854" s="47"/>
      <c r="BD854" s="41">
        <f t="shared" si="394"/>
        <v>0</v>
      </c>
      <c r="BE854" s="39"/>
      <c r="BF854" s="47"/>
    </row>
    <row r="855" spans="1:58" ht="15.75" customHeight="1" x14ac:dyDescent="0.25">
      <c r="A855" s="44">
        <v>2018</v>
      </c>
      <c r="B855" s="39">
        <v>170300</v>
      </c>
      <c r="C855" s="38" t="s">
        <v>149</v>
      </c>
      <c r="D855" s="38" t="s">
        <v>24</v>
      </c>
      <c r="E855" s="39"/>
      <c r="F855" s="42">
        <f t="shared" si="376"/>
        <v>0</v>
      </c>
      <c r="G855" s="47"/>
      <c r="H855" s="42">
        <f t="shared" si="377"/>
        <v>0</v>
      </c>
      <c r="I855" s="39"/>
      <c r="J855" s="41">
        <f t="shared" si="378"/>
        <v>0</v>
      </c>
      <c r="K855" s="47"/>
      <c r="L855" s="41">
        <f t="shared" si="379"/>
        <v>0</v>
      </c>
      <c r="M855" s="39"/>
      <c r="N855" s="41">
        <f t="shared" si="380"/>
        <v>0</v>
      </c>
      <c r="O855" s="47"/>
      <c r="P855" s="41">
        <f t="shared" si="381"/>
        <v>0</v>
      </c>
      <c r="Q855" s="39"/>
      <c r="R855" s="41">
        <f t="shared" si="382"/>
        <v>0</v>
      </c>
      <c r="S855" s="47"/>
      <c r="T855" s="41">
        <f t="shared" si="383"/>
        <v>0</v>
      </c>
      <c r="U855" s="39"/>
      <c r="V855" s="41">
        <f t="shared" si="384"/>
        <v>0</v>
      </c>
      <c r="W855" s="47"/>
      <c r="X855" s="41">
        <f t="shared" si="385"/>
        <v>0</v>
      </c>
      <c r="Y855" s="39"/>
      <c r="Z855" s="41">
        <f t="shared" si="386"/>
        <v>0</v>
      </c>
      <c r="AA855" s="47"/>
      <c r="AB855" s="41">
        <f t="shared" si="387"/>
        <v>0</v>
      </c>
      <c r="AC855" s="39"/>
      <c r="AD855" s="41">
        <f t="shared" si="395"/>
        <v>0</v>
      </c>
      <c r="AE855" s="47"/>
      <c r="AF855" s="41">
        <f t="shared" si="388"/>
        <v>0</v>
      </c>
      <c r="AG855" s="39"/>
      <c r="AH855" s="41">
        <f t="shared" si="396"/>
        <v>0</v>
      </c>
      <c r="AI855" s="47"/>
      <c r="AJ855" s="41">
        <f t="shared" si="389"/>
        <v>0</v>
      </c>
      <c r="AK855" s="39"/>
      <c r="AL855" s="41">
        <f t="shared" si="397"/>
        <v>0</v>
      </c>
      <c r="AM855" s="47"/>
      <c r="AN855" s="41">
        <f t="shared" si="390"/>
        <v>0</v>
      </c>
      <c r="AO855" s="39"/>
      <c r="AP855" s="41">
        <f t="shared" si="398"/>
        <v>0</v>
      </c>
      <c r="AQ855" s="47"/>
      <c r="AR855" s="41">
        <f t="shared" si="391"/>
        <v>0</v>
      </c>
      <c r="AS855" s="39"/>
      <c r="AT855" s="41">
        <f t="shared" si="399"/>
        <v>0</v>
      </c>
      <c r="AU855" s="47"/>
      <c r="AV855" s="41">
        <f t="shared" si="392"/>
        <v>0</v>
      </c>
      <c r="AW855" s="39"/>
      <c r="AX855" s="41">
        <f t="shared" si="400"/>
        <v>0</v>
      </c>
      <c r="AY855" s="47"/>
      <c r="AZ855" s="41">
        <f t="shared" si="393"/>
        <v>0</v>
      </c>
      <c r="BA855" s="39"/>
      <c r="BB855" s="41">
        <f t="shared" si="401"/>
        <v>0</v>
      </c>
      <c r="BC855" s="47"/>
      <c r="BD855" s="41">
        <f t="shared" si="394"/>
        <v>0</v>
      </c>
      <c r="BE855" s="39"/>
      <c r="BF855" s="47"/>
    </row>
    <row r="856" spans="1:58" ht="15.75" customHeight="1" x14ac:dyDescent="0.25">
      <c r="A856" s="44">
        <v>2018</v>
      </c>
      <c r="B856" s="39">
        <v>170305</v>
      </c>
      <c r="C856" s="38" t="s">
        <v>150</v>
      </c>
      <c r="D856" s="38" t="s">
        <v>25</v>
      </c>
      <c r="E856" s="39"/>
      <c r="F856" s="42">
        <f t="shared" si="376"/>
        <v>0</v>
      </c>
      <c r="G856" s="47"/>
      <c r="H856" s="42">
        <f t="shared" si="377"/>
        <v>0</v>
      </c>
      <c r="I856" s="39"/>
      <c r="J856" s="41">
        <f t="shared" si="378"/>
        <v>0</v>
      </c>
      <c r="K856" s="47"/>
      <c r="L856" s="41">
        <f t="shared" si="379"/>
        <v>0</v>
      </c>
      <c r="M856" s="39"/>
      <c r="N856" s="41">
        <f t="shared" si="380"/>
        <v>0</v>
      </c>
      <c r="O856" s="47"/>
      <c r="P856" s="41">
        <f t="shared" si="381"/>
        <v>0</v>
      </c>
      <c r="Q856" s="39"/>
      <c r="R856" s="41">
        <f t="shared" si="382"/>
        <v>0</v>
      </c>
      <c r="S856" s="47"/>
      <c r="T856" s="41">
        <f t="shared" si="383"/>
        <v>0</v>
      </c>
      <c r="U856" s="39"/>
      <c r="V856" s="41">
        <f t="shared" si="384"/>
        <v>0</v>
      </c>
      <c r="W856" s="47"/>
      <c r="X856" s="41">
        <f t="shared" si="385"/>
        <v>0</v>
      </c>
      <c r="Y856" s="39"/>
      <c r="Z856" s="41">
        <f t="shared" si="386"/>
        <v>0</v>
      </c>
      <c r="AA856" s="47"/>
      <c r="AB856" s="41">
        <f t="shared" si="387"/>
        <v>0</v>
      </c>
      <c r="AC856" s="39"/>
      <c r="AD856" s="41">
        <f t="shared" si="395"/>
        <v>0</v>
      </c>
      <c r="AE856" s="47"/>
      <c r="AF856" s="41">
        <f t="shared" si="388"/>
        <v>0</v>
      </c>
      <c r="AG856" s="39"/>
      <c r="AH856" s="41">
        <f t="shared" si="396"/>
        <v>0</v>
      </c>
      <c r="AI856" s="47"/>
      <c r="AJ856" s="41">
        <f t="shared" si="389"/>
        <v>0</v>
      </c>
      <c r="AK856" s="39"/>
      <c r="AL856" s="41">
        <f t="shared" si="397"/>
        <v>0</v>
      </c>
      <c r="AM856" s="47"/>
      <c r="AN856" s="41">
        <f t="shared" si="390"/>
        <v>0</v>
      </c>
      <c r="AO856" s="39"/>
      <c r="AP856" s="41">
        <f t="shared" si="398"/>
        <v>0</v>
      </c>
      <c r="AQ856" s="47"/>
      <c r="AR856" s="41">
        <f t="shared" si="391"/>
        <v>0</v>
      </c>
      <c r="AS856" s="39"/>
      <c r="AT856" s="41">
        <f t="shared" si="399"/>
        <v>0</v>
      </c>
      <c r="AU856" s="47"/>
      <c r="AV856" s="41">
        <f t="shared" si="392"/>
        <v>0</v>
      </c>
      <c r="AW856" s="39"/>
      <c r="AX856" s="41">
        <f t="shared" si="400"/>
        <v>0</v>
      </c>
      <c r="AY856" s="47"/>
      <c r="AZ856" s="41">
        <f t="shared" si="393"/>
        <v>0</v>
      </c>
      <c r="BA856" s="39"/>
      <c r="BB856" s="41">
        <f t="shared" si="401"/>
        <v>0</v>
      </c>
      <c r="BC856" s="47"/>
      <c r="BD856" s="41">
        <f t="shared" si="394"/>
        <v>0</v>
      </c>
      <c r="BE856" s="39"/>
      <c r="BF856" s="47"/>
    </row>
    <row r="857" spans="1:58" ht="15.75" customHeight="1" x14ac:dyDescent="0.25">
      <c r="A857" s="44">
        <v>2018</v>
      </c>
      <c r="B857" s="39">
        <v>170307</v>
      </c>
      <c r="C857" s="38" t="s">
        <v>149</v>
      </c>
      <c r="D857" s="38" t="s">
        <v>26</v>
      </c>
      <c r="E857" s="39"/>
      <c r="F857" s="42">
        <f t="shared" si="376"/>
        <v>0</v>
      </c>
      <c r="G857" s="47"/>
      <c r="H857" s="42">
        <f t="shared" si="377"/>
        <v>0</v>
      </c>
      <c r="I857" s="39"/>
      <c r="J857" s="41">
        <f t="shared" si="378"/>
        <v>0</v>
      </c>
      <c r="K857" s="47"/>
      <c r="L857" s="41">
        <f t="shared" si="379"/>
        <v>0</v>
      </c>
      <c r="M857" s="39"/>
      <c r="N857" s="41">
        <f t="shared" si="380"/>
        <v>0</v>
      </c>
      <c r="O857" s="47"/>
      <c r="P857" s="41">
        <f t="shared" si="381"/>
        <v>0</v>
      </c>
      <c r="Q857" s="39"/>
      <c r="R857" s="41">
        <f t="shared" si="382"/>
        <v>0</v>
      </c>
      <c r="S857" s="47"/>
      <c r="T857" s="41">
        <f t="shared" si="383"/>
        <v>0</v>
      </c>
      <c r="U857" s="39"/>
      <c r="V857" s="41">
        <f t="shared" si="384"/>
        <v>0</v>
      </c>
      <c r="W857" s="47"/>
      <c r="X857" s="41">
        <f t="shared" si="385"/>
        <v>0</v>
      </c>
      <c r="Y857" s="39"/>
      <c r="Z857" s="41">
        <f t="shared" si="386"/>
        <v>0</v>
      </c>
      <c r="AA857" s="47"/>
      <c r="AB857" s="41">
        <f t="shared" si="387"/>
        <v>0</v>
      </c>
      <c r="AC857" s="39"/>
      <c r="AD857" s="41">
        <f t="shared" si="395"/>
        <v>0</v>
      </c>
      <c r="AE857" s="47"/>
      <c r="AF857" s="41">
        <f t="shared" si="388"/>
        <v>0</v>
      </c>
      <c r="AG857" s="39"/>
      <c r="AH857" s="41">
        <f t="shared" si="396"/>
        <v>0</v>
      </c>
      <c r="AI857" s="47"/>
      <c r="AJ857" s="41">
        <f t="shared" si="389"/>
        <v>0</v>
      </c>
      <c r="AK857" s="39"/>
      <c r="AL857" s="41">
        <f t="shared" si="397"/>
        <v>0</v>
      </c>
      <c r="AM857" s="47"/>
      <c r="AN857" s="41">
        <f t="shared" si="390"/>
        <v>0</v>
      </c>
      <c r="AO857" s="39"/>
      <c r="AP857" s="41">
        <f t="shared" si="398"/>
        <v>0</v>
      </c>
      <c r="AQ857" s="47"/>
      <c r="AR857" s="41">
        <f t="shared" si="391"/>
        <v>0</v>
      </c>
      <c r="AS857" s="39"/>
      <c r="AT857" s="41">
        <f t="shared" si="399"/>
        <v>0</v>
      </c>
      <c r="AU857" s="47"/>
      <c r="AV857" s="41">
        <f t="shared" si="392"/>
        <v>0</v>
      </c>
      <c r="AW857" s="39"/>
      <c r="AX857" s="41">
        <f t="shared" si="400"/>
        <v>0</v>
      </c>
      <c r="AY857" s="47"/>
      <c r="AZ857" s="41">
        <f t="shared" si="393"/>
        <v>0</v>
      </c>
      <c r="BA857" s="39"/>
      <c r="BB857" s="41">
        <f t="shared" si="401"/>
        <v>0</v>
      </c>
      <c r="BC857" s="47"/>
      <c r="BD857" s="41">
        <f t="shared" si="394"/>
        <v>0</v>
      </c>
      <c r="BE857" s="39"/>
      <c r="BF857" s="47"/>
    </row>
    <row r="858" spans="1:58" ht="15.75" customHeight="1" x14ac:dyDescent="0.25">
      <c r="A858" s="44">
        <v>2018</v>
      </c>
      <c r="B858" s="39">
        <v>170310</v>
      </c>
      <c r="C858" s="38" t="s">
        <v>144</v>
      </c>
      <c r="D858" s="38" t="s">
        <v>27</v>
      </c>
      <c r="E858" s="39"/>
      <c r="F858" s="42">
        <f t="shared" si="376"/>
        <v>0</v>
      </c>
      <c r="G858" s="47"/>
      <c r="H858" s="42">
        <f t="shared" si="377"/>
        <v>0</v>
      </c>
      <c r="I858" s="39"/>
      <c r="J858" s="41">
        <f t="shared" si="378"/>
        <v>0</v>
      </c>
      <c r="K858" s="47"/>
      <c r="L858" s="41">
        <f t="shared" si="379"/>
        <v>0</v>
      </c>
      <c r="M858" s="39"/>
      <c r="N858" s="41">
        <f t="shared" si="380"/>
        <v>0</v>
      </c>
      <c r="O858" s="47"/>
      <c r="P858" s="41">
        <f t="shared" si="381"/>
        <v>0</v>
      </c>
      <c r="Q858" s="39"/>
      <c r="R858" s="41">
        <f t="shared" si="382"/>
        <v>0</v>
      </c>
      <c r="S858" s="47"/>
      <c r="T858" s="41">
        <f t="shared" si="383"/>
        <v>0</v>
      </c>
      <c r="U858" s="39"/>
      <c r="V858" s="41">
        <f t="shared" si="384"/>
        <v>0</v>
      </c>
      <c r="W858" s="47"/>
      <c r="X858" s="41">
        <f t="shared" si="385"/>
        <v>0</v>
      </c>
      <c r="Y858" s="39"/>
      <c r="Z858" s="41">
        <f t="shared" si="386"/>
        <v>0</v>
      </c>
      <c r="AA858" s="47"/>
      <c r="AB858" s="41">
        <f t="shared" si="387"/>
        <v>0</v>
      </c>
      <c r="AC858" s="39"/>
      <c r="AD858" s="41">
        <f t="shared" si="395"/>
        <v>0</v>
      </c>
      <c r="AE858" s="47"/>
      <c r="AF858" s="41">
        <f t="shared" si="388"/>
        <v>0</v>
      </c>
      <c r="AG858" s="39"/>
      <c r="AH858" s="41">
        <f t="shared" si="396"/>
        <v>0</v>
      </c>
      <c r="AI858" s="47"/>
      <c r="AJ858" s="41">
        <f t="shared" si="389"/>
        <v>0</v>
      </c>
      <c r="AK858" s="39"/>
      <c r="AL858" s="41">
        <f t="shared" si="397"/>
        <v>0</v>
      </c>
      <c r="AM858" s="47"/>
      <c r="AN858" s="41">
        <f t="shared" si="390"/>
        <v>0</v>
      </c>
      <c r="AO858" s="39"/>
      <c r="AP858" s="41">
        <f t="shared" si="398"/>
        <v>0</v>
      </c>
      <c r="AQ858" s="47"/>
      <c r="AR858" s="41">
        <f t="shared" si="391"/>
        <v>0</v>
      </c>
      <c r="AS858" s="39"/>
      <c r="AT858" s="41">
        <f t="shared" si="399"/>
        <v>0</v>
      </c>
      <c r="AU858" s="47"/>
      <c r="AV858" s="41">
        <f t="shared" si="392"/>
        <v>0</v>
      </c>
      <c r="AW858" s="39"/>
      <c r="AX858" s="41">
        <f t="shared" si="400"/>
        <v>0</v>
      </c>
      <c r="AY858" s="47"/>
      <c r="AZ858" s="41">
        <f t="shared" si="393"/>
        <v>0</v>
      </c>
      <c r="BA858" s="39"/>
      <c r="BB858" s="41">
        <f t="shared" si="401"/>
        <v>0</v>
      </c>
      <c r="BC858" s="47"/>
      <c r="BD858" s="41">
        <f t="shared" si="394"/>
        <v>0</v>
      </c>
      <c r="BE858" s="39"/>
      <c r="BF858" s="47"/>
    </row>
    <row r="859" spans="1:58" ht="15.75" customHeight="1" x14ac:dyDescent="0.25">
      <c r="A859" s="44">
        <v>2018</v>
      </c>
      <c r="B859" s="39">
        <v>170320</v>
      </c>
      <c r="C859" s="38" t="s">
        <v>150</v>
      </c>
      <c r="D859" s="38" t="s">
        <v>28</v>
      </c>
      <c r="E859" s="39"/>
      <c r="F859" s="42">
        <f t="shared" si="376"/>
        <v>0</v>
      </c>
      <c r="G859" s="47"/>
      <c r="H859" s="42">
        <f t="shared" si="377"/>
        <v>0</v>
      </c>
      <c r="I859" s="39"/>
      <c r="J859" s="41">
        <f t="shared" si="378"/>
        <v>0</v>
      </c>
      <c r="K859" s="47"/>
      <c r="L859" s="41">
        <f t="shared" si="379"/>
        <v>0</v>
      </c>
      <c r="M859" s="39"/>
      <c r="N859" s="41">
        <f t="shared" si="380"/>
        <v>0</v>
      </c>
      <c r="O859" s="47"/>
      <c r="P859" s="41">
        <f t="shared" si="381"/>
        <v>0</v>
      </c>
      <c r="Q859" s="39"/>
      <c r="R859" s="41">
        <f t="shared" si="382"/>
        <v>0</v>
      </c>
      <c r="S859" s="47"/>
      <c r="T859" s="41">
        <f t="shared" si="383"/>
        <v>0</v>
      </c>
      <c r="U859" s="39"/>
      <c r="V859" s="41">
        <f t="shared" si="384"/>
        <v>0</v>
      </c>
      <c r="W859" s="47"/>
      <c r="X859" s="41">
        <f t="shared" si="385"/>
        <v>0</v>
      </c>
      <c r="Y859" s="39"/>
      <c r="Z859" s="41">
        <f t="shared" si="386"/>
        <v>0</v>
      </c>
      <c r="AA859" s="47"/>
      <c r="AB859" s="41">
        <f t="shared" si="387"/>
        <v>0</v>
      </c>
      <c r="AC859" s="39"/>
      <c r="AD859" s="41">
        <f t="shared" si="395"/>
        <v>0</v>
      </c>
      <c r="AE859" s="47"/>
      <c r="AF859" s="41">
        <f t="shared" si="388"/>
        <v>0</v>
      </c>
      <c r="AG859" s="39"/>
      <c r="AH859" s="41">
        <f t="shared" si="396"/>
        <v>0</v>
      </c>
      <c r="AI859" s="47"/>
      <c r="AJ859" s="41">
        <f t="shared" si="389"/>
        <v>0</v>
      </c>
      <c r="AK859" s="39"/>
      <c r="AL859" s="41">
        <f t="shared" si="397"/>
        <v>0</v>
      </c>
      <c r="AM859" s="47"/>
      <c r="AN859" s="41">
        <f t="shared" si="390"/>
        <v>0</v>
      </c>
      <c r="AO859" s="39"/>
      <c r="AP859" s="41">
        <f t="shared" si="398"/>
        <v>0</v>
      </c>
      <c r="AQ859" s="47"/>
      <c r="AR859" s="41">
        <f t="shared" si="391"/>
        <v>0</v>
      </c>
      <c r="AS859" s="39"/>
      <c r="AT859" s="41">
        <f t="shared" si="399"/>
        <v>0</v>
      </c>
      <c r="AU859" s="47"/>
      <c r="AV859" s="41">
        <f t="shared" si="392"/>
        <v>0</v>
      </c>
      <c r="AW859" s="39"/>
      <c r="AX859" s="41">
        <f t="shared" si="400"/>
        <v>0</v>
      </c>
      <c r="AY859" s="47"/>
      <c r="AZ859" s="41">
        <f t="shared" si="393"/>
        <v>0</v>
      </c>
      <c r="BA859" s="39"/>
      <c r="BB859" s="41">
        <f t="shared" si="401"/>
        <v>0</v>
      </c>
      <c r="BC859" s="47"/>
      <c r="BD859" s="41">
        <f t="shared" si="394"/>
        <v>0</v>
      </c>
      <c r="BE859" s="39"/>
      <c r="BF859" s="47"/>
    </row>
    <row r="860" spans="1:58" ht="15.75" customHeight="1" x14ac:dyDescent="0.25">
      <c r="A860" s="44">
        <v>2018</v>
      </c>
      <c r="B860" s="39">
        <v>170330</v>
      </c>
      <c r="C860" s="38" t="s">
        <v>150</v>
      </c>
      <c r="D860" s="38" t="s">
        <v>29</v>
      </c>
      <c r="E860" s="39"/>
      <c r="F860" s="42">
        <f t="shared" si="376"/>
        <v>0</v>
      </c>
      <c r="G860" s="47"/>
      <c r="H860" s="42">
        <f t="shared" si="377"/>
        <v>0</v>
      </c>
      <c r="I860" s="39"/>
      <c r="J860" s="41">
        <f t="shared" si="378"/>
        <v>0</v>
      </c>
      <c r="K860" s="47"/>
      <c r="L860" s="41">
        <f t="shared" si="379"/>
        <v>0</v>
      </c>
      <c r="M860" s="39"/>
      <c r="N860" s="41">
        <f t="shared" si="380"/>
        <v>0</v>
      </c>
      <c r="O860" s="47"/>
      <c r="P860" s="41">
        <f t="shared" si="381"/>
        <v>0</v>
      </c>
      <c r="Q860" s="39"/>
      <c r="R860" s="41">
        <f t="shared" si="382"/>
        <v>0</v>
      </c>
      <c r="S860" s="47"/>
      <c r="T860" s="41">
        <f t="shared" si="383"/>
        <v>0</v>
      </c>
      <c r="U860" s="39"/>
      <c r="V860" s="41">
        <f t="shared" si="384"/>
        <v>0</v>
      </c>
      <c r="W860" s="47"/>
      <c r="X860" s="41">
        <f t="shared" si="385"/>
        <v>0</v>
      </c>
      <c r="Y860" s="39"/>
      <c r="Z860" s="41">
        <f t="shared" si="386"/>
        <v>0</v>
      </c>
      <c r="AA860" s="47"/>
      <c r="AB860" s="41">
        <f t="shared" si="387"/>
        <v>0</v>
      </c>
      <c r="AC860" s="39"/>
      <c r="AD860" s="41">
        <f t="shared" si="395"/>
        <v>0</v>
      </c>
      <c r="AE860" s="47"/>
      <c r="AF860" s="41">
        <f t="shared" si="388"/>
        <v>0</v>
      </c>
      <c r="AG860" s="39"/>
      <c r="AH860" s="41">
        <f t="shared" si="396"/>
        <v>0</v>
      </c>
      <c r="AI860" s="47"/>
      <c r="AJ860" s="41">
        <f t="shared" si="389"/>
        <v>0</v>
      </c>
      <c r="AK860" s="39"/>
      <c r="AL860" s="41">
        <f t="shared" si="397"/>
        <v>0</v>
      </c>
      <c r="AM860" s="47"/>
      <c r="AN860" s="41">
        <f t="shared" si="390"/>
        <v>0</v>
      </c>
      <c r="AO860" s="39"/>
      <c r="AP860" s="41">
        <f t="shared" si="398"/>
        <v>0</v>
      </c>
      <c r="AQ860" s="47"/>
      <c r="AR860" s="41">
        <f t="shared" si="391"/>
        <v>0</v>
      </c>
      <c r="AS860" s="39"/>
      <c r="AT860" s="41">
        <f t="shared" si="399"/>
        <v>0</v>
      </c>
      <c r="AU860" s="47"/>
      <c r="AV860" s="41">
        <f t="shared" si="392"/>
        <v>0</v>
      </c>
      <c r="AW860" s="39"/>
      <c r="AX860" s="41">
        <f t="shared" si="400"/>
        <v>0</v>
      </c>
      <c r="AY860" s="47"/>
      <c r="AZ860" s="41">
        <f t="shared" si="393"/>
        <v>0</v>
      </c>
      <c r="BA860" s="39"/>
      <c r="BB860" s="41">
        <f t="shared" si="401"/>
        <v>0</v>
      </c>
      <c r="BC860" s="47"/>
      <c r="BD860" s="41">
        <f t="shared" si="394"/>
        <v>0</v>
      </c>
      <c r="BE860" s="39"/>
      <c r="BF860" s="47"/>
    </row>
    <row r="861" spans="1:58" ht="15.75" customHeight="1" x14ac:dyDescent="0.25">
      <c r="A861" s="44">
        <v>2018</v>
      </c>
      <c r="B861" s="39">
        <v>170360</v>
      </c>
      <c r="C861" s="38" t="s">
        <v>150</v>
      </c>
      <c r="D861" s="38" t="s">
        <v>30</v>
      </c>
      <c r="E861" s="39"/>
      <c r="F861" s="42">
        <f t="shared" si="376"/>
        <v>0</v>
      </c>
      <c r="G861" s="47"/>
      <c r="H861" s="42">
        <f t="shared" si="377"/>
        <v>0</v>
      </c>
      <c r="I861" s="39"/>
      <c r="J861" s="41">
        <f t="shared" si="378"/>
        <v>0</v>
      </c>
      <c r="K861" s="47"/>
      <c r="L861" s="41">
        <f t="shared" si="379"/>
        <v>0</v>
      </c>
      <c r="M861" s="39"/>
      <c r="N861" s="41">
        <f t="shared" si="380"/>
        <v>0</v>
      </c>
      <c r="O861" s="47"/>
      <c r="P861" s="41">
        <f t="shared" si="381"/>
        <v>0</v>
      </c>
      <c r="Q861" s="39"/>
      <c r="R861" s="41">
        <f t="shared" si="382"/>
        <v>0</v>
      </c>
      <c r="S861" s="47"/>
      <c r="T861" s="41">
        <f t="shared" si="383"/>
        <v>0</v>
      </c>
      <c r="U861" s="39"/>
      <c r="V861" s="41">
        <f t="shared" si="384"/>
        <v>0</v>
      </c>
      <c r="W861" s="47"/>
      <c r="X861" s="41">
        <f t="shared" si="385"/>
        <v>0</v>
      </c>
      <c r="Y861" s="39"/>
      <c r="Z861" s="41">
        <f t="shared" si="386"/>
        <v>0</v>
      </c>
      <c r="AA861" s="47"/>
      <c r="AB861" s="41">
        <f t="shared" si="387"/>
        <v>0</v>
      </c>
      <c r="AC861" s="39"/>
      <c r="AD861" s="41">
        <f t="shared" si="395"/>
        <v>0</v>
      </c>
      <c r="AE861" s="47"/>
      <c r="AF861" s="41">
        <f t="shared" si="388"/>
        <v>0</v>
      </c>
      <c r="AG861" s="39"/>
      <c r="AH861" s="41">
        <f t="shared" si="396"/>
        <v>0</v>
      </c>
      <c r="AI861" s="47"/>
      <c r="AJ861" s="41">
        <f t="shared" si="389"/>
        <v>0</v>
      </c>
      <c r="AK861" s="39"/>
      <c r="AL861" s="41">
        <f t="shared" si="397"/>
        <v>0</v>
      </c>
      <c r="AM861" s="47"/>
      <c r="AN861" s="41">
        <f t="shared" si="390"/>
        <v>0</v>
      </c>
      <c r="AO861" s="39"/>
      <c r="AP861" s="41">
        <f t="shared" si="398"/>
        <v>0</v>
      </c>
      <c r="AQ861" s="47"/>
      <c r="AR861" s="41">
        <f t="shared" si="391"/>
        <v>0</v>
      </c>
      <c r="AS861" s="39"/>
      <c r="AT861" s="41">
        <f t="shared" si="399"/>
        <v>0</v>
      </c>
      <c r="AU861" s="47"/>
      <c r="AV861" s="41">
        <f t="shared" si="392"/>
        <v>0</v>
      </c>
      <c r="AW861" s="39"/>
      <c r="AX861" s="41">
        <f t="shared" si="400"/>
        <v>0</v>
      </c>
      <c r="AY861" s="47"/>
      <c r="AZ861" s="41">
        <f t="shared" si="393"/>
        <v>0</v>
      </c>
      <c r="BA861" s="39"/>
      <c r="BB861" s="41">
        <f t="shared" si="401"/>
        <v>0</v>
      </c>
      <c r="BC861" s="47"/>
      <c r="BD861" s="41">
        <f t="shared" si="394"/>
        <v>0</v>
      </c>
      <c r="BE861" s="39"/>
      <c r="BF861" s="47"/>
    </row>
    <row r="862" spans="1:58" ht="15.75" customHeight="1" x14ac:dyDescent="0.25">
      <c r="A862" s="44">
        <v>2018</v>
      </c>
      <c r="B862" s="39">
        <v>170370</v>
      </c>
      <c r="C862" s="38" t="s">
        <v>151</v>
      </c>
      <c r="D862" s="38" t="s">
        <v>31</v>
      </c>
      <c r="E862" s="39"/>
      <c r="F862" s="42">
        <f t="shared" si="376"/>
        <v>0</v>
      </c>
      <c r="G862" s="47"/>
      <c r="H862" s="42">
        <f t="shared" si="377"/>
        <v>0</v>
      </c>
      <c r="I862" s="39"/>
      <c r="J862" s="41">
        <f t="shared" si="378"/>
        <v>0</v>
      </c>
      <c r="K862" s="47"/>
      <c r="L862" s="41">
        <f t="shared" si="379"/>
        <v>0</v>
      </c>
      <c r="M862" s="39"/>
      <c r="N862" s="41">
        <f t="shared" si="380"/>
        <v>0</v>
      </c>
      <c r="O862" s="47"/>
      <c r="P862" s="41">
        <f t="shared" si="381"/>
        <v>0</v>
      </c>
      <c r="Q862" s="39"/>
      <c r="R862" s="41">
        <f t="shared" si="382"/>
        <v>0</v>
      </c>
      <c r="S862" s="47"/>
      <c r="T862" s="41">
        <f t="shared" si="383"/>
        <v>0</v>
      </c>
      <c r="U862" s="39"/>
      <c r="V862" s="41">
        <f t="shared" si="384"/>
        <v>0</v>
      </c>
      <c r="W862" s="47"/>
      <c r="X862" s="41">
        <f t="shared" si="385"/>
        <v>0</v>
      </c>
      <c r="Y862" s="39"/>
      <c r="Z862" s="41">
        <f t="shared" si="386"/>
        <v>0</v>
      </c>
      <c r="AA862" s="47"/>
      <c r="AB862" s="41">
        <f t="shared" si="387"/>
        <v>0</v>
      </c>
      <c r="AC862" s="39"/>
      <c r="AD862" s="41">
        <f t="shared" si="395"/>
        <v>0</v>
      </c>
      <c r="AE862" s="47"/>
      <c r="AF862" s="41">
        <f t="shared" si="388"/>
        <v>0</v>
      </c>
      <c r="AG862" s="39"/>
      <c r="AH862" s="41">
        <f t="shared" si="396"/>
        <v>0</v>
      </c>
      <c r="AI862" s="47"/>
      <c r="AJ862" s="41">
        <f t="shared" si="389"/>
        <v>0</v>
      </c>
      <c r="AK862" s="39"/>
      <c r="AL862" s="41">
        <f t="shared" si="397"/>
        <v>0</v>
      </c>
      <c r="AM862" s="47"/>
      <c r="AN862" s="41">
        <f t="shared" si="390"/>
        <v>0</v>
      </c>
      <c r="AO862" s="39"/>
      <c r="AP862" s="41">
        <f t="shared" si="398"/>
        <v>0</v>
      </c>
      <c r="AQ862" s="47"/>
      <c r="AR862" s="41">
        <f t="shared" si="391"/>
        <v>0</v>
      </c>
      <c r="AS862" s="39"/>
      <c r="AT862" s="41">
        <f t="shared" si="399"/>
        <v>0</v>
      </c>
      <c r="AU862" s="47"/>
      <c r="AV862" s="41">
        <f t="shared" si="392"/>
        <v>0</v>
      </c>
      <c r="AW862" s="39"/>
      <c r="AX862" s="41">
        <f t="shared" si="400"/>
        <v>0</v>
      </c>
      <c r="AY862" s="47"/>
      <c r="AZ862" s="41">
        <f t="shared" si="393"/>
        <v>0</v>
      </c>
      <c r="BA862" s="39"/>
      <c r="BB862" s="41">
        <f t="shared" si="401"/>
        <v>0</v>
      </c>
      <c r="BC862" s="47"/>
      <c r="BD862" s="41">
        <f t="shared" si="394"/>
        <v>0</v>
      </c>
      <c r="BE862" s="39"/>
      <c r="BF862" s="47"/>
    </row>
    <row r="863" spans="1:58" ht="15.75" customHeight="1" x14ac:dyDescent="0.25">
      <c r="A863" s="44">
        <v>2018</v>
      </c>
      <c r="B863" s="39">
        <v>170380</v>
      </c>
      <c r="C863" s="38" t="s">
        <v>145</v>
      </c>
      <c r="D863" s="38" t="s">
        <v>32</v>
      </c>
      <c r="E863" s="39"/>
      <c r="F863" s="42">
        <f t="shared" si="376"/>
        <v>0</v>
      </c>
      <c r="G863" s="47"/>
      <c r="H863" s="42">
        <f t="shared" si="377"/>
        <v>0</v>
      </c>
      <c r="I863" s="39"/>
      <c r="J863" s="41">
        <f t="shared" si="378"/>
        <v>0</v>
      </c>
      <c r="K863" s="47"/>
      <c r="L863" s="41">
        <f t="shared" si="379"/>
        <v>0</v>
      </c>
      <c r="M863" s="39"/>
      <c r="N863" s="41">
        <f t="shared" si="380"/>
        <v>0</v>
      </c>
      <c r="O863" s="47"/>
      <c r="P863" s="41">
        <f t="shared" si="381"/>
        <v>0</v>
      </c>
      <c r="Q863" s="39"/>
      <c r="R863" s="41">
        <f t="shared" si="382"/>
        <v>0</v>
      </c>
      <c r="S863" s="47"/>
      <c r="T863" s="41">
        <f t="shared" si="383"/>
        <v>0</v>
      </c>
      <c r="U863" s="39"/>
      <c r="V863" s="41">
        <f t="shared" si="384"/>
        <v>0</v>
      </c>
      <c r="W863" s="47"/>
      <c r="X863" s="41">
        <f t="shared" si="385"/>
        <v>0</v>
      </c>
      <c r="Y863" s="39"/>
      <c r="Z863" s="41">
        <f t="shared" si="386"/>
        <v>0</v>
      </c>
      <c r="AA863" s="47"/>
      <c r="AB863" s="41">
        <f t="shared" si="387"/>
        <v>0</v>
      </c>
      <c r="AC863" s="39"/>
      <c r="AD863" s="41">
        <f t="shared" si="395"/>
        <v>0</v>
      </c>
      <c r="AE863" s="47"/>
      <c r="AF863" s="41">
        <f t="shared" si="388"/>
        <v>0</v>
      </c>
      <c r="AG863" s="39"/>
      <c r="AH863" s="41">
        <f t="shared" si="396"/>
        <v>0</v>
      </c>
      <c r="AI863" s="47"/>
      <c r="AJ863" s="41">
        <f t="shared" si="389"/>
        <v>0</v>
      </c>
      <c r="AK863" s="39"/>
      <c r="AL863" s="41">
        <f t="shared" si="397"/>
        <v>0</v>
      </c>
      <c r="AM863" s="47"/>
      <c r="AN863" s="41">
        <f t="shared" si="390"/>
        <v>0</v>
      </c>
      <c r="AO863" s="39"/>
      <c r="AP863" s="41">
        <f t="shared" si="398"/>
        <v>0</v>
      </c>
      <c r="AQ863" s="47"/>
      <c r="AR863" s="41">
        <f t="shared" si="391"/>
        <v>0</v>
      </c>
      <c r="AS863" s="39"/>
      <c r="AT863" s="41">
        <f t="shared" si="399"/>
        <v>0</v>
      </c>
      <c r="AU863" s="47"/>
      <c r="AV863" s="41">
        <f t="shared" si="392"/>
        <v>0</v>
      </c>
      <c r="AW863" s="39"/>
      <c r="AX863" s="41">
        <f t="shared" si="400"/>
        <v>0</v>
      </c>
      <c r="AY863" s="47"/>
      <c r="AZ863" s="41">
        <f t="shared" si="393"/>
        <v>0</v>
      </c>
      <c r="BA863" s="39"/>
      <c r="BB863" s="41">
        <f t="shared" si="401"/>
        <v>0</v>
      </c>
      <c r="BC863" s="47"/>
      <c r="BD863" s="41">
        <f t="shared" si="394"/>
        <v>0</v>
      </c>
      <c r="BE863" s="39"/>
      <c r="BF863" s="47"/>
    </row>
    <row r="864" spans="1:58" ht="15.75" customHeight="1" x14ac:dyDescent="0.25">
      <c r="A864" s="44">
        <v>2018</v>
      </c>
      <c r="B864" s="39">
        <v>170382</v>
      </c>
      <c r="C864" s="38" t="s">
        <v>145</v>
      </c>
      <c r="D864" s="38" t="s">
        <v>33</v>
      </c>
      <c r="E864" s="39"/>
      <c r="F864" s="42">
        <f t="shared" si="376"/>
        <v>0</v>
      </c>
      <c r="G864" s="47"/>
      <c r="H864" s="42">
        <f t="shared" si="377"/>
        <v>0</v>
      </c>
      <c r="I864" s="39"/>
      <c r="J864" s="41">
        <f t="shared" si="378"/>
        <v>0</v>
      </c>
      <c r="K864" s="47"/>
      <c r="L864" s="41">
        <f t="shared" si="379"/>
        <v>0</v>
      </c>
      <c r="M864" s="39"/>
      <c r="N864" s="41">
        <f t="shared" si="380"/>
        <v>0</v>
      </c>
      <c r="O864" s="47"/>
      <c r="P864" s="41">
        <f t="shared" si="381"/>
        <v>0</v>
      </c>
      <c r="Q864" s="39"/>
      <c r="R864" s="41">
        <f t="shared" si="382"/>
        <v>0</v>
      </c>
      <c r="S864" s="47"/>
      <c r="T864" s="41">
        <f t="shared" si="383"/>
        <v>0</v>
      </c>
      <c r="U864" s="39"/>
      <c r="V864" s="41">
        <f t="shared" si="384"/>
        <v>0</v>
      </c>
      <c r="W864" s="47"/>
      <c r="X864" s="41">
        <f t="shared" si="385"/>
        <v>0</v>
      </c>
      <c r="Y864" s="39"/>
      <c r="Z864" s="41">
        <f t="shared" si="386"/>
        <v>0</v>
      </c>
      <c r="AA864" s="47"/>
      <c r="AB864" s="41">
        <f t="shared" si="387"/>
        <v>0</v>
      </c>
      <c r="AC864" s="39"/>
      <c r="AD864" s="41">
        <f t="shared" si="395"/>
        <v>0</v>
      </c>
      <c r="AE864" s="47"/>
      <c r="AF864" s="41">
        <f t="shared" si="388"/>
        <v>0</v>
      </c>
      <c r="AG864" s="39"/>
      <c r="AH864" s="41">
        <f t="shared" si="396"/>
        <v>0</v>
      </c>
      <c r="AI864" s="47"/>
      <c r="AJ864" s="41">
        <f t="shared" si="389"/>
        <v>0</v>
      </c>
      <c r="AK864" s="39"/>
      <c r="AL864" s="41">
        <f t="shared" si="397"/>
        <v>0</v>
      </c>
      <c r="AM864" s="47"/>
      <c r="AN864" s="41">
        <f t="shared" si="390"/>
        <v>0</v>
      </c>
      <c r="AO864" s="39"/>
      <c r="AP864" s="41">
        <f t="shared" si="398"/>
        <v>0</v>
      </c>
      <c r="AQ864" s="47"/>
      <c r="AR864" s="41">
        <f t="shared" si="391"/>
        <v>0</v>
      </c>
      <c r="AS864" s="39"/>
      <c r="AT864" s="41">
        <f t="shared" si="399"/>
        <v>0</v>
      </c>
      <c r="AU864" s="47"/>
      <c r="AV864" s="41">
        <f t="shared" si="392"/>
        <v>0</v>
      </c>
      <c r="AW864" s="39"/>
      <c r="AX864" s="41">
        <f t="shared" si="400"/>
        <v>0</v>
      </c>
      <c r="AY864" s="47"/>
      <c r="AZ864" s="41">
        <f t="shared" si="393"/>
        <v>0</v>
      </c>
      <c r="BA864" s="39"/>
      <c r="BB864" s="41">
        <f t="shared" si="401"/>
        <v>0</v>
      </c>
      <c r="BC864" s="47"/>
      <c r="BD864" s="41">
        <f t="shared" si="394"/>
        <v>0</v>
      </c>
      <c r="BE864" s="39"/>
      <c r="BF864" s="47"/>
    </row>
    <row r="865" spans="1:58" ht="15.75" customHeight="1" x14ac:dyDescent="0.25">
      <c r="A865" s="44">
        <v>2018</v>
      </c>
      <c r="B865" s="39">
        <v>170384</v>
      </c>
      <c r="C865" s="38" t="s">
        <v>149</v>
      </c>
      <c r="D865" s="38" t="s">
        <v>34</v>
      </c>
      <c r="E865" s="39"/>
      <c r="F865" s="42">
        <f t="shared" si="376"/>
        <v>0</v>
      </c>
      <c r="G865" s="47"/>
      <c r="H865" s="42">
        <f t="shared" si="377"/>
        <v>0</v>
      </c>
      <c r="I865" s="39"/>
      <c r="J865" s="41">
        <f t="shared" si="378"/>
        <v>0</v>
      </c>
      <c r="K865" s="47"/>
      <c r="L865" s="41">
        <f t="shared" si="379"/>
        <v>0</v>
      </c>
      <c r="M865" s="39"/>
      <c r="N865" s="41">
        <f t="shared" si="380"/>
        <v>0</v>
      </c>
      <c r="O865" s="47"/>
      <c r="P865" s="41">
        <f t="shared" si="381"/>
        <v>0</v>
      </c>
      <c r="Q865" s="39"/>
      <c r="R865" s="41">
        <f t="shared" si="382"/>
        <v>0</v>
      </c>
      <c r="S865" s="47"/>
      <c r="T865" s="41">
        <f t="shared" si="383"/>
        <v>0</v>
      </c>
      <c r="U865" s="39"/>
      <c r="V865" s="41">
        <f t="shared" si="384"/>
        <v>0</v>
      </c>
      <c r="W865" s="47"/>
      <c r="X865" s="41">
        <f t="shared" si="385"/>
        <v>0</v>
      </c>
      <c r="Y865" s="39"/>
      <c r="Z865" s="41">
        <f t="shared" si="386"/>
        <v>0</v>
      </c>
      <c r="AA865" s="47"/>
      <c r="AB865" s="41">
        <f t="shared" si="387"/>
        <v>0</v>
      </c>
      <c r="AC865" s="39"/>
      <c r="AD865" s="41">
        <f t="shared" si="395"/>
        <v>0</v>
      </c>
      <c r="AE865" s="47"/>
      <c r="AF865" s="41">
        <f t="shared" si="388"/>
        <v>0</v>
      </c>
      <c r="AG865" s="39"/>
      <c r="AH865" s="41">
        <f t="shared" si="396"/>
        <v>0</v>
      </c>
      <c r="AI865" s="47"/>
      <c r="AJ865" s="41">
        <f t="shared" si="389"/>
        <v>0</v>
      </c>
      <c r="AK865" s="39"/>
      <c r="AL865" s="41">
        <f t="shared" si="397"/>
        <v>0</v>
      </c>
      <c r="AM865" s="47"/>
      <c r="AN865" s="41">
        <f t="shared" si="390"/>
        <v>0</v>
      </c>
      <c r="AO865" s="39"/>
      <c r="AP865" s="41">
        <f t="shared" si="398"/>
        <v>0</v>
      </c>
      <c r="AQ865" s="47"/>
      <c r="AR865" s="41">
        <f t="shared" si="391"/>
        <v>0</v>
      </c>
      <c r="AS865" s="39"/>
      <c r="AT865" s="41">
        <f t="shared" si="399"/>
        <v>0</v>
      </c>
      <c r="AU865" s="47"/>
      <c r="AV865" s="41">
        <f t="shared" si="392"/>
        <v>0</v>
      </c>
      <c r="AW865" s="39"/>
      <c r="AX865" s="41">
        <f t="shared" si="400"/>
        <v>0</v>
      </c>
      <c r="AY865" s="47"/>
      <c r="AZ865" s="41">
        <f t="shared" si="393"/>
        <v>0</v>
      </c>
      <c r="BA865" s="39"/>
      <c r="BB865" s="41">
        <f t="shared" si="401"/>
        <v>0</v>
      </c>
      <c r="BC865" s="47"/>
      <c r="BD865" s="41">
        <f t="shared" si="394"/>
        <v>0</v>
      </c>
      <c r="BE865" s="39"/>
      <c r="BF865" s="47"/>
    </row>
    <row r="866" spans="1:58" ht="15.75" customHeight="1" x14ac:dyDescent="0.25">
      <c r="A866" s="44">
        <v>2018</v>
      </c>
      <c r="B866" s="39">
        <v>170386</v>
      </c>
      <c r="C866" s="38" t="s">
        <v>146</v>
      </c>
      <c r="D866" s="38" t="s">
        <v>35</v>
      </c>
      <c r="E866" s="39"/>
      <c r="F866" s="42">
        <f t="shared" si="376"/>
        <v>0</v>
      </c>
      <c r="G866" s="47"/>
      <c r="H866" s="42">
        <f t="shared" si="377"/>
        <v>0</v>
      </c>
      <c r="I866" s="39"/>
      <c r="J866" s="41">
        <f t="shared" si="378"/>
        <v>0</v>
      </c>
      <c r="K866" s="47"/>
      <c r="L866" s="41">
        <f t="shared" si="379"/>
        <v>0</v>
      </c>
      <c r="M866" s="39"/>
      <c r="N866" s="41">
        <f t="shared" si="380"/>
        <v>0</v>
      </c>
      <c r="O866" s="47"/>
      <c r="P866" s="41">
        <f t="shared" si="381"/>
        <v>0</v>
      </c>
      <c r="Q866" s="39"/>
      <c r="R866" s="41">
        <f t="shared" si="382"/>
        <v>0</v>
      </c>
      <c r="S866" s="47"/>
      <c r="T866" s="41">
        <f t="shared" si="383"/>
        <v>0</v>
      </c>
      <c r="U866" s="39"/>
      <c r="V866" s="41">
        <f t="shared" si="384"/>
        <v>0</v>
      </c>
      <c r="W866" s="47"/>
      <c r="X866" s="41">
        <f t="shared" si="385"/>
        <v>0</v>
      </c>
      <c r="Y866" s="39"/>
      <c r="Z866" s="41">
        <f t="shared" si="386"/>
        <v>0</v>
      </c>
      <c r="AA866" s="47"/>
      <c r="AB866" s="41">
        <f t="shared" si="387"/>
        <v>0</v>
      </c>
      <c r="AC866" s="39"/>
      <c r="AD866" s="41">
        <f t="shared" si="395"/>
        <v>0</v>
      </c>
      <c r="AE866" s="47"/>
      <c r="AF866" s="41">
        <f t="shared" si="388"/>
        <v>0</v>
      </c>
      <c r="AG866" s="39"/>
      <c r="AH866" s="41">
        <f t="shared" si="396"/>
        <v>0</v>
      </c>
      <c r="AI866" s="47"/>
      <c r="AJ866" s="41">
        <f t="shared" si="389"/>
        <v>0</v>
      </c>
      <c r="AK866" s="39"/>
      <c r="AL866" s="41">
        <f t="shared" si="397"/>
        <v>0</v>
      </c>
      <c r="AM866" s="47"/>
      <c r="AN866" s="41">
        <f t="shared" si="390"/>
        <v>0</v>
      </c>
      <c r="AO866" s="39"/>
      <c r="AP866" s="41">
        <f t="shared" si="398"/>
        <v>0</v>
      </c>
      <c r="AQ866" s="47"/>
      <c r="AR866" s="41">
        <f t="shared" si="391"/>
        <v>0</v>
      </c>
      <c r="AS866" s="39"/>
      <c r="AT866" s="41">
        <f t="shared" si="399"/>
        <v>0</v>
      </c>
      <c r="AU866" s="47"/>
      <c r="AV866" s="41">
        <f t="shared" si="392"/>
        <v>0</v>
      </c>
      <c r="AW866" s="39"/>
      <c r="AX866" s="41">
        <f t="shared" si="400"/>
        <v>0</v>
      </c>
      <c r="AY866" s="47"/>
      <c r="AZ866" s="41">
        <f t="shared" si="393"/>
        <v>0</v>
      </c>
      <c r="BA866" s="39"/>
      <c r="BB866" s="41">
        <f t="shared" si="401"/>
        <v>0</v>
      </c>
      <c r="BC866" s="47"/>
      <c r="BD866" s="41">
        <f t="shared" si="394"/>
        <v>0</v>
      </c>
      <c r="BE866" s="39"/>
      <c r="BF866" s="47"/>
    </row>
    <row r="867" spans="1:58" ht="15.75" customHeight="1" x14ac:dyDescent="0.25">
      <c r="A867" s="44">
        <v>2018</v>
      </c>
      <c r="B867" s="39">
        <v>170388</v>
      </c>
      <c r="C867" s="38" t="s">
        <v>149</v>
      </c>
      <c r="D867" s="38" t="s">
        <v>36</v>
      </c>
      <c r="E867" s="39"/>
      <c r="F867" s="42">
        <f t="shared" si="376"/>
        <v>0</v>
      </c>
      <c r="G867" s="47"/>
      <c r="H867" s="42">
        <f t="shared" si="377"/>
        <v>0</v>
      </c>
      <c r="I867" s="39"/>
      <c r="J867" s="41">
        <f t="shared" si="378"/>
        <v>0</v>
      </c>
      <c r="K867" s="47"/>
      <c r="L867" s="41">
        <f t="shared" si="379"/>
        <v>0</v>
      </c>
      <c r="M867" s="39"/>
      <c r="N867" s="41">
        <f t="shared" si="380"/>
        <v>0</v>
      </c>
      <c r="O867" s="47"/>
      <c r="P867" s="41">
        <f t="shared" si="381"/>
        <v>0</v>
      </c>
      <c r="Q867" s="39"/>
      <c r="R867" s="41">
        <f t="shared" si="382"/>
        <v>0</v>
      </c>
      <c r="S867" s="47"/>
      <c r="T867" s="41">
        <f t="shared" si="383"/>
        <v>0</v>
      </c>
      <c r="U867" s="39"/>
      <c r="V867" s="41">
        <f t="shared" si="384"/>
        <v>0</v>
      </c>
      <c r="W867" s="47"/>
      <c r="X867" s="41">
        <f t="shared" si="385"/>
        <v>0</v>
      </c>
      <c r="Y867" s="39"/>
      <c r="Z867" s="41">
        <f t="shared" si="386"/>
        <v>0</v>
      </c>
      <c r="AA867" s="47"/>
      <c r="AB867" s="41">
        <f t="shared" si="387"/>
        <v>0</v>
      </c>
      <c r="AC867" s="39"/>
      <c r="AD867" s="41">
        <f t="shared" si="395"/>
        <v>0</v>
      </c>
      <c r="AE867" s="47"/>
      <c r="AF867" s="41">
        <f t="shared" si="388"/>
        <v>0</v>
      </c>
      <c r="AG867" s="39"/>
      <c r="AH867" s="41">
        <f t="shared" si="396"/>
        <v>0</v>
      </c>
      <c r="AI867" s="47"/>
      <c r="AJ867" s="41">
        <f t="shared" si="389"/>
        <v>0</v>
      </c>
      <c r="AK867" s="39"/>
      <c r="AL867" s="41">
        <f t="shared" si="397"/>
        <v>0</v>
      </c>
      <c r="AM867" s="47"/>
      <c r="AN867" s="41">
        <f t="shared" si="390"/>
        <v>0</v>
      </c>
      <c r="AO867" s="39"/>
      <c r="AP867" s="41">
        <f t="shared" si="398"/>
        <v>0</v>
      </c>
      <c r="AQ867" s="47"/>
      <c r="AR867" s="41">
        <f t="shared" si="391"/>
        <v>0</v>
      </c>
      <c r="AS867" s="39"/>
      <c r="AT867" s="41">
        <f t="shared" si="399"/>
        <v>0</v>
      </c>
      <c r="AU867" s="47"/>
      <c r="AV867" s="41">
        <f t="shared" si="392"/>
        <v>0</v>
      </c>
      <c r="AW867" s="39"/>
      <c r="AX867" s="41">
        <f t="shared" si="400"/>
        <v>0</v>
      </c>
      <c r="AY867" s="47"/>
      <c r="AZ867" s="41">
        <f t="shared" si="393"/>
        <v>0</v>
      </c>
      <c r="BA867" s="39"/>
      <c r="BB867" s="41">
        <f t="shared" si="401"/>
        <v>0</v>
      </c>
      <c r="BC867" s="47"/>
      <c r="BD867" s="41">
        <f t="shared" si="394"/>
        <v>0</v>
      </c>
      <c r="BE867" s="39"/>
      <c r="BF867" s="47"/>
    </row>
    <row r="868" spans="1:58" ht="15.75" customHeight="1" x14ac:dyDescent="0.25">
      <c r="A868" s="44">
        <v>2018</v>
      </c>
      <c r="B868" s="39">
        <v>170389</v>
      </c>
      <c r="C868" s="38" t="s">
        <v>145</v>
      </c>
      <c r="D868" s="38" t="s">
        <v>37</v>
      </c>
      <c r="E868" s="39"/>
      <c r="F868" s="42">
        <f t="shared" si="376"/>
        <v>0</v>
      </c>
      <c r="G868" s="47"/>
      <c r="H868" s="42">
        <f t="shared" si="377"/>
        <v>0</v>
      </c>
      <c r="I868" s="39"/>
      <c r="J868" s="41">
        <f t="shared" si="378"/>
        <v>0</v>
      </c>
      <c r="K868" s="47"/>
      <c r="L868" s="41">
        <f t="shared" si="379"/>
        <v>0</v>
      </c>
      <c r="M868" s="39"/>
      <c r="N868" s="41">
        <f t="shared" si="380"/>
        <v>0</v>
      </c>
      <c r="O868" s="47"/>
      <c r="P868" s="41">
        <f t="shared" si="381"/>
        <v>0</v>
      </c>
      <c r="Q868" s="39"/>
      <c r="R868" s="41">
        <f t="shared" si="382"/>
        <v>0</v>
      </c>
      <c r="S868" s="47"/>
      <c r="T868" s="41">
        <f t="shared" si="383"/>
        <v>0</v>
      </c>
      <c r="U868" s="39"/>
      <c r="V868" s="41">
        <f t="shared" si="384"/>
        <v>0</v>
      </c>
      <c r="W868" s="47"/>
      <c r="X868" s="41">
        <f t="shared" si="385"/>
        <v>0</v>
      </c>
      <c r="Y868" s="39"/>
      <c r="Z868" s="41">
        <f t="shared" si="386"/>
        <v>0</v>
      </c>
      <c r="AA868" s="47"/>
      <c r="AB868" s="41">
        <f t="shared" si="387"/>
        <v>0</v>
      </c>
      <c r="AC868" s="39"/>
      <c r="AD868" s="41">
        <f t="shared" si="395"/>
        <v>0</v>
      </c>
      <c r="AE868" s="47"/>
      <c r="AF868" s="41">
        <f t="shared" si="388"/>
        <v>0</v>
      </c>
      <c r="AG868" s="39"/>
      <c r="AH868" s="41">
        <f t="shared" si="396"/>
        <v>0</v>
      </c>
      <c r="AI868" s="47"/>
      <c r="AJ868" s="41">
        <f t="shared" si="389"/>
        <v>0</v>
      </c>
      <c r="AK868" s="39"/>
      <c r="AL868" s="41">
        <f t="shared" si="397"/>
        <v>0</v>
      </c>
      <c r="AM868" s="47"/>
      <c r="AN868" s="41">
        <f t="shared" si="390"/>
        <v>0</v>
      </c>
      <c r="AO868" s="39"/>
      <c r="AP868" s="41">
        <f t="shared" si="398"/>
        <v>0</v>
      </c>
      <c r="AQ868" s="47"/>
      <c r="AR868" s="41">
        <f t="shared" si="391"/>
        <v>0</v>
      </c>
      <c r="AS868" s="39"/>
      <c r="AT868" s="41">
        <f t="shared" si="399"/>
        <v>0</v>
      </c>
      <c r="AU868" s="47"/>
      <c r="AV868" s="41">
        <f t="shared" si="392"/>
        <v>0</v>
      </c>
      <c r="AW868" s="39"/>
      <c r="AX868" s="41">
        <f t="shared" si="400"/>
        <v>0</v>
      </c>
      <c r="AY868" s="47"/>
      <c r="AZ868" s="41">
        <f t="shared" si="393"/>
        <v>0</v>
      </c>
      <c r="BA868" s="39"/>
      <c r="BB868" s="41">
        <f t="shared" si="401"/>
        <v>0</v>
      </c>
      <c r="BC868" s="47"/>
      <c r="BD868" s="41">
        <f t="shared" si="394"/>
        <v>0</v>
      </c>
      <c r="BE868" s="39"/>
      <c r="BF868" s="47"/>
    </row>
    <row r="869" spans="1:58" ht="15.75" customHeight="1" x14ac:dyDescent="0.25">
      <c r="A869" s="44">
        <v>2018</v>
      </c>
      <c r="B869" s="39">
        <v>170390</v>
      </c>
      <c r="C869" s="38" t="s">
        <v>144</v>
      </c>
      <c r="D869" s="38" t="s">
        <v>38</v>
      </c>
      <c r="E869" s="39"/>
      <c r="F869" s="42">
        <f t="shared" si="376"/>
        <v>0</v>
      </c>
      <c r="G869" s="47"/>
      <c r="H869" s="42">
        <f t="shared" si="377"/>
        <v>0</v>
      </c>
      <c r="I869" s="39"/>
      <c r="J869" s="41">
        <f t="shared" si="378"/>
        <v>0</v>
      </c>
      <c r="K869" s="47"/>
      <c r="L869" s="41">
        <f t="shared" si="379"/>
        <v>0</v>
      </c>
      <c r="M869" s="39"/>
      <c r="N869" s="41">
        <f t="shared" si="380"/>
        <v>0</v>
      </c>
      <c r="O869" s="47"/>
      <c r="P869" s="41">
        <f t="shared" si="381"/>
        <v>0</v>
      </c>
      <c r="Q869" s="39"/>
      <c r="R869" s="41">
        <f t="shared" si="382"/>
        <v>0</v>
      </c>
      <c r="S869" s="47"/>
      <c r="T869" s="41">
        <f t="shared" si="383"/>
        <v>0</v>
      </c>
      <c r="U869" s="39"/>
      <c r="V869" s="41">
        <f t="shared" si="384"/>
        <v>0</v>
      </c>
      <c r="W869" s="47"/>
      <c r="X869" s="41">
        <f t="shared" si="385"/>
        <v>0</v>
      </c>
      <c r="Y869" s="39"/>
      <c r="Z869" s="41">
        <f t="shared" si="386"/>
        <v>0</v>
      </c>
      <c r="AA869" s="47"/>
      <c r="AB869" s="41">
        <f t="shared" si="387"/>
        <v>0</v>
      </c>
      <c r="AC869" s="39"/>
      <c r="AD869" s="41">
        <f t="shared" si="395"/>
        <v>0</v>
      </c>
      <c r="AE869" s="47"/>
      <c r="AF869" s="41">
        <f t="shared" si="388"/>
        <v>0</v>
      </c>
      <c r="AG869" s="39"/>
      <c r="AH869" s="41">
        <f t="shared" si="396"/>
        <v>0</v>
      </c>
      <c r="AI869" s="47"/>
      <c r="AJ869" s="41">
        <f t="shared" si="389"/>
        <v>0</v>
      </c>
      <c r="AK869" s="39"/>
      <c r="AL869" s="41">
        <f t="shared" si="397"/>
        <v>0</v>
      </c>
      <c r="AM869" s="47"/>
      <c r="AN869" s="41">
        <f t="shared" si="390"/>
        <v>0</v>
      </c>
      <c r="AO869" s="39"/>
      <c r="AP869" s="41">
        <f t="shared" si="398"/>
        <v>0</v>
      </c>
      <c r="AQ869" s="47"/>
      <c r="AR869" s="41">
        <f t="shared" si="391"/>
        <v>0</v>
      </c>
      <c r="AS869" s="39"/>
      <c r="AT869" s="41">
        <f t="shared" si="399"/>
        <v>0</v>
      </c>
      <c r="AU869" s="47"/>
      <c r="AV869" s="41">
        <f t="shared" si="392"/>
        <v>0</v>
      </c>
      <c r="AW869" s="39"/>
      <c r="AX869" s="41">
        <f t="shared" si="400"/>
        <v>0</v>
      </c>
      <c r="AY869" s="47"/>
      <c r="AZ869" s="41">
        <f t="shared" si="393"/>
        <v>0</v>
      </c>
      <c r="BA869" s="39"/>
      <c r="BB869" s="41">
        <f t="shared" si="401"/>
        <v>0</v>
      </c>
      <c r="BC869" s="47"/>
      <c r="BD869" s="41">
        <f t="shared" si="394"/>
        <v>0</v>
      </c>
      <c r="BE869" s="39"/>
      <c r="BF869" s="47"/>
    </row>
    <row r="870" spans="1:58" ht="15.75" customHeight="1" x14ac:dyDescent="0.25">
      <c r="A870" s="44">
        <v>2018</v>
      </c>
      <c r="B870" s="39">
        <v>170410</v>
      </c>
      <c r="C870" s="38" t="s">
        <v>150</v>
      </c>
      <c r="D870" s="38" t="s">
        <v>39</v>
      </c>
      <c r="E870" s="39"/>
      <c r="F870" s="42">
        <f t="shared" si="376"/>
        <v>0</v>
      </c>
      <c r="G870" s="47"/>
      <c r="H870" s="42">
        <f t="shared" si="377"/>
        <v>0</v>
      </c>
      <c r="I870" s="39"/>
      <c r="J870" s="41">
        <f t="shared" si="378"/>
        <v>0</v>
      </c>
      <c r="K870" s="47"/>
      <c r="L870" s="41">
        <f t="shared" si="379"/>
        <v>0</v>
      </c>
      <c r="M870" s="39"/>
      <c r="N870" s="41">
        <f t="shared" si="380"/>
        <v>0</v>
      </c>
      <c r="O870" s="47"/>
      <c r="P870" s="41">
        <f t="shared" si="381"/>
        <v>0</v>
      </c>
      <c r="Q870" s="39"/>
      <c r="R870" s="41">
        <f t="shared" si="382"/>
        <v>0</v>
      </c>
      <c r="S870" s="47"/>
      <c r="T870" s="41">
        <f t="shared" si="383"/>
        <v>0</v>
      </c>
      <c r="U870" s="39"/>
      <c r="V870" s="41">
        <f t="shared" si="384"/>
        <v>0</v>
      </c>
      <c r="W870" s="47"/>
      <c r="X870" s="41">
        <f t="shared" si="385"/>
        <v>0</v>
      </c>
      <c r="Y870" s="39"/>
      <c r="Z870" s="41">
        <f t="shared" si="386"/>
        <v>0</v>
      </c>
      <c r="AA870" s="47"/>
      <c r="AB870" s="41">
        <f t="shared" si="387"/>
        <v>0</v>
      </c>
      <c r="AC870" s="39"/>
      <c r="AD870" s="41">
        <f t="shared" si="395"/>
        <v>0</v>
      </c>
      <c r="AE870" s="47"/>
      <c r="AF870" s="41">
        <f t="shared" si="388"/>
        <v>0</v>
      </c>
      <c r="AG870" s="39"/>
      <c r="AH870" s="41">
        <f t="shared" si="396"/>
        <v>0</v>
      </c>
      <c r="AI870" s="47"/>
      <c r="AJ870" s="41">
        <f t="shared" si="389"/>
        <v>0</v>
      </c>
      <c r="AK870" s="39"/>
      <c r="AL870" s="41">
        <f t="shared" si="397"/>
        <v>0</v>
      </c>
      <c r="AM870" s="47"/>
      <c r="AN870" s="41">
        <f t="shared" si="390"/>
        <v>0</v>
      </c>
      <c r="AO870" s="39"/>
      <c r="AP870" s="41">
        <f t="shared" si="398"/>
        <v>0</v>
      </c>
      <c r="AQ870" s="47"/>
      <c r="AR870" s="41">
        <f t="shared" si="391"/>
        <v>0</v>
      </c>
      <c r="AS870" s="39"/>
      <c r="AT870" s="41">
        <f t="shared" si="399"/>
        <v>0</v>
      </c>
      <c r="AU870" s="47"/>
      <c r="AV870" s="41">
        <f t="shared" si="392"/>
        <v>0</v>
      </c>
      <c r="AW870" s="39"/>
      <c r="AX870" s="41">
        <f t="shared" si="400"/>
        <v>0</v>
      </c>
      <c r="AY870" s="47"/>
      <c r="AZ870" s="41">
        <f t="shared" si="393"/>
        <v>0</v>
      </c>
      <c r="BA870" s="39"/>
      <c r="BB870" s="41">
        <f t="shared" si="401"/>
        <v>0</v>
      </c>
      <c r="BC870" s="47"/>
      <c r="BD870" s="41">
        <f t="shared" si="394"/>
        <v>0</v>
      </c>
      <c r="BE870" s="39"/>
      <c r="BF870" s="47"/>
    </row>
    <row r="871" spans="1:58" ht="15.75" customHeight="1" x14ac:dyDescent="0.25">
      <c r="A871" s="44">
        <v>2018</v>
      </c>
      <c r="B871" s="39">
        <v>170510</v>
      </c>
      <c r="C871" s="38" t="s">
        <v>151</v>
      </c>
      <c r="D871" s="38" t="s">
        <v>40</v>
      </c>
      <c r="E871" s="39"/>
      <c r="F871" s="42">
        <f t="shared" si="376"/>
        <v>0</v>
      </c>
      <c r="G871" s="47"/>
      <c r="H871" s="42">
        <f t="shared" si="377"/>
        <v>0</v>
      </c>
      <c r="I871" s="39"/>
      <c r="J871" s="41">
        <f t="shared" si="378"/>
        <v>0</v>
      </c>
      <c r="K871" s="47"/>
      <c r="L871" s="41">
        <f t="shared" si="379"/>
        <v>0</v>
      </c>
      <c r="M871" s="39"/>
      <c r="N871" s="41">
        <f t="shared" si="380"/>
        <v>0</v>
      </c>
      <c r="O871" s="47"/>
      <c r="P871" s="41">
        <f t="shared" si="381"/>
        <v>0</v>
      </c>
      <c r="Q871" s="39"/>
      <c r="R871" s="41">
        <f t="shared" si="382"/>
        <v>0</v>
      </c>
      <c r="S871" s="47"/>
      <c r="T871" s="41">
        <f t="shared" si="383"/>
        <v>0</v>
      </c>
      <c r="U871" s="39"/>
      <c r="V871" s="41">
        <f t="shared" si="384"/>
        <v>0</v>
      </c>
      <c r="W871" s="47"/>
      <c r="X871" s="41">
        <f t="shared" si="385"/>
        <v>0</v>
      </c>
      <c r="Y871" s="39"/>
      <c r="Z871" s="41">
        <f t="shared" si="386"/>
        <v>0</v>
      </c>
      <c r="AA871" s="47"/>
      <c r="AB871" s="41">
        <f t="shared" si="387"/>
        <v>0</v>
      </c>
      <c r="AC871" s="39"/>
      <c r="AD871" s="41">
        <f t="shared" si="395"/>
        <v>0</v>
      </c>
      <c r="AE871" s="47"/>
      <c r="AF871" s="41">
        <f t="shared" si="388"/>
        <v>0</v>
      </c>
      <c r="AG871" s="39"/>
      <c r="AH871" s="41">
        <f t="shared" si="396"/>
        <v>0</v>
      </c>
      <c r="AI871" s="47"/>
      <c r="AJ871" s="41">
        <f t="shared" si="389"/>
        <v>0</v>
      </c>
      <c r="AK871" s="39"/>
      <c r="AL871" s="41">
        <f t="shared" si="397"/>
        <v>0</v>
      </c>
      <c r="AM871" s="47"/>
      <c r="AN871" s="41">
        <f t="shared" si="390"/>
        <v>0</v>
      </c>
      <c r="AO871" s="39"/>
      <c r="AP871" s="41">
        <f t="shared" si="398"/>
        <v>0</v>
      </c>
      <c r="AQ871" s="47"/>
      <c r="AR871" s="41">
        <f t="shared" si="391"/>
        <v>0</v>
      </c>
      <c r="AS871" s="39"/>
      <c r="AT871" s="41">
        <f t="shared" si="399"/>
        <v>0</v>
      </c>
      <c r="AU871" s="47"/>
      <c r="AV871" s="41">
        <f t="shared" si="392"/>
        <v>0</v>
      </c>
      <c r="AW871" s="39"/>
      <c r="AX871" s="41">
        <f t="shared" si="400"/>
        <v>0</v>
      </c>
      <c r="AY871" s="47"/>
      <c r="AZ871" s="41">
        <f t="shared" si="393"/>
        <v>0</v>
      </c>
      <c r="BA871" s="39"/>
      <c r="BB871" s="41">
        <f t="shared" si="401"/>
        <v>0</v>
      </c>
      <c r="BC871" s="47"/>
      <c r="BD871" s="41">
        <f t="shared" si="394"/>
        <v>0</v>
      </c>
      <c r="BE871" s="39"/>
      <c r="BF871" s="47"/>
    </row>
    <row r="872" spans="1:58" ht="15.75" customHeight="1" x14ac:dyDescent="0.25">
      <c r="A872" s="44">
        <v>2018</v>
      </c>
      <c r="B872" s="39">
        <v>170460</v>
      </c>
      <c r="C872" s="38" t="s">
        <v>144</v>
      </c>
      <c r="D872" s="38" t="s">
        <v>41</v>
      </c>
      <c r="E872" s="39"/>
      <c r="F872" s="42">
        <f t="shared" si="376"/>
        <v>0</v>
      </c>
      <c r="G872" s="47"/>
      <c r="H872" s="42">
        <f t="shared" si="377"/>
        <v>0</v>
      </c>
      <c r="I872" s="39"/>
      <c r="J872" s="41">
        <f t="shared" si="378"/>
        <v>0</v>
      </c>
      <c r="K872" s="47"/>
      <c r="L872" s="41">
        <f t="shared" si="379"/>
        <v>0</v>
      </c>
      <c r="M872" s="39"/>
      <c r="N872" s="41">
        <f t="shared" si="380"/>
        <v>0</v>
      </c>
      <c r="O872" s="47"/>
      <c r="P872" s="41">
        <f t="shared" si="381"/>
        <v>0</v>
      </c>
      <c r="Q872" s="39"/>
      <c r="R872" s="41">
        <f t="shared" si="382"/>
        <v>0</v>
      </c>
      <c r="S872" s="47"/>
      <c r="T872" s="41">
        <f t="shared" si="383"/>
        <v>0</v>
      </c>
      <c r="U872" s="39"/>
      <c r="V872" s="41">
        <f t="shared" si="384"/>
        <v>0</v>
      </c>
      <c r="W872" s="47"/>
      <c r="X872" s="41">
        <f t="shared" si="385"/>
        <v>0</v>
      </c>
      <c r="Y872" s="39"/>
      <c r="Z872" s="41">
        <f t="shared" si="386"/>
        <v>0</v>
      </c>
      <c r="AA872" s="47"/>
      <c r="AB872" s="41">
        <f t="shared" si="387"/>
        <v>0</v>
      </c>
      <c r="AC872" s="39"/>
      <c r="AD872" s="41">
        <f t="shared" si="395"/>
        <v>0</v>
      </c>
      <c r="AE872" s="47"/>
      <c r="AF872" s="41">
        <f t="shared" si="388"/>
        <v>0</v>
      </c>
      <c r="AG872" s="39"/>
      <c r="AH872" s="41">
        <f t="shared" si="396"/>
        <v>0</v>
      </c>
      <c r="AI872" s="47"/>
      <c r="AJ872" s="41">
        <f t="shared" si="389"/>
        <v>0</v>
      </c>
      <c r="AK872" s="39"/>
      <c r="AL872" s="41">
        <f t="shared" si="397"/>
        <v>0</v>
      </c>
      <c r="AM872" s="47"/>
      <c r="AN872" s="41">
        <f t="shared" si="390"/>
        <v>0</v>
      </c>
      <c r="AO872" s="39"/>
      <c r="AP872" s="41">
        <f t="shared" si="398"/>
        <v>0</v>
      </c>
      <c r="AQ872" s="47"/>
      <c r="AR872" s="41">
        <f t="shared" si="391"/>
        <v>0</v>
      </c>
      <c r="AS872" s="39"/>
      <c r="AT872" s="41">
        <f t="shared" si="399"/>
        <v>0</v>
      </c>
      <c r="AU872" s="47"/>
      <c r="AV872" s="41">
        <f t="shared" si="392"/>
        <v>0</v>
      </c>
      <c r="AW872" s="39"/>
      <c r="AX872" s="41">
        <f t="shared" si="400"/>
        <v>0</v>
      </c>
      <c r="AY872" s="47"/>
      <c r="AZ872" s="41">
        <f t="shared" si="393"/>
        <v>0</v>
      </c>
      <c r="BA872" s="39"/>
      <c r="BB872" s="41">
        <f t="shared" si="401"/>
        <v>0</v>
      </c>
      <c r="BC872" s="47"/>
      <c r="BD872" s="41">
        <f t="shared" si="394"/>
        <v>0</v>
      </c>
      <c r="BE872" s="39"/>
      <c r="BF872" s="47"/>
    </row>
    <row r="873" spans="1:58" ht="15.75" customHeight="1" x14ac:dyDescent="0.25">
      <c r="A873" s="44">
        <v>2018</v>
      </c>
      <c r="B873" s="39">
        <v>170550</v>
      </c>
      <c r="C873" s="38" t="s">
        <v>150</v>
      </c>
      <c r="D873" s="38" t="s">
        <v>42</v>
      </c>
      <c r="E873" s="39"/>
      <c r="F873" s="42">
        <f t="shared" si="376"/>
        <v>0</v>
      </c>
      <c r="G873" s="47"/>
      <c r="H873" s="42">
        <f t="shared" si="377"/>
        <v>0</v>
      </c>
      <c r="I873" s="39"/>
      <c r="J873" s="41">
        <f t="shared" si="378"/>
        <v>0</v>
      </c>
      <c r="K873" s="47"/>
      <c r="L873" s="41">
        <f t="shared" si="379"/>
        <v>0</v>
      </c>
      <c r="M873" s="39"/>
      <c r="N873" s="41">
        <f t="shared" si="380"/>
        <v>0</v>
      </c>
      <c r="O873" s="47"/>
      <c r="P873" s="41">
        <f t="shared" si="381"/>
        <v>0</v>
      </c>
      <c r="Q873" s="39"/>
      <c r="R873" s="41">
        <f t="shared" si="382"/>
        <v>0</v>
      </c>
      <c r="S873" s="47"/>
      <c r="T873" s="41">
        <f t="shared" si="383"/>
        <v>0</v>
      </c>
      <c r="U873" s="39"/>
      <c r="V873" s="41">
        <f t="shared" si="384"/>
        <v>0</v>
      </c>
      <c r="W873" s="47"/>
      <c r="X873" s="41">
        <f t="shared" si="385"/>
        <v>0</v>
      </c>
      <c r="Y873" s="39"/>
      <c r="Z873" s="41">
        <f t="shared" si="386"/>
        <v>0</v>
      </c>
      <c r="AA873" s="47"/>
      <c r="AB873" s="41">
        <f t="shared" si="387"/>
        <v>0</v>
      </c>
      <c r="AC873" s="39"/>
      <c r="AD873" s="41">
        <f t="shared" si="395"/>
        <v>0</v>
      </c>
      <c r="AE873" s="47"/>
      <c r="AF873" s="41">
        <f t="shared" si="388"/>
        <v>0</v>
      </c>
      <c r="AG873" s="39"/>
      <c r="AH873" s="41">
        <f t="shared" si="396"/>
        <v>0</v>
      </c>
      <c r="AI873" s="47"/>
      <c r="AJ873" s="41">
        <f t="shared" si="389"/>
        <v>0</v>
      </c>
      <c r="AK873" s="39"/>
      <c r="AL873" s="41">
        <f t="shared" si="397"/>
        <v>0</v>
      </c>
      <c r="AM873" s="47"/>
      <c r="AN873" s="41">
        <f t="shared" si="390"/>
        <v>0</v>
      </c>
      <c r="AO873" s="39"/>
      <c r="AP873" s="41">
        <f t="shared" si="398"/>
        <v>0</v>
      </c>
      <c r="AQ873" s="47"/>
      <c r="AR873" s="41">
        <f t="shared" si="391"/>
        <v>0</v>
      </c>
      <c r="AS873" s="39"/>
      <c r="AT873" s="41">
        <f t="shared" si="399"/>
        <v>0</v>
      </c>
      <c r="AU873" s="47"/>
      <c r="AV873" s="41">
        <f t="shared" si="392"/>
        <v>0</v>
      </c>
      <c r="AW873" s="39"/>
      <c r="AX873" s="41">
        <f t="shared" si="400"/>
        <v>0</v>
      </c>
      <c r="AY873" s="47"/>
      <c r="AZ873" s="41">
        <f t="shared" si="393"/>
        <v>0</v>
      </c>
      <c r="BA873" s="39"/>
      <c r="BB873" s="41">
        <f t="shared" si="401"/>
        <v>0</v>
      </c>
      <c r="BC873" s="47"/>
      <c r="BD873" s="41">
        <f t="shared" si="394"/>
        <v>0</v>
      </c>
      <c r="BE873" s="39"/>
      <c r="BF873" s="47"/>
    </row>
    <row r="874" spans="1:58" ht="15.75" customHeight="1" x14ac:dyDescent="0.25">
      <c r="A874" s="44">
        <v>2018</v>
      </c>
      <c r="B874" s="39">
        <v>171670</v>
      </c>
      <c r="C874" s="38" t="s">
        <v>150</v>
      </c>
      <c r="D874" s="38" t="s">
        <v>43</v>
      </c>
      <c r="E874" s="39"/>
      <c r="F874" s="42">
        <f t="shared" si="376"/>
        <v>0</v>
      </c>
      <c r="G874" s="47"/>
      <c r="H874" s="42">
        <f t="shared" si="377"/>
        <v>0</v>
      </c>
      <c r="I874" s="39"/>
      <c r="J874" s="41">
        <f t="shared" si="378"/>
        <v>0</v>
      </c>
      <c r="K874" s="47"/>
      <c r="L874" s="41">
        <f t="shared" si="379"/>
        <v>0</v>
      </c>
      <c r="M874" s="39"/>
      <c r="N874" s="41">
        <f t="shared" si="380"/>
        <v>0</v>
      </c>
      <c r="O874" s="47"/>
      <c r="P874" s="41">
        <f t="shared" si="381"/>
        <v>0</v>
      </c>
      <c r="Q874" s="39"/>
      <c r="R874" s="41">
        <f t="shared" si="382"/>
        <v>0</v>
      </c>
      <c r="S874" s="47"/>
      <c r="T874" s="41">
        <f t="shared" si="383"/>
        <v>0</v>
      </c>
      <c r="U874" s="39"/>
      <c r="V874" s="41">
        <f t="shared" si="384"/>
        <v>0</v>
      </c>
      <c r="W874" s="47"/>
      <c r="X874" s="41">
        <f t="shared" si="385"/>
        <v>0</v>
      </c>
      <c r="Y874" s="39"/>
      <c r="Z874" s="41">
        <f t="shared" si="386"/>
        <v>0</v>
      </c>
      <c r="AA874" s="47"/>
      <c r="AB874" s="41">
        <f t="shared" si="387"/>
        <v>0</v>
      </c>
      <c r="AC874" s="39"/>
      <c r="AD874" s="41">
        <f t="shared" si="395"/>
        <v>0</v>
      </c>
      <c r="AE874" s="47"/>
      <c r="AF874" s="41">
        <f t="shared" si="388"/>
        <v>0</v>
      </c>
      <c r="AG874" s="39"/>
      <c r="AH874" s="41">
        <f t="shared" si="396"/>
        <v>0</v>
      </c>
      <c r="AI874" s="47"/>
      <c r="AJ874" s="41">
        <f t="shared" si="389"/>
        <v>0</v>
      </c>
      <c r="AK874" s="39"/>
      <c r="AL874" s="41">
        <f t="shared" si="397"/>
        <v>0</v>
      </c>
      <c r="AM874" s="47"/>
      <c r="AN874" s="41">
        <f t="shared" si="390"/>
        <v>0</v>
      </c>
      <c r="AO874" s="39"/>
      <c r="AP874" s="41">
        <f t="shared" si="398"/>
        <v>0</v>
      </c>
      <c r="AQ874" s="47"/>
      <c r="AR874" s="41">
        <f t="shared" si="391"/>
        <v>0</v>
      </c>
      <c r="AS874" s="39"/>
      <c r="AT874" s="41">
        <f t="shared" si="399"/>
        <v>0</v>
      </c>
      <c r="AU874" s="47"/>
      <c r="AV874" s="41">
        <f t="shared" si="392"/>
        <v>0</v>
      </c>
      <c r="AW874" s="39"/>
      <c r="AX874" s="41">
        <f t="shared" si="400"/>
        <v>0</v>
      </c>
      <c r="AY874" s="47"/>
      <c r="AZ874" s="41">
        <f t="shared" si="393"/>
        <v>0</v>
      </c>
      <c r="BA874" s="39"/>
      <c r="BB874" s="41">
        <f t="shared" si="401"/>
        <v>0</v>
      </c>
      <c r="BC874" s="47"/>
      <c r="BD874" s="41">
        <f t="shared" si="394"/>
        <v>0</v>
      </c>
      <c r="BE874" s="39"/>
      <c r="BF874" s="47"/>
    </row>
    <row r="875" spans="1:58" ht="15.75" customHeight="1" x14ac:dyDescent="0.25">
      <c r="A875" s="44">
        <v>2018</v>
      </c>
      <c r="B875" s="39">
        <v>170555</v>
      </c>
      <c r="C875" s="38" t="s">
        <v>147</v>
      </c>
      <c r="D875" s="38" t="s">
        <v>44</v>
      </c>
      <c r="E875" s="39"/>
      <c r="F875" s="42">
        <f t="shared" si="376"/>
        <v>0</v>
      </c>
      <c r="G875" s="47"/>
      <c r="H875" s="42">
        <f t="shared" si="377"/>
        <v>0</v>
      </c>
      <c r="I875" s="39"/>
      <c r="J875" s="41">
        <f t="shared" si="378"/>
        <v>0</v>
      </c>
      <c r="K875" s="47"/>
      <c r="L875" s="41">
        <f t="shared" si="379"/>
        <v>0</v>
      </c>
      <c r="M875" s="39"/>
      <c r="N875" s="41">
        <f t="shared" si="380"/>
        <v>0</v>
      </c>
      <c r="O875" s="47"/>
      <c r="P875" s="41">
        <f t="shared" si="381"/>
        <v>0</v>
      </c>
      <c r="Q875" s="39"/>
      <c r="R875" s="41">
        <f t="shared" si="382"/>
        <v>0</v>
      </c>
      <c r="S875" s="47"/>
      <c r="T875" s="41">
        <f t="shared" si="383"/>
        <v>0</v>
      </c>
      <c r="U875" s="39"/>
      <c r="V875" s="41">
        <f t="shared" si="384"/>
        <v>0</v>
      </c>
      <c r="W875" s="47"/>
      <c r="X875" s="41">
        <f t="shared" si="385"/>
        <v>0</v>
      </c>
      <c r="Y875" s="39"/>
      <c r="Z875" s="41">
        <f t="shared" si="386"/>
        <v>0</v>
      </c>
      <c r="AA875" s="47"/>
      <c r="AB875" s="41">
        <f t="shared" si="387"/>
        <v>0</v>
      </c>
      <c r="AC875" s="39"/>
      <c r="AD875" s="41">
        <f t="shared" si="395"/>
        <v>0</v>
      </c>
      <c r="AE875" s="47"/>
      <c r="AF875" s="41">
        <f t="shared" si="388"/>
        <v>0</v>
      </c>
      <c r="AG875" s="39"/>
      <c r="AH875" s="41">
        <f t="shared" si="396"/>
        <v>0</v>
      </c>
      <c r="AI875" s="47"/>
      <c r="AJ875" s="41">
        <f t="shared" si="389"/>
        <v>0</v>
      </c>
      <c r="AK875" s="39"/>
      <c r="AL875" s="41">
        <f t="shared" si="397"/>
        <v>0</v>
      </c>
      <c r="AM875" s="47"/>
      <c r="AN875" s="41">
        <f t="shared" si="390"/>
        <v>0</v>
      </c>
      <c r="AO875" s="39"/>
      <c r="AP875" s="41">
        <f t="shared" si="398"/>
        <v>0</v>
      </c>
      <c r="AQ875" s="47"/>
      <c r="AR875" s="41">
        <f t="shared" si="391"/>
        <v>0</v>
      </c>
      <c r="AS875" s="39"/>
      <c r="AT875" s="41">
        <f t="shared" si="399"/>
        <v>0</v>
      </c>
      <c r="AU875" s="47"/>
      <c r="AV875" s="41">
        <f t="shared" si="392"/>
        <v>0</v>
      </c>
      <c r="AW875" s="39"/>
      <c r="AX875" s="41">
        <f t="shared" si="400"/>
        <v>0</v>
      </c>
      <c r="AY875" s="47"/>
      <c r="AZ875" s="41">
        <f t="shared" si="393"/>
        <v>0</v>
      </c>
      <c r="BA875" s="39"/>
      <c r="BB875" s="41">
        <f t="shared" si="401"/>
        <v>0</v>
      </c>
      <c r="BC875" s="47"/>
      <c r="BD875" s="41">
        <f t="shared" si="394"/>
        <v>0</v>
      </c>
      <c r="BE875" s="39"/>
      <c r="BF875" s="47"/>
    </row>
    <row r="876" spans="1:58" ht="15.75" customHeight="1" x14ac:dyDescent="0.25">
      <c r="A876" s="44">
        <v>2018</v>
      </c>
      <c r="B876" s="39">
        <v>170560</v>
      </c>
      <c r="C876" s="38" t="s">
        <v>147</v>
      </c>
      <c r="D876" s="38" t="s">
        <v>45</v>
      </c>
      <c r="E876" s="39"/>
      <c r="F876" s="42">
        <f t="shared" si="376"/>
        <v>0</v>
      </c>
      <c r="G876" s="47"/>
      <c r="H876" s="42">
        <f t="shared" si="377"/>
        <v>0</v>
      </c>
      <c r="I876" s="39"/>
      <c r="J876" s="41">
        <f t="shared" si="378"/>
        <v>0</v>
      </c>
      <c r="K876" s="47"/>
      <c r="L876" s="41">
        <f t="shared" si="379"/>
        <v>0</v>
      </c>
      <c r="M876" s="39"/>
      <c r="N876" s="41">
        <f t="shared" si="380"/>
        <v>0</v>
      </c>
      <c r="O876" s="47"/>
      <c r="P876" s="41">
        <f t="shared" si="381"/>
        <v>0</v>
      </c>
      <c r="Q876" s="39"/>
      <c r="R876" s="41">
        <f t="shared" si="382"/>
        <v>0</v>
      </c>
      <c r="S876" s="47"/>
      <c r="T876" s="41">
        <f t="shared" si="383"/>
        <v>0</v>
      </c>
      <c r="U876" s="39"/>
      <c r="V876" s="41">
        <f t="shared" si="384"/>
        <v>0</v>
      </c>
      <c r="W876" s="47"/>
      <c r="X876" s="41">
        <f t="shared" si="385"/>
        <v>0</v>
      </c>
      <c r="Y876" s="39"/>
      <c r="Z876" s="41">
        <f t="shared" si="386"/>
        <v>0</v>
      </c>
      <c r="AA876" s="47"/>
      <c r="AB876" s="41">
        <f t="shared" si="387"/>
        <v>0</v>
      </c>
      <c r="AC876" s="39"/>
      <c r="AD876" s="41">
        <f t="shared" si="395"/>
        <v>0</v>
      </c>
      <c r="AE876" s="47"/>
      <c r="AF876" s="41">
        <f t="shared" si="388"/>
        <v>0</v>
      </c>
      <c r="AG876" s="39"/>
      <c r="AH876" s="41">
        <f t="shared" si="396"/>
        <v>0</v>
      </c>
      <c r="AI876" s="47"/>
      <c r="AJ876" s="41">
        <f t="shared" si="389"/>
        <v>0</v>
      </c>
      <c r="AK876" s="39"/>
      <c r="AL876" s="41">
        <f t="shared" si="397"/>
        <v>0</v>
      </c>
      <c r="AM876" s="47"/>
      <c r="AN876" s="41">
        <f t="shared" si="390"/>
        <v>0</v>
      </c>
      <c r="AO876" s="39"/>
      <c r="AP876" s="41">
        <f t="shared" si="398"/>
        <v>0</v>
      </c>
      <c r="AQ876" s="47"/>
      <c r="AR876" s="41">
        <f t="shared" si="391"/>
        <v>0</v>
      </c>
      <c r="AS876" s="39"/>
      <c r="AT876" s="41">
        <f t="shared" si="399"/>
        <v>0</v>
      </c>
      <c r="AU876" s="47"/>
      <c r="AV876" s="41">
        <f t="shared" si="392"/>
        <v>0</v>
      </c>
      <c r="AW876" s="39"/>
      <c r="AX876" s="41">
        <f t="shared" si="400"/>
        <v>0</v>
      </c>
      <c r="AY876" s="47"/>
      <c r="AZ876" s="41">
        <f t="shared" si="393"/>
        <v>0</v>
      </c>
      <c r="BA876" s="39"/>
      <c r="BB876" s="41">
        <f t="shared" si="401"/>
        <v>0</v>
      </c>
      <c r="BC876" s="47"/>
      <c r="BD876" s="41">
        <f t="shared" si="394"/>
        <v>0</v>
      </c>
      <c r="BE876" s="39"/>
      <c r="BF876" s="47"/>
    </row>
    <row r="877" spans="1:58" ht="15.75" customHeight="1" x14ac:dyDescent="0.25">
      <c r="A877" s="44">
        <v>2018</v>
      </c>
      <c r="B877" s="39">
        <v>170600</v>
      </c>
      <c r="C877" s="38" t="s">
        <v>150</v>
      </c>
      <c r="D877" s="38" t="s">
        <v>46</v>
      </c>
      <c r="E877" s="39"/>
      <c r="F877" s="42">
        <f t="shared" si="376"/>
        <v>0</v>
      </c>
      <c r="G877" s="47"/>
      <c r="H877" s="42">
        <f t="shared" si="377"/>
        <v>0</v>
      </c>
      <c r="I877" s="39"/>
      <c r="J877" s="41">
        <f t="shared" si="378"/>
        <v>0</v>
      </c>
      <c r="K877" s="47"/>
      <c r="L877" s="41">
        <f t="shared" si="379"/>
        <v>0</v>
      </c>
      <c r="M877" s="39"/>
      <c r="N877" s="41">
        <f t="shared" si="380"/>
        <v>0</v>
      </c>
      <c r="O877" s="47"/>
      <c r="P877" s="41">
        <f t="shared" si="381"/>
        <v>0</v>
      </c>
      <c r="Q877" s="39"/>
      <c r="R877" s="41">
        <f t="shared" si="382"/>
        <v>0</v>
      </c>
      <c r="S877" s="47"/>
      <c r="T877" s="41">
        <f t="shared" si="383"/>
        <v>0</v>
      </c>
      <c r="U877" s="39"/>
      <c r="V877" s="41">
        <f t="shared" si="384"/>
        <v>0</v>
      </c>
      <c r="W877" s="47"/>
      <c r="X877" s="41">
        <f t="shared" si="385"/>
        <v>0</v>
      </c>
      <c r="Y877" s="39"/>
      <c r="Z877" s="41">
        <f t="shared" si="386"/>
        <v>0</v>
      </c>
      <c r="AA877" s="47"/>
      <c r="AB877" s="41">
        <f t="shared" si="387"/>
        <v>0</v>
      </c>
      <c r="AC877" s="39"/>
      <c r="AD877" s="41">
        <f t="shared" si="395"/>
        <v>0</v>
      </c>
      <c r="AE877" s="47"/>
      <c r="AF877" s="41">
        <f t="shared" si="388"/>
        <v>0</v>
      </c>
      <c r="AG877" s="39"/>
      <c r="AH877" s="41">
        <f t="shared" si="396"/>
        <v>0</v>
      </c>
      <c r="AI877" s="47"/>
      <c r="AJ877" s="41">
        <f t="shared" si="389"/>
        <v>0</v>
      </c>
      <c r="AK877" s="39"/>
      <c r="AL877" s="41">
        <f t="shared" si="397"/>
        <v>0</v>
      </c>
      <c r="AM877" s="47"/>
      <c r="AN877" s="41">
        <f t="shared" si="390"/>
        <v>0</v>
      </c>
      <c r="AO877" s="39"/>
      <c r="AP877" s="41">
        <f t="shared" si="398"/>
        <v>0</v>
      </c>
      <c r="AQ877" s="47"/>
      <c r="AR877" s="41">
        <f t="shared" si="391"/>
        <v>0</v>
      </c>
      <c r="AS877" s="39"/>
      <c r="AT877" s="41">
        <f t="shared" si="399"/>
        <v>0</v>
      </c>
      <c r="AU877" s="47"/>
      <c r="AV877" s="41">
        <f t="shared" si="392"/>
        <v>0</v>
      </c>
      <c r="AW877" s="39"/>
      <c r="AX877" s="41">
        <f t="shared" si="400"/>
        <v>0</v>
      </c>
      <c r="AY877" s="47"/>
      <c r="AZ877" s="41">
        <f t="shared" si="393"/>
        <v>0</v>
      </c>
      <c r="BA877" s="39"/>
      <c r="BB877" s="41">
        <f t="shared" si="401"/>
        <v>0</v>
      </c>
      <c r="BC877" s="47"/>
      <c r="BD877" s="41">
        <f t="shared" si="394"/>
        <v>0</v>
      </c>
      <c r="BE877" s="39"/>
      <c r="BF877" s="47"/>
    </row>
    <row r="878" spans="1:58" ht="15.75" customHeight="1" x14ac:dyDescent="0.25">
      <c r="A878" s="44">
        <v>2018</v>
      </c>
      <c r="B878" s="39">
        <v>170610</v>
      </c>
      <c r="C878" s="38" t="s">
        <v>144</v>
      </c>
      <c r="D878" s="38" t="s">
        <v>47</v>
      </c>
      <c r="E878" s="39"/>
      <c r="F878" s="42">
        <f t="shared" si="376"/>
        <v>0</v>
      </c>
      <c r="G878" s="47"/>
      <c r="H878" s="42">
        <f t="shared" si="377"/>
        <v>0</v>
      </c>
      <c r="I878" s="39"/>
      <c r="J878" s="41">
        <f t="shared" si="378"/>
        <v>0</v>
      </c>
      <c r="K878" s="47"/>
      <c r="L878" s="41">
        <f t="shared" si="379"/>
        <v>0</v>
      </c>
      <c r="M878" s="39"/>
      <c r="N878" s="41">
        <f t="shared" si="380"/>
        <v>0</v>
      </c>
      <c r="O878" s="47"/>
      <c r="P878" s="41">
        <f t="shared" si="381"/>
        <v>0</v>
      </c>
      <c r="Q878" s="39"/>
      <c r="R878" s="41">
        <f t="shared" si="382"/>
        <v>0</v>
      </c>
      <c r="S878" s="47"/>
      <c r="T878" s="41">
        <f t="shared" si="383"/>
        <v>0</v>
      </c>
      <c r="U878" s="39"/>
      <c r="V878" s="41">
        <f t="shared" si="384"/>
        <v>0</v>
      </c>
      <c r="W878" s="47"/>
      <c r="X878" s="41">
        <f t="shared" si="385"/>
        <v>0</v>
      </c>
      <c r="Y878" s="39"/>
      <c r="Z878" s="41">
        <f t="shared" si="386"/>
        <v>0</v>
      </c>
      <c r="AA878" s="47"/>
      <c r="AB878" s="41">
        <f t="shared" si="387"/>
        <v>0</v>
      </c>
      <c r="AC878" s="39"/>
      <c r="AD878" s="41">
        <f t="shared" si="395"/>
        <v>0</v>
      </c>
      <c r="AE878" s="47"/>
      <c r="AF878" s="41">
        <f t="shared" si="388"/>
        <v>0</v>
      </c>
      <c r="AG878" s="39"/>
      <c r="AH878" s="41">
        <f t="shared" si="396"/>
        <v>0</v>
      </c>
      <c r="AI878" s="47"/>
      <c r="AJ878" s="41">
        <f t="shared" si="389"/>
        <v>0</v>
      </c>
      <c r="AK878" s="39"/>
      <c r="AL878" s="41">
        <f t="shared" si="397"/>
        <v>0</v>
      </c>
      <c r="AM878" s="47"/>
      <c r="AN878" s="41">
        <f t="shared" si="390"/>
        <v>0</v>
      </c>
      <c r="AO878" s="39"/>
      <c r="AP878" s="41">
        <f t="shared" si="398"/>
        <v>0</v>
      </c>
      <c r="AQ878" s="47"/>
      <c r="AR878" s="41">
        <f t="shared" si="391"/>
        <v>0</v>
      </c>
      <c r="AS878" s="39"/>
      <c r="AT878" s="41">
        <f t="shared" si="399"/>
        <v>0</v>
      </c>
      <c r="AU878" s="47"/>
      <c r="AV878" s="41">
        <f t="shared" si="392"/>
        <v>0</v>
      </c>
      <c r="AW878" s="39"/>
      <c r="AX878" s="41">
        <f t="shared" si="400"/>
        <v>0</v>
      </c>
      <c r="AY878" s="47"/>
      <c r="AZ878" s="41">
        <f t="shared" si="393"/>
        <v>0</v>
      </c>
      <c r="BA878" s="39"/>
      <c r="BB878" s="41">
        <f t="shared" si="401"/>
        <v>0</v>
      </c>
      <c r="BC878" s="47"/>
      <c r="BD878" s="41">
        <f t="shared" si="394"/>
        <v>0</v>
      </c>
      <c r="BE878" s="39"/>
      <c r="BF878" s="47"/>
    </row>
    <row r="879" spans="1:58" ht="15.75" customHeight="1" x14ac:dyDescent="0.25">
      <c r="A879" s="44">
        <v>2018</v>
      </c>
      <c r="B879" s="39">
        <v>170625</v>
      </c>
      <c r="C879" s="38" t="s">
        <v>146</v>
      </c>
      <c r="D879" s="38" t="s">
        <v>48</v>
      </c>
      <c r="E879" s="39"/>
      <c r="F879" s="42">
        <f t="shared" si="376"/>
        <v>0</v>
      </c>
      <c r="G879" s="47"/>
      <c r="H879" s="42">
        <f t="shared" si="377"/>
        <v>0</v>
      </c>
      <c r="I879" s="39"/>
      <c r="J879" s="41">
        <f t="shared" si="378"/>
        <v>0</v>
      </c>
      <c r="K879" s="47"/>
      <c r="L879" s="41">
        <f t="shared" si="379"/>
        <v>0</v>
      </c>
      <c r="M879" s="39"/>
      <c r="N879" s="41">
        <f t="shared" si="380"/>
        <v>0</v>
      </c>
      <c r="O879" s="47"/>
      <c r="P879" s="41">
        <f t="shared" si="381"/>
        <v>0</v>
      </c>
      <c r="Q879" s="39"/>
      <c r="R879" s="41">
        <f t="shared" si="382"/>
        <v>0</v>
      </c>
      <c r="S879" s="47"/>
      <c r="T879" s="41">
        <f t="shared" si="383"/>
        <v>0</v>
      </c>
      <c r="U879" s="39"/>
      <c r="V879" s="41">
        <f t="shared" si="384"/>
        <v>0</v>
      </c>
      <c r="W879" s="47"/>
      <c r="X879" s="41">
        <f t="shared" si="385"/>
        <v>0</v>
      </c>
      <c r="Y879" s="39"/>
      <c r="Z879" s="41">
        <f t="shared" si="386"/>
        <v>0</v>
      </c>
      <c r="AA879" s="47"/>
      <c r="AB879" s="41">
        <f t="shared" si="387"/>
        <v>0</v>
      </c>
      <c r="AC879" s="39"/>
      <c r="AD879" s="41">
        <f t="shared" si="395"/>
        <v>0</v>
      </c>
      <c r="AE879" s="47"/>
      <c r="AF879" s="41">
        <f t="shared" si="388"/>
        <v>0</v>
      </c>
      <c r="AG879" s="39"/>
      <c r="AH879" s="41">
        <f t="shared" si="396"/>
        <v>0</v>
      </c>
      <c r="AI879" s="47"/>
      <c r="AJ879" s="41">
        <f t="shared" si="389"/>
        <v>0</v>
      </c>
      <c r="AK879" s="39"/>
      <c r="AL879" s="41">
        <f t="shared" si="397"/>
        <v>0</v>
      </c>
      <c r="AM879" s="47"/>
      <c r="AN879" s="41">
        <f t="shared" si="390"/>
        <v>0</v>
      </c>
      <c r="AO879" s="39"/>
      <c r="AP879" s="41">
        <f t="shared" si="398"/>
        <v>0</v>
      </c>
      <c r="AQ879" s="47"/>
      <c r="AR879" s="41">
        <f t="shared" si="391"/>
        <v>0</v>
      </c>
      <c r="AS879" s="39"/>
      <c r="AT879" s="41">
        <f t="shared" si="399"/>
        <v>0</v>
      </c>
      <c r="AU879" s="47"/>
      <c r="AV879" s="41">
        <f t="shared" si="392"/>
        <v>0</v>
      </c>
      <c r="AW879" s="39"/>
      <c r="AX879" s="41">
        <f t="shared" si="400"/>
        <v>0</v>
      </c>
      <c r="AY879" s="47"/>
      <c r="AZ879" s="41">
        <f t="shared" si="393"/>
        <v>0</v>
      </c>
      <c r="BA879" s="39"/>
      <c r="BB879" s="41">
        <f t="shared" si="401"/>
        <v>0</v>
      </c>
      <c r="BC879" s="47"/>
      <c r="BD879" s="41">
        <f t="shared" si="394"/>
        <v>0</v>
      </c>
      <c r="BE879" s="39"/>
      <c r="BF879" s="47"/>
    </row>
    <row r="880" spans="1:58" ht="15.75" customHeight="1" x14ac:dyDescent="0.25">
      <c r="A880" s="44">
        <v>2018</v>
      </c>
      <c r="B880" s="39">
        <v>170650</v>
      </c>
      <c r="C880" s="38" t="s">
        <v>149</v>
      </c>
      <c r="D880" s="38" t="s">
        <v>49</v>
      </c>
      <c r="E880" s="39"/>
      <c r="F880" s="42">
        <f t="shared" si="376"/>
        <v>0</v>
      </c>
      <c r="G880" s="47"/>
      <c r="H880" s="42">
        <f t="shared" si="377"/>
        <v>0</v>
      </c>
      <c r="I880" s="39"/>
      <c r="J880" s="41">
        <f t="shared" si="378"/>
        <v>0</v>
      </c>
      <c r="K880" s="47"/>
      <c r="L880" s="41">
        <f t="shared" si="379"/>
        <v>0</v>
      </c>
      <c r="M880" s="39"/>
      <c r="N880" s="41">
        <f t="shared" si="380"/>
        <v>0</v>
      </c>
      <c r="O880" s="47"/>
      <c r="P880" s="41">
        <f t="shared" si="381"/>
        <v>0</v>
      </c>
      <c r="Q880" s="39"/>
      <c r="R880" s="41">
        <f t="shared" si="382"/>
        <v>0</v>
      </c>
      <c r="S880" s="47"/>
      <c r="T880" s="41">
        <f t="shared" si="383"/>
        <v>0</v>
      </c>
      <c r="U880" s="39"/>
      <c r="V880" s="41">
        <f t="shared" si="384"/>
        <v>0</v>
      </c>
      <c r="W880" s="47"/>
      <c r="X880" s="41">
        <f t="shared" si="385"/>
        <v>0</v>
      </c>
      <c r="Y880" s="39"/>
      <c r="Z880" s="41">
        <f t="shared" si="386"/>
        <v>0</v>
      </c>
      <c r="AA880" s="47"/>
      <c r="AB880" s="41">
        <f t="shared" si="387"/>
        <v>0</v>
      </c>
      <c r="AC880" s="39"/>
      <c r="AD880" s="41">
        <f t="shared" si="395"/>
        <v>0</v>
      </c>
      <c r="AE880" s="47"/>
      <c r="AF880" s="41">
        <f t="shared" si="388"/>
        <v>0</v>
      </c>
      <c r="AG880" s="39"/>
      <c r="AH880" s="41">
        <f t="shared" si="396"/>
        <v>0</v>
      </c>
      <c r="AI880" s="47"/>
      <c r="AJ880" s="41">
        <f t="shared" si="389"/>
        <v>0</v>
      </c>
      <c r="AK880" s="39"/>
      <c r="AL880" s="41">
        <f t="shared" si="397"/>
        <v>0</v>
      </c>
      <c r="AM880" s="47"/>
      <c r="AN880" s="41">
        <f t="shared" si="390"/>
        <v>0</v>
      </c>
      <c r="AO880" s="39"/>
      <c r="AP880" s="41">
        <f t="shared" si="398"/>
        <v>0</v>
      </c>
      <c r="AQ880" s="47"/>
      <c r="AR880" s="41">
        <f t="shared" si="391"/>
        <v>0</v>
      </c>
      <c r="AS880" s="39"/>
      <c r="AT880" s="41">
        <f t="shared" si="399"/>
        <v>0</v>
      </c>
      <c r="AU880" s="47"/>
      <c r="AV880" s="41">
        <f t="shared" si="392"/>
        <v>0</v>
      </c>
      <c r="AW880" s="39"/>
      <c r="AX880" s="41">
        <f t="shared" si="400"/>
        <v>0</v>
      </c>
      <c r="AY880" s="47"/>
      <c r="AZ880" s="41">
        <f t="shared" si="393"/>
        <v>0</v>
      </c>
      <c r="BA880" s="39"/>
      <c r="BB880" s="41">
        <f t="shared" si="401"/>
        <v>0</v>
      </c>
      <c r="BC880" s="47"/>
      <c r="BD880" s="41">
        <f t="shared" si="394"/>
        <v>0</v>
      </c>
      <c r="BE880" s="39"/>
      <c r="BF880" s="47"/>
    </row>
    <row r="881" spans="1:58" ht="15.75" customHeight="1" x14ac:dyDescent="0.25">
      <c r="A881" s="44">
        <v>2018</v>
      </c>
      <c r="B881" s="39">
        <v>170700</v>
      </c>
      <c r="C881" s="38" t="s">
        <v>147</v>
      </c>
      <c r="D881" s="38" t="s">
        <v>50</v>
      </c>
      <c r="E881" s="39"/>
      <c r="F881" s="42">
        <f t="shared" si="376"/>
        <v>0</v>
      </c>
      <c r="G881" s="47"/>
      <c r="H881" s="42">
        <f t="shared" si="377"/>
        <v>0</v>
      </c>
      <c r="I881" s="39"/>
      <c r="J881" s="41">
        <f t="shared" si="378"/>
        <v>0</v>
      </c>
      <c r="K881" s="47"/>
      <c r="L881" s="41">
        <f t="shared" si="379"/>
        <v>0</v>
      </c>
      <c r="M881" s="39"/>
      <c r="N881" s="41">
        <f t="shared" si="380"/>
        <v>0</v>
      </c>
      <c r="O881" s="47"/>
      <c r="P881" s="41">
        <f t="shared" si="381"/>
        <v>0</v>
      </c>
      <c r="Q881" s="39"/>
      <c r="R881" s="41">
        <f t="shared" si="382"/>
        <v>0</v>
      </c>
      <c r="S881" s="47"/>
      <c r="T881" s="41">
        <f t="shared" si="383"/>
        <v>0</v>
      </c>
      <c r="U881" s="39"/>
      <c r="V881" s="41">
        <f t="shared" si="384"/>
        <v>0</v>
      </c>
      <c r="W881" s="47"/>
      <c r="X881" s="41">
        <f t="shared" si="385"/>
        <v>0</v>
      </c>
      <c r="Y881" s="39"/>
      <c r="Z881" s="41">
        <f t="shared" si="386"/>
        <v>0</v>
      </c>
      <c r="AA881" s="47"/>
      <c r="AB881" s="41">
        <f t="shared" si="387"/>
        <v>0</v>
      </c>
      <c r="AC881" s="39"/>
      <c r="AD881" s="41">
        <f t="shared" ref="AD881:AD944" si="402">IFERROR(AC881/$BE881,0)</f>
        <v>0</v>
      </c>
      <c r="AE881" s="47"/>
      <c r="AF881" s="41">
        <f t="shared" si="388"/>
        <v>0</v>
      </c>
      <c r="AG881" s="39"/>
      <c r="AH881" s="41">
        <f t="shared" ref="AH881:AH944" si="403">IFERROR(AG881/$BE881,0)</f>
        <v>0</v>
      </c>
      <c r="AI881" s="47"/>
      <c r="AJ881" s="41">
        <f t="shared" si="389"/>
        <v>0</v>
      </c>
      <c r="AK881" s="39"/>
      <c r="AL881" s="41">
        <f t="shared" ref="AL881:AL944" si="404">IFERROR(AK881/$BE881,0)</f>
        <v>0</v>
      </c>
      <c r="AM881" s="47"/>
      <c r="AN881" s="41">
        <f t="shared" si="390"/>
        <v>0</v>
      </c>
      <c r="AO881" s="39"/>
      <c r="AP881" s="41">
        <f t="shared" ref="AP881:AP944" si="405">IFERROR(AO881/$BE881,0)</f>
        <v>0</v>
      </c>
      <c r="AQ881" s="47"/>
      <c r="AR881" s="41">
        <f t="shared" si="391"/>
        <v>0</v>
      </c>
      <c r="AS881" s="39"/>
      <c r="AT881" s="41">
        <f t="shared" ref="AT881:AT944" si="406">IFERROR(AS881/$BE881,0)</f>
        <v>0</v>
      </c>
      <c r="AU881" s="47"/>
      <c r="AV881" s="41">
        <f t="shared" si="392"/>
        <v>0</v>
      </c>
      <c r="AW881" s="39"/>
      <c r="AX881" s="41">
        <f t="shared" ref="AX881:AX944" si="407">IFERROR(AW881/$BE881,0)</f>
        <v>0</v>
      </c>
      <c r="AY881" s="47"/>
      <c r="AZ881" s="41">
        <f t="shared" si="393"/>
        <v>0</v>
      </c>
      <c r="BA881" s="39"/>
      <c r="BB881" s="41">
        <f t="shared" ref="BB881:BB944" si="408">IFERROR(BA881/$BE881,0)</f>
        <v>0</v>
      </c>
      <c r="BC881" s="47"/>
      <c r="BD881" s="41">
        <f t="shared" si="394"/>
        <v>0</v>
      </c>
      <c r="BE881" s="39"/>
      <c r="BF881" s="47"/>
    </row>
    <row r="882" spans="1:58" ht="15.75" customHeight="1" x14ac:dyDescent="0.25">
      <c r="A882" s="44">
        <v>2018</v>
      </c>
      <c r="B882" s="39">
        <v>170710</v>
      </c>
      <c r="C882" s="38" t="s">
        <v>144</v>
      </c>
      <c r="D882" s="38" t="s">
        <v>51</v>
      </c>
      <c r="E882" s="39"/>
      <c r="F882" s="42">
        <f t="shared" si="376"/>
        <v>0</v>
      </c>
      <c r="G882" s="47"/>
      <c r="H882" s="42">
        <f t="shared" si="377"/>
        <v>0</v>
      </c>
      <c r="I882" s="39"/>
      <c r="J882" s="41">
        <f t="shared" si="378"/>
        <v>0</v>
      </c>
      <c r="K882" s="47"/>
      <c r="L882" s="41">
        <f t="shared" si="379"/>
        <v>0</v>
      </c>
      <c r="M882" s="39"/>
      <c r="N882" s="41">
        <f t="shared" si="380"/>
        <v>0</v>
      </c>
      <c r="O882" s="47"/>
      <c r="P882" s="41">
        <f t="shared" si="381"/>
        <v>0</v>
      </c>
      <c r="Q882" s="39"/>
      <c r="R882" s="41">
        <f t="shared" si="382"/>
        <v>0</v>
      </c>
      <c r="S882" s="47"/>
      <c r="T882" s="41">
        <f t="shared" si="383"/>
        <v>0</v>
      </c>
      <c r="U882" s="39"/>
      <c r="V882" s="41">
        <f t="shared" si="384"/>
        <v>0</v>
      </c>
      <c r="W882" s="47"/>
      <c r="X882" s="41">
        <f t="shared" si="385"/>
        <v>0</v>
      </c>
      <c r="Y882" s="39"/>
      <c r="Z882" s="41">
        <f t="shared" si="386"/>
        <v>0</v>
      </c>
      <c r="AA882" s="47"/>
      <c r="AB882" s="41">
        <f t="shared" si="387"/>
        <v>0</v>
      </c>
      <c r="AC882" s="39"/>
      <c r="AD882" s="41">
        <f t="shared" si="402"/>
        <v>0</v>
      </c>
      <c r="AE882" s="47"/>
      <c r="AF882" s="41">
        <f t="shared" si="388"/>
        <v>0</v>
      </c>
      <c r="AG882" s="39"/>
      <c r="AH882" s="41">
        <f t="shared" si="403"/>
        <v>0</v>
      </c>
      <c r="AI882" s="47"/>
      <c r="AJ882" s="41">
        <f t="shared" si="389"/>
        <v>0</v>
      </c>
      <c r="AK882" s="39"/>
      <c r="AL882" s="41">
        <f t="shared" si="404"/>
        <v>0</v>
      </c>
      <c r="AM882" s="47"/>
      <c r="AN882" s="41">
        <f t="shared" si="390"/>
        <v>0</v>
      </c>
      <c r="AO882" s="39"/>
      <c r="AP882" s="41">
        <f t="shared" si="405"/>
        <v>0</v>
      </c>
      <c r="AQ882" s="47"/>
      <c r="AR882" s="41">
        <f t="shared" si="391"/>
        <v>0</v>
      </c>
      <c r="AS882" s="39"/>
      <c r="AT882" s="41">
        <f t="shared" si="406"/>
        <v>0</v>
      </c>
      <c r="AU882" s="47"/>
      <c r="AV882" s="41">
        <f t="shared" si="392"/>
        <v>0</v>
      </c>
      <c r="AW882" s="39"/>
      <c r="AX882" s="41">
        <f t="shared" si="407"/>
        <v>0</v>
      </c>
      <c r="AY882" s="47"/>
      <c r="AZ882" s="41">
        <f t="shared" si="393"/>
        <v>0</v>
      </c>
      <c r="BA882" s="39"/>
      <c r="BB882" s="41">
        <f t="shared" si="408"/>
        <v>0</v>
      </c>
      <c r="BC882" s="47"/>
      <c r="BD882" s="41">
        <f t="shared" si="394"/>
        <v>0</v>
      </c>
      <c r="BE882" s="39"/>
      <c r="BF882" s="47"/>
    </row>
    <row r="883" spans="1:58" ht="15.75" customHeight="1" x14ac:dyDescent="0.25">
      <c r="A883" s="44">
        <v>2018</v>
      </c>
      <c r="B883" s="39">
        <v>170720</v>
      </c>
      <c r="C883" s="38" t="s">
        <v>144</v>
      </c>
      <c r="D883" s="38" t="s">
        <v>52</v>
      </c>
      <c r="E883" s="39"/>
      <c r="F883" s="42">
        <f t="shared" si="376"/>
        <v>0</v>
      </c>
      <c r="G883" s="47"/>
      <c r="H883" s="42">
        <f t="shared" si="377"/>
        <v>0</v>
      </c>
      <c r="I883" s="39"/>
      <c r="J883" s="41">
        <f t="shared" si="378"/>
        <v>0</v>
      </c>
      <c r="K883" s="47"/>
      <c r="L883" s="41">
        <f t="shared" si="379"/>
        <v>0</v>
      </c>
      <c r="M883" s="39"/>
      <c r="N883" s="41">
        <f t="shared" si="380"/>
        <v>0</v>
      </c>
      <c r="O883" s="47"/>
      <c r="P883" s="41">
        <f t="shared" si="381"/>
        <v>0</v>
      </c>
      <c r="Q883" s="39"/>
      <c r="R883" s="41">
        <f t="shared" si="382"/>
        <v>0</v>
      </c>
      <c r="S883" s="47"/>
      <c r="T883" s="41">
        <f t="shared" si="383"/>
        <v>0</v>
      </c>
      <c r="U883" s="39"/>
      <c r="V883" s="41">
        <f t="shared" si="384"/>
        <v>0</v>
      </c>
      <c r="W883" s="47"/>
      <c r="X883" s="41">
        <f t="shared" si="385"/>
        <v>0</v>
      </c>
      <c r="Y883" s="39"/>
      <c r="Z883" s="41">
        <f t="shared" si="386"/>
        <v>0</v>
      </c>
      <c r="AA883" s="47"/>
      <c r="AB883" s="41">
        <f t="shared" si="387"/>
        <v>0</v>
      </c>
      <c r="AC883" s="39"/>
      <c r="AD883" s="41">
        <f t="shared" si="402"/>
        <v>0</v>
      </c>
      <c r="AE883" s="47"/>
      <c r="AF883" s="41">
        <f t="shared" si="388"/>
        <v>0</v>
      </c>
      <c r="AG883" s="39"/>
      <c r="AH883" s="41">
        <f t="shared" si="403"/>
        <v>0</v>
      </c>
      <c r="AI883" s="47"/>
      <c r="AJ883" s="41">
        <f t="shared" si="389"/>
        <v>0</v>
      </c>
      <c r="AK883" s="39"/>
      <c r="AL883" s="41">
        <f t="shared" si="404"/>
        <v>0</v>
      </c>
      <c r="AM883" s="47"/>
      <c r="AN883" s="41">
        <f t="shared" si="390"/>
        <v>0</v>
      </c>
      <c r="AO883" s="39"/>
      <c r="AP883" s="41">
        <f t="shared" si="405"/>
        <v>0</v>
      </c>
      <c r="AQ883" s="47"/>
      <c r="AR883" s="41">
        <f t="shared" si="391"/>
        <v>0</v>
      </c>
      <c r="AS883" s="39"/>
      <c r="AT883" s="41">
        <f t="shared" si="406"/>
        <v>0</v>
      </c>
      <c r="AU883" s="47"/>
      <c r="AV883" s="41">
        <f t="shared" si="392"/>
        <v>0</v>
      </c>
      <c r="AW883" s="39"/>
      <c r="AX883" s="41">
        <f t="shared" si="407"/>
        <v>0</v>
      </c>
      <c r="AY883" s="47"/>
      <c r="AZ883" s="41">
        <f t="shared" si="393"/>
        <v>0</v>
      </c>
      <c r="BA883" s="39"/>
      <c r="BB883" s="41">
        <f t="shared" si="408"/>
        <v>0</v>
      </c>
      <c r="BC883" s="47"/>
      <c r="BD883" s="41">
        <f t="shared" si="394"/>
        <v>0</v>
      </c>
      <c r="BE883" s="39"/>
      <c r="BF883" s="47"/>
    </row>
    <row r="884" spans="1:58" ht="15.75" customHeight="1" x14ac:dyDescent="0.25">
      <c r="A884" s="44">
        <v>2018</v>
      </c>
      <c r="B884" s="39">
        <v>170730</v>
      </c>
      <c r="C884" s="38" t="s">
        <v>146</v>
      </c>
      <c r="D884" s="38" t="s">
        <v>53</v>
      </c>
      <c r="E884" s="39"/>
      <c r="F884" s="42">
        <f t="shared" si="376"/>
        <v>0</v>
      </c>
      <c r="G884" s="47"/>
      <c r="H884" s="42">
        <f t="shared" si="377"/>
        <v>0</v>
      </c>
      <c r="I884" s="39"/>
      <c r="J884" s="41">
        <f t="shared" si="378"/>
        <v>0</v>
      </c>
      <c r="K884" s="47"/>
      <c r="L884" s="41">
        <f t="shared" si="379"/>
        <v>0</v>
      </c>
      <c r="M884" s="39"/>
      <c r="N884" s="41">
        <f t="shared" si="380"/>
        <v>0</v>
      </c>
      <c r="O884" s="47"/>
      <c r="P884" s="41">
        <f t="shared" si="381"/>
        <v>0</v>
      </c>
      <c r="Q884" s="39"/>
      <c r="R884" s="41">
        <f t="shared" si="382"/>
        <v>0</v>
      </c>
      <c r="S884" s="47"/>
      <c r="T884" s="41">
        <f t="shared" si="383"/>
        <v>0</v>
      </c>
      <c r="U884" s="39"/>
      <c r="V884" s="41">
        <f t="shared" si="384"/>
        <v>0</v>
      </c>
      <c r="W884" s="47"/>
      <c r="X884" s="41">
        <f t="shared" si="385"/>
        <v>0</v>
      </c>
      <c r="Y884" s="39"/>
      <c r="Z884" s="41">
        <f t="shared" si="386"/>
        <v>0</v>
      </c>
      <c r="AA884" s="47"/>
      <c r="AB884" s="41">
        <f t="shared" si="387"/>
        <v>0</v>
      </c>
      <c r="AC884" s="39"/>
      <c r="AD884" s="41">
        <f t="shared" si="402"/>
        <v>0</v>
      </c>
      <c r="AE884" s="47"/>
      <c r="AF884" s="41">
        <f t="shared" si="388"/>
        <v>0</v>
      </c>
      <c r="AG884" s="39"/>
      <c r="AH884" s="41">
        <f t="shared" si="403"/>
        <v>0</v>
      </c>
      <c r="AI884" s="47"/>
      <c r="AJ884" s="41">
        <f t="shared" si="389"/>
        <v>0</v>
      </c>
      <c r="AK884" s="39"/>
      <c r="AL884" s="41">
        <f t="shared" si="404"/>
        <v>0</v>
      </c>
      <c r="AM884" s="47"/>
      <c r="AN884" s="41">
        <f t="shared" si="390"/>
        <v>0</v>
      </c>
      <c r="AO884" s="39"/>
      <c r="AP884" s="41">
        <f t="shared" si="405"/>
        <v>0</v>
      </c>
      <c r="AQ884" s="47"/>
      <c r="AR884" s="41">
        <f t="shared" si="391"/>
        <v>0</v>
      </c>
      <c r="AS884" s="39"/>
      <c r="AT884" s="41">
        <f t="shared" si="406"/>
        <v>0</v>
      </c>
      <c r="AU884" s="47"/>
      <c r="AV884" s="41">
        <f t="shared" si="392"/>
        <v>0</v>
      </c>
      <c r="AW884" s="39"/>
      <c r="AX884" s="41">
        <f t="shared" si="407"/>
        <v>0</v>
      </c>
      <c r="AY884" s="47"/>
      <c r="AZ884" s="41">
        <f t="shared" si="393"/>
        <v>0</v>
      </c>
      <c r="BA884" s="39"/>
      <c r="BB884" s="41">
        <f t="shared" si="408"/>
        <v>0</v>
      </c>
      <c r="BC884" s="47"/>
      <c r="BD884" s="41">
        <f t="shared" si="394"/>
        <v>0</v>
      </c>
      <c r="BE884" s="39"/>
      <c r="BF884" s="47"/>
    </row>
    <row r="885" spans="1:58" ht="15.75" customHeight="1" x14ac:dyDescent="0.25">
      <c r="A885" s="44">
        <v>2018</v>
      </c>
      <c r="B885" s="39">
        <v>170740</v>
      </c>
      <c r="C885" s="38" t="s">
        <v>145</v>
      </c>
      <c r="D885" s="38" t="s">
        <v>54</v>
      </c>
      <c r="E885" s="39"/>
      <c r="F885" s="42">
        <f t="shared" si="376"/>
        <v>0</v>
      </c>
      <c r="G885" s="47"/>
      <c r="H885" s="42">
        <f t="shared" si="377"/>
        <v>0</v>
      </c>
      <c r="I885" s="39"/>
      <c r="J885" s="41">
        <f t="shared" si="378"/>
        <v>0</v>
      </c>
      <c r="K885" s="47"/>
      <c r="L885" s="41">
        <f t="shared" si="379"/>
        <v>0</v>
      </c>
      <c r="M885" s="39"/>
      <c r="N885" s="41">
        <f t="shared" si="380"/>
        <v>0</v>
      </c>
      <c r="O885" s="47"/>
      <c r="P885" s="41">
        <f t="shared" si="381"/>
        <v>0</v>
      </c>
      <c r="Q885" s="39"/>
      <c r="R885" s="41">
        <f t="shared" si="382"/>
        <v>0</v>
      </c>
      <c r="S885" s="47"/>
      <c r="T885" s="41">
        <f t="shared" si="383"/>
        <v>0</v>
      </c>
      <c r="U885" s="39"/>
      <c r="V885" s="41">
        <f t="shared" si="384"/>
        <v>0</v>
      </c>
      <c r="W885" s="47"/>
      <c r="X885" s="41">
        <f t="shared" si="385"/>
        <v>0</v>
      </c>
      <c r="Y885" s="39"/>
      <c r="Z885" s="41">
        <f t="shared" si="386"/>
        <v>0</v>
      </c>
      <c r="AA885" s="47"/>
      <c r="AB885" s="41">
        <f t="shared" si="387"/>
        <v>0</v>
      </c>
      <c r="AC885" s="39"/>
      <c r="AD885" s="41">
        <f t="shared" si="402"/>
        <v>0</v>
      </c>
      <c r="AE885" s="47"/>
      <c r="AF885" s="41">
        <f t="shared" si="388"/>
        <v>0</v>
      </c>
      <c r="AG885" s="39"/>
      <c r="AH885" s="41">
        <f t="shared" si="403"/>
        <v>0</v>
      </c>
      <c r="AI885" s="47"/>
      <c r="AJ885" s="41">
        <f t="shared" si="389"/>
        <v>0</v>
      </c>
      <c r="AK885" s="39"/>
      <c r="AL885" s="41">
        <f t="shared" si="404"/>
        <v>0</v>
      </c>
      <c r="AM885" s="47"/>
      <c r="AN885" s="41">
        <f t="shared" si="390"/>
        <v>0</v>
      </c>
      <c r="AO885" s="39"/>
      <c r="AP885" s="41">
        <f t="shared" si="405"/>
        <v>0</v>
      </c>
      <c r="AQ885" s="47"/>
      <c r="AR885" s="41">
        <f t="shared" si="391"/>
        <v>0</v>
      </c>
      <c r="AS885" s="39"/>
      <c r="AT885" s="41">
        <f t="shared" si="406"/>
        <v>0</v>
      </c>
      <c r="AU885" s="47"/>
      <c r="AV885" s="41">
        <f t="shared" si="392"/>
        <v>0</v>
      </c>
      <c r="AW885" s="39"/>
      <c r="AX885" s="41">
        <f t="shared" si="407"/>
        <v>0</v>
      </c>
      <c r="AY885" s="47"/>
      <c r="AZ885" s="41">
        <f t="shared" si="393"/>
        <v>0</v>
      </c>
      <c r="BA885" s="39"/>
      <c r="BB885" s="41">
        <f t="shared" si="408"/>
        <v>0</v>
      </c>
      <c r="BC885" s="47"/>
      <c r="BD885" s="41">
        <f t="shared" si="394"/>
        <v>0</v>
      </c>
      <c r="BE885" s="39"/>
      <c r="BF885" s="47"/>
    </row>
    <row r="886" spans="1:58" ht="15.75" customHeight="1" x14ac:dyDescent="0.25">
      <c r="A886" s="44">
        <v>2018</v>
      </c>
      <c r="B886" s="39">
        <v>170755</v>
      </c>
      <c r="C886" s="38" t="s">
        <v>151</v>
      </c>
      <c r="D886" s="38" t="s">
        <v>55</v>
      </c>
      <c r="E886" s="39"/>
      <c r="F886" s="42">
        <f t="shared" si="376"/>
        <v>0</v>
      </c>
      <c r="G886" s="47"/>
      <c r="H886" s="42">
        <f t="shared" si="377"/>
        <v>0</v>
      </c>
      <c r="I886" s="39"/>
      <c r="J886" s="41">
        <f t="shared" si="378"/>
        <v>0</v>
      </c>
      <c r="K886" s="47"/>
      <c r="L886" s="41">
        <f t="shared" si="379"/>
        <v>0</v>
      </c>
      <c r="M886" s="39"/>
      <c r="N886" s="41">
        <f t="shared" si="380"/>
        <v>0</v>
      </c>
      <c r="O886" s="47"/>
      <c r="P886" s="41">
        <f t="shared" si="381"/>
        <v>0</v>
      </c>
      <c r="Q886" s="39"/>
      <c r="R886" s="41">
        <f t="shared" si="382"/>
        <v>0</v>
      </c>
      <c r="S886" s="47"/>
      <c r="T886" s="41">
        <f t="shared" si="383"/>
        <v>0</v>
      </c>
      <c r="U886" s="39"/>
      <c r="V886" s="41">
        <f t="shared" si="384"/>
        <v>0</v>
      </c>
      <c r="W886" s="47"/>
      <c r="X886" s="41">
        <f t="shared" si="385"/>
        <v>0</v>
      </c>
      <c r="Y886" s="39"/>
      <c r="Z886" s="41">
        <f t="shared" si="386"/>
        <v>0</v>
      </c>
      <c r="AA886" s="47"/>
      <c r="AB886" s="41">
        <f t="shared" si="387"/>
        <v>0</v>
      </c>
      <c r="AC886" s="39"/>
      <c r="AD886" s="41">
        <f t="shared" si="402"/>
        <v>0</v>
      </c>
      <c r="AE886" s="47"/>
      <c r="AF886" s="41">
        <f t="shared" si="388"/>
        <v>0</v>
      </c>
      <c r="AG886" s="39"/>
      <c r="AH886" s="41">
        <f t="shared" si="403"/>
        <v>0</v>
      </c>
      <c r="AI886" s="47"/>
      <c r="AJ886" s="41">
        <f t="shared" si="389"/>
        <v>0</v>
      </c>
      <c r="AK886" s="39"/>
      <c r="AL886" s="41">
        <f t="shared" si="404"/>
        <v>0</v>
      </c>
      <c r="AM886" s="47"/>
      <c r="AN886" s="41">
        <f t="shared" si="390"/>
        <v>0</v>
      </c>
      <c r="AO886" s="39"/>
      <c r="AP886" s="41">
        <f t="shared" si="405"/>
        <v>0</v>
      </c>
      <c r="AQ886" s="47"/>
      <c r="AR886" s="41">
        <f t="shared" si="391"/>
        <v>0</v>
      </c>
      <c r="AS886" s="39"/>
      <c r="AT886" s="41">
        <f t="shared" si="406"/>
        <v>0</v>
      </c>
      <c r="AU886" s="47"/>
      <c r="AV886" s="41">
        <f t="shared" si="392"/>
        <v>0</v>
      </c>
      <c r="AW886" s="39"/>
      <c r="AX886" s="41">
        <f t="shared" si="407"/>
        <v>0</v>
      </c>
      <c r="AY886" s="47"/>
      <c r="AZ886" s="41">
        <f t="shared" si="393"/>
        <v>0</v>
      </c>
      <c r="BA886" s="39"/>
      <c r="BB886" s="41">
        <f t="shared" si="408"/>
        <v>0</v>
      </c>
      <c r="BC886" s="47"/>
      <c r="BD886" s="41">
        <f t="shared" si="394"/>
        <v>0</v>
      </c>
      <c r="BE886" s="39"/>
      <c r="BF886" s="47"/>
    </row>
    <row r="887" spans="1:58" ht="15.75" customHeight="1" x14ac:dyDescent="0.25">
      <c r="A887" s="44">
        <v>2018</v>
      </c>
      <c r="B887" s="39">
        <v>170765</v>
      </c>
      <c r="C887" s="38" t="s">
        <v>146</v>
      </c>
      <c r="D887" s="38" t="s">
        <v>56</v>
      </c>
      <c r="E887" s="39"/>
      <c r="F887" s="42">
        <f t="shared" si="376"/>
        <v>0</v>
      </c>
      <c r="G887" s="47"/>
      <c r="H887" s="42">
        <f t="shared" si="377"/>
        <v>0</v>
      </c>
      <c r="I887" s="39"/>
      <c r="J887" s="41">
        <f t="shared" si="378"/>
        <v>0</v>
      </c>
      <c r="K887" s="47"/>
      <c r="L887" s="41">
        <f t="shared" si="379"/>
        <v>0</v>
      </c>
      <c r="M887" s="39"/>
      <c r="N887" s="41">
        <f t="shared" si="380"/>
        <v>0</v>
      </c>
      <c r="O887" s="47"/>
      <c r="P887" s="41">
        <f t="shared" si="381"/>
        <v>0</v>
      </c>
      <c r="Q887" s="39"/>
      <c r="R887" s="41">
        <f t="shared" si="382"/>
        <v>0</v>
      </c>
      <c r="S887" s="47"/>
      <c r="T887" s="41">
        <f t="shared" si="383"/>
        <v>0</v>
      </c>
      <c r="U887" s="39"/>
      <c r="V887" s="41">
        <f t="shared" si="384"/>
        <v>0</v>
      </c>
      <c r="W887" s="47"/>
      <c r="X887" s="41">
        <f t="shared" si="385"/>
        <v>0</v>
      </c>
      <c r="Y887" s="39"/>
      <c r="Z887" s="41">
        <f t="shared" si="386"/>
        <v>0</v>
      </c>
      <c r="AA887" s="47"/>
      <c r="AB887" s="41">
        <f t="shared" si="387"/>
        <v>0</v>
      </c>
      <c r="AC887" s="39"/>
      <c r="AD887" s="41">
        <f t="shared" si="402"/>
        <v>0</v>
      </c>
      <c r="AE887" s="47"/>
      <c r="AF887" s="41">
        <f t="shared" si="388"/>
        <v>0</v>
      </c>
      <c r="AG887" s="39"/>
      <c r="AH887" s="41">
        <f t="shared" si="403"/>
        <v>0</v>
      </c>
      <c r="AI887" s="47"/>
      <c r="AJ887" s="41">
        <f t="shared" si="389"/>
        <v>0</v>
      </c>
      <c r="AK887" s="39"/>
      <c r="AL887" s="41">
        <f t="shared" si="404"/>
        <v>0</v>
      </c>
      <c r="AM887" s="47"/>
      <c r="AN887" s="41">
        <f t="shared" si="390"/>
        <v>0</v>
      </c>
      <c r="AO887" s="39"/>
      <c r="AP887" s="41">
        <f t="shared" si="405"/>
        <v>0</v>
      </c>
      <c r="AQ887" s="47"/>
      <c r="AR887" s="41">
        <f t="shared" si="391"/>
        <v>0</v>
      </c>
      <c r="AS887" s="39"/>
      <c r="AT887" s="41">
        <f t="shared" si="406"/>
        <v>0</v>
      </c>
      <c r="AU887" s="47"/>
      <c r="AV887" s="41">
        <f t="shared" si="392"/>
        <v>0</v>
      </c>
      <c r="AW887" s="39"/>
      <c r="AX887" s="41">
        <f t="shared" si="407"/>
        <v>0</v>
      </c>
      <c r="AY887" s="47"/>
      <c r="AZ887" s="41">
        <f t="shared" si="393"/>
        <v>0</v>
      </c>
      <c r="BA887" s="39"/>
      <c r="BB887" s="41">
        <f t="shared" si="408"/>
        <v>0</v>
      </c>
      <c r="BC887" s="47"/>
      <c r="BD887" s="41">
        <f t="shared" si="394"/>
        <v>0</v>
      </c>
      <c r="BE887" s="39"/>
      <c r="BF887" s="47"/>
    </row>
    <row r="888" spans="1:58" ht="15.75" customHeight="1" x14ac:dyDescent="0.25">
      <c r="A888" s="44">
        <v>2018</v>
      </c>
      <c r="B888" s="39">
        <v>170770</v>
      </c>
      <c r="C888" s="38" t="s">
        <v>149</v>
      </c>
      <c r="D888" s="38" t="s">
        <v>57</v>
      </c>
      <c r="E888" s="39"/>
      <c r="F888" s="42">
        <f t="shared" si="376"/>
        <v>0</v>
      </c>
      <c r="G888" s="47"/>
      <c r="H888" s="42">
        <f t="shared" si="377"/>
        <v>0</v>
      </c>
      <c r="I888" s="39"/>
      <c r="J888" s="41">
        <f t="shared" si="378"/>
        <v>0</v>
      </c>
      <c r="K888" s="47"/>
      <c r="L888" s="41">
        <f t="shared" si="379"/>
        <v>0</v>
      </c>
      <c r="M888" s="39"/>
      <c r="N888" s="41">
        <f t="shared" si="380"/>
        <v>0</v>
      </c>
      <c r="O888" s="47"/>
      <c r="P888" s="41">
        <f t="shared" si="381"/>
        <v>0</v>
      </c>
      <c r="Q888" s="39"/>
      <c r="R888" s="41">
        <f t="shared" si="382"/>
        <v>0</v>
      </c>
      <c r="S888" s="47"/>
      <c r="T888" s="41">
        <f t="shared" si="383"/>
        <v>0</v>
      </c>
      <c r="U888" s="39"/>
      <c r="V888" s="41">
        <f t="shared" si="384"/>
        <v>0</v>
      </c>
      <c r="W888" s="47"/>
      <c r="X888" s="41">
        <f t="shared" si="385"/>
        <v>0</v>
      </c>
      <c r="Y888" s="39"/>
      <c r="Z888" s="41">
        <f t="shared" si="386"/>
        <v>0</v>
      </c>
      <c r="AA888" s="47"/>
      <c r="AB888" s="41">
        <f t="shared" si="387"/>
        <v>0</v>
      </c>
      <c r="AC888" s="39"/>
      <c r="AD888" s="41">
        <f t="shared" si="402"/>
        <v>0</v>
      </c>
      <c r="AE888" s="47"/>
      <c r="AF888" s="41">
        <f t="shared" si="388"/>
        <v>0</v>
      </c>
      <c r="AG888" s="39"/>
      <c r="AH888" s="41">
        <f t="shared" si="403"/>
        <v>0</v>
      </c>
      <c r="AI888" s="47"/>
      <c r="AJ888" s="41">
        <f t="shared" si="389"/>
        <v>0</v>
      </c>
      <c r="AK888" s="39"/>
      <c r="AL888" s="41">
        <f t="shared" si="404"/>
        <v>0</v>
      </c>
      <c r="AM888" s="47"/>
      <c r="AN888" s="41">
        <f t="shared" si="390"/>
        <v>0</v>
      </c>
      <c r="AO888" s="39"/>
      <c r="AP888" s="41">
        <f t="shared" si="405"/>
        <v>0</v>
      </c>
      <c r="AQ888" s="47"/>
      <c r="AR888" s="41">
        <f t="shared" si="391"/>
        <v>0</v>
      </c>
      <c r="AS888" s="39"/>
      <c r="AT888" s="41">
        <f t="shared" si="406"/>
        <v>0</v>
      </c>
      <c r="AU888" s="47"/>
      <c r="AV888" s="41">
        <f t="shared" si="392"/>
        <v>0</v>
      </c>
      <c r="AW888" s="39"/>
      <c r="AX888" s="41">
        <f t="shared" si="407"/>
        <v>0</v>
      </c>
      <c r="AY888" s="47"/>
      <c r="AZ888" s="41">
        <f t="shared" si="393"/>
        <v>0</v>
      </c>
      <c r="BA888" s="39"/>
      <c r="BB888" s="41">
        <f t="shared" si="408"/>
        <v>0</v>
      </c>
      <c r="BC888" s="47"/>
      <c r="BD888" s="41">
        <f t="shared" si="394"/>
        <v>0</v>
      </c>
      <c r="BE888" s="39"/>
      <c r="BF888" s="47"/>
    </row>
    <row r="889" spans="1:58" ht="15.75" customHeight="1" x14ac:dyDescent="0.25">
      <c r="A889" s="44">
        <v>2018</v>
      </c>
      <c r="B889" s="39">
        <v>170820</v>
      </c>
      <c r="C889" s="38" t="s">
        <v>146</v>
      </c>
      <c r="D889" s="38" t="s">
        <v>58</v>
      </c>
      <c r="E889" s="39"/>
      <c r="F889" s="42">
        <f t="shared" si="376"/>
        <v>0</v>
      </c>
      <c r="G889" s="47"/>
      <c r="H889" s="42">
        <f t="shared" si="377"/>
        <v>0</v>
      </c>
      <c r="I889" s="39"/>
      <c r="J889" s="41">
        <f t="shared" si="378"/>
        <v>0</v>
      </c>
      <c r="K889" s="47"/>
      <c r="L889" s="41">
        <f t="shared" si="379"/>
        <v>0</v>
      </c>
      <c r="M889" s="39"/>
      <c r="N889" s="41">
        <f t="shared" si="380"/>
        <v>0</v>
      </c>
      <c r="O889" s="47"/>
      <c r="P889" s="41">
        <f t="shared" si="381"/>
        <v>0</v>
      </c>
      <c r="Q889" s="39"/>
      <c r="R889" s="41">
        <f t="shared" si="382"/>
        <v>0</v>
      </c>
      <c r="S889" s="47"/>
      <c r="T889" s="41">
        <f t="shared" si="383"/>
        <v>0</v>
      </c>
      <c r="U889" s="39"/>
      <c r="V889" s="41">
        <f t="shared" si="384"/>
        <v>0</v>
      </c>
      <c r="W889" s="47"/>
      <c r="X889" s="41">
        <f t="shared" si="385"/>
        <v>0</v>
      </c>
      <c r="Y889" s="39"/>
      <c r="Z889" s="41">
        <f t="shared" si="386"/>
        <v>0</v>
      </c>
      <c r="AA889" s="47"/>
      <c r="AB889" s="41">
        <f t="shared" si="387"/>
        <v>0</v>
      </c>
      <c r="AC889" s="39"/>
      <c r="AD889" s="41">
        <f t="shared" si="402"/>
        <v>0</v>
      </c>
      <c r="AE889" s="47"/>
      <c r="AF889" s="41">
        <f t="shared" si="388"/>
        <v>0</v>
      </c>
      <c r="AG889" s="39"/>
      <c r="AH889" s="41">
        <f t="shared" si="403"/>
        <v>0</v>
      </c>
      <c r="AI889" s="47"/>
      <c r="AJ889" s="41">
        <f t="shared" si="389"/>
        <v>0</v>
      </c>
      <c r="AK889" s="39"/>
      <c r="AL889" s="41">
        <f t="shared" si="404"/>
        <v>0</v>
      </c>
      <c r="AM889" s="47"/>
      <c r="AN889" s="41">
        <f t="shared" si="390"/>
        <v>0</v>
      </c>
      <c r="AO889" s="39"/>
      <c r="AP889" s="41">
        <f t="shared" si="405"/>
        <v>0</v>
      </c>
      <c r="AQ889" s="47"/>
      <c r="AR889" s="41">
        <f t="shared" si="391"/>
        <v>0</v>
      </c>
      <c r="AS889" s="39"/>
      <c r="AT889" s="41">
        <f t="shared" si="406"/>
        <v>0</v>
      </c>
      <c r="AU889" s="47"/>
      <c r="AV889" s="41">
        <f t="shared" si="392"/>
        <v>0</v>
      </c>
      <c r="AW889" s="39"/>
      <c r="AX889" s="41">
        <f t="shared" si="407"/>
        <v>0</v>
      </c>
      <c r="AY889" s="47"/>
      <c r="AZ889" s="41">
        <f t="shared" si="393"/>
        <v>0</v>
      </c>
      <c r="BA889" s="39"/>
      <c r="BB889" s="41">
        <f t="shared" si="408"/>
        <v>0</v>
      </c>
      <c r="BC889" s="47"/>
      <c r="BD889" s="41">
        <f t="shared" si="394"/>
        <v>0</v>
      </c>
      <c r="BE889" s="39"/>
      <c r="BF889" s="47"/>
    </row>
    <row r="890" spans="1:58" ht="15.75" customHeight="1" x14ac:dyDescent="0.25">
      <c r="A890" s="44">
        <v>2018</v>
      </c>
      <c r="B890" s="39">
        <v>170830</v>
      </c>
      <c r="C890" s="38" t="s">
        <v>150</v>
      </c>
      <c r="D890" s="38" t="s">
        <v>59</v>
      </c>
      <c r="E890" s="39"/>
      <c r="F890" s="42">
        <f t="shared" si="376"/>
        <v>0</v>
      </c>
      <c r="G890" s="47"/>
      <c r="H890" s="42">
        <f t="shared" si="377"/>
        <v>0</v>
      </c>
      <c r="I890" s="39"/>
      <c r="J890" s="41">
        <f t="shared" si="378"/>
        <v>0</v>
      </c>
      <c r="K890" s="47"/>
      <c r="L890" s="41">
        <f t="shared" si="379"/>
        <v>0</v>
      </c>
      <c r="M890" s="39"/>
      <c r="N890" s="41">
        <f t="shared" si="380"/>
        <v>0</v>
      </c>
      <c r="O890" s="47"/>
      <c r="P890" s="41">
        <f t="shared" si="381"/>
        <v>0</v>
      </c>
      <c r="Q890" s="39"/>
      <c r="R890" s="41">
        <f t="shared" si="382"/>
        <v>0</v>
      </c>
      <c r="S890" s="47"/>
      <c r="T890" s="41">
        <f t="shared" si="383"/>
        <v>0</v>
      </c>
      <c r="U890" s="39"/>
      <c r="V890" s="41">
        <f t="shared" si="384"/>
        <v>0</v>
      </c>
      <c r="W890" s="47"/>
      <c r="X890" s="41">
        <f t="shared" si="385"/>
        <v>0</v>
      </c>
      <c r="Y890" s="39"/>
      <c r="Z890" s="41">
        <f t="shared" si="386"/>
        <v>0</v>
      </c>
      <c r="AA890" s="47"/>
      <c r="AB890" s="41">
        <f t="shared" si="387"/>
        <v>0</v>
      </c>
      <c r="AC890" s="39"/>
      <c r="AD890" s="41">
        <f t="shared" si="402"/>
        <v>0</v>
      </c>
      <c r="AE890" s="47"/>
      <c r="AF890" s="41">
        <f t="shared" si="388"/>
        <v>0</v>
      </c>
      <c r="AG890" s="39"/>
      <c r="AH890" s="41">
        <f t="shared" si="403"/>
        <v>0</v>
      </c>
      <c r="AI890" s="47"/>
      <c r="AJ890" s="41">
        <f t="shared" si="389"/>
        <v>0</v>
      </c>
      <c r="AK890" s="39"/>
      <c r="AL890" s="41">
        <f t="shared" si="404"/>
        <v>0</v>
      </c>
      <c r="AM890" s="47"/>
      <c r="AN890" s="41">
        <f t="shared" si="390"/>
        <v>0</v>
      </c>
      <c r="AO890" s="39"/>
      <c r="AP890" s="41">
        <f t="shared" si="405"/>
        <v>0</v>
      </c>
      <c r="AQ890" s="47"/>
      <c r="AR890" s="41">
        <f t="shared" si="391"/>
        <v>0</v>
      </c>
      <c r="AS890" s="39"/>
      <c r="AT890" s="41">
        <f t="shared" si="406"/>
        <v>0</v>
      </c>
      <c r="AU890" s="47"/>
      <c r="AV890" s="41">
        <f t="shared" si="392"/>
        <v>0</v>
      </c>
      <c r="AW890" s="39"/>
      <c r="AX890" s="41">
        <f t="shared" si="407"/>
        <v>0</v>
      </c>
      <c r="AY890" s="47"/>
      <c r="AZ890" s="41">
        <f t="shared" si="393"/>
        <v>0</v>
      </c>
      <c r="BA890" s="39"/>
      <c r="BB890" s="41">
        <f t="shared" si="408"/>
        <v>0</v>
      </c>
      <c r="BC890" s="47"/>
      <c r="BD890" s="41">
        <f t="shared" si="394"/>
        <v>0</v>
      </c>
      <c r="BE890" s="39"/>
      <c r="BF890" s="47"/>
    </row>
    <row r="891" spans="1:58" ht="15.75" customHeight="1" x14ac:dyDescent="0.25">
      <c r="A891" s="44">
        <v>2018</v>
      </c>
      <c r="B891" s="39">
        <v>170900</v>
      </c>
      <c r="C891" s="38" t="s">
        <v>149</v>
      </c>
      <c r="D891" s="38" t="s">
        <v>60</v>
      </c>
      <c r="E891" s="39"/>
      <c r="F891" s="42">
        <f t="shared" si="376"/>
        <v>0</v>
      </c>
      <c r="G891" s="47"/>
      <c r="H891" s="42">
        <f t="shared" si="377"/>
        <v>0</v>
      </c>
      <c r="I891" s="39"/>
      <c r="J891" s="41">
        <f t="shared" si="378"/>
        <v>0</v>
      </c>
      <c r="K891" s="47"/>
      <c r="L891" s="41">
        <f t="shared" si="379"/>
        <v>0</v>
      </c>
      <c r="M891" s="39"/>
      <c r="N891" s="41">
        <f t="shared" si="380"/>
        <v>0</v>
      </c>
      <c r="O891" s="47"/>
      <c r="P891" s="41">
        <f t="shared" si="381"/>
        <v>0</v>
      </c>
      <c r="Q891" s="39"/>
      <c r="R891" s="41">
        <f t="shared" si="382"/>
        <v>0</v>
      </c>
      <c r="S891" s="47"/>
      <c r="T891" s="41">
        <f t="shared" si="383"/>
        <v>0</v>
      </c>
      <c r="U891" s="39"/>
      <c r="V891" s="41">
        <f t="shared" si="384"/>
        <v>0</v>
      </c>
      <c r="W891" s="47"/>
      <c r="X891" s="41">
        <f t="shared" si="385"/>
        <v>0</v>
      </c>
      <c r="Y891" s="39"/>
      <c r="Z891" s="41">
        <f t="shared" si="386"/>
        <v>0</v>
      </c>
      <c r="AA891" s="47"/>
      <c r="AB891" s="41">
        <f t="shared" si="387"/>
        <v>0</v>
      </c>
      <c r="AC891" s="39"/>
      <c r="AD891" s="41">
        <f t="shared" si="402"/>
        <v>0</v>
      </c>
      <c r="AE891" s="47"/>
      <c r="AF891" s="41">
        <f t="shared" si="388"/>
        <v>0</v>
      </c>
      <c r="AG891" s="39"/>
      <c r="AH891" s="41">
        <f t="shared" si="403"/>
        <v>0</v>
      </c>
      <c r="AI891" s="47"/>
      <c r="AJ891" s="41">
        <f t="shared" si="389"/>
        <v>0</v>
      </c>
      <c r="AK891" s="39"/>
      <c r="AL891" s="41">
        <f t="shared" si="404"/>
        <v>0</v>
      </c>
      <c r="AM891" s="47"/>
      <c r="AN891" s="41">
        <f t="shared" si="390"/>
        <v>0</v>
      </c>
      <c r="AO891" s="39"/>
      <c r="AP891" s="41">
        <f t="shared" si="405"/>
        <v>0</v>
      </c>
      <c r="AQ891" s="47"/>
      <c r="AR891" s="41">
        <f t="shared" si="391"/>
        <v>0</v>
      </c>
      <c r="AS891" s="39"/>
      <c r="AT891" s="41">
        <f t="shared" si="406"/>
        <v>0</v>
      </c>
      <c r="AU891" s="47"/>
      <c r="AV891" s="41">
        <f t="shared" si="392"/>
        <v>0</v>
      </c>
      <c r="AW891" s="39"/>
      <c r="AX891" s="41">
        <f t="shared" si="407"/>
        <v>0</v>
      </c>
      <c r="AY891" s="47"/>
      <c r="AZ891" s="41">
        <f t="shared" si="393"/>
        <v>0</v>
      </c>
      <c r="BA891" s="39"/>
      <c r="BB891" s="41">
        <f t="shared" si="408"/>
        <v>0</v>
      </c>
      <c r="BC891" s="47"/>
      <c r="BD891" s="41">
        <f t="shared" si="394"/>
        <v>0</v>
      </c>
      <c r="BE891" s="39"/>
      <c r="BF891" s="47"/>
    </row>
    <row r="892" spans="1:58" ht="15.75" customHeight="1" x14ac:dyDescent="0.25">
      <c r="A892" s="44">
        <v>2018</v>
      </c>
      <c r="B892" s="39">
        <v>170930</v>
      </c>
      <c r="C892" s="38" t="s">
        <v>150</v>
      </c>
      <c r="D892" s="38" t="s">
        <v>61</v>
      </c>
      <c r="E892" s="39"/>
      <c r="F892" s="42">
        <f t="shared" si="376"/>
        <v>0</v>
      </c>
      <c r="G892" s="47"/>
      <c r="H892" s="42">
        <f t="shared" si="377"/>
        <v>0</v>
      </c>
      <c r="I892" s="39"/>
      <c r="J892" s="41">
        <f t="shared" si="378"/>
        <v>0</v>
      </c>
      <c r="K892" s="47"/>
      <c r="L892" s="41">
        <f t="shared" si="379"/>
        <v>0</v>
      </c>
      <c r="M892" s="39"/>
      <c r="N892" s="41">
        <f t="shared" si="380"/>
        <v>0</v>
      </c>
      <c r="O892" s="47"/>
      <c r="P892" s="41">
        <f t="shared" si="381"/>
        <v>0</v>
      </c>
      <c r="Q892" s="39"/>
      <c r="R892" s="41">
        <f t="shared" si="382"/>
        <v>0</v>
      </c>
      <c r="S892" s="47"/>
      <c r="T892" s="41">
        <f t="shared" si="383"/>
        <v>0</v>
      </c>
      <c r="U892" s="39"/>
      <c r="V892" s="41">
        <f t="shared" si="384"/>
        <v>0</v>
      </c>
      <c r="W892" s="47"/>
      <c r="X892" s="41">
        <f t="shared" si="385"/>
        <v>0</v>
      </c>
      <c r="Y892" s="39"/>
      <c r="Z892" s="41">
        <f t="shared" si="386"/>
        <v>0</v>
      </c>
      <c r="AA892" s="47"/>
      <c r="AB892" s="41">
        <f t="shared" si="387"/>
        <v>0</v>
      </c>
      <c r="AC892" s="39"/>
      <c r="AD892" s="41">
        <f t="shared" si="402"/>
        <v>0</v>
      </c>
      <c r="AE892" s="47"/>
      <c r="AF892" s="41">
        <f t="shared" si="388"/>
        <v>0</v>
      </c>
      <c r="AG892" s="39"/>
      <c r="AH892" s="41">
        <f t="shared" si="403"/>
        <v>0</v>
      </c>
      <c r="AI892" s="47"/>
      <c r="AJ892" s="41">
        <f t="shared" si="389"/>
        <v>0</v>
      </c>
      <c r="AK892" s="39"/>
      <c r="AL892" s="41">
        <f t="shared" si="404"/>
        <v>0</v>
      </c>
      <c r="AM892" s="47"/>
      <c r="AN892" s="41">
        <f t="shared" si="390"/>
        <v>0</v>
      </c>
      <c r="AO892" s="39"/>
      <c r="AP892" s="41">
        <f t="shared" si="405"/>
        <v>0</v>
      </c>
      <c r="AQ892" s="47"/>
      <c r="AR892" s="41">
        <f t="shared" si="391"/>
        <v>0</v>
      </c>
      <c r="AS892" s="39"/>
      <c r="AT892" s="41">
        <f t="shared" si="406"/>
        <v>0</v>
      </c>
      <c r="AU892" s="47"/>
      <c r="AV892" s="41">
        <f t="shared" si="392"/>
        <v>0</v>
      </c>
      <c r="AW892" s="39"/>
      <c r="AX892" s="41">
        <f t="shared" si="407"/>
        <v>0</v>
      </c>
      <c r="AY892" s="47"/>
      <c r="AZ892" s="41">
        <f t="shared" si="393"/>
        <v>0</v>
      </c>
      <c r="BA892" s="39"/>
      <c r="BB892" s="41">
        <f t="shared" si="408"/>
        <v>0</v>
      </c>
      <c r="BC892" s="47"/>
      <c r="BD892" s="41">
        <f t="shared" si="394"/>
        <v>0</v>
      </c>
      <c r="BE892" s="39"/>
      <c r="BF892" s="47"/>
    </row>
    <row r="893" spans="1:58" ht="15.75" customHeight="1" x14ac:dyDescent="0.25">
      <c r="A893" s="44">
        <v>2018</v>
      </c>
      <c r="B893" s="39">
        <v>170950</v>
      </c>
      <c r="C893" s="38" t="s">
        <v>146</v>
      </c>
      <c r="D893" s="38" t="s">
        <v>62</v>
      </c>
      <c r="E893" s="39"/>
      <c r="F893" s="42">
        <f t="shared" si="376"/>
        <v>0</v>
      </c>
      <c r="G893" s="47"/>
      <c r="H893" s="42">
        <f t="shared" si="377"/>
        <v>0</v>
      </c>
      <c r="I893" s="39"/>
      <c r="J893" s="41">
        <f t="shared" si="378"/>
        <v>0</v>
      </c>
      <c r="K893" s="47"/>
      <c r="L893" s="41">
        <f t="shared" si="379"/>
        <v>0</v>
      </c>
      <c r="M893" s="39"/>
      <c r="N893" s="41">
        <f t="shared" si="380"/>
        <v>0</v>
      </c>
      <c r="O893" s="48"/>
      <c r="P893" s="41">
        <f t="shared" si="381"/>
        <v>0</v>
      </c>
      <c r="Q893" s="39"/>
      <c r="R893" s="41">
        <f t="shared" si="382"/>
        <v>0</v>
      </c>
      <c r="S893" s="47"/>
      <c r="T893" s="41">
        <f t="shared" si="383"/>
        <v>0</v>
      </c>
      <c r="U893" s="39"/>
      <c r="V893" s="41">
        <f t="shared" si="384"/>
        <v>0</v>
      </c>
      <c r="W893" s="47"/>
      <c r="X893" s="41">
        <f t="shared" si="385"/>
        <v>0</v>
      </c>
      <c r="Y893" s="39"/>
      <c r="Z893" s="41">
        <f t="shared" si="386"/>
        <v>0</v>
      </c>
      <c r="AA893" s="47"/>
      <c r="AB893" s="41">
        <f t="shared" si="387"/>
        <v>0</v>
      </c>
      <c r="AC893" s="39"/>
      <c r="AD893" s="41">
        <f t="shared" si="402"/>
        <v>0</v>
      </c>
      <c r="AE893" s="48"/>
      <c r="AF893" s="41">
        <f t="shared" si="388"/>
        <v>0</v>
      </c>
      <c r="AG893" s="39"/>
      <c r="AH893" s="41">
        <f t="shared" si="403"/>
        <v>0</v>
      </c>
      <c r="AI893" s="47"/>
      <c r="AJ893" s="41">
        <f t="shared" si="389"/>
        <v>0</v>
      </c>
      <c r="AK893" s="39"/>
      <c r="AL893" s="41">
        <f t="shared" si="404"/>
        <v>0</v>
      </c>
      <c r="AM893" s="47"/>
      <c r="AN893" s="41">
        <f t="shared" si="390"/>
        <v>0</v>
      </c>
      <c r="AO893" s="39"/>
      <c r="AP893" s="41">
        <f t="shared" si="405"/>
        <v>0</v>
      </c>
      <c r="AQ893" s="48"/>
      <c r="AR893" s="41">
        <f t="shared" si="391"/>
        <v>0</v>
      </c>
      <c r="AS893" s="39"/>
      <c r="AT893" s="41">
        <f t="shared" si="406"/>
        <v>0</v>
      </c>
      <c r="AU893" s="47"/>
      <c r="AV893" s="41">
        <f t="shared" si="392"/>
        <v>0</v>
      </c>
      <c r="AW893" s="39"/>
      <c r="AX893" s="41">
        <f t="shared" si="407"/>
        <v>0</v>
      </c>
      <c r="AY893" s="47"/>
      <c r="AZ893" s="41">
        <f t="shared" si="393"/>
        <v>0</v>
      </c>
      <c r="BA893" s="39"/>
      <c r="BB893" s="41">
        <f t="shared" si="408"/>
        <v>0</v>
      </c>
      <c r="BC893" s="47"/>
      <c r="BD893" s="41">
        <f t="shared" si="394"/>
        <v>0</v>
      </c>
      <c r="BE893" s="39"/>
      <c r="BF893" s="48"/>
    </row>
    <row r="894" spans="1:58" ht="15.75" customHeight="1" x14ac:dyDescent="0.25">
      <c r="A894" s="44">
        <v>2018</v>
      </c>
      <c r="B894" s="39">
        <v>170980</v>
      </c>
      <c r="C894" s="38" t="s">
        <v>151</v>
      </c>
      <c r="D894" s="38" t="s">
        <v>63</v>
      </c>
      <c r="E894" s="39"/>
      <c r="F894" s="42">
        <f t="shared" si="376"/>
        <v>0</v>
      </c>
      <c r="G894" s="47"/>
      <c r="H894" s="42">
        <f t="shared" si="377"/>
        <v>0</v>
      </c>
      <c r="I894" s="39"/>
      <c r="J894" s="41">
        <f t="shared" si="378"/>
        <v>0</v>
      </c>
      <c r="K894" s="47"/>
      <c r="L894" s="41">
        <f t="shared" si="379"/>
        <v>0</v>
      </c>
      <c r="M894" s="39"/>
      <c r="N894" s="41">
        <f t="shared" si="380"/>
        <v>0</v>
      </c>
      <c r="O894" s="47"/>
      <c r="P894" s="41">
        <f t="shared" si="381"/>
        <v>0</v>
      </c>
      <c r="Q894" s="39"/>
      <c r="R894" s="41">
        <f t="shared" si="382"/>
        <v>0</v>
      </c>
      <c r="S894" s="47"/>
      <c r="T894" s="41">
        <f t="shared" si="383"/>
        <v>0</v>
      </c>
      <c r="U894" s="39"/>
      <c r="V894" s="41">
        <f t="shared" si="384"/>
        <v>0</v>
      </c>
      <c r="W894" s="47"/>
      <c r="X894" s="41">
        <f t="shared" si="385"/>
        <v>0</v>
      </c>
      <c r="Y894" s="39"/>
      <c r="Z894" s="41">
        <f t="shared" si="386"/>
        <v>0</v>
      </c>
      <c r="AA894" s="47"/>
      <c r="AB894" s="41">
        <f t="shared" si="387"/>
        <v>0</v>
      </c>
      <c r="AC894" s="39"/>
      <c r="AD894" s="41">
        <f t="shared" si="402"/>
        <v>0</v>
      </c>
      <c r="AE894" s="47"/>
      <c r="AF894" s="41">
        <f t="shared" si="388"/>
        <v>0</v>
      </c>
      <c r="AG894" s="39"/>
      <c r="AH894" s="41">
        <f t="shared" si="403"/>
        <v>0</v>
      </c>
      <c r="AI894" s="47"/>
      <c r="AJ894" s="41">
        <f t="shared" si="389"/>
        <v>0</v>
      </c>
      <c r="AK894" s="39"/>
      <c r="AL894" s="41">
        <f t="shared" si="404"/>
        <v>0</v>
      </c>
      <c r="AM894" s="47"/>
      <c r="AN894" s="41">
        <f t="shared" si="390"/>
        <v>0</v>
      </c>
      <c r="AO894" s="39"/>
      <c r="AP894" s="41">
        <f t="shared" si="405"/>
        <v>0</v>
      </c>
      <c r="AQ894" s="47"/>
      <c r="AR894" s="41">
        <f t="shared" si="391"/>
        <v>0</v>
      </c>
      <c r="AS894" s="39"/>
      <c r="AT894" s="41">
        <f t="shared" si="406"/>
        <v>0</v>
      </c>
      <c r="AU894" s="47"/>
      <c r="AV894" s="41">
        <f t="shared" si="392"/>
        <v>0</v>
      </c>
      <c r="AW894" s="39"/>
      <c r="AX894" s="41">
        <f t="shared" si="407"/>
        <v>0</v>
      </c>
      <c r="AY894" s="47"/>
      <c r="AZ894" s="41">
        <f t="shared" si="393"/>
        <v>0</v>
      </c>
      <c r="BA894" s="39"/>
      <c r="BB894" s="41">
        <f t="shared" si="408"/>
        <v>0</v>
      </c>
      <c r="BC894" s="47"/>
      <c r="BD894" s="41">
        <f t="shared" si="394"/>
        <v>0</v>
      </c>
      <c r="BE894" s="39"/>
      <c r="BF894" s="47"/>
    </row>
    <row r="895" spans="1:58" ht="15.75" customHeight="1" x14ac:dyDescent="0.25">
      <c r="A895" s="44">
        <v>2018</v>
      </c>
      <c r="B895" s="39">
        <v>171050</v>
      </c>
      <c r="C895" s="38" t="s">
        <v>150</v>
      </c>
      <c r="D895" s="38" t="s">
        <v>64</v>
      </c>
      <c r="E895" s="39"/>
      <c r="F895" s="42">
        <f t="shared" si="376"/>
        <v>0</v>
      </c>
      <c r="G895" s="47"/>
      <c r="H895" s="42">
        <f t="shared" si="377"/>
        <v>0</v>
      </c>
      <c r="I895" s="39"/>
      <c r="J895" s="41">
        <f t="shared" si="378"/>
        <v>0</v>
      </c>
      <c r="K895" s="47"/>
      <c r="L895" s="41">
        <f t="shared" si="379"/>
        <v>0</v>
      </c>
      <c r="M895" s="39"/>
      <c r="N895" s="41">
        <f t="shared" si="380"/>
        <v>0</v>
      </c>
      <c r="O895" s="47"/>
      <c r="P895" s="41">
        <f t="shared" si="381"/>
        <v>0</v>
      </c>
      <c r="Q895" s="39"/>
      <c r="R895" s="41">
        <f t="shared" si="382"/>
        <v>0</v>
      </c>
      <c r="S895" s="47"/>
      <c r="T895" s="41">
        <f t="shared" si="383"/>
        <v>0</v>
      </c>
      <c r="U895" s="39"/>
      <c r="V895" s="41">
        <f t="shared" si="384"/>
        <v>0</v>
      </c>
      <c r="W895" s="47"/>
      <c r="X895" s="41">
        <f t="shared" si="385"/>
        <v>0</v>
      </c>
      <c r="Y895" s="39"/>
      <c r="Z895" s="41">
        <f t="shared" si="386"/>
        <v>0</v>
      </c>
      <c r="AA895" s="47"/>
      <c r="AB895" s="41">
        <f t="shared" si="387"/>
        <v>0</v>
      </c>
      <c r="AC895" s="39"/>
      <c r="AD895" s="41">
        <f t="shared" si="402"/>
        <v>0</v>
      </c>
      <c r="AE895" s="47"/>
      <c r="AF895" s="41">
        <f t="shared" si="388"/>
        <v>0</v>
      </c>
      <c r="AG895" s="39"/>
      <c r="AH895" s="41">
        <f t="shared" si="403"/>
        <v>0</v>
      </c>
      <c r="AI895" s="47"/>
      <c r="AJ895" s="41">
        <f t="shared" si="389"/>
        <v>0</v>
      </c>
      <c r="AK895" s="39"/>
      <c r="AL895" s="41">
        <f t="shared" si="404"/>
        <v>0</v>
      </c>
      <c r="AM895" s="47"/>
      <c r="AN895" s="41">
        <f t="shared" si="390"/>
        <v>0</v>
      </c>
      <c r="AO895" s="39"/>
      <c r="AP895" s="41">
        <f t="shared" si="405"/>
        <v>0</v>
      </c>
      <c r="AQ895" s="47"/>
      <c r="AR895" s="41">
        <f t="shared" si="391"/>
        <v>0</v>
      </c>
      <c r="AS895" s="39"/>
      <c r="AT895" s="41">
        <f t="shared" si="406"/>
        <v>0</v>
      </c>
      <c r="AU895" s="47"/>
      <c r="AV895" s="41">
        <f t="shared" si="392"/>
        <v>0</v>
      </c>
      <c r="AW895" s="39"/>
      <c r="AX895" s="41">
        <f t="shared" si="407"/>
        <v>0</v>
      </c>
      <c r="AY895" s="47"/>
      <c r="AZ895" s="41">
        <f t="shared" si="393"/>
        <v>0</v>
      </c>
      <c r="BA895" s="39"/>
      <c r="BB895" s="41">
        <f t="shared" si="408"/>
        <v>0</v>
      </c>
      <c r="BC895" s="47"/>
      <c r="BD895" s="41">
        <f t="shared" si="394"/>
        <v>0</v>
      </c>
      <c r="BE895" s="39"/>
      <c r="BF895" s="47"/>
    </row>
    <row r="896" spans="1:58" ht="15.75" customHeight="1" x14ac:dyDescent="0.25">
      <c r="A896" s="44">
        <v>2018</v>
      </c>
      <c r="B896" s="39">
        <v>171070</v>
      </c>
      <c r="C896" s="38" t="s">
        <v>145</v>
      </c>
      <c r="D896" s="38" t="s">
        <v>65</v>
      </c>
      <c r="E896" s="39"/>
      <c r="F896" s="42">
        <f t="shared" si="376"/>
        <v>0</v>
      </c>
      <c r="G896" s="47"/>
      <c r="H896" s="42">
        <f t="shared" si="377"/>
        <v>0</v>
      </c>
      <c r="I896" s="39"/>
      <c r="J896" s="41">
        <f t="shared" si="378"/>
        <v>0</v>
      </c>
      <c r="K896" s="47"/>
      <c r="L896" s="41">
        <f t="shared" si="379"/>
        <v>0</v>
      </c>
      <c r="M896" s="39"/>
      <c r="N896" s="41">
        <f t="shared" si="380"/>
        <v>0</v>
      </c>
      <c r="O896" s="47"/>
      <c r="P896" s="41">
        <f t="shared" si="381"/>
        <v>0</v>
      </c>
      <c r="Q896" s="39"/>
      <c r="R896" s="41">
        <f t="shared" si="382"/>
        <v>0</v>
      </c>
      <c r="S896" s="47"/>
      <c r="T896" s="41">
        <f t="shared" si="383"/>
        <v>0</v>
      </c>
      <c r="U896" s="39"/>
      <c r="V896" s="41">
        <f t="shared" si="384"/>
        <v>0</v>
      </c>
      <c r="W896" s="47"/>
      <c r="X896" s="41">
        <f t="shared" si="385"/>
        <v>0</v>
      </c>
      <c r="Y896" s="39"/>
      <c r="Z896" s="41">
        <f t="shared" si="386"/>
        <v>0</v>
      </c>
      <c r="AA896" s="47"/>
      <c r="AB896" s="41">
        <f t="shared" si="387"/>
        <v>0</v>
      </c>
      <c r="AC896" s="39"/>
      <c r="AD896" s="41">
        <f t="shared" si="402"/>
        <v>0</v>
      </c>
      <c r="AE896" s="47"/>
      <c r="AF896" s="41">
        <f t="shared" si="388"/>
        <v>0</v>
      </c>
      <c r="AG896" s="39"/>
      <c r="AH896" s="41">
        <f t="shared" si="403"/>
        <v>0</v>
      </c>
      <c r="AI896" s="47"/>
      <c r="AJ896" s="41">
        <f t="shared" si="389"/>
        <v>0</v>
      </c>
      <c r="AK896" s="39"/>
      <c r="AL896" s="41">
        <f t="shared" si="404"/>
        <v>0</v>
      </c>
      <c r="AM896" s="47"/>
      <c r="AN896" s="41">
        <f t="shared" si="390"/>
        <v>0</v>
      </c>
      <c r="AO896" s="39"/>
      <c r="AP896" s="41">
        <f t="shared" si="405"/>
        <v>0</v>
      </c>
      <c r="AQ896" s="47"/>
      <c r="AR896" s="41">
        <f t="shared" si="391"/>
        <v>0</v>
      </c>
      <c r="AS896" s="39"/>
      <c r="AT896" s="41">
        <f t="shared" si="406"/>
        <v>0</v>
      </c>
      <c r="AU896" s="47"/>
      <c r="AV896" s="41">
        <f t="shared" si="392"/>
        <v>0</v>
      </c>
      <c r="AW896" s="39"/>
      <c r="AX896" s="41">
        <f t="shared" si="407"/>
        <v>0</v>
      </c>
      <c r="AY896" s="47"/>
      <c r="AZ896" s="41">
        <f t="shared" si="393"/>
        <v>0</v>
      </c>
      <c r="BA896" s="39"/>
      <c r="BB896" s="41">
        <f t="shared" si="408"/>
        <v>0</v>
      </c>
      <c r="BC896" s="47"/>
      <c r="BD896" s="41">
        <f t="shared" si="394"/>
        <v>0</v>
      </c>
      <c r="BE896" s="39"/>
      <c r="BF896" s="47"/>
    </row>
    <row r="897" spans="1:58" ht="15.75" customHeight="1" x14ac:dyDescent="0.25">
      <c r="A897" s="44">
        <v>2018</v>
      </c>
      <c r="B897" s="39">
        <v>171090</v>
      </c>
      <c r="C897" s="38" t="s">
        <v>150</v>
      </c>
      <c r="D897" s="38" t="s">
        <v>66</v>
      </c>
      <c r="E897" s="39"/>
      <c r="F897" s="42">
        <f t="shared" si="376"/>
        <v>0</v>
      </c>
      <c r="G897" s="47"/>
      <c r="H897" s="42">
        <f t="shared" si="377"/>
        <v>0</v>
      </c>
      <c r="I897" s="39"/>
      <c r="J897" s="41">
        <f t="shared" si="378"/>
        <v>0</v>
      </c>
      <c r="K897" s="47"/>
      <c r="L897" s="41">
        <f t="shared" si="379"/>
        <v>0</v>
      </c>
      <c r="M897" s="39"/>
      <c r="N897" s="41">
        <f t="shared" si="380"/>
        <v>0</v>
      </c>
      <c r="O897" s="47"/>
      <c r="P897" s="41">
        <f t="shared" si="381"/>
        <v>0</v>
      </c>
      <c r="Q897" s="39"/>
      <c r="R897" s="41">
        <f t="shared" si="382"/>
        <v>0</v>
      </c>
      <c r="S897" s="47"/>
      <c r="T897" s="41">
        <f t="shared" si="383"/>
        <v>0</v>
      </c>
      <c r="U897" s="39"/>
      <c r="V897" s="41">
        <f t="shared" si="384"/>
        <v>0</v>
      </c>
      <c r="W897" s="47"/>
      <c r="X897" s="41">
        <f t="shared" si="385"/>
        <v>0</v>
      </c>
      <c r="Y897" s="39"/>
      <c r="Z897" s="41">
        <f t="shared" si="386"/>
        <v>0</v>
      </c>
      <c r="AA897" s="47"/>
      <c r="AB897" s="41">
        <f t="shared" si="387"/>
        <v>0</v>
      </c>
      <c r="AC897" s="39"/>
      <c r="AD897" s="41">
        <f t="shared" si="402"/>
        <v>0</v>
      </c>
      <c r="AE897" s="47"/>
      <c r="AF897" s="41">
        <f t="shared" si="388"/>
        <v>0</v>
      </c>
      <c r="AG897" s="39"/>
      <c r="AH897" s="41">
        <f t="shared" si="403"/>
        <v>0</v>
      </c>
      <c r="AI897" s="47"/>
      <c r="AJ897" s="41">
        <f t="shared" si="389"/>
        <v>0</v>
      </c>
      <c r="AK897" s="39"/>
      <c r="AL897" s="41">
        <f t="shared" si="404"/>
        <v>0</v>
      </c>
      <c r="AM897" s="47"/>
      <c r="AN897" s="41">
        <f t="shared" si="390"/>
        <v>0</v>
      </c>
      <c r="AO897" s="39"/>
      <c r="AP897" s="41">
        <f t="shared" si="405"/>
        <v>0</v>
      </c>
      <c r="AQ897" s="47"/>
      <c r="AR897" s="41">
        <f t="shared" si="391"/>
        <v>0</v>
      </c>
      <c r="AS897" s="39"/>
      <c r="AT897" s="41">
        <f t="shared" si="406"/>
        <v>0</v>
      </c>
      <c r="AU897" s="47"/>
      <c r="AV897" s="41">
        <f t="shared" si="392"/>
        <v>0</v>
      </c>
      <c r="AW897" s="39"/>
      <c r="AX897" s="41">
        <f t="shared" si="407"/>
        <v>0</v>
      </c>
      <c r="AY897" s="47"/>
      <c r="AZ897" s="41">
        <f t="shared" si="393"/>
        <v>0</v>
      </c>
      <c r="BA897" s="39"/>
      <c r="BB897" s="41">
        <f t="shared" si="408"/>
        <v>0</v>
      </c>
      <c r="BC897" s="47"/>
      <c r="BD897" s="41">
        <f t="shared" si="394"/>
        <v>0</v>
      </c>
      <c r="BE897" s="39"/>
      <c r="BF897" s="47"/>
    </row>
    <row r="898" spans="1:58" ht="15.75" customHeight="1" x14ac:dyDescent="0.25">
      <c r="A898" s="44">
        <v>2018</v>
      </c>
      <c r="B898" s="39">
        <v>171110</v>
      </c>
      <c r="C898" s="38" t="s">
        <v>150</v>
      </c>
      <c r="D898" s="38" t="s">
        <v>67</v>
      </c>
      <c r="E898" s="39"/>
      <c r="F898" s="42">
        <f t="shared" ref="F898:F961" si="409">IFERROR(E898/$BE898,0)</f>
        <v>0</v>
      </c>
      <c r="G898" s="47"/>
      <c r="H898" s="42">
        <f t="shared" ref="H898:H961" si="410">IFERROR(G898/$BF898,0)</f>
        <v>0</v>
      </c>
      <c r="I898" s="39"/>
      <c r="J898" s="41">
        <f t="shared" ref="J898:J961" si="411">IFERROR(I898/$BE898,0)</f>
        <v>0</v>
      </c>
      <c r="K898" s="47"/>
      <c r="L898" s="41">
        <f t="shared" ref="L898:L961" si="412">IFERROR(K898/$BF898,0)</f>
        <v>0</v>
      </c>
      <c r="M898" s="39"/>
      <c r="N898" s="41">
        <f t="shared" ref="N898:N961" si="413">IFERROR(M898/$BE898,0)</f>
        <v>0</v>
      </c>
      <c r="O898" s="47"/>
      <c r="P898" s="41">
        <f t="shared" ref="P898:P961" si="414">IFERROR(O898/$BF898,0)</f>
        <v>0</v>
      </c>
      <c r="Q898" s="39"/>
      <c r="R898" s="41">
        <f t="shared" ref="R898:R961" si="415">IFERROR(Q898/$BE898,0)</f>
        <v>0</v>
      </c>
      <c r="S898" s="47"/>
      <c r="T898" s="41">
        <f t="shared" ref="T898:T961" si="416">IFERROR(S898/$BF898,0)</f>
        <v>0</v>
      </c>
      <c r="U898" s="39"/>
      <c r="V898" s="41">
        <f t="shared" ref="V898:V961" si="417">IFERROR(U898/$BE898,0)</f>
        <v>0</v>
      </c>
      <c r="W898" s="47"/>
      <c r="X898" s="41">
        <f t="shared" ref="X898:X961" si="418">IFERROR(W898/$BF898,0)</f>
        <v>0</v>
      </c>
      <c r="Y898" s="39"/>
      <c r="Z898" s="41">
        <f t="shared" ref="Z898:Z961" si="419">IFERROR(Y898/$BE898,0)</f>
        <v>0</v>
      </c>
      <c r="AA898" s="47"/>
      <c r="AB898" s="41">
        <f t="shared" ref="AB898:AB961" si="420">IFERROR(AA898/$BF898,0)</f>
        <v>0</v>
      </c>
      <c r="AC898" s="39"/>
      <c r="AD898" s="41">
        <f t="shared" si="402"/>
        <v>0</v>
      </c>
      <c r="AE898" s="47"/>
      <c r="AF898" s="41">
        <f t="shared" ref="AF898:AF961" si="421">IFERROR(AE898/$BF898,0)</f>
        <v>0</v>
      </c>
      <c r="AG898" s="39"/>
      <c r="AH898" s="41">
        <f t="shared" si="403"/>
        <v>0</v>
      </c>
      <c r="AI898" s="47"/>
      <c r="AJ898" s="41">
        <f t="shared" ref="AJ898:AJ961" si="422">IFERROR(AI898/$BF898,0)</f>
        <v>0</v>
      </c>
      <c r="AK898" s="39"/>
      <c r="AL898" s="41">
        <f t="shared" si="404"/>
        <v>0</v>
      </c>
      <c r="AM898" s="47"/>
      <c r="AN898" s="41">
        <f t="shared" ref="AN898:AN961" si="423">IFERROR(AM898/$BF898,0)</f>
        <v>0</v>
      </c>
      <c r="AO898" s="39"/>
      <c r="AP898" s="41">
        <f t="shared" si="405"/>
        <v>0</v>
      </c>
      <c r="AQ898" s="47"/>
      <c r="AR898" s="41">
        <f t="shared" ref="AR898:AR961" si="424">IFERROR(AQ898/$BF898,0)</f>
        <v>0</v>
      </c>
      <c r="AS898" s="39"/>
      <c r="AT898" s="41">
        <f t="shared" si="406"/>
        <v>0</v>
      </c>
      <c r="AU898" s="47"/>
      <c r="AV898" s="41">
        <f t="shared" ref="AV898:AV961" si="425">IFERROR(AU898/$BF898,0)</f>
        <v>0</v>
      </c>
      <c r="AW898" s="39"/>
      <c r="AX898" s="41">
        <f t="shared" si="407"/>
        <v>0</v>
      </c>
      <c r="AY898" s="47"/>
      <c r="AZ898" s="41">
        <f t="shared" ref="AZ898:AZ961" si="426">IFERROR(AY898/$BF898,0)</f>
        <v>0</v>
      </c>
      <c r="BA898" s="39"/>
      <c r="BB898" s="41">
        <f t="shared" si="408"/>
        <v>0</v>
      </c>
      <c r="BC898" s="47"/>
      <c r="BD898" s="41">
        <f t="shared" ref="BD898:BD961" si="427">IFERROR(BC898/$BF898,0)</f>
        <v>0</v>
      </c>
      <c r="BE898" s="39"/>
      <c r="BF898" s="47"/>
    </row>
    <row r="899" spans="1:58" ht="15.75" customHeight="1" x14ac:dyDescent="0.25">
      <c r="A899" s="44">
        <v>2018</v>
      </c>
      <c r="B899" s="39">
        <v>171150</v>
      </c>
      <c r="C899" s="38" t="s">
        <v>146</v>
      </c>
      <c r="D899" s="38" t="s">
        <v>68</v>
      </c>
      <c r="E899" s="39"/>
      <c r="F899" s="42">
        <f t="shared" si="409"/>
        <v>0</v>
      </c>
      <c r="G899" s="47"/>
      <c r="H899" s="42">
        <f t="shared" si="410"/>
        <v>0</v>
      </c>
      <c r="I899" s="39"/>
      <c r="J899" s="41">
        <f t="shared" si="411"/>
        <v>0</v>
      </c>
      <c r="K899" s="47"/>
      <c r="L899" s="41">
        <f t="shared" si="412"/>
        <v>0</v>
      </c>
      <c r="M899" s="39"/>
      <c r="N899" s="41">
        <f t="shared" si="413"/>
        <v>0</v>
      </c>
      <c r="O899" s="47"/>
      <c r="P899" s="41">
        <f t="shared" si="414"/>
        <v>0</v>
      </c>
      <c r="Q899" s="39"/>
      <c r="R899" s="41">
        <f t="shared" si="415"/>
        <v>0</v>
      </c>
      <c r="S899" s="47"/>
      <c r="T899" s="41">
        <f t="shared" si="416"/>
        <v>0</v>
      </c>
      <c r="U899" s="39"/>
      <c r="V899" s="41">
        <f t="shared" si="417"/>
        <v>0</v>
      </c>
      <c r="W899" s="47"/>
      <c r="X899" s="41">
        <f t="shared" si="418"/>
        <v>0</v>
      </c>
      <c r="Y899" s="39"/>
      <c r="Z899" s="41">
        <f t="shared" si="419"/>
        <v>0</v>
      </c>
      <c r="AA899" s="47"/>
      <c r="AB899" s="41">
        <f t="shared" si="420"/>
        <v>0</v>
      </c>
      <c r="AC899" s="39"/>
      <c r="AD899" s="41">
        <f t="shared" si="402"/>
        <v>0</v>
      </c>
      <c r="AE899" s="47"/>
      <c r="AF899" s="41">
        <f t="shared" si="421"/>
        <v>0</v>
      </c>
      <c r="AG899" s="39"/>
      <c r="AH899" s="41">
        <f t="shared" si="403"/>
        <v>0</v>
      </c>
      <c r="AI899" s="47"/>
      <c r="AJ899" s="41">
        <f t="shared" si="422"/>
        <v>0</v>
      </c>
      <c r="AK899" s="39"/>
      <c r="AL899" s="41">
        <f t="shared" si="404"/>
        <v>0</v>
      </c>
      <c r="AM899" s="47"/>
      <c r="AN899" s="41">
        <f t="shared" si="423"/>
        <v>0</v>
      </c>
      <c r="AO899" s="39"/>
      <c r="AP899" s="41">
        <f t="shared" si="405"/>
        <v>0</v>
      </c>
      <c r="AQ899" s="47"/>
      <c r="AR899" s="41">
        <f t="shared" si="424"/>
        <v>0</v>
      </c>
      <c r="AS899" s="39"/>
      <c r="AT899" s="41">
        <f t="shared" si="406"/>
        <v>0</v>
      </c>
      <c r="AU899" s="47"/>
      <c r="AV899" s="41">
        <f t="shared" si="425"/>
        <v>0</v>
      </c>
      <c r="AW899" s="39"/>
      <c r="AX899" s="41">
        <f t="shared" si="407"/>
        <v>0</v>
      </c>
      <c r="AY899" s="47"/>
      <c r="AZ899" s="41">
        <f t="shared" si="426"/>
        <v>0</v>
      </c>
      <c r="BA899" s="39"/>
      <c r="BB899" s="41">
        <f t="shared" si="408"/>
        <v>0</v>
      </c>
      <c r="BC899" s="47"/>
      <c r="BD899" s="41">
        <f t="shared" si="427"/>
        <v>0</v>
      </c>
      <c r="BE899" s="39"/>
      <c r="BF899" s="47"/>
    </row>
    <row r="900" spans="1:58" ht="15.75" customHeight="1" x14ac:dyDescent="0.25">
      <c r="A900" s="44">
        <v>2018</v>
      </c>
      <c r="B900" s="39">
        <v>171180</v>
      </c>
      <c r="C900" s="38" t="s">
        <v>150</v>
      </c>
      <c r="D900" s="38" t="s">
        <v>69</v>
      </c>
      <c r="E900" s="39"/>
      <c r="F900" s="42">
        <f t="shared" si="409"/>
        <v>0</v>
      </c>
      <c r="G900" s="47"/>
      <c r="H900" s="42">
        <f t="shared" si="410"/>
        <v>0</v>
      </c>
      <c r="I900" s="39"/>
      <c r="J900" s="41">
        <f t="shared" si="411"/>
        <v>0</v>
      </c>
      <c r="K900" s="47"/>
      <c r="L900" s="41">
        <f t="shared" si="412"/>
        <v>0</v>
      </c>
      <c r="M900" s="39"/>
      <c r="N900" s="41">
        <f t="shared" si="413"/>
        <v>0</v>
      </c>
      <c r="O900" s="47"/>
      <c r="P900" s="41">
        <f t="shared" si="414"/>
        <v>0</v>
      </c>
      <c r="Q900" s="39"/>
      <c r="R900" s="41">
        <f t="shared" si="415"/>
        <v>0</v>
      </c>
      <c r="S900" s="47"/>
      <c r="T900" s="41">
        <f t="shared" si="416"/>
        <v>0</v>
      </c>
      <c r="U900" s="39"/>
      <c r="V900" s="41">
        <f t="shared" si="417"/>
        <v>0</v>
      </c>
      <c r="W900" s="47"/>
      <c r="X900" s="41">
        <f t="shared" si="418"/>
        <v>0</v>
      </c>
      <c r="Y900" s="39"/>
      <c r="Z900" s="41">
        <f t="shared" si="419"/>
        <v>0</v>
      </c>
      <c r="AA900" s="47"/>
      <c r="AB900" s="41">
        <f t="shared" si="420"/>
        <v>0</v>
      </c>
      <c r="AC900" s="39"/>
      <c r="AD900" s="41">
        <f t="shared" si="402"/>
        <v>0</v>
      </c>
      <c r="AE900" s="47"/>
      <c r="AF900" s="41">
        <f t="shared" si="421"/>
        <v>0</v>
      </c>
      <c r="AG900" s="39"/>
      <c r="AH900" s="41">
        <f t="shared" si="403"/>
        <v>0</v>
      </c>
      <c r="AI900" s="47"/>
      <c r="AJ900" s="41">
        <f t="shared" si="422"/>
        <v>0</v>
      </c>
      <c r="AK900" s="39"/>
      <c r="AL900" s="41">
        <f t="shared" si="404"/>
        <v>0</v>
      </c>
      <c r="AM900" s="47"/>
      <c r="AN900" s="41">
        <f t="shared" si="423"/>
        <v>0</v>
      </c>
      <c r="AO900" s="39"/>
      <c r="AP900" s="41">
        <f t="shared" si="405"/>
        <v>0</v>
      </c>
      <c r="AQ900" s="47"/>
      <c r="AR900" s="41">
        <f t="shared" si="424"/>
        <v>0</v>
      </c>
      <c r="AS900" s="39"/>
      <c r="AT900" s="41">
        <f t="shared" si="406"/>
        <v>0</v>
      </c>
      <c r="AU900" s="47"/>
      <c r="AV900" s="41">
        <f t="shared" si="425"/>
        <v>0</v>
      </c>
      <c r="AW900" s="39"/>
      <c r="AX900" s="41">
        <f t="shared" si="407"/>
        <v>0</v>
      </c>
      <c r="AY900" s="47"/>
      <c r="AZ900" s="41">
        <f t="shared" si="426"/>
        <v>0</v>
      </c>
      <c r="BA900" s="39"/>
      <c r="BB900" s="41">
        <f t="shared" si="408"/>
        <v>0</v>
      </c>
      <c r="BC900" s="47"/>
      <c r="BD900" s="41">
        <f t="shared" si="427"/>
        <v>0</v>
      </c>
      <c r="BE900" s="39"/>
      <c r="BF900" s="47"/>
    </row>
    <row r="901" spans="1:58" ht="15.75" customHeight="1" x14ac:dyDescent="0.25">
      <c r="A901" s="44">
        <v>2018</v>
      </c>
      <c r="B901" s="39">
        <v>171190</v>
      </c>
      <c r="C901" s="38" t="s">
        <v>144</v>
      </c>
      <c r="D901" s="38" t="s">
        <v>70</v>
      </c>
      <c r="E901" s="39"/>
      <c r="F901" s="42">
        <f t="shared" si="409"/>
        <v>0</v>
      </c>
      <c r="G901" s="47"/>
      <c r="H901" s="42">
        <f t="shared" si="410"/>
        <v>0</v>
      </c>
      <c r="I901" s="39"/>
      <c r="J901" s="41">
        <f t="shared" si="411"/>
        <v>0</v>
      </c>
      <c r="K901" s="47"/>
      <c r="L901" s="41">
        <f t="shared" si="412"/>
        <v>0</v>
      </c>
      <c r="M901" s="39"/>
      <c r="N901" s="41">
        <f t="shared" si="413"/>
        <v>0</v>
      </c>
      <c r="O901" s="47"/>
      <c r="P901" s="41">
        <f t="shared" si="414"/>
        <v>0</v>
      </c>
      <c r="Q901" s="39"/>
      <c r="R901" s="41">
        <f t="shared" si="415"/>
        <v>0</v>
      </c>
      <c r="S901" s="47"/>
      <c r="T901" s="41">
        <f t="shared" si="416"/>
        <v>0</v>
      </c>
      <c r="U901" s="39"/>
      <c r="V901" s="41">
        <f t="shared" si="417"/>
        <v>0</v>
      </c>
      <c r="W901" s="47"/>
      <c r="X901" s="41">
        <f t="shared" si="418"/>
        <v>0</v>
      </c>
      <c r="Y901" s="39"/>
      <c r="Z901" s="41">
        <f t="shared" si="419"/>
        <v>0</v>
      </c>
      <c r="AA901" s="47"/>
      <c r="AB901" s="41">
        <f t="shared" si="420"/>
        <v>0</v>
      </c>
      <c r="AC901" s="39"/>
      <c r="AD901" s="41">
        <f t="shared" si="402"/>
        <v>0</v>
      </c>
      <c r="AE901" s="47"/>
      <c r="AF901" s="41">
        <f t="shared" si="421"/>
        <v>0</v>
      </c>
      <c r="AG901" s="39"/>
      <c r="AH901" s="41">
        <f t="shared" si="403"/>
        <v>0</v>
      </c>
      <c r="AI901" s="47"/>
      <c r="AJ901" s="41">
        <f t="shared" si="422"/>
        <v>0</v>
      </c>
      <c r="AK901" s="39"/>
      <c r="AL901" s="41">
        <f t="shared" si="404"/>
        <v>0</v>
      </c>
      <c r="AM901" s="47"/>
      <c r="AN901" s="41">
        <f t="shared" si="423"/>
        <v>0</v>
      </c>
      <c r="AO901" s="39"/>
      <c r="AP901" s="41">
        <f t="shared" si="405"/>
        <v>0</v>
      </c>
      <c r="AQ901" s="47"/>
      <c r="AR901" s="41">
        <f t="shared" si="424"/>
        <v>0</v>
      </c>
      <c r="AS901" s="39"/>
      <c r="AT901" s="41">
        <f t="shared" si="406"/>
        <v>0</v>
      </c>
      <c r="AU901" s="47"/>
      <c r="AV901" s="41">
        <f t="shared" si="425"/>
        <v>0</v>
      </c>
      <c r="AW901" s="39"/>
      <c r="AX901" s="41">
        <f t="shared" si="407"/>
        <v>0</v>
      </c>
      <c r="AY901" s="47"/>
      <c r="AZ901" s="41">
        <f t="shared" si="426"/>
        <v>0</v>
      </c>
      <c r="BA901" s="39"/>
      <c r="BB901" s="41">
        <f t="shared" si="408"/>
        <v>0</v>
      </c>
      <c r="BC901" s="47"/>
      <c r="BD901" s="41">
        <f t="shared" si="427"/>
        <v>0</v>
      </c>
      <c r="BE901" s="39"/>
      <c r="BF901" s="47"/>
    </row>
    <row r="902" spans="1:58" ht="15.75" customHeight="1" x14ac:dyDescent="0.25">
      <c r="A902" s="44">
        <v>2018</v>
      </c>
      <c r="B902" s="39">
        <v>171195</v>
      </c>
      <c r="C902" s="38" t="s">
        <v>148</v>
      </c>
      <c r="D902" s="38" t="s">
        <v>71</v>
      </c>
      <c r="E902" s="39"/>
      <c r="F902" s="42">
        <f t="shared" si="409"/>
        <v>0</v>
      </c>
      <c r="G902" s="47"/>
      <c r="H902" s="42">
        <f t="shared" si="410"/>
        <v>0</v>
      </c>
      <c r="I902" s="39"/>
      <c r="J902" s="41">
        <f t="shared" si="411"/>
        <v>0</v>
      </c>
      <c r="K902" s="47"/>
      <c r="L902" s="41">
        <f t="shared" si="412"/>
        <v>0</v>
      </c>
      <c r="M902" s="39"/>
      <c r="N902" s="41">
        <f t="shared" si="413"/>
        <v>0</v>
      </c>
      <c r="O902" s="47"/>
      <c r="P902" s="41">
        <f t="shared" si="414"/>
        <v>0</v>
      </c>
      <c r="Q902" s="39"/>
      <c r="R902" s="41">
        <f t="shared" si="415"/>
        <v>0</v>
      </c>
      <c r="S902" s="47"/>
      <c r="T902" s="41">
        <f t="shared" si="416"/>
        <v>0</v>
      </c>
      <c r="U902" s="39"/>
      <c r="V902" s="41">
        <f t="shared" si="417"/>
        <v>0</v>
      </c>
      <c r="W902" s="47"/>
      <c r="X902" s="41">
        <f t="shared" si="418"/>
        <v>0</v>
      </c>
      <c r="Y902" s="39"/>
      <c r="Z902" s="41">
        <f t="shared" si="419"/>
        <v>0</v>
      </c>
      <c r="AA902" s="47"/>
      <c r="AB902" s="41">
        <f t="shared" si="420"/>
        <v>0</v>
      </c>
      <c r="AC902" s="39"/>
      <c r="AD902" s="41">
        <f t="shared" si="402"/>
        <v>0</v>
      </c>
      <c r="AE902" s="47"/>
      <c r="AF902" s="41">
        <f t="shared" si="421"/>
        <v>0</v>
      </c>
      <c r="AG902" s="39"/>
      <c r="AH902" s="41">
        <f t="shared" si="403"/>
        <v>0</v>
      </c>
      <c r="AI902" s="47"/>
      <c r="AJ902" s="41">
        <f t="shared" si="422"/>
        <v>0</v>
      </c>
      <c r="AK902" s="39"/>
      <c r="AL902" s="41">
        <f t="shared" si="404"/>
        <v>0</v>
      </c>
      <c r="AM902" s="47"/>
      <c r="AN902" s="41">
        <f t="shared" si="423"/>
        <v>0</v>
      </c>
      <c r="AO902" s="39"/>
      <c r="AP902" s="41">
        <f t="shared" si="405"/>
        <v>0</v>
      </c>
      <c r="AQ902" s="47"/>
      <c r="AR902" s="41">
        <f t="shared" si="424"/>
        <v>0</v>
      </c>
      <c r="AS902" s="39"/>
      <c r="AT902" s="41">
        <f t="shared" si="406"/>
        <v>0</v>
      </c>
      <c r="AU902" s="47"/>
      <c r="AV902" s="41">
        <f t="shared" si="425"/>
        <v>0</v>
      </c>
      <c r="AW902" s="39"/>
      <c r="AX902" s="41">
        <f t="shared" si="407"/>
        <v>0</v>
      </c>
      <c r="AY902" s="47"/>
      <c r="AZ902" s="41">
        <f t="shared" si="426"/>
        <v>0</v>
      </c>
      <c r="BA902" s="39"/>
      <c r="BB902" s="41">
        <f t="shared" si="408"/>
        <v>0</v>
      </c>
      <c r="BC902" s="47"/>
      <c r="BD902" s="41">
        <f t="shared" si="427"/>
        <v>0</v>
      </c>
      <c r="BE902" s="39"/>
      <c r="BF902" s="47"/>
    </row>
    <row r="903" spans="1:58" ht="15.75" customHeight="1" x14ac:dyDescent="0.25">
      <c r="A903" s="44">
        <v>2018</v>
      </c>
      <c r="B903" s="39">
        <v>171200</v>
      </c>
      <c r="C903" s="38" t="s">
        <v>148</v>
      </c>
      <c r="D903" s="38" t="s">
        <v>72</v>
      </c>
      <c r="E903" s="39"/>
      <c r="F903" s="42">
        <f t="shared" si="409"/>
        <v>0</v>
      </c>
      <c r="G903" s="47"/>
      <c r="H903" s="42">
        <f t="shared" si="410"/>
        <v>0</v>
      </c>
      <c r="I903" s="39"/>
      <c r="J903" s="41">
        <f t="shared" si="411"/>
        <v>0</v>
      </c>
      <c r="K903" s="47"/>
      <c r="L903" s="41">
        <f t="shared" si="412"/>
        <v>0</v>
      </c>
      <c r="M903" s="39"/>
      <c r="N903" s="41">
        <f t="shared" si="413"/>
        <v>0</v>
      </c>
      <c r="O903" s="47"/>
      <c r="P903" s="41">
        <f t="shared" si="414"/>
        <v>0</v>
      </c>
      <c r="Q903" s="39"/>
      <c r="R903" s="41">
        <f t="shared" si="415"/>
        <v>0</v>
      </c>
      <c r="S903" s="47"/>
      <c r="T903" s="41">
        <f t="shared" si="416"/>
        <v>0</v>
      </c>
      <c r="U903" s="39"/>
      <c r="V903" s="41">
        <f t="shared" si="417"/>
        <v>0</v>
      </c>
      <c r="W903" s="47"/>
      <c r="X903" s="41">
        <f t="shared" si="418"/>
        <v>0</v>
      </c>
      <c r="Y903" s="39"/>
      <c r="Z903" s="41">
        <f t="shared" si="419"/>
        <v>0</v>
      </c>
      <c r="AA903" s="47"/>
      <c r="AB903" s="41">
        <f t="shared" si="420"/>
        <v>0</v>
      </c>
      <c r="AC903" s="39"/>
      <c r="AD903" s="41">
        <f t="shared" si="402"/>
        <v>0</v>
      </c>
      <c r="AE903" s="47"/>
      <c r="AF903" s="41">
        <f t="shared" si="421"/>
        <v>0</v>
      </c>
      <c r="AG903" s="39"/>
      <c r="AH903" s="41">
        <f t="shared" si="403"/>
        <v>0</v>
      </c>
      <c r="AI903" s="47"/>
      <c r="AJ903" s="41">
        <f t="shared" si="422"/>
        <v>0</v>
      </c>
      <c r="AK903" s="39"/>
      <c r="AL903" s="41">
        <f t="shared" si="404"/>
        <v>0</v>
      </c>
      <c r="AM903" s="47"/>
      <c r="AN903" s="41">
        <f t="shared" si="423"/>
        <v>0</v>
      </c>
      <c r="AO903" s="39"/>
      <c r="AP903" s="41">
        <f t="shared" si="405"/>
        <v>0</v>
      </c>
      <c r="AQ903" s="47"/>
      <c r="AR903" s="41">
        <f t="shared" si="424"/>
        <v>0</v>
      </c>
      <c r="AS903" s="39"/>
      <c r="AT903" s="41">
        <f t="shared" si="406"/>
        <v>0</v>
      </c>
      <c r="AU903" s="47"/>
      <c r="AV903" s="41">
        <f t="shared" si="425"/>
        <v>0</v>
      </c>
      <c r="AW903" s="39"/>
      <c r="AX903" s="41">
        <f t="shared" si="407"/>
        <v>0</v>
      </c>
      <c r="AY903" s="47"/>
      <c r="AZ903" s="41">
        <f t="shared" si="426"/>
        <v>0</v>
      </c>
      <c r="BA903" s="39"/>
      <c r="BB903" s="41">
        <f t="shared" si="408"/>
        <v>0</v>
      </c>
      <c r="BC903" s="47"/>
      <c r="BD903" s="41">
        <f t="shared" si="427"/>
        <v>0</v>
      </c>
      <c r="BE903" s="39"/>
      <c r="BF903" s="47"/>
    </row>
    <row r="904" spans="1:58" ht="15.75" customHeight="1" x14ac:dyDescent="0.25">
      <c r="A904" s="44">
        <v>2018</v>
      </c>
      <c r="B904" s="39">
        <v>171215</v>
      </c>
      <c r="C904" s="38" t="s">
        <v>147</v>
      </c>
      <c r="D904" s="38" t="s">
        <v>73</v>
      </c>
      <c r="E904" s="39"/>
      <c r="F904" s="42">
        <f t="shared" si="409"/>
        <v>0</v>
      </c>
      <c r="G904" s="47"/>
      <c r="H904" s="42">
        <f t="shared" si="410"/>
        <v>0</v>
      </c>
      <c r="I904" s="39"/>
      <c r="J904" s="41">
        <f t="shared" si="411"/>
        <v>0</v>
      </c>
      <c r="K904" s="47"/>
      <c r="L904" s="41">
        <f t="shared" si="412"/>
        <v>0</v>
      </c>
      <c r="M904" s="39"/>
      <c r="N904" s="41">
        <f t="shared" si="413"/>
        <v>0</v>
      </c>
      <c r="O904" s="47"/>
      <c r="P904" s="41">
        <f t="shared" si="414"/>
        <v>0</v>
      </c>
      <c r="Q904" s="39"/>
      <c r="R904" s="41">
        <f t="shared" si="415"/>
        <v>0</v>
      </c>
      <c r="S904" s="47"/>
      <c r="T904" s="41">
        <f t="shared" si="416"/>
        <v>0</v>
      </c>
      <c r="U904" s="39"/>
      <c r="V904" s="41">
        <f t="shared" si="417"/>
        <v>0</v>
      </c>
      <c r="W904" s="47"/>
      <c r="X904" s="41">
        <f t="shared" si="418"/>
        <v>0</v>
      </c>
      <c r="Y904" s="39"/>
      <c r="Z904" s="41">
        <f t="shared" si="419"/>
        <v>0</v>
      </c>
      <c r="AA904" s="47"/>
      <c r="AB904" s="41">
        <f t="shared" si="420"/>
        <v>0</v>
      </c>
      <c r="AC904" s="39"/>
      <c r="AD904" s="41">
        <f t="shared" si="402"/>
        <v>0</v>
      </c>
      <c r="AE904" s="47"/>
      <c r="AF904" s="41">
        <f t="shared" si="421"/>
        <v>0</v>
      </c>
      <c r="AG904" s="39"/>
      <c r="AH904" s="41">
        <f t="shared" si="403"/>
        <v>0</v>
      </c>
      <c r="AI904" s="47"/>
      <c r="AJ904" s="41">
        <f t="shared" si="422"/>
        <v>0</v>
      </c>
      <c r="AK904" s="39"/>
      <c r="AL904" s="41">
        <f t="shared" si="404"/>
        <v>0</v>
      </c>
      <c r="AM904" s="47"/>
      <c r="AN904" s="41">
        <f t="shared" si="423"/>
        <v>0</v>
      </c>
      <c r="AO904" s="39"/>
      <c r="AP904" s="41">
        <f t="shared" si="405"/>
        <v>0</v>
      </c>
      <c r="AQ904" s="47"/>
      <c r="AR904" s="41">
        <f t="shared" si="424"/>
        <v>0</v>
      </c>
      <c r="AS904" s="39"/>
      <c r="AT904" s="41">
        <f t="shared" si="406"/>
        <v>0</v>
      </c>
      <c r="AU904" s="47"/>
      <c r="AV904" s="41">
        <f t="shared" si="425"/>
        <v>0</v>
      </c>
      <c r="AW904" s="39"/>
      <c r="AX904" s="41">
        <f t="shared" si="407"/>
        <v>0</v>
      </c>
      <c r="AY904" s="47"/>
      <c r="AZ904" s="41">
        <f t="shared" si="426"/>
        <v>0</v>
      </c>
      <c r="BA904" s="39"/>
      <c r="BB904" s="41">
        <f t="shared" si="408"/>
        <v>0</v>
      </c>
      <c r="BC904" s="47"/>
      <c r="BD904" s="41">
        <f t="shared" si="427"/>
        <v>0</v>
      </c>
      <c r="BE904" s="39"/>
      <c r="BF904" s="47"/>
    </row>
    <row r="905" spans="1:58" ht="15.75" customHeight="1" x14ac:dyDescent="0.25">
      <c r="A905" s="44">
        <v>2018</v>
      </c>
      <c r="B905" s="39">
        <v>171240</v>
      </c>
      <c r="C905" s="38" t="s">
        <v>148</v>
      </c>
      <c r="D905" s="38" t="s">
        <v>74</v>
      </c>
      <c r="E905" s="39"/>
      <c r="F905" s="42">
        <f t="shared" si="409"/>
        <v>0</v>
      </c>
      <c r="G905" s="47"/>
      <c r="H905" s="42">
        <f t="shared" si="410"/>
        <v>0</v>
      </c>
      <c r="I905" s="39"/>
      <c r="J905" s="41">
        <f t="shared" si="411"/>
        <v>0</v>
      </c>
      <c r="K905" s="47"/>
      <c r="L905" s="41">
        <f t="shared" si="412"/>
        <v>0</v>
      </c>
      <c r="M905" s="39"/>
      <c r="N905" s="41">
        <f t="shared" si="413"/>
        <v>0</v>
      </c>
      <c r="O905" s="47"/>
      <c r="P905" s="41">
        <f t="shared" si="414"/>
        <v>0</v>
      </c>
      <c r="Q905" s="39"/>
      <c r="R905" s="41">
        <f t="shared" si="415"/>
        <v>0</v>
      </c>
      <c r="S905" s="47"/>
      <c r="T905" s="41">
        <f t="shared" si="416"/>
        <v>0</v>
      </c>
      <c r="U905" s="39"/>
      <c r="V905" s="41">
        <f t="shared" si="417"/>
        <v>0</v>
      </c>
      <c r="W905" s="47"/>
      <c r="X905" s="41">
        <f t="shared" si="418"/>
        <v>0</v>
      </c>
      <c r="Y905" s="39"/>
      <c r="Z905" s="41">
        <f t="shared" si="419"/>
        <v>0</v>
      </c>
      <c r="AA905" s="47"/>
      <c r="AB905" s="41">
        <f t="shared" si="420"/>
        <v>0</v>
      </c>
      <c r="AC905" s="39"/>
      <c r="AD905" s="41">
        <f t="shared" si="402"/>
        <v>0</v>
      </c>
      <c r="AE905" s="47"/>
      <c r="AF905" s="41">
        <f t="shared" si="421"/>
        <v>0</v>
      </c>
      <c r="AG905" s="39"/>
      <c r="AH905" s="41">
        <f t="shared" si="403"/>
        <v>0</v>
      </c>
      <c r="AI905" s="47"/>
      <c r="AJ905" s="41">
        <f t="shared" si="422"/>
        <v>0</v>
      </c>
      <c r="AK905" s="39"/>
      <c r="AL905" s="41">
        <f t="shared" si="404"/>
        <v>0</v>
      </c>
      <c r="AM905" s="47"/>
      <c r="AN905" s="41">
        <f t="shared" si="423"/>
        <v>0</v>
      </c>
      <c r="AO905" s="39"/>
      <c r="AP905" s="41">
        <f t="shared" si="405"/>
        <v>0</v>
      </c>
      <c r="AQ905" s="47"/>
      <c r="AR905" s="41">
        <f t="shared" si="424"/>
        <v>0</v>
      </c>
      <c r="AS905" s="39"/>
      <c r="AT905" s="41">
        <f t="shared" si="406"/>
        <v>0</v>
      </c>
      <c r="AU905" s="47"/>
      <c r="AV905" s="41">
        <f t="shared" si="425"/>
        <v>0</v>
      </c>
      <c r="AW905" s="39"/>
      <c r="AX905" s="41">
        <f t="shared" si="407"/>
        <v>0</v>
      </c>
      <c r="AY905" s="47"/>
      <c r="AZ905" s="41">
        <f t="shared" si="426"/>
        <v>0</v>
      </c>
      <c r="BA905" s="39"/>
      <c r="BB905" s="41">
        <f t="shared" si="408"/>
        <v>0</v>
      </c>
      <c r="BC905" s="47"/>
      <c r="BD905" s="41">
        <f t="shared" si="427"/>
        <v>0</v>
      </c>
      <c r="BE905" s="39"/>
      <c r="BF905" s="47"/>
    </row>
    <row r="906" spans="1:58" ht="15.75" customHeight="1" x14ac:dyDescent="0.25">
      <c r="A906" s="44">
        <v>2018</v>
      </c>
      <c r="B906" s="39">
        <v>171245</v>
      </c>
      <c r="C906" s="38" t="s">
        <v>145</v>
      </c>
      <c r="D906" s="38" t="s">
        <v>75</v>
      </c>
      <c r="E906" s="39"/>
      <c r="F906" s="42">
        <f t="shared" si="409"/>
        <v>0</v>
      </c>
      <c r="G906" s="47"/>
      <c r="H906" s="42">
        <f t="shared" si="410"/>
        <v>0</v>
      </c>
      <c r="I906" s="39"/>
      <c r="J906" s="41">
        <f t="shared" si="411"/>
        <v>0</v>
      </c>
      <c r="K906" s="47"/>
      <c r="L906" s="41">
        <f t="shared" si="412"/>
        <v>0</v>
      </c>
      <c r="M906" s="39"/>
      <c r="N906" s="41">
        <f t="shared" si="413"/>
        <v>0</v>
      </c>
      <c r="O906" s="47"/>
      <c r="P906" s="41">
        <f t="shared" si="414"/>
        <v>0</v>
      </c>
      <c r="Q906" s="39"/>
      <c r="R906" s="41">
        <f t="shared" si="415"/>
        <v>0</v>
      </c>
      <c r="S906" s="47"/>
      <c r="T906" s="41">
        <f t="shared" si="416"/>
        <v>0</v>
      </c>
      <c r="U906" s="39"/>
      <c r="V906" s="41">
        <f t="shared" si="417"/>
        <v>0</v>
      </c>
      <c r="W906" s="47"/>
      <c r="X906" s="41">
        <f t="shared" si="418"/>
        <v>0</v>
      </c>
      <c r="Y906" s="39"/>
      <c r="Z906" s="41">
        <f t="shared" si="419"/>
        <v>0</v>
      </c>
      <c r="AA906" s="47"/>
      <c r="AB906" s="41">
        <f t="shared" si="420"/>
        <v>0</v>
      </c>
      <c r="AC906" s="39"/>
      <c r="AD906" s="41">
        <f t="shared" si="402"/>
        <v>0</v>
      </c>
      <c r="AE906" s="47"/>
      <c r="AF906" s="41">
        <f t="shared" si="421"/>
        <v>0</v>
      </c>
      <c r="AG906" s="39"/>
      <c r="AH906" s="41">
        <f t="shared" si="403"/>
        <v>0</v>
      </c>
      <c r="AI906" s="47"/>
      <c r="AJ906" s="41">
        <f t="shared" si="422"/>
        <v>0</v>
      </c>
      <c r="AK906" s="39"/>
      <c r="AL906" s="41">
        <f t="shared" si="404"/>
        <v>0</v>
      </c>
      <c r="AM906" s="47"/>
      <c r="AN906" s="41">
        <f t="shared" si="423"/>
        <v>0</v>
      </c>
      <c r="AO906" s="39"/>
      <c r="AP906" s="41">
        <f t="shared" si="405"/>
        <v>0</v>
      </c>
      <c r="AQ906" s="47"/>
      <c r="AR906" s="41">
        <f t="shared" si="424"/>
        <v>0</v>
      </c>
      <c r="AS906" s="39"/>
      <c r="AT906" s="41">
        <f t="shared" si="406"/>
        <v>0</v>
      </c>
      <c r="AU906" s="47"/>
      <c r="AV906" s="41">
        <f t="shared" si="425"/>
        <v>0</v>
      </c>
      <c r="AW906" s="39"/>
      <c r="AX906" s="41">
        <f t="shared" si="407"/>
        <v>0</v>
      </c>
      <c r="AY906" s="47"/>
      <c r="AZ906" s="41">
        <f t="shared" si="426"/>
        <v>0</v>
      </c>
      <c r="BA906" s="39"/>
      <c r="BB906" s="41">
        <f t="shared" si="408"/>
        <v>0</v>
      </c>
      <c r="BC906" s="47"/>
      <c r="BD906" s="41">
        <f t="shared" si="427"/>
        <v>0</v>
      </c>
      <c r="BE906" s="39"/>
      <c r="BF906" s="47"/>
    </row>
    <row r="907" spans="1:58" ht="15.75" customHeight="1" x14ac:dyDescent="0.25">
      <c r="A907" s="44">
        <v>2018</v>
      </c>
      <c r="B907" s="39">
        <v>171250</v>
      </c>
      <c r="C907" s="38" t="s">
        <v>144</v>
      </c>
      <c r="D907" s="38" t="s">
        <v>76</v>
      </c>
      <c r="E907" s="39"/>
      <c r="F907" s="42">
        <f t="shared" si="409"/>
        <v>0</v>
      </c>
      <c r="G907" s="47"/>
      <c r="H907" s="42">
        <f t="shared" si="410"/>
        <v>0</v>
      </c>
      <c r="I907" s="39"/>
      <c r="J907" s="41">
        <f t="shared" si="411"/>
        <v>0</v>
      </c>
      <c r="K907" s="47"/>
      <c r="L907" s="41">
        <f t="shared" si="412"/>
        <v>0</v>
      </c>
      <c r="M907" s="39"/>
      <c r="N907" s="41">
        <f t="shared" si="413"/>
        <v>0</v>
      </c>
      <c r="O907" s="47"/>
      <c r="P907" s="41">
        <f t="shared" si="414"/>
        <v>0</v>
      </c>
      <c r="Q907" s="39"/>
      <c r="R907" s="41">
        <f t="shared" si="415"/>
        <v>0</v>
      </c>
      <c r="S907" s="47"/>
      <c r="T907" s="41">
        <f t="shared" si="416"/>
        <v>0</v>
      </c>
      <c r="U907" s="39"/>
      <c r="V907" s="41">
        <f t="shared" si="417"/>
        <v>0</v>
      </c>
      <c r="W907" s="47"/>
      <c r="X907" s="41">
        <f t="shared" si="418"/>
        <v>0</v>
      </c>
      <c r="Y907" s="39"/>
      <c r="Z907" s="41">
        <f t="shared" si="419"/>
        <v>0</v>
      </c>
      <c r="AA907" s="47"/>
      <c r="AB907" s="41">
        <f t="shared" si="420"/>
        <v>0</v>
      </c>
      <c r="AC907" s="39"/>
      <c r="AD907" s="41">
        <f t="shared" si="402"/>
        <v>0</v>
      </c>
      <c r="AE907" s="47"/>
      <c r="AF907" s="41">
        <f t="shared" si="421"/>
        <v>0</v>
      </c>
      <c r="AG907" s="39"/>
      <c r="AH907" s="41">
        <f t="shared" si="403"/>
        <v>0</v>
      </c>
      <c r="AI907" s="47"/>
      <c r="AJ907" s="41">
        <f t="shared" si="422"/>
        <v>0</v>
      </c>
      <c r="AK907" s="39"/>
      <c r="AL907" s="41">
        <f t="shared" si="404"/>
        <v>0</v>
      </c>
      <c r="AM907" s="47"/>
      <c r="AN907" s="41">
        <f t="shared" si="423"/>
        <v>0</v>
      </c>
      <c r="AO907" s="39"/>
      <c r="AP907" s="41">
        <f t="shared" si="405"/>
        <v>0</v>
      </c>
      <c r="AQ907" s="47"/>
      <c r="AR907" s="41">
        <f t="shared" si="424"/>
        <v>0</v>
      </c>
      <c r="AS907" s="39"/>
      <c r="AT907" s="41">
        <f t="shared" si="406"/>
        <v>0</v>
      </c>
      <c r="AU907" s="47"/>
      <c r="AV907" s="41">
        <f t="shared" si="425"/>
        <v>0</v>
      </c>
      <c r="AW907" s="39"/>
      <c r="AX907" s="41">
        <f t="shared" si="407"/>
        <v>0</v>
      </c>
      <c r="AY907" s="47"/>
      <c r="AZ907" s="41">
        <f t="shared" si="426"/>
        <v>0</v>
      </c>
      <c r="BA907" s="39"/>
      <c r="BB907" s="41">
        <f t="shared" si="408"/>
        <v>0</v>
      </c>
      <c r="BC907" s="47"/>
      <c r="BD907" s="41">
        <f t="shared" si="427"/>
        <v>0</v>
      </c>
      <c r="BE907" s="39"/>
      <c r="BF907" s="47"/>
    </row>
    <row r="908" spans="1:58" ht="15.75" customHeight="1" x14ac:dyDescent="0.25">
      <c r="A908" s="44">
        <v>2018</v>
      </c>
      <c r="B908" s="39">
        <v>171270</v>
      </c>
      <c r="C908" s="38" t="s">
        <v>151</v>
      </c>
      <c r="D908" s="38" t="s">
        <v>77</v>
      </c>
      <c r="E908" s="39"/>
      <c r="F908" s="42">
        <f t="shared" si="409"/>
        <v>0</v>
      </c>
      <c r="G908" s="47"/>
      <c r="H908" s="42">
        <f t="shared" si="410"/>
        <v>0</v>
      </c>
      <c r="I908" s="39"/>
      <c r="J908" s="41">
        <f t="shared" si="411"/>
        <v>0</v>
      </c>
      <c r="K908" s="47"/>
      <c r="L908" s="41">
        <f t="shared" si="412"/>
        <v>0</v>
      </c>
      <c r="M908" s="39"/>
      <c r="N908" s="41">
        <f t="shared" si="413"/>
        <v>0</v>
      </c>
      <c r="O908" s="47"/>
      <c r="P908" s="41">
        <f t="shared" si="414"/>
        <v>0</v>
      </c>
      <c r="Q908" s="39"/>
      <c r="R908" s="41">
        <f t="shared" si="415"/>
        <v>0</v>
      </c>
      <c r="S908" s="47"/>
      <c r="T908" s="41">
        <f t="shared" si="416"/>
        <v>0</v>
      </c>
      <c r="U908" s="39"/>
      <c r="V908" s="41">
        <f t="shared" si="417"/>
        <v>0</v>
      </c>
      <c r="W908" s="47"/>
      <c r="X908" s="41">
        <f t="shared" si="418"/>
        <v>0</v>
      </c>
      <c r="Y908" s="39"/>
      <c r="Z908" s="41">
        <f t="shared" si="419"/>
        <v>0</v>
      </c>
      <c r="AA908" s="47"/>
      <c r="AB908" s="41">
        <f t="shared" si="420"/>
        <v>0</v>
      </c>
      <c r="AC908" s="39"/>
      <c r="AD908" s="41">
        <f t="shared" si="402"/>
        <v>0</v>
      </c>
      <c r="AE908" s="47"/>
      <c r="AF908" s="41">
        <f t="shared" si="421"/>
        <v>0</v>
      </c>
      <c r="AG908" s="39"/>
      <c r="AH908" s="41">
        <f t="shared" si="403"/>
        <v>0</v>
      </c>
      <c r="AI908" s="47"/>
      <c r="AJ908" s="41">
        <f t="shared" si="422"/>
        <v>0</v>
      </c>
      <c r="AK908" s="39"/>
      <c r="AL908" s="41">
        <f t="shared" si="404"/>
        <v>0</v>
      </c>
      <c r="AM908" s="47"/>
      <c r="AN908" s="41">
        <f t="shared" si="423"/>
        <v>0</v>
      </c>
      <c r="AO908" s="39"/>
      <c r="AP908" s="41">
        <f t="shared" si="405"/>
        <v>0</v>
      </c>
      <c r="AQ908" s="47"/>
      <c r="AR908" s="41">
        <f t="shared" si="424"/>
        <v>0</v>
      </c>
      <c r="AS908" s="39"/>
      <c r="AT908" s="41">
        <f t="shared" si="406"/>
        <v>0</v>
      </c>
      <c r="AU908" s="47"/>
      <c r="AV908" s="41">
        <f t="shared" si="425"/>
        <v>0</v>
      </c>
      <c r="AW908" s="39"/>
      <c r="AX908" s="41">
        <f t="shared" si="407"/>
        <v>0</v>
      </c>
      <c r="AY908" s="47"/>
      <c r="AZ908" s="41">
        <f t="shared" si="426"/>
        <v>0</v>
      </c>
      <c r="BA908" s="39"/>
      <c r="BB908" s="41">
        <f t="shared" si="408"/>
        <v>0</v>
      </c>
      <c r="BC908" s="47"/>
      <c r="BD908" s="41">
        <f t="shared" si="427"/>
        <v>0</v>
      </c>
      <c r="BE908" s="39"/>
      <c r="BF908" s="47"/>
    </row>
    <row r="909" spans="1:58" ht="15.75" customHeight="1" x14ac:dyDescent="0.25">
      <c r="A909" s="44">
        <v>2018</v>
      </c>
      <c r="B909" s="39">
        <v>171280</v>
      </c>
      <c r="C909" s="38" t="s">
        <v>145</v>
      </c>
      <c r="D909" s="38" t="s">
        <v>78</v>
      </c>
      <c r="E909" s="39"/>
      <c r="F909" s="42">
        <f t="shared" si="409"/>
        <v>0</v>
      </c>
      <c r="G909" s="47"/>
      <c r="H909" s="42">
        <f t="shared" si="410"/>
        <v>0</v>
      </c>
      <c r="I909" s="39"/>
      <c r="J909" s="41">
        <f t="shared" si="411"/>
        <v>0</v>
      </c>
      <c r="K909" s="47"/>
      <c r="L909" s="41">
        <f t="shared" si="412"/>
        <v>0</v>
      </c>
      <c r="M909" s="39"/>
      <c r="N909" s="41">
        <f t="shared" si="413"/>
        <v>0</v>
      </c>
      <c r="O909" s="47"/>
      <c r="P909" s="41">
        <f t="shared" si="414"/>
        <v>0</v>
      </c>
      <c r="Q909" s="39"/>
      <c r="R909" s="41">
        <f t="shared" si="415"/>
        <v>0</v>
      </c>
      <c r="S909" s="47"/>
      <c r="T909" s="41">
        <f t="shared" si="416"/>
        <v>0</v>
      </c>
      <c r="U909" s="39"/>
      <c r="V909" s="41">
        <f t="shared" si="417"/>
        <v>0</v>
      </c>
      <c r="W909" s="47"/>
      <c r="X909" s="41">
        <f t="shared" si="418"/>
        <v>0</v>
      </c>
      <c r="Y909" s="39"/>
      <c r="Z909" s="41">
        <f t="shared" si="419"/>
        <v>0</v>
      </c>
      <c r="AA909" s="47"/>
      <c r="AB909" s="41">
        <f t="shared" si="420"/>
        <v>0</v>
      </c>
      <c r="AC909" s="39"/>
      <c r="AD909" s="41">
        <f t="shared" si="402"/>
        <v>0</v>
      </c>
      <c r="AE909" s="47"/>
      <c r="AF909" s="41">
        <f t="shared" si="421"/>
        <v>0</v>
      </c>
      <c r="AG909" s="39"/>
      <c r="AH909" s="41">
        <f t="shared" si="403"/>
        <v>0</v>
      </c>
      <c r="AI909" s="47"/>
      <c r="AJ909" s="41">
        <f t="shared" si="422"/>
        <v>0</v>
      </c>
      <c r="AK909" s="39"/>
      <c r="AL909" s="41">
        <f t="shared" si="404"/>
        <v>0</v>
      </c>
      <c r="AM909" s="47"/>
      <c r="AN909" s="41">
        <f t="shared" si="423"/>
        <v>0</v>
      </c>
      <c r="AO909" s="39"/>
      <c r="AP909" s="41">
        <f t="shared" si="405"/>
        <v>0</v>
      </c>
      <c r="AQ909" s="47"/>
      <c r="AR909" s="41">
        <f t="shared" si="424"/>
        <v>0</v>
      </c>
      <c r="AS909" s="39"/>
      <c r="AT909" s="41">
        <f t="shared" si="406"/>
        <v>0</v>
      </c>
      <c r="AU909" s="47"/>
      <c r="AV909" s="41">
        <f t="shared" si="425"/>
        <v>0</v>
      </c>
      <c r="AW909" s="39"/>
      <c r="AX909" s="41">
        <f t="shared" si="407"/>
        <v>0</v>
      </c>
      <c r="AY909" s="47"/>
      <c r="AZ909" s="41">
        <f t="shared" si="426"/>
        <v>0</v>
      </c>
      <c r="BA909" s="39"/>
      <c r="BB909" s="41">
        <f t="shared" si="408"/>
        <v>0</v>
      </c>
      <c r="BC909" s="47"/>
      <c r="BD909" s="41">
        <f t="shared" si="427"/>
        <v>0</v>
      </c>
      <c r="BE909" s="39"/>
      <c r="BF909" s="47"/>
    </row>
    <row r="910" spans="1:58" ht="15.75" customHeight="1" x14ac:dyDescent="0.25">
      <c r="A910" s="44">
        <v>2018</v>
      </c>
      <c r="B910" s="39">
        <v>171320</v>
      </c>
      <c r="C910" s="38" t="s">
        <v>148</v>
      </c>
      <c r="D910" s="38" t="s">
        <v>79</v>
      </c>
      <c r="E910" s="39"/>
      <c r="F910" s="42">
        <f t="shared" si="409"/>
        <v>0</v>
      </c>
      <c r="G910" s="47"/>
      <c r="H910" s="42">
        <f t="shared" si="410"/>
        <v>0</v>
      </c>
      <c r="I910" s="39"/>
      <c r="J910" s="41">
        <f t="shared" si="411"/>
        <v>0</v>
      </c>
      <c r="K910" s="47"/>
      <c r="L910" s="41">
        <f t="shared" si="412"/>
        <v>0</v>
      </c>
      <c r="M910" s="39"/>
      <c r="N910" s="41">
        <f t="shared" si="413"/>
        <v>0</v>
      </c>
      <c r="O910" s="47"/>
      <c r="P910" s="41">
        <f t="shared" si="414"/>
        <v>0</v>
      </c>
      <c r="Q910" s="39"/>
      <c r="R910" s="41">
        <f t="shared" si="415"/>
        <v>0</v>
      </c>
      <c r="S910" s="47"/>
      <c r="T910" s="41">
        <f t="shared" si="416"/>
        <v>0</v>
      </c>
      <c r="U910" s="39"/>
      <c r="V910" s="41">
        <f t="shared" si="417"/>
        <v>0</v>
      </c>
      <c r="W910" s="47"/>
      <c r="X910" s="41">
        <f t="shared" si="418"/>
        <v>0</v>
      </c>
      <c r="Y910" s="39"/>
      <c r="Z910" s="41">
        <f t="shared" si="419"/>
        <v>0</v>
      </c>
      <c r="AA910" s="47"/>
      <c r="AB910" s="41">
        <f t="shared" si="420"/>
        <v>0</v>
      </c>
      <c r="AC910" s="39"/>
      <c r="AD910" s="41">
        <f t="shared" si="402"/>
        <v>0</v>
      </c>
      <c r="AE910" s="47"/>
      <c r="AF910" s="41">
        <f t="shared" si="421"/>
        <v>0</v>
      </c>
      <c r="AG910" s="39"/>
      <c r="AH910" s="41">
        <f t="shared" si="403"/>
        <v>0</v>
      </c>
      <c r="AI910" s="47"/>
      <c r="AJ910" s="41">
        <f t="shared" si="422"/>
        <v>0</v>
      </c>
      <c r="AK910" s="39"/>
      <c r="AL910" s="41">
        <f t="shared" si="404"/>
        <v>0</v>
      </c>
      <c r="AM910" s="47"/>
      <c r="AN910" s="41">
        <f t="shared" si="423"/>
        <v>0</v>
      </c>
      <c r="AO910" s="39"/>
      <c r="AP910" s="41">
        <f t="shared" si="405"/>
        <v>0</v>
      </c>
      <c r="AQ910" s="47"/>
      <c r="AR910" s="41">
        <f t="shared" si="424"/>
        <v>0</v>
      </c>
      <c r="AS910" s="39"/>
      <c r="AT910" s="41">
        <f t="shared" si="406"/>
        <v>0</v>
      </c>
      <c r="AU910" s="47"/>
      <c r="AV910" s="41">
        <f t="shared" si="425"/>
        <v>0</v>
      </c>
      <c r="AW910" s="39"/>
      <c r="AX910" s="41">
        <f t="shared" si="407"/>
        <v>0</v>
      </c>
      <c r="AY910" s="47"/>
      <c r="AZ910" s="41">
        <f t="shared" si="426"/>
        <v>0</v>
      </c>
      <c r="BA910" s="39"/>
      <c r="BB910" s="41">
        <f t="shared" si="408"/>
        <v>0</v>
      </c>
      <c r="BC910" s="47"/>
      <c r="BD910" s="41">
        <f t="shared" si="427"/>
        <v>0</v>
      </c>
      <c r="BE910" s="39"/>
      <c r="BF910" s="47"/>
    </row>
    <row r="911" spans="1:58" ht="15.75" customHeight="1" x14ac:dyDescent="0.25">
      <c r="A911" s="44">
        <v>2018</v>
      </c>
      <c r="B911" s="39">
        <v>171330</v>
      </c>
      <c r="C911" s="38" t="s">
        <v>148</v>
      </c>
      <c r="D911" s="38" t="s">
        <v>80</v>
      </c>
      <c r="E911" s="39"/>
      <c r="F911" s="42">
        <f t="shared" si="409"/>
        <v>0</v>
      </c>
      <c r="G911" s="47"/>
      <c r="H911" s="42">
        <f t="shared" si="410"/>
        <v>0</v>
      </c>
      <c r="I911" s="39"/>
      <c r="J911" s="41">
        <f t="shared" si="411"/>
        <v>0</v>
      </c>
      <c r="K911" s="47"/>
      <c r="L911" s="41">
        <f t="shared" si="412"/>
        <v>0</v>
      </c>
      <c r="M911" s="39"/>
      <c r="N911" s="41">
        <f t="shared" si="413"/>
        <v>0</v>
      </c>
      <c r="O911" s="47"/>
      <c r="P911" s="41">
        <f t="shared" si="414"/>
        <v>0</v>
      </c>
      <c r="Q911" s="39"/>
      <c r="R911" s="41">
        <f t="shared" si="415"/>
        <v>0</v>
      </c>
      <c r="S911" s="47"/>
      <c r="T911" s="41">
        <f t="shared" si="416"/>
        <v>0</v>
      </c>
      <c r="U911" s="39"/>
      <c r="V911" s="41">
        <f t="shared" si="417"/>
        <v>0</v>
      </c>
      <c r="W911" s="47"/>
      <c r="X911" s="41">
        <f t="shared" si="418"/>
        <v>0</v>
      </c>
      <c r="Y911" s="39"/>
      <c r="Z911" s="41">
        <f t="shared" si="419"/>
        <v>0</v>
      </c>
      <c r="AA911" s="47"/>
      <c r="AB911" s="41">
        <f t="shared" si="420"/>
        <v>0</v>
      </c>
      <c r="AC911" s="39"/>
      <c r="AD911" s="41">
        <f t="shared" si="402"/>
        <v>0</v>
      </c>
      <c r="AE911" s="47"/>
      <c r="AF911" s="41">
        <f t="shared" si="421"/>
        <v>0</v>
      </c>
      <c r="AG911" s="39"/>
      <c r="AH911" s="41">
        <f t="shared" si="403"/>
        <v>0</v>
      </c>
      <c r="AI911" s="47"/>
      <c r="AJ911" s="41">
        <f t="shared" si="422"/>
        <v>0</v>
      </c>
      <c r="AK911" s="39"/>
      <c r="AL911" s="41">
        <f t="shared" si="404"/>
        <v>0</v>
      </c>
      <c r="AM911" s="47"/>
      <c r="AN911" s="41">
        <f t="shared" si="423"/>
        <v>0</v>
      </c>
      <c r="AO911" s="39"/>
      <c r="AP911" s="41">
        <f t="shared" si="405"/>
        <v>0</v>
      </c>
      <c r="AQ911" s="47"/>
      <c r="AR911" s="41">
        <f t="shared" si="424"/>
        <v>0</v>
      </c>
      <c r="AS911" s="39"/>
      <c r="AT911" s="41">
        <f t="shared" si="406"/>
        <v>0</v>
      </c>
      <c r="AU911" s="47"/>
      <c r="AV911" s="41">
        <f t="shared" si="425"/>
        <v>0</v>
      </c>
      <c r="AW911" s="39"/>
      <c r="AX911" s="41">
        <f t="shared" si="407"/>
        <v>0</v>
      </c>
      <c r="AY911" s="47"/>
      <c r="AZ911" s="41">
        <f t="shared" si="426"/>
        <v>0</v>
      </c>
      <c r="BA911" s="39"/>
      <c r="BB911" s="41">
        <f t="shared" si="408"/>
        <v>0</v>
      </c>
      <c r="BC911" s="47"/>
      <c r="BD911" s="41">
        <f t="shared" si="427"/>
        <v>0</v>
      </c>
      <c r="BE911" s="39"/>
      <c r="BF911" s="47"/>
    </row>
    <row r="912" spans="1:58" ht="15.75" customHeight="1" x14ac:dyDescent="0.25">
      <c r="A912" s="44">
        <v>2018</v>
      </c>
      <c r="B912" s="39">
        <v>171360</v>
      </c>
      <c r="C912" s="38" t="s">
        <v>151</v>
      </c>
      <c r="D912" s="38" t="s">
        <v>81</v>
      </c>
      <c r="E912" s="39"/>
      <c r="F912" s="42">
        <f t="shared" si="409"/>
        <v>0</v>
      </c>
      <c r="G912" s="47"/>
      <c r="H912" s="42">
        <f t="shared" si="410"/>
        <v>0</v>
      </c>
      <c r="I912" s="39"/>
      <c r="J912" s="41">
        <f t="shared" si="411"/>
        <v>0</v>
      </c>
      <c r="K912" s="47"/>
      <c r="L912" s="41">
        <f t="shared" si="412"/>
        <v>0</v>
      </c>
      <c r="M912" s="39"/>
      <c r="N912" s="41">
        <f t="shared" si="413"/>
        <v>0</v>
      </c>
      <c r="O912" s="47"/>
      <c r="P912" s="41">
        <f t="shared" si="414"/>
        <v>0</v>
      </c>
      <c r="Q912" s="39"/>
      <c r="R912" s="41">
        <f t="shared" si="415"/>
        <v>0</v>
      </c>
      <c r="S912" s="47"/>
      <c r="T912" s="41">
        <f t="shared" si="416"/>
        <v>0</v>
      </c>
      <c r="U912" s="39"/>
      <c r="V912" s="41">
        <f t="shared" si="417"/>
        <v>0</v>
      </c>
      <c r="W912" s="47"/>
      <c r="X912" s="41">
        <f t="shared" si="418"/>
        <v>0</v>
      </c>
      <c r="Y912" s="39"/>
      <c r="Z912" s="41">
        <f t="shared" si="419"/>
        <v>0</v>
      </c>
      <c r="AA912" s="47"/>
      <c r="AB912" s="41">
        <f t="shared" si="420"/>
        <v>0</v>
      </c>
      <c r="AC912" s="39"/>
      <c r="AD912" s="41">
        <f t="shared" si="402"/>
        <v>0</v>
      </c>
      <c r="AE912" s="47"/>
      <c r="AF912" s="41">
        <f t="shared" si="421"/>
        <v>0</v>
      </c>
      <c r="AG912" s="39"/>
      <c r="AH912" s="41">
        <f t="shared" si="403"/>
        <v>0</v>
      </c>
      <c r="AI912" s="47"/>
      <c r="AJ912" s="41">
        <f t="shared" si="422"/>
        <v>0</v>
      </c>
      <c r="AK912" s="39"/>
      <c r="AL912" s="41">
        <f t="shared" si="404"/>
        <v>0</v>
      </c>
      <c r="AM912" s="47"/>
      <c r="AN912" s="41">
        <f t="shared" si="423"/>
        <v>0</v>
      </c>
      <c r="AO912" s="39"/>
      <c r="AP912" s="41">
        <f t="shared" si="405"/>
        <v>0</v>
      </c>
      <c r="AQ912" s="47"/>
      <c r="AR912" s="41">
        <f t="shared" si="424"/>
        <v>0</v>
      </c>
      <c r="AS912" s="39"/>
      <c r="AT912" s="41">
        <f t="shared" si="406"/>
        <v>0</v>
      </c>
      <c r="AU912" s="47"/>
      <c r="AV912" s="41">
        <f t="shared" si="425"/>
        <v>0</v>
      </c>
      <c r="AW912" s="39"/>
      <c r="AX912" s="41">
        <f t="shared" si="407"/>
        <v>0</v>
      </c>
      <c r="AY912" s="47"/>
      <c r="AZ912" s="41">
        <f t="shared" si="426"/>
        <v>0</v>
      </c>
      <c r="BA912" s="39"/>
      <c r="BB912" s="41">
        <f t="shared" si="408"/>
        <v>0</v>
      </c>
      <c r="BC912" s="47"/>
      <c r="BD912" s="41">
        <f t="shared" si="427"/>
        <v>0</v>
      </c>
      <c r="BE912" s="39"/>
      <c r="BF912" s="47"/>
    </row>
    <row r="913" spans="1:58" ht="15.75" customHeight="1" x14ac:dyDescent="0.25">
      <c r="A913" s="44">
        <v>2018</v>
      </c>
      <c r="B913" s="39">
        <v>171370</v>
      </c>
      <c r="C913" s="38" t="s">
        <v>144</v>
      </c>
      <c r="D913" s="38" t="s">
        <v>82</v>
      </c>
      <c r="E913" s="39"/>
      <c r="F913" s="42">
        <f t="shared" si="409"/>
        <v>0</v>
      </c>
      <c r="G913" s="47"/>
      <c r="H913" s="42">
        <f t="shared" si="410"/>
        <v>0</v>
      </c>
      <c r="I913" s="39"/>
      <c r="J913" s="41">
        <f t="shared" si="411"/>
        <v>0</v>
      </c>
      <c r="K913" s="47"/>
      <c r="L913" s="41">
        <f t="shared" si="412"/>
        <v>0</v>
      </c>
      <c r="M913" s="39"/>
      <c r="N913" s="41">
        <f t="shared" si="413"/>
        <v>0</v>
      </c>
      <c r="O913" s="47"/>
      <c r="P913" s="41">
        <f t="shared" si="414"/>
        <v>0</v>
      </c>
      <c r="Q913" s="39"/>
      <c r="R913" s="41">
        <f t="shared" si="415"/>
        <v>0</v>
      </c>
      <c r="S913" s="47"/>
      <c r="T913" s="41">
        <f t="shared" si="416"/>
        <v>0</v>
      </c>
      <c r="U913" s="39"/>
      <c r="V913" s="41">
        <f t="shared" si="417"/>
        <v>0</v>
      </c>
      <c r="W913" s="47"/>
      <c r="X913" s="41">
        <f t="shared" si="418"/>
        <v>0</v>
      </c>
      <c r="Y913" s="39"/>
      <c r="Z913" s="41">
        <f t="shared" si="419"/>
        <v>0</v>
      </c>
      <c r="AA913" s="47"/>
      <c r="AB913" s="41">
        <f t="shared" si="420"/>
        <v>0</v>
      </c>
      <c r="AC913" s="39"/>
      <c r="AD913" s="41">
        <f t="shared" si="402"/>
        <v>0</v>
      </c>
      <c r="AE913" s="47"/>
      <c r="AF913" s="41">
        <f t="shared" si="421"/>
        <v>0</v>
      </c>
      <c r="AG913" s="39"/>
      <c r="AH913" s="41">
        <f t="shared" si="403"/>
        <v>0</v>
      </c>
      <c r="AI913" s="47"/>
      <c r="AJ913" s="41">
        <f t="shared" si="422"/>
        <v>0</v>
      </c>
      <c r="AK913" s="39"/>
      <c r="AL913" s="41">
        <f t="shared" si="404"/>
        <v>0</v>
      </c>
      <c r="AM913" s="47"/>
      <c r="AN913" s="41">
        <f t="shared" si="423"/>
        <v>0</v>
      </c>
      <c r="AO913" s="39"/>
      <c r="AP913" s="41">
        <f t="shared" si="405"/>
        <v>0</v>
      </c>
      <c r="AQ913" s="47"/>
      <c r="AR913" s="41">
        <f t="shared" si="424"/>
        <v>0</v>
      </c>
      <c r="AS913" s="39"/>
      <c r="AT913" s="41">
        <f t="shared" si="406"/>
        <v>0</v>
      </c>
      <c r="AU913" s="47"/>
      <c r="AV913" s="41">
        <f t="shared" si="425"/>
        <v>0</v>
      </c>
      <c r="AW913" s="39"/>
      <c r="AX913" s="41">
        <f t="shared" si="407"/>
        <v>0</v>
      </c>
      <c r="AY913" s="47"/>
      <c r="AZ913" s="41">
        <f t="shared" si="426"/>
        <v>0</v>
      </c>
      <c r="BA913" s="39"/>
      <c r="BB913" s="41">
        <f t="shared" si="408"/>
        <v>0</v>
      </c>
      <c r="BC913" s="47"/>
      <c r="BD913" s="41">
        <f t="shared" si="427"/>
        <v>0</v>
      </c>
      <c r="BE913" s="39"/>
      <c r="BF913" s="47"/>
    </row>
    <row r="914" spans="1:58" ht="15.75" customHeight="1" x14ac:dyDescent="0.25">
      <c r="A914" s="44">
        <v>2018</v>
      </c>
      <c r="B914" s="39">
        <v>171395</v>
      </c>
      <c r="C914" s="38" t="s">
        <v>149</v>
      </c>
      <c r="D914" s="38" t="s">
        <v>83</v>
      </c>
      <c r="E914" s="39"/>
      <c r="F914" s="42">
        <f t="shared" si="409"/>
        <v>0</v>
      </c>
      <c r="G914" s="47"/>
      <c r="H914" s="42">
        <f t="shared" si="410"/>
        <v>0</v>
      </c>
      <c r="I914" s="39"/>
      <c r="J914" s="41">
        <f t="shared" si="411"/>
        <v>0</v>
      </c>
      <c r="K914" s="47"/>
      <c r="L914" s="41">
        <f t="shared" si="412"/>
        <v>0</v>
      </c>
      <c r="M914" s="39"/>
      <c r="N914" s="41">
        <f t="shared" si="413"/>
        <v>0</v>
      </c>
      <c r="O914" s="47"/>
      <c r="P914" s="41">
        <f t="shared" si="414"/>
        <v>0</v>
      </c>
      <c r="Q914" s="39"/>
      <c r="R914" s="41">
        <f t="shared" si="415"/>
        <v>0</v>
      </c>
      <c r="S914" s="47"/>
      <c r="T914" s="41">
        <f t="shared" si="416"/>
        <v>0</v>
      </c>
      <c r="U914" s="39"/>
      <c r="V914" s="41">
        <f t="shared" si="417"/>
        <v>0</v>
      </c>
      <c r="W914" s="47"/>
      <c r="X914" s="41">
        <f t="shared" si="418"/>
        <v>0</v>
      </c>
      <c r="Y914" s="39"/>
      <c r="Z914" s="41">
        <f t="shared" si="419"/>
        <v>0</v>
      </c>
      <c r="AA914" s="47"/>
      <c r="AB914" s="41">
        <f t="shared" si="420"/>
        <v>0</v>
      </c>
      <c r="AC914" s="39"/>
      <c r="AD914" s="41">
        <f t="shared" si="402"/>
        <v>0</v>
      </c>
      <c r="AE914" s="47"/>
      <c r="AF914" s="41">
        <f t="shared" si="421"/>
        <v>0</v>
      </c>
      <c r="AG914" s="39"/>
      <c r="AH914" s="41">
        <f t="shared" si="403"/>
        <v>0</v>
      </c>
      <c r="AI914" s="47"/>
      <c r="AJ914" s="41">
        <f t="shared" si="422"/>
        <v>0</v>
      </c>
      <c r="AK914" s="39"/>
      <c r="AL914" s="41">
        <f t="shared" si="404"/>
        <v>0</v>
      </c>
      <c r="AM914" s="47"/>
      <c r="AN914" s="41">
        <f t="shared" si="423"/>
        <v>0</v>
      </c>
      <c r="AO914" s="39"/>
      <c r="AP914" s="41">
        <f t="shared" si="405"/>
        <v>0</v>
      </c>
      <c r="AQ914" s="47"/>
      <c r="AR914" s="41">
        <f t="shared" si="424"/>
        <v>0</v>
      </c>
      <c r="AS914" s="39"/>
      <c r="AT914" s="41">
        <f t="shared" si="406"/>
        <v>0</v>
      </c>
      <c r="AU914" s="47"/>
      <c r="AV914" s="41">
        <f t="shared" si="425"/>
        <v>0</v>
      </c>
      <c r="AW914" s="39"/>
      <c r="AX914" s="41">
        <f t="shared" si="407"/>
        <v>0</v>
      </c>
      <c r="AY914" s="47"/>
      <c r="AZ914" s="41">
        <f t="shared" si="426"/>
        <v>0</v>
      </c>
      <c r="BA914" s="39"/>
      <c r="BB914" s="41">
        <f t="shared" si="408"/>
        <v>0</v>
      </c>
      <c r="BC914" s="47"/>
      <c r="BD914" s="41">
        <f t="shared" si="427"/>
        <v>0</v>
      </c>
      <c r="BE914" s="39"/>
      <c r="BF914" s="47"/>
    </row>
    <row r="915" spans="1:58" ht="15.75" customHeight="1" x14ac:dyDescent="0.25">
      <c r="A915" s="44">
        <v>2018</v>
      </c>
      <c r="B915" s="39">
        <v>171420</v>
      </c>
      <c r="C915" s="38" t="s">
        <v>151</v>
      </c>
      <c r="D915" s="38" t="s">
        <v>84</v>
      </c>
      <c r="E915" s="39"/>
      <c r="F915" s="42">
        <f t="shared" si="409"/>
        <v>0</v>
      </c>
      <c r="G915" s="47"/>
      <c r="H915" s="42">
        <f t="shared" si="410"/>
        <v>0</v>
      </c>
      <c r="I915" s="39"/>
      <c r="J915" s="41">
        <f t="shared" si="411"/>
        <v>0</v>
      </c>
      <c r="K915" s="47"/>
      <c r="L915" s="41">
        <f t="shared" si="412"/>
        <v>0</v>
      </c>
      <c r="M915" s="39"/>
      <c r="N915" s="41">
        <f t="shared" si="413"/>
        <v>0</v>
      </c>
      <c r="O915" s="47"/>
      <c r="P915" s="41">
        <f t="shared" si="414"/>
        <v>0</v>
      </c>
      <c r="Q915" s="39"/>
      <c r="R915" s="41">
        <f t="shared" si="415"/>
        <v>0</v>
      </c>
      <c r="S915" s="47"/>
      <c r="T915" s="41">
        <f t="shared" si="416"/>
        <v>0</v>
      </c>
      <c r="U915" s="39"/>
      <c r="V915" s="41">
        <f t="shared" si="417"/>
        <v>0</v>
      </c>
      <c r="W915" s="47"/>
      <c r="X915" s="41">
        <f t="shared" si="418"/>
        <v>0</v>
      </c>
      <c r="Y915" s="39"/>
      <c r="Z915" s="41">
        <f t="shared" si="419"/>
        <v>0</v>
      </c>
      <c r="AA915" s="47"/>
      <c r="AB915" s="41">
        <f t="shared" si="420"/>
        <v>0</v>
      </c>
      <c r="AC915" s="39"/>
      <c r="AD915" s="41">
        <f t="shared" si="402"/>
        <v>0</v>
      </c>
      <c r="AE915" s="47"/>
      <c r="AF915" s="41">
        <f t="shared" si="421"/>
        <v>0</v>
      </c>
      <c r="AG915" s="39"/>
      <c r="AH915" s="41">
        <f t="shared" si="403"/>
        <v>0</v>
      </c>
      <c r="AI915" s="47"/>
      <c r="AJ915" s="41">
        <f t="shared" si="422"/>
        <v>0</v>
      </c>
      <c r="AK915" s="39"/>
      <c r="AL915" s="41">
        <f t="shared" si="404"/>
        <v>0</v>
      </c>
      <c r="AM915" s="47"/>
      <c r="AN915" s="41">
        <f t="shared" si="423"/>
        <v>0</v>
      </c>
      <c r="AO915" s="39"/>
      <c r="AP915" s="41">
        <f t="shared" si="405"/>
        <v>0</v>
      </c>
      <c r="AQ915" s="47"/>
      <c r="AR915" s="41">
        <f t="shared" si="424"/>
        <v>0</v>
      </c>
      <c r="AS915" s="39"/>
      <c r="AT915" s="41">
        <f t="shared" si="406"/>
        <v>0</v>
      </c>
      <c r="AU915" s="47"/>
      <c r="AV915" s="41">
        <f t="shared" si="425"/>
        <v>0</v>
      </c>
      <c r="AW915" s="39"/>
      <c r="AX915" s="41">
        <f t="shared" si="407"/>
        <v>0</v>
      </c>
      <c r="AY915" s="47"/>
      <c r="AZ915" s="41">
        <f t="shared" si="426"/>
        <v>0</v>
      </c>
      <c r="BA915" s="39"/>
      <c r="BB915" s="41">
        <f t="shared" si="408"/>
        <v>0</v>
      </c>
      <c r="BC915" s="47"/>
      <c r="BD915" s="41">
        <f t="shared" si="427"/>
        <v>0</v>
      </c>
      <c r="BE915" s="39"/>
      <c r="BF915" s="47"/>
    </row>
    <row r="916" spans="1:58" ht="15.75" customHeight="1" x14ac:dyDescent="0.25">
      <c r="A916" s="44">
        <v>2018</v>
      </c>
      <c r="B916" s="39">
        <v>171430</v>
      </c>
      <c r="C916" s="38" t="s">
        <v>145</v>
      </c>
      <c r="D916" s="38" t="s">
        <v>85</v>
      </c>
      <c r="E916" s="39"/>
      <c r="F916" s="42">
        <f t="shared" si="409"/>
        <v>0</v>
      </c>
      <c r="G916" s="47"/>
      <c r="H916" s="42">
        <f t="shared" si="410"/>
        <v>0</v>
      </c>
      <c r="I916" s="39"/>
      <c r="J916" s="41">
        <f t="shared" si="411"/>
        <v>0</v>
      </c>
      <c r="K916" s="47"/>
      <c r="L916" s="41">
        <f t="shared" si="412"/>
        <v>0</v>
      </c>
      <c r="M916" s="39"/>
      <c r="N916" s="41">
        <f t="shared" si="413"/>
        <v>0</v>
      </c>
      <c r="O916" s="47"/>
      <c r="P916" s="41">
        <f t="shared" si="414"/>
        <v>0</v>
      </c>
      <c r="Q916" s="39"/>
      <c r="R916" s="41">
        <f t="shared" si="415"/>
        <v>0</v>
      </c>
      <c r="S916" s="47"/>
      <c r="T916" s="41">
        <f t="shared" si="416"/>
        <v>0</v>
      </c>
      <c r="U916" s="39"/>
      <c r="V916" s="41">
        <f t="shared" si="417"/>
        <v>0</v>
      </c>
      <c r="W916" s="47"/>
      <c r="X916" s="41">
        <f t="shared" si="418"/>
        <v>0</v>
      </c>
      <c r="Y916" s="39"/>
      <c r="Z916" s="41">
        <f t="shared" si="419"/>
        <v>0</v>
      </c>
      <c r="AA916" s="47"/>
      <c r="AB916" s="41">
        <f t="shared" si="420"/>
        <v>0</v>
      </c>
      <c r="AC916" s="39"/>
      <c r="AD916" s="41">
        <f t="shared" si="402"/>
        <v>0</v>
      </c>
      <c r="AE916" s="47"/>
      <c r="AF916" s="41">
        <f t="shared" si="421"/>
        <v>0</v>
      </c>
      <c r="AG916" s="39"/>
      <c r="AH916" s="41">
        <f t="shared" si="403"/>
        <v>0</v>
      </c>
      <c r="AI916" s="47"/>
      <c r="AJ916" s="41">
        <f t="shared" si="422"/>
        <v>0</v>
      </c>
      <c r="AK916" s="39"/>
      <c r="AL916" s="41">
        <f t="shared" si="404"/>
        <v>0</v>
      </c>
      <c r="AM916" s="47"/>
      <c r="AN916" s="41">
        <f t="shared" si="423"/>
        <v>0</v>
      </c>
      <c r="AO916" s="39"/>
      <c r="AP916" s="41">
        <f t="shared" si="405"/>
        <v>0</v>
      </c>
      <c r="AQ916" s="47"/>
      <c r="AR916" s="41">
        <f t="shared" si="424"/>
        <v>0</v>
      </c>
      <c r="AS916" s="39"/>
      <c r="AT916" s="41">
        <f t="shared" si="406"/>
        <v>0</v>
      </c>
      <c r="AU916" s="47"/>
      <c r="AV916" s="41">
        <f t="shared" si="425"/>
        <v>0</v>
      </c>
      <c r="AW916" s="39"/>
      <c r="AX916" s="41">
        <f t="shared" si="407"/>
        <v>0</v>
      </c>
      <c r="AY916" s="47"/>
      <c r="AZ916" s="41">
        <f t="shared" si="426"/>
        <v>0</v>
      </c>
      <c r="BA916" s="39"/>
      <c r="BB916" s="41">
        <f t="shared" si="408"/>
        <v>0</v>
      </c>
      <c r="BC916" s="47"/>
      <c r="BD916" s="41">
        <f t="shared" si="427"/>
        <v>0</v>
      </c>
      <c r="BE916" s="39"/>
      <c r="BF916" s="47"/>
    </row>
    <row r="917" spans="1:58" ht="15.75" customHeight="1" x14ac:dyDescent="0.25">
      <c r="A917" s="44">
        <v>2018</v>
      </c>
      <c r="B917" s="39">
        <v>171488</v>
      </c>
      <c r="C917" s="38" t="s">
        <v>149</v>
      </c>
      <c r="D917" s="38" t="s">
        <v>86</v>
      </c>
      <c r="E917" s="39"/>
      <c r="F917" s="42">
        <f t="shared" si="409"/>
        <v>0</v>
      </c>
      <c r="G917" s="47"/>
      <c r="H917" s="42">
        <f t="shared" si="410"/>
        <v>0</v>
      </c>
      <c r="I917" s="39"/>
      <c r="J917" s="41">
        <f t="shared" si="411"/>
        <v>0</v>
      </c>
      <c r="K917" s="47"/>
      <c r="L917" s="41">
        <f t="shared" si="412"/>
        <v>0</v>
      </c>
      <c r="M917" s="39"/>
      <c r="N917" s="41">
        <f t="shared" si="413"/>
        <v>0</v>
      </c>
      <c r="O917" s="47"/>
      <c r="P917" s="41">
        <f t="shared" si="414"/>
        <v>0</v>
      </c>
      <c r="Q917" s="39"/>
      <c r="R917" s="41">
        <f t="shared" si="415"/>
        <v>0</v>
      </c>
      <c r="S917" s="47"/>
      <c r="T917" s="41">
        <f t="shared" si="416"/>
        <v>0</v>
      </c>
      <c r="U917" s="39"/>
      <c r="V917" s="41">
        <f t="shared" si="417"/>
        <v>0</v>
      </c>
      <c r="W917" s="47"/>
      <c r="X917" s="41">
        <f t="shared" si="418"/>
        <v>0</v>
      </c>
      <c r="Y917" s="39"/>
      <c r="Z917" s="41">
        <f t="shared" si="419"/>
        <v>0</v>
      </c>
      <c r="AA917" s="47"/>
      <c r="AB917" s="41">
        <f t="shared" si="420"/>
        <v>0</v>
      </c>
      <c r="AC917" s="39"/>
      <c r="AD917" s="41">
        <f t="shared" si="402"/>
        <v>0</v>
      </c>
      <c r="AE917" s="47"/>
      <c r="AF917" s="41">
        <f t="shared" si="421"/>
        <v>0</v>
      </c>
      <c r="AG917" s="39"/>
      <c r="AH917" s="41">
        <f t="shared" si="403"/>
        <v>0</v>
      </c>
      <c r="AI917" s="47"/>
      <c r="AJ917" s="41">
        <f t="shared" si="422"/>
        <v>0</v>
      </c>
      <c r="AK917" s="39"/>
      <c r="AL917" s="41">
        <f t="shared" si="404"/>
        <v>0</v>
      </c>
      <c r="AM917" s="47"/>
      <c r="AN917" s="41">
        <f t="shared" si="423"/>
        <v>0</v>
      </c>
      <c r="AO917" s="39"/>
      <c r="AP917" s="41">
        <f t="shared" si="405"/>
        <v>0</v>
      </c>
      <c r="AQ917" s="47"/>
      <c r="AR917" s="41">
        <f t="shared" si="424"/>
        <v>0</v>
      </c>
      <c r="AS917" s="39"/>
      <c r="AT917" s="41">
        <f t="shared" si="406"/>
        <v>0</v>
      </c>
      <c r="AU917" s="47"/>
      <c r="AV917" s="41">
        <f t="shared" si="425"/>
        <v>0</v>
      </c>
      <c r="AW917" s="39"/>
      <c r="AX917" s="41">
        <f t="shared" si="407"/>
        <v>0</v>
      </c>
      <c r="AY917" s="47"/>
      <c r="AZ917" s="41">
        <f t="shared" si="426"/>
        <v>0</v>
      </c>
      <c r="BA917" s="39"/>
      <c r="BB917" s="41">
        <f t="shared" si="408"/>
        <v>0</v>
      </c>
      <c r="BC917" s="47"/>
      <c r="BD917" s="41">
        <f t="shared" si="427"/>
        <v>0</v>
      </c>
      <c r="BE917" s="39"/>
      <c r="BF917" s="47"/>
    </row>
    <row r="918" spans="1:58" ht="15.75" customHeight="1" x14ac:dyDescent="0.25">
      <c r="A918" s="44">
        <v>2018</v>
      </c>
      <c r="B918" s="39">
        <v>171500</v>
      </c>
      <c r="C918" s="38" t="s">
        <v>144</v>
      </c>
      <c r="D918" s="38" t="s">
        <v>87</v>
      </c>
      <c r="E918" s="39"/>
      <c r="F918" s="42">
        <f t="shared" si="409"/>
        <v>0</v>
      </c>
      <c r="G918" s="47"/>
      <c r="H918" s="42">
        <f t="shared" si="410"/>
        <v>0</v>
      </c>
      <c r="I918" s="39"/>
      <c r="J918" s="41">
        <f t="shared" si="411"/>
        <v>0</v>
      </c>
      <c r="K918" s="47"/>
      <c r="L918" s="41">
        <f t="shared" si="412"/>
        <v>0</v>
      </c>
      <c r="M918" s="39"/>
      <c r="N918" s="41">
        <f t="shared" si="413"/>
        <v>0</v>
      </c>
      <c r="O918" s="47"/>
      <c r="P918" s="41">
        <f t="shared" si="414"/>
        <v>0</v>
      </c>
      <c r="Q918" s="39"/>
      <c r="R918" s="41">
        <f t="shared" si="415"/>
        <v>0</v>
      </c>
      <c r="S918" s="47"/>
      <c r="T918" s="41">
        <f t="shared" si="416"/>
        <v>0</v>
      </c>
      <c r="U918" s="39"/>
      <c r="V918" s="41">
        <f t="shared" si="417"/>
        <v>0</v>
      </c>
      <c r="W918" s="47"/>
      <c r="X918" s="41">
        <f t="shared" si="418"/>
        <v>0</v>
      </c>
      <c r="Y918" s="39"/>
      <c r="Z918" s="41">
        <f t="shared" si="419"/>
        <v>0</v>
      </c>
      <c r="AA918" s="47"/>
      <c r="AB918" s="41">
        <f t="shared" si="420"/>
        <v>0</v>
      </c>
      <c r="AC918" s="39"/>
      <c r="AD918" s="41">
        <f t="shared" si="402"/>
        <v>0</v>
      </c>
      <c r="AE918" s="47"/>
      <c r="AF918" s="41">
        <f t="shared" si="421"/>
        <v>0</v>
      </c>
      <c r="AG918" s="39"/>
      <c r="AH918" s="41">
        <f t="shared" si="403"/>
        <v>0</v>
      </c>
      <c r="AI918" s="47"/>
      <c r="AJ918" s="41">
        <f t="shared" si="422"/>
        <v>0</v>
      </c>
      <c r="AK918" s="39"/>
      <c r="AL918" s="41">
        <f t="shared" si="404"/>
        <v>0</v>
      </c>
      <c r="AM918" s="47"/>
      <c r="AN918" s="41">
        <f t="shared" si="423"/>
        <v>0</v>
      </c>
      <c r="AO918" s="39"/>
      <c r="AP918" s="41">
        <f t="shared" si="405"/>
        <v>0</v>
      </c>
      <c r="AQ918" s="47"/>
      <c r="AR918" s="41">
        <f t="shared" si="424"/>
        <v>0</v>
      </c>
      <c r="AS918" s="39"/>
      <c r="AT918" s="41">
        <f t="shared" si="406"/>
        <v>0</v>
      </c>
      <c r="AU918" s="47"/>
      <c r="AV918" s="41">
        <f t="shared" si="425"/>
        <v>0</v>
      </c>
      <c r="AW918" s="39"/>
      <c r="AX918" s="41">
        <f t="shared" si="407"/>
        <v>0</v>
      </c>
      <c r="AY918" s="47"/>
      <c r="AZ918" s="41">
        <f t="shared" si="426"/>
        <v>0</v>
      </c>
      <c r="BA918" s="39"/>
      <c r="BB918" s="41">
        <f t="shared" si="408"/>
        <v>0</v>
      </c>
      <c r="BC918" s="47"/>
      <c r="BD918" s="41">
        <f t="shared" si="427"/>
        <v>0</v>
      </c>
      <c r="BE918" s="39"/>
      <c r="BF918" s="47"/>
    </row>
    <row r="919" spans="1:58" ht="15.75" customHeight="1" x14ac:dyDescent="0.25">
      <c r="A919" s="44">
        <v>2018</v>
      </c>
      <c r="B919" s="39">
        <v>171510</v>
      </c>
      <c r="C919" s="38" t="s">
        <v>148</v>
      </c>
      <c r="D919" s="38" t="s">
        <v>88</v>
      </c>
      <c r="E919" s="39"/>
      <c r="F919" s="42">
        <f t="shared" si="409"/>
        <v>0</v>
      </c>
      <c r="G919" s="47"/>
      <c r="H919" s="42">
        <f t="shared" si="410"/>
        <v>0</v>
      </c>
      <c r="I919" s="39"/>
      <c r="J919" s="41">
        <f t="shared" si="411"/>
        <v>0</v>
      </c>
      <c r="K919" s="47"/>
      <c r="L919" s="41">
        <f t="shared" si="412"/>
        <v>0</v>
      </c>
      <c r="M919" s="39"/>
      <c r="N919" s="41">
        <f t="shared" si="413"/>
        <v>0</v>
      </c>
      <c r="O919" s="47"/>
      <c r="P919" s="41">
        <f t="shared" si="414"/>
        <v>0</v>
      </c>
      <c r="Q919" s="39"/>
      <c r="R919" s="41">
        <f t="shared" si="415"/>
        <v>0</v>
      </c>
      <c r="S919" s="47"/>
      <c r="T919" s="41">
        <f t="shared" si="416"/>
        <v>0</v>
      </c>
      <c r="U919" s="39"/>
      <c r="V919" s="41">
        <f t="shared" si="417"/>
        <v>0</v>
      </c>
      <c r="W919" s="47"/>
      <c r="X919" s="41">
        <f t="shared" si="418"/>
        <v>0</v>
      </c>
      <c r="Y919" s="39"/>
      <c r="Z919" s="41">
        <f t="shared" si="419"/>
        <v>0</v>
      </c>
      <c r="AA919" s="47"/>
      <c r="AB919" s="41">
        <f t="shared" si="420"/>
        <v>0</v>
      </c>
      <c r="AC919" s="39"/>
      <c r="AD919" s="41">
        <f t="shared" si="402"/>
        <v>0</v>
      </c>
      <c r="AE919" s="47"/>
      <c r="AF919" s="41">
        <f t="shared" si="421"/>
        <v>0</v>
      </c>
      <c r="AG919" s="39"/>
      <c r="AH919" s="41">
        <f t="shared" si="403"/>
        <v>0</v>
      </c>
      <c r="AI919" s="47"/>
      <c r="AJ919" s="41">
        <f t="shared" si="422"/>
        <v>0</v>
      </c>
      <c r="AK919" s="39"/>
      <c r="AL919" s="41">
        <f t="shared" si="404"/>
        <v>0</v>
      </c>
      <c r="AM919" s="47"/>
      <c r="AN919" s="41">
        <f t="shared" si="423"/>
        <v>0</v>
      </c>
      <c r="AO919" s="39"/>
      <c r="AP919" s="41">
        <f t="shared" si="405"/>
        <v>0</v>
      </c>
      <c r="AQ919" s="47"/>
      <c r="AR919" s="41">
        <f t="shared" si="424"/>
        <v>0</v>
      </c>
      <c r="AS919" s="39"/>
      <c r="AT919" s="41">
        <f t="shared" si="406"/>
        <v>0</v>
      </c>
      <c r="AU919" s="47"/>
      <c r="AV919" s="41">
        <f t="shared" si="425"/>
        <v>0</v>
      </c>
      <c r="AW919" s="39"/>
      <c r="AX919" s="41">
        <f t="shared" si="407"/>
        <v>0</v>
      </c>
      <c r="AY919" s="47"/>
      <c r="AZ919" s="41">
        <f t="shared" si="426"/>
        <v>0</v>
      </c>
      <c r="BA919" s="39"/>
      <c r="BB919" s="41">
        <f t="shared" si="408"/>
        <v>0</v>
      </c>
      <c r="BC919" s="47"/>
      <c r="BD919" s="41">
        <f t="shared" si="427"/>
        <v>0</v>
      </c>
      <c r="BE919" s="39"/>
      <c r="BF919" s="47"/>
    </row>
    <row r="920" spans="1:58" ht="15.75" customHeight="1" x14ac:dyDescent="0.25">
      <c r="A920" s="44">
        <v>2018</v>
      </c>
      <c r="B920" s="39">
        <v>171515</v>
      </c>
      <c r="C920" s="38" t="s">
        <v>147</v>
      </c>
      <c r="D920" s="38" t="s">
        <v>89</v>
      </c>
      <c r="E920" s="39"/>
      <c r="F920" s="42">
        <f t="shared" si="409"/>
        <v>0</v>
      </c>
      <c r="G920" s="47"/>
      <c r="H920" s="42">
        <f t="shared" si="410"/>
        <v>0</v>
      </c>
      <c r="I920" s="39"/>
      <c r="J920" s="41">
        <f t="shared" si="411"/>
        <v>0</v>
      </c>
      <c r="K920" s="47"/>
      <c r="L920" s="41">
        <f t="shared" si="412"/>
        <v>0</v>
      </c>
      <c r="M920" s="39"/>
      <c r="N920" s="41">
        <f t="shared" si="413"/>
        <v>0</v>
      </c>
      <c r="O920" s="47"/>
      <c r="P920" s="41">
        <f t="shared" si="414"/>
        <v>0</v>
      </c>
      <c r="Q920" s="39"/>
      <c r="R920" s="41">
        <f t="shared" si="415"/>
        <v>0</v>
      </c>
      <c r="S920" s="47"/>
      <c r="T920" s="41">
        <f t="shared" si="416"/>
        <v>0</v>
      </c>
      <c r="U920" s="39"/>
      <c r="V920" s="41">
        <f t="shared" si="417"/>
        <v>0</v>
      </c>
      <c r="W920" s="47"/>
      <c r="X920" s="41">
        <f t="shared" si="418"/>
        <v>0</v>
      </c>
      <c r="Y920" s="39"/>
      <c r="Z920" s="41">
        <f t="shared" si="419"/>
        <v>0</v>
      </c>
      <c r="AA920" s="47"/>
      <c r="AB920" s="41">
        <f t="shared" si="420"/>
        <v>0</v>
      </c>
      <c r="AC920" s="39"/>
      <c r="AD920" s="41">
        <f t="shared" si="402"/>
        <v>0</v>
      </c>
      <c r="AE920" s="47"/>
      <c r="AF920" s="41">
        <f t="shared" si="421"/>
        <v>0</v>
      </c>
      <c r="AG920" s="39"/>
      <c r="AH920" s="41">
        <f t="shared" si="403"/>
        <v>0</v>
      </c>
      <c r="AI920" s="47"/>
      <c r="AJ920" s="41">
        <f t="shared" si="422"/>
        <v>0</v>
      </c>
      <c r="AK920" s="39"/>
      <c r="AL920" s="41">
        <f t="shared" si="404"/>
        <v>0</v>
      </c>
      <c r="AM920" s="47"/>
      <c r="AN920" s="41">
        <f t="shared" si="423"/>
        <v>0</v>
      </c>
      <c r="AO920" s="39"/>
      <c r="AP920" s="41">
        <f t="shared" si="405"/>
        <v>0</v>
      </c>
      <c r="AQ920" s="47"/>
      <c r="AR920" s="41">
        <f t="shared" si="424"/>
        <v>0</v>
      </c>
      <c r="AS920" s="39"/>
      <c r="AT920" s="41">
        <f t="shared" si="406"/>
        <v>0</v>
      </c>
      <c r="AU920" s="47"/>
      <c r="AV920" s="41">
        <f t="shared" si="425"/>
        <v>0</v>
      </c>
      <c r="AW920" s="39"/>
      <c r="AX920" s="41">
        <f t="shared" si="407"/>
        <v>0</v>
      </c>
      <c r="AY920" s="47"/>
      <c r="AZ920" s="41">
        <f t="shared" si="426"/>
        <v>0</v>
      </c>
      <c r="BA920" s="39"/>
      <c r="BB920" s="41">
        <f t="shared" si="408"/>
        <v>0</v>
      </c>
      <c r="BC920" s="47"/>
      <c r="BD920" s="41">
        <f t="shared" si="427"/>
        <v>0</v>
      </c>
      <c r="BE920" s="39"/>
      <c r="BF920" s="47"/>
    </row>
    <row r="921" spans="1:58" ht="15.75" customHeight="1" x14ac:dyDescent="0.25">
      <c r="A921" s="44">
        <v>2018</v>
      </c>
      <c r="B921" s="39">
        <v>171525</v>
      </c>
      <c r="C921" s="38" t="s">
        <v>147</v>
      </c>
      <c r="D921" s="38" t="s">
        <v>90</v>
      </c>
      <c r="E921" s="39"/>
      <c r="F921" s="42">
        <f t="shared" si="409"/>
        <v>0</v>
      </c>
      <c r="G921" s="47"/>
      <c r="H921" s="42">
        <f t="shared" si="410"/>
        <v>0</v>
      </c>
      <c r="I921" s="39"/>
      <c r="J921" s="41">
        <f t="shared" si="411"/>
        <v>0</v>
      </c>
      <c r="K921" s="47"/>
      <c r="L921" s="41">
        <f t="shared" si="412"/>
        <v>0</v>
      </c>
      <c r="M921" s="39"/>
      <c r="N921" s="41">
        <f t="shared" si="413"/>
        <v>0</v>
      </c>
      <c r="O921" s="47"/>
      <c r="P921" s="41">
        <f t="shared" si="414"/>
        <v>0</v>
      </c>
      <c r="Q921" s="39"/>
      <c r="R921" s="41">
        <f t="shared" si="415"/>
        <v>0</v>
      </c>
      <c r="S921" s="47"/>
      <c r="T921" s="41">
        <f t="shared" si="416"/>
        <v>0</v>
      </c>
      <c r="U921" s="39"/>
      <c r="V921" s="41">
        <f t="shared" si="417"/>
        <v>0</v>
      </c>
      <c r="W921" s="47"/>
      <c r="X921" s="41">
        <f t="shared" si="418"/>
        <v>0</v>
      </c>
      <c r="Y921" s="39"/>
      <c r="Z921" s="41">
        <f t="shared" si="419"/>
        <v>0</v>
      </c>
      <c r="AA921" s="47"/>
      <c r="AB921" s="41">
        <f t="shared" si="420"/>
        <v>0</v>
      </c>
      <c r="AC921" s="39"/>
      <c r="AD921" s="41">
        <f t="shared" si="402"/>
        <v>0</v>
      </c>
      <c r="AE921" s="47"/>
      <c r="AF921" s="41">
        <f t="shared" si="421"/>
        <v>0</v>
      </c>
      <c r="AG921" s="39"/>
      <c r="AH921" s="41">
        <f t="shared" si="403"/>
        <v>0</v>
      </c>
      <c r="AI921" s="47"/>
      <c r="AJ921" s="41">
        <f t="shared" si="422"/>
        <v>0</v>
      </c>
      <c r="AK921" s="39"/>
      <c r="AL921" s="41">
        <f t="shared" si="404"/>
        <v>0</v>
      </c>
      <c r="AM921" s="47"/>
      <c r="AN921" s="41">
        <f t="shared" si="423"/>
        <v>0</v>
      </c>
      <c r="AO921" s="39"/>
      <c r="AP921" s="41">
        <f t="shared" si="405"/>
        <v>0</v>
      </c>
      <c r="AQ921" s="47"/>
      <c r="AR921" s="41">
        <f t="shared" si="424"/>
        <v>0</v>
      </c>
      <c r="AS921" s="39"/>
      <c r="AT921" s="41">
        <f t="shared" si="406"/>
        <v>0</v>
      </c>
      <c r="AU921" s="47"/>
      <c r="AV921" s="41">
        <f t="shared" si="425"/>
        <v>0</v>
      </c>
      <c r="AW921" s="39"/>
      <c r="AX921" s="41">
        <f t="shared" si="407"/>
        <v>0</v>
      </c>
      <c r="AY921" s="47"/>
      <c r="AZ921" s="41">
        <f t="shared" si="426"/>
        <v>0</v>
      </c>
      <c r="BA921" s="39"/>
      <c r="BB921" s="41">
        <f t="shared" si="408"/>
        <v>0</v>
      </c>
      <c r="BC921" s="47"/>
      <c r="BD921" s="41">
        <f t="shared" si="427"/>
        <v>0</v>
      </c>
      <c r="BE921" s="39"/>
      <c r="BF921" s="47"/>
    </row>
    <row r="922" spans="1:58" ht="15.75" customHeight="1" x14ac:dyDescent="0.25">
      <c r="A922" s="44">
        <v>2018</v>
      </c>
      <c r="B922" s="39">
        <v>171550</v>
      </c>
      <c r="C922" s="38" t="s">
        <v>151</v>
      </c>
      <c r="D922" s="38" t="s">
        <v>91</v>
      </c>
      <c r="E922" s="39"/>
      <c r="F922" s="42">
        <f t="shared" si="409"/>
        <v>0</v>
      </c>
      <c r="G922" s="47"/>
      <c r="H922" s="42">
        <f t="shared" si="410"/>
        <v>0</v>
      </c>
      <c r="I922" s="39"/>
      <c r="J922" s="41">
        <f t="shared" si="411"/>
        <v>0</v>
      </c>
      <c r="K922" s="47"/>
      <c r="L922" s="41">
        <f t="shared" si="412"/>
        <v>0</v>
      </c>
      <c r="M922" s="39"/>
      <c r="N922" s="41">
        <f t="shared" si="413"/>
        <v>0</v>
      </c>
      <c r="O922" s="47"/>
      <c r="P922" s="41">
        <f t="shared" si="414"/>
        <v>0</v>
      </c>
      <c r="Q922" s="39"/>
      <c r="R922" s="41">
        <f t="shared" si="415"/>
        <v>0</v>
      </c>
      <c r="S922" s="47"/>
      <c r="T922" s="41">
        <f t="shared" si="416"/>
        <v>0</v>
      </c>
      <c r="U922" s="39"/>
      <c r="V922" s="41">
        <f t="shared" si="417"/>
        <v>0</v>
      </c>
      <c r="W922" s="47"/>
      <c r="X922" s="41">
        <f t="shared" si="418"/>
        <v>0</v>
      </c>
      <c r="Y922" s="39"/>
      <c r="Z922" s="41">
        <f t="shared" si="419"/>
        <v>0</v>
      </c>
      <c r="AA922" s="47"/>
      <c r="AB922" s="41">
        <f t="shared" si="420"/>
        <v>0</v>
      </c>
      <c r="AC922" s="39"/>
      <c r="AD922" s="41">
        <f t="shared" si="402"/>
        <v>0</v>
      </c>
      <c r="AE922" s="47"/>
      <c r="AF922" s="41">
        <f t="shared" si="421"/>
        <v>0</v>
      </c>
      <c r="AG922" s="39"/>
      <c r="AH922" s="41">
        <f t="shared" si="403"/>
        <v>0</v>
      </c>
      <c r="AI922" s="47"/>
      <c r="AJ922" s="41">
        <f t="shared" si="422"/>
        <v>0</v>
      </c>
      <c r="AK922" s="39"/>
      <c r="AL922" s="41">
        <f t="shared" si="404"/>
        <v>0</v>
      </c>
      <c r="AM922" s="47"/>
      <c r="AN922" s="41">
        <f t="shared" si="423"/>
        <v>0</v>
      </c>
      <c r="AO922" s="39"/>
      <c r="AP922" s="41">
        <f t="shared" si="405"/>
        <v>0</v>
      </c>
      <c r="AQ922" s="47"/>
      <c r="AR922" s="41">
        <f t="shared" si="424"/>
        <v>0</v>
      </c>
      <c r="AS922" s="39"/>
      <c r="AT922" s="41">
        <f t="shared" si="406"/>
        <v>0</v>
      </c>
      <c r="AU922" s="47"/>
      <c r="AV922" s="41">
        <f t="shared" si="425"/>
        <v>0</v>
      </c>
      <c r="AW922" s="39"/>
      <c r="AX922" s="41">
        <f t="shared" si="407"/>
        <v>0</v>
      </c>
      <c r="AY922" s="47"/>
      <c r="AZ922" s="41">
        <f t="shared" si="426"/>
        <v>0</v>
      </c>
      <c r="BA922" s="39"/>
      <c r="BB922" s="41">
        <f t="shared" si="408"/>
        <v>0</v>
      </c>
      <c r="BC922" s="47"/>
      <c r="BD922" s="41">
        <f t="shared" si="427"/>
        <v>0</v>
      </c>
      <c r="BE922" s="39"/>
      <c r="BF922" s="47"/>
    </row>
    <row r="923" spans="1:58" ht="15.75" customHeight="1" x14ac:dyDescent="0.25">
      <c r="A923" s="44">
        <v>2018</v>
      </c>
      <c r="B923" s="39">
        <v>172100</v>
      </c>
      <c r="C923" s="38" t="s">
        <v>148</v>
      </c>
      <c r="D923" s="38" t="s">
        <v>92</v>
      </c>
      <c r="E923" s="39"/>
      <c r="F923" s="42">
        <f t="shared" si="409"/>
        <v>0</v>
      </c>
      <c r="G923" s="47"/>
      <c r="H923" s="42">
        <f t="shared" si="410"/>
        <v>0</v>
      </c>
      <c r="I923" s="39"/>
      <c r="J923" s="41">
        <f t="shared" si="411"/>
        <v>0</v>
      </c>
      <c r="K923" s="47"/>
      <c r="L923" s="41">
        <f t="shared" si="412"/>
        <v>0</v>
      </c>
      <c r="M923" s="39"/>
      <c r="N923" s="41">
        <f t="shared" si="413"/>
        <v>0</v>
      </c>
      <c r="O923" s="48"/>
      <c r="P923" s="41">
        <f t="shared" si="414"/>
        <v>0</v>
      </c>
      <c r="Q923" s="39"/>
      <c r="R923" s="41">
        <f t="shared" si="415"/>
        <v>0</v>
      </c>
      <c r="S923" s="47"/>
      <c r="T923" s="41">
        <f t="shared" si="416"/>
        <v>0</v>
      </c>
      <c r="U923" s="39"/>
      <c r="V923" s="41">
        <f t="shared" si="417"/>
        <v>0</v>
      </c>
      <c r="W923" s="47"/>
      <c r="X923" s="41">
        <f t="shared" si="418"/>
        <v>0</v>
      </c>
      <c r="Y923" s="39"/>
      <c r="Z923" s="41">
        <f t="shared" si="419"/>
        <v>0</v>
      </c>
      <c r="AA923" s="47"/>
      <c r="AB923" s="41">
        <f t="shared" si="420"/>
        <v>0</v>
      </c>
      <c r="AC923" s="39"/>
      <c r="AD923" s="41">
        <f t="shared" si="402"/>
        <v>0</v>
      </c>
      <c r="AE923" s="48"/>
      <c r="AF923" s="41">
        <f t="shared" si="421"/>
        <v>0</v>
      </c>
      <c r="AG923" s="39"/>
      <c r="AH923" s="41">
        <f t="shared" si="403"/>
        <v>0</v>
      </c>
      <c r="AI923" s="47"/>
      <c r="AJ923" s="41">
        <f t="shared" si="422"/>
        <v>0</v>
      </c>
      <c r="AK923" s="39"/>
      <c r="AL923" s="41">
        <f t="shared" si="404"/>
        <v>0</v>
      </c>
      <c r="AM923" s="47"/>
      <c r="AN923" s="41">
        <f t="shared" si="423"/>
        <v>0</v>
      </c>
      <c r="AO923" s="39"/>
      <c r="AP923" s="41">
        <f t="shared" si="405"/>
        <v>0</v>
      </c>
      <c r="AQ923" s="48"/>
      <c r="AR923" s="41">
        <f t="shared" si="424"/>
        <v>0</v>
      </c>
      <c r="AS923" s="39"/>
      <c r="AT923" s="41">
        <f t="shared" si="406"/>
        <v>0</v>
      </c>
      <c r="AU923" s="47"/>
      <c r="AV923" s="41">
        <f t="shared" si="425"/>
        <v>0</v>
      </c>
      <c r="AW923" s="39"/>
      <c r="AX923" s="41">
        <f t="shared" si="407"/>
        <v>0</v>
      </c>
      <c r="AY923" s="47"/>
      <c r="AZ923" s="41">
        <f t="shared" si="426"/>
        <v>0</v>
      </c>
      <c r="BA923" s="39"/>
      <c r="BB923" s="41">
        <f t="shared" si="408"/>
        <v>0</v>
      </c>
      <c r="BC923" s="47"/>
      <c r="BD923" s="41">
        <f t="shared" si="427"/>
        <v>0</v>
      </c>
      <c r="BE923" s="39"/>
      <c r="BF923" s="48"/>
    </row>
    <row r="924" spans="1:58" ht="15.75" customHeight="1" x14ac:dyDescent="0.25">
      <c r="A924" s="44">
        <v>2018</v>
      </c>
      <c r="B924" s="39">
        <v>171570</v>
      </c>
      <c r="C924" s="38" t="s">
        <v>150</v>
      </c>
      <c r="D924" s="38" t="s">
        <v>93</v>
      </c>
      <c r="E924" s="39"/>
      <c r="F924" s="42">
        <f t="shared" si="409"/>
        <v>0</v>
      </c>
      <c r="G924" s="47"/>
      <c r="H924" s="42">
        <f t="shared" si="410"/>
        <v>0</v>
      </c>
      <c r="I924" s="39"/>
      <c r="J924" s="41">
        <f t="shared" si="411"/>
        <v>0</v>
      </c>
      <c r="K924" s="47"/>
      <c r="L924" s="41">
        <f t="shared" si="412"/>
        <v>0</v>
      </c>
      <c r="M924" s="39"/>
      <c r="N924" s="41">
        <f t="shared" si="413"/>
        <v>0</v>
      </c>
      <c r="O924" s="47"/>
      <c r="P924" s="41">
        <f t="shared" si="414"/>
        <v>0</v>
      </c>
      <c r="Q924" s="39"/>
      <c r="R924" s="41">
        <f t="shared" si="415"/>
        <v>0</v>
      </c>
      <c r="S924" s="47"/>
      <c r="T924" s="41">
        <f t="shared" si="416"/>
        <v>0</v>
      </c>
      <c r="U924" s="39"/>
      <c r="V924" s="41">
        <f t="shared" si="417"/>
        <v>0</v>
      </c>
      <c r="W924" s="47"/>
      <c r="X924" s="41">
        <f t="shared" si="418"/>
        <v>0</v>
      </c>
      <c r="Y924" s="39"/>
      <c r="Z924" s="41">
        <f t="shared" si="419"/>
        <v>0</v>
      </c>
      <c r="AA924" s="47"/>
      <c r="AB924" s="41">
        <f t="shared" si="420"/>
        <v>0</v>
      </c>
      <c r="AC924" s="39"/>
      <c r="AD924" s="41">
        <f t="shared" si="402"/>
        <v>0</v>
      </c>
      <c r="AE924" s="47"/>
      <c r="AF924" s="41">
        <f t="shared" si="421"/>
        <v>0</v>
      </c>
      <c r="AG924" s="39"/>
      <c r="AH924" s="41">
        <f t="shared" si="403"/>
        <v>0</v>
      </c>
      <c r="AI924" s="47"/>
      <c r="AJ924" s="41">
        <f t="shared" si="422"/>
        <v>0</v>
      </c>
      <c r="AK924" s="39"/>
      <c r="AL924" s="41">
        <f t="shared" si="404"/>
        <v>0</v>
      </c>
      <c r="AM924" s="47"/>
      <c r="AN924" s="41">
        <f t="shared" si="423"/>
        <v>0</v>
      </c>
      <c r="AO924" s="39"/>
      <c r="AP924" s="41">
        <f t="shared" si="405"/>
        <v>0</v>
      </c>
      <c r="AQ924" s="47"/>
      <c r="AR924" s="41">
        <f t="shared" si="424"/>
        <v>0</v>
      </c>
      <c r="AS924" s="39"/>
      <c r="AT924" s="41">
        <f t="shared" si="406"/>
        <v>0</v>
      </c>
      <c r="AU924" s="47"/>
      <c r="AV924" s="41">
        <f t="shared" si="425"/>
        <v>0</v>
      </c>
      <c r="AW924" s="39"/>
      <c r="AX924" s="41">
        <f t="shared" si="407"/>
        <v>0</v>
      </c>
      <c r="AY924" s="47"/>
      <c r="AZ924" s="41">
        <f t="shared" si="426"/>
        <v>0</v>
      </c>
      <c r="BA924" s="39"/>
      <c r="BB924" s="41">
        <f t="shared" si="408"/>
        <v>0</v>
      </c>
      <c r="BC924" s="47"/>
      <c r="BD924" s="41">
        <f t="shared" si="427"/>
        <v>0</v>
      </c>
      <c r="BE924" s="39"/>
      <c r="BF924" s="47"/>
    </row>
    <row r="925" spans="1:58" ht="15.75" customHeight="1" x14ac:dyDescent="0.25">
      <c r="A925" s="44">
        <v>2018</v>
      </c>
      <c r="B925" s="39">
        <v>171380</v>
      </c>
      <c r="C925" s="38" t="s">
        <v>145</v>
      </c>
      <c r="D925" s="38" t="s">
        <v>94</v>
      </c>
      <c r="E925" s="39"/>
      <c r="F925" s="42">
        <f t="shared" si="409"/>
        <v>0</v>
      </c>
      <c r="G925" s="47"/>
      <c r="H925" s="42">
        <f t="shared" si="410"/>
        <v>0</v>
      </c>
      <c r="I925" s="39"/>
      <c r="J925" s="41">
        <f t="shared" si="411"/>
        <v>0</v>
      </c>
      <c r="K925" s="47"/>
      <c r="L925" s="41">
        <f t="shared" si="412"/>
        <v>0</v>
      </c>
      <c r="M925" s="39"/>
      <c r="N925" s="41">
        <f t="shared" si="413"/>
        <v>0</v>
      </c>
      <c r="O925" s="47"/>
      <c r="P925" s="41">
        <f t="shared" si="414"/>
        <v>0</v>
      </c>
      <c r="Q925" s="39"/>
      <c r="R925" s="41">
        <f t="shared" si="415"/>
        <v>0</v>
      </c>
      <c r="S925" s="47"/>
      <c r="T925" s="41">
        <f t="shared" si="416"/>
        <v>0</v>
      </c>
      <c r="U925" s="39"/>
      <c r="V925" s="41">
        <f t="shared" si="417"/>
        <v>0</v>
      </c>
      <c r="W925" s="47"/>
      <c r="X925" s="41">
        <f t="shared" si="418"/>
        <v>0</v>
      </c>
      <c r="Y925" s="39"/>
      <c r="Z925" s="41">
        <f t="shared" si="419"/>
        <v>0</v>
      </c>
      <c r="AA925" s="47"/>
      <c r="AB925" s="41">
        <f t="shared" si="420"/>
        <v>0</v>
      </c>
      <c r="AC925" s="39"/>
      <c r="AD925" s="41">
        <f t="shared" si="402"/>
        <v>0</v>
      </c>
      <c r="AE925" s="47"/>
      <c r="AF925" s="41">
        <f t="shared" si="421"/>
        <v>0</v>
      </c>
      <c r="AG925" s="39"/>
      <c r="AH925" s="41">
        <f t="shared" si="403"/>
        <v>0</v>
      </c>
      <c r="AI925" s="47"/>
      <c r="AJ925" s="41">
        <f t="shared" si="422"/>
        <v>0</v>
      </c>
      <c r="AK925" s="39"/>
      <c r="AL925" s="41">
        <f t="shared" si="404"/>
        <v>0</v>
      </c>
      <c r="AM925" s="47"/>
      <c r="AN925" s="41">
        <f t="shared" si="423"/>
        <v>0</v>
      </c>
      <c r="AO925" s="39"/>
      <c r="AP925" s="41">
        <f t="shared" si="405"/>
        <v>0</v>
      </c>
      <c r="AQ925" s="47"/>
      <c r="AR925" s="41">
        <f t="shared" si="424"/>
        <v>0</v>
      </c>
      <c r="AS925" s="39"/>
      <c r="AT925" s="41">
        <f t="shared" si="406"/>
        <v>0</v>
      </c>
      <c r="AU925" s="47"/>
      <c r="AV925" s="41">
        <f t="shared" si="425"/>
        <v>0</v>
      </c>
      <c r="AW925" s="39"/>
      <c r="AX925" s="41">
        <f t="shared" si="407"/>
        <v>0</v>
      </c>
      <c r="AY925" s="47"/>
      <c r="AZ925" s="41">
        <f t="shared" si="426"/>
        <v>0</v>
      </c>
      <c r="BA925" s="39"/>
      <c r="BB925" s="41">
        <f t="shared" si="408"/>
        <v>0</v>
      </c>
      <c r="BC925" s="47"/>
      <c r="BD925" s="41">
        <f t="shared" si="427"/>
        <v>0</v>
      </c>
      <c r="BE925" s="39"/>
      <c r="BF925" s="47"/>
    </row>
    <row r="926" spans="1:58" ht="15.75" customHeight="1" x14ac:dyDescent="0.25">
      <c r="A926" s="44">
        <v>2018</v>
      </c>
      <c r="B926" s="39">
        <v>171575</v>
      </c>
      <c r="C926" s="38" t="s">
        <v>146</v>
      </c>
      <c r="D926" s="38" t="s">
        <v>95</v>
      </c>
      <c r="E926" s="39"/>
      <c r="F926" s="42">
        <f t="shared" si="409"/>
        <v>0</v>
      </c>
      <c r="G926" s="47"/>
      <c r="H926" s="42">
        <f t="shared" si="410"/>
        <v>0</v>
      </c>
      <c r="I926" s="39"/>
      <c r="J926" s="41">
        <f t="shared" si="411"/>
        <v>0</v>
      </c>
      <c r="K926" s="47"/>
      <c r="L926" s="41">
        <f t="shared" si="412"/>
        <v>0</v>
      </c>
      <c r="M926" s="39"/>
      <c r="N926" s="41">
        <f t="shared" si="413"/>
        <v>0</v>
      </c>
      <c r="O926" s="47"/>
      <c r="P926" s="41">
        <f t="shared" si="414"/>
        <v>0</v>
      </c>
      <c r="Q926" s="39"/>
      <c r="R926" s="41">
        <f t="shared" si="415"/>
        <v>0</v>
      </c>
      <c r="S926" s="47"/>
      <c r="T926" s="41">
        <f t="shared" si="416"/>
        <v>0</v>
      </c>
      <c r="U926" s="39"/>
      <c r="V926" s="41">
        <f t="shared" si="417"/>
        <v>0</v>
      </c>
      <c r="W926" s="47"/>
      <c r="X926" s="41">
        <f t="shared" si="418"/>
        <v>0</v>
      </c>
      <c r="Y926" s="39"/>
      <c r="Z926" s="41">
        <f t="shared" si="419"/>
        <v>0</v>
      </c>
      <c r="AA926" s="47"/>
      <c r="AB926" s="41">
        <f t="shared" si="420"/>
        <v>0</v>
      </c>
      <c r="AC926" s="39"/>
      <c r="AD926" s="41">
        <f t="shared" si="402"/>
        <v>0</v>
      </c>
      <c r="AE926" s="47"/>
      <c r="AF926" s="41">
        <f t="shared" si="421"/>
        <v>0</v>
      </c>
      <c r="AG926" s="39"/>
      <c r="AH926" s="41">
        <f t="shared" si="403"/>
        <v>0</v>
      </c>
      <c r="AI926" s="47"/>
      <c r="AJ926" s="41">
        <f t="shared" si="422"/>
        <v>0</v>
      </c>
      <c r="AK926" s="39"/>
      <c r="AL926" s="41">
        <f t="shared" si="404"/>
        <v>0</v>
      </c>
      <c r="AM926" s="47"/>
      <c r="AN926" s="41">
        <f t="shared" si="423"/>
        <v>0</v>
      </c>
      <c r="AO926" s="39"/>
      <c r="AP926" s="41">
        <f t="shared" si="405"/>
        <v>0</v>
      </c>
      <c r="AQ926" s="47"/>
      <c r="AR926" s="41">
        <f t="shared" si="424"/>
        <v>0</v>
      </c>
      <c r="AS926" s="39"/>
      <c r="AT926" s="41">
        <f t="shared" si="406"/>
        <v>0</v>
      </c>
      <c r="AU926" s="47"/>
      <c r="AV926" s="41">
        <f t="shared" si="425"/>
        <v>0</v>
      </c>
      <c r="AW926" s="39"/>
      <c r="AX926" s="41">
        <f t="shared" si="407"/>
        <v>0</v>
      </c>
      <c r="AY926" s="47"/>
      <c r="AZ926" s="41">
        <f t="shared" si="426"/>
        <v>0</v>
      </c>
      <c r="BA926" s="39"/>
      <c r="BB926" s="41">
        <f t="shared" si="408"/>
        <v>0</v>
      </c>
      <c r="BC926" s="47"/>
      <c r="BD926" s="41">
        <f t="shared" si="427"/>
        <v>0</v>
      </c>
      <c r="BE926" s="39"/>
      <c r="BF926" s="47"/>
    </row>
    <row r="927" spans="1:58" ht="15.75" customHeight="1" x14ac:dyDescent="0.25">
      <c r="A927" s="44">
        <v>2018</v>
      </c>
      <c r="B927" s="39">
        <v>171610</v>
      </c>
      <c r="C927" s="38" t="s">
        <v>144</v>
      </c>
      <c r="D927" s="38" t="s">
        <v>96</v>
      </c>
      <c r="E927" s="39"/>
      <c r="F927" s="42">
        <f t="shared" si="409"/>
        <v>0</v>
      </c>
      <c r="G927" s="47"/>
      <c r="H927" s="42">
        <f t="shared" si="410"/>
        <v>0</v>
      </c>
      <c r="I927" s="39"/>
      <c r="J927" s="41">
        <f t="shared" si="411"/>
        <v>0</v>
      </c>
      <c r="K927" s="47"/>
      <c r="L927" s="41">
        <f t="shared" si="412"/>
        <v>0</v>
      </c>
      <c r="M927" s="39"/>
      <c r="N927" s="41">
        <f t="shared" si="413"/>
        <v>0</v>
      </c>
      <c r="O927" s="47"/>
      <c r="P927" s="41">
        <f t="shared" si="414"/>
        <v>0</v>
      </c>
      <c r="Q927" s="39"/>
      <c r="R927" s="41">
        <f t="shared" si="415"/>
        <v>0</v>
      </c>
      <c r="S927" s="47"/>
      <c r="T927" s="41">
        <f t="shared" si="416"/>
        <v>0</v>
      </c>
      <c r="U927" s="39"/>
      <c r="V927" s="41">
        <f t="shared" si="417"/>
        <v>0</v>
      </c>
      <c r="W927" s="47"/>
      <c r="X927" s="41">
        <f t="shared" si="418"/>
        <v>0</v>
      </c>
      <c r="Y927" s="39"/>
      <c r="Z927" s="41">
        <f t="shared" si="419"/>
        <v>0</v>
      </c>
      <c r="AA927" s="47"/>
      <c r="AB927" s="41">
        <f t="shared" si="420"/>
        <v>0</v>
      </c>
      <c r="AC927" s="39"/>
      <c r="AD927" s="41">
        <f t="shared" si="402"/>
        <v>0</v>
      </c>
      <c r="AE927" s="47"/>
      <c r="AF927" s="41">
        <f t="shared" si="421"/>
        <v>0</v>
      </c>
      <c r="AG927" s="39"/>
      <c r="AH927" s="41">
        <f t="shared" si="403"/>
        <v>0</v>
      </c>
      <c r="AI927" s="47"/>
      <c r="AJ927" s="41">
        <f t="shared" si="422"/>
        <v>0</v>
      </c>
      <c r="AK927" s="39"/>
      <c r="AL927" s="41">
        <f t="shared" si="404"/>
        <v>0</v>
      </c>
      <c r="AM927" s="47"/>
      <c r="AN927" s="41">
        <f t="shared" si="423"/>
        <v>0</v>
      </c>
      <c r="AO927" s="39"/>
      <c r="AP927" s="41">
        <f t="shared" si="405"/>
        <v>0</v>
      </c>
      <c r="AQ927" s="47"/>
      <c r="AR927" s="41">
        <f t="shared" si="424"/>
        <v>0</v>
      </c>
      <c r="AS927" s="39"/>
      <c r="AT927" s="41">
        <f t="shared" si="406"/>
        <v>0</v>
      </c>
      <c r="AU927" s="47"/>
      <c r="AV927" s="41">
        <f t="shared" si="425"/>
        <v>0</v>
      </c>
      <c r="AW927" s="39"/>
      <c r="AX927" s="41">
        <f t="shared" si="407"/>
        <v>0</v>
      </c>
      <c r="AY927" s="47"/>
      <c r="AZ927" s="41">
        <f t="shared" si="426"/>
        <v>0</v>
      </c>
      <c r="BA927" s="39"/>
      <c r="BB927" s="41">
        <f t="shared" si="408"/>
        <v>0</v>
      </c>
      <c r="BC927" s="47"/>
      <c r="BD927" s="41">
        <f t="shared" si="427"/>
        <v>0</v>
      </c>
      <c r="BE927" s="39"/>
      <c r="BF927" s="47"/>
    </row>
    <row r="928" spans="1:58" ht="15.75" customHeight="1" x14ac:dyDescent="0.25">
      <c r="A928" s="44">
        <v>2018</v>
      </c>
      <c r="B928" s="39">
        <v>171620</v>
      </c>
      <c r="C928" s="38" t="s">
        <v>147</v>
      </c>
      <c r="D928" s="38" t="s">
        <v>97</v>
      </c>
      <c r="E928" s="39"/>
      <c r="F928" s="42">
        <f t="shared" si="409"/>
        <v>0</v>
      </c>
      <c r="G928" s="47"/>
      <c r="H928" s="42">
        <f t="shared" si="410"/>
        <v>0</v>
      </c>
      <c r="I928" s="39"/>
      <c r="J928" s="41">
        <f t="shared" si="411"/>
        <v>0</v>
      </c>
      <c r="K928" s="47"/>
      <c r="L928" s="41">
        <f t="shared" si="412"/>
        <v>0</v>
      </c>
      <c r="M928" s="39"/>
      <c r="N928" s="41">
        <f t="shared" si="413"/>
        <v>0</v>
      </c>
      <c r="O928" s="47"/>
      <c r="P928" s="41">
        <f t="shared" si="414"/>
        <v>0</v>
      </c>
      <c r="Q928" s="39"/>
      <c r="R928" s="41">
        <f t="shared" si="415"/>
        <v>0</v>
      </c>
      <c r="S928" s="47"/>
      <c r="T928" s="41">
        <f t="shared" si="416"/>
        <v>0</v>
      </c>
      <c r="U928" s="39"/>
      <c r="V928" s="41">
        <f t="shared" si="417"/>
        <v>0</v>
      </c>
      <c r="W928" s="47"/>
      <c r="X928" s="41">
        <f t="shared" si="418"/>
        <v>0</v>
      </c>
      <c r="Y928" s="39"/>
      <c r="Z928" s="41">
        <f t="shared" si="419"/>
        <v>0</v>
      </c>
      <c r="AA928" s="47"/>
      <c r="AB928" s="41">
        <f t="shared" si="420"/>
        <v>0</v>
      </c>
      <c r="AC928" s="39"/>
      <c r="AD928" s="41">
        <f t="shared" si="402"/>
        <v>0</v>
      </c>
      <c r="AE928" s="47"/>
      <c r="AF928" s="41">
        <f t="shared" si="421"/>
        <v>0</v>
      </c>
      <c r="AG928" s="39"/>
      <c r="AH928" s="41">
        <f t="shared" si="403"/>
        <v>0</v>
      </c>
      <c r="AI928" s="47"/>
      <c r="AJ928" s="41">
        <f t="shared" si="422"/>
        <v>0</v>
      </c>
      <c r="AK928" s="39"/>
      <c r="AL928" s="41">
        <f t="shared" si="404"/>
        <v>0</v>
      </c>
      <c r="AM928" s="47"/>
      <c r="AN928" s="41">
        <f t="shared" si="423"/>
        <v>0</v>
      </c>
      <c r="AO928" s="39"/>
      <c r="AP928" s="41">
        <f t="shared" si="405"/>
        <v>0</v>
      </c>
      <c r="AQ928" s="47"/>
      <c r="AR928" s="41">
        <f t="shared" si="424"/>
        <v>0</v>
      </c>
      <c r="AS928" s="39"/>
      <c r="AT928" s="41">
        <f t="shared" si="406"/>
        <v>0</v>
      </c>
      <c r="AU928" s="47"/>
      <c r="AV928" s="41">
        <f t="shared" si="425"/>
        <v>0</v>
      </c>
      <c r="AW928" s="39"/>
      <c r="AX928" s="41">
        <f t="shared" si="407"/>
        <v>0</v>
      </c>
      <c r="AY928" s="47"/>
      <c r="AZ928" s="41">
        <f t="shared" si="426"/>
        <v>0</v>
      </c>
      <c r="BA928" s="39"/>
      <c r="BB928" s="41">
        <f t="shared" si="408"/>
        <v>0</v>
      </c>
      <c r="BC928" s="47"/>
      <c r="BD928" s="41">
        <f t="shared" si="427"/>
        <v>0</v>
      </c>
      <c r="BE928" s="39"/>
      <c r="BF928" s="47"/>
    </row>
    <row r="929" spans="1:58" ht="15.75" customHeight="1" x14ac:dyDescent="0.25">
      <c r="A929" s="44">
        <v>2018</v>
      </c>
      <c r="B929" s="39">
        <v>171630</v>
      </c>
      <c r="C929" s="38" t="s">
        <v>149</v>
      </c>
      <c r="D929" s="38" t="s">
        <v>98</v>
      </c>
      <c r="E929" s="39"/>
      <c r="F929" s="42">
        <f t="shared" si="409"/>
        <v>0</v>
      </c>
      <c r="G929" s="47"/>
      <c r="H929" s="42">
        <f t="shared" si="410"/>
        <v>0</v>
      </c>
      <c r="I929" s="39"/>
      <c r="J929" s="41">
        <f t="shared" si="411"/>
        <v>0</v>
      </c>
      <c r="K929" s="47"/>
      <c r="L929" s="41">
        <f t="shared" si="412"/>
        <v>0</v>
      </c>
      <c r="M929" s="39"/>
      <c r="N929" s="41">
        <f t="shared" si="413"/>
        <v>0</v>
      </c>
      <c r="O929" s="47"/>
      <c r="P929" s="41">
        <f t="shared" si="414"/>
        <v>0</v>
      </c>
      <c r="Q929" s="39"/>
      <c r="R929" s="41">
        <f t="shared" si="415"/>
        <v>0</v>
      </c>
      <c r="S929" s="47"/>
      <c r="T929" s="41">
        <f t="shared" si="416"/>
        <v>0</v>
      </c>
      <c r="U929" s="39"/>
      <c r="V929" s="41">
        <f t="shared" si="417"/>
        <v>0</v>
      </c>
      <c r="W929" s="47"/>
      <c r="X929" s="41">
        <f t="shared" si="418"/>
        <v>0</v>
      </c>
      <c r="Y929" s="39"/>
      <c r="Z929" s="41">
        <f t="shared" si="419"/>
        <v>0</v>
      </c>
      <c r="AA929" s="47"/>
      <c r="AB929" s="41">
        <f t="shared" si="420"/>
        <v>0</v>
      </c>
      <c r="AC929" s="39"/>
      <c r="AD929" s="41">
        <f t="shared" si="402"/>
        <v>0</v>
      </c>
      <c r="AE929" s="47"/>
      <c r="AF929" s="41">
        <f t="shared" si="421"/>
        <v>0</v>
      </c>
      <c r="AG929" s="39"/>
      <c r="AH929" s="41">
        <f t="shared" si="403"/>
        <v>0</v>
      </c>
      <c r="AI929" s="47"/>
      <c r="AJ929" s="41">
        <f t="shared" si="422"/>
        <v>0</v>
      </c>
      <c r="AK929" s="39"/>
      <c r="AL929" s="41">
        <f t="shared" si="404"/>
        <v>0</v>
      </c>
      <c r="AM929" s="47"/>
      <c r="AN929" s="41">
        <f t="shared" si="423"/>
        <v>0</v>
      </c>
      <c r="AO929" s="39"/>
      <c r="AP929" s="41">
        <f t="shared" si="405"/>
        <v>0</v>
      </c>
      <c r="AQ929" s="47"/>
      <c r="AR929" s="41">
        <f t="shared" si="424"/>
        <v>0</v>
      </c>
      <c r="AS929" s="39"/>
      <c r="AT929" s="41">
        <f t="shared" si="406"/>
        <v>0</v>
      </c>
      <c r="AU929" s="47"/>
      <c r="AV929" s="41">
        <f t="shared" si="425"/>
        <v>0</v>
      </c>
      <c r="AW929" s="39"/>
      <c r="AX929" s="41">
        <f t="shared" si="407"/>
        <v>0</v>
      </c>
      <c r="AY929" s="47"/>
      <c r="AZ929" s="41">
        <f t="shared" si="426"/>
        <v>0</v>
      </c>
      <c r="BA929" s="39"/>
      <c r="BB929" s="41">
        <f t="shared" si="408"/>
        <v>0</v>
      </c>
      <c r="BC929" s="47"/>
      <c r="BD929" s="41">
        <f t="shared" si="427"/>
        <v>0</v>
      </c>
      <c r="BE929" s="39"/>
      <c r="BF929" s="47"/>
    </row>
    <row r="930" spans="1:58" ht="15.75" customHeight="1" x14ac:dyDescent="0.25">
      <c r="A930" s="44">
        <v>2018</v>
      </c>
      <c r="B930" s="39">
        <v>171650</v>
      </c>
      <c r="C930" s="38" t="s">
        <v>150</v>
      </c>
      <c r="D930" s="38" t="s">
        <v>99</v>
      </c>
      <c r="E930" s="39"/>
      <c r="F930" s="42">
        <f t="shared" si="409"/>
        <v>0</v>
      </c>
      <c r="G930" s="47"/>
      <c r="H930" s="42">
        <f t="shared" si="410"/>
        <v>0</v>
      </c>
      <c r="I930" s="39"/>
      <c r="J930" s="41">
        <f t="shared" si="411"/>
        <v>0</v>
      </c>
      <c r="K930" s="47"/>
      <c r="L930" s="41">
        <f t="shared" si="412"/>
        <v>0</v>
      </c>
      <c r="M930" s="39"/>
      <c r="N930" s="41">
        <f t="shared" si="413"/>
        <v>0</v>
      </c>
      <c r="O930" s="47"/>
      <c r="P930" s="41">
        <f t="shared" si="414"/>
        <v>0</v>
      </c>
      <c r="Q930" s="39"/>
      <c r="R930" s="41">
        <f t="shared" si="415"/>
        <v>0</v>
      </c>
      <c r="S930" s="47"/>
      <c r="T930" s="41">
        <f t="shared" si="416"/>
        <v>0</v>
      </c>
      <c r="U930" s="39"/>
      <c r="V930" s="41">
        <f t="shared" si="417"/>
        <v>0</v>
      </c>
      <c r="W930" s="47"/>
      <c r="X930" s="41">
        <f t="shared" si="418"/>
        <v>0</v>
      </c>
      <c r="Y930" s="39"/>
      <c r="Z930" s="41">
        <f t="shared" si="419"/>
        <v>0</v>
      </c>
      <c r="AA930" s="47"/>
      <c r="AB930" s="41">
        <f t="shared" si="420"/>
        <v>0</v>
      </c>
      <c r="AC930" s="39"/>
      <c r="AD930" s="41">
        <f t="shared" si="402"/>
        <v>0</v>
      </c>
      <c r="AE930" s="47"/>
      <c r="AF930" s="41">
        <f t="shared" si="421"/>
        <v>0</v>
      </c>
      <c r="AG930" s="39"/>
      <c r="AH930" s="41">
        <f t="shared" si="403"/>
        <v>0</v>
      </c>
      <c r="AI930" s="47"/>
      <c r="AJ930" s="41">
        <f t="shared" si="422"/>
        <v>0</v>
      </c>
      <c r="AK930" s="39"/>
      <c r="AL930" s="41">
        <f t="shared" si="404"/>
        <v>0</v>
      </c>
      <c r="AM930" s="47"/>
      <c r="AN930" s="41">
        <f t="shared" si="423"/>
        <v>0</v>
      </c>
      <c r="AO930" s="39"/>
      <c r="AP930" s="41">
        <f t="shared" si="405"/>
        <v>0</v>
      </c>
      <c r="AQ930" s="47"/>
      <c r="AR930" s="41">
        <f t="shared" si="424"/>
        <v>0</v>
      </c>
      <c r="AS930" s="39"/>
      <c r="AT930" s="41">
        <f t="shared" si="406"/>
        <v>0</v>
      </c>
      <c r="AU930" s="47"/>
      <c r="AV930" s="41">
        <f t="shared" si="425"/>
        <v>0</v>
      </c>
      <c r="AW930" s="39"/>
      <c r="AX930" s="41">
        <f t="shared" si="407"/>
        <v>0</v>
      </c>
      <c r="AY930" s="47"/>
      <c r="AZ930" s="41">
        <f t="shared" si="426"/>
        <v>0</v>
      </c>
      <c r="BA930" s="39"/>
      <c r="BB930" s="41">
        <f t="shared" si="408"/>
        <v>0</v>
      </c>
      <c r="BC930" s="47"/>
      <c r="BD930" s="41">
        <f t="shared" si="427"/>
        <v>0</v>
      </c>
      <c r="BE930" s="39"/>
      <c r="BF930" s="47"/>
    </row>
    <row r="931" spans="1:58" ht="15.75" customHeight="1" x14ac:dyDescent="0.25">
      <c r="A931" s="44">
        <v>2018</v>
      </c>
      <c r="B931" s="39">
        <v>171660</v>
      </c>
      <c r="C931" s="38" t="s">
        <v>146</v>
      </c>
      <c r="D931" s="38" t="s">
        <v>100</v>
      </c>
      <c r="E931" s="39"/>
      <c r="F931" s="42">
        <f t="shared" si="409"/>
        <v>0</v>
      </c>
      <c r="G931" s="47"/>
      <c r="H931" s="42">
        <f t="shared" si="410"/>
        <v>0</v>
      </c>
      <c r="I931" s="39"/>
      <c r="J931" s="41">
        <f t="shared" si="411"/>
        <v>0</v>
      </c>
      <c r="K931" s="47"/>
      <c r="L931" s="41">
        <f t="shared" si="412"/>
        <v>0</v>
      </c>
      <c r="M931" s="39"/>
      <c r="N931" s="41">
        <f t="shared" si="413"/>
        <v>0</v>
      </c>
      <c r="O931" s="47"/>
      <c r="P931" s="41">
        <f t="shared" si="414"/>
        <v>0</v>
      </c>
      <c r="Q931" s="39"/>
      <c r="R931" s="41">
        <f t="shared" si="415"/>
        <v>0</v>
      </c>
      <c r="S931" s="47"/>
      <c r="T931" s="41">
        <f t="shared" si="416"/>
        <v>0</v>
      </c>
      <c r="U931" s="39"/>
      <c r="V931" s="41">
        <f t="shared" si="417"/>
        <v>0</v>
      </c>
      <c r="W931" s="47"/>
      <c r="X931" s="41">
        <f t="shared" si="418"/>
        <v>0</v>
      </c>
      <c r="Y931" s="39"/>
      <c r="Z931" s="41">
        <f t="shared" si="419"/>
        <v>0</v>
      </c>
      <c r="AA931" s="47"/>
      <c r="AB931" s="41">
        <f t="shared" si="420"/>
        <v>0</v>
      </c>
      <c r="AC931" s="39"/>
      <c r="AD931" s="41">
        <f t="shared" si="402"/>
        <v>0</v>
      </c>
      <c r="AE931" s="47"/>
      <c r="AF931" s="41">
        <f t="shared" si="421"/>
        <v>0</v>
      </c>
      <c r="AG931" s="39"/>
      <c r="AH931" s="41">
        <f t="shared" si="403"/>
        <v>0</v>
      </c>
      <c r="AI931" s="47"/>
      <c r="AJ931" s="41">
        <f t="shared" si="422"/>
        <v>0</v>
      </c>
      <c r="AK931" s="39"/>
      <c r="AL931" s="41">
        <f t="shared" si="404"/>
        <v>0</v>
      </c>
      <c r="AM931" s="47"/>
      <c r="AN931" s="41">
        <f t="shared" si="423"/>
        <v>0</v>
      </c>
      <c r="AO931" s="39"/>
      <c r="AP931" s="41">
        <f t="shared" si="405"/>
        <v>0</v>
      </c>
      <c r="AQ931" s="47"/>
      <c r="AR931" s="41">
        <f t="shared" si="424"/>
        <v>0</v>
      </c>
      <c r="AS931" s="39"/>
      <c r="AT931" s="41">
        <f t="shared" si="406"/>
        <v>0</v>
      </c>
      <c r="AU931" s="47"/>
      <c r="AV931" s="41">
        <f t="shared" si="425"/>
        <v>0</v>
      </c>
      <c r="AW931" s="39"/>
      <c r="AX931" s="41">
        <f t="shared" si="407"/>
        <v>0</v>
      </c>
      <c r="AY931" s="47"/>
      <c r="AZ931" s="41">
        <f t="shared" si="426"/>
        <v>0</v>
      </c>
      <c r="BA931" s="39"/>
      <c r="BB931" s="41">
        <f t="shared" si="408"/>
        <v>0</v>
      </c>
      <c r="BC931" s="47"/>
      <c r="BD931" s="41">
        <f t="shared" si="427"/>
        <v>0</v>
      </c>
      <c r="BE931" s="39"/>
      <c r="BF931" s="47"/>
    </row>
    <row r="932" spans="1:58" ht="15.75" customHeight="1" x14ac:dyDescent="0.25">
      <c r="A932" s="44">
        <v>2018</v>
      </c>
      <c r="B932" s="39">
        <v>171665</v>
      </c>
      <c r="C932" s="38" t="s">
        <v>150</v>
      </c>
      <c r="D932" s="38" t="s">
        <v>101</v>
      </c>
      <c r="E932" s="39"/>
      <c r="F932" s="42">
        <f t="shared" si="409"/>
        <v>0</v>
      </c>
      <c r="G932" s="47"/>
      <c r="H932" s="42">
        <f t="shared" si="410"/>
        <v>0</v>
      </c>
      <c r="I932" s="39"/>
      <c r="J932" s="41">
        <f t="shared" si="411"/>
        <v>0</v>
      </c>
      <c r="K932" s="47"/>
      <c r="L932" s="41">
        <f t="shared" si="412"/>
        <v>0</v>
      </c>
      <c r="M932" s="39"/>
      <c r="N932" s="41">
        <f t="shared" si="413"/>
        <v>0</v>
      </c>
      <c r="O932" s="47"/>
      <c r="P932" s="41">
        <f t="shared" si="414"/>
        <v>0</v>
      </c>
      <c r="Q932" s="39"/>
      <c r="R932" s="41">
        <f t="shared" si="415"/>
        <v>0</v>
      </c>
      <c r="S932" s="47"/>
      <c r="T932" s="41">
        <f t="shared" si="416"/>
        <v>0</v>
      </c>
      <c r="U932" s="39"/>
      <c r="V932" s="41">
        <f t="shared" si="417"/>
        <v>0</v>
      </c>
      <c r="W932" s="47"/>
      <c r="X932" s="41">
        <f t="shared" si="418"/>
        <v>0</v>
      </c>
      <c r="Y932" s="39"/>
      <c r="Z932" s="41">
        <f t="shared" si="419"/>
        <v>0</v>
      </c>
      <c r="AA932" s="47"/>
      <c r="AB932" s="41">
        <f t="shared" si="420"/>
        <v>0</v>
      </c>
      <c r="AC932" s="39"/>
      <c r="AD932" s="41">
        <f t="shared" si="402"/>
        <v>0</v>
      </c>
      <c r="AE932" s="47"/>
      <c r="AF932" s="41">
        <f t="shared" si="421"/>
        <v>0</v>
      </c>
      <c r="AG932" s="39"/>
      <c r="AH932" s="41">
        <f t="shared" si="403"/>
        <v>0</v>
      </c>
      <c r="AI932" s="47"/>
      <c r="AJ932" s="41">
        <f t="shared" si="422"/>
        <v>0</v>
      </c>
      <c r="AK932" s="39"/>
      <c r="AL932" s="41">
        <f t="shared" si="404"/>
        <v>0</v>
      </c>
      <c r="AM932" s="47"/>
      <c r="AN932" s="41">
        <f t="shared" si="423"/>
        <v>0</v>
      </c>
      <c r="AO932" s="39"/>
      <c r="AP932" s="41">
        <f t="shared" si="405"/>
        <v>0</v>
      </c>
      <c r="AQ932" s="47"/>
      <c r="AR932" s="41">
        <f t="shared" si="424"/>
        <v>0</v>
      </c>
      <c r="AS932" s="39"/>
      <c r="AT932" s="41">
        <f t="shared" si="406"/>
        <v>0</v>
      </c>
      <c r="AU932" s="47"/>
      <c r="AV932" s="41">
        <f t="shared" si="425"/>
        <v>0</v>
      </c>
      <c r="AW932" s="39"/>
      <c r="AX932" s="41">
        <f t="shared" si="407"/>
        <v>0</v>
      </c>
      <c r="AY932" s="47"/>
      <c r="AZ932" s="41">
        <f t="shared" si="426"/>
        <v>0</v>
      </c>
      <c r="BA932" s="39"/>
      <c r="BB932" s="41">
        <f t="shared" si="408"/>
        <v>0</v>
      </c>
      <c r="BC932" s="47"/>
      <c r="BD932" s="41">
        <f t="shared" si="427"/>
        <v>0</v>
      </c>
      <c r="BE932" s="39"/>
      <c r="BF932" s="47"/>
    </row>
    <row r="933" spans="1:58" ht="15.75" customHeight="1" x14ac:dyDescent="0.25">
      <c r="A933" s="44">
        <v>2018</v>
      </c>
      <c r="B933" s="39">
        <v>171700</v>
      </c>
      <c r="C933" s="38" t="s">
        <v>151</v>
      </c>
      <c r="D933" s="38" t="s">
        <v>102</v>
      </c>
      <c r="E933" s="39"/>
      <c r="F933" s="42">
        <f t="shared" si="409"/>
        <v>0</v>
      </c>
      <c r="G933" s="47"/>
      <c r="H933" s="42">
        <f t="shared" si="410"/>
        <v>0</v>
      </c>
      <c r="I933" s="39"/>
      <c r="J933" s="41">
        <f t="shared" si="411"/>
        <v>0</v>
      </c>
      <c r="K933" s="47"/>
      <c r="L933" s="41">
        <f t="shared" si="412"/>
        <v>0</v>
      </c>
      <c r="M933" s="39"/>
      <c r="N933" s="41">
        <f t="shared" si="413"/>
        <v>0</v>
      </c>
      <c r="O933" s="47"/>
      <c r="P933" s="41">
        <f t="shared" si="414"/>
        <v>0</v>
      </c>
      <c r="Q933" s="39"/>
      <c r="R933" s="41">
        <f t="shared" si="415"/>
        <v>0</v>
      </c>
      <c r="S933" s="47"/>
      <c r="T933" s="41">
        <f t="shared" si="416"/>
        <v>0</v>
      </c>
      <c r="U933" s="39"/>
      <c r="V933" s="41">
        <f t="shared" si="417"/>
        <v>0</v>
      </c>
      <c r="W933" s="47"/>
      <c r="X933" s="41">
        <f t="shared" si="418"/>
        <v>0</v>
      </c>
      <c r="Y933" s="39"/>
      <c r="Z933" s="41">
        <f t="shared" si="419"/>
        <v>0</v>
      </c>
      <c r="AA933" s="47"/>
      <c r="AB933" s="41">
        <f t="shared" si="420"/>
        <v>0</v>
      </c>
      <c r="AC933" s="39"/>
      <c r="AD933" s="41">
        <f t="shared" si="402"/>
        <v>0</v>
      </c>
      <c r="AE933" s="47"/>
      <c r="AF933" s="41">
        <f t="shared" si="421"/>
        <v>0</v>
      </c>
      <c r="AG933" s="39"/>
      <c r="AH933" s="41">
        <f t="shared" si="403"/>
        <v>0</v>
      </c>
      <c r="AI933" s="47"/>
      <c r="AJ933" s="41">
        <f t="shared" si="422"/>
        <v>0</v>
      </c>
      <c r="AK933" s="39"/>
      <c r="AL933" s="41">
        <f t="shared" si="404"/>
        <v>0</v>
      </c>
      <c r="AM933" s="47"/>
      <c r="AN933" s="41">
        <f t="shared" si="423"/>
        <v>0</v>
      </c>
      <c r="AO933" s="39"/>
      <c r="AP933" s="41">
        <f t="shared" si="405"/>
        <v>0</v>
      </c>
      <c r="AQ933" s="47"/>
      <c r="AR933" s="41">
        <f t="shared" si="424"/>
        <v>0</v>
      </c>
      <c r="AS933" s="39"/>
      <c r="AT933" s="41">
        <f t="shared" si="406"/>
        <v>0</v>
      </c>
      <c r="AU933" s="47"/>
      <c r="AV933" s="41">
        <f t="shared" si="425"/>
        <v>0</v>
      </c>
      <c r="AW933" s="39"/>
      <c r="AX933" s="41">
        <f t="shared" si="407"/>
        <v>0</v>
      </c>
      <c r="AY933" s="47"/>
      <c r="AZ933" s="41">
        <f t="shared" si="426"/>
        <v>0</v>
      </c>
      <c r="BA933" s="39"/>
      <c r="BB933" s="41">
        <f t="shared" si="408"/>
        <v>0</v>
      </c>
      <c r="BC933" s="47"/>
      <c r="BD933" s="41">
        <f t="shared" si="427"/>
        <v>0</v>
      </c>
      <c r="BE933" s="39"/>
      <c r="BF933" s="47"/>
    </row>
    <row r="934" spans="1:58" ht="15.75" customHeight="1" x14ac:dyDescent="0.25">
      <c r="A934" s="44">
        <v>2018</v>
      </c>
      <c r="B934" s="39">
        <v>171720</v>
      </c>
      <c r="C934" s="38" t="s">
        <v>149</v>
      </c>
      <c r="D934" s="38" t="s">
        <v>103</v>
      </c>
      <c r="E934" s="39"/>
      <c r="F934" s="42">
        <f t="shared" si="409"/>
        <v>0</v>
      </c>
      <c r="G934" s="47"/>
      <c r="H934" s="42">
        <f t="shared" si="410"/>
        <v>0</v>
      </c>
      <c r="I934" s="39"/>
      <c r="J934" s="41">
        <f t="shared" si="411"/>
        <v>0</v>
      </c>
      <c r="K934" s="47"/>
      <c r="L934" s="41">
        <f t="shared" si="412"/>
        <v>0</v>
      </c>
      <c r="M934" s="39"/>
      <c r="N934" s="41">
        <f t="shared" si="413"/>
        <v>0</v>
      </c>
      <c r="O934" s="47"/>
      <c r="P934" s="41">
        <f t="shared" si="414"/>
        <v>0</v>
      </c>
      <c r="Q934" s="39"/>
      <c r="R934" s="41">
        <f t="shared" si="415"/>
        <v>0</v>
      </c>
      <c r="S934" s="47"/>
      <c r="T934" s="41">
        <f t="shared" si="416"/>
        <v>0</v>
      </c>
      <c r="U934" s="39"/>
      <c r="V934" s="41">
        <f t="shared" si="417"/>
        <v>0</v>
      </c>
      <c r="W934" s="47"/>
      <c r="X934" s="41">
        <f t="shared" si="418"/>
        <v>0</v>
      </c>
      <c r="Y934" s="39"/>
      <c r="Z934" s="41">
        <f t="shared" si="419"/>
        <v>0</v>
      </c>
      <c r="AA934" s="47"/>
      <c r="AB934" s="41">
        <f t="shared" si="420"/>
        <v>0</v>
      </c>
      <c r="AC934" s="39"/>
      <c r="AD934" s="41">
        <f t="shared" si="402"/>
        <v>0</v>
      </c>
      <c r="AE934" s="47"/>
      <c r="AF934" s="41">
        <f t="shared" si="421"/>
        <v>0</v>
      </c>
      <c r="AG934" s="39"/>
      <c r="AH934" s="41">
        <f t="shared" si="403"/>
        <v>0</v>
      </c>
      <c r="AI934" s="47"/>
      <c r="AJ934" s="41">
        <f t="shared" si="422"/>
        <v>0</v>
      </c>
      <c r="AK934" s="39"/>
      <c r="AL934" s="41">
        <f t="shared" si="404"/>
        <v>0</v>
      </c>
      <c r="AM934" s="47"/>
      <c r="AN934" s="41">
        <f t="shared" si="423"/>
        <v>0</v>
      </c>
      <c r="AO934" s="39"/>
      <c r="AP934" s="41">
        <f t="shared" si="405"/>
        <v>0</v>
      </c>
      <c r="AQ934" s="47"/>
      <c r="AR934" s="41">
        <f t="shared" si="424"/>
        <v>0</v>
      </c>
      <c r="AS934" s="39"/>
      <c r="AT934" s="41">
        <f t="shared" si="406"/>
        <v>0</v>
      </c>
      <c r="AU934" s="47"/>
      <c r="AV934" s="41">
        <f t="shared" si="425"/>
        <v>0</v>
      </c>
      <c r="AW934" s="39"/>
      <c r="AX934" s="41">
        <f t="shared" si="407"/>
        <v>0</v>
      </c>
      <c r="AY934" s="47"/>
      <c r="AZ934" s="41">
        <f t="shared" si="426"/>
        <v>0</v>
      </c>
      <c r="BA934" s="39"/>
      <c r="BB934" s="41">
        <f t="shared" si="408"/>
        <v>0</v>
      </c>
      <c r="BC934" s="47"/>
      <c r="BD934" s="41">
        <f t="shared" si="427"/>
        <v>0</v>
      </c>
      <c r="BE934" s="39"/>
      <c r="BF934" s="47"/>
    </row>
    <row r="935" spans="1:58" ht="15.75" customHeight="1" x14ac:dyDescent="0.25">
      <c r="A935" s="44">
        <v>2018</v>
      </c>
      <c r="B935" s="39">
        <v>171750</v>
      </c>
      <c r="C935" s="38" t="s">
        <v>144</v>
      </c>
      <c r="D935" s="38" t="s">
        <v>104</v>
      </c>
      <c r="E935" s="39"/>
      <c r="F935" s="42">
        <f t="shared" si="409"/>
        <v>0</v>
      </c>
      <c r="G935" s="47"/>
      <c r="H935" s="42">
        <f t="shared" si="410"/>
        <v>0</v>
      </c>
      <c r="I935" s="39"/>
      <c r="J935" s="41">
        <f t="shared" si="411"/>
        <v>0</v>
      </c>
      <c r="K935" s="47"/>
      <c r="L935" s="41">
        <f t="shared" si="412"/>
        <v>0</v>
      </c>
      <c r="M935" s="39"/>
      <c r="N935" s="41">
        <f t="shared" si="413"/>
        <v>0</v>
      </c>
      <c r="O935" s="47"/>
      <c r="P935" s="41">
        <f t="shared" si="414"/>
        <v>0</v>
      </c>
      <c r="Q935" s="39"/>
      <c r="R935" s="41">
        <f t="shared" si="415"/>
        <v>0</v>
      </c>
      <c r="S935" s="47"/>
      <c r="T935" s="41">
        <f t="shared" si="416"/>
        <v>0</v>
      </c>
      <c r="U935" s="39"/>
      <c r="V935" s="41">
        <f t="shared" si="417"/>
        <v>0</v>
      </c>
      <c r="W935" s="47"/>
      <c r="X935" s="41">
        <f t="shared" si="418"/>
        <v>0</v>
      </c>
      <c r="Y935" s="39"/>
      <c r="Z935" s="41">
        <f t="shared" si="419"/>
        <v>0</v>
      </c>
      <c r="AA935" s="47"/>
      <c r="AB935" s="41">
        <f t="shared" si="420"/>
        <v>0</v>
      </c>
      <c r="AC935" s="39"/>
      <c r="AD935" s="41">
        <f t="shared" si="402"/>
        <v>0</v>
      </c>
      <c r="AE935" s="47"/>
      <c r="AF935" s="41">
        <f t="shared" si="421"/>
        <v>0</v>
      </c>
      <c r="AG935" s="39"/>
      <c r="AH935" s="41">
        <f t="shared" si="403"/>
        <v>0</v>
      </c>
      <c r="AI935" s="47"/>
      <c r="AJ935" s="41">
        <f t="shared" si="422"/>
        <v>0</v>
      </c>
      <c r="AK935" s="39"/>
      <c r="AL935" s="41">
        <f t="shared" si="404"/>
        <v>0</v>
      </c>
      <c r="AM935" s="47"/>
      <c r="AN935" s="41">
        <f t="shared" si="423"/>
        <v>0</v>
      </c>
      <c r="AO935" s="39"/>
      <c r="AP935" s="41">
        <f t="shared" si="405"/>
        <v>0</v>
      </c>
      <c r="AQ935" s="47"/>
      <c r="AR935" s="41">
        <f t="shared" si="424"/>
        <v>0</v>
      </c>
      <c r="AS935" s="39"/>
      <c r="AT935" s="41">
        <f t="shared" si="406"/>
        <v>0</v>
      </c>
      <c r="AU935" s="47"/>
      <c r="AV935" s="41">
        <f t="shared" si="425"/>
        <v>0</v>
      </c>
      <c r="AW935" s="39"/>
      <c r="AX935" s="41">
        <f t="shared" si="407"/>
        <v>0</v>
      </c>
      <c r="AY935" s="47"/>
      <c r="AZ935" s="41">
        <f t="shared" si="426"/>
        <v>0</v>
      </c>
      <c r="BA935" s="39"/>
      <c r="BB935" s="41">
        <f t="shared" si="408"/>
        <v>0</v>
      </c>
      <c r="BC935" s="47"/>
      <c r="BD935" s="41">
        <f t="shared" si="427"/>
        <v>0</v>
      </c>
      <c r="BE935" s="39"/>
      <c r="BF935" s="47"/>
    </row>
    <row r="936" spans="1:58" ht="15.75" customHeight="1" x14ac:dyDescent="0.25">
      <c r="A936" s="44">
        <v>2018</v>
      </c>
      <c r="B936" s="39">
        <v>171780</v>
      </c>
      <c r="C936" s="38" t="s">
        <v>147</v>
      </c>
      <c r="D936" s="38" t="s">
        <v>105</v>
      </c>
      <c r="E936" s="39"/>
      <c r="F936" s="42">
        <f t="shared" si="409"/>
        <v>0</v>
      </c>
      <c r="G936" s="47"/>
      <c r="H936" s="42">
        <f t="shared" si="410"/>
        <v>0</v>
      </c>
      <c r="I936" s="39"/>
      <c r="J936" s="41">
        <f t="shared" si="411"/>
        <v>0</v>
      </c>
      <c r="K936" s="47"/>
      <c r="L936" s="41">
        <f t="shared" si="412"/>
        <v>0</v>
      </c>
      <c r="M936" s="39"/>
      <c r="N936" s="41">
        <f t="shared" si="413"/>
        <v>0</v>
      </c>
      <c r="O936" s="47"/>
      <c r="P936" s="41">
        <f t="shared" si="414"/>
        <v>0</v>
      </c>
      <c r="Q936" s="39"/>
      <c r="R936" s="41">
        <f t="shared" si="415"/>
        <v>0</v>
      </c>
      <c r="S936" s="47"/>
      <c r="T936" s="41">
        <f t="shared" si="416"/>
        <v>0</v>
      </c>
      <c r="U936" s="39"/>
      <c r="V936" s="41">
        <f t="shared" si="417"/>
        <v>0</v>
      </c>
      <c r="W936" s="47"/>
      <c r="X936" s="41">
        <f t="shared" si="418"/>
        <v>0</v>
      </c>
      <c r="Y936" s="39"/>
      <c r="Z936" s="41">
        <f t="shared" si="419"/>
        <v>0</v>
      </c>
      <c r="AA936" s="47"/>
      <c r="AB936" s="41">
        <f t="shared" si="420"/>
        <v>0</v>
      </c>
      <c r="AC936" s="39"/>
      <c r="AD936" s="41">
        <f t="shared" si="402"/>
        <v>0</v>
      </c>
      <c r="AE936" s="47"/>
      <c r="AF936" s="41">
        <f t="shared" si="421"/>
        <v>0</v>
      </c>
      <c r="AG936" s="39"/>
      <c r="AH936" s="41">
        <f t="shared" si="403"/>
        <v>0</v>
      </c>
      <c r="AI936" s="47"/>
      <c r="AJ936" s="41">
        <f t="shared" si="422"/>
        <v>0</v>
      </c>
      <c r="AK936" s="39"/>
      <c r="AL936" s="41">
        <f t="shared" si="404"/>
        <v>0</v>
      </c>
      <c r="AM936" s="47"/>
      <c r="AN936" s="41">
        <f t="shared" si="423"/>
        <v>0</v>
      </c>
      <c r="AO936" s="39"/>
      <c r="AP936" s="41">
        <f t="shared" si="405"/>
        <v>0</v>
      </c>
      <c r="AQ936" s="47"/>
      <c r="AR936" s="41">
        <f t="shared" si="424"/>
        <v>0</v>
      </c>
      <c r="AS936" s="39"/>
      <c r="AT936" s="41">
        <f t="shared" si="406"/>
        <v>0</v>
      </c>
      <c r="AU936" s="47"/>
      <c r="AV936" s="41">
        <f t="shared" si="425"/>
        <v>0</v>
      </c>
      <c r="AW936" s="39"/>
      <c r="AX936" s="41">
        <f t="shared" si="407"/>
        <v>0</v>
      </c>
      <c r="AY936" s="47"/>
      <c r="AZ936" s="41">
        <f t="shared" si="426"/>
        <v>0</v>
      </c>
      <c r="BA936" s="39"/>
      <c r="BB936" s="41">
        <f t="shared" si="408"/>
        <v>0</v>
      </c>
      <c r="BC936" s="47"/>
      <c r="BD936" s="41">
        <f t="shared" si="427"/>
        <v>0</v>
      </c>
      <c r="BE936" s="39"/>
      <c r="BF936" s="47"/>
    </row>
    <row r="937" spans="1:58" ht="15.75" customHeight="1" x14ac:dyDescent="0.25">
      <c r="A937" s="44">
        <v>2018</v>
      </c>
      <c r="B937" s="39">
        <v>171790</v>
      </c>
      <c r="C937" s="38" t="s">
        <v>151</v>
      </c>
      <c r="D937" s="38" t="s">
        <v>106</v>
      </c>
      <c r="E937" s="39"/>
      <c r="F937" s="42">
        <f t="shared" si="409"/>
        <v>0</v>
      </c>
      <c r="G937" s="47"/>
      <c r="H937" s="42">
        <f t="shared" si="410"/>
        <v>0</v>
      </c>
      <c r="I937" s="39"/>
      <c r="J937" s="41">
        <f t="shared" si="411"/>
        <v>0</v>
      </c>
      <c r="K937" s="47"/>
      <c r="L937" s="41">
        <f t="shared" si="412"/>
        <v>0</v>
      </c>
      <c r="M937" s="39"/>
      <c r="N937" s="41">
        <f t="shared" si="413"/>
        <v>0</v>
      </c>
      <c r="O937" s="47"/>
      <c r="P937" s="41">
        <f t="shared" si="414"/>
        <v>0</v>
      </c>
      <c r="Q937" s="39"/>
      <c r="R937" s="41">
        <f t="shared" si="415"/>
        <v>0</v>
      </c>
      <c r="S937" s="47"/>
      <c r="T937" s="41">
        <f t="shared" si="416"/>
        <v>0</v>
      </c>
      <c r="U937" s="39"/>
      <c r="V937" s="41">
        <f t="shared" si="417"/>
        <v>0</v>
      </c>
      <c r="W937" s="47"/>
      <c r="X937" s="41">
        <f t="shared" si="418"/>
        <v>0</v>
      </c>
      <c r="Y937" s="39"/>
      <c r="Z937" s="41">
        <f t="shared" si="419"/>
        <v>0</v>
      </c>
      <c r="AA937" s="47"/>
      <c r="AB937" s="41">
        <f t="shared" si="420"/>
        <v>0</v>
      </c>
      <c r="AC937" s="39"/>
      <c r="AD937" s="41">
        <f t="shared" si="402"/>
        <v>0</v>
      </c>
      <c r="AE937" s="47"/>
      <c r="AF937" s="41">
        <f t="shared" si="421"/>
        <v>0</v>
      </c>
      <c r="AG937" s="39"/>
      <c r="AH937" s="41">
        <f t="shared" si="403"/>
        <v>0</v>
      </c>
      <c r="AI937" s="47"/>
      <c r="AJ937" s="41">
        <f t="shared" si="422"/>
        <v>0</v>
      </c>
      <c r="AK937" s="39"/>
      <c r="AL937" s="41">
        <f t="shared" si="404"/>
        <v>0</v>
      </c>
      <c r="AM937" s="47"/>
      <c r="AN937" s="41">
        <f t="shared" si="423"/>
        <v>0</v>
      </c>
      <c r="AO937" s="39"/>
      <c r="AP937" s="41">
        <f t="shared" si="405"/>
        <v>0</v>
      </c>
      <c r="AQ937" s="47"/>
      <c r="AR937" s="41">
        <f t="shared" si="424"/>
        <v>0</v>
      </c>
      <c r="AS937" s="39"/>
      <c r="AT937" s="41">
        <f t="shared" si="406"/>
        <v>0</v>
      </c>
      <c r="AU937" s="47"/>
      <c r="AV937" s="41">
        <f t="shared" si="425"/>
        <v>0</v>
      </c>
      <c r="AW937" s="39"/>
      <c r="AX937" s="41">
        <f t="shared" si="407"/>
        <v>0</v>
      </c>
      <c r="AY937" s="47"/>
      <c r="AZ937" s="41">
        <f t="shared" si="426"/>
        <v>0</v>
      </c>
      <c r="BA937" s="39"/>
      <c r="BB937" s="41">
        <f t="shared" si="408"/>
        <v>0</v>
      </c>
      <c r="BC937" s="47"/>
      <c r="BD937" s="41">
        <f t="shared" si="427"/>
        <v>0</v>
      </c>
      <c r="BE937" s="39"/>
      <c r="BF937" s="47"/>
    </row>
    <row r="938" spans="1:58" ht="15.75" customHeight="1" x14ac:dyDescent="0.25">
      <c r="A938" s="44">
        <v>2018</v>
      </c>
      <c r="B938" s="39">
        <v>171800</v>
      </c>
      <c r="C938" s="38" t="s">
        <v>147</v>
      </c>
      <c r="D938" s="38" t="s">
        <v>107</v>
      </c>
      <c r="E938" s="39"/>
      <c r="F938" s="42">
        <f t="shared" si="409"/>
        <v>0</v>
      </c>
      <c r="G938" s="47"/>
      <c r="H938" s="42">
        <f t="shared" si="410"/>
        <v>0</v>
      </c>
      <c r="I938" s="39"/>
      <c r="J938" s="41">
        <f t="shared" si="411"/>
        <v>0</v>
      </c>
      <c r="K938" s="47"/>
      <c r="L938" s="41">
        <f t="shared" si="412"/>
        <v>0</v>
      </c>
      <c r="M938" s="39"/>
      <c r="N938" s="41">
        <f t="shared" si="413"/>
        <v>0</v>
      </c>
      <c r="O938" s="47"/>
      <c r="P938" s="41">
        <f t="shared" si="414"/>
        <v>0</v>
      </c>
      <c r="Q938" s="39"/>
      <c r="R938" s="41">
        <f t="shared" si="415"/>
        <v>0</v>
      </c>
      <c r="S938" s="47"/>
      <c r="T938" s="41">
        <f t="shared" si="416"/>
        <v>0</v>
      </c>
      <c r="U938" s="39"/>
      <c r="V938" s="41">
        <f t="shared" si="417"/>
        <v>0</v>
      </c>
      <c r="W938" s="47"/>
      <c r="X938" s="41">
        <f t="shared" si="418"/>
        <v>0</v>
      </c>
      <c r="Y938" s="39"/>
      <c r="Z938" s="41">
        <f t="shared" si="419"/>
        <v>0</v>
      </c>
      <c r="AA938" s="47"/>
      <c r="AB938" s="41">
        <f t="shared" si="420"/>
        <v>0</v>
      </c>
      <c r="AC938" s="39"/>
      <c r="AD938" s="41">
        <f t="shared" si="402"/>
        <v>0</v>
      </c>
      <c r="AE938" s="47"/>
      <c r="AF938" s="41">
        <f t="shared" si="421"/>
        <v>0</v>
      </c>
      <c r="AG938" s="39"/>
      <c r="AH938" s="41">
        <f t="shared" si="403"/>
        <v>0</v>
      </c>
      <c r="AI938" s="47"/>
      <c r="AJ938" s="41">
        <f t="shared" si="422"/>
        <v>0</v>
      </c>
      <c r="AK938" s="39"/>
      <c r="AL938" s="41">
        <f t="shared" si="404"/>
        <v>0</v>
      </c>
      <c r="AM938" s="47"/>
      <c r="AN938" s="41">
        <f t="shared" si="423"/>
        <v>0</v>
      </c>
      <c r="AO938" s="39"/>
      <c r="AP938" s="41">
        <f t="shared" si="405"/>
        <v>0</v>
      </c>
      <c r="AQ938" s="47"/>
      <c r="AR938" s="41">
        <f t="shared" si="424"/>
        <v>0</v>
      </c>
      <c r="AS938" s="39"/>
      <c r="AT938" s="41">
        <f t="shared" si="406"/>
        <v>0</v>
      </c>
      <c r="AU938" s="47"/>
      <c r="AV938" s="41">
        <f t="shared" si="425"/>
        <v>0</v>
      </c>
      <c r="AW938" s="39"/>
      <c r="AX938" s="41">
        <f t="shared" si="407"/>
        <v>0</v>
      </c>
      <c r="AY938" s="47"/>
      <c r="AZ938" s="41">
        <f t="shared" si="426"/>
        <v>0</v>
      </c>
      <c r="BA938" s="39"/>
      <c r="BB938" s="41">
        <f t="shared" si="408"/>
        <v>0</v>
      </c>
      <c r="BC938" s="47"/>
      <c r="BD938" s="41">
        <f t="shared" si="427"/>
        <v>0</v>
      </c>
      <c r="BE938" s="39"/>
      <c r="BF938" s="47"/>
    </row>
    <row r="939" spans="1:58" ht="15.75" customHeight="1" x14ac:dyDescent="0.25">
      <c r="A939" s="44">
        <v>2018</v>
      </c>
      <c r="B939" s="39">
        <v>171820</v>
      </c>
      <c r="C939" s="38" t="s">
        <v>151</v>
      </c>
      <c r="D939" s="38" t="s">
        <v>108</v>
      </c>
      <c r="E939" s="39"/>
      <c r="F939" s="42">
        <f t="shared" si="409"/>
        <v>0</v>
      </c>
      <c r="G939" s="47"/>
      <c r="H939" s="42">
        <f t="shared" si="410"/>
        <v>0</v>
      </c>
      <c r="I939" s="39"/>
      <c r="J939" s="41">
        <f t="shared" si="411"/>
        <v>0</v>
      </c>
      <c r="K939" s="47"/>
      <c r="L939" s="41">
        <f t="shared" si="412"/>
        <v>0</v>
      </c>
      <c r="M939" s="39"/>
      <c r="N939" s="41">
        <f t="shared" si="413"/>
        <v>0</v>
      </c>
      <c r="O939" s="48"/>
      <c r="P939" s="41">
        <f t="shared" si="414"/>
        <v>0</v>
      </c>
      <c r="Q939" s="39"/>
      <c r="R939" s="41">
        <f t="shared" si="415"/>
        <v>0</v>
      </c>
      <c r="S939" s="47"/>
      <c r="T939" s="41">
        <f t="shared" si="416"/>
        <v>0</v>
      </c>
      <c r="U939" s="39"/>
      <c r="V939" s="41">
        <f t="shared" si="417"/>
        <v>0</v>
      </c>
      <c r="W939" s="47"/>
      <c r="X939" s="41">
        <f t="shared" si="418"/>
        <v>0</v>
      </c>
      <c r="Y939" s="39"/>
      <c r="Z939" s="41">
        <f t="shared" si="419"/>
        <v>0</v>
      </c>
      <c r="AA939" s="47"/>
      <c r="AB939" s="41">
        <f t="shared" si="420"/>
        <v>0</v>
      </c>
      <c r="AC939" s="39"/>
      <c r="AD939" s="41">
        <f t="shared" si="402"/>
        <v>0</v>
      </c>
      <c r="AE939" s="48"/>
      <c r="AF939" s="41">
        <f t="shared" si="421"/>
        <v>0</v>
      </c>
      <c r="AG939" s="39"/>
      <c r="AH939" s="41">
        <f t="shared" si="403"/>
        <v>0</v>
      </c>
      <c r="AI939" s="47"/>
      <c r="AJ939" s="41">
        <f t="shared" si="422"/>
        <v>0</v>
      </c>
      <c r="AK939" s="39"/>
      <c r="AL939" s="41">
        <f t="shared" si="404"/>
        <v>0</v>
      </c>
      <c r="AM939" s="47"/>
      <c r="AN939" s="41">
        <f t="shared" si="423"/>
        <v>0</v>
      </c>
      <c r="AO939" s="39"/>
      <c r="AP939" s="41">
        <f t="shared" si="405"/>
        <v>0</v>
      </c>
      <c r="AQ939" s="48"/>
      <c r="AR939" s="41">
        <f t="shared" si="424"/>
        <v>0</v>
      </c>
      <c r="AS939" s="39"/>
      <c r="AT939" s="41">
        <f t="shared" si="406"/>
        <v>0</v>
      </c>
      <c r="AU939" s="47"/>
      <c r="AV939" s="41">
        <f t="shared" si="425"/>
        <v>0</v>
      </c>
      <c r="AW939" s="39"/>
      <c r="AX939" s="41">
        <f t="shared" si="407"/>
        <v>0</v>
      </c>
      <c r="AY939" s="47"/>
      <c r="AZ939" s="41">
        <f t="shared" si="426"/>
        <v>0</v>
      </c>
      <c r="BA939" s="39"/>
      <c r="BB939" s="41">
        <f t="shared" si="408"/>
        <v>0</v>
      </c>
      <c r="BC939" s="47"/>
      <c r="BD939" s="41">
        <f t="shared" si="427"/>
        <v>0</v>
      </c>
      <c r="BE939" s="39"/>
      <c r="BF939" s="48"/>
    </row>
    <row r="940" spans="1:58" ht="15.75" customHeight="1" x14ac:dyDescent="0.25">
      <c r="A940" s="44">
        <v>2018</v>
      </c>
      <c r="B940" s="39">
        <v>171830</v>
      </c>
      <c r="C940" s="38" t="s">
        <v>145</v>
      </c>
      <c r="D940" s="38" t="s">
        <v>109</v>
      </c>
      <c r="E940" s="39"/>
      <c r="F940" s="42">
        <f t="shared" si="409"/>
        <v>0</v>
      </c>
      <c r="G940" s="47"/>
      <c r="H940" s="42">
        <f t="shared" si="410"/>
        <v>0</v>
      </c>
      <c r="I940" s="39"/>
      <c r="J940" s="41">
        <f t="shared" si="411"/>
        <v>0</v>
      </c>
      <c r="K940" s="47"/>
      <c r="L940" s="41">
        <f t="shared" si="412"/>
        <v>0</v>
      </c>
      <c r="M940" s="39"/>
      <c r="N940" s="41">
        <f t="shared" si="413"/>
        <v>0</v>
      </c>
      <c r="O940" s="47"/>
      <c r="P940" s="41">
        <f t="shared" si="414"/>
        <v>0</v>
      </c>
      <c r="Q940" s="39"/>
      <c r="R940" s="41">
        <f t="shared" si="415"/>
        <v>0</v>
      </c>
      <c r="S940" s="47"/>
      <c r="T940" s="41">
        <f t="shared" si="416"/>
        <v>0</v>
      </c>
      <c r="U940" s="39"/>
      <c r="V940" s="41">
        <f t="shared" si="417"/>
        <v>0</v>
      </c>
      <c r="W940" s="47"/>
      <c r="X940" s="41">
        <f t="shared" si="418"/>
        <v>0</v>
      </c>
      <c r="Y940" s="39"/>
      <c r="Z940" s="41">
        <f t="shared" si="419"/>
        <v>0</v>
      </c>
      <c r="AA940" s="47"/>
      <c r="AB940" s="41">
        <f t="shared" si="420"/>
        <v>0</v>
      </c>
      <c r="AC940" s="39"/>
      <c r="AD940" s="41">
        <f t="shared" si="402"/>
        <v>0</v>
      </c>
      <c r="AE940" s="47"/>
      <c r="AF940" s="41">
        <f t="shared" si="421"/>
        <v>0</v>
      </c>
      <c r="AG940" s="39"/>
      <c r="AH940" s="41">
        <f t="shared" si="403"/>
        <v>0</v>
      </c>
      <c r="AI940" s="47"/>
      <c r="AJ940" s="41">
        <f t="shared" si="422"/>
        <v>0</v>
      </c>
      <c r="AK940" s="39"/>
      <c r="AL940" s="41">
        <f t="shared" si="404"/>
        <v>0</v>
      </c>
      <c r="AM940" s="47"/>
      <c r="AN940" s="41">
        <f t="shared" si="423"/>
        <v>0</v>
      </c>
      <c r="AO940" s="39"/>
      <c r="AP940" s="41">
        <f t="shared" si="405"/>
        <v>0</v>
      </c>
      <c r="AQ940" s="47"/>
      <c r="AR940" s="41">
        <f t="shared" si="424"/>
        <v>0</v>
      </c>
      <c r="AS940" s="39"/>
      <c r="AT940" s="41">
        <f t="shared" si="406"/>
        <v>0</v>
      </c>
      <c r="AU940" s="47"/>
      <c r="AV940" s="41">
        <f t="shared" si="425"/>
        <v>0</v>
      </c>
      <c r="AW940" s="39"/>
      <c r="AX940" s="41">
        <f t="shared" si="407"/>
        <v>0</v>
      </c>
      <c r="AY940" s="47"/>
      <c r="AZ940" s="41">
        <f t="shared" si="426"/>
        <v>0</v>
      </c>
      <c r="BA940" s="39"/>
      <c r="BB940" s="41">
        <f t="shared" si="408"/>
        <v>0</v>
      </c>
      <c r="BC940" s="47"/>
      <c r="BD940" s="41">
        <f t="shared" si="427"/>
        <v>0</v>
      </c>
      <c r="BE940" s="39"/>
      <c r="BF940" s="47"/>
    </row>
    <row r="941" spans="1:58" ht="15.75" customHeight="1" x14ac:dyDescent="0.25">
      <c r="A941" s="44">
        <v>2018</v>
      </c>
      <c r="B941" s="39">
        <v>171840</v>
      </c>
      <c r="C941" s="38" t="s">
        <v>150</v>
      </c>
      <c r="D941" s="38" t="s">
        <v>110</v>
      </c>
      <c r="E941" s="39"/>
      <c r="F941" s="42">
        <f t="shared" si="409"/>
        <v>0</v>
      </c>
      <c r="G941" s="47"/>
      <c r="H941" s="42">
        <f t="shared" si="410"/>
        <v>0</v>
      </c>
      <c r="I941" s="39"/>
      <c r="J941" s="41">
        <f t="shared" si="411"/>
        <v>0</v>
      </c>
      <c r="K941" s="47"/>
      <c r="L941" s="41">
        <f t="shared" si="412"/>
        <v>0</v>
      </c>
      <c r="M941" s="39"/>
      <c r="N941" s="41">
        <f t="shared" si="413"/>
        <v>0</v>
      </c>
      <c r="O941" s="47"/>
      <c r="P941" s="41">
        <f t="shared" si="414"/>
        <v>0</v>
      </c>
      <c r="Q941" s="39"/>
      <c r="R941" s="41">
        <f t="shared" si="415"/>
        <v>0</v>
      </c>
      <c r="S941" s="47"/>
      <c r="T941" s="41">
        <f t="shared" si="416"/>
        <v>0</v>
      </c>
      <c r="U941" s="39"/>
      <c r="V941" s="41">
        <f t="shared" si="417"/>
        <v>0</v>
      </c>
      <c r="W941" s="47"/>
      <c r="X941" s="41">
        <f t="shared" si="418"/>
        <v>0</v>
      </c>
      <c r="Y941" s="39"/>
      <c r="Z941" s="41">
        <f t="shared" si="419"/>
        <v>0</v>
      </c>
      <c r="AA941" s="47"/>
      <c r="AB941" s="41">
        <f t="shared" si="420"/>
        <v>0</v>
      </c>
      <c r="AC941" s="39"/>
      <c r="AD941" s="41">
        <f t="shared" si="402"/>
        <v>0</v>
      </c>
      <c r="AE941" s="47"/>
      <c r="AF941" s="41">
        <f t="shared" si="421"/>
        <v>0</v>
      </c>
      <c r="AG941" s="39"/>
      <c r="AH941" s="41">
        <f t="shared" si="403"/>
        <v>0</v>
      </c>
      <c r="AI941" s="47"/>
      <c r="AJ941" s="41">
        <f t="shared" si="422"/>
        <v>0</v>
      </c>
      <c r="AK941" s="39"/>
      <c r="AL941" s="41">
        <f t="shared" si="404"/>
        <v>0</v>
      </c>
      <c r="AM941" s="47"/>
      <c r="AN941" s="41">
        <f t="shared" si="423"/>
        <v>0</v>
      </c>
      <c r="AO941" s="39"/>
      <c r="AP941" s="41">
        <f t="shared" si="405"/>
        <v>0</v>
      </c>
      <c r="AQ941" s="47"/>
      <c r="AR941" s="41">
        <f t="shared" si="424"/>
        <v>0</v>
      </c>
      <c r="AS941" s="39"/>
      <c r="AT941" s="41">
        <f t="shared" si="406"/>
        <v>0</v>
      </c>
      <c r="AU941" s="47"/>
      <c r="AV941" s="41">
        <f t="shared" si="425"/>
        <v>0</v>
      </c>
      <c r="AW941" s="39"/>
      <c r="AX941" s="41">
        <f t="shared" si="407"/>
        <v>0</v>
      </c>
      <c r="AY941" s="47"/>
      <c r="AZ941" s="41">
        <f t="shared" si="426"/>
        <v>0</v>
      </c>
      <c r="BA941" s="39"/>
      <c r="BB941" s="41">
        <f t="shared" si="408"/>
        <v>0</v>
      </c>
      <c r="BC941" s="47"/>
      <c r="BD941" s="41">
        <f t="shared" si="427"/>
        <v>0</v>
      </c>
      <c r="BE941" s="39"/>
      <c r="BF941" s="47"/>
    </row>
    <row r="942" spans="1:58" ht="15.75" customHeight="1" x14ac:dyDescent="0.25">
      <c r="A942" s="44">
        <v>2018</v>
      </c>
      <c r="B942" s="39">
        <v>171845</v>
      </c>
      <c r="C942" s="38" t="s">
        <v>144</v>
      </c>
      <c r="D942" s="38" t="s">
        <v>111</v>
      </c>
      <c r="E942" s="39"/>
      <c r="F942" s="42">
        <f t="shared" si="409"/>
        <v>0</v>
      </c>
      <c r="G942" s="47"/>
      <c r="H942" s="42">
        <f t="shared" si="410"/>
        <v>0</v>
      </c>
      <c r="I942" s="39"/>
      <c r="J942" s="41">
        <f t="shared" si="411"/>
        <v>0</v>
      </c>
      <c r="K942" s="47"/>
      <c r="L942" s="41">
        <f t="shared" si="412"/>
        <v>0</v>
      </c>
      <c r="M942" s="39"/>
      <c r="N942" s="41">
        <f t="shared" si="413"/>
        <v>0</v>
      </c>
      <c r="O942" s="47"/>
      <c r="P942" s="41">
        <f t="shared" si="414"/>
        <v>0</v>
      </c>
      <c r="Q942" s="39"/>
      <c r="R942" s="41">
        <f t="shared" si="415"/>
        <v>0</v>
      </c>
      <c r="S942" s="47"/>
      <c r="T942" s="41">
        <f t="shared" si="416"/>
        <v>0</v>
      </c>
      <c r="U942" s="39"/>
      <c r="V942" s="41">
        <f t="shared" si="417"/>
        <v>0</v>
      </c>
      <c r="W942" s="47"/>
      <c r="X942" s="41">
        <f t="shared" si="418"/>
        <v>0</v>
      </c>
      <c r="Y942" s="39"/>
      <c r="Z942" s="41">
        <f t="shared" si="419"/>
        <v>0</v>
      </c>
      <c r="AA942" s="47"/>
      <c r="AB942" s="41">
        <f t="shared" si="420"/>
        <v>0</v>
      </c>
      <c r="AC942" s="39"/>
      <c r="AD942" s="41">
        <f t="shared" si="402"/>
        <v>0</v>
      </c>
      <c r="AE942" s="47"/>
      <c r="AF942" s="41">
        <f t="shared" si="421"/>
        <v>0</v>
      </c>
      <c r="AG942" s="39"/>
      <c r="AH942" s="41">
        <f t="shared" si="403"/>
        <v>0</v>
      </c>
      <c r="AI942" s="47"/>
      <c r="AJ942" s="41">
        <f t="shared" si="422"/>
        <v>0</v>
      </c>
      <c r="AK942" s="39"/>
      <c r="AL942" s="41">
        <f t="shared" si="404"/>
        <v>0</v>
      </c>
      <c r="AM942" s="47"/>
      <c r="AN942" s="41">
        <f t="shared" si="423"/>
        <v>0</v>
      </c>
      <c r="AO942" s="39"/>
      <c r="AP942" s="41">
        <f t="shared" si="405"/>
        <v>0</v>
      </c>
      <c r="AQ942" s="47"/>
      <c r="AR942" s="41">
        <f t="shared" si="424"/>
        <v>0</v>
      </c>
      <c r="AS942" s="39"/>
      <c r="AT942" s="41">
        <f t="shared" si="406"/>
        <v>0</v>
      </c>
      <c r="AU942" s="47"/>
      <c r="AV942" s="41">
        <f t="shared" si="425"/>
        <v>0</v>
      </c>
      <c r="AW942" s="39"/>
      <c r="AX942" s="41">
        <f t="shared" si="407"/>
        <v>0</v>
      </c>
      <c r="AY942" s="47"/>
      <c r="AZ942" s="41">
        <f t="shared" si="426"/>
        <v>0</v>
      </c>
      <c r="BA942" s="39"/>
      <c r="BB942" s="41">
        <f t="shared" si="408"/>
        <v>0</v>
      </c>
      <c r="BC942" s="47"/>
      <c r="BD942" s="41">
        <f t="shared" si="427"/>
        <v>0</v>
      </c>
      <c r="BE942" s="39"/>
      <c r="BF942" s="47"/>
    </row>
    <row r="943" spans="1:58" ht="15.75" customHeight="1" x14ac:dyDescent="0.25">
      <c r="A943" s="44">
        <v>2018</v>
      </c>
      <c r="B943" s="39">
        <v>171850</v>
      </c>
      <c r="C943" s="38" t="s">
        <v>150</v>
      </c>
      <c r="D943" s="38" t="s">
        <v>112</v>
      </c>
      <c r="E943" s="39"/>
      <c r="F943" s="42">
        <f t="shared" si="409"/>
        <v>0</v>
      </c>
      <c r="G943" s="47"/>
      <c r="H943" s="42">
        <f t="shared" si="410"/>
        <v>0</v>
      </c>
      <c r="I943" s="39"/>
      <c r="J943" s="41">
        <f t="shared" si="411"/>
        <v>0</v>
      </c>
      <c r="K943" s="47"/>
      <c r="L943" s="41">
        <f t="shared" si="412"/>
        <v>0</v>
      </c>
      <c r="M943" s="39"/>
      <c r="N943" s="41">
        <f t="shared" si="413"/>
        <v>0</v>
      </c>
      <c r="O943" s="47"/>
      <c r="P943" s="41">
        <f t="shared" si="414"/>
        <v>0</v>
      </c>
      <c r="Q943" s="39"/>
      <c r="R943" s="41">
        <f t="shared" si="415"/>
        <v>0</v>
      </c>
      <c r="S943" s="47"/>
      <c r="T943" s="41">
        <f t="shared" si="416"/>
        <v>0</v>
      </c>
      <c r="U943" s="39"/>
      <c r="V943" s="41">
        <f t="shared" si="417"/>
        <v>0</v>
      </c>
      <c r="W943" s="47"/>
      <c r="X943" s="41">
        <f t="shared" si="418"/>
        <v>0</v>
      </c>
      <c r="Y943" s="39"/>
      <c r="Z943" s="41">
        <f t="shared" si="419"/>
        <v>0</v>
      </c>
      <c r="AA943" s="47"/>
      <c r="AB943" s="41">
        <f t="shared" si="420"/>
        <v>0</v>
      </c>
      <c r="AC943" s="39"/>
      <c r="AD943" s="41">
        <f t="shared" si="402"/>
        <v>0</v>
      </c>
      <c r="AE943" s="47"/>
      <c r="AF943" s="41">
        <f t="shared" si="421"/>
        <v>0</v>
      </c>
      <c r="AG943" s="39"/>
      <c r="AH943" s="41">
        <f t="shared" si="403"/>
        <v>0</v>
      </c>
      <c r="AI943" s="47"/>
      <c r="AJ943" s="41">
        <f t="shared" si="422"/>
        <v>0</v>
      </c>
      <c r="AK943" s="39"/>
      <c r="AL943" s="41">
        <f t="shared" si="404"/>
        <v>0</v>
      </c>
      <c r="AM943" s="47"/>
      <c r="AN943" s="41">
        <f t="shared" si="423"/>
        <v>0</v>
      </c>
      <c r="AO943" s="39"/>
      <c r="AP943" s="41">
        <f t="shared" si="405"/>
        <v>0</v>
      </c>
      <c r="AQ943" s="47"/>
      <c r="AR943" s="41">
        <f t="shared" si="424"/>
        <v>0</v>
      </c>
      <c r="AS943" s="39"/>
      <c r="AT943" s="41">
        <f t="shared" si="406"/>
        <v>0</v>
      </c>
      <c r="AU943" s="47"/>
      <c r="AV943" s="41">
        <f t="shared" si="425"/>
        <v>0</v>
      </c>
      <c r="AW943" s="39"/>
      <c r="AX943" s="41">
        <f t="shared" si="407"/>
        <v>0</v>
      </c>
      <c r="AY943" s="47"/>
      <c r="AZ943" s="41">
        <f t="shared" si="426"/>
        <v>0</v>
      </c>
      <c r="BA943" s="39"/>
      <c r="BB943" s="41">
        <f t="shared" si="408"/>
        <v>0</v>
      </c>
      <c r="BC943" s="47"/>
      <c r="BD943" s="41">
        <f t="shared" si="427"/>
        <v>0</v>
      </c>
      <c r="BE943" s="39"/>
      <c r="BF943" s="47"/>
    </row>
    <row r="944" spans="1:58" ht="15.75" customHeight="1" x14ac:dyDescent="0.25">
      <c r="A944" s="44">
        <v>2018</v>
      </c>
      <c r="B944" s="39">
        <v>171855</v>
      </c>
      <c r="C944" s="38" t="s">
        <v>145</v>
      </c>
      <c r="D944" s="38" t="s">
        <v>113</v>
      </c>
      <c r="E944" s="39"/>
      <c r="F944" s="42">
        <f t="shared" si="409"/>
        <v>0</v>
      </c>
      <c r="G944" s="47"/>
      <c r="H944" s="42">
        <f t="shared" si="410"/>
        <v>0</v>
      </c>
      <c r="I944" s="39"/>
      <c r="J944" s="41">
        <f t="shared" si="411"/>
        <v>0</v>
      </c>
      <c r="K944" s="47"/>
      <c r="L944" s="41">
        <f t="shared" si="412"/>
        <v>0</v>
      </c>
      <c r="M944" s="39"/>
      <c r="N944" s="41">
        <f t="shared" si="413"/>
        <v>0</v>
      </c>
      <c r="O944" s="47"/>
      <c r="P944" s="41">
        <f t="shared" si="414"/>
        <v>0</v>
      </c>
      <c r="Q944" s="39"/>
      <c r="R944" s="41">
        <f t="shared" si="415"/>
        <v>0</v>
      </c>
      <c r="S944" s="47"/>
      <c r="T944" s="41">
        <f t="shared" si="416"/>
        <v>0</v>
      </c>
      <c r="U944" s="39"/>
      <c r="V944" s="41">
        <f t="shared" si="417"/>
        <v>0</v>
      </c>
      <c r="W944" s="47"/>
      <c r="X944" s="41">
        <f t="shared" si="418"/>
        <v>0</v>
      </c>
      <c r="Y944" s="39"/>
      <c r="Z944" s="41">
        <f t="shared" si="419"/>
        <v>0</v>
      </c>
      <c r="AA944" s="47"/>
      <c r="AB944" s="41">
        <f t="shared" si="420"/>
        <v>0</v>
      </c>
      <c r="AC944" s="39"/>
      <c r="AD944" s="41">
        <f t="shared" si="402"/>
        <v>0</v>
      </c>
      <c r="AE944" s="47"/>
      <c r="AF944" s="41">
        <f t="shared" si="421"/>
        <v>0</v>
      </c>
      <c r="AG944" s="39"/>
      <c r="AH944" s="41">
        <f t="shared" si="403"/>
        <v>0</v>
      </c>
      <c r="AI944" s="47"/>
      <c r="AJ944" s="41">
        <f t="shared" si="422"/>
        <v>0</v>
      </c>
      <c r="AK944" s="39"/>
      <c r="AL944" s="41">
        <f t="shared" si="404"/>
        <v>0</v>
      </c>
      <c r="AM944" s="47"/>
      <c r="AN944" s="41">
        <f t="shared" si="423"/>
        <v>0</v>
      </c>
      <c r="AO944" s="39"/>
      <c r="AP944" s="41">
        <f t="shared" si="405"/>
        <v>0</v>
      </c>
      <c r="AQ944" s="47"/>
      <c r="AR944" s="41">
        <f t="shared" si="424"/>
        <v>0</v>
      </c>
      <c r="AS944" s="39"/>
      <c r="AT944" s="41">
        <f t="shared" si="406"/>
        <v>0</v>
      </c>
      <c r="AU944" s="47"/>
      <c r="AV944" s="41">
        <f t="shared" si="425"/>
        <v>0</v>
      </c>
      <c r="AW944" s="39"/>
      <c r="AX944" s="41">
        <f t="shared" si="407"/>
        <v>0</v>
      </c>
      <c r="AY944" s="47"/>
      <c r="AZ944" s="41">
        <f t="shared" si="426"/>
        <v>0</v>
      </c>
      <c r="BA944" s="39"/>
      <c r="BB944" s="41">
        <f t="shared" si="408"/>
        <v>0</v>
      </c>
      <c r="BC944" s="47"/>
      <c r="BD944" s="41">
        <f t="shared" si="427"/>
        <v>0</v>
      </c>
      <c r="BE944" s="39"/>
      <c r="BF944" s="47"/>
    </row>
    <row r="945" spans="1:58" ht="15.75" customHeight="1" x14ac:dyDescent="0.25">
      <c r="A945" s="44">
        <v>2018</v>
      </c>
      <c r="B945" s="39">
        <v>171865</v>
      </c>
      <c r="C945" s="38" t="s">
        <v>147</v>
      </c>
      <c r="D945" s="38" t="s">
        <v>114</v>
      </c>
      <c r="E945" s="39"/>
      <c r="F945" s="42">
        <f t="shared" si="409"/>
        <v>0</v>
      </c>
      <c r="G945" s="47"/>
      <c r="H945" s="42">
        <f t="shared" si="410"/>
        <v>0</v>
      </c>
      <c r="I945" s="39"/>
      <c r="J945" s="41">
        <f t="shared" si="411"/>
        <v>0</v>
      </c>
      <c r="K945" s="47"/>
      <c r="L945" s="41">
        <f t="shared" si="412"/>
        <v>0</v>
      </c>
      <c r="M945" s="39"/>
      <c r="N945" s="41">
        <f t="shared" si="413"/>
        <v>0</v>
      </c>
      <c r="O945" s="47"/>
      <c r="P945" s="41">
        <f t="shared" si="414"/>
        <v>0</v>
      </c>
      <c r="Q945" s="39"/>
      <c r="R945" s="41">
        <f t="shared" si="415"/>
        <v>0</v>
      </c>
      <c r="S945" s="47"/>
      <c r="T945" s="41">
        <f t="shared" si="416"/>
        <v>0</v>
      </c>
      <c r="U945" s="39"/>
      <c r="V945" s="41">
        <f t="shared" si="417"/>
        <v>0</v>
      </c>
      <c r="W945" s="47"/>
      <c r="X945" s="41">
        <f t="shared" si="418"/>
        <v>0</v>
      </c>
      <c r="Y945" s="39"/>
      <c r="Z945" s="41">
        <f t="shared" si="419"/>
        <v>0</v>
      </c>
      <c r="AA945" s="47"/>
      <c r="AB945" s="41">
        <f t="shared" si="420"/>
        <v>0</v>
      </c>
      <c r="AC945" s="39"/>
      <c r="AD945" s="41">
        <f t="shared" ref="AD945:AD976" si="428">IFERROR(AC945/$BE945,0)</f>
        <v>0</v>
      </c>
      <c r="AE945" s="47"/>
      <c r="AF945" s="41">
        <f t="shared" si="421"/>
        <v>0</v>
      </c>
      <c r="AG945" s="39"/>
      <c r="AH945" s="41">
        <f t="shared" ref="AH945:AH976" si="429">IFERROR(AG945/$BE945,0)</f>
        <v>0</v>
      </c>
      <c r="AI945" s="47"/>
      <c r="AJ945" s="41">
        <f t="shared" si="422"/>
        <v>0</v>
      </c>
      <c r="AK945" s="39"/>
      <c r="AL945" s="41">
        <f t="shared" ref="AL945:AL976" si="430">IFERROR(AK945/$BE945,0)</f>
        <v>0</v>
      </c>
      <c r="AM945" s="47"/>
      <c r="AN945" s="41">
        <f t="shared" si="423"/>
        <v>0</v>
      </c>
      <c r="AO945" s="39"/>
      <c r="AP945" s="41">
        <f t="shared" ref="AP945:AP976" si="431">IFERROR(AO945/$BE945,0)</f>
        <v>0</v>
      </c>
      <c r="AQ945" s="47"/>
      <c r="AR945" s="41">
        <f t="shared" si="424"/>
        <v>0</v>
      </c>
      <c r="AS945" s="39"/>
      <c r="AT945" s="41">
        <f t="shared" ref="AT945:AT976" si="432">IFERROR(AS945/$BE945,0)</f>
        <v>0</v>
      </c>
      <c r="AU945" s="47"/>
      <c r="AV945" s="41">
        <f t="shared" si="425"/>
        <v>0</v>
      </c>
      <c r="AW945" s="39"/>
      <c r="AX945" s="41">
        <f t="shared" ref="AX945:AX976" si="433">IFERROR(AW945/$BE945,0)</f>
        <v>0</v>
      </c>
      <c r="AY945" s="47"/>
      <c r="AZ945" s="41">
        <f t="shared" si="426"/>
        <v>0</v>
      </c>
      <c r="BA945" s="39"/>
      <c r="BB945" s="41">
        <f t="shared" ref="BB945:BB976" si="434">IFERROR(BA945/$BE945,0)</f>
        <v>0</v>
      </c>
      <c r="BC945" s="47"/>
      <c r="BD945" s="41">
        <f t="shared" si="427"/>
        <v>0</v>
      </c>
      <c r="BE945" s="39"/>
      <c r="BF945" s="47"/>
    </row>
    <row r="946" spans="1:58" ht="15.75" customHeight="1" x14ac:dyDescent="0.25">
      <c r="A946" s="44">
        <v>2018</v>
      </c>
      <c r="B946" s="39">
        <v>171870</v>
      </c>
      <c r="C946" s="38" t="s">
        <v>148</v>
      </c>
      <c r="D946" s="38" t="s">
        <v>115</v>
      </c>
      <c r="E946" s="39"/>
      <c r="F946" s="42">
        <f t="shared" si="409"/>
        <v>0</v>
      </c>
      <c r="G946" s="47"/>
      <c r="H946" s="42">
        <f t="shared" si="410"/>
        <v>0</v>
      </c>
      <c r="I946" s="39"/>
      <c r="J946" s="41">
        <f t="shared" si="411"/>
        <v>0</v>
      </c>
      <c r="K946" s="47"/>
      <c r="L946" s="41">
        <f t="shared" si="412"/>
        <v>0</v>
      </c>
      <c r="M946" s="39"/>
      <c r="N946" s="41">
        <f t="shared" si="413"/>
        <v>0</v>
      </c>
      <c r="O946" s="47"/>
      <c r="P946" s="41">
        <f t="shared" si="414"/>
        <v>0</v>
      </c>
      <c r="Q946" s="39"/>
      <c r="R946" s="41">
        <f t="shared" si="415"/>
        <v>0</v>
      </c>
      <c r="S946" s="47"/>
      <c r="T946" s="41">
        <f t="shared" si="416"/>
        <v>0</v>
      </c>
      <c r="U946" s="39"/>
      <c r="V946" s="41">
        <f t="shared" si="417"/>
        <v>0</v>
      </c>
      <c r="W946" s="47"/>
      <c r="X946" s="41">
        <f t="shared" si="418"/>
        <v>0</v>
      </c>
      <c r="Y946" s="39"/>
      <c r="Z946" s="41">
        <f t="shared" si="419"/>
        <v>0</v>
      </c>
      <c r="AA946" s="47"/>
      <c r="AB946" s="41">
        <f t="shared" si="420"/>
        <v>0</v>
      </c>
      <c r="AC946" s="39"/>
      <c r="AD946" s="41">
        <f t="shared" si="428"/>
        <v>0</v>
      </c>
      <c r="AE946" s="47"/>
      <c r="AF946" s="41">
        <f t="shared" si="421"/>
        <v>0</v>
      </c>
      <c r="AG946" s="39"/>
      <c r="AH946" s="41">
        <f t="shared" si="429"/>
        <v>0</v>
      </c>
      <c r="AI946" s="47"/>
      <c r="AJ946" s="41">
        <f t="shared" si="422"/>
        <v>0</v>
      </c>
      <c r="AK946" s="39"/>
      <c r="AL946" s="41">
        <f t="shared" si="430"/>
        <v>0</v>
      </c>
      <c r="AM946" s="47"/>
      <c r="AN946" s="41">
        <f t="shared" si="423"/>
        <v>0</v>
      </c>
      <c r="AO946" s="39"/>
      <c r="AP946" s="41">
        <f t="shared" si="431"/>
        <v>0</v>
      </c>
      <c r="AQ946" s="47"/>
      <c r="AR946" s="41">
        <f t="shared" si="424"/>
        <v>0</v>
      </c>
      <c r="AS946" s="39"/>
      <c r="AT946" s="41">
        <f t="shared" si="432"/>
        <v>0</v>
      </c>
      <c r="AU946" s="47"/>
      <c r="AV946" s="41">
        <f t="shared" si="425"/>
        <v>0</v>
      </c>
      <c r="AW946" s="39"/>
      <c r="AX946" s="41">
        <f t="shared" si="433"/>
        <v>0</v>
      </c>
      <c r="AY946" s="47"/>
      <c r="AZ946" s="41">
        <f t="shared" si="426"/>
        <v>0</v>
      </c>
      <c r="BA946" s="39"/>
      <c r="BB946" s="41">
        <f t="shared" si="434"/>
        <v>0</v>
      </c>
      <c r="BC946" s="47"/>
      <c r="BD946" s="41">
        <f t="shared" si="427"/>
        <v>0</v>
      </c>
      <c r="BE946" s="39"/>
      <c r="BF946" s="47"/>
    </row>
    <row r="947" spans="1:58" ht="15.75" customHeight="1" x14ac:dyDescent="0.25">
      <c r="A947" s="44">
        <v>2018</v>
      </c>
      <c r="B947" s="39">
        <v>171875</v>
      </c>
      <c r="C947" s="38" t="s">
        <v>148</v>
      </c>
      <c r="D947" s="38" t="s">
        <v>116</v>
      </c>
      <c r="E947" s="39"/>
      <c r="F947" s="42">
        <f t="shared" si="409"/>
        <v>0</v>
      </c>
      <c r="G947" s="47"/>
      <c r="H947" s="42">
        <f t="shared" si="410"/>
        <v>0</v>
      </c>
      <c r="I947" s="39"/>
      <c r="J947" s="41">
        <f t="shared" si="411"/>
        <v>0</v>
      </c>
      <c r="K947" s="47"/>
      <c r="L947" s="41">
        <f t="shared" si="412"/>
        <v>0</v>
      </c>
      <c r="M947" s="39"/>
      <c r="N947" s="41">
        <f t="shared" si="413"/>
        <v>0</v>
      </c>
      <c r="O947" s="47"/>
      <c r="P947" s="41">
        <f t="shared" si="414"/>
        <v>0</v>
      </c>
      <c r="Q947" s="39"/>
      <c r="R947" s="41">
        <f t="shared" si="415"/>
        <v>0</v>
      </c>
      <c r="S947" s="47"/>
      <c r="T947" s="41">
        <f t="shared" si="416"/>
        <v>0</v>
      </c>
      <c r="U947" s="39"/>
      <c r="V947" s="41">
        <f t="shared" si="417"/>
        <v>0</v>
      </c>
      <c r="W947" s="47"/>
      <c r="X947" s="41">
        <f t="shared" si="418"/>
        <v>0</v>
      </c>
      <c r="Y947" s="39"/>
      <c r="Z947" s="41">
        <f t="shared" si="419"/>
        <v>0</v>
      </c>
      <c r="AA947" s="47"/>
      <c r="AB947" s="41">
        <f t="shared" si="420"/>
        <v>0</v>
      </c>
      <c r="AC947" s="39"/>
      <c r="AD947" s="41">
        <f t="shared" si="428"/>
        <v>0</v>
      </c>
      <c r="AE947" s="47"/>
      <c r="AF947" s="41">
        <f t="shared" si="421"/>
        <v>0</v>
      </c>
      <c r="AG947" s="39"/>
      <c r="AH947" s="41">
        <f t="shared" si="429"/>
        <v>0</v>
      </c>
      <c r="AI947" s="47"/>
      <c r="AJ947" s="41">
        <f t="shared" si="422"/>
        <v>0</v>
      </c>
      <c r="AK947" s="39"/>
      <c r="AL947" s="41">
        <f t="shared" si="430"/>
        <v>0</v>
      </c>
      <c r="AM947" s="47"/>
      <c r="AN947" s="41">
        <f t="shared" si="423"/>
        <v>0</v>
      </c>
      <c r="AO947" s="39"/>
      <c r="AP947" s="41">
        <f t="shared" si="431"/>
        <v>0</v>
      </c>
      <c r="AQ947" s="47"/>
      <c r="AR947" s="41">
        <f t="shared" si="424"/>
        <v>0</v>
      </c>
      <c r="AS947" s="39"/>
      <c r="AT947" s="41">
        <f t="shared" si="432"/>
        <v>0</v>
      </c>
      <c r="AU947" s="47"/>
      <c r="AV947" s="41">
        <f t="shared" si="425"/>
        <v>0</v>
      </c>
      <c r="AW947" s="39"/>
      <c r="AX947" s="41">
        <f t="shared" si="433"/>
        <v>0</v>
      </c>
      <c r="AY947" s="47"/>
      <c r="AZ947" s="41">
        <f t="shared" si="426"/>
        <v>0</v>
      </c>
      <c r="BA947" s="39"/>
      <c r="BB947" s="41">
        <f t="shared" si="434"/>
        <v>0</v>
      </c>
      <c r="BC947" s="47"/>
      <c r="BD947" s="41">
        <f t="shared" si="427"/>
        <v>0</v>
      </c>
      <c r="BE947" s="39"/>
      <c r="BF947" s="47"/>
    </row>
    <row r="948" spans="1:58" ht="15.75" customHeight="1" x14ac:dyDescent="0.25">
      <c r="A948" s="44">
        <v>2018</v>
      </c>
      <c r="B948" s="39">
        <v>171880</v>
      </c>
      <c r="C948" s="38" t="s">
        <v>145</v>
      </c>
      <c r="D948" s="38" t="s">
        <v>117</v>
      </c>
      <c r="E948" s="39"/>
      <c r="F948" s="42">
        <f t="shared" si="409"/>
        <v>0</v>
      </c>
      <c r="G948" s="47"/>
      <c r="H948" s="42">
        <f t="shared" si="410"/>
        <v>0</v>
      </c>
      <c r="I948" s="39"/>
      <c r="J948" s="41">
        <f t="shared" si="411"/>
        <v>0</v>
      </c>
      <c r="K948" s="47"/>
      <c r="L948" s="41">
        <f t="shared" si="412"/>
        <v>0</v>
      </c>
      <c r="M948" s="39"/>
      <c r="N948" s="41">
        <f t="shared" si="413"/>
        <v>0</v>
      </c>
      <c r="O948" s="47"/>
      <c r="P948" s="41">
        <f t="shared" si="414"/>
        <v>0</v>
      </c>
      <c r="Q948" s="39"/>
      <c r="R948" s="41">
        <f t="shared" si="415"/>
        <v>0</v>
      </c>
      <c r="S948" s="47"/>
      <c r="T948" s="41">
        <f t="shared" si="416"/>
        <v>0</v>
      </c>
      <c r="U948" s="39"/>
      <c r="V948" s="41">
        <f t="shared" si="417"/>
        <v>0</v>
      </c>
      <c r="W948" s="47"/>
      <c r="X948" s="41">
        <f t="shared" si="418"/>
        <v>0</v>
      </c>
      <c r="Y948" s="39"/>
      <c r="Z948" s="41">
        <f t="shared" si="419"/>
        <v>0</v>
      </c>
      <c r="AA948" s="47"/>
      <c r="AB948" s="41">
        <f t="shared" si="420"/>
        <v>0</v>
      </c>
      <c r="AC948" s="39"/>
      <c r="AD948" s="41">
        <f t="shared" si="428"/>
        <v>0</v>
      </c>
      <c r="AE948" s="47"/>
      <c r="AF948" s="41">
        <f t="shared" si="421"/>
        <v>0</v>
      </c>
      <c r="AG948" s="39"/>
      <c r="AH948" s="41">
        <f t="shared" si="429"/>
        <v>0</v>
      </c>
      <c r="AI948" s="47"/>
      <c r="AJ948" s="41">
        <f t="shared" si="422"/>
        <v>0</v>
      </c>
      <c r="AK948" s="39"/>
      <c r="AL948" s="41">
        <f t="shared" si="430"/>
        <v>0</v>
      </c>
      <c r="AM948" s="47"/>
      <c r="AN948" s="41">
        <f t="shared" si="423"/>
        <v>0</v>
      </c>
      <c r="AO948" s="39"/>
      <c r="AP948" s="41">
        <f t="shared" si="431"/>
        <v>0</v>
      </c>
      <c r="AQ948" s="47"/>
      <c r="AR948" s="41">
        <f t="shared" si="424"/>
        <v>0</v>
      </c>
      <c r="AS948" s="39"/>
      <c r="AT948" s="41">
        <f t="shared" si="432"/>
        <v>0</v>
      </c>
      <c r="AU948" s="47"/>
      <c r="AV948" s="41">
        <f t="shared" si="425"/>
        <v>0</v>
      </c>
      <c r="AW948" s="39"/>
      <c r="AX948" s="41">
        <f t="shared" si="433"/>
        <v>0</v>
      </c>
      <c r="AY948" s="47"/>
      <c r="AZ948" s="41">
        <f t="shared" si="426"/>
        <v>0</v>
      </c>
      <c r="BA948" s="39"/>
      <c r="BB948" s="41">
        <f t="shared" si="434"/>
        <v>0</v>
      </c>
      <c r="BC948" s="47"/>
      <c r="BD948" s="41">
        <f t="shared" si="427"/>
        <v>0</v>
      </c>
      <c r="BE948" s="39"/>
      <c r="BF948" s="47"/>
    </row>
    <row r="949" spans="1:58" ht="15.75" customHeight="1" x14ac:dyDescent="0.25">
      <c r="A949" s="44">
        <v>2018</v>
      </c>
      <c r="B949" s="39">
        <v>171884</v>
      </c>
      <c r="C949" s="38" t="s">
        <v>146</v>
      </c>
      <c r="D949" s="38" t="s">
        <v>118</v>
      </c>
      <c r="E949" s="39"/>
      <c r="F949" s="42">
        <f t="shared" si="409"/>
        <v>0</v>
      </c>
      <c r="G949" s="47"/>
      <c r="H949" s="42">
        <f t="shared" si="410"/>
        <v>0</v>
      </c>
      <c r="I949" s="39"/>
      <c r="J949" s="41">
        <f t="shared" si="411"/>
        <v>0</v>
      </c>
      <c r="K949" s="47"/>
      <c r="L949" s="41">
        <f t="shared" si="412"/>
        <v>0</v>
      </c>
      <c r="M949" s="39"/>
      <c r="N949" s="41">
        <f t="shared" si="413"/>
        <v>0</v>
      </c>
      <c r="O949" s="47"/>
      <c r="P949" s="41">
        <f t="shared" si="414"/>
        <v>0</v>
      </c>
      <c r="Q949" s="39"/>
      <c r="R949" s="41">
        <f t="shared" si="415"/>
        <v>0</v>
      </c>
      <c r="S949" s="47"/>
      <c r="T949" s="41">
        <f t="shared" si="416"/>
        <v>0</v>
      </c>
      <c r="U949" s="39"/>
      <c r="V949" s="41">
        <f t="shared" si="417"/>
        <v>0</v>
      </c>
      <c r="W949" s="47"/>
      <c r="X949" s="41">
        <f t="shared" si="418"/>
        <v>0</v>
      </c>
      <c r="Y949" s="39"/>
      <c r="Z949" s="41">
        <f t="shared" si="419"/>
        <v>0</v>
      </c>
      <c r="AA949" s="47"/>
      <c r="AB949" s="41">
        <f t="shared" si="420"/>
        <v>0</v>
      </c>
      <c r="AC949" s="39"/>
      <c r="AD949" s="41">
        <f t="shared" si="428"/>
        <v>0</v>
      </c>
      <c r="AE949" s="47"/>
      <c r="AF949" s="41">
        <f t="shared" si="421"/>
        <v>0</v>
      </c>
      <c r="AG949" s="39"/>
      <c r="AH949" s="41">
        <f t="shared" si="429"/>
        <v>0</v>
      </c>
      <c r="AI949" s="47"/>
      <c r="AJ949" s="41">
        <f t="shared" si="422"/>
        <v>0</v>
      </c>
      <c r="AK949" s="39"/>
      <c r="AL949" s="41">
        <f t="shared" si="430"/>
        <v>0</v>
      </c>
      <c r="AM949" s="47"/>
      <c r="AN949" s="41">
        <f t="shared" si="423"/>
        <v>0</v>
      </c>
      <c r="AO949" s="39"/>
      <c r="AP949" s="41">
        <f t="shared" si="431"/>
        <v>0</v>
      </c>
      <c r="AQ949" s="47"/>
      <c r="AR949" s="41">
        <f t="shared" si="424"/>
        <v>0</v>
      </c>
      <c r="AS949" s="39"/>
      <c r="AT949" s="41">
        <f t="shared" si="432"/>
        <v>0</v>
      </c>
      <c r="AU949" s="47"/>
      <c r="AV949" s="41">
        <f t="shared" si="425"/>
        <v>0</v>
      </c>
      <c r="AW949" s="39"/>
      <c r="AX949" s="41">
        <f t="shared" si="433"/>
        <v>0</v>
      </c>
      <c r="AY949" s="47"/>
      <c r="AZ949" s="41">
        <f t="shared" si="426"/>
        <v>0</v>
      </c>
      <c r="BA949" s="39"/>
      <c r="BB949" s="41">
        <f t="shared" si="434"/>
        <v>0</v>
      </c>
      <c r="BC949" s="47"/>
      <c r="BD949" s="41">
        <f t="shared" si="427"/>
        <v>0</v>
      </c>
      <c r="BE949" s="39"/>
      <c r="BF949" s="47"/>
    </row>
    <row r="950" spans="1:58" ht="15.75" customHeight="1" x14ac:dyDescent="0.25">
      <c r="A950" s="44">
        <v>2018</v>
      </c>
      <c r="B950" s="39">
        <v>171886</v>
      </c>
      <c r="C950" s="38" t="s">
        <v>149</v>
      </c>
      <c r="D950" s="38" t="s">
        <v>119</v>
      </c>
      <c r="E950" s="39"/>
      <c r="F950" s="42">
        <f t="shared" si="409"/>
        <v>0</v>
      </c>
      <c r="G950" s="47"/>
      <c r="H950" s="42">
        <f t="shared" si="410"/>
        <v>0</v>
      </c>
      <c r="I950" s="39"/>
      <c r="J950" s="41">
        <f t="shared" si="411"/>
        <v>0</v>
      </c>
      <c r="K950" s="47"/>
      <c r="L950" s="41">
        <f t="shared" si="412"/>
        <v>0</v>
      </c>
      <c r="M950" s="39"/>
      <c r="N950" s="41">
        <f t="shared" si="413"/>
        <v>0</v>
      </c>
      <c r="O950" s="47"/>
      <c r="P950" s="41">
        <f t="shared" si="414"/>
        <v>0</v>
      </c>
      <c r="Q950" s="39"/>
      <c r="R950" s="41">
        <f t="shared" si="415"/>
        <v>0</v>
      </c>
      <c r="S950" s="47"/>
      <c r="T950" s="41">
        <f t="shared" si="416"/>
        <v>0</v>
      </c>
      <c r="U950" s="39"/>
      <c r="V950" s="41">
        <f t="shared" si="417"/>
        <v>0</v>
      </c>
      <c r="W950" s="47"/>
      <c r="X950" s="41">
        <f t="shared" si="418"/>
        <v>0</v>
      </c>
      <c r="Y950" s="39"/>
      <c r="Z950" s="41">
        <f t="shared" si="419"/>
        <v>0</v>
      </c>
      <c r="AA950" s="47"/>
      <c r="AB950" s="41">
        <f t="shared" si="420"/>
        <v>0</v>
      </c>
      <c r="AC950" s="39"/>
      <c r="AD950" s="41">
        <f t="shared" si="428"/>
        <v>0</v>
      </c>
      <c r="AE950" s="47"/>
      <c r="AF950" s="41">
        <f t="shared" si="421"/>
        <v>0</v>
      </c>
      <c r="AG950" s="39"/>
      <c r="AH950" s="41">
        <f t="shared" si="429"/>
        <v>0</v>
      </c>
      <c r="AI950" s="47"/>
      <c r="AJ950" s="41">
        <f t="shared" si="422"/>
        <v>0</v>
      </c>
      <c r="AK950" s="39"/>
      <c r="AL950" s="41">
        <f t="shared" si="430"/>
        <v>0</v>
      </c>
      <c r="AM950" s="47"/>
      <c r="AN950" s="41">
        <f t="shared" si="423"/>
        <v>0</v>
      </c>
      <c r="AO950" s="39"/>
      <c r="AP950" s="41">
        <f t="shared" si="431"/>
        <v>0</v>
      </c>
      <c r="AQ950" s="47"/>
      <c r="AR950" s="41">
        <f t="shared" si="424"/>
        <v>0</v>
      </c>
      <c r="AS950" s="39"/>
      <c r="AT950" s="41">
        <f t="shared" si="432"/>
        <v>0</v>
      </c>
      <c r="AU950" s="47"/>
      <c r="AV950" s="41">
        <f t="shared" si="425"/>
        <v>0</v>
      </c>
      <c r="AW950" s="39"/>
      <c r="AX950" s="41">
        <f t="shared" si="433"/>
        <v>0</v>
      </c>
      <c r="AY950" s="47"/>
      <c r="AZ950" s="41">
        <f t="shared" si="426"/>
        <v>0</v>
      </c>
      <c r="BA950" s="39"/>
      <c r="BB950" s="41">
        <f t="shared" si="434"/>
        <v>0</v>
      </c>
      <c r="BC950" s="47"/>
      <c r="BD950" s="41">
        <f t="shared" si="427"/>
        <v>0</v>
      </c>
      <c r="BE950" s="39"/>
      <c r="BF950" s="47"/>
    </row>
    <row r="951" spans="1:58" ht="15.75" customHeight="1" x14ac:dyDescent="0.25">
      <c r="A951" s="44">
        <v>2018</v>
      </c>
      <c r="B951" s="39">
        <v>171888</v>
      </c>
      <c r="C951" s="38" t="s">
        <v>150</v>
      </c>
      <c r="D951" s="38" t="s">
        <v>120</v>
      </c>
      <c r="E951" s="39"/>
      <c r="F951" s="42">
        <f t="shared" si="409"/>
        <v>0</v>
      </c>
      <c r="G951" s="47"/>
      <c r="H951" s="42">
        <f t="shared" si="410"/>
        <v>0</v>
      </c>
      <c r="I951" s="39"/>
      <c r="J951" s="41">
        <f t="shared" si="411"/>
        <v>0</v>
      </c>
      <c r="K951" s="47"/>
      <c r="L951" s="41">
        <f t="shared" si="412"/>
        <v>0</v>
      </c>
      <c r="M951" s="39"/>
      <c r="N951" s="41">
        <f t="shared" si="413"/>
        <v>0</v>
      </c>
      <c r="O951" s="47"/>
      <c r="P951" s="41">
        <f t="shared" si="414"/>
        <v>0</v>
      </c>
      <c r="Q951" s="39"/>
      <c r="R951" s="41">
        <f t="shared" si="415"/>
        <v>0</v>
      </c>
      <c r="S951" s="47"/>
      <c r="T951" s="41">
        <f t="shared" si="416"/>
        <v>0</v>
      </c>
      <c r="U951" s="39"/>
      <c r="V951" s="41">
        <f t="shared" si="417"/>
        <v>0</v>
      </c>
      <c r="W951" s="47"/>
      <c r="X951" s="41">
        <f t="shared" si="418"/>
        <v>0</v>
      </c>
      <c r="Y951" s="39"/>
      <c r="Z951" s="41">
        <f t="shared" si="419"/>
        <v>0</v>
      </c>
      <c r="AA951" s="47"/>
      <c r="AB951" s="41">
        <f t="shared" si="420"/>
        <v>0</v>
      </c>
      <c r="AC951" s="39"/>
      <c r="AD951" s="41">
        <f t="shared" si="428"/>
        <v>0</v>
      </c>
      <c r="AE951" s="47"/>
      <c r="AF951" s="41">
        <f t="shared" si="421"/>
        <v>0</v>
      </c>
      <c r="AG951" s="39"/>
      <c r="AH951" s="41">
        <f t="shared" si="429"/>
        <v>0</v>
      </c>
      <c r="AI951" s="47"/>
      <c r="AJ951" s="41">
        <f t="shared" si="422"/>
        <v>0</v>
      </c>
      <c r="AK951" s="39"/>
      <c r="AL951" s="41">
        <f t="shared" si="430"/>
        <v>0</v>
      </c>
      <c r="AM951" s="47"/>
      <c r="AN951" s="41">
        <f t="shared" si="423"/>
        <v>0</v>
      </c>
      <c r="AO951" s="39"/>
      <c r="AP951" s="41">
        <f t="shared" si="431"/>
        <v>0</v>
      </c>
      <c r="AQ951" s="47"/>
      <c r="AR951" s="41">
        <f t="shared" si="424"/>
        <v>0</v>
      </c>
      <c r="AS951" s="39"/>
      <c r="AT951" s="41">
        <f t="shared" si="432"/>
        <v>0</v>
      </c>
      <c r="AU951" s="47"/>
      <c r="AV951" s="41">
        <f t="shared" si="425"/>
        <v>0</v>
      </c>
      <c r="AW951" s="39"/>
      <c r="AX951" s="41">
        <f t="shared" si="433"/>
        <v>0</v>
      </c>
      <c r="AY951" s="47"/>
      <c r="AZ951" s="41">
        <f t="shared" si="426"/>
        <v>0</v>
      </c>
      <c r="BA951" s="39"/>
      <c r="BB951" s="41">
        <f t="shared" si="434"/>
        <v>0</v>
      </c>
      <c r="BC951" s="47"/>
      <c r="BD951" s="41">
        <f t="shared" si="427"/>
        <v>0</v>
      </c>
      <c r="BE951" s="39"/>
      <c r="BF951" s="47"/>
    </row>
    <row r="952" spans="1:58" ht="15.75" customHeight="1" x14ac:dyDescent="0.25">
      <c r="A952" s="44">
        <v>2018</v>
      </c>
      <c r="B952" s="39">
        <v>171889</v>
      </c>
      <c r="C952" s="38" t="s">
        <v>146</v>
      </c>
      <c r="D952" s="38" t="s">
        <v>121</v>
      </c>
      <c r="E952" s="39"/>
      <c r="F952" s="42">
        <f t="shared" si="409"/>
        <v>0</v>
      </c>
      <c r="G952" s="47"/>
      <c r="H952" s="42">
        <f t="shared" si="410"/>
        <v>0</v>
      </c>
      <c r="I952" s="39"/>
      <c r="J952" s="41">
        <f t="shared" si="411"/>
        <v>0</v>
      </c>
      <c r="K952" s="47"/>
      <c r="L952" s="41">
        <f t="shared" si="412"/>
        <v>0</v>
      </c>
      <c r="M952" s="39"/>
      <c r="N952" s="41">
        <f t="shared" si="413"/>
        <v>0</v>
      </c>
      <c r="O952" s="47"/>
      <c r="P952" s="41">
        <f t="shared" si="414"/>
        <v>0</v>
      </c>
      <c r="Q952" s="39"/>
      <c r="R952" s="41">
        <f t="shared" si="415"/>
        <v>0</v>
      </c>
      <c r="S952" s="47"/>
      <c r="T952" s="41">
        <f t="shared" si="416"/>
        <v>0</v>
      </c>
      <c r="U952" s="39"/>
      <c r="V952" s="41">
        <f t="shared" si="417"/>
        <v>0</v>
      </c>
      <c r="W952" s="47"/>
      <c r="X952" s="41">
        <f t="shared" si="418"/>
        <v>0</v>
      </c>
      <c r="Y952" s="39"/>
      <c r="Z952" s="41">
        <f t="shared" si="419"/>
        <v>0</v>
      </c>
      <c r="AA952" s="47"/>
      <c r="AB952" s="41">
        <f t="shared" si="420"/>
        <v>0</v>
      </c>
      <c r="AC952" s="39"/>
      <c r="AD952" s="41">
        <f t="shared" si="428"/>
        <v>0</v>
      </c>
      <c r="AE952" s="47"/>
      <c r="AF952" s="41">
        <f t="shared" si="421"/>
        <v>0</v>
      </c>
      <c r="AG952" s="39"/>
      <c r="AH952" s="41">
        <f t="shared" si="429"/>
        <v>0</v>
      </c>
      <c r="AI952" s="47"/>
      <c r="AJ952" s="41">
        <f t="shared" si="422"/>
        <v>0</v>
      </c>
      <c r="AK952" s="39"/>
      <c r="AL952" s="41">
        <f t="shared" si="430"/>
        <v>0</v>
      </c>
      <c r="AM952" s="47"/>
      <c r="AN952" s="41">
        <f t="shared" si="423"/>
        <v>0</v>
      </c>
      <c r="AO952" s="39"/>
      <c r="AP952" s="41">
        <f t="shared" si="431"/>
        <v>0</v>
      </c>
      <c r="AQ952" s="47"/>
      <c r="AR952" s="41">
        <f t="shared" si="424"/>
        <v>0</v>
      </c>
      <c r="AS952" s="39"/>
      <c r="AT952" s="41">
        <f t="shared" si="432"/>
        <v>0</v>
      </c>
      <c r="AU952" s="47"/>
      <c r="AV952" s="41">
        <f t="shared" si="425"/>
        <v>0</v>
      </c>
      <c r="AW952" s="39"/>
      <c r="AX952" s="41">
        <f t="shared" si="433"/>
        <v>0</v>
      </c>
      <c r="AY952" s="47"/>
      <c r="AZ952" s="41">
        <f t="shared" si="426"/>
        <v>0</v>
      </c>
      <c r="BA952" s="39"/>
      <c r="BB952" s="41">
        <f t="shared" si="434"/>
        <v>0</v>
      </c>
      <c r="BC952" s="47"/>
      <c r="BD952" s="41">
        <f t="shared" si="427"/>
        <v>0</v>
      </c>
      <c r="BE952" s="39"/>
      <c r="BF952" s="47"/>
    </row>
    <row r="953" spans="1:58" ht="15.75" customHeight="1" x14ac:dyDescent="0.25">
      <c r="A953" s="44">
        <v>2018</v>
      </c>
      <c r="B953" s="39">
        <v>171890</v>
      </c>
      <c r="C953" s="38" t="s">
        <v>151</v>
      </c>
      <c r="D953" s="38" t="s">
        <v>122</v>
      </c>
      <c r="E953" s="39"/>
      <c r="F953" s="42">
        <f t="shared" si="409"/>
        <v>0</v>
      </c>
      <c r="G953" s="47"/>
      <c r="H953" s="42">
        <f t="shared" si="410"/>
        <v>0</v>
      </c>
      <c r="I953" s="39"/>
      <c r="J953" s="41">
        <f t="shared" si="411"/>
        <v>0</v>
      </c>
      <c r="K953" s="47"/>
      <c r="L953" s="41">
        <f t="shared" si="412"/>
        <v>0</v>
      </c>
      <c r="M953" s="39"/>
      <c r="N953" s="41">
        <f t="shared" si="413"/>
        <v>0</v>
      </c>
      <c r="O953" s="47"/>
      <c r="P953" s="41">
        <f t="shared" si="414"/>
        <v>0</v>
      </c>
      <c r="Q953" s="39"/>
      <c r="R953" s="41">
        <f t="shared" si="415"/>
        <v>0</v>
      </c>
      <c r="S953" s="47"/>
      <c r="T953" s="41">
        <f t="shared" si="416"/>
        <v>0</v>
      </c>
      <c r="U953" s="39"/>
      <c r="V953" s="41">
        <f t="shared" si="417"/>
        <v>0</v>
      </c>
      <c r="W953" s="47"/>
      <c r="X953" s="41">
        <f t="shared" si="418"/>
        <v>0</v>
      </c>
      <c r="Y953" s="39"/>
      <c r="Z953" s="41">
        <f t="shared" si="419"/>
        <v>0</v>
      </c>
      <c r="AA953" s="47"/>
      <c r="AB953" s="41">
        <f t="shared" si="420"/>
        <v>0</v>
      </c>
      <c r="AC953" s="39"/>
      <c r="AD953" s="41">
        <f t="shared" si="428"/>
        <v>0</v>
      </c>
      <c r="AE953" s="47"/>
      <c r="AF953" s="41">
        <f t="shared" si="421"/>
        <v>0</v>
      </c>
      <c r="AG953" s="39"/>
      <c r="AH953" s="41">
        <f t="shared" si="429"/>
        <v>0</v>
      </c>
      <c r="AI953" s="47"/>
      <c r="AJ953" s="41">
        <f t="shared" si="422"/>
        <v>0</v>
      </c>
      <c r="AK953" s="39"/>
      <c r="AL953" s="41">
        <f t="shared" si="430"/>
        <v>0</v>
      </c>
      <c r="AM953" s="47"/>
      <c r="AN953" s="41">
        <f t="shared" si="423"/>
        <v>0</v>
      </c>
      <c r="AO953" s="39"/>
      <c r="AP953" s="41">
        <f t="shared" si="431"/>
        <v>0</v>
      </c>
      <c r="AQ953" s="47"/>
      <c r="AR953" s="41">
        <f t="shared" si="424"/>
        <v>0</v>
      </c>
      <c r="AS953" s="39"/>
      <c r="AT953" s="41">
        <f t="shared" si="432"/>
        <v>0</v>
      </c>
      <c r="AU953" s="47"/>
      <c r="AV953" s="41">
        <f t="shared" si="425"/>
        <v>0</v>
      </c>
      <c r="AW953" s="39"/>
      <c r="AX953" s="41">
        <f t="shared" si="433"/>
        <v>0</v>
      </c>
      <c r="AY953" s="47"/>
      <c r="AZ953" s="41">
        <f t="shared" si="426"/>
        <v>0</v>
      </c>
      <c r="BA953" s="39"/>
      <c r="BB953" s="41">
        <f t="shared" si="434"/>
        <v>0</v>
      </c>
      <c r="BC953" s="47"/>
      <c r="BD953" s="41">
        <f t="shared" si="427"/>
        <v>0</v>
      </c>
      <c r="BE953" s="39"/>
      <c r="BF953" s="47"/>
    </row>
    <row r="954" spans="1:58" ht="15.75" customHeight="1" x14ac:dyDescent="0.25">
      <c r="A954" s="44">
        <v>2018</v>
      </c>
      <c r="B954" s="39">
        <v>171900</v>
      </c>
      <c r="C954" s="38" t="s">
        <v>148</v>
      </c>
      <c r="D954" s="38" t="s">
        <v>123</v>
      </c>
      <c r="E954" s="39"/>
      <c r="F954" s="42">
        <f t="shared" si="409"/>
        <v>0</v>
      </c>
      <c r="G954" s="47"/>
      <c r="H954" s="42">
        <f t="shared" si="410"/>
        <v>0</v>
      </c>
      <c r="I954" s="39"/>
      <c r="J954" s="41">
        <f t="shared" si="411"/>
        <v>0</v>
      </c>
      <c r="K954" s="47"/>
      <c r="L954" s="41">
        <f t="shared" si="412"/>
        <v>0</v>
      </c>
      <c r="M954" s="39"/>
      <c r="N954" s="41">
        <f t="shared" si="413"/>
        <v>0</v>
      </c>
      <c r="O954" s="47"/>
      <c r="P954" s="41">
        <f t="shared" si="414"/>
        <v>0</v>
      </c>
      <c r="Q954" s="39"/>
      <c r="R954" s="41">
        <f t="shared" si="415"/>
        <v>0</v>
      </c>
      <c r="S954" s="47"/>
      <c r="T954" s="41">
        <f t="shared" si="416"/>
        <v>0</v>
      </c>
      <c r="U954" s="39"/>
      <c r="V954" s="41">
        <f t="shared" si="417"/>
        <v>0</v>
      </c>
      <c r="W954" s="47"/>
      <c r="X954" s="41">
        <f t="shared" si="418"/>
        <v>0</v>
      </c>
      <c r="Y954" s="39"/>
      <c r="Z954" s="41">
        <f t="shared" si="419"/>
        <v>0</v>
      </c>
      <c r="AA954" s="47"/>
      <c r="AB954" s="41">
        <f t="shared" si="420"/>
        <v>0</v>
      </c>
      <c r="AC954" s="39"/>
      <c r="AD954" s="41">
        <f t="shared" si="428"/>
        <v>0</v>
      </c>
      <c r="AE954" s="47"/>
      <c r="AF954" s="41">
        <f t="shared" si="421"/>
        <v>0</v>
      </c>
      <c r="AG954" s="39"/>
      <c r="AH954" s="41">
        <f t="shared" si="429"/>
        <v>0</v>
      </c>
      <c r="AI954" s="47"/>
      <c r="AJ954" s="41">
        <f t="shared" si="422"/>
        <v>0</v>
      </c>
      <c r="AK954" s="39"/>
      <c r="AL954" s="41">
        <f t="shared" si="430"/>
        <v>0</v>
      </c>
      <c r="AM954" s="47"/>
      <c r="AN954" s="41">
        <f t="shared" si="423"/>
        <v>0</v>
      </c>
      <c r="AO954" s="39"/>
      <c r="AP954" s="41">
        <f t="shared" si="431"/>
        <v>0</v>
      </c>
      <c r="AQ954" s="47"/>
      <c r="AR954" s="41">
        <f t="shared" si="424"/>
        <v>0</v>
      </c>
      <c r="AS954" s="39"/>
      <c r="AT954" s="41">
        <f t="shared" si="432"/>
        <v>0</v>
      </c>
      <c r="AU954" s="47"/>
      <c r="AV954" s="41">
        <f t="shared" si="425"/>
        <v>0</v>
      </c>
      <c r="AW954" s="39"/>
      <c r="AX954" s="41">
        <f t="shared" si="433"/>
        <v>0</v>
      </c>
      <c r="AY954" s="47"/>
      <c r="AZ954" s="41">
        <f t="shared" si="426"/>
        <v>0</v>
      </c>
      <c r="BA954" s="39"/>
      <c r="BB954" s="41">
        <f t="shared" si="434"/>
        <v>0</v>
      </c>
      <c r="BC954" s="47"/>
      <c r="BD954" s="41">
        <f t="shared" si="427"/>
        <v>0</v>
      </c>
      <c r="BE954" s="39"/>
      <c r="BF954" s="47"/>
    </row>
    <row r="955" spans="1:58" ht="15.75" customHeight="1" x14ac:dyDescent="0.25">
      <c r="A955" s="44">
        <v>2018</v>
      </c>
      <c r="B955" s="39">
        <v>172000</v>
      </c>
      <c r="C955" s="38" t="s">
        <v>145</v>
      </c>
      <c r="D955" s="38" t="s">
        <v>124</v>
      </c>
      <c r="E955" s="39"/>
      <c r="F955" s="42">
        <f t="shared" si="409"/>
        <v>0</v>
      </c>
      <c r="G955" s="47"/>
      <c r="H955" s="42">
        <f t="shared" si="410"/>
        <v>0</v>
      </c>
      <c r="I955" s="39"/>
      <c r="J955" s="41">
        <f t="shared" si="411"/>
        <v>0</v>
      </c>
      <c r="K955" s="47"/>
      <c r="L955" s="41">
        <f t="shared" si="412"/>
        <v>0</v>
      </c>
      <c r="M955" s="39"/>
      <c r="N955" s="41">
        <f t="shared" si="413"/>
        <v>0</v>
      </c>
      <c r="O955" s="47"/>
      <c r="P955" s="41">
        <f t="shared" si="414"/>
        <v>0</v>
      </c>
      <c r="Q955" s="39"/>
      <c r="R955" s="41">
        <f t="shared" si="415"/>
        <v>0</v>
      </c>
      <c r="S955" s="47"/>
      <c r="T955" s="41">
        <f t="shared" si="416"/>
        <v>0</v>
      </c>
      <c r="U955" s="39"/>
      <c r="V955" s="41">
        <f t="shared" si="417"/>
        <v>0</v>
      </c>
      <c r="W955" s="47"/>
      <c r="X955" s="41">
        <f t="shared" si="418"/>
        <v>0</v>
      </c>
      <c r="Y955" s="39"/>
      <c r="Z955" s="41">
        <f t="shared" si="419"/>
        <v>0</v>
      </c>
      <c r="AA955" s="47"/>
      <c r="AB955" s="41">
        <f t="shared" si="420"/>
        <v>0</v>
      </c>
      <c r="AC955" s="39"/>
      <c r="AD955" s="41">
        <f t="shared" si="428"/>
        <v>0</v>
      </c>
      <c r="AE955" s="47"/>
      <c r="AF955" s="41">
        <f t="shared" si="421"/>
        <v>0</v>
      </c>
      <c r="AG955" s="39"/>
      <c r="AH955" s="41">
        <f t="shared" si="429"/>
        <v>0</v>
      </c>
      <c r="AI955" s="47"/>
      <c r="AJ955" s="41">
        <f t="shared" si="422"/>
        <v>0</v>
      </c>
      <c r="AK955" s="39"/>
      <c r="AL955" s="41">
        <f t="shared" si="430"/>
        <v>0</v>
      </c>
      <c r="AM955" s="47"/>
      <c r="AN955" s="41">
        <f t="shared" si="423"/>
        <v>0</v>
      </c>
      <c r="AO955" s="39"/>
      <c r="AP955" s="41">
        <f t="shared" si="431"/>
        <v>0</v>
      </c>
      <c r="AQ955" s="47"/>
      <c r="AR955" s="41">
        <f t="shared" si="424"/>
        <v>0</v>
      </c>
      <c r="AS955" s="39"/>
      <c r="AT955" s="41">
        <f t="shared" si="432"/>
        <v>0</v>
      </c>
      <c r="AU955" s="47"/>
      <c r="AV955" s="41">
        <f t="shared" si="425"/>
        <v>0</v>
      </c>
      <c r="AW955" s="39"/>
      <c r="AX955" s="41">
        <f t="shared" si="433"/>
        <v>0</v>
      </c>
      <c r="AY955" s="47"/>
      <c r="AZ955" s="41">
        <f t="shared" si="426"/>
        <v>0</v>
      </c>
      <c r="BA955" s="39"/>
      <c r="BB955" s="41">
        <f t="shared" si="434"/>
        <v>0</v>
      </c>
      <c r="BC955" s="47"/>
      <c r="BD955" s="41">
        <f t="shared" si="427"/>
        <v>0</v>
      </c>
      <c r="BE955" s="39"/>
      <c r="BF955" s="47"/>
    </row>
    <row r="956" spans="1:58" ht="15.75" customHeight="1" x14ac:dyDescent="0.25">
      <c r="A956" s="44">
        <v>2018</v>
      </c>
      <c r="B956" s="39">
        <v>172010</v>
      </c>
      <c r="C956" s="38" t="s">
        <v>145</v>
      </c>
      <c r="D956" s="38" t="s">
        <v>125</v>
      </c>
      <c r="E956" s="39"/>
      <c r="F956" s="42">
        <f t="shared" si="409"/>
        <v>0</v>
      </c>
      <c r="G956" s="47"/>
      <c r="H956" s="42">
        <f t="shared" si="410"/>
        <v>0</v>
      </c>
      <c r="I956" s="39"/>
      <c r="J956" s="41">
        <f t="shared" si="411"/>
        <v>0</v>
      </c>
      <c r="K956" s="47"/>
      <c r="L956" s="41">
        <f t="shared" si="412"/>
        <v>0</v>
      </c>
      <c r="M956" s="39"/>
      <c r="N956" s="41">
        <f t="shared" si="413"/>
        <v>0</v>
      </c>
      <c r="O956" s="47"/>
      <c r="P956" s="41">
        <f t="shared" si="414"/>
        <v>0</v>
      </c>
      <c r="Q956" s="39"/>
      <c r="R956" s="41">
        <f t="shared" si="415"/>
        <v>0</v>
      </c>
      <c r="S956" s="47"/>
      <c r="T956" s="41">
        <f t="shared" si="416"/>
        <v>0</v>
      </c>
      <c r="U956" s="39"/>
      <c r="V956" s="41">
        <f t="shared" si="417"/>
        <v>0</v>
      </c>
      <c r="W956" s="47"/>
      <c r="X956" s="41">
        <f t="shared" si="418"/>
        <v>0</v>
      </c>
      <c r="Y956" s="39"/>
      <c r="Z956" s="41">
        <f t="shared" si="419"/>
        <v>0</v>
      </c>
      <c r="AA956" s="47"/>
      <c r="AB956" s="41">
        <f t="shared" si="420"/>
        <v>0</v>
      </c>
      <c r="AC956" s="39"/>
      <c r="AD956" s="41">
        <f t="shared" si="428"/>
        <v>0</v>
      </c>
      <c r="AE956" s="47"/>
      <c r="AF956" s="41">
        <f t="shared" si="421"/>
        <v>0</v>
      </c>
      <c r="AG956" s="39"/>
      <c r="AH956" s="41">
        <f t="shared" si="429"/>
        <v>0</v>
      </c>
      <c r="AI956" s="47"/>
      <c r="AJ956" s="41">
        <f t="shared" si="422"/>
        <v>0</v>
      </c>
      <c r="AK956" s="39"/>
      <c r="AL956" s="41">
        <f t="shared" si="430"/>
        <v>0</v>
      </c>
      <c r="AM956" s="47"/>
      <c r="AN956" s="41">
        <f t="shared" si="423"/>
        <v>0</v>
      </c>
      <c r="AO956" s="39"/>
      <c r="AP956" s="41">
        <f t="shared" si="431"/>
        <v>0</v>
      </c>
      <c r="AQ956" s="47"/>
      <c r="AR956" s="41">
        <f t="shared" si="424"/>
        <v>0</v>
      </c>
      <c r="AS956" s="39"/>
      <c r="AT956" s="41">
        <f t="shared" si="432"/>
        <v>0</v>
      </c>
      <c r="AU956" s="47"/>
      <c r="AV956" s="41">
        <f t="shared" si="425"/>
        <v>0</v>
      </c>
      <c r="AW956" s="39"/>
      <c r="AX956" s="41">
        <f t="shared" si="433"/>
        <v>0</v>
      </c>
      <c r="AY956" s="47"/>
      <c r="AZ956" s="41">
        <f t="shared" si="426"/>
        <v>0</v>
      </c>
      <c r="BA956" s="39"/>
      <c r="BB956" s="41">
        <f t="shared" si="434"/>
        <v>0</v>
      </c>
      <c r="BC956" s="47"/>
      <c r="BD956" s="41">
        <f t="shared" si="427"/>
        <v>0</v>
      </c>
      <c r="BE956" s="39"/>
      <c r="BF956" s="47"/>
    </row>
    <row r="957" spans="1:58" ht="15.75" customHeight="1" x14ac:dyDescent="0.25">
      <c r="A957" s="44">
        <v>2018</v>
      </c>
      <c r="B957" s="39">
        <v>172015</v>
      </c>
      <c r="C957" s="38" t="s">
        <v>148</v>
      </c>
      <c r="D957" s="38" t="s">
        <v>126</v>
      </c>
      <c r="E957" s="39"/>
      <c r="F957" s="42">
        <f t="shared" si="409"/>
        <v>0</v>
      </c>
      <c r="G957" s="47"/>
      <c r="H957" s="42">
        <f t="shared" si="410"/>
        <v>0</v>
      </c>
      <c r="I957" s="39"/>
      <c r="J957" s="41">
        <f t="shared" si="411"/>
        <v>0</v>
      </c>
      <c r="K957" s="47"/>
      <c r="L957" s="41">
        <f t="shared" si="412"/>
        <v>0</v>
      </c>
      <c r="M957" s="39"/>
      <c r="N957" s="41">
        <f t="shared" si="413"/>
        <v>0</v>
      </c>
      <c r="O957" s="47"/>
      <c r="P957" s="41">
        <f t="shared" si="414"/>
        <v>0</v>
      </c>
      <c r="Q957" s="39"/>
      <c r="R957" s="41">
        <f t="shared" si="415"/>
        <v>0</v>
      </c>
      <c r="S957" s="47"/>
      <c r="T957" s="41">
        <f t="shared" si="416"/>
        <v>0</v>
      </c>
      <c r="U957" s="39"/>
      <c r="V957" s="41">
        <f t="shared" si="417"/>
        <v>0</v>
      </c>
      <c r="W957" s="47"/>
      <c r="X957" s="41">
        <f t="shared" si="418"/>
        <v>0</v>
      </c>
      <c r="Y957" s="39"/>
      <c r="Z957" s="41">
        <f t="shared" si="419"/>
        <v>0</v>
      </c>
      <c r="AA957" s="47"/>
      <c r="AB957" s="41">
        <f t="shared" si="420"/>
        <v>0</v>
      </c>
      <c r="AC957" s="39"/>
      <c r="AD957" s="41">
        <f t="shared" si="428"/>
        <v>0</v>
      </c>
      <c r="AE957" s="47"/>
      <c r="AF957" s="41">
        <f t="shared" si="421"/>
        <v>0</v>
      </c>
      <c r="AG957" s="39"/>
      <c r="AH957" s="41">
        <f t="shared" si="429"/>
        <v>0</v>
      </c>
      <c r="AI957" s="47"/>
      <c r="AJ957" s="41">
        <f t="shared" si="422"/>
        <v>0</v>
      </c>
      <c r="AK957" s="39"/>
      <c r="AL957" s="41">
        <f t="shared" si="430"/>
        <v>0</v>
      </c>
      <c r="AM957" s="47"/>
      <c r="AN957" s="41">
        <f t="shared" si="423"/>
        <v>0</v>
      </c>
      <c r="AO957" s="39"/>
      <c r="AP957" s="41">
        <f t="shared" si="431"/>
        <v>0</v>
      </c>
      <c r="AQ957" s="47"/>
      <c r="AR957" s="41">
        <f t="shared" si="424"/>
        <v>0</v>
      </c>
      <c r="AS957" s="39"/>
      <c r="AT957" s="41">
        <f t="shared" si="432"/>
        <v>0</v>
      </c>
      <c r="AU957" s="47"/>
      <c r="AV957" s="41">
        <f t="shared" si="425"/>
        <v>0</v>
      </c>
      <c r="AW957" s="39"/>
      <c r="AX957" s="41">
        <f t="shared" si="433"/>
        <v>0</v>
      </c>
      <c r="AY957" s="47"/>
      <c r="AZ957" s="41">
        <f t="shared" si="426"/>
        <v>0</v>
      </c>
      <c r="BA957" s="39"/>
      <c r="BB957" s="41">
        <f t="shared" si="434"/>
        <v>0</v>
      </c>
      <c r="BC957" s="47"/>
      <c r="BD957" s="41">
        <f t="shared" si="427"/>
        <v>0</v>
      </c>
      <c r="BE957" s="39"/>
      <c r="BF957" s="47"/>
    </row>
    <row r="958" spans="1:58" ht="15.75" customHeight="1" x14ac:dyDescent="0.25">
      <c r="A958" s="44">
        <v>2018</v>
      </c>
      <c r="B958" s="39">
        <v>172020</v>
      </c>
      <c r="C958" s="38" t="s">
        <v>145</v>
      </c>
      <c r="D958" s="38" t="s">
        <v>127</v>
      </c>
      <c r="E958" s="39"/>
      <c r="F958" s="42">
        <f t="shared" si="409"/>
        <v>0</v>
      </c>
      <c r="G958" s="47"/>
      <c r="H958" s="42">
        <f t="shared" si="410"/>
        <v>0</v>
      </c>
      <c r="I958" s="39"/>
      <c r="J958" s="41">
        <f t="shared" si="411"/>
        <v>0</v>
      </c>
      <c r="K958" s="47"/>
      <c r="L958" s="41">
        <f t="shared" si="412"/>
        <v>0</v>
      </c>
      <c r="M958" s="39"/>
      <c r="N958" s="41">
        <f t="shared" si="413"/>
        <v>0</v>
      </c>
      <c r="O958" s="47"/>
      <c r="P958" s="41">
        <f t="shared" si="414"/>
        <v>0</v>
      </c>
      <c r="Q958" s="39"/>
      <c r="R958" s="41">
        <f t="shared" si="415"/>
        <v>0</v>
      </c>
      <c r="S958" s="47"/>
      <c r="T958" s="41">
        <f t="shared" si="416"/>
        <v>0</v>
      </c>
      <c r="U958" s="39"/>
      <c r="V958" s="41">
        <f t="shared" si="417"/>
        <v>0</v>
      </c>
      <c r="W958" s="47"/>
      <c r="X958" s="41">
        <f t="shared" si="418"/>
        <v>0</v>
      </c>
      <c r="Y958" s="39"/>
      <c r="Z958" s="41">
        <f t="shared" si="419"/>
        <v>0</v>
      </c>
      <c r="AA958" s="47"/>
      <c r="AB958" s="41">
        <f t="shared" si="420"/>
        <v>0</v>
      </c>
      <c r="AC958" s="39"/>
      <c r="AD958" s="41">
        <f t="shared" si="428"/>
        <v>0</v>
      </c>
      <c r="AE958" s="47"/>
      <c r="AF958" s="41">
        <f t="shared" si="421"/>
        <v>0</v>
      </c>
      <c r="AG958" s="39"/>
      <c r="AH958" s="41">
        <f t="shared" si="429"/>
        <v>0</v>
      </c>
      <c r="AI958" s="47"/>
      <c r="AJ958" s="41">
        <f t="shared" si="422"/>
        <v>0</v>
      </c>
      <c r="AK958" s="39"/>
      <c r="AL958" s="41">
        <f t="shared" si="430"/>
        <v>0</v>
      </c>
      <c r="AM958" s="47"/>
      <c r="AN958" s="41">
        <f t="shared" si="423"/>
        <v>0</v>
      </c>
      <c r="AO958" s="39"/>
      <c r="AP958" s="41">
        <f t="shared" si="431"/>
        <v>0</v>
      </c>
      <c r="AQ958" s="47"/>
      <c r="AR958" s="41">
        <f t="shared" si="424"/>
        <v>0</v>
      </c>
      <c r="AS958" s="39"/>
      <c r="AT958" s="41">
        <f t="shared" si="432"/>
        <v>0</v>
      </c>
      <c r="AU958" s="47"/>
      <c r="AV958" s="41">
        <f t="shared" si="425"/>
        <v>0</v>
      </c>
      <c r="AW958" s="39"/>
      <c r="AX958" s="41">
        <f t="shared" si="433"/>
        <v>0</v>
      </c>
      <c r="AY958" s="47"/>
      <c r="AZ958" s="41">
        <f t="shared" si="426"/>
        <v>0</v>
      </c>
      <c r="BA958" s="39"/>
      <c r="BB958" s="41">
        <f t="shared" si="434"/>
        <v>0</v>
      </c>
      <c r="BC958" s="47"/>
      <c r="BD958" s="41">
        <f t="shared" si="427"/>
        <v>0</v>
      </c>
      <c r="BE958" s="39"/>
      <c r="BF958" s="47"/>
    </row>
    <row r="959" spans="1:58" ht="15.75" customHeight="1" x14ac:dyDescent="0.25">
      <c r="A959" s="44">
        <v>2018</v>
      </c>
      <c r="B959" s="39">
        <v>172025</v>
      </c>
      <c r="C959" s="38" t="s">
        <v>146</v>
      </c>
      <c r="D959" s="38" t="s">
        <v>128</v>
      </c>
      <c r="E959" s="39"/>
      <c r="F959" s="42">
        <f t="shared" si="409"/>
        <v>0</v>
      </c>
      <c r="G959" s="47"/>
      <c r="H959" s="42">
        <f t="shared" si="410"/>
        <v>0</v>
      </c>
      <c r="I959" s="39"/>
      <c r="J959" s="41">
        <f t="shared" si="411"/>
        <v>0</v>
      </c>
      <c r="K959" s="47"/>
      <c r="L959" s="41">
        <f t="shared" si="412"/>
        <v>0</v>
      </c>
      <c r="M959" s="39"/>
      <c r="N959" s="41">
        <f t="shared" si="413"/>
        <v>0</v>
      </c>
      <c r="O959" s="47"/>
      <c r="P959" s="41">
        <f t="shared" si="414"/>
        <v>0</v>
      </c>
      <c r="Q959" s="39"/>
      <c r="R959" s="41">
        <f t="shared" si="415"/>
        <v>0</v>
      </c>
      <c r="S959" s="47"/>
      <c r="T959" s="41">
        <f t="shared" si="416"/>
        <v>0</v>
      </c>
      <c r="U959" s="39"/>
      <c r="V959" s="41">
        <f t="shared" si="417"/>
        <v>0</v>
      </c>
      <c r="W959" s="47"/>
      <c r="X959" s="41">
        <f t="shared" si="418"/>
        <v>0</v>
      </c>
      <c r="Y959" s="39"/>
      <c r="Z959" s="41">
        <f t="shared" si="419"/>
        <v>0</v>
      </c>
      <c r="AA959" s="47"/>
      <c r="AB959" s="41">
        <f t="shared" si="420"/>
        <v>0</v>
      </c>
      <c r="AC959" s="39"/>
      <c r="AD959" s="41">
        <f t="shared" si="428"/>
        <v>0</v>
      </c>
      <c r="AE959" s="47"/>
      <c r="AF959" s="41">
        <f t="shared" si="421"/>
        <v>0</v>
      </c>
      <c r="AG959" s="39"/>
      <c r="AH959" s="41">
        <f t="shared" si="429"/>
        <v>0</v>
      </c>
      <c r="AI959" s="47"/>
      <c r="AJ959" s="41">
        <f t="shared" si="422"/>
        <v>0</v>
      </c>
      <c r="AK959" s="39"/>
      <c r="AL959" s="41">
        <f t="shared" si="430"/>
        <v>0</v>
      </c>
      <c r="AM959" s="47"/>
      <c r="AN959" s="41">
        <f t="shared" si="423"/>
        <v>0</v>
      </c>
      <c r="AO959" s="39"/>
      <c r="AP959" s="41">
        <f t="shared" si="431"/>
        <v>0</v>
      </c>
      <c r="AQ959" s="47"/>
      <c r="AR959" s="41">
        <f t="shared" si="424"/>
        <v>0</v>
      </c>
      <c r="AS959" s="39"/>
      <c r="AT959" s="41">
        <f t="shared" si="432"/>
        <v>0</v>
      </c>
      <c r="AU959" s="47"/>
      <c r="AV959" s="41">
        <f t="shared" si="425"/>
        <v>0</v>
      </c>
      <c r="AW959" s="39"/>
      <c r="AX959" s="41">
        <f t="shared" si="433"/>
        <v>0</v>
      </c>
      <c r="AY959" s="47"/>
      <c r="AZ959" s="41">
        <f t="shared" si="426"/>
        <v>0</v>
      </c>
      <c r="BA959" s="39"/>
      <c r="BB959" s="41">
        <f t="shared" si="434"/>
        <v>0</v>
      </c>
      <c r="BC959" s="47"/>
      <c r="BD959" s="41">
        <f t="shared" si="427"/>
        <v>0</v>
      </c>
      <c r="BE959" s="39"/>
      <c r="BF959" s="47"/>
    </row>
    <row r="960" spans="1:58" ht="15.75" customHeight="1" x14ac:dyDescent="0.25">
      <c r="A960" s="44">
        <v>2018</v>
      </c>
      <c r="B960" s="39">
        <v>172030</v>
      </c>
      <c r="C960" s="38" t="s">
        <v>145</v>
      </c>
      <c r="D960" s="38" t="s">
        <v>129</v>
      </c>
      <c r="E960" s="39"/>
      <c r="F960" s="42">
        <f t="shared" si="409"/>
        <v>0</v>
      </c>
      <c r="G960" s="47"/>
      <c r="H960" s="42">
        <f t="shared" si="410"/>
        <v>0</v>
      </c>
      <c r="I960" s="39"/>
      <c r="J960" s="41">
        <f t="shared" si="411"/>
        <v>0</v>
      </c>
      <c r="K960" s="47"/>
      <c r="L960" s="41">
        <f t="shared" si="412"/>
        <v>0</v>
      </c>
      <c r="M960" s="39"/>
      <c r="N960" s="41">
        <f t="shared" si="413"/>
        <v>0</v>
      </c>
      <c r="O960" s="47"/>
      <c r="P960" s="41">
        <f t="shared" si="414"/>
        <v>0</v>
      </c>
      <c r="Q960" s="39"/>
      <c r="R960" s="41">
        <f t="shared" si="415"/>
        <v>0</v>
      </c>
      <c r="S960" s="47"/>
      <c r="T960" s="41">
        <f t="shared" si="416"/>
        <v>0</v>
      </c>
      <c r="U960" s="39"/>
      <c r="V960" s="41">
        <f t="shared" si="417"/>
        <v>0</v>
      </c>
      <c r="W960" s="47"/>
      <c r="X960" s="41">
        <f t="shared" si="418"/>
        <v>0</v>
      </c>
      <c r="Y960" s="39"/>
      <c r="Z960" s="41">
        <f t="shared" si="419"/>
        <v>0</v>
      </c>
      <c r="AA960" s="47"/>
      <c r="AB960" s="41">
        <f t="shared" si="420"/>
        <v>0</v>
      </c>
      <c r="AC960" s="39"/>
      <c r="AD960" s="41">
        <f t="shared" si="428"/>
        <v>0</v>
      </c>
      <c r="AE960" s="47"/>
      <c r="AF960" s="41">
        <f t="shared" si="421"/>
        <v>0</v>
      </c>
      <c r="AG960" s="39"/>
      <c r="AH960" s="41">
        <f t="shared" si="429"/>
        <v>0</v>
      </c>
      <c r="AI960" s="47"/>
      <c r="AJ960" s="41">
        <f t="shared" si="422"/>
        <v>0</v>
      </c>
      <c r="AK960" s="39"/>
      <c r="AL960" s="41">
        <f t="shared" si="430"/>
        <v>0</v>
      </c>
      <c r="AM960" s="47"/>
      <c r="AN960" s="41">
        <f t="shared" si="423"/>
        <v>0</v>
      </c>
      <c r="AO960" s="39"/>
      <c r="AP960" s="41">
        <f t="shared" si="431"/>
        <v>0</v>
      </c>
      <c r="AQ960" s="47"/>
      <c r="AR960" s="41">
        <f t="shared" si="424"/>
        <v>0</v>
      </c>
      <c r="AS960" s="39"/>
      <c r="AT960" s="41">
        <f t="shared" si="432"/>
        <v>0</v>
      </c>
      <c r="AU960" s="47"/>
      <c r="AV960" s="41">
        <f t="shared" si="425"/>
        <v>0</v>
      </c>
      <c r="AW960" s="39"/>
      <c r="AX960" s="41">
        <f t="shared" si="433"/>
        <v>0</v>
      </c>
      <c r="AY960" s="47"/>
      <c r="AZ960" s="41">
        <f t="shared" si="426"/>
        <v>0</v>
      </c>
      <c r="BA960" s="39"/>
      <c r="BB960" s="41">
        <f t="shared" si="434"/>
        <v>0</v>
      </c>
      <c r="BC960" s="47"/>
      <c r="BD960" s="41">
        <f t="shared" si="427"/>
        <v>0</v>
      </c>
      <c r="BE960" s="39"/>
      <c r="BF960" s="47"/>
    </row>
    <row r="961" spans="1:58" ht="15.75" customHeight="1" x14ac:dyDescent="0.25">
      <c r="A961" s="44">
        <v>2018</v>
      </c>
      <c r="B961" s="39">
        <v>172049</v>
      </c>
      <c r="C961" s="38" t="s">
        <v>146</v>
      </c>
      <c r="D961" s="38" t="s">
        <v>130</v>
      </c>
      <c r="E961" s="39"/>
      <c r="F961" s="42">
        <f t="shared" si="409"/>
        <v>0</v>
      </c>
      <c r="G961" s="47"/>
      <c r="H961" s="42">
        <f t="shared" si="410"/>
        <v>0</v>
      </c>
      <c r="I961" s="39"/>
      <c r="J961" s="41">
        <f t="shared" si="411"/>
        <v>0</v>
      </c>
      <c r="K961" s="47"/>
      <c r="L961" s="41">
        <f t="shared" si="412"/>
        <v>0</v>
      </c>
      <c r="M961" s="39"/>
      <c r="N961" s="41">
        <f t="shared" si="413"/>
        <v>0</v>
      </c>
      <c r="O961" s="47"/>
      <c r="P961" s="41">
        <f t="shared" si="414"/>
        <v>0</v>
      </c>
      <c r="Q961" s="39"/>
      <c r="R961" s="41">
        <f t="shared" si="415"/>
        <v>0</v>
      </c>
      <c r="S961" s="47"/>
      <c r="T961" s="41">
        <f t="shared" si="416"/>
        <v>0</v>
      </c>
      <c r="U961" s="39"/>
      <c r="V961" s="41">
        <f t="shared" si="417"/>
        <v>0</v>
      </c>
      <c r="W961" s="47"/>
      <c r="X961" s="41">
        <f t="shared" si="418"/>
        <v>0</v>
      </c>
      <c r="Y961" s="39"/>
      <c r="Z961" s="41">
        <f t="shared" si="419"/>
        <v>0</v>
      </c>
      <c r="AA961" s="47"/>
      <c r="AB961" s="41">
        <f t="shared" si="420"/>
        <v>0</v>
      </c>
      <c r="AC961" s="39"/>
      <c r="AD961" s="41">
        <f t="shared" si="428"/>
        <v>0</v>
      </c>
      <c r="AE961" s="47"/>
      <c r="AF961" s="41">
        <f t="shared" si="421"/>
        <v>0</v>
      </c>
      <c r="AG961" s="39"/>
      <c r="AH961" s="41">
        <f t="shared" si="429"/>
        <v>0</v>
      </c>
      <c r="AI961" s="47"/>
      <c r="AJ961" s="41">
        <f t="shared" si="422"/>
        <v>0</v>
      </c>
      <c r="AK961" s="39"/>
      <c r="AL961" s="41">
        <f t="shared" si="430"/>
        <v>0</v>
      </c>
      <c r="AM961" s="47"/>
      <c r="AN961" s="41">
        <f t="shared" si="423"/>
        <v>0</v>
      </c>
      <c r="AO961" s="39"/>
      <c r="AP961" s="41">
        <f t="shared" si="431"/>
        <v>0</v>
      </c>
      <c r="AQ961" s="47"/>
      <c r="AR961" s="41">
        <f t="shared" si="424"/>
        <v>0</v>
      </c>
      <c r="AS961" s="39"/>
      <c r="AT961" s="41">
        <f t="shared" si="432"/>
        <v>0</v>
      </c>
      <c r="AU961" s="47"/>
      <c r="AV961" s="41">
        <f t="shared" si="425"/>
        <v>0</v>
      </c>
      <c r="AW961" s="39"/>
      <c r="AX961" s="41">
        <f t="shared" si="433"/>
        <v>0</v>
      </c>
      <c r="AY961" s="47"/>
      <c r="AZ961" s="41">
        <f t="shared" si="426"/>
        <v>0</v>
      </c>
      <c r="BA961" s="39"/>
      <c r="BB961" s="41">
        <f t="shared" si="434"/>
        <v>0</v>
      </c>
      <c r="BC961" s="47"/>
      <c r="BD961" s="41">
        <f t="shared" si="427"/>
        <v>0</v>
      </c>
      <c r="BE961" s="39"/>
      <c r="BF961" s="47"/>
    </row>
    <row r="962" spans="1:58" ht="15.75" customHeight="1" x14ac:dyDescent="0.25">
      <c r="A962" s="44">
        <v>2018</v>
      </c>
      <c r="B962" s="39">
        <v>172065</v>
      </c>
      <c r="C962" s="38" t="s">
        <v>151</v>
      </c>
      <c r="D962" s="38" t="s">
        <v>131</v>
      </c>
      <c r="E962" s="39"/>
      <c r="F962" s="42">
        <f t="shared" ref="F962:F1025" si="435">IFERROR(E962/$BE962,0)</f>
        <v>0</v>
      </c>
      <c r="G962" s="47"/>
      <c r="H962" s="42">
        <f t="shared" ref="H962:H1025" si="436">IFERROR(G962/$BF962,0)</f>
        <v>0</v>
      </c>
      <c r="I962" s="39"/>
      <c r="J962" s="41">
        <f t="shared" ref="J962:J1025" si="437">IFERROR(I962/$BE962,0)</f>
        <v>0</v>
      </c>
      <c r="K962" s="47"/>
      <c r="L962" s="41">
        <f t="shared" ref="L962:L1025" si="438">IFERROR(K962/$BF962,0)</f>
        <v>0</v>
      </c>
      <c r="M962" s="39"/>
      <c r="N962" s="41">
        <f t="shared" ref="N962:N1025" si="439">IFERROR(M962/$BE962,0)</f>
        <v>0</v>
      </c>
      <c r="O962" s="47"/>
      <c r="P962" s="41">
        <f t="shared" ref="P962:P1025" si="440">IFERROR(O962/$BF962,0)</f>
        <v>0</v>
      </c>
      <c r="Q962" s="39"/>
      <c r="R962" s="41">
        <f t="shared" ref="R962:R1025" si="441">IFERROR(Q962/$BE962,0)</f>
        <v>0</v>
      </c>
      <c r="S962" s="47"/>
      <c r="T962" s="41">
        <f t="shared" ref="T962:T1025" si="442">IFERROR(S962/$BF962,0)</f>
        <v>0</v>
      </c>
      <c r="U962" s="39"/>
      <c r="V962" s="41">
        <f t="shared" ref="V962:V1025" si="443">IFERROR(U962/$BE962,0)</f>
        <v>0</v>
      </c>
      <c r="W962" s="47"/>
      <c r="X962" s="41">
        <f t="shared" ref="X962:X1025" si="444">IFERROR(W962/$BF962,0)</f>
        <v>0</v>
      </c>
      <c r="Y962" s="39"/>
      <c r="Z962" s="41">
        <f t="shared" ref="Z962:Z1025" si="445">IFERROR(Y962/$BE962,0)</f>
        <v>0</v>
      </c>
      <c r="AA962" s="47"/>
      <c r="AB962" s="41">
        <f t="shared" ref="AB962:AB1025" si="446">IFERROR(AA962/$BF962,0)</f>
        <v>0</v>
      </c>
      <c r="AC962" s="39"/>
      <c r="AD962" s="41">
        <f t="shared" si="428"/>
        <v>0</v>
      </c>
      <c r="AE962" s="47"/>
      <c r="AF962" s="41">
        <f t="shared" ref="AF962:AF1025" si="447">IFERROR(AE962/$BF962,0)</f>
        <v>0</v>
      </c>
      <c r="AG962" s="39"/>
      <c r="AH962" s="41">
        <f t="shared" si="429"/>
        <v>0</v>
      </c>
      <c r="AI962" s="47"/>
      <c r="AJ962" s="41">
        <f t="shared" ref="AJ962:AJ1025" si="448">IFERROR(AI962/$BF962,0)</f>
        <v>0</v>
      </c>
      <c r="AK962" s="39"/>
      <c r="AL962" s="41">
        <f t="shared" si="430"/>
        <v>0</v>
      </c>
      <c r="AM962" s="47"/>
      <c r="AN962" s="41">
        <f t="shared" ref="AN962:AN1025" si="449">IFERROR(AM962/$BF962,0)</f>
        <v>0</v>
      </c>
      <c r="AO962" s="39"/>
      <c r="AP962" s="41">
        <f t="shared" si="431"/>
        <v>0</v>
      </c>
      <c r="AQ962" s="47"/>
      <c r="AR962" s="41">
        <f t="shared" ref="AR962:AR1025" si="450">IFERROR(AQ962/$BF962,0)</f>
        <v>0</v>
      </c>
      <c r="AS962" s="39"/>
      <c r="AT962" s="41">
        <f t="shared" si="432"/>
        <v>0</v>
      </c>
      <c r="AU962" s="47"/>
      <c r="AV962" s="41">
        <f t="shared" ref="AV962:AV1025" si="451">IFERROR(AU962/$BF962,0)</f>
        <v>0</v>
      </c>
      <c r="AW962" s="39"/>
      <c r="AX962" s="41">
        <f t="shared" si="433"/>
        <v>0</v>
      </c>
      <c r="AY962" s="47"/>
      <c r="AZ962" s="41">
        <f t="shared" ref="AZ962:AZ1025" si="452">IFERROR(AY962/$BF962,0)</f>
        <v>0</v>
      </c>
      <c r="BA962" s="39"/>
      <c r="BB962" s="41">
        <f t="shared" si="434"/>
        <v>0</v>
      </c>
      <c r="BC962" s="47"/>
      <c r="BD962" s="41">
        <f t="shared" ref="BD962:BD1025" si="453">IFERROR(BC962/$BF962,0)</f>
        <v>0</v>
      </c>
      <c r="BE962" s="39"/>
      <c r="BF962" s="47"/>
    </row>
    <row r="963" spans="1:58" ht="15.75" customHeight="1" x14ac:dyDescent="0.25">
      <c r="A963" s="44">
        <v>2018</v>
      </c>
      <c r="B963" s="39">
        <v>172080</v>
      </c>
      <c r="C963" s="38" t="s">
        <v>145</v>
      </c>
      <c r="D963" s="38" t="s">
        <v>132</v>
      </c>
      <c r="E963" s="39"/>
      <c r="F963" s="42">
        <f t="shared" si="435"/>
        <v>0</v>
      </c>
      <c r="G963" s="47"/>
      <c r="H963" s="42">
        <f t="shared" si="436"/>
        <v>0</v>
      </c>
      <c r="I963" s="39"/>
      <c r="J963" s="41">
        <f t="shared" si="437"/>
        <v>0</v>
      </c>
      <c r="K963" s="47"/>
      <c r="L963" s="41">
        <f t="shared" si="438"/>
        <v>0</v>
      </c>
      <c r="M963" s="39"/>
      <c r="N963" s="41">
        <f t="shared" si="439"/>
        <v>0</v>
      </c>
      <c r="O963" s="47"/>
      <c r="P963" s="41">
        <f t="shared" si="440"/>
        <v>0</v>
      </c>
      <c r="Q963" s="39"/>
      <c r="R963" s="41">
        <f t="shared" si="441"/>
        <v>0</v>
      </c>
      <c r="S963" s="47"/>
      <c r="T963" s="41">
        <f t="shared" si="442"/>
        <v>0</v>
      </c>
      <c r="U963" s="39"/>
      <c r="V963" s="41">
        <f t="shared" si="443"/>
        <v>0</v>
      </c>
      <c r="W963" s="47"/>
      <c r="X963" s="41">
        <f t="shared" si="444"/>
        <v>0</v>
      </c>
      <c r="Y963" s="39"/>
      <c r="Z963" s="41">
        <f t="shared" si="445"/>
        <v>0</v>
      </c>
      <c r="AA963" s="47"/>
      <c r="AB963" s="41">
        <f t="shared" si="446"/>
        <v>0</v>
      </c>
      <c r="AC963" s="39"/>
      <c r="AD963" s="41">
        <f t="shared" si="428"/>
        <v>0</v>
      </c>
      <c r="AE963" s="47"/>
      <c r="AF963" s="41">
        <f t="shared" si="447"/>
        <v>0</v>
      </c>
      <c r="AG963" s="39"/>
      <c r="AH963" s="41">
        <f t="shared" si="429"/>
        <v>0</v>
      </c>
      <c r="AI963" s="47"/>
      <c r="AJ963" s="41">
        <f t="shared" si="448"/>
        <v>0</v>
      </c>
      <c r="AK963" s="39"/>
      <c r="AL963" s="41">
        <f t="shared" si="430"/>
        <v>0</v>
      </c>
      <c r="AM963" s="47"/>
      <c r="AN963" s="41">
        <f t="shared" si="449"/>
        <v>0</v>
      </c>
      <c r="AO963" s="39"/>
      <c r="AP963" s="41">
        <f t="shared" si="431"/>
        <v>0</v>
      </c>
      <c r="AQ963" s="47"/>
      <c r="AR963" s="41">
        <f t="shared" si="450"/>
        <v>0</v>
      </c>
      <c r="AS963" s="39"/>
      <c r="AT963" s="41">
        <f t="shared" si="432"/>
        <v>0</v>
      </c>
      <c r="AU963" s="47"/>
      <c r="AV963" s="41">
        <f t="shared" si="451"/>
        <v>0</v>
      </c>
      <c r="AW963" s="39"/>
      <c r="AX963" s="41">
        <f t="shared" si="433"/>
        <v>0</v>
      </c>
      <c r="AY963" s="47"/>
      <c r="AZ963" s="41">
        <f t="shared" si="452"/>
        <v>0</v>
      </c>
      <c r="BA963" s="39"/>
      <c r="BB963" s="41">
        <f t="shared" si="434"/>
        <v>0</v>
      </c>
      <c r="BC963" s="47"/>
      <c r="BD963" s="41">
        <f t="shared" si="453"/>
        <v>0</v>
      </c>
      <c r="BE963" s="39"/>
      <c r="BF963" s="47"/>
    </row>
    <row r="964" spans="1:58" ht="15.75" customHeight="1" x14ac:dyDescent="0.25">
      <c r="A964" s="44">
        <v>2018</v>
      </c>
      <c r="B964" s="39">
        <v>172085</v>
      </c>
      <c r="C964" s="38" t="s">
        <v>146</v>
      </c>
      <c r="D964" s="38" t="s">
        <v>133</v>
      </c>
      <c r="E964" s="39"/>
      <c r="F964" s="42">
        <f t="shared" si="435"/>
        <v>0</v>
      </c>
      <c r="G964" s="47"/>
      <c r="H964" s="42">
        <f t="shared" si="436"/>
        <v>0</v>
      </c>
      <c r="I964" s="39"/>
      <c r="J964" s="41">
        <f t="shared" si="437"/>
        <v>0</v>
      </c>
      <c r="K964" s="47"/>
      <c r="L964" s="41">
        <f t="shared" si="438"/>
        <v>0</v>
      </c>
      <c r="M964" s="39"/>
      <c r="N964" s="41">
        <f t="shared" si="439"/>
        <v>0</v>
      </c>
      <c r="O964" s="47"/>
      <c r="P964" s="41">
        <f t="shared" si="440"/>
        <v>0</v>
      </c>
      <c r="Q964" s="39"/>
      <c r="R964" s="41">
        <f t="shared" si="441"/>
        <v>0</v>
      </c>
      <c r="S964" s="47"/>
      <c r="T964" s="41">
        <f t="shared" si="442"/>
        <v>0</v>
      </c>
      <c r="U964" s="39"/>
      <c r="V964" s="41">
        <f t="shared" si="443"/>
        <v>0</v>
      </c>
      <c r="W964" s="47"/>
      <c r="X964" s="41">
        <f t="shared" si="444"/>
        <v>0</v>
      </c>
      <c r="Y964" s="39"/>
      <c r="Z964" s="41">
        <f t="shared" si="445"/>
        <v>0</v>
      </c>
      <c r="AA964" s="47"/>
      <c r="AB964" s="41">
        <f t="shared" si="446"/>
        <v>0</v>
      </c>
      <c r="AC964" s="39"/>
      <c r="AD964" s="41">
        <f t="shared" si="428"/>
        <v>0</v>
      </c>
      <c r="AE964" s="47"/>
      <c r="AF964" s="41">
        <f t="shared" si="447"/>
        <v>0</v>
      </c>
      <c r="AG964" s="39"/>
      <c r="AH964" s="41">
        <f t="shared" si="429"/>
        <v>0</v>
      </c>
      <c r="AI964" s="47"/>
      <c r="AJ964" s="41">
        <f t="shared" si="448"/>
        <v>0</v>
      </c>
      <c r="AK964" s="39"/>
      <c r="AL964" s="41">
        <f t="shared" si="430"/>
        <v>0</v>
      </c>
      <c r="AM964" s="47"/>
      <c r="AN964" s="41">
        <f t="shared" si="449"/>
        <v>0</v>
      </c>
      <c r="AO964" s="39"/>
      <c r="AP964" s="41">
        <f t="shared" si="431"/>
        <v>0</v>
      </c>
      <c r="AQ964" s="47"/>
      <c r="AR964" s="41">
        <f t="shared" si="450"/>
        <v>0</v>
      </c>
      <c r="AS964" s="39"/>
      <c r="AT964" s="41">
        <f t="shared" si="432"/>
        <v>0</v>
      </c>
      <c r="AU964" s="47"/>
      <c r="AV964" s="41">
        <f t="shared" si="451"/>
        <v>0</v>
      </c>
      <c r="AW964" s="39"/>
      <c r="AX964" s="41">
        <f t="shared" si="433"/>
        <v>0</v>
      </c>
      <c r="AY964" s="47"/>
      <c r="AZ964" s="41">
        <f t="shared" si="452"/>
        <v>0</v>
      </c>
      <c r="BA964" s="39"/>
      <c r="BB964" s="41">
        <f t="shared" si="434"/>
        <v>0</v>
      </c>
      <c r="BC964" s="47"/>
      <c r="BD964" s="41">
        <f t="shared" si="453"/>
        <v>0</v>
      </c>
      <c r="BE964" s="39"/>
      <c r="BF964" s="47"/>
    </row>
    <row r="965" spans="1:58" ht="15.75" customHeight="1" x14ac:dyDescent="0.25">
      <c r="A965" s="44">
        <v>2018</v>
      </c>
      <c r="B965" s="39">
        <v>170825</v>
      </c>
      <c r="C965" s="38" t="s">
        <v>148</v>
      </c>
      <c r="D965" s="38" t="s">
        <v>134</v>
      </c>
      <c r="E965" s="39"/>
      <c r="F965" s="42">
        <f t="shared" si="435"/>
        <v>0</v>
      </c>
      <c r="G965" s="47"/>
      <c r="H965" s="42">
        <f t="shared" si="436"/>
        <v>0</v>
      </c>
      <c r="I965" s="39"/>
      <c r="J965" s="41">
        <f t="shared" si="437"/>
        <v>0</v>
      </c>
      <c r="K965" s="47"/>
      <c r="L965" s="41">
        <f t="shared" si="438"/>
        <v>0</v>
      </c>
      <c r="M965" s="39"/>
      <c r="N965" s="41">
        <f t="shared" si="439"/>
        <v>0</v>
      </c>
      <c r="O965" s="47"/>
      <c r="P965" s="41">
        <f t="shared" si="440"/>
        <v>0</v>
      </c>
      <c r="Q965" s="39"/>
      <c r="R965" s="41">
        <f t="shared" si="441"/>
        <v>0</v>
      </c>
      <c r="S965" s="47"/>
      <c r="T965" s="41">
        <f t="shared" si="442"/>
        <v>0</v>
      </c>
      <c r="U965" s="39"/>
      <c r="V965" s="41">
        <f t="shared" si="443"/>
        <v>0</v>
      </c>
      <c r="W965" s="47"/>
      <c r="X965" s="41">
        <f t="shared" si="444"/>
        <v>0</v>
      </c>
      <c r="Y965" s="39"/>
      <c r="Z965" s="41">
        <f t="shared" si="445"/>
        <v>0</v>
      </c>
      <c r="AA965" s="47"/>
      <c r="AB965" s="41">
        <f t="shared" si="446"/>
        <v>0</v>
      </c>
      <c r="AC965" s="39"/>
      <c r="AD965" s="41">
        <f t="shared" si="428"/>
        <v>0</v>
      </c>
      <c r="AE965" s="47"/>
      <c r="AF965" s="41">
        <f t="shared" si="447"/>
        <v>0</v>
      </c>
      <c r="AG965" s="39"/>
      <c r="AH965" s="41">
        <f t="shared" si="429"/>
        <v>0</v>
      </c>
      <c r="AI965" s="47"/>
      <c r="AJ965" s="41">
        <f t="shared" si="448"/>
        <v>0</v>
      </c>
      <c r="AK965" s="39"/>
      <c r="AL965" s="41">
        <f t="shared" si="430"/>
        <v>0</v>
      </c>
      <c r="AM965" s="47"/>
      <c r="AN965" s="41">
        <f t="shared" si="449"/>
        <v>0</v>
      </c>
      <c r="AO965" s="39"/>
      <c r="AP965" s="41">
        <f t="shared" si="431"/>
        <v>0</v>
      </c>
      <c r="AQ965" s="47"/>
      <c r="AR965" s="41">
        <f t="shared" si="450"/>
        <v>0</v>
      </c>
      <c r="AS965" s="39"/>
      <c r="AT965" s="41">
        <f t="shared" si="432"/>
        <v>0</v>
      </c>
      <c r="AU965" s="47"/>
      <c r="AV965" s="41">
        <f t="shared" si="451"/>
        <v>0</v>
      </c>
      <c r="AW965" s="39"/>
      <c r="AX965" s="41">
        <f t="shared" si="433"/>
        <v>0</v>
      </c>
      <c r="AY965" s="47"/>
      <c r="AZ965" s="41">
        <f t="shared" si="452"/>
        <v>0</v>
      </c>
      <c r="BA965" s="39"/>
      <c r="BB965" s="41">
        <f t="shared" si="434"/>
        <v>0</v>
      </c>
      <c r="BC965" s="47"/>
      <c r="BD965" s="41">
        <f t="shared" si="453"/>
        <v>0</v>
      </c>
      <c r="BE965" s="39"/>
      <c r="BF965" s="47"/>
    </row>
    <row r="966" spans="1:58" ht="15.75" customHeight="1" x14ac:dyDescent="0.25">
      <c r="A966" s="44">
        <v>2018</v>
      </c>
      <c r="B966" s="39">
        <v>172090</v>
      </c>
      <c r="C966" s="38" t="s">
        <v>147</v>
      </c>
      <c r="D966" s="38" t="s">
        <v>135</v>
      </c>
      <c r="E966" s="39"/>
      <c r="F966" s="42">
        <f t="shared" si="435"/>
        <v>0</v>
      </c>
      <c r="G966" s="47"/>
      <c r="H966" s="42">
        <f t="shared" si="436"/>
        <v>0</v>
      </c>
      <c r="I966" s="39"/>
      <c r="J966" s="41">
        <f t="shared" si="437"/>
        <v>0</v>
      </c>
      <c r="K966" s="47"/>
      <c r="L966" s="41">
        <f t="shared" si="438"/>
        <v>0</v>
      </c>
      <c r="M966" s="39"/>
      <c r="N966" s="41">
        <f t="shared" si="439"/>
        <v>0</v>
      </c>
      <c r="O966" s="47"/>
      <c r="P966" s="41">
        <f t="shared" si="440"/>
        <v>0</v>
      </c>
      <c r="Q966" s="39"/>
      <c r="R966" s="41">
        <f t="shared" si="441"/>
        <v>0</v>
      </c>
      <c r="S966" s="47"/>
      <c r="T966" s="41">
        <f t="shared" si="442"/>
        <v>0</v>
      </c>
      <c r="U966" s="39"/>
      <c r="V966" s="41">
        <f t="shared" si="443"/>
        <v>0</v>
      </c>
      <c r="W966" s="47"/>
      <c r="X966" s="41">
        <f t="shared" si="444"/>
        <v>0</v>
      </c>
      <c r="Y966" s="39"/>
      <c r="Z966" s="41">
        <f t="shared" si="445"/>
        <v>0</v>
      </c>
      <c r="AA966" s="47"/>
      <c r="AB966" s="41">
        <f t="shared" si="446"/>
        <v>0</v>
      </c>
      <c r="AC966" s="39"/>
      <c r="AD966" s="41">
        <f t="shared" si="428"/>
        <v>0</v>
      </c>
      <c r="AE966" s="47"/>
      <c r="AF966" s="41">
        <f t="shared" si="447"/>
        <v>0</v>
      </c>
      <c r="AG966" s="39"/>
      <c r="AH966" s="41">
        <f t="shared" si="429"/>
        <v>0</v>
      </c>
      <c r="AI966" s="47"/>
      <c r="AJ966" s="41">
        <f t="shared" si="448"/>
        <v>0</v>
      </c>
      <c r="AK966" s="39"/>
      <c r="AL966" s="41">
        <f t="shared" si="430"/>
        <v>0</v>
      </c>
      <c r="AM966" s="47"/>
      <c r="AN966" s="41">
        <f t="shared" si="449"/>
        <v>0</v>
      </c>
      <c r="AO966" s="39"/>
      <c r="AP966" s="41">
        <f t="shared" si="431"/>
        <v>0</v>
      </c>
      <c r="AQ966" s="47"/>
      <c r="AR966" s="41">
        <f t="shared" si="450"/>
        <v>0</v>
      </c>
      <c r="AS966" s="39"/>
      <c r="AT966" s="41">
        <f t="shared" si="432"/>
        <v>0</v>
      </c>
      <c r="AU966" s="47"/>
      <c r="AV966" s="41">
        <f t="shared" si="451"/>
        <v>0</v>
      </c>
      <c r="AW966" s="39"/>
      <c r="AX966" s="41">
        <f t="shared" si="433"/>
        <v>0</v>
      </c>
      <c r="AY966" s="47"/>
      <c r="AZ966" s="41">
        <f t="shared" si="452"/>
        <v>0</v>
      </c>
      <c r="BA966" s="39"/>
      <c r="BB966" s="41">
        <f t="shared" si="434"/>
        <v>0</v>
      </c>
      <c r="BC966" s="47"/>
      <c r="BD966" s="41">
        <f t="shared" si="453"/>
        <v>0</v>
      </c>
      <c r="BE966" s="39"/>
      <c r="BF966" s="47"/>
    </row>
    <row r="967" spans="1:58" ht="15.75" customHeight="1" x14ac:dyDescent="0.25">
      <c r="A967" s="44">
        <v>2018</v>
      </c>
      <c r="B967" s="39">
        <v>172093</v>
      </c>
      <c r="C967" s="38" t="s">
        <v>147</v>
      </c>
      <c r="D967" s="38" t="s">
        <v>136</v>
      </c>
      <c r="E967" s="39"/>
      <c r="F967" s="42">
        <f t="shared" si="435"/>
        <v>0</v>
      </c>
      <c r="G967" s="47"/>
      <c r="H967" s="42">
        <f t="shared" si="436"/>
        <v>0</v>
      </c>
      <c r="I967" s="39"/>
      <c r="J967" s="41">
        <f t="shared" si="437"/>
        <v>0</v>
      </c>
      <c r="K967" s="47"/>
      <c r="L967" s="41">
        <f t="shared" si="438"/>
        <v>0</v>
      </c>
      <c r="M967" s="39"/>
      <c r="N967" s="41">
        <f t="shared" si="439"/>
        <v>0</v>
      </c>
      <c r="O967" s="47"/>
      <c r="P967" s="41">
        <f t="shared" si="440"/>
        <v>0</v>
      </c>
      <c r="Q967" s="39"/>
      <c r="R967" s="41">
        <f t="shared" si="441"/>
        <v>0</v>
      </c>
      <c r="S967" s="47"/>
      <c r="T967" s="41">
        <f t="shared" si="442"/>
        <v>0</v>
      </c>
      <c r="U967" s="39"/>
      <c r="V967" s="41">
        <f t="shared" si="443"/>
        <v>0</v>
      </c>
      <c r="W967" s="47"/>
      <c r="X967" s="41">
        <f t="shared" si="444"/>
        <v>0</v>
      </c>
      <c r="Y967" s="39"/>
      <c r="Z967" s="41">
        <f t="shared" si="445"/>
        <v>0</v>
      </c>
      <c r="AA967" s="47"/>
      <c r="AB967" s="41">
        <f t="shared" si="446"/>
        <v>0</v>
      </c>
      <c r="AC967" s="39"/>
      <c r="AD967" s="41">
        <f t="shared" si="428"/>
        <v>0</v>
      </c>
      <c r="AE967" s="47"/>
      <c r="AF967" s="41">
        <f t="shared" si="447"/>
        <v>0</v>
      </c>
      <c r="AG967" s="39"/>
      <c r="AH967" s="41">
        <f t="shared" si="429"/>
        <v>0</v>
      </c>
      <c r="AI967" s="47"/>
      <c r="AJ967" s="41">
        <f t="shared" si="448"/>
        <v>0</v>
      </c>
      <c r="AK967" s="39"/>
      <c r="AL967" s="41">
        <f t="shared" si="430"/>
        <v>0</v>
      </c>
      <c r="AM967" s="47"/>
      <c r="AN967" s="41">
        <f t="shared" si="449"/>
        <v>0</v>
      </c>
      <c r="AO967" s="39"/>
      <c r="AP967" s="41">
        <f t="shared" si="431"/>
        <v>0</v>
      </c>
      <c r="AQ967" s="47"/>
      <c r="AR967" s="41">
        <f t="shared" si="450"/>
        <v>0</v>
      </c>
      <c r="AS967" s="39"/>
      <c r="AT967" s="41">
        <f t="shared" si="432"/>
        <v>0</v>
      </c>
      <c r="AU967" s="47"/>
      <c r="AV967" s="41">
        <f t="shared" si="451"/>
        <v>0</v>
      </c>
      <c r="AW967" s="39"/>
      <c r="AX967" s="41">
        <f t="shared" si="433"/>
        <v>0</v>
      </c>
      <c r="AY967" s="47"/>
      <c r="AZ967" s="41">
        <f t="shared" si="452"/>
        <v>0</v>
      </c>
      <c r="BA967" s="39"/>
      <c r="BB967" s="41">
        <f t="shared" si="434"/>
        <v>0</v>
      </c>
      <c r="BC967" s="47"/>
      <c r="BD967" s="41">
        <f t="shared" si="453"/>
        <v>0</v>
      </c>
      <c r="BE967" s="39"/>
      <c r="BF967" s="47"/>
    </row>
    <row r="968" spans="1:58" ht="15.75" customHeight="1" x14ac:dyDescent="0.25">
      <c r="A968" s="44">
        <v>2018</v>
      </c>
      <c r="B968" s="39">
        <v>172097</v>
      </c>
      <c r="C968" s="38" t="s">
        <v>146</v>
      </c>
      <c r="D968" s="38" t="s">
        <v>137</v>
      </c>
      <c r="E968" s="39"/>
      <c r="F968" s="42">
        <f t="shared" si="435"/>
        <v>0</v>
      </c>
      <c r="G968" s="47"/>
      <c r="H968" s="42">
        <f t="shared" si="436"/>
        <v>0</v>
      </c>
      <c r="I968" s="39"/>
      <c r="J968" s="41">
        <f t="shared" si="437"/>
        <v>0</v>
      </c>
      <c r="K968" s="47"/>
      <c r="L968" s="41">
        <f t="shared" si="438"/>
        <v>0</v>
      </c>
      <c r="M968" s="39"/>
      <c r="N968" s="41">
        <f t="shared" si="439"/>
        <v>0</v>
      </c>
      <c r="O968" s="47"/>
      <c r="P968" s="41">
        <f t="shared" si="440"/>
        <v>0</v>
      </c>
      <c r="Q968" s="39"/>
      <c r="R968" s="41">
        <f t="shared" si="441"/>
        <v>0</v>
      </c>
      <c r="S968" s="47"/>
      <c r="T968" s="41">
        <f t="shared" si="442"/>
        <v>0</v>
      </c>
      <c r="U968" s="39"/>
      <c r="V968" s="41">
        <f t="shared" si="443"/>
        <v>0</v>
      </c>
      <c r="W968" s="47"/>
      <c r="X968" s="41">
        <f t="shared" si="444"/>
        <v>0</v>
      </c>
      <c r="Y968" s="39"/>
      <c r="Z968" s="41">
        <f t="shared" si="445"/>
        <v>0</v>
      </c>
      <c r="AA968" s="47"/>
      <c r="AB968" s="41">
        <f t="shared" si="446"/>
        <v>0</v>
      </c>
      <c r="AC968" s="39"/>
      <c r="AD968" s="41">
        <f t="shared" si="428"/>
        <v>0</v>
      </c>
      <c r="AE968" s="47"/>
      <c r="AF968" s="41">
        <f t="shared" si="447"/>
        <v>0</v>
      </c>
      <c r="AG968" s="39"/>
      <c r="AH968" s="41">
        <f t="shared" si="429"/>
        <v>0</v>
      </c>
      <c r="AI968" s="47"/>
      <c r="AJ968" s="41">
        <f t="shared" si="448"/>
        <v>0</v>
      </c>
      <c r="AK968" s="39"/>
      <c r="AL968" s="41">
        <f t="shared" si="430"/>
        <v>0</v>
      </c>
      <c r="AM968" s="47"/>
      <c r="AN968" s="41">
        <f t="shared" si="449"/>
        <v>0</v>
      </c>
      <c r="AO968" s="39"/>
      <c r="AP968" s="41">
        <f t="shared" si="431"/>
        <v>0</v>
      </c>
      <c r="AQ968" s="47"/>
      <c r="AR968" s="41">
        <f t="shared" si="450"/>
        <v>0</v>
      </c>
      <c r="AS968" s="39"/>
      <c r="AT968" s="41">
        <f t="shared" si="432"/>
        <v>0</v>
      </c>
      <c r="AU968" s="47"/>
      <c r="AV968" s="41">
        <f t="shared" si="451"/>
        <v>0</v>
      </c>
      <c r="AW968" s="39"/>
      <c r="AX968" s="41">
        <f t="shared" si="433"/>
        <v>0</v>
      </c>
      <c r="AY968" s="47"/>
      <c r="AZ968" s="41">
        <f t="shared" si="452"/>
        <v>0</v>
      </c>
      <c r="BA968" s="39"/>
      <c r="BB968" s="41">
        <f t="shared" si="434"/>
        <v>0</v>
      </c>
      <c r="BC968" s="47"/>
      <c r="BD968" s="41">
        <f t="shared" si="453"/>
        <v>0</v>
      </c>
      <c r="BE968" s="39"/>
      <c r="BF968" s="47"/>
    </row>
    <row r="969" spans="1:58" ht="15.75" customHeight="1" x14ac:dyDescent="0.25">
      <c r="A969" s="44">
        <v>2018</v>
      </c>
      <c r="B969" s="39">
        <v>172110</v>
      </c>
      <c r="C969" s="38" t="s">
        <v>148</v>
      </c>
      <c r="D969" s="38" t="s">
        <v>138</v>
      </c>
      <c r="E969" s="39"/>
      <c r="F969" s="42">
        <f t="shared" si="435"/>
        <v>0</v>
      </c>
      <c r="G969" s="47"/>
      <c r="H969" s="42">
        <f t="shared" si="436"/>
        <v>0</v>
      </c>
      <c r="I969" s="39"/>
      <c r="J969" s="41">
        <f t="shared" si="437"/>
        <v>0</v>
      </c>
      <c r="K969" s="47"/>
      <c r="L969" s="41">
        <f t="shared" si="438"/>
        <v>0</v>
      </c>
      <c r="M969" s="39"/>
      <c r="N969" s="41">
        <f t="shared" si="439"/>
        <v>0</v>
      </c>
      <c r="O969" s="47"/>
      <c r="P969" s="41">
        <f t="shared" si="440"/>
        <v>0</v>
      </c>
      <c r="Q969" s="39"/>
      <c r="R969" s="41">
        <f t="shared" si="441"/>
        <v>0</v>
      </c>
      <c r="S969" s="47"/>
      <c r="T969" s="41">
        <f t="shared" si="442"/>
        <v>0</v>
      </c>
      <c r="U969" s="39"/>
      <c r="V969" s="41">
        <f t="shared" si="443"/>
        <v>0</v>
      </c>
      <c r="W969" s="47"/>
      <c r="X969" s="41">
        <f t="shared" si="444"/>
        <v>0</v>
      </c>
      <c r="Y969" s="39"/>
      <c r="Z969" s="41">
        <f t="shared" si="445"/>
        <v>0</v>
      </c>
      <c r="AA969" s="47"/>
      <c r="AB969" s="41">
        <f t="shared" si="446"/>
        <v>0</v>
      </c>
      <c r="AC969" s="39"/>
      <c r="AD969" s="41">
        <f t="shared" si="428"/>
        <v>0</v>
      </c>
      <c r="AE969" s="47"/>
      <c r="AF969" s="41">
        <f t="shared" si="447"/>
        <v>0</v>
      </c>
      <c r="AG969" s="39"/>
      <c r="AH969" s="41">
        <f t="shared" si="429"/>
        <v>0</v>
      </c>
      <c r="AI969" s="47"/>
      <c r="AJ969" s="41">
        <f t="shared" si="448"/>
        <v>0</v>
      </c>
      <c r="AK969" s="39"/>
      <c r="AL969" s="41">
        <f t="shared" si="430"/>
        <v>0</v>
      </c>
      <c r="AM969" s="47"/>
      <c r="AN969" s="41">
        <f t="shared" si="449"/>
        <v>0</v>
      </c>
      <c r="AO969" s="39"/>
      <c r="AP969" s="41">
        <f t="shared" si="431"/>
        <v>0</v>
      </c>
      <c r="AQ969" s="47"/>
      <c r="AR969" s="41">
        <f t="shared" si="450"/>
        <v>0</v>
      </c>
      <c r="AS969" s="39"/>
      <c r="AT969" s="41">
        <f t="shared" si="432"/>
        <v>0</v>
      </c>
      <c r="AU969" s="47"/>
      <c r="AV969" s="41">
        <f t="shared" si="451"/>
        <v>0</v>
      </c>
      <c r="AW969" s="39"/>
      <c r="AX969" s="41">
        <f t="shared" si="433"/>
        <v>0</v>
      </c>
      <c r="AY969" s="47"/>
      <c r="AZ969" s="41">
        <f t="shared" si="452"/>
        <v>0</v>
      </c>
      <c r="BA969" s="39"/>
      <c r="BB969" s="41">
        <f t="shared" si="434"/>
        <v>0</v>
      </c>
      <c r="BC969" s="47"/>
      <c r="BD969" s="41">
        <f t="shared" si="453"/>
        <v>0</v>
      </c>
      <c r="BE969" s="39"/>
      <c r="BF969" s="47"/>
    </row>
    <row r="970" spans="1:58" ht="15.75" customHeight="1" x14ac:dyDescent="0.25">
      <c r="A970" s="44">
        <v>2018</v>
      </c>
      <c r="B970" s="39">
        <v>172120</v>
      </c>
      <c r="C970" s="38" t="s">
        <v>145</v>
      </c>
      <c r="D970" s="38" t="s">
        <v>139</v>
      </c>
      <c r="E970" s="39"/>
      <c r="F970" s="42">
        <f t="shared" si="435"/>
        <v>0</v>
      </c>
      <c r="G970" s="47"/>
      <c r="H970" s="42">
        <f t="shared" si="436"/>
        <v>0</v>
      </c>
      <c r="I970" s="39"/>
      <c r="J970" s="41">
        <f t="shared" si="437"/>
        <v>0</v>
      </c>
      <c r="K970" s="47"/>
      <c r="L970" s="41">
        <f t="shared" si="438"/>
        <v>0</v>
      </c>
      <c r="M970" s="39"/>
      <c r="N970" s="41">
        <f t="shared" si="439"/>
        <v>0</v>
      </c>
      <c r="O970" s="48"/>
      <c r="P970" s="41">
        <f t="shared" si="440"/>
        <v>0</v>
      </c>
      <c r="Q970" s="39"/>
      <c r="R970" s="41">
        <f t="shared" si="441"/>
        <v>0</v>
      </c>
      <c r="S970" s="47"/>
      <c r="T970" s="41">
        <f t="shared" si="442"/>
        <v>0</v>
      </c>
      <c r="U970" s="39"/>
      <c r="V970" s="41">
        <f t="shared" si="443"/>
        <v>0</v>
      </c>
      <c r="W970" s="47"/>
      <c r="X970" s="41">
        <f t="shared" si="444"/>
        <v>0</v>
      </c>
      <c r="Y970" s="39"/>
      <c r="Z970" s="41">
        <f t="shared" si="445"/>
        <v>0</v>
      </c>
      <c r="AA970" s="47"/>
      <c r="AB970" s="41">
        <f t="shared" si="446"/>
        <v>0</v>
      </c>
      <c r="AC970" s="39"/>
      <c r="AD970" s="41">
        <f t="shared" si="428"/>
        <v>0</v>
      </c>
      <c r="AE970" s="48"/>
      <c r="AF970" s="41">
        <f t="shared" si="447"/>
        <v>0</v>
      </c>
      <c r="AG970" s="39"/>
      <c r="AH970" s="41">
        <f t="shared" si="429"/>
        <v>0</v>
      </c>
      <c r="AI970" s="47"/>
      <c r="AJ970" s="41">
        <f t="shared" si="448"/>
        <v>0</v>
      </c>
      <c r="AK970" s="39"/>
      <c r="AL970" s="41">
        <f t="shared" si="430"/>
        <v>0</v>
      </c>
      <c r="AM970" s="47"/>
      <c r="AN970" s="41">
        <f t="shared" si="449"/>
        <v>0</v>
      </c>
      <c r="AO970" s="39"/>
      <c r="AP970" s="41">
        <f t="shared" si="431"/>
        <v>0</v>
      </c>
      <c r="AQ970" s="47"/>
      <c r="AR970" s="41">
        <f t="shared" si="450"/>
        <v>0</v>
      </c>
      <c r="AS970" s="39"/>
      <c r="AT970" s="41">
        <f t="shared" si="432"/>
        <v>0</v>
      </c>
      <c r="AU970" s="47"/>
      <c r="AV970" s="41">
        <f t="shared" si="451"/>
        <v>0</v>
      </c>
      <c r="AW970" s="39"/>
      <c r="AX970" s="41">
        <f t="shared" si="433"/>
        <v>0</v>
      </c>
      <c r="AY970" s="47"/>
      <c r="AZ970" s="41">
        <f t="shared" si="452"/>
        <v>0</v>
      </c>
      <c r="BA970" s="39"/>
      <c r="BB970" s="41">
        <f t="shared" si="434"/>
        <v>0</v>
      </c>
      <c r="BC970" s="47"/>
      <c r="BD970" s="41">
        <f t="shared" si="453"/>
        <v>0</v>
      </c>
      <c r="BE970" s="39"/>
      <c r="BF970" s="48"/>
    </row>
    <row r="971" spans="1:58" ht="15.75" customHeight="1" x14ac:dyDescent="0.25">
      <c r="A971" s="44">
        <v>2018</v>
      </c>
      <c r="B971" s="39">
        <v>172125</v>
      </c>
      <c r="C971" s="38" t="s">
        <v>150</v>
      </c>
      <c r="D971" s="38" t="s">
        <v>140</v>
      </c>
      <c r="E971" s="39"/>
      <c r="F971" s="42">
        <f t="shared" si="435"/>
        <v>0</v>
      </c>
      <c r="G971" s="47"/>
      <c r="H971" s="42">
        <f t="shared" si="436"/>
        <v>0</v>
      </c>
      <c r="I971" s="39"/>
      <c r="J971" s="41">
        <f t="shared" si="437"/>
        <v>0</v>
      </c>
      <c r="K971" s="47"/>
      <c r="L971" s="41">
        <f t="shared" si="438"/>
        <v>0</v>
      </c>
      <c r="M971" s="39"/>
      <c r="N971" s="41">
        <f t="shared" si="439"/>
        <v>0</v>
      </c>
      <c r="O971" s="47"/>
      <c r="P971" s="41">
        <f t="shared" si="440"/>
        <v>0</v>
      </c>
      <c r="Q971" s="39"/>
      <c r="R971" s="41">
        <f t="shared" si="441"/>
        <v>0</v>
      </c>
      <c r="S971" s="47"/>
      <c r="T971" s="41">
        <f t="shared" si="442"/>
        <v>0</v>
      </c>
      <c r="U971" s="39"/>
      <c r="V971" s="41">
        <f t="shared" si="443"/>
        <v>0</v>
      </c>
      <c r="W971" s="47"/>
      <c r="X971" s="41">
        <f t="shared" si="444"/>
        <v>0</v>
      </c>
      <c r="Y971" s="39"/>
      <c r="Z971" s="41">
        <f t="shared" si="445"/>
        <v>0</v>
      </c>
      <c r="AA971" s="47"/>
      <c r="AB971" s="41">
        <f t="shared" si="446"/>
        <v>0</v>
      </c>
      <c r="AC971" s="39"/>
      <c r="AD971" s="41">
        <f t="shared" si="428"/>
        <v>0</v>
      </c>
      <c r="AE971" s="47"/>
      <c r="AF971" s="41">
        <f t="shared" si="447"/>
        <v>0</v>
      </c>
      <c r="AG971" s="39"/>
      <c r="AH971" s="41">
        <f t="shared" si="429"/>
        <v>0</v>
      </c>
      <c r="AI971" s="47"/>
      <c r="AJ971" s="41">
        <f t="shared" si="448"/>
        <v>0</v>
      </c>
      <c r="AK971" s="39"/>
      <c r="AL971" s="41">
        <f t="shared" si="430"/>
        <v>0</v>
      </c>
      <c r="AM971" s="47"/>
      <c r="AN971" s="41">
        <f t="shared" si="449"/>
        <v>0</v>
      </c>
      <c r="AO971" s="39"/>
      <c r="AP971" s="41">
        <f t="shared" si="431"/>
        <v>0</v>
      </c>
      <c r="AQ971" s="47"/>
      <c r="AR971" s="41">
        <f t="shared" si="450"/>
        <v>0</v>
      </c>
      <c r="AS971" s="39"/>
      <c r="AT971" s="41">
        <f t="shared" si="432"/>
        <v>0</v>
      </c>
      <c r="AU971" s="47"/>
      <c r="AV971" s="41">
        <f t="shared" si="451"/>
        <v>0</v>
      </c>
      <c r="AW971" s="39"/>
      <c r="AX971" s="41">
        <f t="shared" si="433"/>
        <v>0</v>
      </c>
      <c r="AY971" s="47"/>
      <c r="AZ971" s="41">
        <f t="shared" si="452"/>
        <v>0</v>
      </c>
      <c r="BA971" s="39"/>
      <c r="BB971" s="41">
        <f t="shared" si="434"/>
        <v>0</v>
      </c>
      <c r="BC971" s="47"/>
      <c r="BD971" s="41">
        <f t="shared" si="453"/>
        <v>0</v>
      </c>
      <c r="BE971" s="39"/>
      <c r="BF971" s="47"/>
    </row>
    <row r="972" spans="1:58" ht="15.75" customHeight="1" x14ac:dyDescent="0.25">
      <c r="A972" s="44">
        <v>2018</v>
      </c>
      <c r="B972" s="39">
        <v>172130</v>
      </c>
      <c r="C972" s="38" t="s">
        <v>150</v>
      </c>
      <c r="D972" s="38" t="s">
        <v>141</v>
      </c>
      <c r="E972" s="39"/>
      <c r="F972" s="42">
        <f t="shared" si="435"/>
        <v>0</v>
      </c>
      <c r="G972" s="47"/>
      <c r="H972" s="42">
        <f t="shared" si="436"/>
        <v>0</v>
      </c>
      <c r="I972" s="39"/>
      <c r="J972" s="41">
        <f t="shared" si="437"/>
        <v>0</v>
      </c>
      <c r="K972" s="47"/>
      <c r="L972" s="41">
        <f t="shared" si="438"/>
        <v>0</v>
      </c>
      <c r="M972" s="39"/>
      <c r="N972" s="41">
        <f t="shared" si="439"/>
        <v>0</v>
      </c>
      <c r="O972" s="47"/>
      <c r="P972" s="41">
        <f t="shared" si="440"/>
        <v>0</v>
      </c>
      <c r="Q972" s="39"/>
      <c r="R972" s="41">
        <f t="shared" si="441"/>
        <v>0</v>
      </c>
      <c r="S972" s="47"/>
      <c r="T972" s="41">
        <f t="shared" si="442"/>
        <v>0</v>
      </c>
      <c r="U972" s="39"/>
      <c r="V972" s="41">
        <f t="shared" si="443"/>
        <v>0</v>
      </c>
      <c r="W972" s="47"/>
      <c r="X972" s="41">
        <f t="shared" si="444"/>
        <v>0</v>
      </c>
      <c r="Y972" s="39"/>
      <c r="Z972" s="41">
        <f t="shared" si="445"/>
        <v>0</v>
      </c>
      <c r="AA972" s="47"/>
      <c r="AB972" s="41">
        <f t="shared" si="446"/>
        <v>0</v>
      </c>
      <c r="AC972" s="39"/>
      <c r="AD972" s="41">
        <f t="shared" si="428"/>
        <v>0</v>
      </c>
      <c r="AE972" s="47"/>
      <c r="AF972" s="41">
        <f t="shared" si="447"/>
        <v>0</v>
      </c>
      <c r="AG972" s="39"/>
      <c r="AH972" s="41">
        <f t="shared" si="429"/>
        <v>0</v>
      </c>
      <c r="AI972" s="47"/>
      <c r="AJ972" s="41">
        <f t="shared" si="448"/>
        <v>0</v>
      </c>
      <c r="AK972" s="39"/>
      <c r="AL972" s="41">
        <f t="shared" si="430"/>
        <v>0</v>
      </c>
      <c r="AM972" s="47"/>
      <c r="AN972" s="41">
        <f t="shared" si="449"/>
        <v>0</v>
      </c>
      <c r="AO972" s="39"/>
      <c r="AP972" s="41">
        <f t="shared" si="431"/>
        <v>0</v>
      </c>
      <c r="AQ972" s="47"/>
      <c r="AR972" s="41">
        <f t="shared" si="450"/>
        <v>0</v>
      </c>
      <c r="AS972" s="39"/>
      <c r="AT972" s="41">
        <f t="shared" si="432"/>
        <v>0</v>
      </c>
      <c r="AU972" s="47"/>
      <c r="AV972" s="41">
        <f t="shared" si="451"/>
        <v>0</v>
      </c>
      <c r="AW972" s="39"/>
      <c r="AX972" s="41">
        <f t="shared" si="433"/>
        <v>0</v>
      </c>
      <c r="AY972" s="47"/>
      <c r="AZ972" s="41">
        <f t="shared" si="452"/>
        <v>0</v>
      </c>
      <c r="BA972" s="39"/>
      <c r="BB972" s="41">
        <f t="shared" si="434"/>
        <v>0</v>
      </c>
      <c r="BC972" s="47"/>
      <c r="BD972" s="41">
        <f t="shared" si="453"/>
        <v>0</v>
      </c>
      <c r="BE972" s="39"/>
      <c r="BF972" s="47"/>
    </row>
    <row r="973" spans="1:58" ht="15.75" customHeight="1" x14ac:dyDescent="0.25">
      <c r="A973" s="44">
        <v>2018</v>
      </c>
      <c r="B973" s="39">
        <v>172208</v>
      </c>
      <c r="C973" s="38" t="s">
        <v>149</v>
      </c>
      <c r="D973" s="38" t="s">
        <v>142</v>
      </c>
      <c r="E973" s="39"/>
      <c r="F973" s="42">
        <f t="shared" si="435"/>
        <v>0</v>
      </c>
      <c r="G973" s="47"/>
      <c r="H973" s="42">
        <f t="shared" si="436"/>
        <v>0</v>
      </c>
      <c r="I973" s="39"/>
      <c r="J973" s="41">
        <f t="shared" si="437"/>
        <v>0</v>
      </c>
      <c r="K973" s="47"/>
      <c r="L973" s="41">
        <f t="shared" si="438"/>
        <v>0</v>
      </c>
      <c r="M973" s="39"/>
      <c r="N973" s="41">
        <f t="shared" si="439"/>
        <v>0</v>
      </c>
      <c r="O973" s="47"/>
      <c r="P973" s="41">
        <f t="shared" si="440"/>
        <v>0</v>
      </c>
      <c r="Q973" s="39"/>
      <c r="R973" s="41">
        <f t="shared" si="441"/>
        <v>0</v>
      </c>
      <c r="S973" s="47"/>
      <c r="T973" s="41">
        <f t="shared" si="442"/>
        <v>0</v>
      </c>
      <c r="U973" s="39"/>
      <c r="V973" s="41">
        <f t="shared" si="443"/>
        <v>0</v>
      </c>
      <c r="W973" s="47"/>
      <c r="X973" s="41">
        <f t="shared" si="444"/>
        <v>0</v>
      </c>
      <c r="Y973" s="39"/>
      <c r="Z973" s="41">
        <f t="shared" si="445"/>
        <v>0</v>
      </c>
      <c r="AA973" s="47"/>
      <c r="AB973" s="41">
        <f t="shared" si="446"/>
        <v>0</v>
      </c>
      <c r="AC973" s="39"/>
      <c r="AD973" s="41">
        <f t="shared" si="428"/>
        <v>0</v>
      </c>
      <c r="AE973" s="47"/>
      <c r="AF973" s="41">
        <f t="shared" si="447"/>
        <v>0</v>
      </c>
      <c r="AG973" s="39"/>
      <c r="AH973" s="41">
        <f t="shared" si="429"/>
        <v>0</v>
      </c>
      <c r="AI973" s="47"/>
      <c r="AJ973" s="41">
        <f t="shared" si="448"/>
        <v>0</v>
      </c>
      <c r="AK973" s="39"/>
      <c r="AL973" s="41">
        <f t="shared" si="430"/>
        <v>0</v>
      </c>
      <c r="AM973" s="47"/>
      <c r="AN973" s="41">
        <f t="shared" si="449"/>
        <v>0</v>
      </c>
      <c r="AO973" s="39"/>
      <c r="AP973" s="41">
        <f t="shared" si="431"/>
        <v>0</v>
      </c>
      <c r="AQ973" s="47"/>
      <c r="AR973" s="41">
        <f t="shared" si="450"/>
        <v>0</v>
      </c>
      <c r="AS973" s="39"/>
      <c r="AT973" s="41">
        <f t="shared" si="432"/>
        <v>0</v>
      </c>
      <c r="AU973" s="47"/>
      <c r="AV973" s="41">
        <f t="shared" si="451"/>
        <v>0</v>
      </c>
      <c r="AW973" s="39"/>
      <c r="AX973" s="41">
        <f t="shared" si="433"/>
        <v>0</v>
      </c>
      <c r="AY973" s="47"/>
      <c r="AZ973" s="41">
        <f t="shared" si="452"/>
        <v>0</v>
      </c>
      <c r="BA973" s="39"/>
      <c r="BB973" s="41">
        <f t="shared" si="434"/>
        <v>0</v>
      </c>
      <c r="BC973" s="47"/>
      <c r="BD973" s="41">
        <f t="shared" si="453"/>
        <v>0</v>
      </c>
      <c r="BE973" s="39"/>
      <c r="BF973" s="47"/>
    </row>
    <row r="974" spans="1:58" ht="15.75" customHeight="1" x14ac:dyDescent="0.25">
      <c r="A974" s="44">
        <v>2018</v>
      </c>
      <c r="B974" s="39">
        <v>172210</v>
      </c>
      <c r="C974" s="38" t="s">
        <v>149</v>
      </c>
      <c r="D974" s="38" t="s">
        <v>143</v>
      </c>
      <c r="E974" s="39"/>
      <c r="F974" s="42">
        <f t="shared" si="435"/>
        <v>0</v>
      </c>
      <c r="G974" s="47"/>
      <c r="H974" s="42">
        <f t="shared" si="436"/>
        <v>0</v>
      </c>
      <c r="I974" s="39"/>
      <c r="J974" s="41">
        <f t="shared" si="437"/>
        <v>0</v>
      </c>
      <c r="K974" s="47"/>
      <c r="L974" s="41">
        <f t="shared" si="438"/>
        <v>0</v>
      </c>
      <c r="M974" s="39"/>
      <c r="N974" s="41">
        <f t="shared" si="439"/>
        <v>0</v>
      </c>
      <c r="O974" s="47"/>
      <c r="P974" s="41">
        <f t="shared" si="440"/>
        <v>0</v>
      </c>
      <c r="Q974" s="39"/>
      <c r="R974" s="41">
        <f t="shared" si="441"/>
        <v>0</v>
      </c>
      <c r="S974" s="47"/>
      <c r="T974" s="41">
        <f t="shared" si="442"/>
        <v>0</v>
      </c>
      <c r="U974" s="39"/>
      <c r="V974" s="41">
        <f t="shared" si="443"/>
        <v>0</v>
      </c>
      <c r="W974" s="47"/>
      <c r="X974" s="41">
        <f t="shared" si="444"/>
        <v>0</v>
      </c>
      <c r="Y974" s="39"/>
      <c r="Z974" s="41">
        <f t="shared" si="445"/>
        <v>0</v>
      </c>
      <c r="AA974" s="47"/>
      <c r="AB974" s="41">
        <f t="shared" si="446"/>
        <v>0</v>
      </c>
      <c r="AC974" s="39"/>
      <c r="AD974" s="41">
        <f t="shared" si="428"/>
        <v>0</v>
      </c>
      <c r="AE974" s="47"/>
      <c r="AF974" s="41">
        <f t="shared" si="447"/>
        <v>0</v>
      </c>
      <c r="AG974" s="39"/>
      <c r="AH974" s="41">
        <f t="shared" si="429"/>
        <v>0</v>
      </c>
      <c r="AI974" s="47"/>
      <c r="AJ974" s="41">
        <f t="shared" si="448"/>
        <v>0</v>
      </c>
      <c r="AK974" s="39"/>
      <c r="AL974" s="41">
        <f t="shared" si="430"/>
        <v>0</v>
      </c>
      <c r="AM974" s="47"/>
      <c r="AN974" s="41">
        <f t="shared" si="449"/>
        <v>0</v>
      </c>
      <c r="AO974" s="39"/>
      <c r="AP974" s="41">
        <f t="shared" si="431"/>
        <v>0</v>
      </c>
      <c r="AQ974" s="47"/>
      <c r="AR974" s="41">
        <f t="shared" si="450"/>
        <v>0</v>
      </c>
      <c r="AS974" s="39"/>
      <c r="AT974" s="41">
        <f t="shared" si="432"/>
        <v>0</v>
      </c>
      <c r="AU974" s="47"/>
      <c r="AV974" s="41">
        <f t="shared" si="451"/>
        <v>0</v>
      </c>
      <c r="AW974" s="39"/>
      <c r="AX974" s="41">
        <f t="shared" si="433"/>
        <v>0</v>
      </c>
      <c r="AY974" s="47"/>
      <c r="AZ974" s="41">
        <f t="shared" si="452"/>
        <v>0</v>
      </c>
      <c r="BA974" s="39"/>
      <c r="BB974" s="41">
        <f t="shared" si="434"/>
        <v>0</v>
      </c>
      <c r="BC974" s="47"/>
      <c r="BD974" s="41">
        <f t="shared" si="453"/>
        <v>0</v>
      </c>
      <c r="BE974" s="39"/>
      <c r="BF974" s="47"/>
    </row>
    <row r="975" spans="1:58" ht="15.75" customHeight="1" x14ac:dyDescent="0.25">
      <c r="A975" s="44">
        <v>2017</v>
      </c>
      <c r="B975" s="39">
        <v>170025</v>
      </c>
      <c r="C975" s="38" t="s">
        <v>144</v>
      </c>
      <c r="D975" s="38" t="s">
        <v>5</v>
      </c>
      <c r="E975" s="39"/>
      <c r="F975" s="42">
        <f t="shared" si="435"/>
        <v>0</v>
      </c>
      <c r="G975" s="47"/>
      <c r="H975" s="42">
        <f t="shared" si="436"/>
        <v>0</v>
      </c>
      <c r="I975" s="39"/>
      <c r="J975" s="41">
        <f t="shared" si="437"/>
        <v>0</v>
      </c>
      <c r="K975" s="47"/>
      <c r="L975" s="41">
        <f t="shared" si="438"/>
        <v>0</v>
      </c>
      <c r="M975" s="39"/>
      <c r="N975" s="41">
        <f t="shared" si="439"/>
        <v>0</v>
      </c>
      <c r="O975" s="47"/>
      <c r="P975" s="41">
        <f t="shared" si="440"/>
        <v>0</v>
      </c>
      <c r="Q975" s="39"/>
      <c r="R975" s="41">
        <f t="shared" si="441"/>
        <v>0</v>
      </c>
      <c r="S975" s="47"/>
      <c r="T975" s="41">
        <f t="shared" si="442"/>
        <v>0</v>
      </c>
      <c r="U975" s="39"/>
      <c r="V975" s="41">
        <f t="shared" si="443"/>
        <v>0</v>
      </c>
      <c r="W975" s="47"/>
      <c r="X975" s="41">
        <f t="shared" si="444"/>
        <v>0</v>
      </c>
      <c r="Y975" s="39"/>
      <c r="Z975" s="41">
        <f t="shared" si="445"/>
        <v>0</v>
      </c>
      <c r="AA975" s="47"/>
      <c r="AB975" s="41">
        <f t="shared" si="446"/>
        <v>0</v>
      </c>
      <c r="AC975" s="39"/>
      <c r="AD975" s="41">
        <f t="shared" si="428"/>
        <v>0</v>
      </c>
      <c r="AE975" s="47"/>
      <c r="AF975" s="41">
        <f t="shared" si="447"/>
        <v>0</v>
      </c>
      <c r="AG975" s="39"/>
      <c r="AH975" s="41">
        <f t="shared" si="429"/>
        <v>0</v>
      </c>
      <c r="AI975" s="47"/>
      <c r="AJ975" s="41">
        <f t="shared" si="448"/>
        <v>0</v>
      </c>
      <c r="AK975" s="39"/>
      <c r="AL975" s="41">
        <f t="shared" si="430"/>
        <v>0</v>
      </c>
      <c r="AM975" s="47"/>
      <c r="AN975" s="41">
        <f t="shared" si="449"/>
        <v>0</v>
      </c>
      <c r="AO975" s="39"/>
      <c r="AP975" s="41">
        <f t="shared" si="431"/>
        <v>0</v>
      </c>
      <c r="AQ975" s="47"/>
      <c r="AR975" s="41">
        <f t="shared" si="450"/>
        <v>0</v>
      </c>
      <c r="AS975" s="39"/>
      <c r="AT975" s="41">
        <f t="shared" si="432"/>
        <v>0</v>
      </c>
      <c r="AU975" s="47"/>
      <c r="AV975" s="41">
        <f t="shared" si="451"/>
        <v>0</v>
      </c>
      <c r="AW975" s="39"/>
      <c r="AX975" s="41">
        <f t="shared" si="433"/>
        <v>0</v>
      </c>
      <c r="AY975" s="47"/>
      <c r="AZ975" s="41">
        <f t="shared" si="452"/>
        <v>0</v>
      </c>
      <c r="BA975" s="39"/>
      <c r="BB975" s="41">
        <f t="shared" si="434"/>
        <v>0</v>
      </c>
      <c r="BC975" s="47"/>
      <c r="BD975" s="41">
        <f t="shared" si="453"/>
        <v>0</v>
      </c>
      <c r="BE975" s="39"/>
      <c r="BF975" s="47"/>
    </row>
    <row r="976" spans="1:58" ht="15.75" customHeight="1" x14ac:dyDescent="0.25">
      <c r="A976" s="44">
        <v>2017</v>
      </c>
      <c r="B976" s="39">
        <v>170030</v>
      </c>
      <c r="C976" s="38" t="s">
        <v>145</v>
      </c>
      <c r="D976" s="38" t="s">
        <v>6</v>
      </c>
      <c r="E976" s="39"/>
      <c r="F976" s="42">
        <f t="shared" si="435"/>
        <v>0</v>
      </c>
      <c r="G976" s="47"/>
      <c r="H976" s="42">
        <f t="shared" si="436"/>
        <v>0</v>
      </c>
      <c r="I976" s="39"/>
      <c r="J976" s="41">
        <f t="shared" si="437"/>
        <v>0</v>
      </c>
      <c r="K976" s="47"/>
      <c r="L976" s="41">
        <f t="shared" si="438"/>
        <v>0</v>
      </c>
      <c r="M976" s="39"/>
      <c r="N976" s="41">
        <f t="shared" si="439"/>
        <v>0</v>
      </c>
      <c r="O976" s="47"/>
      <c r="P976" s="41">
        <f t="shared" si="440"/>
        <v>0</v>
      </c>
      <c r="Q976" s="39"/>
      <c r="R976" s="41">
        <f t="shared" si="441"/>
        <v>0</v>
      </c>
      <c r="S976" s="47"/>
      <c r="T976" s="41">
        <f t="shared" si="442"/>
        <v>0</v>
      </c>
      <c r="U976" s="39"/>
      <c r="V976" s="41">
        <f t="shared" si="443"/>
        <v>0</v>
      </c>
      <c r="W976" s="47"/>
      <c r="X976" s="41">
        <f t="shared" si="444"/>
        <v>0</v>
      </c>
      <c r="Y976" s="39"/>
      <c r="Z976" s="41">
        <f t="shared" si="445"/>
        <v>0</v>
      </c>
      <c r="AA976" s="47"/>
      <c r="AB976" s="41">
        <f t="shared" si="446"/>
        <v>0</v>
      </c>
      <c r="AC976" s="39"/>
      <c r="AD976" s="41">
        <f t="shared" si="428"/>
        <v>0</v>
      </c>
      <c r="AE976" s="47"/>
      <c r="AF976" s="41">
        <f t="shared" si="447"/>
        <v>0</v>
      </c>
      <c r="AG976" s="39"/>
      <c r="AH976" s="41">
        <f t="shared" si="429"/>
        <v>0</v>
      </c>
      <c r="AI976" s="47"/>
      <c r="AJ976" s="41">
        <f t="shared" si="448"/>
        <v>0</v>
      </c>
      <c r="AK976" s="39"/>
      <c r="AL976" s="41">
        <f t="shared" si="430"/>
        <v>0</v>
      </c>
      <c r="AM976" s="47"/>
      <c r="AN976" s="41">
        <f t="shared" si="449"/>
        <v>0</v>
      </c>
      <c r="AO976" s="39"/>
      <c r="AP976" s="41">
        <f t="shared" si="431"/>
        <v>0</v>
      </c>
      <c r="AQ976" s="47"/>
      <c r="AR976" s="41">
        <f t="shared" si="450"/>
        <v>0</v>
      </c>
      <c r="AS976" s="39"/>
      <c r="AT976" s="41">
        <f t="shared" si="432"/>
        <v>0</v>
      </c>
      <c r="AU976" s="47"/>
      <c r="AV976" s="41">
        <f t="shared" si="451"/>
        <v>0</v>
      </c>
      <c r="AW976" s="39"/>
      <c r="AX976" s="41">
        <f t="shared" si="433"/>
        <v>0</v>
      </c>
      <c r="AY976" s="47"/>
      <c r="AZ976" s="41">
        <f t="shared" si="452"/>
        <v>0</v>
      </c>
      <c r="BA976" s="39"/>
      <c r="BB976" s="41">
        <f t="shared" si="434"/>
        <v>0</v>
      </c>
      <c r="BC976" s="47"/>
      <c r="BD976" s="41">
        <f t="shared" si="453"/>
        <v>0</v>
      </c>
      <c r="BE976" s="39"/>
      <c r="BF976" s="47"/>
    </row>
    <row r="977" spans="1:58" ht="15.75" customHeight="1" x14ac:dyDescent="0.25">
      <c r="A977" s="44">
        <v>2017</v>
      </c>
      <c r="B977" s="39">
        <v>170035</v>
      </c>
      <c r="C977" s="38" t="s">
        <v>146</v>
      </c>
      <c r="D977" s="38" t="s">
        <v>7</v>
      </c>
      <c r="E977" s="39"/>
      <c r="F977" s="42">
        <f t="shared" si="435"/>
        <v>0</v>
      </c>
      <c r="G977" s="47"/>
      <c r="H977" s="42">
        <f t="shared" si="436"/>
        <v>0</v>
      </c>
      <c r="I977" s="39"/>
      <c r="J977" s="41">
        <f t="shared" si="437"/>
        <v>0</v>
      </c>
      <c r="K977" s="47"/>
      <c r="L977" s="41">
        <f t="shared" si="438"/>
        <v>0</v>
      </c>
      <c r="M977" s="39"/>
      <c r="N977" s="41">
        <f t="shared" si="439"/>
        <v>0</v>
      </c>
      <c r="O977" s="47"/>
      <c r="P977" s="41">
        <f t="shared" si="440"/>
        <v>0</v>
      </c>
      <c r="Q977" s="39"/>
      <c r="R977" s="41">
        <f t="shared" si="441"/>
        <v>0</v>
      </c>
      <c r="S977" s="47"/>
      <c r="T977" s="41">
        <f t="shared" si="442"/>
        <v>0</v>
      </c>
      <c r="U977" s="39"/>
      <c r="V977" s="41">
        <f t="shared" si="443"/>
        <v>0</v>
      </c>
      <c r="W977" s="47"/>
      <c r="X977" s="41">
        <f t="shared" si="444"/>
        <v>0</v>
      </c>
      <c r="Y977" s="39"/>
      <c r="Z977" s="41">
        <f t="shared" si="445"/>
        <v>0</v>
      </c>
      <c r="AA977" s="47"/>
      <c r="AB977" s="41">
        <f t="shared" si="446"/>
        <v>0</v>
      </c>
      <c r="AC977" s="39"/>
      <c r="AD977" s="41">
        <f t="shared" ref="AD977:AD1005" si="454">IFERROR(AC977/$BE977,0)</f>
        <v>0</v>
      </c>
      <c r="AE977" s="47"/>
      <c r="AF977" s="41">
        <f t="shared" si="447"/>
        <v>0</v>
      </c>
      <c r="AG977" s="39"/>
      <c r="AH977" s="41">
        <f t="shared" ref="AH977:AH1005" si="455">IFERROR(AG977/$BE977,0)</f>
        <v>0</v>
      </c>
      <c r="AI977" s="47"/>
      <c r="AJ977" s="41">
        <f t="shared" si="448"/>
        <v>0</v>
      </c>
      <c r="AK977" s="39"/>
      <c r="AL977" s="41">
        <f t="shared" ref="AL977:AL1005" si="456">IFERROR(AK977/$BE977,0)</f>
        <v>0</v>
      </c>
      <c r="AM977" s="47"/>
      <c r="AN977" s="41">
        <f t="shared" si="449"/>
        <v>0</v>
      </c>
      <c r="AO977" s="39"/>
      <c r="AP977" s="41">
        <f t="shared" ref="AP977:AP1005" si="457">IFERROR(AO977/$BE977,0)</f>
        <v>0</v>
      </c>
      <c r="AQ977" s="47"/>
      <c r="AR977" s="41">
        <f t="shared" si="450"/>
        <v>0</v>
      </c>
      <c r="AS977" s="39"/>
      <c r="AT977" s="41">
        <f t="shared" ref="AT977:AT1005" si="458">IFERROR(AS977/$BE977,0)</f>
        <v>0</v>
      </c>
      <c r="AU977" s="47"/>
      <c r="AV977" s="41">
        <f t="shared" si="451"/>
        <v>0</v>
      </c>
      <c r="AW977" s="39"/>
      <c r="AX977" s="41">
        <f t="shared" ref="AX977:AX1005" si="459">IFERROR(AW977/$BE977,0)</f>
        <v>0</v>
      </c>
      <c r="AY977" s="47"/>
      <c r="AZ977" s="41">
        <f t="shared" si="452"/>
        <v>0</v>
      </c>
      <c r="BA977" s="39"/>
      <c r="BB977" s="41">
        <f t="shared" ref="BB977:BB1005" si="460">IFERROR(BA977/$BE977,0)</f>
        <v>0</v>
      </c>
      <c r="BC977" s="47"/>
      <c r="BD977" s="41">
        <f t="shared" si="453"/>
        <v>0</v>
      </c>
      <c r="BE977" s="39"/>
      <c r="BF977" s="47"/>
    </row>
    <row r="978" spans="1:58" ht="15.75" customHeight="1" x14ac:dyDescent="0.25">
      <c r="A978" s="44">
        <v>2017</v>
      </c>
      <c r="B978" s="39">
        <v>170040</v>
      </c>
      <c r="C978" s="38" t="s">
        <v>147</v>
      </c>
      <c r="D978" s="38" t="s">
        <v>8</v>
      </c>
      <c r="E978" s="39"/>
      <c r="F978" s="42">
        <f t="shared" si="435"/>
        <v>0</v>
      </c>
      <c r="G978" s="47"/>
      <c r="H978" s="42">
        <f t="shared" si="436"/>
        <v>0</v>
      </c>
      <c r="I978" s="39"/>
      <c r="J978" s="41">
        <f t="shared" si="437"/>
        <v>0</v>
      </c>
      <c r="K978" s="47"/>
      <c r="L978" s="41">
        <f t="shared" si="438"/>
        <v>0</v>
      </c>
      <c r="M978" s="39"/>
      <c r="N978" s="41">
        <f t="shared" si="439"/>
        <v>0</v>
      </c>
      <c r="O978" s="47"/>
      <c r="P978" s="41">
        <f t="shared" si="440"/>
        <v>0</v>
      </c>
      <c r="Q978" s="39"/>
      <c r="R978" s="41">
        <f t="shared" si="441"/>
        <v>0</v>
      </c>
      <c r="S978" s="47"/>
      <c r="T978" s="41">
        <f t="shared" si="442"/>
        <v>0</v>
      </c>
      <c r="U978" s="39"/>
      <c r="V978" s="41">
        <f t="shared" si="443"/>
        <v>0</v>
      </c>
      <c r="W978" s="47"/>
      <c r="X978" s="41">
        <f t="shared" si="444"/>
        <v>0</v>
      </c>
      <c r="Y978" s="39"/>
      <c r="Z978" s="41">
        <f t="shared" si="445"/>
        <v>0</v>
      </c>
      <c r="AA978" s="47"/>
      <c r="AB978" s="41">
        <f t="shared" si="446"/>
        <v>0</v>
      </c>
      <c r="AC978" s="39"/>
      <c r="AD978" s="41">
        <f t="shared" si="454"/>
        <v>0</v>
      </c>
      <c r="AE978" s="47"/>
      <c r="AF978" s="41">
        <f t="shared" si="447"/>
        <v>0</v>
      </c>
      <c r="AG978" s="39"/>
      <c r="AH978" s="41">
        <f t="shared" si="455"/>
        <v>0</v>
      </c>
      <c r="AI978" s="47"/>
      <c r="AJ978" s="41">
        <f t="shared" si="448"/>
        <v>0</v>
      </c>
      <c r="AK978" s="39"/>
      <c r="AL978" s="41">
        <f t="shared" si="456"/>
        <v>0</v>
      </c>
      <c r="AM978" s="47"/>
      <c r="AN978" s="41">
        <f t="shared" si="449"/>
        <v>0</v>
      </c>
      <c r="AO978" s="39"/>
      <c r="AP978" s="41">
        <f t="shared" si="457"/>
        <v>0</v>
      </c>
      <c r="AQ978" s="47"/>
      <c r="AR978" s="41">
        <f t="shared" si="450"/>
        <v>0</v>
      </c>
      <c r="AS978" s="39"/>
      <c r="AT978" s="41">
        <f t="shared" si="458"/>
        <v>0</v>
      </c>
      <c r="AU978" s="47"/>
      <c r="AV978" s="41">
        <f t="shared" si="451"/>
        <v>0</v>
      </c>
      <c r="AW978" s="39"/>
      <c r="AX978" s="41">
        <f t="shared" si="459"/>
        <v>0</v>
      </c>
      <c r="AY978" s="47"/>
      <c r="AZ978" s="41">
        <f t="shared" si="452"/>
        <v>0</v>
      </c>
      <c r="BA978" s="39"/>
      <c r="BB978" s="41">
        <f t="shared" si="460"/>
        <v>0</v>
      </c>
      <c r="BC978" s="47"/>
      <c r="BD978" s="41">
        <f t="shared" si="453"/>
        <v>0</v>
      </c>
      <c r="BE978" s="39"/>
      <c r="BF978" s="47"/>
    </row>
    <row r="979" spans="1:58" ht="15.75" customHeight="1" x14ac:dyDescent="0.25">
      <c r="A979" s="44">
        <v>2017</v>
      </c>
      <c r="B979" s="39">
        <v>170070</v>
      </c>
      <c r="C979" s="38" t="s">
        <v>146</v>
      </c>
      <c r="D979" s="38" t="s">
        <v>9</v>
      </c>
      <c r="E979" s="39"/>
      <c r="F979" s="42">
        <f t="shared" si="435"/>
        <v>0</v>
      </c>
      <c r="G979" s="47"/>
      <c r="H979" s="42">
        <f t="shared" si="436"/>
        <v>0</v>
      </c>
      <c r="I979" s="39"/>
      <c r="J979" s="41">
        <f t="shared" si="437"/>
        <v>0</v>
      </c>
      <c r="K979" s="47"/>
      <c r="L979" s="41">
        <f t="shared" si="438"/>
        <v>0</v>
      </c>
      <c r="M979" s="39"/>
      <c r="N979" s="41">
        <f t="shared" si="439"/>
        <v>0</v>
      </c>
      <c r="O979" s="47"/>
      <c r="P979" s="41">
        <f t="shared" si="440"/>
        <v>0</v>
      </c>
      <c r="Q979" s="39"/>
      <c r="R979" s="41">
        <f t="shared" si="441"/>
        <v>0</v>
      </c>
      <c r="S979" s="47"/>
      <c r="T979" s="41">
        <f t="shared" si="442"/>
        <v>0</v>
      </c>
      <c r="U979" s="39"/>
      <c r="V979" s="41">
        <f t="shared" si="443"/>
        <v>0</v>
      </c>
      <c r="W979" s="47"/>
      <c r="X979" s="41">
        <f t="shared" si="444"/>
        <v>0</v>
      </c>
      <c r="Y979" s="39"/>
      <c r="Z979" s="41">
        <f t="shared" si="445"/>
        <v>0</v>
      </c>
      <c r="AA979" s="47"/>
      <c r="AB979" s="41">
        <f t="shared" si="446"/>
        <v>0</v>
      </c>
      <c r="AC979" s="39"/>
      <c r="AD979" s="41">
        <f t="shared" si="454"/>
        <v>0</v>
      </c>
      <c r="AE979" s="47"/>
      <c r="AF979" s="41">
        <f t="shared" si="447"/>
        <v>0</v>
      </c>
      <c r="AG979" s="39"/>
      <c r="AH979" s="41">
        <f t="shared" si="455"/>
        <v>0</v>
      </c>
      <c r="AI979" s="47"/>
      <c r="AJ979" s="41">
        <f t="shared" si="448"/>
        <v>0</v>
      </c>
      <c r="AK979" s="39"/>
      <c r="AL979" s="41">
        <f t="shared" si="456"/>
        <v>0</v>
      </c>
      <c r="AM979" s="47"/>
      <c r="AN979" s="41">
        <f t="shared" si="449"/>
        <v>0</v>
      </c>
      <c r="AO979" s="39"/>
      <c r="AP979" s="41">
        <f t="shared" si="457"/>
        <v>0</v>
      </c>
      <c r="AQ979" s="47"/>
      <c r="AR979" s="41">
        <f t="shared" si="450"/>
        <v>0</v>
      </c>
      <c r="AS979" s="39"/>
      <c r="AT979" s="41">
        <f t="shared" si="458"/>
        <v>0</v>
      </c>
      <c r="AU979" s="47"/>
      <c r="AV979" s="41">
        <f t="shared" si="451"/>
        <v>0</v>
      </c>
      <c r="AW979" s="39"/>
      <c r="AX979" s="41">
        <f t="shared" si="459"/>
        <v>0</v>
      </c>
      <c r="AY979" s="47"/>
      <c r="AZ979" s="41">
        <f t="shared" si="452"/>
        <v>0</v>
      </c>
      <c r="BA979" s="39"/>
      <c r="BB979" s="41">
        <f t="shared" si="460"/>
        <v>0</v>
      </c>
      <c r="BC979" s="47"/>
      <c r="BD979" s="41">
        <f t="shared" si="453"/>
        <v>0</v>
      </c>
      <c r="BE979" s="39"/>
      <c r="BF979" s="47"/>
    </row>
    <row r="980" spans="1:58" ht="15.75" customHeight="1" x14ac:dyDescent="0.25">
      <c r="A980" s="44">
        <v>2017</v>
      </c>
      <c r="B980" s="39">
        <v>170100</v>
      </c>
      <c r="C980" s="38" t="s">
        <v>145</v>
      </c>
      <c r="D980" s="38" t="s">
        <v>10</v>
      </c>
      <c r="E980" s="39"/>
      <c r="F980" s="42">
        <f t="shared" si="435"/>
        <v>0</v>
      </c>
      <c r="G980" s="47"/>
      <c r="H980" s="42">
        <f t="shared" si="436"/>
        <v>0</v>
      </c>
      <c r="I980" s="39"/>
      <c r="J980" s="41">
        <f t="shared" si="437"/>
        <v>0</v>
      </c>
      <c r="K980" s="47"/>
      <c r="L980" s="41">
        <f t="shared" si="438"/>
        <v>0</v>
      </c>
      <c r="M980" s="39"/>
      <c r="N980" s="41">
        <f t="shared" si="439"/>
        <v>0</v>
      </c>
      <c r="O980" s="47"/>
      <c r="P980" s="41">
        <f t="shared" si="440"/>
        <v>0</v>
      </c>
      <c r="Q980" s="39"/>
      <c r="R980" s="41">
        <f t="shared" si="441"/>
        <v>0</v>
      </c>
      <c r="S980" s="47"/>
      <c r="T980" s="41">
        <f t="shared" si="442"/>
        <v>0</v>
      </c>
      <c r="U980" s="39"/>
      <c r="V980" s="41">
        <f t="shared" si="443"/>
        <v>0</v>
      </c>
      <c r="W980" s="47"/>
      <c r="X980" s="41">
        <f t="shared" si="444"/>
        <v>0</v>
      </c>
      <c r="Y980" s="39"/>
      <c r="Z980" s="41">
        <f t="shared" si="445"/>
        <v>0</v>
      </c>
      <c r="AA980" s="47"/>
      <c r="AB980" s="41">
        <f t="shared" si="446"/>
        <v>0</v>
      </c>
      <c r="AC980" s="39"/>
      <c r="AD980" s="41">
        <f t="shared" si="454"/>
        <v>0</v>
      </c>
      <c r="AE980" s="47"/>
      <c r="AF980" s="41">
        <f t="shared" si="447"/>
        <v>0</v>
      </c>
      <c r="AG980" s="39"/>
      <c r="AH980" s="41">
        <f t="shared" si="455"/>
        <v>0</v>
      </c>
      <c r="AI980" s="47"/>
      <c r="AJ980" s="41">
        <f t="shared" si="448"/>
        <v>0</v>
      </c>
      <c r="AK980" s="39"/>
      <c r="AL980" s="41">
        <f t="shared" si="456"/>
        <v>0</v>
      </c>
      <c r="AM980" s="47"/>
      <c r="AN980" s="41">
        <f t="shared" si="449"/>
        <v>0</v>
      </c>
      <c r="AO980" s="39"/>
      <c r="AP980" s="41">
        <f t="shared" si="457"/>
        <v>0</v>
      </c>
      <c r="AQ980" s="47"/>
      <c r="AR980" s="41">
        <f t="shared" si="450"/>
        <v>0</v>
      </c>
      <c r="AS980" s="39"/>
      <c r="AT980" s="41">
        <f t="shared" si="458"/>
        <v>0</v>
      </c>
      <c r="AU980" s="47"/>
      <c r="AV980" s="41">
        <f t="shared" si="451"/>
        <v>0</v>
      </c>
      <c r="AW980" s="39"/>
      <c r="AX980" s="41">
        <f t="shared" si="459"/>
        <v>0</v>
      </c>
      <c r="AY980" s="47"/>
      <c r="AZ980" s="41">
        <f t="shared" si="452"/>
        <v>0</v>
      </c>
      <c r="BA980" s="39"/>
      <c r="BB980" s="41">
        <f t="shared" si="460"/>
        <v>0</v>
      </c>
      <c r="BC980" s="47"/>
      <c r="BD980" s="41">
        <f t="shared" si="453"/>
        <v>0</v>
      </c>
      <c r="BE980" s="39"/>
      <c r="BF980" s="47"/>
    </row>
    <row r="981" spans="1:58" ht="15.75" customHeight="1" x14ac:dyDescent="0.25">
      <c r="A981" s="44">
        <v>2017</v>
      </c>
      <c r="B981" s="39">
        <v>170105</v>
      </c>
      <c r="C981" s="38" t="s">
        <v>145</v>
      </c>
      <c r="D981" s="38" t="s">
        <v>11</v>
      </c>
      <c r="E981" s="39"/>
      <c r="F981" s="42">
        <f t="shared" si="435"/>
        <v>0</v>
      </c>
      <c r="G981" s="47"/>
      <c r="H981" s="42">
        <f t="shared" si="436"/>
        <v>0</v>
      </c>
      <c r="I981" s="39"/>
      <c r="J981" s="41">
        <f t="shared" si="437"/>
        <v>0</v>
      </c>
      <c r="K981" s="47"/>
      <c r="L981" s="41">
        <f t="shared" si="438"/>
        <v>0</v>
      </c>
      <c r="M981" s="39"/>
      <c r="N981" s="41">
        <f t="shared" si="439"/>
        <v>0</v>
      </c>
      <c r="O981" s="47"/>
      <c r="P981" s="41">
        <f t="shared" si="440"/>
        <v>0</v>
      </c>
      <c r="Q981" s="39"/>
      <c r="R981" s="41">
        <f t="shared" si="441"/>
        <v>0</v>
      </c>
      <c r="S981" s="47"/>
      <c r="T981" s="41">
        <f t="shared" si="442"/>
        <v>0</v>
      </c>
      <c r="U981" s="39"/>
      <c r="V981" s="41">
        <f t="shared" si="443"/>
        <v>0</v>
      </c>
      <c r="W981" s="47"/>
      <c r="X981" s="41">
        <f t="shared" si="444"/>
        <v>0</v>
      </c>
      <c r="Y981" s="39"/>
      <c r="Z981" s="41">
        <f t="shared" si="445"/>
        <v>0</v>
      </c>
      <c r="AA981" s="47"/>
      <c r="AB981" s="41">
        <f t="shared" si="446"/>
        <v>0</v>
      </c>
      <c r="AC981" s="39"/>
      <c r="AD981" s="41">
        <f t="shared" si="454"/>
        <v>0</v>
      </c>
      <c r="AE981" s="47"/>
      <c r="AF981" s="41">
        <f t="shared" si="447"/>
        <v>0</v>
      </c>
      <c r="AG981" s="39"/>
      <c r="AH981" s="41">
        <f t="shared" si="455"/>
        <v>0</v>
      </c>
      <c r="AI981" s="47"/>
      <c r="AJ981" s="41">
        <f t="shared" si="448"/>
        <v>0</v>
      </c>
      <c r="AK981" s="39"/>
      <c r="AL981" s="41">
        <f t="shared" si="456"/>
        <v>0</v>
      </c>
      <c r="AM981" s="47"/>
      <c r="AN981" s="41">
        <f t="shared" si="449"/>
        <v>0</v>
      </c>
      <c r="AO981" s="39"/>
      <c r="AP981" s="41">
        <f t="shared" si="457"/>
        <v>0</v>
      </c>
      <c r="AQ981" s="47"/>
      <c r="AR981" s="41">
        <f t="shared" si="450"/>
        <v>0</v>
      </c>
      <c r="AS981" s="39"/>
      <c r="AT981" s="41">
        <f t="shared" si="458"/>
        <v>0</v>
      </c>
      <c r="AU981" s="47"/>
      <c r="AV981" s="41">
        <f t="shared" si="451"/>
        <v>0</v>
      </c>
      <c r="AW981" s="39"/>
      <c r="AX981" s="41">
        <f t="shared" si="459"/>
        <v>0</v>
      </c>
      <c r="AY981" s="47"/>
      <c r="AZ981" s="41">
        <f t="shared" si="452"/>
        <v>0</v>
      </c>
      <c r="BA981" s="39"/>
      <c r="BB981" s="41">
        <f t="shared" si="460"/>
        <v>0</v>
      </c>
      <c r="BC981" s="47"/>
      <c r="BD981" s="41">
        <f t="shared" si="453"/>
        <v>0</v>
      </c>
      <c r="BE981" s="39"/>
      <c r="BF981" s="47"/>
    </row>
    <row r="982" spans="1:58" ht="15.75" customHeight="1" x14ac:dyDescent="0.25">
      <c r="A982" s="44">
        <v>2017</v>
      </c>
      <c r="B982" s="39">
        <v>170110</v>
      </c>
      <c r="C982" s="38" t="s">
        <v>148</v>
      </c>
      <c r="D982" s="38" t="s">
        <v>12</v>
      </c>
      <c r="E982" s="39"/>
      <c r="F982" s="42">
        <f t="shared" si="435"/>
        <v>0</v>
      </c>
      <c r="G982" s="47"/>
      <c r="H982" s="42">
        <f t="shared" si="436"/>
        <v>0</v>
      </c>
      <c r="I982" s="39"/>
      <c r="J982" s="41">
        <f t="shared" si="437"/>
        <v>0</v>
      </c>
      <c r="K982" s="47"/>
      <c r="L982" s="41">
        <f t="shared" si="438"/>
        <v>0</v>
      </c>
      <c r="M982" s="39"/>
      <c r="N982" s="41">
        <f t="shared" si="439"/>
        <v>0</v>
      </c>
      <c r="O982" s="47"/>
      <c r="P982" s="41">
        <f t="shared" si="440"/>
        <v>0</v>
      </c>
      <c r="Q982" s="39"/>
      <c r="R982" s="41">
        <f t="shared" si="441"/>
        <v>0</v>
      </c>
      <c r="S982" s="47"/>
      <c r="T982" s="41">
        <f t="shared" si="442"/>
        <v>0</v>
      </c>
      <c r="U982" s="39"/>
      <c r="V982" s="41">
        <f t="shared" si="443"/>
        <v>0</v>
      </c>
      <c r="W982" s="47"/>
      <c r="X982" s="41">
        <f t="shared" si="444"/>
        <v>0</v>
      </c>
      <c r="Y982" s="39"/>
      <c r="Z982" s="41">
        <f t="shared" si="445"/>
        <v>0</v>
      </c>
      <c r="AA982" s="47"/>
      <c r="AB982" s="41">
        <f t="shared" si="446"/>
        <v>0</v>
      </c>
      <c r="AC982" s="39"/>
      <c r="AD982" s="41">
        <f t="shared" si="454"/>
        <v>0</v>
      </c>
      <c r="AE982" s="47"/>
      <c r="AF982" s="41">
        <f t="shared" si="447"/>
        <v>0</v>
      </c>
      <c r="AG982" s="39"/>
      <c r="AH982" s="41">
        <f t="shared" si="455"/>
        <v>0</v>
      </c>
      <c r="AI982" s="47"/>
      <c r="AJ982" s="41">
        <f t="shared" si="448"/>
        <v>0</v>
      </c>
      <c r="AK982" s="39"/>
      <c r="AL982" s="41">
        <f t="shared" si="456"/>
        <v>0</v>
      </c>
      <c r="AM982" s="47"/>
      <c r="AN982" s="41">
        <f t="shared" si="449"/>
        <v>0</v>
      </c>
      <c r="AO982" s="39"/>
      <c r="AP982" s="41">
        <f t="shared" si="457"/>
        <v>0</v>
      </c>
      <c r="AQ982" s="47"/>
      <c r="AR982" s="41">
        <f t="shared" si="450"/>
        <v>0</v>
      </c>
      <c r="AS982" s="39"/>
      <c r="AT982" s="41">
        <f t="shared" si="458"/>
        <v>0</v>
      </c>
      <c r="AU982" s="47"/>
      <c r="AV982" s="41">
        <f t="shared" si="451"/>
        <v>0</v>
      </c>
      <c r="AW982" s="39"/>
      <c r="AX982" s="41">
        <f t="shared" si="459"/>
        <v>0</v>
      </c>
      <c r="AY982" s="47"/>
      <c r="AZ982" s="41">
        <f t="shared" si="452"/>
        <v>0</v>
      </c>
      <c r="BA982" s="39"/>
      <c r="BB982" s="41">
        <f t="shared" si="460"/>
        <v>0</v>
      </c>
      <c r="BC982" s="47"/>
      <c r="BD982" s="41">
        <f t="shared" si="453"/>
        <v>0</v>
      </c>
      <c r="BE982" s="39"/>
      <c r="BF982" s="47"/>
    </row>
    <row r="983" spans="1:58" ht="15.75" customHeight="1" x14ac:dyDescent="0.25">
      <c r="A983" s="44">
        <v>2017</v>
      </c>
      <c r="B983" s="39">
        <v>170130</v>
      </c>
      <c r="C983" s="38" t="s">
        <v>149</v>
      </c>
      <c r="D983" s="38" t="s">
        <v>13</v>
      </c>
      <c r="E983" s="39"/>
      <c r="F983" s="42">
        <f t="shared" si="435"/>
        <v>0</v>
      </c>
      <c r="G983" s="47"/>
      <c r="H983" s="42">
        <f t="shared" si="436"/>
        <v>0</v>
      </c>
      <c r="I983" s="39"/>
      <c r="J983" s="41">
        <f t="shared" si="437"/>
        <v>0</v>
      </c>
      <c r="K983" s="47"/>
      <c r="L983" s="41">
        <f t="shared" si="438"/>
        <v>0</v>
      </c>
      <c r="M983" s="39"/>
      <c r="N983" s="41">
        <f t="shared" si="439"/>
        <v>0</v>
      </c>
      <c r="O983" s="47"/>
      <c r="P983" s="41">
        <f t="shared" si="440"/>
        <v>0</v>
      </c>
      <c r="Q983" s="39"/>
      <c r="R983" s="41">
        <f t="shared" si="441"/>
        <v>0</v>
      </c>
      <c r="S983" s="47"/>
      <c r="T983" s="41">
        <f t="shared" si="442"/>
        <v>0</v>
      </c>
      <c r="U983" s="39"/>
      <c r="V983" s="41">
        <f t="shared" si="443"/>
        <v>0</v>
      </c>
      <c r="W983" s="47"/>
      <c r="X983" s="41">
        <f t="shared" si="444"/>
        <v>0</v>
      </c>
      <c r="Y983" s="39"/>
      <c r="Z983" s="41">
        <f t="shared" si="445"/>
        <v>0</v>
      </c>
      <c r="AA983" s="47"/>
      <c r="AB983" s="41">
        <f t="shared" si="446"/>
        <v>0</v>
      </c>
      <c r="AC983" s="39"/>
      <c r="AD983" s="41">
        <f t="shared" si="454"/>
        <v>0</v>
      </c>
      <c r="AE983" s="47"/>
      <c r="AF983" s="41">
        <f t="shared" si="447"/>
        <v>0</v>
      </c>
      <c r="AG983" s="39"/>
      <c r="AH983" s="41">
        <f t="shared" si="455"/>
        <v>0</v>
      </c>
      <c r="AI983" s="47"/>
      <c r="AJ983" s="41">
        <f t="shared" si="448"/>
        <v>0</v>
      </c>
      <c r="AK983" s="39"/>
      <c r="AL983" s="41">
        <f t="shared" si="456"/>
        <v>0</v>
      </c>
      <c r="AM983" s="47"/>
      <c r="AN983" s="41">
        <f t="shared" si="449"/>
        <v>0</v>
      </c>
      <c r="AO983" s="39"/>
      <c r="AP983" s="41">
        <f t="shared" si="457"/>
        <v>0</v>
      </c>
      <c r="AQ983" s="47"/>
      <c r="AR983" s="41">
        <f t="shared" si="450"/>
        <v>0</v>
      </c>
      <c r="AS983" s="39"/>
      <c r="AT983" s="41">
        <f t="shared" si="458"/>
        <v>0</v>
      </c>
      <c r="AU983" s="47"/>
      <c r="AV983" s="41">
        <f t="shared" si="451"/>
        <v>0</v>
      </c>
      <c r="AW983" s="39"/>
      <c r="AX983" s="41">
        <f t="shared" si="459"/>
        <v>0</v>
      </c>
      <c r="AY983" s="47"/>
      <c r="AZ983" s="41">
        <f t="shared" si="452"/>
        <v>0</v>
      </c>
      <c r="BA983" s="39"/>
      <c r="BB983" s="41">
        <f t="shared" si="460"/>
        <v>0</v>
      </c>
      <c r="BC983" s="47"/>
      <c r="BD983" s="41">
        <f t="shared" si="453"/>
        <v>0</v>
      </c>
      <c r="BE983" s="39"/>
      <c r="BF983" s="47"/>
    </row>
    <row r="984" spans="1:58" ht="15.75" customHeight="1" x14ac:dyDescent="0.25">
      <c r="A984" s="44">
        <v>2017</v>
      </c>
      <c r="B984" s="39">
        <v>170190</v>
      </c>
      <c r="C984" s="38" t="s">
        <v>144</v>
      </c>
      <c r="D984" s="38" t="s">
        <v>14</v>
      </c>
      <c r="E984" s="39"/>
      <c r="F984" s="42">
        <f t="shared" si="435"/>
        <v>0</v>
      </c>
      <c r="G984" s="47"/>
      <c r="H984" s="42">
        <f t="shared" si="436"/>
        <v>0</v>
      </c>
      <c r="I984" s="39"/>
      <c r="J984" s="41">
        <f t="shared" si="437"/>
        <v>0</v>
      </c>
      <c r="K984" s="47"/>
      <c r="L984" s="41">
        <f t="shared" si="438"/>
        <v>0</v>
      </c>
      <c r="M984" s="39"/>
      <c r="N984" s="41">
        <f t="shared" si="439"/>
        <v>0</v>
      </c>
      <c r="O984" s="47"/>
      <c r="P984" s="41">
        <f t="shared" si="440"/>
        <v>0</v>
      </c>
      <c r="Q984" s="39"/>
      <c r="R984" s="41">
        <f t="shared" si="441"/>
        <v>0</v>
      </c>
      <c r="S984" s="47"/>
      <c r="T984" s="41">
        <f t="shared" si="442"/>
        <v>0</v>
      </c>
      <c r="U984" s="39"/>
      <c r="V984" s="41">
        <f t="shared" si="443"/>
        <v>0</v>
      </c>
      <c r="W984" s="47"/>
      <c r="X984" s="41">
        <f t="shared" si="444"/>
        <v>0</v>
      </c>
      <c r="Y984" s="39"/>
      <c r="Z984" s="41">
        <f t="shared" si="445"/>
        <v>0</v>
      </c>
      <c r="AA984" s="47"/>
      <c r="AB984" s="41">
        <f t="shared" si="446"/>
        <v>0</v>
      </c>
      <c r="AC984" s="39"/>
      <c r="AD984" s="41">
        <f t="shared" si="454"/>
        <v>0</v>
      </c>
      <c r="AE984" s="47"/>
      <c r="AF984" s="41">
        <f t="shared" si="447"/>
        <v>0</v>
      </c>
      <c r="AG984" s="39"/>
      <c r="AH984" s="41">
        <f t="shared" si="455"/>
        <v>0</v>
      </c>
      <c r="AI984" s="47"/>
      <c r="AJ984" s="41">
        <f t="shared" si="448"/>
        <v>0</v>
      </c>
      <c r="AK984" s="39"/>
      <c r="AL984" s="41">
        <f t="shared" si="456"/>
        <v>0</v>
      </c>
      <c r="AM984" s="47"/>
      <c r="AN984" s="41">
        <f t="shared" si="449"/>
        <v>0</v>
      </c>
      <c r="AO984" s="39"/>
      <c r="AP984" s="41">
        <f t="shared" si="457"/>
        <v>0</v>
      </c>
      <c r="AQ984" s="47"/>
      <c r="AR984" s="41">
        <f t="shared" si="450"/>
        <v>0</v>
      </c>
      <c r="AS984" s="39"/>
      <c r="AT984" s="41">
        <f t="shared" si="458"/>
        <v>0</v>
      </c>
      <c r="AU984" s="47"/>
      <c r="AV984" s="41">
        <f t="shared" si="451"/>
        <v>0</v>
      </c>
      <c r="AW984" s="39"/>
      <c r="AX984" s="41">
        <f t="shared" si="459"/>
        <v>0</v>
      </c>
      <c r="AY984" s="47"/>
      <c r="AZ984" s="41">
        <f t="shared" si="452"/>
        <v>0</v>
      </c>
      <c r="BA984" s="39"/>
      <c r="BB984" s="41">
        <f t="shared" si="460"/>
        <v>0</v>
      </c>
      <c r="BC984" s="47"/>
      <c r="BD984" s="41">
        <f t="shared" si="453"/>
        <v>0</v>
      </c>
      <c r="BE984" s="39"/>
      <c r="BF984" s="47"/>
    </row>
    <row r="985" spans="1:58" ht="15.75" customHeight="1" x14ac:dyDescent="0.25">
      <c r="A985" s="44">
        <v>2017</v>
      </c>
      <c r="B985" s="39">
        <v>170200</v>
      </c>
      <c r="C985" s="38" t="s">
        <v>146</v>
      </c>
      <c r="D985" s="38" t="s">
        <v>15</v>
      </c>
      <c r="E985" s="39"/>
      <c r="F985" s="42">
        <f t="shared" si="435"/>
        <v>0</v>
      </c>
      <c r="G985" s="47"/>
      <c r="H985" s="42">
        <f t="shared" si="436"/>
        <v>0</v>
      </c>
      <c r="I985" s="39"/>
      <c r="J985" s="41">
        <f t="shared" si="437"/>
        <v>0</v>
      </c>
      <c r="K985" s="47"/>
      <c r="L985" s="41">
        <f t="shared" si="438"/>
        <v>0</v>
      </c>
      <c r="M985" s="39"/>
      <c r="N985" s="41">
        <f t="shared" si="439"/>
        <v>0</v>
      </c>
      <c r="O985" s="47"/>
      <c r="P985" s="41">
        <f t="shared" si="440"/>
        <v>0</v>
      </c>
      <c r="Q985" s="39"/>
      <c r="R985" s="41">
        <f t="shared" si="441"/>
        <v>0</v>
      </c>
      <c r="S985" s="47"/>
      <c r="T985" s="41">
        <f t="shared" si="442"/>
        <v>0</v>
      </c>
      <c r="U985" s="39"/>
      <c r="V985" s="41">
        <f t="shared" si="443"/>
        <v>0</v>
      </c>
      <c r="W985" s="47"/>
      <c r="X985" s="41">
        <f t="shared" si="444"/>
        <v>0</v>
      </c>
      <c r="Y985" s="39"/>
      <c r="Z985" s="41">
        <f t="shared" si="445"/>
        <v>0</v>
      </c>
      <c r="AA985" s="47"/>
      <c r="AB985" s="41">
        <f t="shared" si="446"/>
        <v>0</v>
      </c>
      <c r="AC985" s="39"/>
      <c r="AD985" s="41">
        <f t="shared" si="454"/>
        <v>0</v>
      </c>
      <c r="AE985" s="47"/>
      <c r="AF985" s="41">
        <f t="shared" si="447"/>
        <v>0</v>
      </c>
      <c r="AG985" s="39"/>
      <c r="AH985" s="41">
        <f t="shared" si="455"/>
        <v>0</v>
      </c>
      <c r="AI985" s="47"/>
      <c r="AJ985" s="41">
        <f t="shared" si="448"/>
        <v>0</v>
      </c>
      <c r="AK985" s="39"/>
      <c r="AL985" s="41">
        <f t="shared" si="456"/>
        <v>0</v>
      </c>
      <c r="AM985" s="47"/>
      <c r="AN985" s="41">
        <f t="shared" si="449"/>
        <v>0</v>
      </c>
      <c r="AO985" s="39"/>
      <c r="AP985" s="41">
        <f t="shared" si="457"/>
        <v>0</v>
      </c>
      <c r="AQ985" s="47"/>
      <c r="AR985" s="41">
        <f t="shared" si="450"/>
        <v>0</v>
      </c>
      <c r="AS985" s="39"/>
      <c r="AT985" s="41">
        <f t="shared" si="458"/>
        <v>0</v>
      </c>
      <c r="AU985" s="47"/>
      <c r="AV985" s="41">
        <f t="shared" si="451"/>
        <v>0</v>
      </c>
      <c r="AW985" s="39"/>
      <c r="AX985" s="41">
        <f t="shared" si="459"/>
        <v>0</v>
      </c>
      <c r="AY985" s="47"/>
      <c r="AZ985" s="41">
        <f t="shared" si="452"/>
        <v>0</v>
      </c>
      <c r="BA985" s="39"/>
      <c r="BB985" s="41">
        <f t="shared" si="460"/>
        <v>0</v>
      </c>
      <c r="BC985" s="47"/>
      <c r="BD985" s="41">
        <f t="shared" si="453"/>
        <v>0</v>
      </c>
      <c r="BE985" s="39"/>
      <c r="BF985" s="47"/>
    </row>
    <row r="986" spans="1:58" ht="15.75" customHeight="1" x14ac:dyDescent="0.25">
      <c r="A986" s="44">
        <v>2017</v>
      </c>
      <c r="B986" s="39">
        <v>170210</v>
      </c>
      <c r="C986" s="38" t="s">
        <v>149</v>
      </c>
      <c r="D986" s="38" t="s">
        <v>16</v>
      </c>
      <c r="E986" s="39"/>
      <c r="F986" s="42">
        <f t="shared" si="435"/>
        <v>0</v>
      </c>
      <c r="G986" s="47"/>
      <c r="H986" s="42">
        <f t="shared" si="436"/>
        <v>0</v>
      </c>
      <c r="I986" s="39"/>
      <c r="J986" s="41">
        <f t="shared" si="437"/>
        <v>0</v>
      </c>
      <c r="K986" s="47"/>
      <c r="L986" s="41">
        <f t="shared" si="438"/>
        <v>0</v>
      </c>
      <c r="M986" s="39"/>
      <c r="N986" s="41">
        <f t="shared" si="439"/>
        <v>0</v>
      </c>
      <c r="O986" s="48"/>
      <c r="P986" s="41">
        <f t="shared" si="440"/>
        <v>0</v>
      </c>
      <c r="Q986" s="39"/>
      <c r="R986" s="41">
        <f t="shared" si="441"/>
        <v>0</v>
      </c>
      <c r="S986" s="47"/>
      <c r="T986" s="41">
        <f t="shared" si="442"/>
        <v>0</v>
      </c>
      <c r="U986" s="39"/>
      <c r="V986" s="41">
        <f t="shared" si="443"/>
        <v>0</v>
      </c>
      <c r="W986" s="47"/>
      <c r="X986" s="41">
        <f t="shared" si="444"/>
        <v>0</v>
      </c>
      <c r="Y986" s="39"/>
      <c r="Z986" s="41">
        <f t="shared" si="445"/>
        <v>0</v>
      </c>
      <c r="AA986" s="47"/>
      <c r="AB986" s="41">
        <f t="shared" si="446"/>
        <v>0</v>
      </c>
      <c r="AC986" s="39"/>
      <c r="AD986" s="41">
        <f t="shared" si="454"/>
        <v>0</v>
      </c>
      <c r="AE986" s="48"/>
      <c r="AF986" s="41">
        <f t="shared" si="447"/>
        <v>0</v>
      </c>
      <c r="AG986" s="39"/>
      <c r="AH986" s="41">
        <f t="shared" si="455"/>
        <v>0</v>
      </c>
      <c r="AI986" s="47"/>
      <c r="AJ986" s="41">
        <f t="shared" si="448"/>
        <v>0</v>
      </c>
      <c r="AK986" s="39"/>
      <c r="AL986" s="41">
        <f t="shared" si="456"/>
        <v>0</v>
      </c>
      <c r="AM986" s="47"/>
      <c r="AN986" s="41">
        <f t="shared" si="449"/>
        <v>0</v>
      </c>
      <c r="AO986" s="39"/>
      <c r="AP986" s="41">
        <f t="shared" si="457"/>
        <v>0</v>
      </c>
      <c r="AQ986" s="48"/>
      <c r="AR986" s="41">
        <f t="shared" si="450"/>
        <v>0</v>
      </c>
      <c r="AS986" s="39"/>
      <c r="AT986" s="41">
        <f t="shared" si="458"/>
        <v>0</v>
      </c>
      <c r="AU986" s="47"/>
      <c r="AV986" s="41">
        <f t="shared" si="451"/>
        <v>0</v>
      </c>
      <c r="AW986" s="39"/>
      <c r="AX986" s="41">
        <f t="shared" si="459"/>
        <v>0</v>
      </c>
      <c r="AY986" s="47"/>
      <c r="AZ986" s="41">
        <f t="shared" si="452"/>
        <v>0</v>
      </c>
      <c r="BA986" s="39"/>
      <c r="BB986" s="41">
        <f t="shared" si="460"/>
        <v>0</v>
      </c>
      <c r="BC986" s="47"/>
      <c r="BD986" s="41">
        <f t="shared" si="453"/>
        <v>0</v>
      </c>
      <c r="BE986" s="39"/>
      <c r="BF986" s="48"/>
    </row>
    <row r="987" spans="1:58" ht="15.75" customHeight="1" x14ac:dyDescent="0.25">
      <c r="A987" s="44">
        <v>2017</v>
      </c>
      <c r="B987" s="39">
        <v>170215</v>
      </c>
      <c r="C987" s="38" t="s">
        <v>149</v>
      </c>
      <c r="D987" s="38" t="s">
        <v>17</v>
      </c>
      <c r="E987" s="39"/>
      <c r="F987" s="42">
        <f t="shared" si="435"/>
        <v>0</v>
      </c>
      <c r="G987" s="47"/>
      <c r="H987" s="42">
        <f t="shared" si="436"/>
        <v>0</v>
      </c>
      <c r="I987" s="39"/>
      <c r="J987" s="41">
        <f t="shared" si="437"/>
        <v>0</v>
      </c>
      <c r="K987" s="47"/>
      <c r="L987" s="41">
        <f t="shared" si="438"/>
        <v>0</v>
      </c>
      <c r="M987" s="39"/>
      <c r="N987" s="41">
        <f t="shared" si="439"/>
        <v>0</v>
      </c>
      <c r="O987" s="47"/>
      <c r="P987" s="41">
        <f t="shared" si="440"/>
        <v>0</v>
      </c>
      <c r="Q987" s="39"/>
      <c r="R987" s="41">
        <f t="shared" si="441"/>
        <v>0</v>
      </c>
      <c r="S987" s="47"/>
      <c r="T987" s="41">
        <f t="shared" si="442"/>
        <v>0</v>
      </c>
      <c r="U987" s="39"/>
      <c r="V987" s="41">
        <f t="shared" si="443"/>
        <v>0</v>
      </c>
      <c r="W987" s="47"/>
      <c r="X987" s="41">
        <f t="shared" si="444"/>
        <v>0</v>
      </c>
      <c r="Y987" s="39"/>
      <c r="Z987" s="41">
        <f t="shared" si="445"/>
        <v>0</v>
      </c>
      <c r="AA987" s="47"/>
      <c r="AB987" s="41">
        <f t="shared" si="446"/>
        <v>0</v>
      </c>
      <c r="AC987" s="39"/>
      <c r="AD987" s="41">
        <f t="shared" si="454"/>
        <v>0</v>
      </c>
      <c r="AE987" s="47"/>
      <c r="AF987" s="41">
        <f t="shared" si="447"/>
        <v>0</v>
      </c>
      <c r="AG987" s="39"/>
      <c r="AH987" s="41">
        <f t="shared" si="455"/>
        <v>0</v>
      </c>
      <c r="AI987" s="47"/>
      <c r="AJ987" s="41">
        <f t="shared" si="448"/>
        <v>0</v>
      </c>
      <c r="AK987" s="39"/>
      <c r="AL987" s="41">
        <f t="shared" si="456"/>
        <v>0</v>
      </c>
      <c r="AM987" s="47"/>
      <c r="AN987" s="41">
        <f t="shared" si="449"/>
        <v>0</v>
      </c>
      <c r="AO987" s="39"/>
      <c r="AP987" s="41">
        <f t="shared" si="457"/>
        <v>0</v>
      </c>
      <c r="AQ987" s="47"/>
      <c r="AR987" s="41">
        <f t="shared" si="450"/>
        <v>0</v>
      </c>
      <c r="AS987" s="39"/>
      <c r="AT987" s="41">
        <f t="shared" si="458"/>
        <v>0</v>
      </c>
      <c r="AU987" s="47"/>
      <c r="AV987" s="41">
        <f t="shared" si="451"/>
        <v>0</v>
      </c>
      <c r="AW987" s="39"/>
      <c r="AX987" s="41">
        <f t="shared" si="459"/>
        <v>0</v>
      </c>
      <c r="AY987" s="47"/>
      <c r="AZ987" s="41">
        <f t="shared" si="452"/>
        <v>0</v>
      </c>
      <c r="BA987" s="39"/>
      <c r="BB987" s="41">
        <f t="shared" si="460"/>
        <v>0</v>
      </c>
      <c r="BC987" s="47"/>
      <c r="BD987" s="41">
        <f t="shared" si="453"/>
        <v>0</v>
      </c>
      <c r="BE987" s="39"/>
      <c r="BF987" s="47"/>
    </row>
    <row r="988" spans="1:58" ht="15.75" customHeight="1" x14ac:dyDescent="0.25">
      <c r="A988" s="44">
        <v>2017</v>
      </c>
      <c r="B988" s="39">
        <v>170220</v>
      </c>
      <c r="C988" s="38" t="s">
        <v>145</v>
      </c>
      <c r="D988" s="38" t="s">
        <v>18</v>
      </c>
      <c r="E988" s="39"/>
      <c r="F988" s="42">
        <f t="shared" si="435"/>
        <v>0</v>
      </c>
      <c r="G988" s="47"/>
      <c r="H988" s="42">
        <f t="shared" si="436"/>
        <v>0</v>
      </c>
      <c r="I988" s="39"/>
      <c r="J988" s="41">
        <f t="shared" si="437"/>
        <v>0</v>
      </c>
      <c r="K988" s="47"/>
      <c r="L988" s="41">
        <f t="shared" si="438"/>
        <v>0</v>
      </c>
      <c r="M988" s="39"/>
      <c r="N988" s="41">
        <f t="shared" si="439"/>
        <v>0</v>
      </c>
      <c r="O988" s="48"/>
      <c r="P988" s="41">
        <f t="shared" si="440"/>
        <v>0</v>
      </c>
      <c r="Q988" s="39"/>
      <c r="R988" s="41">
        <f t="shared" si="441"/>
        <v>0</v>
      </c>
      <c r="S988" s="47"/>
      <c r="T988" s="41">
        <f t="shared" si="442"/>
        <v>0</v>
      </c>
      <c r="U988" s="39"/>
      <c r="V988" s="41">
        <f t="shared" si="443"/>
        <v>0</v>
      </c>
      <c r="W988" s="47"/>
      <c r="X988" s="41">
        <f t="shared" si="444"/>
        <v>0</v>
      </c>
      <c r="Y988" s="39"/>
      <c r="Z988" s="41">
        <f t="shared" si="445"/>
        <v>0</v>
      </c>
      <c r="AA988" s="47"/>
      <c r="AB988" s="41">
        <f t="shared" si="446"/>
        <v>0</v>
      </c>
      <c r="AC988" s="39"/>
      <c r="AD988" s="41">
        <f t="shared" si="454"/>
        <v>0</v>
      </c>
      <c r="AE988" s="48"/>
      <c r="AF988" s="41">
        <f t="shared" si="447"/>
        <v>0</v>
      </c>
      <c r="AG988" s="39"/>
      <c r="AH988" s="41">
        <f t="shared" si="455"/>
        <v>0</v>
      </c>
      <c r="AI988" s="47"/>
      <c r="AJ988" s="41">
        <f t="shared" si="448"/>
        <v>0</v>
      </c>
      <c r="AK988" s="39"/>
      <c r="AL988" s="41">
        <f t="shared" si="456"/>
        <v>0</v>
      </c>
      <c r="AM988" s="47"/>
      <c r="AN988" s="41">
        <f t="shared" si="449"/>
        <v>0</v>
      </c>
      <c r="AO988" s="39"/>
      <c r="AP988" s="41">
        <f t="shared" si="457"/>
        <v>0</v>
      </c>
      <c r="AQ988" s="47"/>
      <c r="AR988" s="41">
        <f t="shared" si="450"/>
        <v>0</v>
      </c>
      <c r="AS988" s="39"/>
      <c r="AT988" s="41">
        <f t="shared" si="458"/>
        <v>0</v>
      </c>
      <c r="AU988" s="47"/>
      <c r="AV988" s="41">
        <f t="shared" si="451"/>
        <v>0</v>
      </c>
      <c r="AW988" s="39"/>
      <c r="AX988" s="41">
        <f t="shared" si="459"/>
        <v>0</v>
      </c>
      <c r="AY988" s="47"/>
      <c r="AZ988" s="41">
        <f t="shared" si="452"/>
        <v>0</v>
      </c>
      <c r="BA988" s="39"/>
      <c r="BB988" s="41">
        <f t="shared" si="460"/>
        <v>0</v>
      </c>
      <c r="BC988" s="47"/>
      <c r="BD988" s="41">
        <f t="shared" si="453"/>
        <v>0</v>
      </c>
      <c r="BE988" s="39"/>
      <c r="BF988" s="48"/>
    </row>
    <row r="989" spans="1:58" ht="15.75" customHeight="1" x14ac:dyDescent="0.25">
      <c r="A989" s="44">
        <v>2017</v>
      </c>
      <c r="B989" s="39">
        <v>170230</v>
      </c>
      <c r="C989" s="38" t="s">
        <v>150</v>
      </c>
      <c r="D989" s="38" t="s">
        <v>19</v>
      </c>
      <c r="E989" s="39"/>
      <c r="F989" s="42">
        <f t="shared" si="435"/>
        <v>0</v>
      </c>
      <c r="G989" s="47"/>
      <c r="H989" s="42">
        <f t="shared" si="436"/>
        <v>0</v>
      </c>
      <c r="I989" s="39"/>
      <c r="J989" s="41">
        <f t="shared" si="437"/>
        <v>0</v>
      </c>
      <c r="K989" s="47"/>
      <c r="L989" s="41">
        <f t="shared" si="438"/>
        <v>0</v>
      </c>
      <c r="M989" s="39"/>
      <c r="N989" s="41">
        <f t="shared" si="439"/>
        <v>0</v>
      </c>
      <c r="O989" s="47"/>
      <c r="P989" s="41">
        <f t="shared" si="440"/>
        <v>0</v>
      </c>
      <c r="Q989" s="39"/>
      <c r="R989" s="41">
        <f t="shared" si="441"/>
        <v>0</v>
      </c>
      <c r="S989" s="47"/>
      <c r="T989" s="41">
        <f t="shared" si="442"/>
        <v>0</v>
      </c>
      <c r="U989" s="39"/>
      <c r="V989" s="41">
        <f t="shared" si="443"/>
        <v>0</v>
      </c>
      <c r="W989" s="47"/>
      <c r="X989" s="41">
        <f t="shared" si="444"/>
        <v>0</v>
      </c>
      <c r="Y989" s="39"/>
      <c r="Z989" s="41">
        <f t="shared" si="445"/>
        <v>0</v>
      </c>
      <c r="AA989" s="47"/>
      <c r="AB989" s="41">
        <f t="shared" si="446"/>
        <v>0</v>
      </c>
      <c r="AC989" s="39"/>
      <c r="AD989" s="41">
        <f t="shared" si="454"/>
        <v>0</v>
      </c>
      <c r="AE989" s="47"/>
      <c r="AF989" s="41">
        <f t="shared" si="447"/>
        <v>0</v>
      </c>
      <c r="AG989" s="39"/>
      <c r="AH989" s="41">
        <f t="shared" si="455"/>
        <v>0</v>
      </c>
      <c r="AI989" s="47"/>
      <c r="AJ989" s="41">
        <f t="shared" si="448"/>
        <v>0</v>
      </c>
      <c r="AK989" s="39"/>
      <c r="AL989" s="41">
        <f t="shared" si="456"/>
        <v>0</v>
      </c>
      <c r="AM989" s="47"/>
      <c r="AN989" s="41">
        <f t="shared" si="449"/>
        <v>0</v>
      </c>
      <c r="AO989" s="39"/>
      <c r="AP989" s="41">
        <f t="shared" si="457"/>
        <v>0</v>
      </c>
      <c r="AQ989" s="47"/>
      <c r="AR989" s="41">
        <f t="shared" si="450"/>
        <v>0</v>
      </c>
      <c r="AS989" s="39"/>
      <c r="AT989" s="41">
        <f t="shared" si="458"/>
        <v>0</v>
      </c>
      <c r="AU989" s="47"/>
      <c r="AV989" s="41">
        <f t="shared" si="451"/>
        <v>0</v>
      </c>
      <c r="AW989" s="39"/>
      <c r="AX989" s="41">
        <f t="shared" si="459"/>
        <v>0</v>
      </c>
      <c r="AY989" s="47"/>
      <c r="AZ989" s="41">
        <f t="shared" si="452"/>
        <v>0</v>
      </c>
      <c r="BA989" s="39"/>
      <c r="BB989" s="41">
        <f t="shared" si="460"/>
        <v>0</v>
      </c>
      <c r="BC989" s="47"/>
      <c r="BD989" s="41">
        <f t="shared" si="453"/>
        <v>0</v>
      </c>
      <c r="BE989" s="39"/>
      <c r="BF989" s="47"/>
    </row>
    <row r="990" spans="1:58" ht="15.75" customHeight="1" x14ac:dyDescent="0.25">
      <c r="A990" s="44">
        <v>2017</v>
      </c>
      <c r="B990" s="39">
        <v>170240</v>
      </c>
      <c r="C990" s="38" t="s">
        <v>147</v>
      </c>
      <c r="D990" s="38" t="s">
        <v>20</v>
      </c>
      <c r="E990" s="39"/>
      <c r="F990" s="42">
        <f t="shared" si="435"/>
        <v>0</v>
      </c>
      <c r="G990" s="47"/>
      <c r="H990" s="42">
        <f t="shared" si="436"/>
        <v>0</v>
      </c>
      <c r="I990" s="39"/>
      <c r="J990" s="41">
        <f t="shared" si="437"/>
        <v>0</v>
      </c>
      <c r="K990" s="47"/>
      <c r="L990" s="41">
        <f t="shared" si="438"/>
        <v>0</v>
      </c>
      <c r="M990" s="39"/>
      <c r="N990" s="41">
        <f t="shared" si="439"/>
        <v>0</v>
      </c>
      <c r="O990" s="47"/>
      <c r="P990" s="41">
        <f t="shared" si="440"/>
        <v>0</v>
      </c>
      <c r="Q990" s="39"/>
      <c r="R990" s="41">
        <f t="shared" si="441"/>
        <v>0</v>
      </c>
      <c r="S990" s="47"/>
      <c r="T990" s="41">
        <f t="shared" si="442"/>
        <v>0</v>
      </c>
      <c r="U990" s="39"/>
      <c r="V990" s="41">
        <f t="shared" si="443"/>
        <v>0</v>
      </c>
      <c r="W990" s="47"/>
      <c r="X990" s="41">
        <f t="shared" si="444"/>
        <v>0</v>
      </c>
      <c r="Y990" s="39"/>
      <c r="Z990" s="41">
        <f t="shared" si="445"/>
        <v>0</v>
      </c>
      <c r="AA990" s="47"/>
      <c r="AB990" s="41">
        <f t="shared" si="446"/>
        <v>0</v>
      </c>
      <c r="AC990" s="39"/>
      <c r="AD990" s="41">
        <f t="shared" si="454"/>
        <v>0</v>
      </c>
      <c r="AE990" s="47"/>
      <c r="AF990" s="41">
        <f t="shared" si="447"/>
        <v>0</v>
      </c>
      <c r="AG990" s="39"/>
      <c r="AH990" s="41">
        <f t="shared" si="455"/>
        <v>0</v>
      </c>
      <c r="AI990" s="47"/>
      <c r="AJ990" s="41">
        <f t="shared" si="448"/>
        <v>0</v>
      </c>
      <c r="AK990" s="39"/>
      <c r="AL990" s="41">
        <f t="shared" si="456"/>
        <v>0</v>
      </c>
      <c r="AM990" s="47"/>
      <c r="AN990" s="41">
        <f t="shared" si="449"/>
        <v>0</v>
      </c>
      <c r="AO990" s="39"/>
      <c r="AP990" s="41">
        <f t="shared" si="457"/>
        <v>0</v>
      </c>
      <c r="AQ990" s="47"/>
      <c r="AR990" s="41">
        <f t="shared" si="450"/>
        <v>0</v>
      </c>
      <c r="AS990" s="39"/>
      <c r="AT990" s="41">
        <f t="shared" si="458"/>
        <v>0</v>
      </c>
      <c r="AU990" s="47"/>
      <c r="AV990" s="41">
        <f t="shared" si="451"/>
        <v>0</v>
      </c>
      <c r="AW990" s="39"/>
      <c r="AX990" s="41">
        <f t="shared" si="459"/>
        <v>0</v>
      </c>
      <c r="AY990" s="47"/>
      <c r="AZ990" s="41">
        <f t="shared" si="452"/>
        <v>0</v>
      </c>
      <c r="BA990" s="39"/>
      <c r="BB990" s="41">
        <f t="shared" si="460"/>
        <v>0</v>
      </c>
      <c r="BC990" s="47"/>
      <c r="BD990" s="41">
        <f t="shared" si="453"/>
        <v>0</v>
      </c>
      <c r="BE990" s="39"/>
      <c r="BF990" s="47"/>
    </row>
    <row r="991" spans="1:58" ht="15.75" customHeight="1" x14ac:dyDescent="0.25">
      <c r="A991" s="44">
        <v>2017</v>
      </c>
      <c r="B991" s="39">
        <v>170255</v>
      </c>
      <c r="C991" s="38" t="s">
        <v>145</v>
      </c>
      <c r="D991" s="38" t="s">
        <v>21</v>
      </c>
      <c r="E991" s="39"/>
      <c r="F991" s="42">
        <f t="shared" si="435"/>
        <v>0</v>
      </c>
      <c r="G991" s="47"/>
      <c r="H991" s="42">
        <f t="shared" si="436"/>
        <v>0</v>
      </c>
      <c r="I991" s="39"/>
      <c r="J991" s="41">
        <f t="shared" si="437"/>
        <v>0</v>
      </c>
      <c r="K991" s="47"/>
      <c r="L991" s="41">
        <f t="shared" si="438"/>
        <v>0</v>
      </c>
      <c r="M991" s="39"/>
      <c r="N991" s="41">
        <f t="shared" si="439"/>
        <v>0</v>
      </c>
      <c r="O991" s="47"/>
      <c r="P991" s="41">
        <f t="shared" si="440"/>
        <v>0</v>
      </c>
      <c r="Q991" s="39"/>
      <c r="R991" s="41">
        <f t="shared" si="441"/>
        <v>0</v>
      </c>
      <c r="S991" s="47"/>
      <c r="T991" s="41">
        <f t="shared" si="442"/>
        <v>0</v>
      </c>
      <c r="U991" s="39"/>
      <c r="V991" s="41">
        <f t="shared" si="443"/>
        <v>0</v>
      </c>
      <c r="W991" s="47"/>
      <c r="X991" s="41">
        <f t="shared" si="444"/>
        <v>0</v>
      </c>
      <c r="Y991" s="39"/>
      <c r="Z991" s="41">
        <f t="shared" si="445"/>
        <v>0</v>
      </c>
      <c r="AA991" s="47"/>
      <c r="AB991" s="41">
        <f t="shared" si="446"/>
        <v>0</v>
      </c>
      <c r="AC991" s="39"/>
      <c r="AD991" s="41">
        <f t="shared" si="454"/>
        <v>0</v>
      </c>
      <c r="AE991" s="47"/>
      <c r="AF991" s="41">
        <f t="shared" si="447"/>
        <v>0</v>
      </c>
      <c r="AG991" s="39"/>
      <c r="AH991" s="41">
        <f t="shared" si="455"/>
        <v>0</v>
      </c>
      <c r="AI991" s="47"/>
      <c r="AJ991" s="41">
        <f t="shared" si="448"/>
        <v>0</v>
      </c>
      <c r="AK991" s="39"/>
      <c r="AL991" s="41">
        <f t="shared" si="456"/>
        <v>0</v>
      </c>
      <c r="AM991" s="47"/>
      <c r="AN991" s="41">
        <f t="shared" si="449"/>
        <v>0</v>
      </c>
      <c r="AO991" s="39"/>
      <c r="AP991" s="41">
        <f t="shared" si="457"/>
        <v>0</v>
      </c>
      <c r="AQ991" s="47"/>
      <c r="AR991" s="41">
        <f t="shared" si="450"/>
        <v>0</v>
      </c>
      <c r="AS991" s="39"/>
      <c r="AT991" s="41">
        <f t="shared" si="458"/>
        <v>0</v>
      </c>
      <c r="AU991" s="47"/>
      <c r="AV991" s="41">
        <f t="shared" si="451"/>
        <v>0</v>
      </c>
      <c r="AW991" s="39"/>
      <c r="AX991" s="41">
        <f t="shared" si="459"/>
        <v>0</v>
      </c>
      <c r="AY991" s="47"/>
      <c r="AZ991" s="41">
        <f t="shared" si="452"/>
        <v>0</v>
      </c>
      <c r="BA991" s="39"/>
      <c r="BB991" s="41">
        <f t="shared" si="460"/>
        <v>0</v>
      </c>
      <c r="BC991" s="47"/>
      <c r="BD991" s="41">
        <f t="shared" si="453"/>
        <v>0</v>
      </c>
      <c r="BE991" s="39"/>
      <c r="BF991" s="47"/>
    </row>
    <row r="992" spans="1:58" ht="15.75" customHeight="1" x14ac:dyDescent="0.25">
      <c r="A992" s="44">
        <v>2017</v>
      </c>
      <c r="B992" s="39">
        <v>170270</v>
      </c>
      <c r="C992" s="38" t="s">
        <v>147</v>
      </c>
      <c r="D992" s="38" t="s">
        <v>22</v>
      </c>
      <c r="E992" s="39"/>
      <c r="F992" s="42">
        <f t="shared" si="435"/>
        <v>0</v>
      </c>
      <c r="G992" s="47"/>
      <c r="H992" s="42">
        <f t="shared" si="436"/>
        <v>0</v>
      </c>
      <c r="I992" s="39"/>
      <c r="J992" s="41">
        <f t="shared" si="437"/>
        <v>0</v>
      </c>
      <c r="K992" s="47"/>
      <c r="L992" s="41">
        <f t="shared" si="438"/>
        <v>0</v>
      </c>
      <c r="M992" s="39"/>
      <c r="N992" s="41">
        <f t="shared" si="439"/>
        <v>0</v>
      </c>
      <c r="O992" s="47"/>
      <c r="P992" s="41">
        <f t="shared" si="440"/>
        <v>0</v>
      </c>
      <c r="Q992" s="39"/>
      <c r="R992" s="41">
        <f t="shared" si="441"/>
        <v>0</v>
      </c>
      <c r="S992" s="47"/>
      <c r="T992" s="41">
        <f t="shared" si="442"/>
        <v>0</v>
      </c>
      <c r="U992" s="39"/>
      <c r="V992" s="41">
        <f t="shared" si="443"/>
        <v>0</v>
      </c>
      <c r="W992" s="47"/>
      <c r="X992" s="41">
        <f t="shared" si="444"/>
        <v>0</v>
      </c>
      <c r="Y992" s="39"/>
      <c r="Z992" s="41">
        <f t="shared" si="445"/>
        <v>0</v>
      </c>
      <c r="AA992" s="47"/>
      <c r="AB992" s="41">
        <f t="shared" si="446"/>
        <v>0</v>
      </c>
      <c r="AC992" s="39"/>
      <c r="AD992" s="41">
        <f t="shared" si="454"/>
        <v>0</v>
      </c>
      <c r="AE992" s="47"/>
      <c r="AF992" s="41">
        <f t="shared" si="447"/>
        <v>0</v>
      </c>
      <c r="AG992" s="39"/>
      <c r="AH992" s="41">
        <f t="shared" si="455"/>
        <v>0</v>
      </c>
      <c r="AI992" s="47"/>
      <c r="AJ992" s="41">
        <f t="shared" si="448"/>
        <v>0</v>
      </c>
      <c r="AK992" s="39"/>
      <c r="AL992" s="41">
        <f t="shared" si="456"/>
        <v>0</v>
      </c>
      <c r="AM992" s="47"/>
      <c r="AN992" s="41">
        <f t="shared" si="449"/>
        <v>0</v>
      </c>
      <c r="AO992" s="39"/>
      <c r="AP992" s="41">
        <f t="shared" si="457"/>
        <v>0</v>
      </c>
      <c r="AQ992" s="47"/>
      <c r="AR992" s="41">
        <f t="shared" si="450"/>
        <v>0</v>
      </c>
      <c r="AS992" s="39"/>
      <c r="AT992" s="41">
        <f t="shared" si="458"/>
        <v>0</v>
      </c>
      <c r="AU992" s="47"/>
      <c r="AV992" s="41">
        <f t="shared" si="451"/>
        <v>0</v>
      </c>
      <c r="AW992" s="39"/>
      <c r="AX992" s="41">
        <f t="shared" si="459"/>
        <v>0</v>
      </c>
      <c r="AY992" s="47"/>
      <c r="AZ992" s="41">
        <f t="shared" si="452"/>
        <v>0</v>
      </c>
      <c r="BA992" s="39"/>
      <c r="BB992" s="41">
        <f t="shared" si="460"/>
        <v>0</v>
      </c>
      <c r="BC992" s="47"/>
      <c r="BD992" s="41">
        <f t="shared" si="453"/>
        <v>0</v>
      </c>
      <c r="BE992" s="39"/>
      <c r="BF992" s="47"/>
    </row>
    <row r="993" spans="1:58" ht="15.75" customHeight="1" x14ac:dyDescent="0.25">
      <c r="A993" s="44">
        <v>2017</v>
      </c>
      <c r="B993" s="39">
        <v>170290</v>
      </c>
      <c r="C993" s="38" t="s">
        <v>145</v>
      </c>
      <c r="D993" s="38" t="s">
        <v>23</v>
      </c>
      <c r="E993" s="39"/>
      <c r="F993" s="42">
        <f t="shared" si="435"/>
        <v>0</v>
      </c>
      <c r="G993" s="47"/>
      <c r="H993" s="42">
        <f t="shared" si="436"/>
        <v>0</v>
      </c>
      <c r="I993" s="39"/>
      <c r="J993" s="41">
        <f t="shared" si="437"/>
        <v>0</v>
      </c>
      <c r="K993" s="47"/>
      <c r="L993" s="41">
        <f t="shared" si="438"/>
        <v>0</v>
      </c>
      <c r="M993" s="39"/>
      <c r="N993" s="41">
        <f t="shared" si="439"/>
        <v>0</v>
      </c>
      <c r="O993" s="47"/>
      <c r="P993" s="41">
        <f t="shared" si="440"/>
        <v>0</v>
      </c>
      <c r="Q993" s="39"/>
      <c r="R993" s="41">
        <f t="shared" si="441"/>
        <v>0</v>
      </c>
      <c r="S993" s="47"/>
      <c r="T993" s="41">
        <f t="shared" si="442"/>
        <v>0</v>
      </c>
      <c r="U993" s="39"/>
      <c r="V993" s="41">
        <f t="shared" si="443"/>
        <v>0</v>
      </c>
      <c r="W993" s="47"/>
      <c r="X993" s="41">
        <f t="shared" si="444"/>
        <v>0</v>
      </c>
      <c r="Y993" s="39"/>
      <c r="Z993" s="41">
        <f t="shared" si="445"/>
        <v>0</v>
      </c>
      <c r="AA993" s="47"/>
      <c r="AB993" s="41">
        <f t="shared" si="446"/>
        <v>0</v>
      </c>
      <c r="AC993" s="39"/>
      <c r="AD993" s="41">
        <f t="shared" si="454"/>
        <v>0</v>
      </c>
      <c r="AE993" s="47"/>
      <c r="AF993" s="41">
        <f t="shared" si="447"/>
        <v>0</v>
      </c>
      <c r="AG993" s="39"/>
      <c r="AH993" s="41">
        <f t="shared" si="455"/>
        <v>0</v>
      </c>
      <c r="AI993" s="47"/>
      <c r="AJ993" s="41">
        <f t="shared" si="448"/>
        <v>0</v>
      </c>
      <c r="AK993" s="39"/>
      <c r="AL993" s="41">
        <f t="shared" si="456"/>
        <v>0</v>
      </c>
      <c r="AM993" s="47"/>
      <c r="AN993" s="41">
        <f t="shared" si="449"/>
        <v>0</v>
      </c>
      <c r="AO993" s="39"/>
      <c r="AP993" s="41">
        <f t="shared" si="457"/>
        <v>0</v>
      </c>
      <c r="AQ993" s="47"/>
      <c r="AR993" s="41">
        <f t="shared" si="450"/>
        <v>0</v>
      </c>
      <c r="AS993" s="39"/>
      <c r="AT993" s="41">
        <f t="shared" si="458"/>
        <v>0</v>
      </c>
      <c r="AU993" s="47"/>
      <c r="AV993" s="41">
        <f t="shared" si="451"/>
        <v>0</v>
      </c>
      <c r="AW993" s="39"/>
      <c r="AX993" s="41">
        <f t="shared" si="459"/>
        <v>0</v>
      </c>
      <c r="AY993" s="47"/>
      <c r="AZ993" s="41">
        <f t="shared" si="452"/>
        <v>0</v>
      </c>
      <c r="BA993" s="39"/>
      <c r="BB993" s="41">
        <f t="shared" si="460"/>
        <v>0</v>
      </c>
      <c r="BC993" s="47"/>
      <c r="BD993" s="41">
        <f t="shared" si="453"/>
        <v>0</v>
      </c>
      <c r="BE993" s="39"/>
      <c r="BF993" s="47"/>
    </row>
    <row r="994" spans="1:58" ht="15.75" customHeight="1" x14ac:dyDescent="0.25">
      <c r="A994" s="44">
        <v>2017</v>
      </c>
      <c r="B994" s="39">
        <v>170300</v>
      </c>
      <c r="C994" s="38" t="s">
        <v>149</v>
      </c>
      <c r="D994" s="38" t="s">
        <v>24</v>
      </c>
      <c r="E994" s="39"/>
      <c r="F994" s="42">
        <f t="shared" si="435"/>
        <v>0</v>
      </c>
      <c r="G994" s="47"/>
      <c r="H994" s="42">
        <f t="shared" si="436"/>
        <v>0</v>
      </c>
      <c r="I994" s="39"/>
      <c r="J994" s="41">
        <f t="shared" si="437"/>
        <v>0</v>
      </c>
      <c r="K994" s="47"/>
      <c r="L994" s="41">
        <f t="shared" si="438"/>
        <v>0</v>
      </c>
      <c r="M994" s="39"/>
      <c r="N994" s="41">
        <f t="shared" si="439"/>
        <v>0</v>
      </c>
      <c r="O994" s="47"/>
      <c r="P994" s="41">
        <f t="shared" si="440"/>
        <v>0</v>
      </c>
      <c r="Q994" s="39"/>
      <c r="R994" s="41">
        <f t="shared" si="441"/>
        <v>0</v>
      </c>
      <c r="S994" s="47"/>
      <c r="T994" s="41">
        <f t="shared" si="442"/>
        <v>0</v>
      </c>
      <c r="U994" s="39"/>
      <c r="V994" s="41">
        <f t="shared" si="443"/>
        <v>0</v>
      </c>
      <c r="W994" s="47"/>
      <c r="X994" s="41">
        <f t="shared" si="444"/>
        <v>0</v>
      </c>
      <c r="Y994" s="39"/>
      <c r="Z994" s="41">
        <f t="shared" si="445"/>
        <v>0</v>
      </c>
      <c r="AA994" s="47"/>
      <c r="AB994" s="41">
        <f t="shared" si="446"/>
        <v>0</v>
      </c>
      <c r="AC994" s="39"/>
      <c r="AD994" s="41">
        <f t="shared" si="454"/>
        <v>0</v>
      </c>
      <c r="AE994" s="47"/>
      <c r="AF994" s="41">
        <f t="shared" si="447"/>
        <v>0</v>
      </c>
      <c r="AG994" s="39"/>
      <c r="AH994" s="41">
        <f t="shared" si="455"/>
        <v>0</v>
      </c>
      <c r="AI994" s="47"/>
      <c r="AJ994" s="41">
        <f t="shared" si="448"/>
        <v>0</v>
      </c>
      <c r="AK994" s="39"/>
      <c r="AL994" s="41">
        <f t="shared" si="456"/>
        <v>0</v>
      </c>
      <c r="AM994" s="47"/>
      <c r="AN994" s="41">
        <f t="shared" si="449"/>
        <v>0</v>
      </c>
      <c r="AO994" s="39"/>
      <c r="AP994" s="41">
        <f t="shared" si="457"/>
        <v>0</v>
      </c>
      <c r="AQ994" s="47"/>
      <c r="AR994" s="41">
        <f t="shared" si="450"/>
        <v>0</v>
      </c>
      <c r="AS994" s="39"/>
      <c r="AT994" s="41">
        <f t="shared" si="458"/>
        <v>0</v>
      </c>
      <c r="AU994" s="47"/>
      <c r="AV994" s="41">
        <f t="shared" si="451"/>
        <v>0</v>
      </c>
      <c r="AW994" s="39"/>
      <c r="AX994" s="41">
        <f t="shared" si="459"/>
        <v>0</v>
      </c>
      <c r="AY994" s="47"/>
      <c r="AZ994" s="41">
        <f t="shared" si="452"/>
        <v>0</v>
      </c>
      <c r="BA994" s="39"/>
      <c r="BB994" s="41">
        <f t="shared" si="460"/>
        <v>0</v>
      </c>
      <c r="BC994" s="47"/>
      <c r="BD994" s="41">
        <f t="shared" si="453"/>
        <v>0</v>
      </c>
      <c r="BE994" s="39"/>
      <c r="BF994" s="47"/>
    </row>
    <row r="995" spans="1:58" ht="15.75" customHeight="1" x14ac:dyDescent="0.25">
      <c r="A995" s="44">
        <v>2017</v>
      </c>
      <c r="B995" s="39">
        <v>170305</v>
      </c>
      <c r="C995" s="38" t="s">
        <v>150</v>
      </c>
      <c r="D995" s="38" t="s">
        <v>25</v>
      </c>
      <c r="E995" s="39"/>
      <c r="F995" s="42">
        <f t="shared" si="435"/>
        <v>0</v>
      </c>
      <c r="G995" s="47"/>
      <c r="H995" s="42">
        <f t="shared" si="436"/>
        <v>0</v>
      </c>
      <c r="I995" s="39"/>
      <c r="J995" s="41">
        <f t="shared" si="437"/>
        <v>0</v>
      </c>
      <c r="K995" s="47"/>
      <c r="L995" s="41">
        <f t="shared" si="438"/>
        <v>0</v>
      </c>
      <c r="M995" s="39"/>
      <c r="N995" s="41">
        <f t="shared" si="439"/>
        <v>0</v>
      </c>
      <c r="O995" s="47"/>
      <c r="P995" s="41">
        <f t="shared" si="440"/>
        <v>0</v>
      </c>
      <c r="Q995" s="39"/>
      <c r="R995" s="41">
        <f t="shared" si="441"/>
        <v>0</v>
      </c>
      <c r="S995" s="47"/>
      <c r="T995" s="41">
        <f t="shared" si="442"/>
        <v>0</v>
      </c>
      <c r="U995" s="39"/>
      <c r="V995" s="41">
        <f t="shared" si="443"/>
        <v>0</v>
      </c>
      <c r="W995" s="47"/>
      <c r="X995" s="41">
        <f t="shared" si="444"/>
        <v>0</v>
      </c>
      <c r="Y995" s="39"/>
      <c r="Z995" s="41">
        <f t="shared" si="445"/>
        <v>0</v>
      </c>
      <c r="AA995" s="47"/>
      <c r="AB995" s="41">
        <f t="shared" si="446"/>
        <v>0</v>
      </c>
      <c r="AC995" s="39"/>
      <c r="AD995" s="41">
        <f t="shared" si="454"/>
        <v>0</v>
      </c>
      <c r="AE995" s="47"/>
      <c r="AF995" s="41">
        <f t="shared" si="447"/>
        <v>0</v>
      </c>
      <c r="AG995" s="39"/>
      <c r="AH995" s="41">
        <f t="shared" si="455"/>
        <v>0</v>
      </c>
      <c r="AI995" s="47"/>
      <c r="AJ995" s="41">
        <f t="shared" si="448"/>
        <v>0</v>
      </c>
      <c r="AK995" s="39"/>
      <c r="AL995" s="41">
        <f t="shared" si="456"/>
        <v>0</v>
      </c>
      <c r="AM995" s="47"/>
      <c r="AN995" s="41">
        <f t="shared" si="449"/>
        <v>0</v>
      </c>
      <c r="AO995" s="39"/>
      <c r="AP995" s="41">
        <f t="shared" si="457"/>
        <v>0</v>
      </c>
      <c r="AQ995" s="47"/>
      <c r="AR995" s="41">
        <f t="shared" si="450"/>
        <v>0</v>
      </c>
      <c r="AS995" s="39"/>
      <c r="AT995" s="41">
        <f t="shared" si="458"/>
        <v>0</v>
      </c>
      <c r="AU995" s="47"/>
      <c r="AV995" s="41">
        <f t="shared" si="451"/>
        <v>0</v>
      </c>
      <c r="AW995" s="39"/>
      <c r="AX995" s="41">
        <f t="shared" si="459"/>
        <v>0</v>
      </c>
      <c r="AY995" s="47"/>
      <c r="AZ995" s="41">
        <f t="shared" si="452"/>
        <v>0</v>
      </c>
      <c r="BA995" s="39"/>
      <c r="BB995" s="41">
        <f t="shared" si="460"/>
        <v>0</v>
      </c>
      <c r="BC995" s="47"/>
      <c r="BD995" s="41">
        <f t="shared" si="453"/>
        <v>0</v>
      </c>
      <c r="BE995" s="39"/>
      <c r="BF995" s="47"/>
    </row>
    <row r="996" spans="1:58" ht="15.75" customHeight="1" x14ac:dyDescent="0.25">
      <c r="A996" s="44">
        <v>2017</v>
      </c>
      <c r="B996" s="39">
        <v>170307</v>
      </c>
      <c r="C996" s="38" t="s">
        <v>149</v>
      </c>
      <c r="D996" s="38" t="s">
        <v>26</v>
      </c>
      <c r="E996" s="39"/>
      <c r="F996" s="42">
        <f t="shared" si="435"/>
        <v>0</v>
      </c>
      <c r="G996" s="47"/>
      <c r="H996" s="42">
        <f t="shared" si="436"/>
        <v>0</v>
      </c>
      <c r="I996" s="39"/>
      <c r="J996" s="41">
        <f t="shared" si="437"/>
        <v>0</v>
      </c>
      <c r="K996" s="47"/>
      <c r="L996" s="41">
        <f t="shared" si="438"/>
        <v>0</v>
      </c>
      <c r="M996" s="39"/>
      <c r="N996" s="41">
        <f t="shared" si="439"/>
        <v>0</v>
      </c>
      <c r="O996" s="47"/>
      <c r="P996" s="41">
        <f t="shared" si="440"/>
        <v>0</v>
      </c>
      <c r="Q996" s="39"/>
      <c r="R996" s="41">
        <f t="shared" si="441"/>
        <v>0</v>
      </c>
      <c r="S996" s="47"/>
      <c r="T996" s="41">
        <f t="shared" si="442"/>
        <v>0</v>
      </c>
      <c r="U996" s="39"/>
      <c r="V996" s="41">
        <f t="shared" si="443"/>
        <v>0</v>
      </c>
      <c r="W996" s="47"/>
      <c r="X996" s="41">
        <f t="shared" si="444"/>
        <v>0</v>
      </c>
      <c r="Y996" s="39"/>
      <c r="Z996" s="41">
        <f t="shared" si="445"/>
        <v>0</v>
      </c>
      <c r="AA996" s="47"/>
      <c r="AB996" s="41">
        <f t="shared" si="446"/>
        <v>0</v>
      </c>
      <c r="AC996" s="39"/>
      <c r="AD996" s="41">
        <f t="shared" si="454"/>
        <v>0</v>
      </c>
      <c r="AE996" s="47"/>
      <c r="AF996" s="41">
        <f t="shared" si="447"/>
        <v>0</v>
      </c>
      <c r="AG996" s="39"/>
      <c r="AH996" s="41">
        <f t="shared" si="455"/>
        <v>0</v>
      </c>
      <c r="AI996" s="47"/>
      <c r="AJ996" s="41">
        <f t="shared" si="448"/>
        <v>0</v>
      </c>
      <c r="AK996" s="39"/>
      <c r="AL996" s="41">
        <f t="shared" si="456"/>
        <v>0</v>
      </c>
      <c r="AM996" s="47"/>
      <c r="AN996" s="41">
        <f t="shared" si="449"/>
        <v>0</v>
      </c>
      <c r="AO996" s="39"/>
      <c r="AP996" s="41">
        <f t="shared" si="457"/>
        <v>0</v>
      </c>
      <c r="AQ996" s="47"/>
      <c r="AR996" s="41">
        <f t="shared" si="450"/>
        <v>0</v>
      </c>
      <c r="AS996" s="39"/>
      <c r="AT996" s="41">
        <f t="shared" si="458"/>
        <v>0</v>
      </c>
      <c r="AU996" s="47"/>
      <c r="AV996" s="41">
        <f t="shared" si="451"/>
        <v>0</v>
      </c>
      <c r="AW996" s="39"/>
      <c r="AX996" s="41">
        <f t="shared" si="459"/>
        <v>0</v>
      </c>
      <c r="AY996" s="47"/>
      <c r="AZ996" s="41">
        <f t="shared" si="452"/>
        <v>0</v>
      </c>
      <c r="BA996" s="39"/>
      <c r="BB996" s="41">
        <f t="shared" si="460"/>
        <v>0</v>
      </c>
      <c r="BC996" s="47"/>
      <c r="BD996" s="41">
        <f t="shared" si="453"/>
        <v>0</v>
      </c>
      <c r="BE996" s="39"/>
      <c r="BF996" s="47"/>
    </row>
    <row r="997" spans="1:58" ht="15.75" customHeight="1" x14ac:dyDescent="0.25">
      <c r="A997" s="44">
        <v>2017</v>
      </c>
      <c r="B997" s="39">
        <v>170310</v>
      </c>
      <c r="C997" s="38" t="s">
        <v>144</v>
      </c>
      <c r="D997" s="38" t="s">
        <v>27</v>
      </c>
      <c r="E997" s="39"/>
      <c r="F997" s="42">
        <f t="shared" si="435"/>
        <v>0</v>
      </c>
      <c r="G997" s="47"/>
      <c r="H997" s="42">
        <f t="shared" si="436"/>
        <v>0</v>
      </c>
      <c r="I997" s="39"/>
      <c r="J997" s="41">
        <f t="shared" si="437"/>
        <v>0</v>
      </c>
      <c r="K997" s="47"/>
      <c r="L997" s="41">
        <f t="shared" si="438"/>
        <v>0</v>
      </c>
      <c r="M997" s="39"/>
      <c r="N997" s="41">
        <f t="shared" si="439"/>
        <v>0</v>
      </c>
      <c r="O997" s="47"/>
      <c r="P997" s="41">
        <f t="shared" si="440"/>
        <v>0</v>
      </c>
      <c r="Q997" s="39"/>
      <c r="R997" s="41">
        <f t="shared" si="441"/>
        <v>0</v>
      </c>
      <c r="S997" s="47"/>
      <c r="T997" s="41">
        <f t="shared" si="442"/>
        <v>0</v>
      </c>
      <c r="U997" s="39"/>
      <c r="V997" s="41">
        <f t="shared" si="443"/>
        <v>0</v>
      </c>
      <c r="W997" s="47"/>
      <c r="X997" s="41">
        <f t="shared" si="444"/>
        <v>0</v>
      </c>
      <c r="Y997" s="39"/>
      <c r="Z997" s="41">
        <f t="shared" si="445"/>
        <v>0</v>
      </c>
      <c r="AA997" s="47"/>
      <c r="AB997" s="41">
        <f t="shared" si="446"/>
        <v>0</v>
      </c>
      <c r="AC997" s="39"/>
      <c r="AD997" s="41">
        <f t="shared" si="454"/>
        <v>0</v>
      </c>
      <c r="AE997" s="47"/>
      <c r="AF997" s="41">
        <f t="shared" si="447"/>
        <v>0</v>
      </c>
      <c r="AG997" s="39"/>
      <c r="AH997" s="41">
        <f t="shared" si="455"/>
        <v>0</v>
      </c>
      <c r="AI997" s="47"/>
      <c r="AJ997" s="41">
        <f t="shared" si="448"/>
        <v>0</v>
      </c>
      <c r="AK997" s="39"/>
      <c r="AL997" s="41">
        <f t="shared" si="456"/>
        <v>0</v>
      </c>
      <c r="AM997" s="47"/>
      <c r="AN997" s="41">
        <f t="shared" si="449"/>
        <v>0</v>
      </c>
      <c r="AO997" s="39"/>
      <c r="AP997" s="41">
        <f t="shared" si="457"/>
        <v>0</v>
      </c>
      <c r="AQ997" s="47"/>
      <c r="AR997" s="41">
        <f t="shared" si="450"/>
        <v>0</v>
      </c>
      <c r="AS997" s="39"/>
      <c r="AT997" s="41">
        <f t="shared" si="458"/>
        <v>0</v>
      </c>
      <c r="AU997" s="47"/>
      <c r="AV997" s="41">
        <f t="shared" si="451"/>
        <v>0</v>
      </c>
      <c r="AW997" s="39"/>
      <c r="AX997" s="41">
        <f t="shared" si="459"/>
        <v>0</v>
      </c>
      <c r="AY997" s="47"/>
      <c r="AZ997" s="41">
        <f t="shared" si="452"/>
        <v>0</v>
      </c>
      <c r="BA997" s="39"/>
      <c r="BB997" s="41">
        <f t="shared" si="460"/>
        <v>0</v>
      </c>
      <c r="BC997" s="47"/>
      <c r="BD997" s="41">
        <f t="shared" si="453"/>
        <v>0</v>
      </c>
      <c r="BE997" s="39"/>
      <c r="BF997" s="47"/>
    </row>
    <row r="998" spans="1:58" ht="15.75" customHeight="1" x14ac:dyDescent="0.25">
      <c r="A998" s="44">
        <v>2017</v>
      </c>
      <c r="B998" s="39">
        <v>170320</v>
      </c>
      <c r="C998" s="38" t="s">
        <v>150</v>
      </c>
      <c r="D998" s="38" t="s">
        <v>28</v>
      </c>
      <c r="E998" s="39"/>
      <c r="F998" s="42">
        <f t="shared" si="435"/>
        <v>0</v>
      </c>
      <c r="G998" s="47"/>
      <c r="H998" s="42">
        <f t="shared" si="436"/>
        <v>0</v>
      </c>
      <c r="I998" s="39"/>
      <c r="J998" s="41">
        <f t="shared" si="437"/>
        <v>0</v>
      </c>
      <c r="K998" s="47"/>
      <c r="L998" s="41">
        <f t="shared" si="438"/>
        <v>0</v>
      </c>
      <c r="M998" s="39"/>
      <c r="N998" s="41">
        <f t="shared" si="439"/>
        <v>0</v>
      </c>
      <c r="O998" s="47"/>
      <c r="P998" s="41">
        <f t="shared" si="440"/>
        <v>0</v>
      </c>
      <c r="Q998" s="39"/>
      <c r="R998" s="41">
        <f t="shared" si="441"/>
        <v>0</v>
      </c>
      <c r="S998" s="47"/>
      <c r="T998" s="41">
        <f t="shared" si="442"/>
        <v>0</v>
      </c>
      <c r="U998" s="39"/>
      <c r="V998" s="41">
        <f t="shared" si="443"/>
        <v>0</v>
      </c>
      <c r="W998" s="47"/>
      <c r="X998" s="41">
        <f t="shared" si="444"/>
        <v>0</v>
      </c>
      <c r="Y998" s="39"/>
      <c r="Z998" s="41">
        <f t="shared" si="445"/>
        <v>0</v>
      </c>
      <c r="AA998" s="47"/>
      <c r="AB998" s="41">
        <f t="shared" si="446"/>
        <v>0</v>
      </c>
      <c r="AC998" s="39"/>
      <c r="AD998" s="41">
        <f t="shared" si="454"/>
        <v>0</v>
      </c>
      <c r="AE998" s="47"/>
      <c r="AF998" s="41">
        <f t="shared" si="447"/>
        <v>0</v>
      </c>
      <c r="AG998" s="39"/>
      <c r="AH998" s="41">
        <f t="shared" si="455"/>
        <v>0</v>
      </c>
      <c r="AI998" s="47"/>
      <c r="AJ998" s="41">
        <f t="shared" si="448"/>
        <v>0</v>
      </c>
      <c r="AK998" s="39"/>
      <c r="AL998" s="41">
        <f t="shared" si="456"/>
        <v>0</v>
      </c>
      <c r="AM998" s="47"/>
      <c r="AN998" s="41">
        <f t="shared" si="449"/>
        <v>0</v>
      </c>
      <c r="AO998" s="39"/>
      <c r="AP998" s="41">
        <f t="shared" si="457"/>
        <v>0</v>
      </c>
      <c r="AQ998" s="47"/>
      <c r="AR998" s="41">
        <f t="shared" si="450"/>
        <v>0</v>
      </c>
      <c r="AS998" s="39"/>
      <c r="AT998" s="41">
        <f t="shared" si="458"/>
        <v>0</v>
      </c>
      <c r="AU998" s="47"/>
      <c r="AV998" s="41">
        <f t="shared" si="451"/>
        <v>0</v>
      </c>
      <c r="AW998" s="39"/>
      <c r="AX998" s="41">
        <f t="shared" si="459"/>
        <v>0</v>
      </c>
      <c r="AY998" s="47"/>
      <c r="AZ998" s="41">
        <f t="shared" si="452"/>
        <v>0</v>
      </c>
      <c r="BA998" s="39"/>
      <c r="BB998" s="41">
        <f t="shared" si="460"/>
        <v>0</v>
      </c>
      <c r="BC998" s="47"/>
      <c r="BD998" s="41">
        <f t="shared" si="453"/>
        <v>0</v>
      </c>
      <c r="BE998" s="39"/>
      <c r="BF998" s="47"/>
    </row>
    <row r="999" spans="1:58" ht="15.75" customHeight="1" x14ac:dyDescent="0.25">
      <c r="A999" s="44">
        <v>2017</v>
      </c>
      <c r="B999" s="39">
        <v>170330</v>
      </c>
      <c r="C999" s="38" t="s">
        <v>150</v>
      </c>
      <c r="D999" s="38" t="s">
        <v>29</v>
      </c>
      <c r="E999" s="39"/>
      <c r="F999" s="42">
        <f t="shared" si="435"/>
        <v>0</v>
      </c>
      <c r="G999" s="47"/>
      <c r="H999" s="42">
        <f t="shared" si="436"/>
        <v>0</v>
      </c>
      <c r="I999" s="39"/>
      <c r="J999" s="41">
        <f t="shared" si="437"/>
        <v>0</v>
      </c>
      <c r="K999" s="47"/>
      <c r="L999" s="41">
        <f t="shared" si="438"/>
        <v>0</v>
      </c>
      <c r="M999" s="39"/>
      <c r="N999" s="41">
        <f t="shared" si="439"/>
        <v>0</v>
      </c>
      <c r="O999" s="47"/>
      <c r="P999" s="41">
        <f t="shared" si="440"/>
        <v>0</v>
      </c>
      <c r="Q999" s="39"/>
      <c r="R999" s="41">
        <f t="shared" si="441"/>
        <v>0</v>
      </c>
      <c r="S999" s="47"/>
      <c r="T999" s="41">
        <f t="shared" si="442"/>
        <v>0</v>
      </c>
      <c r="U999" s="39"/>
      <c r="V999" s="41">
        <f t="shared" si="443"/>
        <v>0</v>
      </c>
      <c r="W999" s="47"/>
      <c r="X999" s="41">
        <f t="shared" si="444"/>
        <v>0</v>
      </c>
      <c r="Y999" s="39"/>
      <c r="Z999" s="41">
        <f t="shared" si="445"/>
        <v>0</v>
      </c>
      <c r="AA999" s="47"/>
      <c r="AB999" s="41">
        <f t="shared" si="446"/>
        <v>0</v>
      </c>
      <c r="AC999" s="39"/>
      <c r="AD999" s="41">
        <f t="shared" si="454"/>
        <v>0</v>
      </c>
      <c r="AE999" s="47"/>
      <c r="AF999" s="41">
        <f t="shared" si="447"/>
        <v>0</v>
      </c>
      <c r="AG999" s="39"/>
      <c r="AH999" s="41">
        <f t="shared" si="455"/>
        <v>0</v>
      </c>
      <c r="AI999" s="47"/>
      <c r="AJ999" s="41">
        <f t="shared" si="448"/>
        <v>0</v>
      </c>
      <c r="AK999" s="39"/>
      <c r="AL999" s="41">
        <f t="shared" si="456"/>
        <v>0</v>
      </c>
      <c r="AM999" s="47"/>
      <c r="AN999" s="41">
        <f t="shared" si="449"/>
        <v>0</v>
      </c>
      <c r="AO999" s="39"/>
      <c r="AP999" s="41">
        <f t="shared" si="457"/>
        <v>0</v>
      </c>
      <c r="AQ999" s="47"/>
      <c r="AR999" s="41">
        <f t="shared" si="450"/>
        <v>0</v>
      </c>
      <c r="AS999" s="39"/>
      <c r="AT999" s="41">
        <f t="shared" si="458"/>
        <v>0</v>
      </c>
      <c r="AU999" s="47"/>
      <c r="AV999" s="41">
        <f t="shared" si="451"/>
        <v>0</v>
      </c>
      <c r="AW999" s="39"/>
      <c r="AX999" s="41">
        <f t="shared" si="459"/>
        <v>0</v>
      </c>
      <c r="AY999" s="47"/>
      <c r="AZ999" s="41">
        <f t="shared" si="452"/>
        <v>0</v>
      </c>
      <c r="BA999" s="39"/>
      <c r="BB999" s="41">
        <f t="shared" si="460"/>
        <v>0</v>
      </c>
      <c r="BC999" s="47"/>
      <c r="BD999" s="41">
        <f t="shared" si="453"/>
        <v>0</v>
      </c>
      <c r="BE999" s="39"/>
      <c r="BF999" s="47"/>
    </row>
    <row r="1000" spans="1:58" ht="15.75" customHeight="1" x14ac:dyDescent="0.25">
      <c r="A1000" s="44">
        <v>2017</v>
      </c>
      <c r="B1000" s="39">
        <v>170360</v>
      </c>
      <c r="C1000" s="38" t="s">
        <v>150</v>
      </c>
      <c r="D1000" s="38" t="s">
        <v>30</v>
      </c>
      <c r="E1000" s="39"/>
      <c r="F1000" s="42">
        <f t="shared" si="435"/>
        <v>0</v>
      </c>
      <c r="G1000" s="47"/>
      <c r="H1000" s="42">
        <f t="shared" si="436"/>
        <v>0</v>
      </c>
      <c r="I1000" s="39"/>
      <c r="J1000" s="41">
        <f t="shared" si="437"/>
        <v>0</v>
      </c>
      <c r="K1000" s="47"/>
      <c r="L1000" s="41">
        <f t="shared" si="438"/>
        <v>0</v>
      </c>
      <c r="M1000" s="39"/>
      <c r="N1000" s="41">
        <f t="shared" si="439"/>
        <v>0</v>
      </c>
      <c r="O1000" s="47"/>
      <c r="P1000" s="41">
        <f t="shared" si="440"/>
        <v>0</v>
      </c>
      <c r="Q1000" s="39"/>
      <c r="R1000" s="41">
        <f t="shared" si="441"/>
        <v>0</v>
      </c>
      <c r="S1000" s="47"/>
      <c r="T1000" s="41">
        <f t="shared" si="442"/>
        <v>0</v>
      </c>
      <c r="U1000" s="39"/>
      <c r="V1000" s="41">
        <f t="shared" si="443"/>
        <v>0</v>
      </c>
      <c r="W1000" s="47"/>
      <c r="X1000" s="41">
        <f t="shared" si="444"/>
        <v>0</v>
      </c>
      <c r="Y1000" s="39"/>
      <c r="Z1000" s="41">
        <f t="shared" si="445"/>
        <v>0</v>
      </c>
      <c r="AA1000" s="47"/>
      <c r="AB1000" s="41">
        <f t="shared" si="446"/>
        <v>0</v>
      </c>
      <c r="AC1000" s="39"/>
      <c r="AD1000" s="41">
        <f t="shared" si="454"/>
        <v>0</v>
      </c>
      <c r="AE1000" s="47"/>
      <c r="AF1000" s="41">
        <f t="shared" si="447"/>
        <v>0</v>
      </c>
      <c r="AG1000" s="39"/>
      <c r="AH1000" s="41">
        <f t="shared" si="455"/>
        <v>0</v>
      </c>
      <c r="AI1000" s="47"/>
      <c r="AJ1000" s="41">
        <f t="shared" si="448"/>
        <v>0</v>
      </c>
      <c r="AK1000" s="39"/>
      <c r="AL1000" s="41">
        <f t="shared" si="456"/>
        <v>0</v>
      </c>
      <c r="AM1000" s="47"/>
      <c r="AN1000" s="41">
        <f t="shared" si="449"/>
        <v>0</v>
      </c>
      <c r="AO1000" s="39"/>
      <c r="AP1000" s="41">
        <f t="shared" si="457"/>
        <v>0</v>
      </c>
      <c r="AQ1000" s="47"/>
      <c r="AR1000" s="41">
        <f t="shared" si="450"/>
        <v>0</v>
      </c>
      <c r="AS1000" s="39"/>
      <c r="AT1000" s="41">
        <f t="shared" si="458"/>
        <v>0</v>
      </c>
      <c r="AU1000" s="47"/>
      <c r="AV1000" s="41">
        <f t="shared" si="451"/>
        <v>0</v>
      </c>
      <c r="AW1000" s="39"/>
      <c r="AX1000" s="41">
        <f t="shared" si="459"/>
        <v>0</v>
      </c>
      <c r="AY1000" s="47"/>
      <c r="AZ1000" s="41">
        <f t="shared" si="452"/>
        <v>0</v>
      </c>
      <c r="BA1000" s="39"/>
      <c r="BB1000" s="41">
        <f t="shared" si="460"/>
        <v>0</v>
      </c>
      <c r="BC1000" s="47"/>
      <c r="BD1000" s="41">
        <f t="shared" si="453"/>
        <v>0</v>
      </c>
      <c r="BE1000" s="39"/>
      <c r="BF1000" s="47"/>
    </row>
    <row r="1001" spans="1:58" ht="15.75" customHeight="1" x14ac:dyDescent="0.25">
      <c r="A1001" s="44">
        <v>2017</v>
      </c>
      <c r="B1001" s="39">
        <v>170370</v>
      </c>
      <c r="C1001" s="38" t="s">
        <v>151</v>
      </c>
      <c r="D1001" s="38" t="s">
        <v>31</v>
      </c>
      <c r="E1001" s="39"/>
      <c r="F1001" s="42">
        <f t="shared" si="435"/>
        <v>0</v>
      </c>
      <c r="G1001" s="47"/>
      <c r="H1001" s="42">
        <f t="shared" si="436"/>
        <v>0</v>
      </c>
      <c r="I1001" s="39"/>
      <c r="J1001" s="41">
        <f t="shared" si="437"/>
        <v>0</v>
      </c>
      <c r="K1001" s="47"/>
      <c r="L1001" s="41">
        <f t="shared" si="438"/>
        <v>0</v>
      </c>
      <c r="M1001" s="39"/>
      <c r="N1001" s="41">
        <f t="shared" si="439"/>
        <v>0</v>
      </c>
      <c r="O1001" s="47"/>
      <c r="P1001" s="41">
        <f t="shared" si="440"/>
        <v>0</v>
      </c>
      <c r="Q1001" s="39"/>
      <c r="R1001" s="41">
        <f t="shared" si="441"/>
        <v>0</v>
      </c>
      <c r="S1001" s="47"/>
      <c r="T1001" s="41">
        <f t="shared" si="442"/>
        <v>0</v>
      </c>
      <c r="U1001" s="39"/>
      <c r="V1001" s="41">
        <f t="shared" si="443"/>
        <v>0</v>
      </c>
      <c r="W1001" s="47"/>
      <c r="X1001" s="41">
        <f t="shared" si="444"/>
        <v>0</v>
      </c>
      <c r="Y1001" s="39"/>
      <c r="Z1001" s="41">
        <f t="shared" si="445"/>
        <v>0</v>
      </c>
      <c r="AA1001" s="47"/>
      <c r="AB1001" s="41">
        <f t="shared" si="446"/>
        <v>0</v>
      </c>
      <c r="AC1001" s="39"/>
      <c r="AD1001" s="41">
        <f t="shared" si="454"/>
        <v>0</v>
      </c>
      <c r="AE1001" s="47"/>
      <c r="AF1001" s="41">
        <f t="shared" si="447"/>
        <v>0</v>
      </c>
      <c r="AG1001" s="39"/>
      <c r="AH1001" s="41">
        <f t="shared" si="455"/>
        <v>0</v>
      </c>
      <c r="AI1001" s="47"/>
      <c r="AJ1001" s="41">
        <f t="shared" si="448"/>
        <v>0</v>
      </c>
      <c r="AK1001" s="39"/>
      <c r="AL1001" s="41">
        <f t="shared" si="456"/>
        <v>0</v>
      </c>
      <c r="AM1001" s="47"/>
      <c r="AN1001" s="41">
        <f t="shared" si="449"/>
        <v>0</v>
      </c>
      <c r="AO1001" s="39"/>
      <c r="AP1001" s="41">
        <f t="shared" si="457"/>
        <v>0</v>
      </c>
      <c r="AQ1001" s="47"/>
      <c r="AR1001" s="41">
        <f t="shared" si="450"/>
        <v>0</v>
      </c>
      <c r="AS1001" s="39"/>
      <c r="AT1001" s="41">
        <f t="shared" si="458"/>
        <v>0</v>
      </c>
      <c r="AU1001" s="47"/>
      <c r="AV1001" s="41">
        <f t="shared" si="451"/>
        <v>0</v>
      </c>
      <c r="AW1001" s="39"/>
      <c r="AX1001" s="41">
        <f t="shared" si="459"/>
        <v>0</v>
      </c>
      <c r="AY1001" s="47"/>
      <c r="AZ1001" s="41">
        <f t="shared" si="452"/>
        <v>0</v>
      </c>
      <c r="BA1001" s="39"/>
      <c r="BB1001" s="41">
        <f t="shared" si="460"/>
        <v>0</v>
      </c>
      <c r="BC1001" s="47"/>
      <c r="BD1001" s="41">
        <f t="shared" si="453"/>
        <v>0</v>
      </c>
      <c r="BE1001" s="39"/>
      <c r="BF1001" s="47"/>
    </row>
    <row r="1002" spans="1:58" ht="15.75" customHeight="1" x14ac:dyDescent="0.25">
      <c r="A1002" s="44">
        <v>2017</v>
      </c>
      <c r="B1002" s="39">
        <v>170380</v>
      </c>
      <c r="C1002" s="38" t="s">
        <v>145</v>
      </c>
      <c r="D1002" s="38" t="s">
        <v>32</v>
      </c>
      <c r="E1002" s="39"/>
      <c r="F1002" s="42">
        <f t="shared" si="435"/>
        <v>0</v>
      </c>
      <c r="G1002" s="47"/>
      <c r="H1002" s="42">
        <f t="shared" si="436"/>
        <v>0</v>
      </c>
      <c r="I1002" s="39"/>
      <c r="J1002" s="41">
        <f t="shared" si="437"/>
        <v>0</v>
      </c>
      <c r="K1002" s="47"/>
      <c r="L1002" s="41">
        <f t="shared" si="438"/>
        <v>0</v>
      </c>
      <c r="M1002" s="39"/>
      <c r="N1002" s="41">
        <f t="shared" si="439"/>
        <v>0</v>
      </c>
      <c r="O1002" s="47"/>
      <c r="P1002" s="41">
        <f t="shared" si="440"/>
        <v>0</v>
      </c>
      <c r="Q1002" s="39"/>
      <c r="R1002" s="41">
        <f t="shared" si="441"/>
        <v>0</v>
      </c>
      <c r="S1002" s="47"/>
      <c r="T1002" s="41">
        <f t="shared" si="442"/>
        <v>0</v>
      </c>
      <c r="U1002" s="39"/>
      <c r="V1002" s="41">
        <f t="shared" si="443"/>
        <v>0</v>
      </c>
      <c r="W1002" s="47"/>
      <c r="X1002" s="41">
        <f t="shared" si="444"/>
        <v>0</v>
      </c>
      <c r="Y1002" s="39"/>
      <c r="Z1002" s="41">
        <f t="shared" si="445"/>
        <v>0</v>
      </c>
      <c r="AA1002" s="47"/>
      <c r="AB1002" s="41">
        <f t="shared" si="446"/>
        <v>0</v>
      </c>
      <c r="AC1002" s="39"/>
      <c r="AD1002" s="41">
        <f t="shared" si="454"/>
        <v>0</v>
      </c>
      <c r="AE1002" s="47"/>
      <c r="AF1002" s="41">
        <f t="shared" si="447"/>
        <v>0</v>
      </c>
      <c r="AG1002" s="39"/>
      <c r="AH1002" s="41">
        <f t="shared" si="455"/>
        <v>0</v>
      </c>
      <c r="AI1002" s="47"/>
      <c r="AJ1002" s="41">
        <f t="shared" si="448"/>
        <v>0</v>
      </c>
      <c r="AK1002" s="39"/>
      <c r="AL1002" s="41">
        <f t="shared" si="456"/>
        <v>0</v>
      </c>
      <c r="AM1002" s="47"/>
      <c r="AN1002" s="41">
        <f t="shared" si="449"/>
        <v>0</v>
      </c>
      <c r="AO1002" s="39"/>
      <c r="AP1002" s="41">
        <f t="shared" si="457"/>
        <v>0</v>
      </c>
      <c r="AQ1002" s="47"/>
      <c r="AR1002" s="41">
        <f t="shared" si="450"/>
        <v>0</v>
      </c>
      <c r="AS1002" s="39"/>
      <c r="AT1002" s="41">
        <f t="shared" si="458"/>
        <v>0</v>
      </c>
      <c r="AU1002" s="47"/>
      <c r="AV1002" s="41">
        <f t="shared" si="451"/>
        <v>0</v>
      </c>
      <c r="AW1002" s="39"/>
      <c r="AX1002" s="41">
        <f t="shared" si="459"/>
        <v>0</v>
      </c>
      <c r="AY1002" s="47"/>
      <c r="AZ1002" s="41">
        <f t="shared" si="452"/>
        <v>0</v>
      </c>
      <c r="BA1002" s="39"/>
      <c r="BB1002" s="41">
        <f t="shared" si="460"/>
        <v>0</v>
      </c>
      <c r="BC1002" s="47"/>
      <c r="BD1002" s="41">
        <f t="shared" si="453"/>
        <v>0</v>
      </c>
      <c r="BE1002" s="39"/>
      <c r="BF1002" s="47"/>
    </row>
    <row r="1003" spans="1:58" ht="15.75" customHeight="1" x14ac:dyDescent="0.25">
      <c r="A1003" s="44">
        <v>2017</v>
      </c>
      <c r="B1003" s="39">
        <v>170382</v>
      </c>
      <c r="C1003" s="38" t="s">
        <v>145</v>
      </c>
      <c r="D1003" s="38" t="s">
        <v>33</v>
      </c>
      <c r="E1003" s="39"/>
      <c r="F1003" s="42">
        <f t="shared" si="435"/>
        <v>0</v>
      </c>
      <c r="G1003" s="47"/>
      <c r="H1003" s="42">
        <f t="shared" si="436"/>
        <v>0</v>
      </c>
      <c r="I1003" s="39"/>
      <c r="J1003" s="41">
        <f t="shared" si="437"/>
        <v>0</v>
      </c>
      <c r="K1003" s="47"/>
      <c r="L1003" s="41">
        <f t="shared" si="438"/>
        <v>0</v>
      </c>
      <c r="M1003" s="39"/>
      <c r="N1003" s="41">
        <f t="shared" si="439"/>
        <v>0</v>
      </c>
      <c r="O1003" s="47"/>
      <c r="P1003" s="41">
        <f t="shared" si="440"/>
        <v>0</v>
      </c>
      <c r="Q1003" s="39"/>
      <c r="R1003" s="41">
        <f t="shared" si="441"/>
        <v>0</v>
      </c>
      <c r="S1003" s="47"/>
      <c r="T1003" s="41">
        <f t="shared" si="442"/>
        <v>0</v>
      </c>
      <c r="U1003" s="39"/>
      <c r="V1003" s="41">
        <f t="shared" si="443"/>
        <v>0</v>
      </c>
      <c r="W1003" s="47"/>
      <c r="X1003" s="41">
        <f t="shared" si="444"/>
        <v>0</v>
      </c>
      <c r="Y1003" s="39"/>
      <c r="Z1003" s="41">
        <f t="shared" si="445"/>
        <v>0</v>
      </c>
      <c r="AA1003" s="47"/>
      <c r="AB1003" s="41">
        <f t="shared" si="446"/>
        <v>0</v>
      </c>
      <c r="AC1003" s="39"/>
      <c r="AD1003" s="41">
        <f t="shared" si="454"/>
        <v>0</v>
      </c>
      <c r="AE1003" s="47"/>
      <c r="AF1003" s="41">
        <f t="shared" si="447"/>
        <v>0</v>
      </c>
      <c r="AG1003" s="39"/>
      <c r="AH1003" s="41">
        <f t="shared" si="455"/>
        <v>0</v>
      </c>
      <c r="AI1003" s="47"/>
      <c r="AJ1003" s="41">
        <f t="shared" si="448"/>
        <v>0</v>
      </c>
      <c r="AK1003" s="39"/>
      <c r="AL1003" s="41">
        <f t="shared" si="456"/>
        <v>0</v>
      </c>
      <c r="AM1003" s="47"/>
      <c r="AN1003" s="41">
        <f t="shared" si="449"/>
        <v>0</v>
      </c>
      <c r="AO1003" s="39"/>
      <c r="AP1003" s="41">
        <f t="shared" si="457"/>
        <v>0</v>
      </c>
      <c r="AQ1003" s="47"/>
      <c r="AR1003" s="41">
        <f t="shared" si="450"/>
        <v>0</v>
      </c>
      <c r="AS1003" s="39"/>
      <c r="AT1003" s="41">
        <f t="shared" si="458"/>
        <v>0</v>
      </c>
      <c r="AU1003" s="47"/>
      <c r="AV1003" s="41">
        <f t="shared" si="451"/>
        <v>0</v>
      </c>
      <c r="AW1003" s="39"/>
      <c r="AX1003" s="41">
        <f t="shared" si="459"/>
        <v>0</v>
      </c>
      <c r="AY1003" s="47"/>
      <c r="AZ1003" s="41">
        <f t="shared" si="452"/>
        <v>0</v>
      </c>
      <c r="BA1003" s="39"/>
      <c r="BB1003" s="41">
        <f t="shared" si="460"/>
        <v>0</v>
      </c>
      <c r="BC1003" s="47"/>
      <c r="BD1003" s="41">
        <f t="shared" si="453"/>
        <v>0</v>
      </c>
      <c r="BE1003" s="39"/>
      <c r="BF1003" s="47"/>
    </row>
    <row r="1004" spans="1:58" ht="15.75" customHeight="1" x14ac:dyDescent="0.25">
      <c r="A1004" s="44">
        <v>2017</v>
      </c>
      <c r="B1004" s="39">
        <v>170384</v>
      </c>
      <c r="C1004" s="38" t="s">
        <v>149</v>
      </c>
      <c r="D1004" s="38" t="s">
        <v>34</v>
      </c>
      <c r="E1004" s="39"/>
      <c r="F1004" s="42">
        <f t="shared" si="435"/>
        <v>0</v>
      </c>
      <c r="G1004" s="47"/>
      <c r="H1004" s="42">
        <f t="shared" si="436"/>
        <v>0</v>
      </c>
      <c r="I1004" s="39"/>
      <c r="J1004" s="41">
        <f t="shared" si="437"/>
        <v>0</v>
      </c>
      <c r="K1004" s="47"/>
      <c r="L1004" s="41">
        <f t="shared" si="438"/>
        <v>0</v>
      </c>
      <c r="M1004" s="39"/>
      <c r="N1004" s="41">
        <f t="shared" si="439"/>
        <v>0</v>
      </c>
      <c r="O1004" s="47"/>
      <c r="P1004" s="41">
        <f t="shared" si="440"/>
        <v>0</v>
      </c>
      <c r="Q1004" s="39"/>
      <c r="R1004" s="41">
        <f t="shared" si="441"/>
        <v>0</v>
      </c>
      <c r="S1004" s="47"/>
      <c r="T1004" s="41">
        <f t="shared" si="442"/>
        <v>0</v>
      </c>
      <c r="U1004" s="39"/>
      <c r="V1004" s="41">
        <f t="shared" si="443"/>
        <v>0</v>
      </c>
      <c r="W1004" s="47"/>
      <c r="X1004" s="41">
        <f t="shared" si="444"/>
        <v>0</v>
      </c>
      <c r="Y1004" s="39"/>
      <c r="Z1004" s="41">
        <f t="shared" si="445"/>
        <v>0</v>
      </c>
      <c r="AA1004" s="47"/>
      <c r="AB1004" s="41">
        <f t="shared" si="446"/>
        <v>0</v>
      </c>
      <c r="AC1004" s="39"/>
      <c r="AD1004" s="41">
        <f t="shared" si="454"/>
        <v>0</v>
      </c>
      <c r="AE1004" s="47"/>
      <c r="AF1004" s="41">
        <f t="shared" si="447"/>
        <v>0</v>
      </c>
      <c r="AG1004" s="39"/>
      <c r="AH1004" s="41">
        <f t="shared" si="455"/>
        <v>0</v>
      </c>
      <c r="AI1004" s="47"/>
      <c r="AJ1004" s="41">
        <f t="shared" si="448"/>
        <v>0</v>
      </c>
      <c r="AK1004" s="39"/>
      <c r="AL1004" s="41">
        <f t="shared" si="456"/>
        <v>0</v>
      </c>
      <c r="AM1004" s="47"/>
      <c r="AN1004" s="41">
        <f t="shared" si="449"/>
        <v>0</v>
      </c>
      <c r="AO1004" s="39"/>
      <c r="AP1004" s="41">
        <f t="shared" si="457"/>
        <v>0</v>
      </c>
      <c r="AQ1004" s="47"/>
      <c r="AR1004" s="41">
        <f t="shared" si="450"/>
        <v>0</v>
      </c>
      <c r="AS1004" s="39"/>
      <c r="AT1004" s="41">
        <f t="shared" si="458"/>
        <v>0</v>
      </c>
      <c r="AU1004" s="47"/>
      <c r="AV1004" s="41">
        <f t="shared" si="451"/>
        <v>0</v>
      </c>
      <c r="AW1004" s="39"/>
      <c r="AX1004" s="41">
        <f t="shared" si="459"/>
        <v>0</v>
      </c>
      <c r="AY1004" s="47"/>
      <c r="AZ1004" s="41">
        <f t="shared" si="452"/>
        <v>0</v>
      </c>
      <c r="BA1004" s="39"/>
      <c r="BB1004" s="41">
        <f t="shared" si="460"/>
        <v>0</v>
      </c>
      <c r="BC1004" s="47"/>
      <c r="BD1004" s="41">
        <f t="shared" si="453"/>
        <v>0</v>
      </c>
      <c r="BE1004" s="39"/>
      <c r="BF1004" s="47"/>
    </row>
    <row r="1005" spans="1:58" ht="15.75" customHeight="1" x14ac:dyDescent="0.25">
      <c r="A1005" s="44">
        <v>2017</v>
      </c>
      <c r="B1005" s="39">
        <v>170386</v>
      </c>
      <c r="C1005" s="38" t="s">
        <v>146</v>
      </c>
      <c r="D1005" s="38" t="s">
        <v>35</v>
      </c>
      <c r="E1005" s="39"/>
      <c r="F1005" s="42">
        <f t="shared" si="435"/>
        <v>0</v>
      </c>
      <c r="G1005" s="47"/>
      <c r="H1005" s="42">
        <f t="shared" si="436"/>
        <v>0</v>
      </c>
      <c r="I1005" s="39"/>
      <c r="J1005" s="41">
        <f t="shared" si="437"/>
        <v>0</v>
      </c>
      <c r="K1005" s="47"/>
      <c r="L1005" s="41">
        <f t="shared" si="438"/>
        <v>0</v>
      </c>
      <c r="M1005" s="39"/>
      <c r="N1005" s="41">
        <f t="shared" si="439"/>
        <v>0</v>
      </c>
      <c r="O1005" s="47"/>
      <c r="P1005" s="41">
        <f t="shared" si="440"/>
        <v>0</v>
      </c>
      <c r="Q1005" s="39"/>
      <c r="R1005" s="41">
        <f t="shared" si="441"/>
        <v>0</v>
      </c>
      <c r="S1005" s="47"/>
      <c r="T1005" s="41">
        <f t="shared" si="442"/>
        <v>0</v>
      </c>
      <c r="U1005" s="39"/>
      <c r="V1005" s="41">
        <f t="shared" si="443"/>
        <v>0</v>
      </c>
      <c r="W1005" s="47"/>
      <c r="X1005" s="41">
        <f t="shared" si="444"/>
        <v>0</v>
      </c>
      <c r="Y1005" s="39"/>
      <c r="Z1005" s="41">
        <f t="shared" si="445"/>
        <v>0</v>
      </c>
      <c r="AA1005" s="47"/>
      <c r="AB1005" s="41">
        <f t="shared" si="446"/>
        <v>0</v>
      </c>
      <c r="AC1005" s="39"/>
      <c r="AD1005" s="41">
        <f t="shared" si="454"/>
        <v>0</v>
      </c>
      <c r="AE1005" s="47"/>
      <c r="AF1005" s="41">
        <f t="shared" si="447"/>
        <v>0</v>
      </c>
      <c r="AG1005" s="39"/>
      <c r="AH1005" s="41">
        <f t="shared" si="455"/>
        <v>0</v>
      </c>
      <c r="AI1005" s="47"/>
      <c r="AJ1005" s="41">
        <f t="shared" si="448"/>
        <v>0</v>
      </c>
      <c r="AK1005" s="39"/>
      <c r="AL1005" s="41">
        <f t="shared" si="456"/>
        <v>0</v>
      </c>
      <c r="AM1005" s="47"/>
      <c r="AN1005" s="41">
        <f t="shared" si="449"/>
        <v>0</v>
      </c>
      <c r="AO1005" s="39"/>
      <c r="AP1005" s="41">
        <f t="shared" si="457"/>
        <v>0</v>
      </c>
      <c r="AQ1005" s="47"/>
      <c r="AR1005" s="41">
        <f t="shared" si="450"/>
        <v>0</v>
      </c>
      <c r="AS1005" s="39"/>
      <c r="AT1005" s="41">
        <f t="shared" si="458"/>
        <v>0</v>
      </c>
      <c r="AU1005" s="47"/>
      <c r="AV1005" s="41">
        <f t="shared" si="451"/>
        <v>0</v>
      </c>
      <c r="AW1005" s="39"/>
      <c r="AX1005" s="41">
        <f t="shared" si="459"/>
        <v>0</v>
      </c>
      <c r="AY1005" s="47"/>
      <c r="AZ1005" s="41">
        <f t="shared" si="452"/>
        <v>0</v>
      </c>
      <c r="BA1005" s="39"/>
      <c r="BB1005" s="41">
        <f t="shared" si="460"/>
        <v>0</v>
      </c>
      <c r="BC1005" s="47"/>
      <c r="BD1005" s="41">
        <f t="shared" si="453"/>
        <v>0</v>
      </c>
      <c r="BE1005" s="39"/>
      <c r="BF1005" s="47"/>
    </row>
    <row r="1006" spans="1:58" ht="15.75" customHeight="1" x14ac:dyDescent="0.25">
      <c r="A1006" s="44">
        <v>2017</v>
      </c>
      <c r="B1006" s="39">
        <v>170388</v>
      </c>
      <c r="C1006" s="38" t="s">
        <v>149</v>
      </c>
      <c r="D1006" s="38" t="s">
        <v>36</v>
      </c>
      <c r="E1006" s="39"/>
      <c r="F1006" s="42">
        <f t="shared" si="435"/>
        <v>0</v>
      </c>
      <c r="G1006" s="47"/>
      <c r="H1006" s="42">
        <f t="shared" si="436"/>
        <v>0</v>
      </c>
      <c r="I1006" s="39"/>
      <c r="J1006" s="41">
        <f t="shared" si="437"/>
        <v>0</v>
      </c>
      <c r="K1006" s="47"/>
      <c r="L1006" s="41">
        <f t="shared" si="438"/>
        <v>0</v>
      </c>
      <c r="M1006" s="39"/>
      <c r="N1006" s="41">
        <f t="shared" si="439"/>
        <v>0</v>
      </c>
      <c r="O1006" s="47"/>
      <c r="P1006" s="41">
        <f t="shared" si="440"/>
        <v>0</v>
      </c>
      <c r="Q1006" s="39"/>
      <c r="R1006" s="41">
        <f t="shared" si="441"/>
        <v>0</v>
      </c>
      <c r="S1006" s="47"/>
      <c r="T1006" s="41">
        <f t="shared" si="442"/>
        <v>0</v>
      </c>
      <c r="U1006" s="39"/>
      <c r="V1006" s="41">
        <f t="shared" si="443"/>
        <v>0</v>
      </c>
      <c r="W1006" s="47"/>
      <c r="X1006" s="41">
        <f t="shared" si="444"/>
        <v>0</v>
      </c>
      <c r="Y1006" s="39"/>
      <c r="Z1006" s="41">
        <f t="shared" si="445"/>
        <v>0</v>
      </c>
      <c r="AA1006" s="47"/>
      <c r="AB1006" s="41">
        <f t="shared" si="446"/>
        <v>0</v>
      </c>
      <c r="AC1006" s="39"/>
      <c r="AD1006" s="41">
        <f t="shared" ref="AD1006:AD1069" si="461">IFERROR(AC1006/$BE1006,0)</f>
        <v>0</v>
      </c>
      <c r="AE1006" s="47"/>
      <c r="AF1006" s="41">
        <f t="shared" si="447"/>
        <v>0</v>
      </c>
      <c r="AG1006" s="39"/>
      <c r="AH1006" s="41">
        <f t="shared" ref="AH1006:AH1069" si="462">IFERROR(AG1006/$BE1006,0)</f>
        <v>0</v>
      </c>
      <c r="AI1006" s="47"/>
      <c r="AJ1006" s="41">
        <f t="shared" si="448"/>
        <v>0</v>
      </c>
      <c r="AK1006" s="39"/>
      <c r="AL1006" s="41">
        <f t="shared" ref="AL1006:AL1069" si="463">IFERROR(AK1006/$BE1006,0)</f>
        <v>0</v>
      </c>
      <c r="AM1006" s="47"/>
      <c r="AN1006" s="41">
        <f t="shared" si="449"/>
        <v>0</v>
      </c>
      <c r="AO1006" s="39"/>
      <c r="AP1006" s="41">
        <f t="shared" ref="AP1006:AP1069" si="464">IFERROR(AO1006/$BE1006,0)</f>
        <v>0</v>
      </c>
      <c r="AQ1006" s="47"/>
      <c r="AR1006" s="41">
        <f t="shared" si="450"/>
        <v>0</v>
      </c>
      <c r="AS1006" s="39"/>
      <c r="AT1006" s="41">
        <f t="shared" ref="AT1006:AT1069" si="465">IFERROR(AS1006/$BE1006,0)</f>
        <v>0</v>
      </c>
      <c r="AU1006" s="47"/>
      <c r="AV1006" s="41">
        <f t="shared" si="451"/>
        <v>0</v>
      </c>
      <c r="AW1006" s="39"/>
      <c r="AX1006" s="41">
        <f t="shared" ref="AX1006:AX1069" si="466">IFERROR(AW1006/$BE1006,0)</f>
        <v>0</v>
      </c>
      <c r="AY1006" s="47"/>
      <c r="AZ1006" s="41">
        <f t="shared" si="452"/>
        <v>0</v>
      </c>
      <c r="BA1006" s="39"/>
      <c r="BB1006" s="41">
        <f t="shared" ref="BB1006:BB1069" si="467">IFERROR(BA1006/$BE1006,0)</f>
        <v>0</v>
      </c>
      <c r="BC1006" s="47"/>
      <c r="BD1006" s="41">
        <f t="shared" si="453"/>
        <v>0</v>
      </c>
      <c r="BE1006" s="39"/>
      <c r="BF1006" s="47"/>
    </row>
    <row r="1007" spans="1:58" ht="15.75" customHeight="1" x14ac:dyDescent="0.25">
      <c r="A1007" s="44">
        <v>2017</v>
      </c>
      <c r="B1007" s="39">
        <v>170389</v>
      </c>
      <c r="C1007" s="38" t="s">
        <v>145</v>
      </c>
      <c r="D1007" s="38" t="s">
        <v>37</v>
      </c>
      <c r="E1007" s="39"/>
      <c r="F1007" s="42">
        <f t="shared" si="435"/>
        <v>0</v>
      </c>
      <c r="G1007" s="47"/>
      <c r="H1007" s="42">
        <f t="shared" si="436"/>
        <v>0</v>
      </c>
      <c r="I1007" s="39"/>
      <c r="J1007" s="41">
        <f t="shared" si="437"/>
        <v>0</v>
      </c>
      <c r="K1007" s="47"/>
      <c r="L1007" s="41">
        <f t="shared" si="438"/>
        <v>0</v>
      </c>
      <c r="M1007" s="39"/>
      <c r="N1007" s="41">
        <f t="shared" si="439"/>
        <v>0</v>
      </c>
      <c r="O1007" s="47"/>
      <c r="P1007" s="41">
        <f t="shared" si="440"/>
        <v>0</v>
      </c>
      <c r="Q1007" s="39"/>
      <c r="R1007" s="41">
        <f t="shared" si="441"/>
        <v>0</v>
      </c>
      <c r="S1007" s="47"/>
      <c r="T1007" s="41">
        <f t="shared" si="442"/>
        <v>0</v>
      </c>
      <c r="U1007" s="39"/>
      <c r="V1007" s="41">
        <f t="shared" si="443"/>
        <v>0</v>
      </c>
      <c r="W1007" s="47"/>
      <c r="X1007" s="41">
        <f t="shared" si="444"/>
        <v>0</v>
      </c>
      <c r="Y1007" s="39"/>
      <c r="Z1007" s="41">
        <f t="shared" si="445"/>
        <v>0</v>
      </c>
      <c r="AA1007" s="47"/>
      <c r="AB1007" s="41">
        <f t="shared" si="446"/>
        <v>0</v>
      </c>
      <c r="AC1007" s="39"/>
      <c r="AD1007" s="41">
        <f t="shared" si="461"/>
        <v>0</v>
      </c>
      <c r="AE1007" s="47"/>
      <c r="AF1007" s="41">
        <f t="shared" si="447"/>
        <v>0</v>
      </c>
      <c r="AG1007" s="39"/>
      <c r="AH1007" s="41">
        <f t="shared" si="462"/>
        <v>0</v>
      </c>
      <c r="AI1007" s="47"/>
      <c r="AJ1007" s="41">
        <f t="shared" si="448"/>
        <v>0</v>
      </c>
      <c r="AK1007" s="39"/>
      <c r="AL1007" s="41">
        <f t="shared" si="463"/>
        <v>0</v>
      </c>
      <c r="AM1007" s="47"/>
      <c r="AN1007" s="41">
        <f t="shared" si="449"/>
        <v>0</v>
      </c>
      <c r="AO1007" s="39"/>
      <c r="AP1007" s="41">
        <f t="shared" si="464"/>
        <v>0</v>
      </c>
      <c r="AQ1007" s="47"/>
      <c r="AR1007" s="41">
        <f t="shared" si="450"/>
        <v>0</v>
      </c>
      <c r="AS1007" s="39"/>
      <c r="AT1007" s="41">
        <f t="shared" si="465"/>
        <v>0</v>
      </c>
      <c r="AU1007" s="47"/>
      <c r="AV1007" s="41">
        <f t="shared" si="451"/>
        <v>0</v>
      </c>
      <c r="AW1007" s="39"/>
      <c r="AX1007" s="41">
        <f t="shared" si="466"/>
        <v>0</v>
      </c>
      <c r="AY1007" s="47"/>
      <c r="AZ1007" s="41">
        <f t="shared" si="452"/>
        <v>0</v>
      </c>
      <c r="BA1007" s="39"/>
      <c r="BB1007" s="41">
        <f t="shared" si="467"/>
        <v>0</v>
      </c>
      <c r="BC1007" s="47"/>
      <c r="BD1007" s="41">
        <f t="shared" si="453"/>
        <v>0</v>
      </c>
      <c r="BE1007" s="39"/>
      <c r="BF1007" s="47"/>
    </row>
    <row r="1008" spans="1:58" ht="15.75" customHeight="1" x14ac:dyDescent="0.25">
      <c r="A1008" s="44">
        <v>2017</v>
      </c>
      <c r="B1008" s="39">
        <v>170390</v>
      </c>
      <c r="C1008" s="38" t="s">
        <v>144</v>
      </c>
      <c r="D1008" s="38" t="s">
        <v>38</v>
      </c>
      <c r="E1008" s="39"/>
      <c r="F1008" s="42">
        <f t="shared" si="435"/>
        <v>0</v>
      </c>
      <c r="G1008" s="47"/>
      <c r="H1008" s="42">
        <f t="shared" si="436"/>
        <v>0</v>
      </c>
      <c r="I1008" s="39"/>
      <c r="J1008" s="41">
        <f t="shared" si="437"/>
        <v>0</v>
      </c>
      <c r="K1008" s="47"/>
      <c r="L1008" s="41">
        <f t="shared" si="438"/>
        <v>0</v>
      </c>
      <c r="M1008" s="39"/>
      <c r="N1008" s="41">
        <f t="shared" si="439"/>
        <v>0</v>
      </c>
      <c r="O1008" s="47"/>
      <c r="P1008" s="41">
        <f t="shared" si="440"/>
        <v>0</v>
      </c>
      <c r="Q1008" s="39"/>
      <c r="R1008" s="41">
        <f t="shared" si="441"/>
        <v>0</v>
      </c>
      <c r="S1008" s="47"/>
      <c r="T1008" s="41">
        <f t="shared" si="442"/>
        <v>0</v>
      </c>
      <c r="U1008" s="39"/>
      <c r="V1008" s="41">
        <f t="shared" si="443"/>
        <v>0</v>
      </c>
      <c r="W1008" s="47"/>
      <c r="X1008" s="41">
        <f t="shared" si="444"/>
        <v>0</v>
      </c>
      <c r="Y1008" s="39"/>
      <c r="Z1008" s="41">
        <f t="shared" si="445"/>
        <v>0</v>
      </c>
      <c r="AA1008" s="47"/>
      <c r="AB1008" s="41">
        <f t="shared" si="446"/>
        <v>0</v>
      </c>
      <c r="AC1008" s="39"/>
      <c r="AD1008" s="41">
        <f t="shared" si="461"/>
        <v>0</v>
      </c>
      <c r="AE1008" s="47"/>
      <c r="AF1008" s="41">
        <f t="shared" si="447"/>
        <v>0</v>
      </c>
      <c r="AG1008" s="39"/>
      <c r="AH1008" s="41">
        <f t="shared" si="462"/>
        <v>0</v>
      </c>
      <c r="AI1008" s="47"/>
      <c r="AJ1008" s="41">
        <f t="shared" si="448"/>
        <v>0</v>
      </c>
      <c r="AK1008" s="39"/>
      <c r="AL1008" s="41">
        <f t="shared" si="463"/>
        <v>0</v>
      </c>
      <c r="AM1008" s="47"/>
      <c r="AN1008" s="41">
        <f t="shared" si="449"/>
        <v>0</v>
      </c>
      <c r="AO1008" s="39"/>
      <c r="AP1008" s="41">
        <f t="shared" si="464"/>
        <v>0</v>
      </c>
      <c r="AQ1008" s="47"/>
      <c r="AR1008" s="41">
        <f t="shared" si="450"/>
        <v>0</v>
      </c>
      <c r="AS1008" s="39"/>
      <c r="AT1008" s="41">
        <f t="shared" si="465"/>
        <v>0</v>
      </c>
      <c r="AU1008" s="47"/>
      <c r="AV1008" s="41">
        <f t="shared" si="451"/>
        <v>0</v>
      </c>
      <c r="AW1008" s="39"/>
      <c r="AX1008" s="41">
        <f t="shared" si="466"/>
        <v>0</v>
      </c>
      <c r="AY1008" s="47"/>
      <c r="AZ1008" s="41">
        <f t="shared" si="452"/>
        <v>0</v>
      </c>
      <c r="BA1008" s="39"/>
      <c r="BB1008" s="41">
        <f t="shared" si="467"/>
        <v>0</v>
      </c>
      <c r="BC1008" s="47"/>
      <c r="BD1008" s="41">
        <f t="shared" si="453"/>
        <v>0</v>
      </c>
      <c r="BE1008" s="39"/>
      <c r="BF1008" s="47"/>
    </row>
    <row r="1009" spans="1:58" ht="15.75" customHeight="1" x14ac:dyDescent="0.25">
      <c r="A1009" s="44">
        <v>2017</v>
      </c>
      <c r="B1009" s="39">
        <v>170410</v>
      </c>
      <c r="C1009" s="38" t="s">
        <v>150</v>
      </c>
      <c r="D1009" s="38" t="s">
        <v>39</v>
      </c>
      <c r="E1009" s="39"/>
      <c r="F1009" s="42">
        <f t="shared" si="435"/>
        <v>0</v>
      </c>
      <c r="G1009" s="47"/>
      <c r="H1009" s="42">
        <f t="shared" si="436"/>
        <v>0</v>
      </c>
      <c r="I1009" s="39"/>
      <c r="J1009" s="41">
        <f t="shared" si="437"/>
        <v>0</v>
      </c>
      <c r="K1009" s="47"/>
      <c r="L1009" s="41">
        <f t="shared" si="438"/>
        <v>0</v>
      </c>
      <c r="M1009" s="39"/>
      <c r="N1009" s="41">
        <f t="shared" si="439"/>
        <v>0</v>
      </c>
      <c r="O1009" s="47"/>
      <c r="P1009" s="41">
        <f t="shared" si="440"/>
        <v>0</v>
      </c>
      <c r="Q1009" s="39"/>
      <c r="R1009" s="41">
        <f t="shared" si="441"/>
        <v>0</v>
      </c>
      <c r="S1009" s="47"/>
      <c r="T1009" s="41">
        <f t="shared" si="442"/>
        <v>0</v>
      </c>
      <c r="U1009" s="39"/>
      <c r="V1009" s="41">
        <f t="shared" si="443"/>
        <v>0</v>
      </c>
      <c r="W1009" s="47"/>
      <c r="X1009" s="41">
        <f t="shared" si="444"/>
        <v>0</v>
      </c>
      <c r="Y1009" s="39"/>
      <c r="Z1009" s="41">
        <f t="shared" si="445"/>
        <v>0</v>
      </c>
      <c r="AA1009" s="47"/>
      <c r="AB1009" s="41">
        <f t="shared" si="446"/>
        <v>0</v>
      </c>
      <c r="AC1009" s="39"/>
      <c r="AD1009" s="41">
        <f t="shared" si="461"/>
        <v>0</v>
      </c>
      <c r="AE1009" s="47"/>
      <c r="AF1009" s="41">
        <f t="shared" si="447"/>
        <v>0</v>
      </c>
      <c r="AG1009" s="39"/>
      <c r="AH1009" s="41">
        <f t="shared" si="462"/>
        <v>0</v>
      </c>
      <c r="AI1009" s="47"/>
      <c r="AJ1009" s="41">
        <f t="shared" si="448"/>
        <v>0</v>
      </c>
      <c r="AK1009" s="39"/>
      <c r="AL1009" s="41">
        <f t="shared" si="463"/>
        <v>0</v>
      </c>
      <c r="AM1009" s="47"/>
      <c r="AN1009" s="41">
        <f t="shared" si="449"/>
        <v>0</v>
      </c>
      <c r="AO1009" s="39"/>
      <c r="AP1009" s="41">
        <f t="shared" si="464"/>
        <v>0</v>
      </c>
      <c r="AQ1009" s="47"/>
      <c r="AR1009" s="41">
        <f t="shared" si="450"/>
        <v>0</v>
      </c>
      <c r="AS1009" s="39"/>
      <c r="AT1009" s="41">
        <f t="shared" si="465"/>
        <v>0</v>
      </c>
      <c r="AU1009" s="47"/>
      <c r="AV1009" s="41">
        <f t="shared" si="451"/>
        <v>0</v>
      </c>
      <c r="AW1009" s="39"/>
      <c r="AX1009" s="41">
        <f t="shared" si="466"/>
        <v>0</v>
      </c>
      <c r="AY1009" s="47"/>
      <c r="AZ1009" s="41">
        <f t="shared" si="452"/>
        <v>0</v>
      </c>
      <c r="BA1009" s="39"/>
      <c r="BB1009" s="41">
        <f t="shared" si="467"/>
        <v>0</v>
      </c>
      <c r="BC1009" s="47"/>
      <c r="BD1009" s="41">
        <f t="shared" si="453"/>
        <v>0</v>
      </c>
      <c r="BE1009" s="39"/>
      <c r="BF1009" s="47"/>
    </row>
    <row r="1010" spans="1:58" ht="15.75" customHeight="1" x14ac:dyDescent="0.25">
      <c r="A1010" s="44">
        <v>2017</v>
      </c>
      <c r="B1010" s="39">
        <v>170510</v>
      </c>
      <c r="C1010" s="38" t="s">
        <v>151</v>
      </c>
      <c r="D1010" s="38" t="s">
        <v>40</v>
      </c>
      <c r="E1010" s="39"/>
      <c r="F1010" s="42">
        <f t="shared" si="435"/>
        <v>0</v>
      </c>
      <c r="G1010" s="47"/>
      <c r="H1010" s="42">
        <f t="shared" si="436"/>
        <v>0</v>
      </c>
      <c r="I1010" s="39"/>
      <c r="J1010" s="41">
        <f t="shared" si="437"/>
        <v>0</v>
      </c>
      <c r="K1010" s="47"/>
      <c r="L1010" s="41">
        <f t="shared" si="438"/>
        <v>0</v>
      </c>
      <c r="M1010" s="39"/>
      <c r="N1010" s="41">
        <f t="shared" si="439"/>
        <v>0</v>
      </c>
      <c r="O1010" s="47"/>
      <c r="P1010" s="41">
        <f t="shared" si="440"/>
        <v>0</v>
      </c>
      <c r="Q1010" s="39"/>
      <c r="R1010" s="41">
        <f t="shared" si="441"/>
        <v>0</v>
      </c>
      <c r="S1010" s="47"/>
      <c r="T1010" s="41">
        <f t="shared" si="442"/>
        <v>0</v>
      </c>
      <c r="U1010" s="39"/>
      <c r="V1010" s="41">
        <f t="shared" si="443"/>
        <v>0</v>
      </c>
      <c r="W1010" s="47"/>
      <c r="X1010" s="41">
        <f t="shared" si="444"/>
        <v>0</v>
      </c>
      <c r="Y1010" s="39"/>
      <c r="Z1010" s="41">
        <f t="shared" si="445"/>
        <v>0</v>
      </c>
      <c r="AA1010" s="47"/>
      <c r="AB1010" s="41">
        <f t="shared" si="446"/>
        <v>0</v>
      </c>
      <c r="AC1010" s="39"/>
      <c r="AD1010" s="41">
        <f t="shared" si="461"/>
        <v>0</v>
      </c>
      <c r="AE1010" s="47"/>
      <c r="AF1010" s="41">
        <f t="shared" si="447"/>
        <v>0</v>
      </c>
      <c r="AG1010" s="39"/>
      <c r="AH1010" s="41">
        <f t="shared" si="462"/>
        <v>0</v>
      </c>
      <c r="AI1010" s="47"/>
      <c r="AJ1010" s="41">
        <f t="shared" si="448"/>
        <v>0</v>
      </c>
      <c r="AK1010" s="39"/>
      <c r="AL1010" s="41">
        <f t="shared" si="463"/>
        <v>0</v>
      </c>
      <c r="AM1010" s="47"/>
      <c r="AN1010" s="41">
        <f t="shared" si="449"/>
        <v>0</v>
      </c>
      <c r="AO1010" s="39"/>
      <c r="AP1010" s="41">
        <f t="shared" si="464"/>
        <v>0</v>
      </c>
      <c r="AQ1010" s="47"/>
      <c r="AR1010" s="41">
        <f t="shared" si="450"/>
        <v>0</v>
      </c>
      <c r="AS1010" s="39"/>
      <c r="AT1010" s="41">
        <f t="shared" si="465"/>
        <v>0</v>
      </c>
      <c r="AU1010" s="47"/>
      <c r="AV1010" s="41">
        <f t="shared" si="451"/>
        <v>0</v>
      </c>
      <c r="AW1010" s="39"/>
      <c r="AX1010" s="41">
        <f t="shared" si="466"/>
        <v>0</v>
      </c>
      <c r="AY1010" s="47"/>
      <c r="AZ1010" s="41">
        <f t="shared" si="452"/>
        <v>0</v>
      </c>
      <c r="BA1010" s="39"/>
      <c r="BB1010" s="41">
        <f t="shared" si="467"/>
        <v>0</v>
      </c>
      <c r="BC1010" s="47"/>
      <c r="BD1010" s="41">
        <f t="shared" si="453"/>
        <v>0</v>
      </c>
      <c r="BE1010" s="39"/>
      <c r="BF1010" s="47"/>
    </row>
    <row r="1011" spans="1:58" ht="15.75" customHeight="1" x14ac:dyDescent="0.25">
      <c r="A1011" s="44">
        <v>2017</v>
      </c>
      <c r="B1011" s="39">
        <v>170460</v>
      </c>
      <c r="C1011" s="38" t="s">
        <v>144</v>
      </c>
      <c r="D1011" s="38" t="s">
        <v>41</v>
      </c>
      <c r="E1011" s="39"/>
      <c r="F1011" s="42">
        <f t="shared" si="435"/>
        <v>0</v>
      </c>
      <c r="G1011" s="47"/>
      <c r="H1011" s="42">
        <f t="shared" si="436"/>
        <v>0</v>
      </c>
      <c r="I1011" s="39"/>
      <c r="J1011" s="41">
        <f t="shared" si="437"/>
        <v>0</v>
      </c>
      <c r="K1011" s="47"/>
      <c r="L1011" s="41">
        <f t="shared" si="438"/>
        <v>0</v>
      </c>
      <c r="M1011" s="39"/>
      <c r="N1011" s="41">
        <f t="shared" si="439"/>
        <v>0</v>
      </c>
      <c r="O1011" s="47"/>
      <c r="P1011" s="41">
        <f t="shared" si="440"/>
        <v>0</v>
      </c>
      <c r="Q1011" s="39"/>
      <c r="R1011" s="41">
        <f t="shared" si="441"/>
        <v>0</v>
      </c>
      <c r="S1011" s="47"/>
      <c r="T1011" s="41">
        <f t="shared" si="442"/>
        <v>0</v>
      </c>
      <c r="U1011" s="39"/>
      <c r="V1011" s="41">
        <f t="shared" si="443"/>
        <v>0</v>
      </c>
      <c r="W1011" s="47"/>
      <c r="X1011" s="41">
        <f t="shared" si="444"/>
        <v>0</v>
      </c>
      <c r="Y1011" s="39"/>
      <c r="Z1011" s="41">
        <f t="shared" si="445"/>
        <v>0</v>
      </c>
      <c r="AA1011" s="47"/>
      <c r="AB1011" s="41">
        <f t="shared" si="446"/>
        <v>0</v>
      </c>
      <c r="AC1011" s="39"/>
      <c r="AD1011" s="41">
        <f t="shared" si="461"/>
        <v>0</v>
      </c>
      <c r="AE1011" s="47"/>
      <c r="AF1011" s="41">
        <f t="shared" si="447"/>
        <v>0</v>
      </c>
      <c r="AG1011" s="39"/>
      <c r="AH1011" s="41">
        <f t="shared" si="462"/>
        <v>0</v>
      </c>
      <c r="AI1011" s="47"/>
      <c r="AJ1011" s="41">
        <f t="shared" si="448"/>
        <v>0</v>
      </c>
      <c r="AK1011" s="39"/>
      <c r="AL1011" s="41">
        <f t="shared" si="463"/>
        <v>0</v>
      </c>
      <c r="AM1011" s="47"/>
      <c r="AN1011" s="41">
        <f t="shared" si="449"/>
        <v>0</v>
      </c>
      <c r="AO1011" s="39"/>
      <c r="AP1011" s="41">
        <f t="shared" si="464"/>
        <v>0</v>
      </c>
      <c r="AQ1011" s="47"/>
      <c r="AR1011" s="41">
        <f t="shared" si="450"/>
        <v>0</v>
      </c>
      <c r="AS1011" s="39"/>
      <c r="AT1011" s="41">
        <f t="shared" si="465"/>
        <v>0</v>
      </c>
      <c r="AU1011" s="47"/>
      <c r="AV1011" s="41">
        <f t="shared" si="451"/>
        <v>0</v>
      </c>
      <c r="AW1011" s="39"/>
      <c r="AX1011" s="41">
        <f t="shared" si="466"/>
        <v>0</v>
      </c>
      <c r="AY1011" s="47"/>
      <c r="AZ1011" s="41">
        <f t="shared" si="452"/>
        <v>0</v>
      </c>
      <c r="BA1011" s="39"/>
      <c r="BB1011" s="41">
        <f t="shared" si="467"/>
        <v>0</v>
      </c>
      <c r="BC1011" s="47"/>
      <c r="BD1011" s="41">
        <f t="shared" si="453"/>
        <v>0</v>
      </c>
      <c r="BE1011" s="39"/>
      <c r="BF1011" s="47"/>
    </row>
    <row r="1012" spans="1:58" ht="15.75" customHeight="1" x14ac:dyDescent="0.25">
      <c r="A1012" s="44">
        <v>2017</v>
      </c>
      <c r="B1012" s="39">
        <v>170550</v>
      </c>
      <c r="C1012" s="38" t="s">
        <v>150</v>
      </c>
      <c r="D1012" s="38" t="s">
        <v>42</v>
      </c>
      <c r="E1012" s="39"/>
      <c r="F1012" s="42">
        <f t="shared" si="435"/>
        <v>0</v>
      </c>
      <c r="G1012" s="47"/>
      <c r="H1012" s="42">
        <f t="shared" si="436"/>
        <v>0</v>
      </c>
      <c r="I1012" s="39"/>
      <c r="J1012" s="41">
        <f t="shared" si="437"/>
        <v>0</v>
      </c>
      <c r="K1012" s="47"/>
      <c r="L1012" s="41">
        <f t="shared" si="438"/>
        <v>0</v>
      </c>
      <c r="M1012" s="39"/>
      <c r="N1012" s="41">
        <f t="shared" si="439"/>
        <v>0</v>
      </c>
      <c r="O1012" s="47"/>
      <c r="P1012" s="41">
        <f t="shared" si="440"/>
        <v>0</v>
      </c>
      <c r="Q1012" s="39"/>
      <c r="R1012" s="41">
        <f t="shared" si="441"/>
        <v>0</v>
      </c>
      <c r="S1012" s="47"/>
      <c r="T1012" s="41">
        <f t="shared" si="442"/>
        <v>0</v>
      </c>
      <c r="U1012" s="39"/>
      <c r="V1012" s="41">
        <f t="shared" si="443"/>
        <v>0</v>
      </c>
      <c r="W1012" s="47"/>
      <c r="X1012" s="41">
        <f t="shared" si="444"/>
        <v>0</v>
      </c>
      <c r="Y1012" s="39"/>
      <c r="Z1012" s="41">
        <f t="shared" si="445"/>
        <v>0</v>
      </c>
      <c r="AA1012" s="47"/>
      <c r="AB1012" s="41">
        <f t="shared" si="446"/>
        <v>0</v>
      </c>
      <c r="AC1012" s="39"/>
      <c r="AD1012" s="41">
        <f t="shared" si="461"/>
        <v>0</v>
      </c>
      <c r="AE1012" s="47"/>
      <c r="AF1012" s="41">
        <f t="shared" si="447"/>
        <v>0</v>
      </c>
      <c r="AG1012" s="39"/>
      <c r="AH1012" s="41">
        <f t="shared" si="462"/>
        <v>0</v>
      </c>
      <c r="AI1012" s="47"/>
      <c r="AJ1012" s="41">
        <f t="shared" si="448"/>
        <v>0</v>
      </c>
      <c r="AK1012" s="39"/>
      <c r="AL1012" s="41">
        <f t="shared" si="463"/>
        <v>0</v>
      </c>
      <c r="AM1012" s="47"/>
      <c r="AN1012" s="41">
        <f t="shared" si="449"/>
        <v>0</v>
      </c>
      <c r="AO1012" s="39"/>
      <c r="AP1012" s="41">
        <f t="shared" si="464"/>
        <v>0</v>
      </c>
      <c r="AQ1012" s="47"/>
      <c r="AR1012" s="41">
        <f t="shared" si="450"/>
        <v>0</v>
      </c>
      <c r="AS1012" s="39"/>
      <c r="AT1012" s="41">
        <f t="shared" si="465"/>
        <v>0</v>
      </c>
      <c r="AU1012" s="47"/>
      <c r="AV1012" s="41">
        <f t="shared" si="451"/>
        <v>0</v>
      </c>
      <c r="AW1012" s="39"/>
      <c r="AX1012" s="41">
        <f t="shared" si="466"/>
        <v>0</v>
      </c>
      <c r="AY1012" s="47"/>
      <c r="AZ1012" s="41">
        <f t="shared" si="452"/>
        <v>0</v>
      </c>
      <c r="BA1012" s="39"/>
      <c r="BB1012" s="41">
        <f t="shared" si="467"/>
        <v>0</v>
      </c>
      <c r="BC1012" s="47"/>
      <c r="BD1012" s="41">
        <f t="shared" si="453"/>
        <v>0</v>
      </c>
      <c r="BE1012" s="39"/>
      <c r="BF1012" s="47"/>
    </row>
    <row r="1013" spans="1:58" ht="15.75" customHeight="1" x14ac:dyDescent="0.25">
      <c r="A1013" s="44">
        <v>2017</v>
      </c>
      <c r="B1013" s="39">
        <v>171670</v>
      </c>
      <c r="C1013" s="38" t="s">
        <v>150</v>
      </c>
      <c r="D1013" s="38" t="s">
        <v>43</v>
      </c>
      <c r="E1013" s="39"/>
      <c r="F1013" s="42">
        <f t="shared" si="435"/>
        <v>0</v>
      </c>
      <c r="G1013" s="47"/>
      <c r="H1013" s="42">
        <f t="shared" si="436"/>
        <v>0</v>
      </c>
      <c r="I1013" s="39"/>
      <c r="J1013" s="41">
        <f t="shared" si="437"/>
        <v>0</v>
      </c>
      <c r="K1013" s="47"/>
      <c r="L1013" s="41">
        <f t="shared" si="438"/>
        <v>0</v>
      </c>
      <c r="M1013" s="39"/>
      <c r="N1013" s="41">
        <f t="shared" si="439"/>
        <v>0</v>
      </c>
      <c r="O1013" s="47"/>
      <c r="P1013" s="41">
        <f t="shared" si="440"/>
        <v>0</v>
      </c>
      <c r="Q1013" s="39"/>
      <c r="R1013" s="41">
        <f t="shared" si="441"/>
        <v>0</v>
      </c>
      <c r="S1013" s="47"/>
      <c r="T1013" s="41">
        <f t="shared" si="442"/>
        <v>0</v>
      </c>
      <c r="U1013" s="39"/>
      <c r="V1013" s="41">
        <f t="shared" si="443"/>
        <v>0</v>
      </c>
      <c r="W1013" s="47"/>
      <c r="X1013" s="41">
        <f t="shared" si="444"/>
        <v>0</v>
      </c>
      <c r="Y1013" s="39"/>
      <c r="Z1013" s="41">
        <f t="shared" si="445"/>
        <v>0</v>
      </c>
      <c r="AA1013" s="47"/>
      <c r="AB1013" s="41">
        <f t="shared" si="446"/>
        <v>0</v>
      </c>
      <c r="AC1013" s="39"/>
      <c r="AD1013" s="41">
        <f t="shared" si="461"/>
        <v>0</v>
      </c>
      <c r="AE1013" s="47"/>
      <c r="AF1013" s="41">
        <f t="shared" si="447"/>
        <v>0</v>
      </c>
      <c r="AG1013" s="39"/>
      <c r="AH1013" s="41">
        <f t="shared" si="462"/>
        <v>0</v>
      </c>
      <c r="AI1013" s="47"/>
      <c r="AJ1013" s="41">
        <f t="shared" si="448"/>
        <v>0</v>
      </c>
      <c r="AK1013" s="39"/>
      <c r="AL1013" s="41">
        <f t="shared" si="463"/>
        <v>0</v>
      </c>
      <c r="AM1013" s="47"/>
      <c r="AN1013" s="41">
        <f t="shared" si="449"/>
        <v>0</v>
      </c>
      <c r="AO1013" s="39"/>
      <c r="AP1013" s="41">
        <f t="shared" si="464"/>
        <v>0</v>
      </c>
      <c r="AQ1013" s="47"/>
      <c r="AR1013" s="41">
        <f t="shared" si="450"/>
        <v>0</v>
      </c>
      <c r="AS1013" s="39"/>
      <c r="AT1013" s="41">
        <f t="shared" si="465"/>
        <v>0</v>
      </c>
      <c r="AU1013" s="47"/>
      <c r="AV1013" s="41">
        <f t="shared" si="451"/>
        <v>0</v>
      </c>
      <c r="AW1013" s="39"/>
      <c r="AX1013" s="41">
        <f t="shared" si="466"/>
        <v>0</v>
      </c>
      <c r="AY1013" s="47"/>
      <c r="AZ1013" s="41">
        <f t="shared" si="452"/>
        <v>0</v>
      </c>
      <c r="BA1013" s="39"/>
      <c r="BB1013" s="41">
        <f t="shared" si="467"/>
        <v>0</v>
      </c>
      <c r="BC1013" s="47"/>
      <c r="BD1013" s="41">
        <f t="shared" si="453"/>
        <v>0</v>
      </c>
      <c r="BE1013" s="39"/>
      <c r="BF1013" s="47"/>
    </row>
    <row r="1014" spans="1:58" ht="15.75" customHeight="1" x14ac:dyDescent="0.25">
      <c r="A1014" s="44">
        <v>2017</v>
      </c>
      <c r="B1014" s="39">
        <v>170555</v>
      </c>
      <c r="C1014" s="38" t="s">
        <v>147</v>
      </c>
      <c r="D1014" s="38" t="s">
        <v>44</v>
      </c>
      <c r="E1014" s="39"/>
      <c r="F1014" s="42">
        <f t="shared" si="435"/>
        <v>0</v>
      </c>
      <c r="G1014" s="47"/>
      <c r="H1014" s="42">
        <f t="shared" si="436"/>
        <v>0</v>
      </c>
      <c r="I1014" s="39"/>
      <c r="J1014" s="41">
        <f t="shared" si="437"/>
        <v>0</v>
      </c>
      <c r="K1014" s="47"/>
      <c r="L1014" s="41">
        <f t="shared" si="438"/>
        <v>0</v>
      </c>
      <c r="M1014" s="39"/>
      <c r="N1014" s="41">
        <f t="shared" si="439"/>
        <v>0</v>
      </c>
      <c r="O1014" s="47"/>
      <c r="P1014" s="41">
        <f t="shared" si="440"/>
        <v>0</v>
      </c>
      <c r="Q1014" s="39"/>
      <c r="R1014" s="41">
        <f t="shared" si="441"/>
        <v>0</v>
      </c>
      <c r="S1014" s="47"/>
      <c r="T1014" s="41">
        <f t="shared" si="442"/>
        <v>0</v>
      </c>
      <c r="U1014" s="39"/>
      <c r="V1014" s="41">
        <f t="shared" si="443"/>
        <v>0</v>
      </c>
      <c r="W1014" s="47"/>
      <c r="X1014" s="41">
        <f t="shared" si="444"/>
        <v>0</v>
      </c>
      <c r="Y1014" s="39"/>
      <c r="Z1014" s="41">
        <f t="shared" si="445"/>
        <v>0</v>
      </c>
      <c r="AA1014" s="47"/>
      <c r="AB1014" s="41">
        <f t="shared" si="446"/>
        <v>0</v>
      </c>
      <c r="AC1014" s="39"/>
      <c r="AD1014" s="41">
        <f t="shared" si="461"/>
        <v>0</v>
      </c>
      <c r="AE1014" s="47"/>
      <c r="AF1014" s="41">
        <f t="shared" si="447"/>
        <v>0</v>
      </c>
      <c r="AG1014" s="39"/>
      <c r="AH1014" s="41">
        <f t="shared" si="462"/>
        <v>0</v>
      </c>
      <c r="AI1014" s="47"/>
      <c r="AJ1014" s="41">
        <f t="shared" si="448"/>
        <v>0</v>
      </c>
      <c r="AK1014" s="39"/>
      <c r="AL1014" s="41">
        <f t="shared" si="463"/>
        <v>0</v>
      </c>
      <c r="AM1014" s="47"/>
      <c r="AN1014" s="41">
        <f t="shared" si="449"/>
        <v>0</v>
      </c>
      <c r="AO1014" s="39"/>
      <c r="AP1014" s="41">
        <f t="shared" si="464"/>
        <v>0</v>
      </c>
      <c r="AQ1014" s="47"/>
      <c r="AR1014" s="41">
        <f t="shared" si="450"/>
        <v>0</v>
      </c>
      <c r="AS1014" s="39"/>
      <c r="AT1014" s="41">
        <f t="shared" si="465"/>
        <v>0</v>
      </c>
      <c r="AU1014" s="47"/>
      <c r="AV1014" s="41">
        <f t="shared" si="451"/>
        <v>0</v>
      </c>
      <c r="AW1014" s="39"/>
      <c r="AX1014" s="41">
        <f t="shared" si="466"/>
        <v>0</v>
      </c>
      <c r="AY1014" s="47"/>
      <c r="AZ1014" s="41">
        <f t="shared" si="452"/>
        <v>0</v>
      </c>
      <c r="BA1014" s="39"/>
      <c r="BB1014" s="41">
        <f t="shared" si="467"/>
        <v>0</v>
      </c>
      <c r="BC1014" s="47"/>
      <c r="BD1014" s="41">
        <f t="shared" si="453"/>
        <v>0</v>
      </c>
      <c r="BE1014" s="39"/>
      <c r="BF1014" s="47"/>
    </row>
    <row r="1015" spans="1:58" ht="15.75" customHeight="1" x14ac:dyDescent="0.25">
      <c r="A1015" s="44">
        <v>2017</v>
      </c>
      <c r="B1015" s="39">
        <v>170560</v>
      </c>
      <c r="C1015" s="38" t="s">
        <v>147</v>
      </c>
      <c r="D1015" s="38" t="s">
        <v>45</v>
      </c>
      <c r="E1015" s="39"/>
      <c r="F1015" s="42">
        <f t="shared" si="435"/>
        <v>0</v>
      </c>
      <c r="G1015" s="47"/>
      <c r="H1015" s="42">
        <f t="shared" si="436"/>
        <v>0</v>
      </c>
      <c r="I1015" s="39"/>
      <c r="J1015" s="41">
        <f t="shared" si="437"/>
        <v>0</v>
      </c>
      <c r="K1015" s="47"/>
      <c r="L1015" s="41">
        <f t="shared" si="438"/>
        <v>0</v>
      </c>
      <c r="M1015" s="39"/>
      <c r="N1015" s="41">
        <f t="shared" si="439"/>
        <v>0</v>
      </c>
      <c r="O1015" s="47"/>
      <c r="P1015" s="41">
        <f t="shared" si="440"/>
        <v>0</v>
      </c>
      <c r="Q1015" s="39"/>
      <c r="R1015" s="41">
        <f t="shared" si="441"/>
        <v>0</v>
      </c>
      <c r="S1015" s="47"/>
      <c r="T1015" s="41">
        <f t="shared" si="442"/>
        <v>0</v>
      </c>
      <c r="U1015" s="39"/>
      <c r="V1015" s="41">
        <f t="shared" si="443"/>
        <v>0</v>
      </c>
      <c r="W1015" s="47"/>
      <c r="X1015" s="41">
        <f t="shared" si="444"/>
        <v>0</v>
      </c>
      <c r="Y1015" s="39"/>
      <c r="Z1015" s="41">
        <f t="shared" si="445"/>
        <v>0</v>
      </c>
      <c r="AA1015" s="47"/>
      <c r="AB1015" s="41">
        <f t="shared" si="446"/>
        <v>0</v>
      </c>
      <c r="AC1015" s="39"/>
      <c r="AD1015" s="41">
        <f t="shared" si="461"/>
        <v>0</v>
      </c>
      <c r="AE1015" s="47"/>
      <c r="AF1015" s="41">
        <f t="shared" si="447"/>
        <v>0</v>
      </c>
      <c r="AG1015" s="39"/>
      <c r="AH1015" s="41">
        <f t="shared" si="462"/>
        <v>0</v>
      </c>
      <c r="AI1015" s="47"/>
      <c r="AJ1015" s="41">
        <f t="shared" si="448"/>
        <v>0</v>
      </c>
      <c r="AK1015" s="39"/>
      <c r="AL1015" s="41">
        <f t="shared" si="463"/>
        <v>0</v>
      </c>
      <c r="AM1015" s="47"/>
      <c r="AN1015" s="41">
        <f t="shared" si="449"/>
        <v>0</v>
      </c>
      <c r="AO1015" s="39"/>
      <c r="AP1015" s="41">
        <f t="shared" si="464"/>
        <v>0</v>
      </c>
      <c r="AQ1015" s="47"/>
      <c r="AR1015" s="41">
        <f t="shared" si="450"/>
        <v>0</v>
      </c>
      <c r="AS1015" s="39"/>
      <c r="AT1015" s="41">
        <f t="shared" si="465"/>
        <v>0</v>
      </c>
      <c r="AU1015" s="47"/>
      <c r="AV1015" s="41">
        <f t="shared" si="451"/>
        <v>0</v>
      </c>
      <c r="AW1015" s="39"/>
      <c r="AX1015" s="41">
        <f t="shared" si="466"/>
        <v>0</v>
      </c>
      <c r="AY1015" s="47"/>
      <c r="AZ1015" s="41">
        <f t="shared" si="452"/>
        <v>0</v>
      </c>
      <c r="BA1015" s="39"/>
      <c r="BB1015" s="41">
        <f t="shared" si="467"/>
        <v>0</v>
      </c>
      <c r="BC1015" s="47"/>
      <c r="BD1015" s="41">
        <f t="shared" si="453"/>
        <v>0</v>
      </c>
      <c r="BE1015" s="39"/>
      <c r="BF1015" s="47"/>
    </row>
    <row r="1016" spans="1:58" ht="15.75" customHeight="1" x14ac:dyDescent="0.25">
      <c r="A1016" s="44">
        <v>2017</v>
      </c>
      <c r="B1016" s="39">
        <v>170600</v>
      </c>
      <c r="C1016" s="38" t="s">
        <v>150</v>
      </c>
      <c r="D1016" s="38" t="s">
        <v>46</v>
      </c>
      <c r="E1016" s="39"/>
      <c r="F1016" s="42">
        <f t="shared" si="435"/>
        <v>0</v>
      </c>
      <c r="G1016" s="47"/>
      <c r="H1016" s="42">
        <f t="shared" si="436"/>
        <v>0</v>
      </c>
      <c r="I1016" s="39"/>
      <c r="J1016" s="41">
        <f t="shared" si="437"/>
        <v>0</v>
      </c>
      <c r="K1016" s="47"/>
      <c r="L1016" s="41">
        <f t="shared" si="438"/>
        <v>0</v>
      </c>
      <c r="M1016" s="39"/>
      <c r="N1016" s="41">
        <f t="shared" si="439"/>
        <v>0</v>
      </c>
      <c r="O1016" s="47"/>
      <c r="P1016" s="41">
        <f t="shared" si="440"/>
        <v>0</v>
      </c>
      <c r="Q1016" s="39"/>
      <c r="R1016" s="41">
        <f t="shared" si="441"/>
        <v>0</v>
      </c>
      <c r="S1016" s="47"/>
      <c r="T1016" s="41">
        <f t="shared" si="442"/>
        <v>0</v>
      </c>
      <c r="U1016" s="39"/>
      <c r="V1016" s="41">
        <f t="shared" si="443"/>
        <v>0</v>
      </c>
      <c r="W1016" s="47"/>
      <c r="X1016" s="41">
        <f t="shared" si="444"/>
        <v>0</v>
      </c>
      <c r="Y1016" s="39"/>
      <c r="Z1016" s="41">
        <f t="shared" si="445"/>
        <v>0</v>
      </c>
      <c r="AA1016" s="47"/>
      <c r="AB1016" s="41">
        <f t="shared" si="446"/>
        <v>0</v>
      </c>
      <c r="AC1016" s="39"/>
      <c r="AD1016" s="41">
        <f t="shared" si="461"/>
        <v>0</v>
      </c>
      <c r="AE1016" s="47"/>
      <c r="AF1016" s="41">
        <f t="shared" si="447"/>
        <v>0</v>
      </c>
      <c r="AG1016" s="39"/>
      <c r="AH1016" s="41">
        <f t="shared" si="462"/>
        <v>0</v>
      </c>
      <c r="AI1016" s="47"/>
      <c r="AJ1016" s="41">
        <f t="shared" si="448"/>
        <v>0</v>
      </c>
      <c r="AK1016" s="39"/>
      <c r="AL1016" s="41">
        <f t="shared" si="463"/>
        <v>0</v>
      </c>
      <c r="AM1016" s="47"/>
      <c r="AN1016" s="41">
        <f t="shared" si="449"/>
        <v>0</v>
      </c>
      <c r="AO1016" s="39"/>
      <c r="AP1016" s="41">
        <f t="shared" si="464"/>
        <v>0</v>
      </c>
      <c r="AQ1016" s="47"/>
      <c r="AR1016" s="41">
        <f t="shared" si="450"/>
        <v>0</v>
      </c>
      <c r="AS1016" s="39"/>
      <c r="AT1016" s="41">
        <f t="shared" si="465"/>
        <v>0</v>
      </c>
      <c r="AU1016" s="47"/>
      <c r="AV1016" s="41">
        <f t="shared" si="451"/>
        <v>0</v>
      </c>
      <c r="AW1016" s="39"/>
      <c r="AX1016" s="41">
        <f t="shared" si="466"/>
        <v>0</v>
      </c>
      <c r="AY1016" s="47"/>
      <c r="AZ1016" s="41">
        <f t="shared" si="452"/>
        <v>0</v>
      </c>
      <c r="BA1016" s="39"/>
      <c r="BB1016" s="41">
        <f t="shared" si="467"/>
        <v>0</v>
      </c>
      <c r="BC1016" s="47"/>
      <c r="BD1016" s="41">
        <f t="shared" si="453"/>
        <v>0</v>
      </c>
      <c r="BE1016" s="39"/>
      <c r="BF1016" s="47"/>
    </row>
    <row r="1017" spans="1:58" ht="15.75" customHeight="1" x14ac:dyDescent="0.25">
      <c r="A1017" s="44">
        <v>2017</v>
      </c>
      <c r="B1017" s="39">
        <v>170610</v>
      </c>
      <c r="C1017" s="38" t="s">
        <v>144</v>
      </c>
      <c r="D1017" s="38" t="s">
        <v>47</v>
      </c>
      <c r="E1017" s="39"/>
      <c r="F1017" s="42">
        <f t="shared" si="435"/>
        <v>0</v>
      </c>
      <c r="G1017" s="47"/>
      <c r="H1017" s="42">
        <f t="shared" si="436"/>
        <v>0</v>
      </c>
      <c r="I1017" s="39"/>
      <c r="J1017" s="41">
        <f t="shared" si="437"/>
        <v>0</v>
      </c>
      <c r="K1017" s="47"/>
      <c r="L1017" s="41">
        <f t="shared" si="438"/>
        <v>0</v>
      </c>
      <c r="M1017" s="39"/>
      <c r="N1017" s="41">
        <f t="shared" si="439"/>
        <v>0</v>
      </c>
      <c r="O1017" s="47"/>
      <c r="P1017" s="41">
        <f t="shared" si="440"/>
        <v>0</v>
      </c>
      <c r="Q1017" s="39"/>
      <c r="R1017" s="41">
        <f t="shared" si="441"/>
        <v>0</v>
      </c>
      <c r="S1017" s="47"/>
      <c r="T1017" s="41">
        <f t="shared" si="442"/>
        <v>0</v>
      </c>
      <c r="U1017" s="39"/>
      <c r="V1017" s="41">
        <f t="shared" si="443"/>
        <v>0</v>
      </c>
      <c r="W1017" s="47"/>
      <c r="X1017" s="41">
        <f t="shared" si="444"/>
        <v>0</v>
      </c>
      <c r="Y1017" s="39"/>
      <c r="Z1017" s="41">
        <f t="shared" si="445"/>
        <v>0</v>
      </c>
      <c r="AA1017" s="47"/>
      <c r="AB1017" s="41">
        <f t="shared" si="446"/>
        <v>0</v>
      </c>
      <c r="AC1017" s="39"/>
      <c r="AD1017" s="41">
        <f t="shared" si="461"/>
        <v>0</v>
      </c>
      <c r="AE1017" s="47"/>
      <c r="AF1017" s="41">
        <f t="shared" si="447"/>
        <v>0</v>
      </c>
      <c r="AG1017" s="39"/>
      <c r="AH1017" s="41">
        <f t="shared" si="462"/>
        <v>0</v>
      </c>
      <c r="AI1017" s="47"/>
      <c r="AJ1017" s="41">
        <f t="shared" si="448"/>
        <v>0</v>
      </c>
      <c r="AK1017" s="39"/>
      <c r="AL1017" s="41">
        <f t="shared" si="463"/>
        <v>0</v>
      </c>
      <c r="AM1017" s="47"/>
      <c r="AN1017" s="41">
        <f t="shared" si="449"/>
        <v>0</v>
      </c>
      <c r="AO1017" s="39"/>
      <c r="AP1017" s="41">
        <f t="shared" si="464"/>
        <v>0</v>
      </c>
      <c r="AQ1017" s="47"/>
      <c r="AR1017" s="41">
        <f t="shared" si="450"/>
        <v>0</v>
      </c>
      <c r="AS1017" s="39"/>
      <c r="AT1017" s="41">
        <f t="shared" si="465"/>
        <v>0</v>
      </c>
      <c r="AU1017" s="47"/>
      <c r="AV1017" s="41">
        <f t="shared" si="451"/>
        <v>0</v>
      </c>
      <c r="AW1017" s="39"/>
      <c r="AX1017" s="41">
        <f t="shared" si="466"/>
        <v>0</v>
      </c>
      <c r="AY1017" s="47"/>
      <c r="AZ1017" s="41">
        <f t="shared" si="452"/>
        <v>0</v>
      </c>
      <c r="BA1017" s="39"/>
      <c r="BB1017" s="41">
        <f t="shared" si="467"/>
        <v>0</v>
      </c>
      <c r="BC1017" s="47"/>
      <c r="BD1017" s="41">
        <f t="shared" si="453"/>
        <v>0</v>
      </c>
      <c r="BE1017" s="39"/>
      <c r="BF1017" s="47"/>
    </row>
    <row r="1018" spans="1:58" ht="15.75" customHeight="1" x14ac:dyDescent="0.25">
      <c r="A1018" s="44">
        <v>2017</v>
      </c>
      <c r="B1018" s="39">
        <v>170625</v>
      </c>
      <c r="C1018" s="38" t="s">
        <v>146</v>
      </c>
      <c r="D1018" s="38" t="s">
        <v>48</v>
      </c>
      <c r="E1018" s="39"/>
      <c r="F1018" s="42">
        <f t="shared" si="435"/>
        <v>0</v>
      </c>
      <c r="G1018" s="47"/>
      <c r="H1018" s="42">
        <f t="shared" si="436"/>
        <v>0</v>
      </c>
      <c r="I1018" s="39"/>
      <c r="J1018" s="41">
        <f t="shared" si="437"/>
        <v>0</v>
      </c>
      <c r="K1018" s="47"/>
      <c r="L1018" s="41">
        <f t="shared" si="438"/>
        <v>0</v>
      </c>
      <c r="M1018" s="39"/>
      <c r="N1018" s="41">
        <f t="shared" si="439"/>
        <v>0</v>
      </c>
      <c r="O1018" s="47"/>
      <c r="P1018" s="41">
        <f t="shared" si="440"/>
        <v>0</v>
      </c>
      <c r="Q1018" s="39"/>
      <c r="R1018" s="41">
        <f t="shared" si="441"/>
        <v>0</v>
      </c>
      <c r="S1018" s="47"/>
      <c r="T1018" s="41">
        <f t="shared" si="442"/>
        <v>0</v>
      </c>
      <c r="U1018" s="39"/>
      <c r="V1018" s="41">
        <f t="shared" si="443"/>
        <v>0</v>
      </c>
      <c r="W1018" s="47"/>
      <c r="X1018" s="41">
        <f t="shared" si="444"/>
        <v>0</v>
      </c>
      <c r="Y1018" s="39"/>
      <c r="Z1018" s="41">
        <f t="shared" si="445"/>
        <v>0</v>
      </c>
      <c r="AA1018" s="47"/>
      <c r="AB1018" s="41">
        <f t="shared" si="446"/>
        <v>0</v>
      </c>
      <c r="AC1018" s="39"/>
      <c r="AD1018" s="41">
        <f t="shared" si="461"/>
        <v>0</v>
      </c>
      <c r="AE1018" s="47"/>
      <c r="AF1018" s="41">
        <f t="shared" si="447"/>
        <v>0</v>
      </c>
      <c r="AG1018" s="39"/>
      <c r="AH1018" s="41">
        <f t="shared" si="462"/>
        <v>0</v>
      </c>
      <c r="AI1018" s="47"/>
      <c r="AJ1018" s="41">
        <f t="shared" si="448"/>
        <v>0</v>
      </c>
      <c r="AK1018" s="39"/>
      <c r="AL1018" s="41">
        <f t="shared" si="463"/>
        <v>0</v>
      </c>
      <c r="AM1018" s="47"/>
      <c r="AN1018" s="41">
        <f t="shared" si="449"/>
        <v>0</v>
      </c>
      <c r="AO1018" s="39"/>
      <c r="AP1018" s="41">
        <f t="shared" si="464"/>
        <v>0</v>
      </c>
      <c r="AQ1018" s="47"/>
      <c r="AR1018" s="41">
        <f t="shared" si="450"/>
        <v>0</v>
      </c>
      <c r="AS1018" s="39"/>
      <c r="AT1018" s="41">
        <f t="shared" si="465"/>
        <v>0</v>
      </c>
      <c r="AU1018" s="47"/>
      <c r="AV1018" s="41">
        <f t="shared" si="451"/>
        <v>0</v>
      </c>
      <c r="AW1018" s="39"/>
      <c r="AX1018" s="41">
        <f t="shared" si="466"/>
        <v>0</v>
      </c>
      <c r="AY1018" s="47"/>
      <c r="AZ1018" s="41">
        <f t="shared" si="452"/>
        <v>0</v>
      </c>
      <c r="BA1018" s="39"/>
      <c r="BB1018" s="41">
        <f t="shared" si="467"/>
        <v>0</v>
      </c>
      <c r="BC1018" s="47"/>
      <c r="BD1018" s="41">
        <f t="shared" si="453"/>
        <v>0</v>
      </c>
      <c r="BE1018" s="39"/>
      <c r="BF1018" s="47"/>
    </row>
    <row r="1019" spans="1:58" ht="15.75" customHeight="1" x14ac:dyDescent="0.25">
      <c r="A1019" s="44">
        <v>2017</v>
      </c>
      <c r="B1019" s="39">
        <v>170650</v>
      </c>
      <c r="C1019" s="38" t="s">
        <v>149</v>
      </c>
      <c r="D1019" s="38" t="s">
        <v>49</v>
      </c>
      <c r="E1019" s="39"/>
      <c r="F1019" s="42">
        <f t="shared" si="435"/>
        <v>0</v>
      </c>
      <c r="G1019" s="47"/>
      <c r="H1019" s="42">
        <f t="shared" si="436"/>
        <v>0</v>
      </c>
      <c r="I1019" s="39"/>
      <c r="J1019" s="41">
        <f t="shared" si="437"/>
        <v>0</v>
      </c>
      <c r="K1019" s="47"/>
      <c r="L1019" s="41">
        <f t="shared" si="438"/>
        <v>0</v>
      </c>
      <c r="M1019" s="39"/>
      <c r="N1019" s="41">
        <f t="shared" si="439"/>
        <v>0</v>
      </c>
      <c r="O1019" s="47"/>
      <c r="P1019" s="41">
        <f t="shared" si="440"/>
        <v>0</v>
      </c>
      <c r="Q1019" s="39"/>
      <c r="R1019" s="41">
        <f t="shared" si="441"/>
        <v>0</v>
      </c>
      <c r="S1019" s="47"/>
      <c r="T1019" s="41">
        <f t="shared" si="442"/>
        <v>0</v>
      </c>
      <c r="U1019" s="39"/>
      <c r="V1019" s="41">
        <f t="shared" si="443"/>
        <v>0</v>
      </c>
      <c r="W1019" s="47"/>
      <c r="X1019" s="41">
        <f t="shared" si="444"/>
        <v>0</v>
      </c>
      <c r="Y1019" s="39"/>
      <c r="Z1019" s="41">
        <f t="shared" si="445"/>
        <v>0</v>
      </c>
      <c r="AA1019" s="47"/>
      <c r="AB1019" s="41">
        <f t="shared" si="446"/>
        <v>0</v>
      </c>
      <c r="AC1019" s="39"/>
      <c r="AD1019" s="41">
        <f t="shared" si="461"/>
        <v>0</v>
      </c>
      <c r="AE1019" s="47"/>
      <c r="AF1019" s="41">
        <f t="shared" si="447"/>
        <v>0</v>
      </c>
      <c r="AG1019" s="39"/>
      <c r="AH1019" s="41">
        <f t="shared" si="462"/>
        <v>0</v>
      </c>
      <c r="AI1019" s="47"/>
      <c r="AJ1019" s="41">
        <f t="shared" si="448"/>
        <v>0</v>
      </c>
      <c r="AK1019" s="39"/>
      <c r="AL1019" s="41">
        <f t="shared" si="463"/>
        <v>0</v>
      </c>
      <c r="AM1019" s="47"/>
      <c r="AN1019" s="41">
        <f t="shared" si="449"/>
        <v>0</v>
      </c>
      <c r="AO1019" s="39"/>
      <c r="AP1019" s="41">
        <f t="shared" si="464"/>
        <v>0</v>
      </c>
      <c r="AQ1019" s="47"/>
      <c r="AR1019" s="41">
        <f t="shared" si="450"/>
        <v>0</v>
      </c>
      <c r="AS1019" s="39"/>
      <c r="AT1019" s="41">
        <f t="shared" si="465"/>
        <v>0</v>
      </c>
      <c r="AU1019" s="47"/>
      <c r="AV1019" s="41">
        <f t="shared" si="451"/>
        <v>0</v>
      </c>
      <c r="AW1019" s="39"/>
      <c r="AX1019" s="41">
        <f t="shared" si="466"/>
        <v>0</v>
      </c>
      <c r="AY1019" s="47"/>
      <c r="AZ1019" s="41">
        <f t="shared" si="452"/>
        <v>0</v>
      </c>
      <c r="BA1019" s="39"/>
      <c r="BB1019" s="41">
        <f t="shared" si="467"/>
        <v>0</v>
      </c>
      <c r="BC1019" s="47"/>
      <c r="BD1019" s="41">
        <f t="shared" si="453"/>
        <v>0</v>
      </c>
      <c r="BE1019" s="39"/>
      <c r="BF1019" s="47"/>
    </row>
    <row r="1020" spans="1:58" ht="15.75" customHeight="1" x14ac:dyDescent="0.25">
      <c r="A1020" s="44">
        <v>2017</v>
      </c>
      <c r="B1020" s="39">
        <v>170700</v>
      </c>
      <c r="C1020" s="38" t="s">
        <v>147</v>
      </c>
      <c r="D1020" s="38" t="s">
        <v>50</v>
      </c>
      <c r="E1020" s="39"/>
      <c r="F1020" s="42">
        <f t="shared" si="435"/>
        <v>0</v>
      </c>
      <c r="G1020" s="47"/>
      <c r="H1020" s="42">
        <f t="shared" si="436"/>
        <v>0</v>
      </c>
      <c r="I1020" s="39"/>
      <c r="J1020" s="41">
        <f t="shared" si="437"/>
        <v>0</v>
      </c>
      <c r="K1020" s="47"/>
      <c r="L1020" s="41">
        <f t="shared" si="438"/>
        <v>0</v>
      </c>
      <c r="M1020" s="39"/>
      <c r="N1020" s="41">
        <f t="shared" si="439"/>
        <v>0</v>
      </c>
      <c r="O1020" s="47"/>
      <c r="P1020" s="41">
        <f t="shared" si="440"/>
        <v>0</v>
      </c>
      <c r="Q1020" s="39"/>
      <c r="R1020" s="41">
        <f t="shared" si="441"/>
        <v>0</v>
      </c>
      <c r="S1020" s="47"/>
      <c r="T1020" s="41">
        <f t="shared" si="442"/>
        <v>0</v>
      </c>
      <c r="U1020" s="39"/>
      <c r="V1020" s="41">
        <f t="shared" si="443"/>
        <v>0</v>
      </c>
      <c r="W1020" s="47"/>
      <c r="X1020" s="41">
        <f t="shared" si="444"/>
        <v>0</v>
      </c>
      <c r="Y1020" s="39"/>
      <c r="Z1020" s="41">
        <f t="shared" si="445"/>
        <v>0</v>
      </c>
      <c r="AA1020" s="47"/>
      <c r="AB1020" s="41">
        <f t="shared" si="446"/>
        <v>0</v>
      </c>
      <c r="AC1020" s="39"/>
      <c r="AD1020" s="41">
        <f t="shared" si="461"/>
        <v>0</v>
      </c>
      <c r="AE1020" s="47"/>
      <c r="AF1020" s="41">
        <f t="shared" si="447"/>
        <v>0</v>
      </c>
      <c r="AG1020" s="39"/>
      <c r="AH1020" s="41">
        <f t="shared" si="462"/>
        <v>0</v>
      </c>
      <c r="AI1020" s="47"/>
      <c r="AJ1020" s="41">
        <f t="shared" si="448"/>
        <v>0</v>
      </c>
      <c r="AK1020" s="39"/>
      <c r="AL1020" s="41">
        <f t="shared" si="463"/>
        <v>0</v>
      </c>
      <c r="AM1020" s="47"/>
      <c r="AN1020" s="41">
        <f t="shared" si="449"/>
        <v>0</v>
      </c>
      <c r="AO1020" s="39"/>
      <c r="AP1020" s="41">
        <f t="shared" si="464"/>
        <v>0</v>
      </c>
      <c r="AQ1020" s="47"/>
      <c r="AR1020" s="41">
        <f t="shared" si="450"/>
        <v>0</v>
      </c>
      <c r="AS1020" s="39"/>
      <c r="AT1020" s="41">
        <f t="shared" si="465"/>
        <v>0</v>
      </c>
      <c r="AU1020" s="47"/>
      <c r="AV1020" s="41">
        <f t="shared" si="451"/>
        <v>0</v>
      </c>
      <c r="AW1020" s="39"/>
      <c r="AX1020" s="41">
        <f t="shared" si="466"/>
        <v>0</v>
      </c>
      <c r="AY1020" s="47"/>
      <c r="AZ1020" s="41">
        <f t="shared" si="452"/>
        <v>0</v>
      </c>
      <c r="BA1020" s="39"/>
      <c r="BB1020" s="41">
        <f t="shared" si="467"/>
        <v>0</v>
      </c>
      <c r="BC1020" s="47"/>
      <c r="BD1020" s="41">
        <f t="shared" si="453"/>
        <v>0</v>
      </c>
      <c r="BE1020" s="39"/>
      <c r="BF1020" s="47"/>
    </row>
    <row r="1021" spans="1:58" ht="15.75" customHeight="1" x14ac:dyDescent="0.25">
      <c r="A1021" s="44">
        <v>2017</v>
      </c>
      <c r="B1021" s="39">
        <v>170710</v>
      </c>
      <c r="C1021" s="38" t="s">
        <v>144</v>
      </c>
      <c r="D1021" s="38" t="s">
        <v>51</v>
      </c>
      <c r="E1021" s="39"/>
      <c r="F1021" s="42">
        <f t="shared" si="435"/>
        <v>0</v>
      </c>
      <c r="G1021" s="47"/>
      <c r="H1021" s="42">
        <f t="shared" si="436"/>
        <v>0</v>
      </c>
      <c r="I1021" s="39"/>
      <c r="J1021" s="41">
        <f t="shared" si="437"/>
        <v>0</v>
      </c>
      <c r="K1021" s="47"/>
      <c r="L1021" s="41">
        <f t="shared" si="438"/>
        <v>0</v>
      </c>
      <c r="M1021" s="39"/>
      <c r="N1021" s="41">
        <f t="shared" si="439"/>
        <v>0</v>
      </c>
      <c r="O1021" s="47"/>
      <c r="P1021" s="41">
        <f t="shared" si="440"/>
        <v>0</v>
      </c>
      <c r="Q1021" s="39"/>
      <c r="R1021" s="41">
        <f t="shared" si="441"/>
        <v>0</v>
      </c>
      <c r="S1021" s="47"/>
      <c r="T1021" s="41">
        <f t="shared" si="442"/>
        <v>0</v>
      </c>
      <c r="U1021" s="39"/>
      <c r="V1021" s="41">
        <f t="shared" si="443"/>
        <v>0</v>
      </c>
      <c r="W1021" s="47"/>
      <c r="X1021" s="41">
        <f t="shared" si="444"/>
        <v>0</v>
      </c>
      <c r="Y1021" s="39"/>
      <c r="Z1021" s="41">
        <f t="shared" si="445"/>
        <v>0</v>
      </c>
      <c r="AA1021" s="47"/>
      <c r="AB1021" s="41">
        <f t="shared" si="446"/>
        <v>0</v>
      </c>
      <c r="AC1021" s="39"/>
      <c r="AD1021" s="41">
        <f t="shared" si="461"/>
        <v>0</v>
      </c>
      <c r="AE1021" s="47"/>
      <c r="AF1021" s="41">
        <f t="shared" si="447"/>
        <v>0</v>
      </c>
      <c r="AG1021" s="39"/>
      <c r="AH1021" s="41">
        <f t="shared" si="462"/>
        <v>0</v>
      </c>
      <c r="AI1021" s="47"/>
      <c r="AJ1021" s="41">
        <f t="shared" si="448"/>
        <v>0</v>
      </c>
      <c r="AK1021" s="39"/>
      <c r="AL1021" s="41">
        <f t="shared" si="463"/>
        <v>0</v>
      </c>
      <c r="AM1021" s="47"/>
      <c r="AN1021" s="41">
        <f t="shared" si="449"/>
        <v>0</v>
      </c>
      <c r="AO1021" s="39"/>
      <c r="AP1021" s="41">
        <f t="shared" si="464"/>
        <v>0</v>
      </c>
      <c r="AQ1021" s="47"/>
      <c r="AR1021" s="41">
        <f t="shared" si="450"/>
        <v>0</v>
      </c>
      <c r="AS1021" s="39"/>
      <c r="AT1021" s="41">
        <f t="shared" si="465"/>
        <v>0</v>
      </c>
      <c r="AU1021" s="47"/>
      <c r="AV1021" s="41">
        <f t="shared" si="451"/>
        <v>0</v>
      </c>
      <c r="AW1021" s="39"/>
      <c r="AX1021" s="41">
        <f t="shared" si="466"/>
        <v>0</v>
      </c>
      <c r="AY1021" s="47"/>
      <c r="AZ1021" s="41">
        <f t="shared" si="452"/>
        <v>0</v>
      </c>
      <c r="BA1021" s="39"/>
      <c r="BB1021" s="41">
        <f t="shared" si="467"/>
        <v>0</v>
      </c>
      <c r="BC1021" s="47"/>
      <c r="BD1021" s="41">
        <f t="shared" si="453"/>
        <v>0</v>
      </c>
      <c r="BE1021" s="39"/>
      <c r="BF1021" s="47"/>
    </row>
    <row r="1022" spans="1:58" ht="15.75" customHeight="1" x14ac:dyDescent="0.25">
      <c r="A1022" s="44">
        <v>2017</v>
      </c>
      <c r="B1022" s="39">
        <v>170720</v>
      </c>
      <c r="C1022" s="38" t="s">
        <v>144</v>
      </c>
      <c r="D1022" s="38" t="s">
        <v>52</v>
      </c>
      <c r="E1022" s="39"/>
      <c r="F1022" s="42">
        <f t="shared" si="435"/>
        <v>0</v>
      </c>
      <c r="G1022" s="47"/>
      <c r="H1022" s="42">
        <f t="shared" si="436"/>
        <v>0</v>
      </c>
      <c r="I1022" s="39"/>
      <c r="J1022" s="41">
        <f t="shared" si="437"/>
        <v>0</v>
      </c>
      <c r="K1022" s="47"/>
      <c r="L1022" s="41">
        <f t="shared" si="438"/>
        <v>0</v>
      </c>
      <c r="M1022" s="39"/>
      <c r="N1022" s="41">
        <f t="shared" si="439"/>
        <v>0</v>
      </c>
      <c r="O1022" s="47"/>
      <c r="P1022" s="41">
        <f t="shared" si="440"/>
        <v>0</v>
      </c>
      <c r="Q1022" s="39"/>
      <c r="R1022" s="41">
        <f t="shared" si="441"/>
        <v>0</v>
      </c>
      <c r="S1022" s="47"/>
      <c r="T1022" s="41">
        <f t="shared" si="442"/>
        <v>0</v>
      </c>
      <c r="U1022" s="39"/>
      <c r="V1022" s="41">
        <f t="shared" si="443"/>
        <v>0</v>
      </c>
      <c r="W1022" s="47"/>
      <c r="X1022" s="41">
        <f t="shared" si="444"/>
        <v>0</v>
      </c>
      <c r="Y1022" s="39"/>
      <c r="Z1022" s="41">
        <f t="shared" si="445"/>
        <v>0</v>
      </c>
      <c r="AA1022" s="47"/>
      <c r="AB1022" s="41">
        <f t="shared" si="446"/>
        <v>0</v>
      </c>
      <c r="AC1022" s="39"/>
      <c r="AD1022" s="41">
        <f t="shared" si="461"/>
        <v>0</v>
      </c>
      <c r="AE1022" s="47"/>
      <c r="AF1022" s="41">
        <f t="shared" si="447"/>
        <v>0</v>
      </c>
      <c r="AG1022" s="39"/>
      <c r="AH1022" s="41">
        <f t="shared" si="462"/>
        <v>0</v>
      </c>
      <c r="AI1022" s="47"/>
      <c r="AJ1022" s="41">
        <f t="shared" si="448"/>
        <v>0</v>
      </c>
      <c r="AK1022" s="39"/>
      <c r="AL1022" s="41">
        <f t="shared" si="463"/>
        <v>0</v>
      </c>
      <c r="AM1022" s="47"/>
      <c r="AN1022" s="41">
        <f t="shared" si="449"/>
        <v>0</v>
      </c>
      <c r="AO1022" s="39"/>
      <c r="AP1022" s="41">
        <f t="shared" si="464"/>
        <v>0</v>
      </c>
      <c r="AQ1022" s="47"/>
      <c r="AR1022" s="41">
        <f t="shared" si="450"/>
        <v>0</v>
      </c>
      <c r="AS1022" s="39"/>
      <c r="AT1022" s="41">
        <f t="shared" si="465"/>
        <v>0</v>
      </c>
      <c r="AU1022" s="47"/>
      <c r="AV1022" s="41">
        <f t="shared" si="451"/>
        <v>0</v>
      </c>
      <c r="AW1022" s="39"/>
      <c r="AX1022" s="41">
        <f t="shared" si="466"/>
        <v>0</v>
      </c>
      <c r="AY1022" s="47"/>
      <c r="AZ1022" s="41">
        <f t="shared" si="452"/>
        <v>0</v>
      </c>
      <c r="BA1022" s="39"/>
      <c r="BB1022" s="41">
        <f t="shared" si="467"/>
        <v>0</v>
      </c>
      <c r="BC1022" s="47"/>
      <c r="BD1022" s="41">
        <f t="shared" si="453"/>
        <v>0</v>
      </c>
      <c r="BE1022" s="39"/>
      <c r="BF1022" s="47"/>
    </row>
    <row r="1023" spans="1:58" ht="15.75" customHeight="1" x14ac:dyDescent="0.25">
      <c r="A1023" s="44">
        <v>2017</v>
      </c>
      <c r="B1023" s="39">
        <v>170730</v>
      </c>
      <c r="C1023" s="38" t="s">
        <v>146</v>
      </c>
      <c r="D1023" s="38" t="s">
        <v>53</v>
      </c>
      <c r="E1023" s="39"/>
      <c r="F1023" s="42">
        <f t="shared" si="435"/>
        <v>0</v>
      </c>
      <c r="G1023" s="47"/>
      <c r="H1023" s="42">
        <f t="shared" si="436"/>
        <v>0</v>
      </c>
      <c r="I1023" s="39"/>
      <c r="J1023" s="41">
        <f t="shared" si="437"/>
        <v>0</v>
      </c>
      <c r="K1023" s="47"/>
      <c r="L1023" s="41">
        <f t="shared" si="438"/>
        <v>0</v>
      </c>
      <c r="M1023" s="39"/>
      <c r="N1023" s="41">
        <f t="shared" si="439"/>
        <v>0</v>
      </c>
      <c r="O1023" s="47"/>
      <c r="P1023" s="41">
        <f t="shared" si="440"/>
        <v>0</v>
      </c>
      <c r="Q1023" s="39"/>
      <c r="R1023" s="41">
        <f t="shared" si="441"/>
        <v>0</v>
      </c>
      <c r="S1023" s="47"/>
      <c r="T1023" s="41">
        <f t="shared" si="442"/>
        <v>0</v>
      </c>
      <c r="U1023" s="39"/>
      <c r="V1023" s="41">
        <f t="shared" si="443"/>
        <v>0</v>
      </c>
      <c r="W1023" s="47"/>
      <c r="X1023" s="41">
        <f t="shared" si="444"/>
        <v>0</v>
      </c>
      <c r="Y1023" s="39"/>
      <c r="Z1023" s="41">
        <f t="shared" si="445"/>
        <v>0</v>
      </c>
      <c r="AA1023" s="47"/>
      <c r="AB1023" s="41">
        <f t="shared" si="446"/>
        <v>0</v>
      </c>
      <c r="AC1023" s="39"/>
      <c r="AD1023" s="41">
        <f t="shared" si="461"/>
        <v>0</v>
      </c>
      <c r="AE1023" s="47"/>
      <c r="AF1023" s="41">
        <f t="shared" si="447"/>
        <v>0</v>
      </c>
      <c r="AG1023" s="39"/>
      <c r="AH1023" s="41">
        <f t="shared" si="462"/>
        <v>0</v>
      </c>
      <c r="AI1023" s="47"/>
      <c r="AJ1023" s="41">
        <f t="shared" si="448"/>
        <v>0</v>
      </c>
      <c r="AK1023" s="39"/>
      <c r="AL1023" s="41">
        <f t="shared" si="463"/>
        <v>0</v>
      </c>
      <c r="AM1023" s="47"/>
      <c r="AN1023" s="41">
        <f t="shared" si="449"/>
        <v>0</v>
      </c>
      <c r="AO1023" s="39"/>
      <c r="AP1023" s="41">
        <f t="shared" si="464"/>
        <v>0</v>
      </c>
      <c r="AQ1023" s="47"/>
      <c r="AR1023" s="41">
        <f t="shared" si="450"/>
        <v>0</v>
      </c>
      <c r="AS1023" s="39"/>
      <c r="AT1023" s="41">
        <f t="shared" si="465"/>
        <v>0</v>
      </c>
      <c r="AU1023" s="47"/>
      <c r="AV1023" s="41">
        <f t="shared" si="451"/>
        <v>0</v>
      </c>
      <c r="AW1023" s="39"/>
      <c r="AX1023" s="41">
        <f t="shared" si="466"/>
        <v>0</v>
      </c>
      <c r="AY1023" s="47"/>
      <c r="AZ1023" s="41">
        <f t="shared" si="452"/>
        <v>0</v>
      </c>
      <c r="BA1023" s="39"/>
      <c r="BB1023" s="41">
        <f t="shared" si="467"/>
        <v>0</v>
      </c>
      <c r="BC1023" s="47"/>
      <c r="BD1023" s="41">
        <f t="shared" si="453"/>
        <v>0</v>
      </c>
      <c r="BE1023" s="39"/>
      <c r="BF1023" s="47"/>
    </row>
    <row r="1024" spans="1:58" ht="15.75" customHeight="1" x14ac:dyDescent="0.25">
      <c r="A1024" s="44">
        <v>2017</v>
      </c>
      <c r="B1024" s="39">
        <v>170740</v>
      </c>
      <c r="C1024" s="38" t="s">
        <v>145</v>
      </c>
      <c r="D1024" s="38" t="s">
        <v>54</v>
      </c>
      <c r="E1024" s="39"/>
      <c r="F1024" s="42">
        <f t="shared" si="435"/>
        <v>0</v>
      </c>
      <c r="G1024" s="47"/>
      <c r="H1024" s="42">
        <f t="shared" si="436"/>
        <v>0</v>
      </c>
      <c r="I1024" s="39"/>
      <c r="J1024" s="41">
        <f t="shared" si="437"/>
        <v>0</v>
      </c>
      <c r="K1024" s="47"/>
      <c r="L1024" s="41">
        <f t="shared" si="438"/>
        <v>0</v>
      </c>
      <c r="M1024" s="39"/>
      <c r="N1024" s="41">
        <f t="shared" si="439"/>
        <v>0</v>
      </c>
      <c r="O1024" s="47"/>
      <c r="P1024" s="41">
        <f t="shared" si="440"/>
        <v>0</v>
      </c>
      <c r="Q1024" s="39"/>
      <c r="R1024" s="41">
        <f t="shared" si="441"/>
        <v>0</v>
      </c>
      <c r="S1024" s="47"/>
      <c r="T1024" s="41">
        <f t="shared" si="442"/>
        <v>0</v>
      </c>
      <c r="U1024" s="39"/>
      <c r="V1024" s="41">
        <f t="shared" si="443"/>
        <v>0</v>
      </c>
      <c r="W1024" s="47"/>
      <c r="X1024" s="41">
        <f t="shared" si="444"/>
        <v>0</v>
      </c>
      <c r="Y1024" s="39"/>
      <c r="Z1024" s="41">
        <f t="shared" si="445"/>
        <v>0</v>
      </c>
      <c r="AA1024" s="47"/>
      <c r="AB1024" s="41">
        <f t="shared" si="446"/>
        <v>0</v>
      </c>
      <c r="AC1024" s="39"/>
      <c r="AD1024" s="41">
        <f t="shared" si="461"/>
        <v>0</v>
      </c>
      <c r="AE1024" s="47"/>
      <c r="AF1024" s="41">
        <f t="shared" si="447"/>
        <v>0</v>
      </c>
      <c r="AG1024" s="39"/>
      <c r="AH1024" s="41">
        <f t="shared" si="462"/>
        <v>0</v>
      </c>
      <c r="AI1024" s="47"/>
      <c r="AJ1024" s="41">
        <f t="shared" si="448"/>
        <v>0</v>
      </c>
      <c r="AK1024" s="39"/>
      <c r="AL1024" s="41">
        <f t="shared" si="463"/>
        <v>0</v>
      </c>
      <c r="AM1024" s="47"/>
      <c r="AN1024" s="41">
        <f t="shared" si="449"/>
        <v>0</v>
      </c>
      <c r="AO1024" s="39"/>
      <c r="AP1024" s="41">
        <f t="shared" si="464"/>
        <v>0</v>
      </c>
      <c r="AQ1024" s="47"/>
      <c r="AR1024" s="41">
        <f t="shared" si="450"/>
        <v>0</v>
      </c>
      <c r="AS1024" s="39"/>
      <c r="AT1024" s="41">
        <f t="shared" si="465"/>
        <v>0</v>
      </c>
      <c r="AU1024" s="47"/>
      <c r="AV1024" s="41">
        <f t="shared" si="451"/>
        <v>0</v>
      </c>
      <c r="AW1024" s="39"/>
      <c r="AX1024" s="41">
        <f t="shared" si="466"/>
        <v>0</v>
      </c>
      <c r="AY1024" s="47"/>
      <c r="AZ1024" s="41">
        <f t="shared" si="452"/>
        <v>0</v>
      </c>
      <c r="BA1024" s="39"/>
      <c r="BB1024" s="41">
        <f t="shared" si="467"/>
        <v>0</v>
      </c>
      <c r="BC1024" s="47"/>
      <c r="BD1024" s="41">
        <f t="shared" si="453"/>
        <v>0</v>
      </c>
      <c r="BE1024" s="39"/>
      <c r="BF1024" s="47"/>
    </row>
    <row r="1025" spans="1:58" ht="15.75" customHeight="1" x14ac:dyDescent="0.25">
      <c r="A1025" s="44">
        <v>2017</v>
      </c>
      <c r="B1025" s="39">
        <v>170755</v>
      </c>
      <c r="C1025" s="38" t="s">
        <v>151</v>
      </c>
      <c r="D1025" s="38" t="s">
        <v>55</v>
      </c>
      <c r="E1025" s="39"/>
      <c r="F1025" s="42">
        <f t="shared" si="435"/>
        <v>0</v>
      </c>
      <c r="G1025" s="47"/>
      <c r="H1025" s="42">
        <f t="shared" si="436"/>
        <v>0</v>
      </c>
      <c r="I1025" s="39"/>
      <c r="J1025" s="41">
        <f t="shared" si="437"/>
        <v>0</v>
      </c>
      <c r="K1025" s="47"/>
      <c r="L1025" s="41">
        <f t="shared" si="438"/>
        <v>0</v>
      </c>
      <c r="M1025" s="39"/>
      <c r="N1025" s="41">
        <f t="shared" si="439"/>
        <v>0</v>
      </c>
      <c r="O1025" s="47"/>
      <c r="P1025" s="41">
        <f t="shared" si="440"/>
        <v>0</v>
      </c>
      <c r="Q1025" s="39"/>
      <c r="R1025" s="41">
        <f t="shared" si="441"/>
        <v>0</v>
      </c>
      <c r="S1025" s="47"/>
      <c r="T1025" s="41">
        <f t="shared" si="442"/>
        <v>0</v>
      </c>
      <c r="U1025" s="39"/>
      <c r="V1025" s="41">
        <f t="shared" si="443"/>
        <v>0</v>
      </c>
      <c r="W1025" s="47"/>
      <c r="X1025" s="41">
        <f t="shared" si="444"/>
        <v>0</v>
      </c>
      <c r="Y1025" s="39"/>
      <c r="Z1025" s="41">
        <f t="shared" si="445"/>
        <v>0</v>
      </c>
      <c r="AA1025" s="47"/>
      <c r="AB1025" s="41">
        <f t="shared" si="446"/>
        <v>0</v>
      </c>
      <c r="AC1025" s="39"/>
      <c r="AD1025" s="41">
        <f t="shared" si="461"/>
        <v>0</v>
      </c>
      <c r="AE1025" s="47"/>
      <c r="AF1025" s="41">
        <f t="shared" si="447"/>
        <v>0</v>
      </c>
      <c r="AG1025" s="39"/>
      <c r="AH1025" s="41">
        <f t="shared" si="462"/>
        <v>0</v>
      </c>
      <c r="AI1025" s="47"/>
      <c r="AJ1025" s="41">
        <f t="shared" si="448"/>
        <v>0</v>
      </c>
      <c r="AK1025" s="39"/>
      <c r="AL1025" s="41">
        <f t="shared" si="463"/>
        <v>0</v>
      </c>
      <c r="AM1025" s="47"/>
      <c r="AN1025" s="41">
        <f t="shared" si="449"/>
        <v>0</v>
      </c>
      <c r="AO1025" s="39"/>
      <c r="AP1025" s="41">
        <f t="shared" si="464"/>
        <v>0</v>
      </c>
      <c r="AQ1025" s="47"/>
      <c r="AR1025" s="41">
        <f t="shared" si="450"/>
        <v>0</v>
      </c>
      <c r="AS1025" s="39"/>
      <c r="AT1025" s="41">
        <f t="shared" si="465"/>
        <v>0</v>
      </c>
      <c r="AU1025" s="47"/>
      <c r="AV1025" s="41">
        <f t="shared" si="451"/>
        <v>0</v>
      </c>
      <c r="AW1025" s="39"/>
      <c r="AX1025" s="41">
        <f t="shared" si="466"/>
        <v>0</v>
      </c>
      <c r="AY1025" s="47"/>
      <c r="AZ1025" s="41">
        <f t="shared" si="452"/>
        <v>0</v>
      </c>
      <c r="BA1025" s="39"/>
      <c r="BB1025" s="41">
        <f t="shared" si="467"/>
        <v>0</v>
      </c>
      <c r="BC1025" s="47"/>
      <c r="BD1025" s="41">
        <f t="shared" si="453"/>
        <v>0</v>
      </c>
      <c r="BE1025" s="39"/>
      <c r="BF1025" s="47"/>
    </row>
    <row r="1026" spans="1:58" ht="15.75" customHeight="1" x14ac:dyDescent="0.25">
      <c r="A1026" s="44">
        <v>2017</v>
      </c>
      <c r="B1026" s="39">
        <v>170765</v>
      </c>
      <c r="C1026" s="38" t="s">
        <v>146</v>
      </c>
      <c r="D1026" s="38" t="s">
        <v>56</v>
      </c>
      <c r="E1026" s="39"/>
      <c r="F1026" s="42">
        <f t="shared" ref="F1026:F1089" si="468">IFERROR(E1026/$BE1026,0)</f>
        <v>0</v>
      </c>
      <c r="G1026" s="47"/>
      <c r="H1026" s="42">
        <f t="shared" ref="H1026:H1089" si="469">IFERROR(G1026/$BF1026,0)</f>
        <v>0</v>
      </c>
      <c r="I1026" s="39"/>
      <c r="J1026" s="41">
        <f t="shared" ref="J1026:J1089" si="470">IFERROR(I1026/$BE1026,0)</f>
        <v>0</v>
      </c>
      <c r="K1026" s="47"/>
      <c r="L1026" s="41">
        <f t="shared" ref="L1026:L1089" si="471">IFERROR(K1026/$BF1026,0)</f>
        <v>0</v>
      </c>
      <c r="M1026" s="39"/>
      <c r="N1026" s="41">
        <f t="shared" ref="N1026:N1089" si="472">IFERROR(M1026/$BE1026,0)</f>
        <v>0</v>
      </c>
      <c r="O1026" s="47"/>
      <c r="P1026" s="41">
        <f t="shared" ref="P1026:P1089" si="473">IFERROR(O1026/$BF1026,0)</f>
        <v>0</v>
      </c>
      <c r="Q1026" s="39"/>
      <c r="R1026" s="41">
        <f t="shared" ref="R1026:R1089" si="474">IFERROR(Q1026/$BE1026,0)</f>
        <v>0</v>
      </c>
      <c r="S1026" s="47"/>
      <c r="T1026" s="41">
        <f t="shared" ref="T1026:T1089" si="475">IFERROR(S1026/$BF1026,0)</f>
        <v>0</v>
      </c>
      <c r="U1026" s="39"/>
      <c r="V1026" s="41">
        <f t="shared" ref="V1026:V1089" si="476">IFERROR(U1026/$BE1026,0)</f>
        <v>0</v>
      </c>
      <c r="W1026" s="47"/>
      <c r="X1026" s="41">
        <f t="shared" ref="X1026:X1089" si="477">IFERROR(W1026/$BF1026,0)</f>
        <v>0</v>
      </c>
      <c r="Y1026" s="39"/>
      <c r="Z1026" s="41">
        <f t="shared" ref="Z1026:Z1089" si="478">IFERROR(Y1026/$BE1026,0)</f>
        <v>0</v>
      </c>
      <c r="AA1026" s="47"/>
      <c r="AB1026" s="41">
        <f t="shared" ref="AB1026:AB1089" si="479">IFERROR(AA1026/$BF1026,0)</f>
        <v>0</v>
      </c>
      <c r="AC1026" s="39"/>
      <c r="AD1026" s="41">
        <f t="shared" si="461"/>
        <v>0</v>
      </c>
      <c r="AE1026" s="47"/>
      <c r="AF1026" s="41">
        <f t="shared" ref="AF1026:AF1089" si="480">IFERROR(AE1026/$BF1026,0)</f>
        <v>0</v>
      </c>
      <c r="AG1026" s="39"/>
      <c r="AH1026" s="41">
        <f t="shared" si="462"/>
        <v>0</v>
      </c>
      <c r="AI1026" s="47"/>
      <c r="AJ1026" s="41">
        <f t="shared" ref="AJ1026:AJ1089" si="481">IFERROR(AI1026/$BF1026,0)</f>
        <v>0</v>
      </c>
      <c r="AK1026" s="39"/>
      <c r="AL1026" s="41">
        <f t="shared" si="463"/>
        <v>0</v>
      </c>
      <c r="AM1026" s="47"/>
      <c r="AN1026" s="41">
        <f t="shared" ref="AN1026:AN1089" si="482">IFERROR(AM1026/$BF1026,0)</f>
        <v>0</v>
      </c>
      <c r="AO1026" s="39"/>
      <c r="AP1026" s="41">
        <f t="shared" si="464"/>
        <v>0</v>
      </c>
      <c r="AQ1026" s="47"/>
      <c r="AR1026" s="41">
        <f t="shared" ref="AR1026:AR1089" si="483">IFERROR(AQ1026/$BF1026,0)</f>
        <v>0</v>
      </c>
      <c r="AS1026" s="39"/>
      <c r="AT1026" s="41">
        <f t="shared" si="465"/>
        <v>0</v>
      </c>
      <c r="AU1026" s="47"/>
      <c r="AV1026" s="41">
        <f t="shared" ref="AV1026:AV1089" si="484">IFERROR(AU1026/$BF1026,0)</f>
        <v>0</v>
      </c>
      <c r="AW1026" s="39"/>
      <c r="AX1026" s="41">
        <f t="shared" si="466"/>
        <v>0</v>
      </c>
      <c r="AY1026" s="47"/>
      <c r="AZ1026" s="41">
        <f t="shared" ref="AZ1026:AZ1089" si="485">IFERROR(AY1026/$BF1026,0)</f>
        <v>0</v>
      </c>
      <c r="BA1026" s="39"/>
      <c r="BB1026" s="41">
        <f t="shared" si="467"/>
        <v>0</v>
      </c>
      <c r="BC1026" s="47"/>
      <c r="BD1026" s="41">
        <f t="shared" ref="BD1026:BD1089" si="486">IFERROR(BC1026/$BF1026,0)</f>
        <v>0</v>
      </c>
      <c r="BE1026" s="39"/>
      <c r="BF1026" s="47"/>
    </row>
    <row r="1027" spans="1:58" ht="15.75" customHeight="1" x14ac:dyDescent="0.25">
      <c r="A1027" s="44">
        <v>2017</v>
      </c>
      <c r="B1027" s="39">
        <v>170770</v>
      </c>
      <c r="C1027" s="38" t="s">
        <v>149</v>
      </c>
      <c r="D1027" s="38" t="s">
        <v>57</v>
      </c>
      <c r="E1027" s="39"/>
      <c r="F1027" s="42">
        <f t="shared" si="468"/>
        <v>0</v>
      </c>
      <c r="G1027" s="47"/>
      <c r="H1027" s="42">
        <f t="shared" si="469"/>
        <v>0</v>
      </c>
      <c r="I1027" s="39"/>
      <c r="J1027" s="41">
        <f t="shared" si="470"/>
        <v>0</v>
      </c>
      <c r="K1027" s="47"/>
      <c r="L1027" s="41">
        <f t="shared" si="471"/>
        <v>0</v>
      </c>
      <c r="M1027" s="39"/>
      <c r="N1027" s="41">
        <f t="shared" si="472"/>
        <v>0</v>
      </c>
      <c r="O1027" s="47"/>
      <c r="P1027" s="41">
        <f t="shared" si="473"/>
        <v>0</v>
      </c>
      <c r="Q1027" s="39"/>
      <c r="R1027" s="41">
        <f t="shared" si="474"/>
        <v>0</v>
      </c>
      <c r="S1027" s="47"/>
      <c r="T1027" s="41">
        <f t="shared" si="475"/>
        <v>0</v>
      </c>
      <c r="U1027" s="39"/>
      <c r="V1027" s="41">
        <f t="shared" si="476"/>
        <v>0</v>
      </c>
      <c r="W1027" s="47"/>
      <c r="X1027" s="41">
        <f t="shared" si="477"/>
        <v>0</v>
      </c>
      <c r="Y1027" s="39"/>
      <c r="Z1027" s="41">
        <f t="shared" si="478"/>
        <v>0</v>
      </c>
      <c r="AA1027" s="47"/>
      <c r="AB1027" s="41">
        <f t="shared" si="479"/>
        <v>0</v>
      </c>
      <c r="AC1027" s="39"/>
      <c r="AD1027" s="41">
        <f t="shared" si="461"/>
        <v>0</v>
      </c>
      <c r="AE1027" s="47"/>
      <c r="AF1027" s="41">
        <f t="shared" si="480"/>
        <v>0</v>
      </c>
      <c r="AG1027" s="39"/>
      <c r="AH1027" s="41">
        <f t="shared" si="462"/>
        <v>0</v>
      </c>
      <c r="AI1027" s="47"/>
      <c r="AJ1027" s="41">
        <f t="shared" si="481"/>
        <v>0</v>
      </c>
      <c r="AK1027" s="39"/>
      <c r="AL1027" s="41">
        <f t="shared" si="463"/>
        <v>0</v>
      </c>
      <c r="AM1027" s="47"/>
      <c r="AN1027" s="41">
        <f t="shared" si="482"/>
        <v>0</v>
      </c>
      <c r="AO1027" s="39"/>
      <c r="AP1027" s="41">
        <f t="shared" si="464"/>
        <v>0</v>
      </c>
      <c r="AQ1027" s="47"/>
      <c r="AR1027" s="41">
        <f t="shared" si="483"/>
        <v>0</v>
      </c>
      <c r="AS1027" s="39"/>
      <c r="AT1027" s="41">
        <f t="shared" si="465"/>
        <v>0</v>
      </c>
      <c r="AU1027" s="47"/>
      <c r="AV1027" s="41">
        <f t="shared" si="484"/>
        <v>0</v>
      </c>
      <c r="AW1027" s="39"/>
      <c r="AX1027" s="41">
        <f t="shared" si="466"/>
        <v>0</v>
      </c>
      <c r="AY1027" s="47"/>
      <c r="AZ1027" s="41">
        <f t="shared" si="485"/>
        <v>0</v>
      </c>
      <c r="BA1027" s="39"/>
      <c r="BB1027" s="41">
        <f t="shared" si="467"/>
        <v>0</v>
      </c>
      <c r="BC1027" s="47"/>
      <c r="BD1027" s="41">
        <f t="shared" si="486"/>
        <v>0</v>
      </c>
      <c r="BE1027" s="39"/>
      <c r="BF1027" s="47"/>
    </row>
    <row r="1028" spans="1:58" ht="15.75" customHeight="1" x14ac:dyDescent="0.25">
      <c r="A1028" s="44">
        <v>2017</v>
      </c>
      <c r="B1028" s="39">
        <v>170820</v>
      </c>
      <c r="C1028" s="38" t="s">
        <v>146</v>
      </c>
      <c r="D1028" s="38" t="s">
        <v>58</v>
      </c>
      <c r="E1028" s="39"/>
      <c r="F1028" s="42">
        <f t="shared" si="468"/>
        <v>0</v>
      </c>
      <c r="G1028" s="47"/>
      <c r="H1028" s="42">
        <f t="shared" si="469"/>
        <v>0</v>
      </c>
      <c r="I1028" s="39"/>
      <c r="J1028" s="41">
        <f t="shared" si="470"/>
        <v>0</v>
      </c>
      <c r="K1028" s="47"/>
      <c r="L1028" s="41">
        <f t="shared" si="471"/>
        <v>0</v>
      </c>
      <c r="M1028" s="39"/>
      <c r="N1028" s="41">
        <f t="shared" si="472"/>
        <v>0</v>
      </c>
      <c r="O1028" s="47"/>
      <c r="P1028" s="41">
        <f t="shared" si="473"/>
        <v>0</v>
      </c>
      <c r="Q1028" s="39"/>
      <c r="R1028" s="41">
        <f t="shared" si="474"/>
        <v>0</v>
      </c>
      <c r="S1028" s="47"/>
      <c r="T1028" s="41">
        <f t="shared" si="475"/>
        <v>0</v>
      </c>
      <c r="U1028" s="39"/>
      <c r="V1028" s="41">
        <f t="shared" si="476"/>
        <v>0</v>
      </c>
      <c r="W1028" s="47"/>
      <c r="X1028" s="41">
        <f t="shared" si="477"/>
        <v>0</v>
      </c>
      <c r="Y1028" s="39"/>
      <c r="Z1028" s="41">
        <f t="shared" si="478"/>
        <v>0</v>
      </c>
      <c r="AA1028" s="47"/>
      <c r="AB1028" s="41">
        <f t="shared" si="479"/>
        <v>0</v>
      </c>
      <c r="AC1028" s="39"/>
      <c r="AD1028" s="41">
        <f t="shared" si="461"/>
        <v>0</v>
      </c>
      <c r="AE1028" s="47"/>
      <c r="AF1028" s="41">
        <f t="shared" si="480"/>
        <v>0</v>
      </c>
      <c r="AG1028" s="39"/>
      <c r="AH1028" s="41">
        <f t="shared" si="462"/>
        <v>0</v>
      </c>
      <c r="AI1028" s="47"/>
      <c r="AJ1028" s="41">
        <f t="shared" si="481"/>
        <v>0</v>
      </c>
      <c r="AK1028" s="39"/>
      <c r="AL1028" s="41">
        <f t="shared" si="463"/>
        <v>0</v>
      </c>
      <c r="AM1028" s="47"/>
      <c r="AN1028" s="41">
        <f t="shared" si="482"/>
        <v>0</v>
      </c>
      <c r="AO1028" s="39"/>
      <c r="AP1028" s="41">
        <f t="shared" si="464"/>
        <v>0</v>
      </c>
      <c r="AQ1028" s="47"/>
      <c r="AR1028" s="41">
        <f t="shared" si="483"/>
        <v>0</v>
      </c>
      <c r="AS1028" s="39"/>
      <c r="AT1028" s="41">
        <f t="shared" si="465"/>
        <v>0</v>
      </c>
      <c r="AU1028" s="47"/>
      <c r="AV1028" s="41">
        <f t="shared" si="484"/>
        <v>0</v>
      </c>
      <c r="AW1028" s="39"/>
      <c r="AX1028" s="41">
        <f t="shared" si="466"/>
        <v>0</v>
      </c>
      <c r="AY1028" s="47"/>
      <c r="AZ1028" s="41">
        <f t="shared" si="485"/>
        <v>0</v>
      </c>
      <c r="BA1028" s="39"/>
      <c r="BB1028" s="41">
        <f t="shared" si="467"/>
        <v>0</v>
      </c>
      <c r="BC1028" s="47"/>
      <c r="BD1028" s="41">
        <f t="shared" si="486"/>
        <v>0</v>
      </c>
      <c r="BE1028" s="39"/>
      <c r="BF1028" s="47"/>
    </row>
    <row r="1029" spans="1:58" ht="15.75" customHeight="1" x14ac:dyDescent="0.25">
      <c r="A1029" s="44">
        <v>2017</v>
      </c>
      <c r="B1029" s="39">
        <v>170830</v>
      </c>
      <c r="C1029" s="38" t="s">
        <v>150</v>
      </c>
      <c r="D1029" s="38" t="s">
        <v>59</v>
      </c>
      <c r="E1029" s="39"/>
      <c r="F1029" s="42">
        <f t="shared" si="468"/>
        <v>0</v>
      </c>
      <c r="G1029" s="47"/>
      <c r="H1029" s="42">
        <f t="shared" si="469"/>
        <v>0</v>
      </c>
      <c r="I1029" s="39"/>
      <c r="J1029" s="41">
        <f t="shared" si="470"/>
        <v>0</v>
      </c>
      <c r="K1029" s="47"/>
      <c r="L1029" s="41">
        <f t="shared" si="471"/>
        <v>0</v>
      </c>
      <c r="M1029" s="39"/>
      <c r="N1029" s="41">
        <f t="shared" si="472"/>
        <v>0</v>
      </c>
      <c r="O1029" s="47"/>
      <c r="P1029" s="41">
        <f t="shared" si="473"/>
        <v>0</v>
      </c>
      <c r="Q1029" s="39"/>
      <c r="R1029" s="41">
        <f t="shared" si="474"/>
        <v>0</v>
      </c>
      <c r="S1029" s="47"/>
      <c r="T1029" s="41">
        <f t="shared" si="475"/>
        <v>0</v>
      </c>
      <c r="U1029" s="39"/>
      <c r="V1029" s="41">
        <f t="shared" si="476"/>
        <v>0</v>
      </c>
      <c r="W1029" s="47"/>
      <c r="X1029" s="41">
        <f t="shared" si="477"/>
        <v>0</v>
      </c>
      <c r="Y1029" s="39"/>
      <c r="Z1029" s="41">
        <f t="shared" si="478"/>
        <v>0</v>
      </c>
      <c r="AA1029" s="47"/>
      <c r="AB1029" s="41">
        <f t="shared" si="479"/>
        <v>0</v>
      </c>
      <c r="AC1029" s="39"/>
      <c r="AD1029" s="41">
        <f t="shared" si="461"/>
        <v>0</v>
      </c>
      <c r="AE1029" s="47"/>
      <c r="AF1029" s="41">
        <f t="shared" si="480"/>
        <v>0</v>
      </c>
      <c r="AG1029" s="39"/>
      <c r="AH1029" s="41">
        <f t="shared" si="462"/>
        <v>0</v>
      </c>
      <c r="AI1029" s="47"/>
      <c r="AJ1029" s="41">
        <f t="shared" si="481"/>
        <v>0</v>
      </c>
      <c r="AK1029" s="39"/>
      <c r="AL1029" s="41">
        <f t="shared" si="463"/>
        <v>0</v>
      </c>
      <c r="AM1029" s="47"/>
      <c r="AN1029" s="41">
        <f t="shared" si="482"/>
        <v>0</v>
      </c>
      <c r="AO1029" s="39"/>
      <c r="AP1029" s="41">
        <f t="shared" si="464"/>
        <v>0</v>
      </c>
      <c r="AQ1029" s="47"/>
      <c r="AR1029" s="41">
        <f t="shared" si="483"/>
        <v>0</v>
      </c>
      <c r="AS1029" s="39"/>
      <c r="AT1029" s="41">
        <f t="shared" si="465"/>
        <v>0</v>
      </c>
      <c r="AU1029" s="47"/>
      <c r="AV1029" s="41">
        <f t="shared" si="484"/>
        <v>0</v>
      </c>
      <c r="AW1029" s="39"/>
      <c r="AX1029" s="41">
        <f t="shared" si="466"/>
        <v>0</v>
      </c>
      <c r="AY1029" s="47"/>
      <c r="AZ1029" s="41">
        <f t="shared" si="485"/>
        <v>0</v>
      </c>
      <c r="BA1029" s="39"/>
      <c r="BB1029" s="41">
        <f t="shared" si="467"/>
        <v>0</v>
      </c>
      <c r="BC1029" s="47"/>
      <c r="BD1029" s="41">
        <f t="shared" si="486"/>
        <v>0</v>
      </c>
      <c r="BE1029" s="39"/>
      <c r="BF1029" s="47"/>
    </row>
    <row r="1030" spans="1:58" ht="15.75" customHeight="1" x14ac:dyDescent="0.25">
      <c r="A1030" s="44">
        <v>2017</v>
      </c>
      <c r="B1030" s="39">
        <v>170900</v>
      </c>
      <c r="C1030" s="38" t="s">
        <v>149</v>
      </c>
      <c r="D1030" s="38" t="s">
        <v>60</v>
      </c>
      <c r="E1030" s="39"/>
      <c r="F1030" s="42">
        <f t="shared" si="468"/>
        <v>0</v>
      </c>
      <c r="G1030" s="47"/>
      <c r="H1030" s="42">
        <f t="shared" si="469"/>
        <v>0</v>
      </c>
      <c r="I1030" s="39"/>
      <c r="J1030" s="41">
        <f t="shared" si="470"/>
        <v>0</v>
      </c>
      <c r="K1030" s="47"/>
      <c r="L1030" s="41">
        <f t="shared" si="471"/>
        <v>0</v>
      </c>
      <c r="M1030" s="39"/>
      <c r="N1030" s="41">
        <f t="shared" si="472"/>
        <v>0</v>
      </c>
      <c r="O1030" s="47"/>
      <c r="P1030" s="41">
        <f t="shared" si="473"/>
        <v>0</v>
      </c>
      <c r="Q1030" s="39"/>
      <c r="R1030" s="41">
        <f t="shared" si="474"/>
        <v>0</v>
      </c>
      <c r="S1030" s="47"/>
      <c r="T1030" s="41">
        <f t="shared" si="475"/>
        <v>0</v>
      </c>
      <c r="U1030" s="39"/>
      <c r="V1030" s="41">
        <f t="shared" si="476"/>
        <v>0</v>
      </c>
      <c r="W1030" s="47"/>
      <c r="X1030" s="41">
        <f t="shared" si="477"/>
        <v>0</v>
      </c>
      <c r="Y1030" s="39"/>
      <c r="Z1030" s="41">
        <f t="shared" si="478"/>
        <v>0</v>
      </c>
      <c r="AA1030" s="47"/>
      <c r="AB1030" s="41">
        <f t="shared" si="479"/>
        <v>0</v>
      </c>
      <c r="AC1030" s="39"/>
      <c r="AD1030" s="41">
        <f t="shared" si="461"/>
        <v>0</v>
      </c>
      <c r="AE1030" s="47"/>
      <c r="AF1030" s="41">
        <f t="shared" si="480"/>
        <v>0</v>
      </c>
      <c r="AG1030" s="39"/>
      <c r="AH1030" s="41">
        <f t="shared" si="462"/>
        <v>0</v>
      </c>
      <c r="AI1030" s="47"/>
      <c r="AJ1030" s="41">
        <f t="shared" si="481"/>
        <v>0</v>
      </c>
      <c r="AK1030" s="39"/>
      <c r="AL1030" s="41">
        <f t="shared" si="463"/>
        <v>0</v>
      </c>
      <c r="AM1030" s="47"/>
      <c r="AN1030" s="41">
        <f t="shared" si="482"/>
        <v>0</v>
      </c>
      <c r="AO1030" s="39"/>
      <c r="AP1030" s="41">
        <f t="shared" si="464"/>
        <v>0</v>
      </c>
      <c r="AQ1030" s="47"/>
      <c r="AR1030" s="41">
        <f t="shared" si="483"/>
        <v>0</v>
      </c>
      <c r="AS1030" s="39"/>
      <c r="AT1030" s="41">
        <f t="shared" si="465"/>
        <v>0</v>
      </c>
      <c r="AU1030" s="47"/>
      <c r="AV1030" s="41">
        <f t="shared" si="484"/>
        <v>0</v>
      </c>
      <c r="AW1030" s="39"/>
      <c r="AX1030" s="41">
        <f t="shared" si="466"/>
        <v>0</v>
      </c>
      <c r="AY1030" s="47"/>
      <c r="AZ1030" s="41">
        <f t="shared" si="485"/>
        <v>0</v>
      </c>
      <c r="BA1030" s="39"/>
      <c r="BB1030" s="41">
        <f t="shared" si="467"/>
        <v>0</v>
      </c>
      <c r="BC1030" s="47"/>
      <c r="BD1030" s="41">
        <f t="shared" si="486"/>
        <v>0</v>
      </c>
      <c r="BE1030" s="39"/>
      <c r="BF1030" s="47"/>
    </row>
    <row r="1031" spans="1:58" ht="15.75" customHeight="1" x14ac:dyDescent="0.25">
      <c r="A1031" s="44">
        <v>2017</v>
      </c>
      <c r="B1031" s="39">
        <v>170930</v>
      </c>
      <c r="C1031" s="38" t="s">
        <v>150</v>
      </c>
      <c r="D1031" s="38" t="s">
        <v>61</v>
      </c>
      <c r="E1031" s="39"/>
      <c r="F1031" s="42">
        <f t="shared" si="468"/>
        <v>0</v>
      </c>
      <c r="G1031" s="47"/>
      <c r="H1031" s="42">
        <f t="shared" si="469"/>
        <v>0</v>
      </c>
      <c r="I1031" s="39"/>
      <c r="J1031" s="41">
        <f t="shared" si="470"/>
        <v>0</v>
      </c>
      <c r="K1031" s="47"/>
      <c r="L1031" s="41">
        <f t="shared" si="471"/>
        <v>0</v>
      </c>
      <c r="M1031" s="39"/>
      <c r="N1031" s="41">
        <f t="shared" si="472"/>
        <v>0</v>
      </c>
      <c r="O1031" s="47"/>
      <c r="P1031" s="41">
        <f t="shared" si="473"/>
        <v>0</v>
      </c>
      <c r="Q1031" s="39"/>
      <c r="R1031" s="41">
        <f t="shared" si="474"/>
        <v>0</v>
      </c>
      <c r="S1031" s="47"/>
      <c r="T1031" s="41">
        <f t="shared" si="475"/>
        <v>0</v>
      </c>
      <c r="U1031" s="39"/>
      <c r="V1031" s="41">
        <f t="shared" si="476"/>
        <v>0</v>
      </c>
      <c r="W1031" s="47"/>
      <c r="X1031" s="41">
        <f t="shared" si="477"/>
        <v>0</v>
      </c>
      <c r="Y1031" s="39"/>
      <c r="Z1031" s="41">
        <f t="shared" si="478"/>
        <v>0</v>
      </c>
      <c r="AA1031" s="47"/>
      <c r="AB1031" s="41">
        <f t="shared" si="479"/>
        <v>0</v>
      </c>
      <c r="AC1031" s="39"/>
      <c r="AD1031" s="41">
        <f t="shared" si="461"/>
        <v>0</v>
      </c>
      <c r="AE1031" s="47"/>
      <c r="AF1031" s="41">
        <f t="shared" si="480"/>
        <v>0</v>
      </c>
      <c r="AG1031" s="39"/>
      <c r="AH1031" s="41">
        <f t="shared" si="462"/>
        <v>0</v>
      </c>
      <c r="AI1031" s="47"/>
      <c r="AJ1031" s="41">
        <f t="shared" si="481"/>
        <v>0</v>
      </c>
      <c r="AK1031" s="39"/>
      <c r="AL1031" s="41">
        <f t="shared" si="463"/>
        <v>0</v>
      </c>
      <c r="AM1031" s="47"/>
      <c r="AN1031" s="41">
        <f t="shared" si="482"/>
        <v>0</v>
      </c>
      <c r="AO1031" s="39"/>
      <c r="AP1031" s="41">
        <f t="shared" si="464"/>
        <v>0</v>
      </c>
      <c r="AQ1031" s="47"/>
      <c r="AR1031" s="41">
        <f t="shared" si="483"/>
        <v>0</v>
      </c>
      <c r="AS1031" s="39"/>
      <c r="AT1031" s="41">
        <f t="shared" si="465"/>
        <v>0</v>
      </c>
      <c r="AU1031" s="47"/>
      <c r="AV1031" s="41">
        <f t="shared" si="484"/>
        <v>0</v>
      </c>
      <c r="AW1031" s="39"/>
      <c r="AX1031" s="41">
        <f t="shared" si="466"/>
        <v>0</v>
      </c>
      <c r="AY1031" s="47"/>
      <c r="AZ1031" s="41">
        <f t="shared" si="485"/>
        <v>0</v>
      </c>
      <c r="BA1031" s="39"/>
      <c r="BB1031" s="41">
        <f t="shared" si="467"/>
        <v>0</v>
      </c>
      <c r="BC1031" s="47"/>
      <c r="BD1031" s="41">
        <f t="shared" si="486"/>
        <v>0</v>
      </c>
      <c r="BE1031" s="39"/>
      <c r="BF1031" s="47"/>
    </row>
    <row r="1032" spans="1:58" ht="15.75" customHeight="1" x14ac:dyDescent="0.25">
      <c r="A1032" s="44">
        <v>2017</v>
      </c>
      <c r="B1032" s="39">
        <v>170950</v>
      </c>
      <c r="C1032" s="38" t="s">
        <v>146</v>
      </c>
      <c r="D1032" s="38" t="s">
        <v>62</v>
      </c>
      <c r="E1032" s="39"/>
      <c r="F1032" s="42">
        <f t="shared" si="468"/>
        <v>0</v>
      </c>
      <c r="G1032" s="47"/>
      <c r="H1032" s="42">
        <f t="shared" si="469"/>
        <v>0</v>
      </c>
      <c r="I1032" s="39"/>
      <c r="J1032" s="41">
        <f t="shared" si="470"/>
        <v>0</v>
      </c>
      <c r="K1032" s="47"/>
      <c r="L1032" s="41">
        <f t="shared" si="471"/>
        <v>0</v>
      </c>
      <c r="M1032" s="39"/>
      <c r="N1032" s="41">
        <f t="shared" si="472"/>
        <v>0</v>
      </c>
      <c r="O1032" s="47"/>
      <c r="P1032" s="41">
        <f t="shared" si="473"/>
        <v>0</v>
      </c>
      <c r="Q1032" s="39"/>
      <c r="R1032" s="41">
        <f t="shared" si="474"/>
        <v>0</v>
      </c>
      <c r="S1032" s="47"/>
      <c r="T1032" s="41">
        <f t="shared" si="475"/>
        <v>0</v>
      </c>
      <c r="U1032" s="39"/>
      <c r="V1032" s="41">
        <f t="shared" si="476"/>
        <v>0</v>
      </c>
      <c r="W1032" s="47"/>
      <c r="X1032" s="41">
        <f t="shared" si="477"/>
        <v>0</v>
      </c>
      <c r="Y1032" s="39"/>
      <c r="Z1032" s="41">
        <f t="shared" si="478"/>
        <v>0</v>
      </c>
      <c r="AA1032" s="47"/>
      <c r="AB1032" s="41">
        <f t="shared" si="479"/>
        <v>0</v>
      </c>
      <c r="AC1032" s="39"/>
      <c r="AD1032" s="41">
        <f t="shared" si="461"/>
        <v>0</v>
      </c>
      <c r="AE1032" s="48"/>
      <c r="AF1032" s="41">
        <f t="shared" si="480"/>
        <v>0</v>
      </c>
      <c r="AG1032" s="39"/>
      <c r="AH1032" s="41">
        <f t="shared" si="462"/>
        <v>0</v>
      </c>
      <c r="AI1032" s="47"/>
      <c r="AJ1032" s="41">
        <f t="shared" si="481"/>
        <v>0</v>
      </c>
      <c r="AK1032" s="39"/>
      <c r="AL1032" s="41">
        <f t="shared" si="463"/>
        <v>0</v>
      </c>
      <c r="AM1032" s="47"/>
      <c r="AN1032" s="41">
        <f t="shared" si="482"/>
        <v>0</v>
      </c>
      <c r="AO1032" s="39"/>
      <c r="AP1032" s="41">
        <f t="shared" si="464"/>
        <v>0</v>
      </c>
      <c r="AQ1032" s="47"/>
      <c r="AR1032" s="41">
        <f t="shared" si="483"/>
        <v>0</v>
      </c>
      <c r="AS1032" s="39"/>
      <c r="AT1032" s="41">
        <f t="shared" si="465"/>
        <v>0</v>
      </c>
      <c r="AU1032" s="47"/>
      <c r="AV1032" s="41">
        <f t="shared" si="484"/>
        <v>0</v>
      </c>
      <c r="AW1032" s="39"/>
      <c r="AX1032" s="41">
        <f t="shared" si="466"/>
        <v>0</v>
      </c>
      <c r="AY1032" s="47"/>
      <c r="AZ1032" s="41">
        <f t="shared" si="485"/>
        <v>0</v>
      </c>
      <c r="BA1032" s="39"/>
      <c r="BB1032" s="41">
        <f t="shared" si="467"/>
        <v>0</v>
      </c>
      <c r="BC1032" s="47"/>
      <c r="BD1032" s="41">
        <f t="shared" si="486"/>
        <v>0</v>
      </c>
      <c r="BE1032" s="39"/>
      <c r="BF1032" s="48"/>
    </row>
    <row r="1033" spans="1:58" ht="15.75" customHeight="1" x14ac:dyDescent="0.25">
      <c r="A1033" s="44">
        <v>2017</v>
      </c>
      <c r="B1033" s="39">
        <v>170980</v>
      </c>
      <c r="C1033" s="38" t="s">
        <v>151</v>
      </c>
      <c r="D1033" s="38" t="s">
        <v>63</v>
      </c>
      <c r="E1033" s="39"/>
      <c r="F1033" s="42">
        <f t="shared" si="468"/>
        <v>0</v>
      </c>
      <c r="G1033" s="47"/>
      <c r="H1033" s="42">
        <f t="shared" si="469"/>
        <v>0</v>
      </c>
      <c r="I1033" s="39"/>
      <c r="J1033" s="41">
        <f t="shared" si="470"/>
        <v>0</v>
      </c>
      <c r="K1033" s="47"/>
      <c r="L1033" s="41">
        <f t="shared" si="471"/>
        <v>0</v>
      </c>
      <c r="M1033" s="39"/>
      <c r="N1033" s="41">
        <f t="shared" si="472"/>
        <v>0</v>
      </c>
      <c r="O1033" s="47"/>
      <c r="P1033" s="41">
        <f t="shared" si="473"/>
        <v>0</v>
      </c>
      <c r="Q1033" s="39"/>
      <c r="R1033" s="41">
        <f t="shared" si="474"/>
        <v>0</v>
      </c>
      <c r="S1033" s="47"/>
      <c r="T1033" s="41">
        <f t="shared" si="475"/>
        <v>0</v>
      </c>
      <c r="U1033" s="39"/>
      <c r="V1033" s="41">
        <f t="shared" si="476"/>
        <v>0</v>
      </c>
      <c r="W1033" s="47"/>
      <c r="X1033" s="41">
        <f t="shared" si="477"/>
        <v>0</v>
      </c>
      <c r="Y1033" s="39"/>
      <c r="Z1033" s="41">
        <f t="shared" si="478"/>
        <v>0</v>
      </c>
      <c r="AA1033" s="47"/>
      <c r="AB1033" s="41">
        <f t="shared" si="479"/>
        <v>0</v>
      </c>
      <c r="AC1033" s="39"/>
      <c r="AD1033" s="41">
        <f t="shared" si="461"/>
        <v>0</v>
      </c>
      <c r="AE1033" s="47"/>
      <c r="AF1033" s="41">
        <f t="shared" si="480"/>
        <v>0</v>
      </c>
      <c r="AG1033" s="39"/>
      <c r="AH1033" s="41">
        <f t="shared" si="462"/>
        <v>0</v>
      </c>
      <c r="AI1033" s="47"/>
      <c r="AJ1033" s="41">
        <f t="shared" si="481"/>
        <v>0</v>
      </c>
      <c r="AK1033" s="39"/>
      <c r="AL1033" s="41">
        <f t="shared" si="463"/>
        <v>0</v>
      </c>
      <c r="AM1033" s="47"/>
      <c r="AN1033" s="41">
        <f t="shared" si="482"/>
        <v>0</v>
      </c>
      <c r="AO1033" s="39"/>
      <c r="AP1033" s="41">
        <f t="shared" si="464"/>
        <v>0</v>
      </c>
      <c r="AQ1033" s="47"/>
      <c r="AR1033" s="41">
        <f t="shared" si="483"/>
        <v>0</v>
      </c>
      <c r="AS1033" s="39"/>
      <c r="AT1033" s="41">
        <f t="shared" si="465"/>
        <v>0</v>
      </c>
      <c r="AU1033" s="47"/>
      <c r="AV1033" s="41">
        <f t="shared" si="484"/>
        <v>0</v>
      </c>
      <c r="AW1033" s="39"/>
      <c r="AX1033" s="41">
        <f t="shared" si="466"/>
        <v>0</v>
      </c>
      <c r="AY1033" s="47"/>
      <c r="AZ1033" s="41">
        <f t="shared" si="485"/>
        <v>0</v>
      </c>
      <c r="BA1033" s="39"/>
      <c r="BB1033" s="41">
        <f t="shared" si="467"/>
        <v>0</v>
      </c>
      <c r="BC1033" s="47"/>
      <c r="BD1033" s="41">
        <f t="shared" si="486"/>
        <v>0</v>
      </c>
      <c r="BE1033" s="39"/>
      <c r="BF1033" s="47"/>
    </row>
    <row r="1034" spans="1:58" ht="15.75" customHeight="1" x14ac:dyDescent="0.25">
      <c r="A1034" s="44">
        <v>2017</v>
      </c>
      <c r="B1034" s="39">
        <v>171050</v>
      </c>
      <c r="C1034" s="38" t="s">
        <v>150</v>
      </c>
      <c r="D1034" s="38" t="s">
        <v>64</v>
      </c>
      <c r="E1034" s="39"/>
      <c r="F1034" s="42">
        <f t="shared" si="468"/>
        <v>0</v>
      </c>
      <c r="G1034" s="47"/>
      <c r="H1034" s="42">
        <f t="shared" si="469"/>
        <v>0</v>
      </c>
      <c r="I1034" s="39"/>
      <c r="J1034" s="41">
        <f t="shared" si="470"/>
        <v>0</v>
      </c>
      <c r="K1034" s="47"/>
      <c r="L1034" s="41">
        <f t="shared" si="471"/>
        <v>0</v>
      </c>
      <c r="M1034" s="39"/>
      <c r="N1034" s="41">
        <f t="shared" si="472"/>
        <v>0</v>
      </c>
      <c r="O1034" s="47"/>
      <c r="P1034" s="41">
        <f t="shared" si="473"/>
        <v>0</v>
      </c>
      <c r="Q1034" s="39"/>
      <c r="R1034" s="41">
        <f t="shared" si="474"/>
        <v>0</v>
      </c>
      <c r="S1034" s="47"/>
      <c r="T1034" s="41">
        <f t="shared" si="475"/>
        <v>0</v>
      </c>
      <c r="U1034" s="39"/>
      <c r="V1034" s="41">
        <f t="shared" si="476"/>
        <v>0</v>
      </c>
      <c r="W1034" s="47"/>
      <c r="X1034" s="41">
        <f t="shared" si="477"/>
        <v>0</v>
      </c>
      <c r="Y1034" s="39"/>
      <c r="Z1034" s="41">
        <f t="shared" si="478"/>
        <v>0</v>
      </c>
      <c r="AA1034" s="47"/>
      <c r="AB1034" s="41">
        <f t="shared" si="479"/>
        <v>0</v>
      </c>
      <c r="AC1034" s="39"/>
      <c r="AD1034" s="41">
        <f t="shared" si="461"/>
        <v>0</v>
      </c>
      <c r="AE1034" s="47"/>
      <c r="AF1034" s="41">
        <f t="shared" si="480"/>
        <v>0</v>
      </c>
      <c r="AG1034" s="39"/>
      <c r="AH1034" s="41">
        <f t="shared" si="462"/>
        <v>0</v>
      </c>
      <c r="AI1034" s="47"/>
      <c r="AJ1034" s="41">
        <f t="shared" si="481"/>
        <v>0</v>
      </c>
      <c r="AK1034" s="39"/>
      <c r="AL1034" s="41">
        <f t="shared" si="463"/>
        <v>0</v>
      </c>
      <c r="AM1034" s="47"/>
      <c r="AN1034" s="41">
        <f t="shared" si="482"/>
        <v>0</v>
      </c>
      <c r="AO1034" s="39"/>
      <c r="AP1034" s="41">
        <f t="shared" si="464"/>
        <v>0</v>
      </c>
      <c r="AQ1034" s="47"/>
      <c r="AR1034" s="41">
        <f t="shared" si="483"/>
        <v>0</v>
      </c>
      <c r="AS1034" s="39"/>
      <c r="AT1034" s="41">
        <f t="shared" si="465"/>
        <v>0</v>
      </c>
      <c r="AU1034" s="47"/>
      <c r="AV1034" s="41">
        <f t="shared" si="484"/>
        <v>0</v>
      </c>
      <c r="AW1034" s="39"/>
      <c r="AX1034" s="41">
        <f t="shared" si="466"/>
        <v>0</v>
      </c>
      <c r="AY1034" s="47"/>
      <c r="AZ1034" s="41">
        <f t="shared" si="485"/>
        <v>0</v>
      </c>
      <c r="BA1034" s="39"/>
      <c r="BB1034" s="41">
        <f t="shared" si="467"/>
        <v>0</v>
      </c>
      <c r="BC1034" s="47"/>
      <c r="BD1034" s="41">
        <f t="shared" si="486"/>
        <v>0</v>
      </c>
      <c r="BE1034" s="39"/>
      <c r="BF1034" s="47"/>
    </row>
    <row r="1035" spans="1:58" ht="15.75" customHeight="1" x14ac:dyDescent="0.25">
      <c r="A1035" s="44">
        <v>2017</v>
      </c>
      <c r="B1035" s="39">
        <v>171070</v>
      </c>
      <c r="C1035" s="38" t="s">
        <v>145</v>
      </c>
      <c r="D1035" s="38" t="s">
        <v>65</v>
      </c>
      <c r="E1035" s="39"/>
      <c r="F1035" s="42">
        <f t="shared" si="468"/>
        <v>0</v>
      </c>
      <c r="G1035" s="47"/>
      <c r="H1035" s="42">
        <f t="shared" si="469"/>
        <v>0</v>
      </c>
      <c r="I1035" s="39"/>
      <c r="J1035" s="41">
        <f t="shared" si="470"/>
        <v>0</v>
      </c>
      <c r="K1035" s="47"/>
      <c r="L1035" s="41">
        <f t="shared" si="471"/>
        <v>0</v>
      </c>
      <c r="M1035" s="39"/>
      <c r="N1035" s="41">
        <f t="shared" si="472"/>
        <v>0</v>
      </c>
      <c r="O1035" s="47"/>
      <c r="P1035" s="41">
        <f t="shared" si="473"/>
        <v>0</v>
      </c>
      <c r="Q1035" s="39"/>
      <c r="R1035" s="41">
        <f t="shared" si="474"/>
        <v>0</v>
      </c>
      <c r="S1035" s="47"/>
      <c r="T1035" s="41">
        <f t="shared" si="475"/>
        <v>0</v>
      </c>
      <c r="U1035" s="39"/>
      <c r="V1035" s="41">
        <f t="shared" si="476"/>
        <v>0</v>
      </c>
      <c r="W1035" s="47"/>
      <c r="X1035" s="41">
        <f t="shared" si="477"/>
        <v>0</v>
      </c>
      <c r="Y1035" s="39"/>
      <c r="Z1035" s="41">
        <f t="shared" si="478"/>
        <v>0</v>
      </c>
      <c r="AA1035" s="47"/>
      <c r="AB1035" s="41">
        <f t="shared" si="479"/>
        <v>0</v>
      </c>
      <c r="AC1035" s="39"/>
      <c r="AD1035" s="41">
        <f t="shared" si="461"/>
        <v>0</v>
      </c>
      <c r="AE1035" s="47"/>
      <c r="AF1035" s="41">
        <f t="shared" si="480"/>
        <v>0</v>
      </c>
      <c r="AG1035" s="39"/>
      <c r="AH1035" s="41">
        <f t="shared" si="462"/>
        <v>0</v>
      </c>
      <c r="AI1035" s="47"/>
      <c r="AJ1035" s="41">
        <f t="shared" si="481"/>
        <v>0</v>
      </c>
      <c r="AK1035" s="39"/>
      <c r="AL1035" s="41">
        <f t="shared" si="463"/>
        <v>0</v>
      </c>
      <c r="AM1035" s="47"/>
      <c r="AN1035" s="41">
        <f t="shared" si="482"/>
        <v>0</v>
      </c>
      <c r="AO1035" s="39"/>
      <c r="AP1035" s="41">
        <f t="shared" si="464"/>
        <v>0</v>
      </c>
      <c r="AQ1035" s="47"/>
      <c r="AR1035" s="41">
        <f t="shared" si="483"/>
        <v>0</v>
      </c>
      <c r="AS1035" s="39"/>
      <c r="AT1035" s="41">
        <f t="shared" si="465"/>
        <v>0</v>
      </c>
      <c r="AU1035" s="47"/>
      <c r="AV1035" s="41">
        <f t="shared" si="484"/>
        <v>0</v>
      </c>
      <c r="AW1035" s="39"/>
      <c r="AX1035" s="41">
        <f t="shared" si="466"/>
        <v>0</v>
      </c>
      <c r="AY1035" s="47"/>
      <c r="AZ1035" s="41">
        <f t="shared" si="485"/>
        <v>0</v>
      </c>
      <c r="BA1035" s="39"/>
      <c r="BB1035" s="41">
        <f t="shared" si="467"/>
        <v>0</v>
      </c>
      <c r="BC1035" s="47"/>
      <c r="BD1035" s="41">
        <f t="shared" si="486"/>
        <v>0</v>
      </c>
      <c r="BE1035" s="39"/>
      <c r="BF1035" s="47"/>
    </row>
    <row r="1036" spans="1:58" ht="15.75" customHeight="1" x14ac:dyDescent="0.25">
      <c r="A1036" s="44">
        <v>2017</v>
      </c>
      <c r="B1036" s="39">
        <v>171090</v>
      </c>
      <c r="C1036" s="38" t="s">
        <v>150</v>
      </c>
      <c r="D1036" s="38" t="s">
        <v>66</v>
      </c>
      <c r="E1036" s="39"/>
      <c r="F1036" s="42">
        <f t="shared" si="468"/>
        <v>0</v>
      </c>
      <c r="G1036" s="47"/>
      <c r="H1036" s="42">
        <f t="shared" si="469"/>
        <v>0</v>
      </c>
      <c r="I1036" s="39"/>
      <c r="J1036" s="41">
        <f t="shared" si="470"/>
        <v>0</v>
      </c>
      <c r="K1036" s="47"/>
      <c r="L1036" s="41">
        <f t="shared" si="471"/>
        <v>0</v>
      </c>
      <c r="M1036" s="39"/>
      <c r="N1036" s="41">
        <f t="shared" si="472"/>
        <v>0</v>
      </c>
      <c r="O1036" s="47"/>
      <c r="P1036" s="41">
        <f t="shared" si="473"/>
        <v>0</v>
      </c>
      <c r="Q1036" s="39"/>
      <c r="R1036" s="41">
        <f t="shared" si="474"/>
        <v>0</v>
      </c>
      <c r="S1036" s="47"/>
      <c r="T1036" s="41">
        <f t="shared" si="475"/>
        <v>0</v>
      </c>
      <c r="U1036" s="39"/>
      <c r="V1036" s="41">
        <f t="shared" si="476"/>
        <v>0</v>
      </c>
      <c r="W1036" s="47"/>
      <c r="X1036" s="41">
        <f t="shared" si="477"/>
        <v>0</v>
      </c>
      <c r="Y1036" s="39"/>
      <c r="Z1036" s="41">
        <f t="shared" si="478"/>
        <v>0</v>
      </c>
      <c r="AA1036" s="47"/>
      <c r="AB1036" s="41">
        <f t="shared" si="479"/>
        <v>0</v>
      </c>
      <c r="AC1036" s="39"/>
      <c r="AD1036" s="41">
        <f t="shared" si="461"/>
        <v>0</v>
      </c>
      <c r="AE1036" s="47"/>
      <c r="AF1036" s="41">
        <f t="shared" si="480"/>
        <v>0</v>
      </c>
      <c r="AG1036" s="39"/>
      <c r="AH1036" s="41">
        <f t="shared" si="462"/>
        <v>0</v>
      </c>
      <c r="AI1036" s="47"/>
      <c r="AJ1036" s="41">
        <f t="shared" si="481"/>
        <v>0</v>
      </c>
      <c r="AK1036" s="39"/>
      <c r="AL1036" s="41">
        <f t="shared" si="463"/>
        <v>0</v>
      </c>
      <c r="AM1036" s="47"/>
      <c r="AN1036" s="41">
        <f t="shared" si="482"/>
        <v>0</v>
      </c>
      <c r="AO1036" s="39"/>
      <c r="AP1036" s="41">
        <f t="shared" si="464"/>
        <v>0</v>
      </c>
      <c r="AQ1036" s="47"/>
      <c r="AR1036" s="41">
        <f t="shared" si="483"/>
        <v>0</v>
      </c>
      <c r="AS1036" s="39"/>
      <c r="AT1036" s="41">
        <f t="shared" si="465"/>
        <v>0</v>
      </c>
      <c r="AU1036" s="47"/>
      <c r="AV1036" s="41">
        <f t="shared" si="484"/>
        <v>0</v>
      </c>
      <c r="AW1036" s="39"/>
      <c r="AX1036" s="41">
        <f t="shared" si="466"/>
        <v>0</v>
      </c>
      <c r="AY1036" s="47"/>
      <c r="AZ1036" s="41">
        <f t="shared" si="485"/>
        <v>0</v>
      </c>
      <c r="BA1036" s="39"/>
      <c r="BB1036" s="41">
        <f t="shared" si="467"/>
        <v>0</v>
      </c>
      <c r="BC1036" s="47"/>
      <c r="BD1036" s="41">
        <f t="shared" si="486"/>
        <v>0</v>
      </c>
      <c r="BE1036" s="39"/>
      <c r="BF1036" s="47"/>
    </row>
    <row r="1037" spans="1:58" ht="15.75" customHeight="1" x14ac:dyDescent="0.25">
      <c r="A1037" s="44">
        <v>2017</v>
      </c>
      <c r="B1037" s="39">
        <v>171110</v>
      </c>
      <c r="C1037" s="38" t="s">
        <v>150</v>
      </c>
      <c r="D1037" s="38" t="s">
        <v>67</v>
      </c>
      <c r="E1037" s="39"/>
      <c r="F1037" s="42">
        <f t="shared" si="468"/>
        <v>0</v>
      </c>
      <c r="G1037" s="47"/>
      <c r="H1037" s="42">
        <f t="shared" si="469"/>
        <v>0</v>
      </c>
      <c r="I1037" s="39"/>
      <c r="J1037" s="41">
        <f t="shared" si="470"/>
        <v>0</v>
      </c>
      <c r="K1037" s="47"/>
      <c r="L1037" s="41">
        <f t="shared" si="471"/>
        <v>0</v>
      </c>
      <c r="M1037" s="39"/>
      <c r="N1037" s="41">
        <f t="shared" si="472"/>
        <v>0</v>
      </c>
      <c r="O1037" s="47"/>
      <c r="P1037" s="41">
        <f t="shared" si="473"/>
        <v>0</v>
      </c>
      <c r="Q1037" s="39"/>
      <c r="R1037" s="41">
        <f t="shared" si="474"/>
        <v>0</v>
      </c>
      <c r="S1037" s="47"/>
      <c r="T1037" s="41">
        <f t="shared" si="475"/>
        <v>0</v>
      </c>
      <c r="U1037" s="39"/>
      <c r="V1037" s="41">
        <f t="shared" si="476"/>
        <v>0</v>
      </c>
      <c r="W1037" s="47"/>
      <c r="X1037" s="41">
        <f t="shared" si="477"/>
        <v>0</v>
      </c>
      <c r="Y1037" s="39"/>
      <c r="Z1037" s="41">
        <f t="shared" si="478"/>
        <v>0</v>
      </c>
      <c r="AA1037" s="47"/>
      <c r="AB1037" s="41">
        <f t="shared" si="479"/>
        <v>0</v>
      </c>
      <c r="AC1037" s="39"/>
      <c r="AD1037" s="41">
        <f t="shared" si="461"/>
        <v>0</v>
      </c>
      <c r="AE1037" s="47"/>
      <c r="AF1037" s="41">
        <f t="shared" si="480"/>
        <v>0</v>
      </c>
      <c r="AG1037" s="39"/>
      <c r="AH1037" s="41">
        <f t="shared" si="462"/>
        <v>0</v>
      </c>
      <c r="AI1037" s="47"/>
      <c r="AJ1037" s="41">
        <f t="shared" si="481"/>
        <v>0</v>
      </c>
      <c r="AK1037" s="39"/>
      <c r="AL1037" s="41">
        <f t="shared" si="463"/>
        <v>0</v>
      </c>
      <c r="AM1037" s="47"/>
      <c r="AN1037" s="41">
        <f t="shared" si="482"/>
        <v>0</v>
      </c>
      <c r="AO1037" s="39"/>
      <c r="AP1037" s="41">
        <f t="shared" si="464"/>
        <v>0</v>
      </c>
      <c r="AQ1037" s="47"/>
      <c r="AR1037" s="41">
        <f t="shared" si="483"/>
        <v>0</v>
      </c>
      <c r="AS1037" s="39"/>
      <c r="AT1037" s="41">
        <f t="shared" si="465"/>
        <v>0</v>
      </c>
      <c r="AU1037" s="47"/>
      <c r="AV1037" s="41">
        <f t="shared" si="484"/>
        <v>0</v>
      </c>
      <c r="AW1037" s="39"/>
      <c r="AX1037" s="41">
        <f t="shared" si="466"/>
        <v>0</v>
      </c>
      <c r="AY1037" s="47"/>
      <c r="AZ1037" s="41">
        <f t="shared" si="485"/>
        <v>0</v>
      </c>
      <c r="BA1037" s="39"/>
      <c r="BB1037" s="41">
        <f t="shared" si="467"/>
        <v>0</v>
      </c>
      <c r="BC1037" s="47"/>
      <c r="BD1037" s="41">
        <f t="shared" si="486"/>
        <v>0</v>
      </c>
      <c r="BE1037" s="39"/>
      <c r="BF1037" s="47"/>
    </row>
    <row r="1038" spans="1:58" ht="15.75" customHeight="1" x14ac:dyDescent="0.25">
      <c r="A1038" s="44">
        <v>2017</v>
      </c>
      <c r="B1038" s="39">
        <v>171150</v>
      </c>
      <c r="C1038" s="38" t="s">
        <v>146</v>
      </c>
      <c r="D1038" s="38" t="s">
        <v>68</v>
      </c>
      <c r="E1038" s="39"/>
      <c r="F1038" s="42">
        <f t="shared" si="468"/>
        <v>0</v>
      </c>
      <c r="G1038" s="47"/>
      <c r="H1038" s="42">
        <f t="shared" si="469"/>
        <v>0</v>
      </c>
      <c r="I1038" s="39"/>
      <c r="J1038" s="41">
        <f t="shared" si="470"/>
        <v>0</v>
      </c>
      <c r="K1038" s="47"/>
      <c r="L1038" s="41">
        <f t="shared" si="471"/>
        <v>0</v>
      </c>
      <c r="M1038" s="39"/>
      <c r="N1038" s="41">
        <f t="shared" si="472"/>
        <v>0</v>
      </c>
      <c r="O1038" s="47"/>
      <c r="P1038" s="41">
        <f t="shared" si="473"/>
        <v>0</v>
      </c>
      <c r="Q1038" s="39"/>
      <c r="R1038" s="41">
        <f t="shared" si="474"/>
        <v>0</v>
      </c>
      <c r="S1038" s="47"/>
      <c r="T1038" s="41">
        <f t="shared" si="475"/>
        <v>0</v>
      </c>
      <c r="U1038" s="39"/>
      <c r="V1038" s="41">
        <f t="shared" si="476"/>
        <v>0</v>
      </c>
      <c r="W1038" s="47"/>
      <c r="X1038" s="41">
        <f t="shared" si="477"/>
        <v>0</v>
      </c>
      <c r="Y1038" s="39"/>
      <c r="Z1038" s="41">
        <f t="shared" si="478"/>
        <v>0</v>
      </c>
      <c r="AA1038" s="47"/>
      <c r="AB1038" s="41">
        <f t="shared" si="479"/>
        <v>0</v>
      </c>
      <c r="AC1038" s="39"/>
      <c r="AD1038" s="41">
        <f t="shared" si="461"/>
        <v>0</v>
      </c>
      <c r="AE1038" s="47"/>
      <c r="AF1038" s="41">
        <f t="shared" si="480"/>
        <v>0</v>
      </c>
      <c r="AG1038" s="39"/>
      <c r="AH1038" s="41">
        <f t="shared" si="462"/>
        <v>0</v>
      </c>
      <c r="AI1038" s="47"/>
      <c r="AJ1038" s="41">
        <f t="shared" si="481"/>
        <v>0</v>
      </c>
      <c r="AK1038" s="39"/>
      <c r="AL1038" s="41">
        <f t="shared" si="463"/>
        <v>0</v>
      </c>
      <c r="AM1038" s="47"/>
      <c r="AN1038" s="41">
        <f t="shared" si="482"/>
        <v>0</v>
      </c>
      <c r="AO1038" s="39"/>
      <c r="AP1038" s="41">
        <f t="shared" si="464"/>
        <v>0</v>
      </c>
      <c r="AQ1038" s="47"/>
      <c r="AR1038" s="41">
        <f t="shared" si="483"/>
        <v>0</v>
      </c>
      <c r="AS1038" s="39"/>
      <c r="AT1038" s="41">
        <f t="shared" si="465"/>
        <v>0</v>
      </c>
      <c r="AU1038" s="47"/>
      <c r="AV1038" s="41">
        <f t="shared" si="484"/>
        <v>0</v>
      </c>
      <c r="AW1038" s="39"/>
      <c r="AX1038" s="41">
        <f t="shared" si="466"/>
        <v>0</v>
      </c>
      <c r="AY1038" s="47"/>
      <c r="AZ1038" s="41">
        <f t="shared" si="485"/>
        <v>0</v>
      </c>
      <c r="BA1038" s="39"/>
      <c r="BB1038" s="41">
        <f t="shared" si="467"/>
        <v>0</v>
      </c>
      <c r="BC1038" s="47"/>
      <c r="BD1038" s="41">
        <f t="shared" si="486"/>
        <v>0</v>
      </c>
      <c r="BE1038" s="39"/>
      <c r="BF1038" s="47"/>
    </row>
    <row r="1039" spans="1:58" ht="15.75" customHeight="1" x14ac:dyDescent="0.25">
      <c r="A1039" s="44">
        <v>2017</v>
      </c>
      <c r="B1039" s="39">
        <v>171180</v>
      </c>
      <c r="C1039" s="38" t="s">
        <v>150</v>
      </c>
      <c r="D1039" s="38" t="s">
        <v>69</v>
      </c>
      <c r="E1039" s="39"/>
      <c r="F1039" s="42">
        <f t="shared" si="468"/>
        <v>0</v>
      </c>
      <c r="G1039" s="47"/>
      <c r="H1039" s="42">
        <f t="shared" si="469"/>
        <v>0</v>
      </c>
      <c r="I1039" s="39"/>
      <c r="J1039" s="41">
        <f t="shared" si="470"/>
        <v>0</v>
      </c>
      <c r="K1039" s="47"/>
      <c r="L1039" s="41">
        <f t="shared" si="471"/>
        <v>0</v>
      </c>
      <c r="M1039" s="39"/>
      <c r="N1039" s="41">
        <f t="shared" si="472"/>
        <v>0</v>
      </c>
      <c r="O1039" s="47"/>
      <c r="P1039" s="41">
        <f t="shared" si="473"/>
        <v>0</v>
      </c>
      <c r="Q1039" s="39"/>
      <c r="R1039" s="41">
        <f t="shared" si="474"/>
        <v>0</v>
      </c>
      <c r="S1039" s="47"/>
      <c r="T1039" s="41">
        <f t="shared" si="475"/>
        <v>0</v>
      </c>
      <c r="U1039" s="39"/>
      <c r="V1039" s="41">
        <f t="shared" si="476"/>
        <v>0</v>
      </c>
      <c r="W1039" s="47"/>
      <c r="X1039" s="41">
        <f t="shared" si="477"/>
        <v>0</v>
      </c>
      <c r="Y1039" s="39"/>
      <c r="Z1039" s="41">
        <f t="shared" si="478"/>
        <v>0</v>
      </c>
      <c r="AA1039" s="47"/>
      <c r="AB1039" s="41">
        <f t="shared" si="479"/>
        <v>0</v>
      </c>
      <c r="AC1039" s="39"/>
      <c r="AD1039" s="41">
        <f t="shared" si="461"/>
        <v>0</v>
      </c>
      <c r="AE1039" s="47"/>
      <c r="AF1039" s="41">
        <f t="shared" si="480"/>
        <v>0</v>
      </c>
      <c r="AG1039" s="39"/>
      <c r="AH1039" s="41">
        <f t="shared" si="462"/>
        <v>0</v>
      </c>
      <c r="AI1039" s="47"/>
      <c r="AJ1039" s="41">
        <f t="shared" si="481"/>
        <v>0</v>
      </c>
      <c r="AK1039" s="39"/>
      <c r="AL1039" s="41">
        <f t="shared" si="463"/>
        <v>0</v>
      </c>
      <c r="AM1039" s="47"/>
      <c r="AN1039" s="41">
        <f t="shared" si="482"/>
        <v>0</v>
      </c>
      <c r="AO1039" s="39"/>
      <c r="AP1039" s="41">
        <f t="shared" si="464"/>
        <v>0</v>
      </c>
      <c r="AQ1039" s="47"/>
      <c r="AR1039" s="41">
        <f t="shared" si="483"/>
        <v>0</v>
      </c>
      <c r="AS1039" s="39"/>
      <c r="AT1039" s="41">
        <f t="shared" si="465"/>
        <v>0</v>
      </c>
      <c r="AU1039" s="47"/>
      <c r="AV1039" s="41">
        <f t="shared" si="484"/>
        <v>0</v>
      </c>
      <c r="AW1039" s="39"/>
      <c r="AX1039" s="41">
        <f t="shared" si="466"/>
        <v>0</v>
      </c>
      <c r="AY1039" s="47"/>
      <c r="AZ1039" s="41">
        <f t="shared" si="485"/>
        <v>0</v>
      </c>
      <c r="BA1039" s="39"/>
      <c r="BB1039" s="41">
        <f t="shared" si="467"/>
        <v>0</v>
      </c>
      <c r="BC1039" s="47"/>
      <c r="BD1039" s="41">
        <f t="shared" si="486"/>
        <v>0</v>
      </c>
      <c r="BE1039" s="39"/>
      <c r="BF1039" s="47"/>
    </row>
    <row r="1040" spans="1:58" ht="15.75" customHeight="1" x14ac:dyDescent="0.25">
      <c r="A1040" s="44">
        <v>2017</v>
      </c>
      <c r="B1040" s="39">
        <v>171190</v>
      </c>
      <c r="C1040" s="38" t="s">
        <v>144</v>
      </c>
      <c r="D1040" s="38" t="s">
        <v>70</v>
      </c>
      <c r="E1040" s="39"/>
      <c r="F1040" s="42">
        <f t="shared" si="468"/>
        <v>0</v>
      </c>
      <c r="G1040" s="47"/>
      <c r="H1040" s="42">
        <f t="shared" si="469"/>
        <v>0</v>
      </c>
      <c r="I1040" s="39"/>
      <c r="J1040" s="41">
        <f t="shared" si="470"/>
        <v>0</v>
      </c>
      <c r="K1040" s="47"/>
      <c r="L1040" s="41">
        <f t="shared" si="471"/>
        <v>0</v>
      </c>
      <c r="M1040" s="39"/>
      <c r="N1040" s="41">
        <f t="shared" si="472"/>
        <v>0</v>
      </c>
      <c r="O1040" s="47"/>
      <c r="P1040" s="41">
        <f t="shared" si="473"/>
        <v>0</v>
      </c>
      <c r="Q1040" s="39"/>
      <c r="R1040" s="41">
        <f t="shared" si="474"/>
        <v>0</v>
      </c>
      <c r="S1040" s="47"/>
      <c r="T1040" s="41">
        <f t="shared" si="475"/>
        <v>0</v>
      </c>
      <c r="U1040" s="39"/>
      <c r="V1040" s="41">
        <f t="shared" si="476"/>
        <v>0</v>
      </c>
      <c r="W1040" s="47"/>
      <c r="X1040" s="41">
        <f t="shared" si="477"/>
        <v>0</v>
      </c>
      <c r="Y1040" s="39"/>
      <c r="Z1040" s="41">
        <f t="shared" si="478"/>
        <v>0</v>
      </c>
      <c r="AA1040" s="47"/>
      <c r="AB1040" s="41">
        <f t="shared" si="479"/>
        <v>0</v>
      </c>
      <c r="AC1040" s="39"/>
      <c r="AD1040" s="41">
        <f t="shared" si="461"/>
        <v>0</v>
      </c>
      <c r="AE1040" s="47"/>
      <c r="AF1040" s="41">
        <f t="shared" si="480"/>
        <v>0</v>
      </c>
      <c r="AG1040" s="39"/>
      <c r="AH1040" s="41">
        <f t="shared" si="462"/>
        <v>0</v>
      </c>
      <c r="AI1040" s="47"/>
      <c r="AJ1040" s="41">
        <f t="shared" si="481"/>
        <v>0</v>
      </c>
      <c r="AK1040" s="39"/>
      <c r="AL1040" s="41">
        <f t="shared" si="463"/>
        <v>0</v>
      </c>
      <c r="AM1040" s="47"/>
      <c r="AN1040" s="41">
        <f t="shared" si="482"/>
        <v>0</v>
      </c>
      <c r="AO1040" s="39"/>
      <c r="AP1040" s="41">
        <f t="shared" si="464"/>
        <v>0</v>
      </c>
      <c r="AQ1040" s="47"/>
      <c r="AR1040" s="41">
        <f t="shared" si="483"/>
        <v>0</v>
      </c>
      <c r="AS1040" s="39"/>
      <c r="AT1040" s="41">
        <f t="shared" si="465"/>
        <v>0</v>
      </c>
      <c r="AU1040" s="47"/>
      <c r="AV1040" s="41">
        <f t="shared" si="484"/>
        <v>0</v>
      </c>
      <c r="AW1040" s="39"/>
      <c r="AX1040" s="41">
        <f t="shared" si="466"/>
        <v>0</v>
      </c>
      <c r="AY1040" s="47"/>
      <c r="AZ1040" s="41">
        <f t="shared" si="485"/>
        <v>0</v>
      </c>
      <c r="BA1040" s="39"/>
      <c r="BB1040" s="41">
        <f t="shared" si="467"/>
        <v>0</v>
      </c>
      <c r="BC1040" s="47"/>
      <c r="BD1040" s="41">
        <f t="shared" si="486"/>
        <v>0</v>
      </c>
      <c r="BE1040" s="39"/>
      <c r="BF1040" s="47"/>
    </row>
    <row r="1041" spans="1:58" ht="15.75" customHeight="1" x14ac:dyDescent="0.25">
      <c r="A1041" s="44">
        <v>2017</v>
      </c>
      <c r="B1041" s="39">
        <v>171195</v>
      </c>
      <c r="C1041" s="38" t="s">
        <v>148</v>
      </c>
      <c r="D1041" s="38" t="s">
        <v>71</v>
      </c>
      <c r="E1041" s="39"/>
      <c r="F1041" s="42">
        <f t="shared" si="468"/>
        <v>0</v>
      </c>
      <c r="G1041" s="47"/>
      <c r="H1041" s="42">
        <f t="shared" si="469"/>
        <v>0</v>
      </c>
      <c r="I1041" s="39"/>
      <c r="J1041" s="41">
        <f t="shared" si="470"/>
        <v>0</v>
      </c>
      <c r="K1041" s="47"/>
      <c r="L1041" s="41">
        <f t="shared" si="471"/>
        <v>0</v>
      </c>
      <c r="M1041" s="39"/>
      <c r="N1041" s="41">
        <f t="shared" si="472"/>
        <v>0</v>
      </c>
      <c r="O1041" s="47"/>
      <c r="P1041" s="41">
        <f t="shared" si="473"/>
        <v>0</v>
      </c>
      <c r="Q1041" s="39"/>
      <c r="R1041" s="41">
        <f t="shared" si="474"/>
        <v>0</v>
      </c>
      <c r="S1041" s="47"/>
      <c r="T1041" s="41">
        <f t="shared" si="475"/>
        <v>0</v>
      </c>
      <c r="U1041" s="39"/>
      <c r="V1041" s="41">
        <f t="shared" si="476"/>
        <v>0</v>
      </c>
      <c r="W1041" s="47"/>
      <c r="X1041" s="41">
        <f t="shared" si="477"/>
        <v>0</v>
      </c>
      <c r="Y1041" s="39"/>
      <c r="Z1041" s="41">
        <f t="shared" si="478"/>
        <v>0</v>
      </c>
      <c r="AA1041" s="47"/>
      <c r="AB1041" s="41">
        <f t="shared" si="479"/>
        <v>0</v>
      </c>
      <c r="AC1041" s="39"/>
      <c r="AD1041" s="41">
        <f t="shared" si="461"/>
        <v>0</v>
      </c>
      <c r="AE1041" s="47"/>
      <c r="AF1041" s="41">
        <f t="shared" si="480"/>
        <v>0</v>
      </c>
      <c r="AG1041" s="39"/>
      <c r="AH1041" s="41">
        <f t="shared" si="462"/>
        <v>0</v>
      </c>
      <c r="AI1041" s="47"/>
      <c r="AJ1041" s="41">
        <f t="shared" si="481"/>
        <v>0</v>
      </c>
      <c r="AK1041" s="39"/>
      <c r="AL1041" s="41">
        <f t="shared" si="463"/>
        <v>0</v>
      </c>
      <c r="AM1041" s="47"/>
      <c r="AN1041" s="41">
        <f t="shared" si="482"/>
        <v>0</v>
      </c>
      <c r="AO1041" s="39"/>
      <c r="AP1041" s="41">
        <f t="shared" si="464"/>
        <v>0</v>
      </c>
      <c r="AQ1041" s="47"/>
      <c r="AR1041" s="41">
        <f t="shared" si="483"/>
        <v>0</v>
      </c>
      <c r="AS1041" s="39"/>
      <c r="AT1041" s="41">
        <f t="shared" si="465"/>
        <v>0</v>
      </c>
      <c r="AU1041" s="47"/>
      <c r="AV1041" s="41">
        <f t="shared" si="484"/>
        <v>0</v>
      </c>
      <c r="AW1041" s="39"/>
      <c r="AX1041" s="41">
        <f t="shared" si="466"/>
        <v>0</v>
      </c>
      <c r="AY1041" s="47"/>
      <c r="AZ1041" s="41">
        <f t="shared" si="485"/>
        <v>0</v>
      </c>
      <c r="BA1041" s="39"/>
      <c r="BB1041" s="41">
        <f t="shared" si="467"/>
        <v>0</v>
      </c>
      <c r="BC1041" s="47"/>
      <c r="BD1041" s="41">
        <f t="shared" si="486"/>
        <v>0</v>
      </c>
      <c r="BE1041" s="39"/>
      <c r="BF1041" s="47"/>
    </row>
    <row r="1042" spans="1:58" ht="15.75" customHeight="1" x14ac:dyDescent="0.25">
      <c r="A1042" s="44">
        <v>2017</v>
      </c>
      <c r="B1042" s="39">
        <v>171200</v>
      </c>
      <c r="C1042" s="38" t="s">
        <v>148</v>
      </c>
      <c r="D1042" s="38" t="s">
        <v>72</v>
      </c>
      <c r="E1042" s="39"/>
      <c r="F1042" s="42">
        <f t="shared" si="468"/>
        <v>0</v>
      </c>
      <c r="G1042" s="47"/>
      <c r="H1042" s="42">
        <f t="shared" si="469"/>
        <v>0</v>
      </c>
      <c r="I1042" s="39"/>
      <c r="J1042" s="41">
        <f t="shared" si="470"/>
        <v>0</v>
      </c>
      <c r="K1042" s="47"/>
      <c r="L1042" s="41">
        <f t="shared" si="471"/>
        <v>0</v>
      </c>
      <c r="M1042" s="39"/>
      <c r="N1042" s="41">
        <f t="shared" si="472"/>
        <v>0</v>
      </c>
      <c r="O1042" s="47"/>
      <c r="P1042" s="41">
        <f t="shared" si="473"/>
        <v>0</v>
      </c>
      <c r="Q1042" s="39"/>
      <c r="R1042" s="41">
        <f t="shared" si="474"/>
        <v>0</v>
      </c>
      <c r="S1042" s="47"/>
      <c r="T1042" s="41">
        <f t="shared" si="475"/>
        <v>0</v>
      </c>
      <c r="U1042" s="39"/>
      <c r="V1042" s="41">
        <f t="shared" si="476"/>
        <v>0</v>
      </c>
      <c r="W1042" s="47"/>
      <c r="X1042" s="41">
        <f t="shared" si="477"/>
        <v>0</v>
      </c>
      <c r="Y1042" s="39"/>
      <c r="Z1042" s="41">
        <f t="shared" si="478"/>
        <v>0</v>
      </c>
      <c r="AA1042" s="47"/>
      <c r="AB1042" s="41">
        <f t="shared" si="479"/>
        <v>0</v>
      </c>
      <c r="AC1042" s="39"/>
      <c r="AD1042" s="41">
        <f t="shared" si="461"/>
        <v>0</v>
      </c>
      <c r="AE1042" s="47"/>
      <c r="AF1042" s="41">
        <f t="shared" si="480"/>
        <v>0</v>
      </c>
      <c r="AG1042" s="39"/>
      <c r="AH1042" s="41">
        <f t="shared" si="462"/>
        <v>0</v>
      </c>
      <c r="AI1042" s="47"/>
      <c r="AJ1042" s="41">
        <f t="shared" si="481"/>
        <v>0</v>
      </c>
      <c r="AK1042" s="39"/>
      <c r="AL1042" s="41">
        <f t="shared" si="463"/>
        <v>0</v>
      </c>
      <c r="AM1042" s="47"/>
      <c r="AN1042" s="41">
        <f t="shared" si="482"/>
        <v>0</v>
      </c>
      <c r="AO1042" s="39"/>
      <c r="AP1042" s="41">
        <f t="shared" si="464"/>
        <v>0</v>
      </c>
      <c r="AQ1042" s="47"/>
      <c r="AR1042" s="41">
        <f t="shared" si="483"/>
        <v>0</v>
      </c>
      <c r="AS1042" s="39"/>
      <c r="AT1042" s="41">
        <f t="shared" si="465"/>
        <v>0</v>
      </c>
      <c r="AU1042" s="47"/>
      <c r="AV1042" s="41">
        <f t="shared" si="484"/>
        <v>0</v>
      </c>
      <c r="AW1042" s="39"/>
      <c r="AX1042" s="41">
        <f t="shared" si="466"/>
        <v>0</v>
      </c>
      <c r="AY1042" s="47"/>
      <c r="AZ1042" s="41">
        <f t="shared" si="485"/>
        <v>0</v>
      </c>
      <c r="BA1042" s="39"/>
      <c r="BB1042" s="41">
        <f t="shared" si="467"/>
        <v>0</v>
      </c>
      <c r="BC1042" s="47"/>
      <c r="BD1042" s="41">
        <f t="shared" si="486"/>
        <v>0</v>
      </c>
      <c r="BE1042" s="39"/>
      <c r="BF1042" s="47"/>
    </row>
    <row r="1043" spans="1:58" ht="15.75" customHeight="1" x14ac:dyDescent="0.25">
      <c r="A1043" s="44">
        <v>2017</v>
      </c>
      <c r="B1043" s="39">
        <v>171215</v>
      </c>
      <c r="C1043" s="38" t="s">
        <v>147</v>
      </c>
      <c r="D1043" s="38" t="s">
        <v>73</v>
      </c>
      <c r="E1043" s="39"/>
      <c r="F1043" s="42">
        <f t="shared" si="468"/>
        <v>0</v>
      </c>
      <c r="G1043" s="47"/>
      <c r="H1043" s="42">
        <f t="shared" si="469"/>
        <v>0</v>
      </c>
      <c r="I1043" s="39"/>
      <c r="J1043" s="41">
        <f t="shared" si="470"/>
        <v>0</v>
      </c>
      <c r="K1043" s="47"/>
      <c r="L1043" s="41">
        <f t="shared" si="471"/>
        <v>0</v>
      </c>
      <c r="M1043" s="39"/>
      <c r="N1043" s="41">
        <f t="shared" si="472"/>
        <v>0</v>
      </c>
      <c r="O1043" s="47"/>
      <c r="P1043" s="41">
        <f t="shared" si="473"/>
        <v>0</v>
      </c>
      <c r="Q1043" s="39"/>
      <c r="R1043" s="41">
        <f t="shared" si="474"/>
        <v>0</v>
      </c>
      <c r="S1043" s="47"/>
      <c r="T1043" s="41">
        <f t="shared" si="475"/>
        <v>0</v>
      </c>
      <c r="U1043" s="39"/>
      <c r="V1043" s="41">
        <f t="shared" si="476"/>
        <v>0</v>
      </c>
      <c r="W1043" s="47"/>
      <c r="X1043" s="41">
        <f t="shared" si="477"/>
        <v>0</v>
      </c>
      <c r="Y1043" s="39"/>
      <c r="Z1043" s="41">
        <f t="shared" si="478"/>
        <v>0</v>
      </c>
      <c r="AA1043" s="47"/>
      <c r="AB1043" s="41">
        <f t="shared" si="479"/>
        <v>0</v>
      </c>
      <c r="AC1043" s="39"/>
      <c r="AD1043" s="41">
        <f t="shared" si="461"/>
        <v>0</v>
      </c>
      <c r="AE1043" s="47"/>
      <c r="AF1043" s="41">
        <f t="shared" si="480"/>
        <v>0</v>
      </c>
      <c r="AG1043" s="39"/>
      <c r="AH1043" s="41">
        <f t="shared" si="462"/>
        <v>0</v>
      </c>
      <c r="AI1043" s="47"/>
      <c r="AJ1043" s="41">
        <f t="shared" si="481"/>
        <v>0</v>
      </c>
      <c r="AK1043" s="39"/>
      <c r="AL1043" s="41">
        <f t="shared" si="463"/>
        <v>0</v>
      </c>
      <c r="AM1043" s="47"/>
      <c r="AN1043" s="41">
        <f t="shared" si="482"/>
        <v>0</v>
      </c>
      <c r="AO1043" s="39"/>
      <c r="AP1043" s="41">
        <f t="shared" si="464"/>
        <v>0</v>
      </c>
      <c r="AQ1043" s="47"/>
      <c r="AR1043" s="41">
        <f t="shared" si="483"/>
        <v>0</v>
      </c>
      <c r="AS1043" s="39"/>
      <c r="AT1043" s="41">
        <f t="shared" si="465"/>
        <v>0</v>
      </c>
      <c r="AU1043" s="47"/>
      <c r="AV1043" s="41">
        <f t="shared" si="484"/>
        <v>0</v>
      </c>
      <c r="AW1043" s="39"/>
      <c r="AX1043" s="41">
        <f t="shared" si="466"/>
        <v>0</v>
      </c>
      <c r="AY1043" s="47"/>
      <c r="AZ1043" s="41">
        <f t="shared" si="485"/>
        <v>0</v>
      </c>
      <c r="BA1043" s="39"/>
      <c r="BB1043" s="41">
        <f t="shared" si="467"/>
        <v>0</v>
      </c>
      <c r="BC1043" s="47"/>
      <c r="BD1043" s="41">
        <f t="shared" si="486"/>
        <v>0</v>
      </c>
      <c r="BE1043" s="39"/>
      <c r="BF1043" s="47"/>
    </row>
    <row r="1044" spans="1:58" ht="15.75" customHeight="1" x14ac:dyDescent="0.25">
      <c r="A1044" s="44">
        <v>2017</v>
      </c>
      <c r="B1044" s="39">
        <v>171240</v>
      </c>
      <c r="C1044" s="38" t="s">
        <v>148</v>
      </c>
      <c r="D1044" s="38" t="s">
        <v>74</v>
      </c>
      <c r="E1044" s="39"/>
      <c r="F1044" s="42">
        <f t="shared" si="468"/>
        <v>0</v>
      </c>
      <c r="G1044" s="47"/>
      <c r="H1044" s="42">
        <f t="shared" si="469"/>
        <v>0</v>
      </c>
      <c r="I1044" s="39"/>
      <c r="J1044" s="41">
        <f t="shared" si="470"/>
        <v>0</v>
      </c>
      <c r="K1044" s="47"/>
      <c r="L1044" s="41">
        <f t="shared" si="471"/>
        <v>0</v>
      </c>
      <c r="M1044" s="39"/>
      <c r="N1044" s="41">
        <f t="shared" si="472"/>
        <v>0</v>
      </c>
      <c r="O1044" s="47"/>
      <c r="P1044" s="41">
        <f t="shared" si="473"/>
        <v>0</v>
      </c>
      <c r="Q1044" s="39"/>
      <c r="R1044" s="41">
        <f t="shared" si="474"/>
        <v>0</v>
      </c>
      <c r="S1044" s="47"/>
      <c r="T1044" s="41">
        <f t="shared" si="475"/>
        <v>0</v>
      </c>
      <c r="U1044" s="39"/>
      <c r="V1044" s="41">
        <f t="shared" si="476"/>
        <v>0</v>
      </c>
      <c r="W1044" s="47"/>
      <c r="X1044" s="41">
        <f t="shared" si="477"/>
        <v>0</v>
      </c>
      <c r="Y1044" s="39"/>
      <c r="Z1044" s="41">
        <f t="shared" si="478"/>
        <v>0</v>
      </c>
      <c r="AA1044" s="47"/>
      <c r="AB1044" s="41">
        <f t="shared" si="479"/>
        <v>0</v>
      </c>
      <c r="AC1044" s="39"/>
      <c r="AD1044" s="41">
        <f t="shared" si="461"/>
        <v>0</v>
      </c>
      <c r="AE1044" s="47"/>
      <c r="AF1044" s="41">
        <f t="shared" si="480"/>
        <v>0</v>
      </c>
      <c r="AG1044" s="39"/>
      <c r="AH1044" s="41">
        <f t="shared" si="462"/>
        <v>0</v>
      </c>
      <c r="AI1044" s="47"/>
      <c r="AJ1044" s="41">
        <f t="shared" si="481"/>
        <v>0</v>
      </c>
      <c r="AK1044" s="39"/>
      <c r="AL1044" s="41">
        <f t="shared" si="463"/>
        <v>0</v>
      </c>
      <c r="AM1044" s="47"/>
      <c r="AN1044" s="41">
        <f t="shared" si="482"/>
        <v>0</v>
      </c>
      <c r="AO1044" s="39"/>
      <c r="AP1044" s="41">
        <f t="shared" si="464"/>
        <v>0</v>
      </c>
      <c r="AQ1044" s="47"/>
      <c r="AR1044" s="41">
        <f t="shared" si="483"/>
        <v>0</v>
      </c>
      <c r="AS1044" s="39"/>
      <c r="AT1044" s="41">
        <f t="shared" si="465"/>
        <v>0</v>
      </c>
      <c r="AU1044" s="47"/>
      <c r="AV1044" s="41">
        <f t="shared" si="484"/>
        <v>0</v>
      </c>
      <c r="AW1044" s="39"/>
      <c r="AX1044" s="41">
        <f t="shared" si="466"/>
        <v>0</v>
      </c>
      <c r="AY1044" s="47"/>
      <c r="AZ1044" s="41">
        <f t="shared" si="485"/>
        <v>0</v>
      </c>
      <c r="BA1044" s="39"/>
      <c r="BB1044" s="41">
        <f t="shared" si="467"/>
        <v>0</v>
      </c>
      <c r="BC1044" s="47"/>
      <c r="BD1044" s="41">
        <f t="shared" si="486"/>
        <v>0</v>
      </c>
      <c r="BE1044" s="39"/>
      <c r="BF1044" s="47"/>
    </row>
    <row r="1045" spans="1:58" ht="15.75" customHeight="1" x14ac:dyDescent="0.25">
      <c r="A1045" s="44">
        <v>2017</v>
      </c>
      <c r="B1045" s="39">
        <v>171245</v>
      </c>
      <c r="C1045" s="38" t="s">
        <v>145</v>
      </c>
      <c r="D1045" s="38" t="s">
        <v>75</v>
      </c>
      <c r="E1045" s="39"/>
      <c r="F1045" s="42">
        <f t="shared" si="468"/>
        <v>0</v>
      </c>
      <c r="G1045" s="47"/>
      <c r="H1045" s="42">
        <f t="shared" si="469"/>
        <v>0</v>
      </c>
      <c r="I1045" s="39"/>
      <c r="J1045" s="41">
        <f t="shared" si="470"/>
        <v>0</v>
      </c>
      <c r="K1045" s="47"/>
      <c r="L1045" s="41">
        <f t="shared" si="471"/>
        <v>0</v>
      </c>
      <c r="M1045" s="39"/>
      <c r="N1045" s="41">
        <f t="shared" si="472"/>
        <v>0</v>
      </c>
      <c r="O1045" s="47"/>
      <c r="P1045" s="41">
        <f t="shared" si="473"/>
        <v>0</v>
      </c>
      <c r="Q1045" s="39"/>
      <c r="R1045" s="41">
        <f t="shared" si="474"/>
        <v>0</v>
      </c>
      <c r="S1045" s="47"/>
      <c r="T1045" s="41">
        <f t="shared" si="475"/>
        <v>0</v>
      </c>
      <c r="U1045" s="39"/>
      <c r="V1045" s="41">
        <f t="shared" si="476"/>
        <v>0</v>
      </c>
      <c r="W1045" s="47"/>
      <c r="X1045" s="41">
        <f t="shared" si="477"/>
        <v>0</v>
      </c>
      <c r="Y1045" s="39"/>
      <c r="Z1045" s="41">
        <f t="shared" si="478"/>
        <v>0</v>
      </c>
      <c r="AA1045" s="47"/>
      <c r="AB1045" s="41">
        <f t="shared" si="479"/>
        <v>0</v>
      </c>
      <c r="AC1045" s="39"/>
      <c r="AD1045" s="41">
        <f t="shared" si="461"/>
        <v>0</v>
      </c>
      <c r="AE1045" s="47"/>
      <c r="AF1045" s="41">
        <f t="shared" si="480"/>
        <v>0</v>
      </c>
      <c r="AG1045" s="39"/>
      <c r="AH1045" s="41">
        <f t="shared" si="462"/>
        <v>0</v>
      </c>
      <c r="AI1045" s="47"/>
      <c r="AJ1045" s="41">
        <f t="shared" si="481"/>
        <v>0</v>
      </c>
      <c r="AK1045" s="39"/>
      <c r="AL1045" s="41">
        <f t="shared" si="463"/>
        <v>0</v>
      </c>
      <c r="AM1045" s="47"/>
      <c r="AN1045" s="41">
        <f t="shared" si="482"/>
        <v>0</v>
      </c>
      <c r="AO1045" s="39"/>
      <c r="AP1045" s="41">
        <f t="shared" si="464"/>
        <v>0</v>
      </c>
      <c r="AQ1045" s="47"/>
      <c r="AR1045" s="41">
        <f t="shared" si="483"/>
        <v>0</v>
      </c>
      <c r="AS1045" s="39"/>
      <c r="AT1045" s="41">
        <f t="shared" si="465"/>
        <v>0</v>
      </c>
      <c r="AU1045" s="47"/>
      <c r="AV1045" s="41">
        <f t="shared" si="484"/>
        <v>0</v>
      </c>
      <c r="AW1045" s="39"/>
      <c r="AX1045" s="41">
        <f t="shared" si="466"/>
        <v>0</v>
      </c>
      <c r="AY1045" s="47"/>
      <c r="AZ1045" s="41">
        <f t="shared" si="485"/>
        <v>0</v>
      </c>
      <c r="BA1045" s="39"/>
      <c r="BB1045" s="41">
        <f t="shared" si="467"/>
        <v>0</v>
      </c>
      <c r="BC1045" s="47"/>
      <c r="BD1045" s="41">
        <f t="shared" si="486"/>
        <v>0</v>
      </c>
      <c r="BE1045" s="39"/>
      <c r="BF1045" s="47"/>
    </row>
    <row r="1046" spans="1:58" ht="15.75" customHeight="1" x14ac:dyDescent="0.25">
      <c r="A1046" s="44">
        <v>2017</v>
      </c>
      <c r="B1046" s="39">
        <v>171250</v>
      </c>
      <c r="C1046" s="38" t="s">
        <v>144</v>
      </c>
      <c r="D1046" s="38" t="s">
        <v>76</v>
      </c>
      <c r="E1046" s="39"/>
      <c r="F1046" s="42">
        <f t="shared" si="468"/>
        <v>0</v>
      </c>
      <c r="G1046" s="47"/>
      <c r="H1046" s="42">
        <f t="shared" si="469"/>
        <v>0</v>
      </c>
      <c r="I1046" s="39"/>
      <c r="J1046" s="41">
        <f t="shared" si="470"/>
        <v>0</v>
      </c>
      <c r="K1046" s="47"/>
      <c r="L1046" s="41">
        <f t="shared" si="471"/>
        <v>0</v>
      </c>
      <c r="M1046" s="39"/>
      <c r="N1046" s="41">
        <f t="shared" si="472"/>
        <v>0</v>
      </c>
      <c r="O1046" s="47"/>
      <c r="P1046" s="41">
        <f t="shared" si="473"/>
        <v>0</v>
      </c>
      <c r="Q1046" s="39"/>
      <c r="R1046" s="41">
        <f t="shared" si="474"/>
        <v>0</v>
      </c>
      <c r="S1046" s="47"/>
      <c r="T1046" s="41">
        <f t="shared" si="475"/>
        <v>0</v>
      </c>
      <c r="U1046" s="39"/>
      <c r="V1046" s="41">
        <f t="shared" si="476"/>
        <v>0</v>
      </c>
      <c r="W1046" s="47"/>
      <c r="X1046" s="41">
        <f t="shared" si="477"/>
        <v>0</v>
      </c>
      <c r="Y1046" s="39"/>
      <c r="Z1046" s="41">
        <f t="shared" si="478"/>
        <v>0</v>
      </c>
      <c r="AA1046" s="47"/>
      <c r="AB1046" s="41">
        <f t="shared" si="479"/>
        <v>0</v>
      </c>
      <c r="AC1046" s="39"/>
      <c r="AD1046" s="41">
        <f t="shared" si="461"/>
        <v>0</v>
      </c>
      <c r="AE1046" s="47"/>
      <c r="AF1046" s="41">
        <f t="shared" si="480"/>
        <v>0</v>
      </c>
      <c r="AG1046" s="39"/>
      <c r="AH1046" s="41">
        <f t="shared" si="462"/>
        <v>0</v>
      </c>
      <c r="AI1046" s="47"/>
      <c r="AJ1046" s="41">
        <f t="shared" si="481"/>
        <v>0</v>
      </c>
      <c r="AK1046" s="39"/>
      <c r="AL1046" s="41">
        <f t="shared" si="463"/>
        <v>0</v>
      </c>
      <c r="AM1046" s="47"/>
      <c r="AN1046" s="41">
        <f t="shared" si="482"/>
        <v>0</v>
      </c>
      <c r="AO1046" s="39"/>
      <c r="AP1046" s="41">
        <f t="shared" si="464"/>
        <v>0</v>
      </c>
      <c r="AQ1046" s="47"/>
      <c r="AR1046" s="41">
        <f t="shared" si="483"/>
        <v>0</v>
      </c>
      <c r="AS1046" s="39"/>
      <c r="AT1046" s="41">
        <f t="shared" si="465"/>
        <v>0</v>
      </c>
      <c r="AU1046" s="47"/>
      <c r="AV1046" s="41">
        <f t="shared" si="484"/>
        <v>0</v>
      </c>
      <c r="AW1046" s="39"/>
      <c r="AX1046" s="41">
        <f t="shared" si="466"/>
        <v>0</v>
      </c>
      <c r="AY1046" s="47"/>
      <c r="AZ1046" s="41">
        <f t="shared" si="485"/>
        <v>0</v>
      </c>
      <c r="BA1046" s="39"/>
      <c r="BB1046" s="41">
        <f t="shared" si="467"/>
        <v>0</v>
      </c>
      <c r="BC1046" s="47"/>
      <c r="BD1046" s="41">
        <f t="shared" si="486"/>
        <v>0</v>
      </c>
      <c r="BE1046" s="39"/>
      <c r="BF1046" s="47"/>
    </row>
    <row r="1047" spans="1:58" ht="15.75" customHeight="1" x14ac:dyDescent="0.25">
      <c r="A1047" s="44">
        <v>2017</v>
      </c>
      <c r="B1047" s="39">
        <v>171270</v>
      </c>
      <c r="C1047" s="38" t="s">
        <v>151</v>
      </c>
      <c r="D1047" s="38" t="s">
        <v>77</v>
      </c>
      <c r="E1047" s="39"/>
      <c r="F1047" s="42">
        <f t="shared" si="468"/>
        <v>0</v>
      </c>
      <c r="G1047" s="47"/>
      <c r="H1047" s="42">
        <f t="shared" si="469"/>
        <v>0</v>
      </c>
      <c r="I1047" s="39"/>
      <c r="J1047" s="41">
        <f t="shared" si="470"/>
        <v>0</v>
      </c>
      <c r="K1047" s="47"/>
      <c r="L1047" s="41">
        <f t="shared" si="471"/>
        <v>0</v>
      </c>
      <c r="M1047" s="39"/>
      <c r="N1047" s="41">
        <f t="shared" si="472"/>
        <v>0</v>
      </c>
      <c r="O1047" s="47"/>
      <c r="P1047" s="41">
        <f t="shared" si="473"/>
        <v>0</v>
      </c>
      <c r="Q1047" s="39"/>
      <c r="R1047" s="41">
        <f t="shared" si="474"/>
        <v>0</v>
      </c>
      <c r="S1047" s="47"/>
      <c r="T1047" s="41">
        <f t="shared" si="475"/>
        <v>0</v>
      </c>
      <c r="U1047" s="39"/>
      <c r="V1047" s="41">
        <f t="shared" si="476"/>
        <v>0</v>
      </c>
      <c r="W1047" s="47"/>
      <c r="X1047" s="41">
        <f t="shared" si="477"/>
        <v>0</v>
      </c>
      <c r="Y1047" s="39"/>
      <c r="Z1047" s="41">
        <f t="shared" si="478"/>
        <v>0</v>
      </c>
      <c r="AA1047" s="47"/>
      <c r="AB1047" s="41">
        <f t="shared" si="479"/>
        <v>0</v>
      </c>
      <c r="AC1047" s="39"/>
      <c r="AD1047" s="41">
        <f t="shared" si="461"/>
        <v>0</v>
      </c>
      <c r="AE1047" s="47"/>
      <c r="AF1047" s="41">
        <f t="shared" si="480"/>
        <v>0</v>
      </c>
      <c r="AG1047" s="39"/>
      <c r="AH1047" s="41">
        <f t="shared" si="462"/>
        <v>0</v>
      </c>
      <c r="AI1047" s="47"/>
      <c r="AJ1047" s="41">
        <f t="shared" si="481"/>
        <v>0</v>
      </c>
      <c r="AK1047" s="39"/>
      <c r="AL1047" s="41">
        <f t="shared" si="463"/>
        <v>0</v>
      </c>
      <c r="AM1047" s="47"/>
      <c r="AN1047" s="41">
        <f t="shared" si="482"/>
        <v>0</v>
      </c>
      <c r="AO1047" s="39"/>
      <c r="AP1047" s="41">
        <f t="shared" si="464"/>
        <v>0</v>
      </c>
      <c r="AQ1047" s="47"/>
      <c r="AR1047" s="41">
        <f t="shared" si="483"/>
        <v>0</v>
      </c>
      <c r="AS1047" s="39"/>
      <c r="AT1047" s="41">
        <f t="shared" si="465"/>
        <v>0</v>
      </c>
      <c r="AU1047" s="47"/>
      <c r="AV1047" s="41">
        <f t="shared" si="484"/>
        <v>0</v>
      </c>
      <c r="AW1047" s="39"/>
      <c r="AX1047" s="41">
        <f t="shared" si="466"/>
        <v>0</v>
      </c>
      <c r="AY1047" s="47"/>
      <c r="AZ1047" s="41">
        <f t="shared" si="485"/>
        <v>0</v>
      </c>
      <c r="BA1047" s="39"/>
      <c r="BB1047" s="41">
        <f t="shared" si="467"/>
        <v>0</v>
      </c>
      <c r="BC1047" s="47"/>
      <c r="BD1047" s="41">
        <f t="shared" si="486"/>
        <v>0</v>
      </c>
      <c r="BE1047" s="39"/>
      <c r="BF1047" s="47"/>
    </row>
    <row r="1048" spans="1:58" ht="15.75" customHeight="1" x14ac:dyDescent="0.25">
      <c r="A1048" s="44">
        <v>2017</v>
      </c>
      <c r="B1048" s="39">
        <v>171280</v>
      </c>
      <c r="C1048" s="38" t="s">
        <v>145</v>
      </c>
      <c r="D1048" s="38" t="s">
        <v>78</v>
      </c>
      <c r="E1048" s="39"/>
      <c r="F1048" s="42">
        <f t="shared" si="468"/>
        <v>0</v>
      </c>
      <c r="G1048" s="47"/>
      <c r="H1048" s="42">
        <f t="shared" si="469"/>
        <v>0</v>
      </c>
      <c r="I1048" s="39"/>
      <c r="J1048" s="41">
        <f t="shared" si="470"/>
        <v>0</v>
      </c>
      <c r="K1048" s="47"/>
      <c r="L1048" s="41">
        <f t="shared" si="471"/>
        <v>0</v>
      </c>
      <c r="M1048" s="39"/>
      <c r="N1048" s="41">
        <f t="shared" si="472"/>
        <v>0</v>
      </c>
      <c r="O1048" s="47"/>
      <c r="P1048" s="41">
        <f t="shared" si="473"/>
        <v>0</v>
      </c>
      <c r="Q1048" s="39"/>
      <c r="R1048" s="41">
        <f t="shared" si="474"/>
        <v>0</v>
      </c>
      <c r="S1048" s="47"/>
      <c r="T1048" s="41">
        <f t="shared" si="475"/>
        <v>0</v>
      </c>
      <c r="U1048" s="39"/>
      <c r="V1048" s="41">
        <f t="shared" si="476"/>
        <v>0</v>
      </c>
      <c r="W1048" s="47"/>
      <c r="X1048" s="41">
        <f t="shared" si="477"/>
        <v>0</v>
      </c>
      <c r="Y1048" s="39"/>
      <c r="Z1048" s="41">
        <f t="shared" si="478"/>
        <v>0</v>
      </c>
      <c r="AA1048" s="47"/>
      <c r="AB1048" s="41">
        <f t="shared" si="479"/>
        <v>0</v>
      </c>
      <c r="AC1048" s="39"/>
      <c r="AD1048" s="41">
        <f t="shared" si="461"/>
        <v>0</v>
      </c>
      <c r="AE1048" s="47"/>
      <c r="AF1048" s="41">
        <f t="shared" si="480"/>
        <v>0</v>
      </c>
      <c r="AG1048" s="39"/>
      <c r="AH1048" s="41">
        <f t="shared" si="462"/>
        <v>0</v>
      </c>
      <c r="AI1048" s="47"/>
      <c r="AJ1048" s="41">
        <f t="shared" si="481"/>
        <v>0</v>
      </c>
      <c r="AK1048" s="39"/>
      <c r="AL1048" s="41">
        <f t="shared" si="463"/>
        <v>0</v>
      </c>
      <c r="AM1048" s="47"/>
      <c r="AN1048" s="41">
        <f t="shared" si="482"/>
        <v>0</v>
      </c>
      <c r="AO1048" s="39"/>
      <c r="AP1048" s="41">
        <f t="shared" si="464"/>
        <v>0</v>
      </c>
      <c r="AQ1048" s="47"/>
      <c r="AR1048" s="41">
        <f t="shared" si="483"/>
        <v>0</v>
      </c>
      <c r="AS1048" s="39"/>
      <c r="AT1048" s="41">
        <f t="shared" si="465"/>
        <v>0</v>
      </c>
      <c r="AU1048" s="47"/>
      <c r="AV1048" s="41">
        <f t="shared" si="484"/>
        <v>0</v>
      </c>
      <c r="AW1048" s="39"/>
      <c r="AX1048" s="41">
        <f t="shared" si="466"/>
        <v>0</v>
      </c>
      <c r="AY1048" s="47"/>
      <c r="AZ1048" s="41">
        <f t="shared" si="485"/>
        <v>0</v>
      </c>
      <c r="BA1048" s="39"/>
      <c r="BB1048" s="41">
        <f t="shared" si="467"/>
        <v>0</v>
      </c>
      <c r="BC1048" s="47"/>
      <c r="BD1048" s="41">
        <f t="shared" si="486"/>
        <v>0</v>
      </c>
      <c r="BE1048" s="39"/>
      <c r="BF1048" s="47"/>
    </row>
    <row r="1049" spans="1:58" ht="15.75" customHeight="1" x14ac:dyDescent="0.25">
      <c r="A1049" s="44">
        <v>2017</v>
      </c>
      <c r="B1049" s="39">
        <v>171320</v>
      </c>
      <c r="C1049" s="38" t="s">
        <v>148</v>
      </c>
      <c r="D1049" s="38" t="s">
        <v>79</v>
      </c>
      <c r="E1049" s="39"/>
      <c r="F1049" s="42">
        <f t="shared" si="468"/>
        <v>0</v>
      </c>
      <c r="G1049" s="47"/>
      <c r="H1049" s="42">
        <f t="shared" si="469"/>
        <v>0</v>
      </c>
      <c r="I1049" s="39"/>
      <c r="J1049" s="41">
        <f t="shared" si="470"/>
        <v>0</v>
      </c>
      <c r="K1049" s="47"/>
      <c r="L1049" s="41">
        <f t="shared" si="471"/>
        <v>0</v>
      </c>
      <c r="M1049" s="39"/>
      <c r="N1049" s="41">
        <f t="shared" si="472"/>
        <v>0</v>
      </c>
      <c r="O1049" s="47"/>
      <c r="P1049" s="41">
        <f t="shared" si="473"/>
        <v>0</v>
      </c>
      <c r="Q1049" s="39"/>
      <c r="R1049" s="41">
        <f t="shared" si="474"/>
        <v>0</v>
      </c>
      <c r="S1049" s="47"/>
      <c r="T1049" s="41">
        <f t="shared" si="475"/>
        <v>0</v>
      </c>
      <c r="U1049" s="39"/>
      <c r="V1049" s="41">
        <f t="shared" si="476"/>
        <v>0</v>
      </c>
      <c r="W1049" s="47"/>
      <c r="X1049" s="41">
        <f t="shared" si="477"/>
        <v>0</v>
      </c>
      <c r="Y1049" s="39"/>
      <c r="Z1049" s="41">
        <f t="shared" si="478"/>
        <v>0</v>
      </c>
      <c r="AA1049" s="47"/>
      <c r="AB1049" s="41">
        <f t="shared" si="479"/>
        <v>0</v>
      </c>
      <c r="AC1049" s="39"/>
      <c r="AD1049" s="41">
        <f t="shared" si="461"/>
        <v>0</v>
      </c>
      <c r="AE1049" s="47"/>
      <c r="AF1049" s="41">
        <f t="shared" si="480"/>
        <v>0</v>
      </c>
      <c r="AG1049" s="39"/>
      <c r="AH1049" s="41">
        <f t="shared" si="462"/>
        <v>0</v>
      </c>
      <c r="AI1049" s="47"/>
      <c r="AJ1049" s="41">
        <f t="shared" si="481"/>
        <v>0</v>
      </c>
      <c r="AK1049" s="39"/>
      <c r="AL1049" s="41">
        <f t="shared" si="463"/>
        <v>0</v>
      </c>
      <c r="AM1049" s="47"/>
      <c r="AN1049" s="41">
        <f t="shared" si="482"/>
        <v>0</v>
      </c>
      <c r="AO1049" s="39"/>
      <c r="AP1049" s="41">
        <f t="shared" si="464"/>
        <v>0</v>
      </c>
      <c r="AQ1049" s="47"/>
      <c r="AR1049" s="41">
        <f t="shared" si="483"/>
        <v>0</v>
      </c>
      <c r="AS1049" s="39"/>
      <c r="AT1049" s="41">
        <f t="shared" si="465"/>
        <v>0</v>
      </c>
      <c r="AU1049" s="47"/>
      <c r="AV1049" s="41">
        <f t="shared" si="484"/>
        <v>0</v>
      </c>
      <c r="AW1049" s="39"/>
      <c r="AX1049" s="41">
        <f t="shared" si="466"/>
        <v>0</v>
      </c>
      <c r="AY1049" s="47"/>
      <c r="AZ1049" s="41">
        <f t="shared" si="485"/>
        <v>0</v>
      </c>
      <c r="BA1049" s="39"/>
      <c r="BB1049" s="41">
        <f t="shared" si="467"/>
        <v>0</v>
      </c>
      <c r="BC1049" s="47"/>
      <c r="BD1049" s="41">
        <f t="shared" si="486"/>
        <v>0</v>
      </c>
      <c r="BE1049" s="39"/>
      <c r="BF1049" s="47"/>
    </row>
    <row r="1050" spans="1:58" ht="15.75" customHeight="1" x14ac:dyDescent="0.25">
      <c r="A1050" s="44">
        <v>2017</v>
      </c>
      <c r="B1050" s="39">
        <v>171330</v>
      </c>
      <c r="C1050" s="38" t="s">
        <v>148</v>
      </c>
      <c r="D1050" s="38" t="s">
        <v>80</v>
      </c>
      <c r="E1050" s="39"/>
      <c r="F1050" s="42">
        <f t="shared" si="468"/>
        <v>0</v>
      </c>
      <c r="G1050" s="47"/>
      <c r="H1050" s="42">
        <f t="shared" si="469"/>
        <v>0</v>
      </c>
      <c r="I1050" s="39"/>
      <c r="J1050" s="41">
        <f t="shared" si="470"/>
        <v>0</v>
      </c>
      <c r="K1050" s="47"/>
      <c r="L1050" s="41">
        <f t="shared" si="471"/>
        <v>0</v>
      </c>
      <c r="M1050" s="39"/>
      <c r="N1050" s="41">
        <f t="shared" si="472"/>
        <v>0</v>
      </c>
      <c r="O1050" s="47"/>
      <c r="P1050" s="41">
        <f t="shared" si="473"/>
        <v>0</v>
      </c>
      <c r="Q1050" s="39"/>
      <c r="R1050" s="41">
        <f t="shared" si="474"/>
        <v>0</v>
      </c>
      <c r="S1050" s="47"/>
      <c r="T1050" s="41">
        <f t="shared" si="475"/>
        <v>0</v>
      </c>
      <c r="U1050" s="39"/>
      <c r="V1050" s="41">
        <f t="shared" si="476"/>
        <v>0</v>
      </c>
      <c r="W1050" s="47"/>
      <c r="X1050" s="41">
        <f t="shared" si="477"/>
        <v>0</v>
      </c>
      <c r="Y1050" s="39"/>
      <c r="Z1050" s="41">
        <f t="shared" si="478"/>
        <v>0</v>
      </c>
      <c r="AA1050" s="47"/>
      <c r="AB1050" s="41">
        <f t="shared" si="479"/>
        <v>0</v>
      </c>
      <c r="AC1050" s="39"/>
      <c r="AD1050" s="41">
        <f t="shared" si="461"/>
        <v>0</v>
      </c>
      <c r="AE1050" s="47"/>
      <c r="AF1050" s="41">
        <f t="shared" si="480"/>
        <v>0</v>
      </c>
      <c r="AG1050" s="39"/>
      <c r="AH1050" s="41">
        <f t="shared" si="462"/>
        <v>0</v>
      </c>
      <c r="AI1050" s="47"/>
      <c r="AJ1050" s="41">
        <f t="shared" si="481"/>
        <v>0</v>
      </c>
      <c r="AK1050" s="39"/>
      <c r="AL1050" s="41">
        <f t="shared" si="463"/>
        <v>0</v>
      </c>
      <c r="AM1050" s="47"/>
      <c r="AN1050" s="41">
        <f t="shared" si="482"/>
        <v>0</v>
      </c>
      <c r="AO1050" s="39"/>
      <c r="AP1050" s="41">
        <f t="shared" si="464"/>
        <v>0</v>
      </c>
      <c r="AQ1050" s="47"/>
      <c r="AR1050" s="41">
        <f t="shared" si="483"/>
        <v>0</v>
      </c>
      <c r="AS1050" s="39"/>
      <c r="AT1050" s="41">
        <f t="shared" si="465"/>
        <v>0</v>
      </c>
      <c r="AU1050" s="47"/>
      <c r="AV1050" s="41">
        <f t="shared" si="484"/>
        <v>0</v>
      </c>
      <c r="AW1050" s="39"/>
      <c r="AX1050" s="41">
        <f t="shared" si="466"/>
        <v>0</v>
      </c>
      <c r="AY1050" s="47"/>
      <c r="AZ1050" s="41">
        <f t="shared" si="485"/>
        <v>0</v>
      </c>
      <c r="BA1050" s="39"/>
      <c r="BB1050" s="41">
        <f t="shared" si="467"/>
        <v>0</v>
      </c>
      <c r="BC1050" s="47"/>
      <c r="BD1050" s="41">
        <f t="shared" si="486"/>
        <v>0</v>
      </c>
      <c r="BE1050" s="39"/>
      <c r="BF1050" s="47"/>
    </row>
    <row r="1051" spans="1:58" ht="15.75" customHeight="1" x14ac:dyDescent="0.25">
      <c r="A1051" s="44">
        <v>2017</v>
      </c>
      <c r="B1051" s="39">
        <v>171360</v>
      </c>
      <c r="C1051" s="38" t="s">
        <v>151</v>
      </c>
      <c r="D1051" s="38" t="s">
        <v>81</v>
      </c>
      <c r="E1051" s="39"/>
      <c r="F1051" s="42">
        <f t="shared" si="468"/>
        <v>0</v>
      </c>
      <c r="G1051" s="47"/>
      <c r="H1051" s="42">
        <f t="shared" si="469"/>
        <v>0</v>
      </c>
      <c r="I1051" s="39"/>
      <c r="J1051" s="41">
        <f t="shared" si="470"/>
        <v>0</v>
      </c>
      <c r="K1051" s="47"/>
      <c r="L1051" s="41">
        <f t="shared" si="471"/>
        <v>0</v>
      </c>
      <c r="M1051" s="39"/>
      <c r="N1051" s="41">
        <f t="shared" si="472"/>
        <v>0</v>
      </c>
      <c r="O1051" s="47"/>
      <c r="P1051" s="41">
        <f t="shared" si="473"/>
        <v>0</v>
      </c>
      <c r="Q1051" s="39"/>
      <c r="R1051" s="41">
        <f t="shared" si="474"/>
        <v>0</v>
      </c>
      <c r="S1051" s="47"/>
      <c r="T1051" s="41">
        <f t="shared" si="475"/>
        <v>0</v>
      </c>
      <c r="U1051" s="39"/>
      <c r="V1051" s="41">
        <f t="shared" si="476"/>
        <v>0</v>
      </c>
      <c r="W1051" s="47"/>
      <c r="X1051" s="41">
        <f t="shared" si="477"/>
        <v>0</v>
      </c>
      <c r="Y1051" s="39"/>
      <c r="Z1051" s="41">
        <f t="shared" si="478"/>
        <v>0</v>
      </c>
      <c r="AA1051" s="47"/>
      <c r="AB1051" s="41">
        <f t="shared" si="479"/>
        <v>0</v>
      </c>
      <c r="AC1051" s="39"/>
      <c r="AD1051" s="41">
        <f t="shared" si="461"/>
        <v>0</v>
      </c>
      <c r="AE1051" s="47"/>
      <c r="AF1051" s="41">
        <f t="shared" si="480"/>
        <v>0</v>
      </c>
      <c r="AG1051" s="39"/>
      <c r="AH1051" s="41">
        <f t="shared" si="462"/>
        <v>0</v>
      </c>
      <c r="AI1051" s="47"/>
      <c r="AJ1051" s="41">
        <f t="shared" si="481"/>
        <v>0</v>
      </c>
      <c r="AK1051" s="39"/>
      <c r="AL1051" s="41">
        <f t="shared" si="463"/>
        <v>0</v>
      </c>
      <c r="AM1051" s="47"/>
      <c r="AN1051" s="41">
        <f t="shared" si="482"/>
        <v>0</v>
      </c>
      <c r="AO1051" s="39"/>
      <c r="AP1051" s="41">
        <f t="shared" si="464"/>
        <v>0</v>
      </c>
      <c r="AQ1051" s="47"/>
      <c r="AR1051" s="41">
        <f t="shared" si="483"/>
        <v>0</v>
      </c>
      <c r="AS1051" s="39"/>
      <c r="AT1051" s="41">
        <f t="shared" si="465"/>
        <v>0</v>
      </c>
      <c r="AU1051" s="47"/>
      <c r="AV1051" s="41">
        <f t="shared" si="484"/>
        <v>0</v>
      </c>
      <c r="AW1051" s="39"/>
      <c r="AX1051" s="41">
        <f t="shared" si="466"/>
        <v>0</v>
      </c>
      <c r="AY1051" s="47"/>
      <c r="AZ1051" s="41">
        <f t="shared" si="485"/>
        <v>0</v>
      </c>
      <c r="BA1051" s="39"/>
      <c r="BB1051" s="41">
        <f t="shared" si="467"/>
        <v>0</v>
      </c>
      <c r="BC1051" s="47"/>
      <c r="BD1051" s="41">
        <f t="shared" si="486"/>
        <v>0</v>
      </c>
      <c r="BE1051" s="39"/>
      <c r="BF1051" s="47"/>
    </row>
    <row r="1052" spans="1:58" ht="15.75" customHeight="1" x14ac:dyDescent="0.25">
      <c r="A1052" s="44">
        <v>2017</v>
      </c>
      <c r="B1052" s="39">
        <v>171370</v>
      </c>
      <c r="C1052" s="38" t="s">
        <v>144</v>
      </c>
      <c r="D1052" s="38" t="s">
        <v>82</v>
      </c>
      <c r="E1052" s="39"/>
      <c r="F1052" s="42">
        <f t="shared" si="468"/>
        <v>0</v>
      </c>
      <c r="G1052" s="47"/>
      <c r="H1052" s="42">
        <f t="shared" si="469"/>
        <v>0</v>
      </c>
      <c r="I1052" s="39"/>
      <c r="J1052" s="41">
        <f t="shared" si="470"/>
        <v>0</v>
      </c>
      <c r="K1052" s="47"/>
      <c r="L1052" s="41">
        <f t="shared" si="471"/>
        <v>0</v>
      </c>
      <c r="M1052" s="39"/>
      <c r="N1052" s="41">
        <f t="shared" si="472"/>
        <v>0</v>
      </c>
      <c r="O1052" s="47"/>
      <c r="P1052" s="41">
        <f t="shared" si="473"/>
        <v>0</v>
      </c>
      <c r="Q1052" s="39"/>
      <c r="R1052" s="41">
        <f t="shared" si="474"/>
        <v>0</v>
      </c>
      <c r="S1052" s="47"/>
      <c r="T1052" s="41">
        <f t="shared" si="475"/>
        <v>0</v>
      </c>
      <c r="U1052" s="39"/>
      <c r="V1052" s="41">
        <f t="shared" si="476"/>
        <v>0</v>
      </c>
      <c r="W1052" s="47"/>
      <c r="X1052" s="41">
        <f t="shared" si="477"/>
        <v>0</v>
      </c>
      <c r="Y1052" s="39"/>
      <c r="Z1052" s="41">
        <f t="shared" si="478"/>
        <v>0</v>
      </c>
      <c r="AA1052" s="47"/>
      <c r="AB1052" s="41">
        <f t="shared" si="479"/>
        <v>0</v>
      </c>
      <c r="AC1052" s="39"/>
      <c r="AD1052" s="41">
        <f t="shared" si="461"/>
        <v>0</v>
      </c>
      <c r="AE1052" s="47"/>
      <c r="AF1052" s="41">
        <f t="shared" si="480"/>
        <v>0</v>
      </c>
      <c r="AG1052" s="39"/>
      <c r="AH1052" s="41">
        <f t="shared" si="462"/>
        <v>0</v>
      </c>
      <c r="AI1052" s="47"/>
      <c r="AJ1052" s="41">
        <f t="shared" si="481"/>
        <v>0</v>
      </c>
      <c r="AK1052" s="39"/>
      <c r="AL1052" s="41">
        <f t="shared" si="463"/>
        <v>0</v>
      </c>
      <c r="AM1052" s="47"/>
      <c r="AN1052" s="41">
        <f t="shared" si="482"/>
        <v>0</v>
      </c>
      <c r="AO1052" s="39"/>
      <c r="AP1052" s="41">
        <f t="shared" si="464"/>
        <v>0</v>
      </c>
      <c r="AQ1052" s="47"/>
      <c r="AR1052" s="41">
        <f t="shared" si="483"/>
        <v>0</v>
      </c>
      <c r="AS1052" s="39"/>
      <c r="AT1052" s="41">
        <f t="shared" si="465"/>
        <v>0</v>
      </c>
      <c r="AU1052" s="47"/>
      <c r="AV1052" s="41">
        <f t="shared" si="484"/>
        <v>0</v>
      </c>
      <c r="AW1052" s="39"/>
      <c r="AX1052" s="41">
        <f t="shared" si="466"/>
        <v>0</v>
      </c>
      <c r="AY1052" s="47"/>
      <c r="AZ1052" s="41">
        <f t="shared" si="485"/>
        <v>0</v>
      </c>
      <c r="BA1052" s="39"/>
      <c r="BB1052" s="41">
        <f t="shared" si="467"/>
        <v>0</v>
      </c>
      <c r="BC1052" s="47"/>
      <c r="BD1052" s="41">
        <f t="shared" si="486"/>
        <v>0</v>
      </c>
      <c r="BE1052" s="39"/>
      <c r="BF1052" s="47"/>
    </row>
    <row r="1053" spans="1:58" ht="15.75" customHeight="1" x14ac:dyDescent="0.25">
      <c r="A1053" s="44">
        <v>2017</v>
      </c>
      <c r="B1053" s="39">
        <v>171395</v>
      </c>
      <c r="C1053" s="38" t="s">
        <v>149</v>
      </c>
      <c r="D1053" s="38" t="s">
        <v>83</v>
      </c>
      <c r="E1053" s="39"/>
      <c r="F1053" s="42">
        <f t="shared" si="468"/>
        <v>0</v>
      </c>
      <c r="G1053" s="47"/>
      <c r="H1053" s="42">
        <f t="shared" si="469"/>
        <v>0</v>
      </c>
      <c r="I1053" s="39"/>
      <c r="J1053" s="41">
        <f t="shared" si="470"/>
        <v>0</v>
      </c>
      <c r="K1053" s="47"/>
      <c r="L1053" s="41">
        <f t="shared" si="471"/>
        <v>0</v>
      </c>
      <c r="M1053" s="39"/>
      <c r="N1053" s="41">
        <f t="shared" si="472"/>
        <v>0</v>
      </c>
      <c r="O1053" s="47"/>
      <c r="P1053" s="41">
        <f t="shared" si="473"/>
        <v>0</v>
      </c>
      <c r="Q1053" s="39"/>
      <c r="R1053" s="41">
        <f t="shared" si="474"/>
        <v>0</v>
      </c>
      <c r="S1053" s="47"/>
      <c r="T1053" s="41">
        <f t="shared" si="475"/>
        <v>0</v>
      </c>
      <c r="U1053" s="39"/>
      <c r="V1053" s="41">
        <f t="shared" si="476"/>
        <v>0</v>
      </c>
      <c r="W1053" s="47"/>
      <c r="X1053" s="41">
        <f t="shared" si="477"/>
        <v>0</v>
      </c>
      <c r="Y1053" s="39"/>
      <c r="Z1053" s="41">
        <f t="shared" si="478"/>
        <v>0</v>
      </c>
      <c r="AA1053" s="47"/>
      <c r="AB1053" s="41">
        <f t="shared" si="479"/>
        <v>0</v>
      </c>
      <c r="AC1053" s="39"/>
      <c r="AD1053" s="41">
        <f t="shared" si="461"/>
        <v>0</v>
      </c>
      <c r="AE1053" s="47"/>
      <c r="AF1053" s="41">
        <f t="shared" si="480"/>
        <v>0</v>
      </c>
      <c r="AG1053" s="39"/>
      <c r="AH1053" s="41">
        <f t="shared" si="462"/>
        <v>0</v>
      </c>
      <c r="AI1053" s="47"/>
      <c r="AJ1053" s="41">
        <f t="shared" si="481"/>
        <v>0</v>
      </c>
      <c r="AK1053" s="39"/>
      <c r="AL1053" s="41">
        <f t="shared" si="463"/>
        <v>0</v>
      </c>
      <c r="AM1053" s="47"/>
      <c r="AN1053" s="41">
        <f t="shared" si="482"/>
        <v>0</v>
      </c>
      <c r="AO1053" s="39"/>
      <c r="AP1053" s="41">
        <f t="shared" si="464"/>
        <v>0</v>
      </c>
      <c r="AQ1053" s="47"/>
      <c r="AR1053" s="41">
        <f t="shared" si="483"/>
        <v>0</v>
      </c>
      <c r="AS1053" s="39"/>
      <c r="AT1053" s="41">
        <f t="shared" si="465"/>
        <v>0</v>
      </c>
      <c r="AU1053" s="47"/>
      <c r="AV1053" s="41">
        <f t="shared" si="484"/>
        <v>0</v>
      </c>
      <c r="AW1053" s="39"/>
      <c r="AX1053" s="41">
        <f t="shared" si="466"/>
        <v>0</v>
      </c>
      <c r="AY1053" s="47"/>
      <c r="AZ1053" s="41">
        <f t="shared" si="485"/>
        <v>0</v>
      </c>
      <c r="BA1053" s="39"/>
      <c r="BB1053" s="41">
        <f t="shared" si="467"/>
        <v>0</v>
      </c>
      <c r="BC1053" s="47"/>
      <c r="BD1053" s="41">
        <f t="shared" si="486"/>
        <v>0</v>
      </c>
      <c r="BE1053" s="39"/>
      <c r="BF1053" s="47"/>
    </row>
    <row r="1054" spans="1:58" ht="15.75" customHeight="1" x14ac:dyDescent="0.25">
      <c r="A1054" s="44">
        <v>2017</v>
      </c>
      <c r="B1054" s="39">
        <v>171420</v>
      </c>
      <c r="C1054" s="38" t="s">
        <v>151</v>
      </c>
      <c r="D1054" s="38" t="s">
        <v>84</v>
      </c>
      <c r="E1054" s="39"/>
      <c r="F1054" s="42">
        <f t="shared" si="468"/>
        <v>0</v>
      </c>
      <c r="G1054" s="47"/>
      <c r="H1054" s="42">
        <f t="shared" si="469"/>
        <v>0</v>
      </c>
      <c r="I1054" s="39"/>
      <c r="J1054" s="41">
        <f t="shared" si="470"/>
        <v>0</v>
      </c>
      <c r="K1054" s="47"/>
      <c r="L1054" s="41">
        <f t="shared" si="471"/>
        <v>0</v>
      </c>
      <c r="M1054" s="39"/>
      <c r="N1054" s="41">
        <f t="shared" si="472"/>
        <v>0</v>
      </c>
      <c r="O1054" s="47"/>
      <c r="P1054" s="41">
        <f t="shared" si="473"/>
        <v>0</v>
      </c>
      <c r="Q1054" s="39"/>
      <c r="R1054" s="41">
        <f t="shared" si="474"/>
        <v>0</v>
      </c>
      <c r="S1054" s="47"/>
      <c r="T1054" s="41">
        <f t="shared" si="475"/>
        <v>0</v>
      </c>
      <c r="U1054" s="39"/>
      <c r="V1054" s="41">
        <f t="shared" si="476"/>
        <v>0</v>
      </c>
      <c r="W1054" s="47"/>
      <c r="X1054" s="41">
        <f t="shared" si="477"/>
        <v>0</v>
      </c>
      <c r="Y1054" s="39"/>
      <c r="Z1054" s="41">
        <f t="shared" si="478"/>
        <v>0</v>
      </c>
      <c r="AA1054" s="47"/>
      <c r="AB1054" s="41">
        <f t="shared" si="479"/>
        <v>0</v>
      </c>
      <c r="AC1054" s="39"/>
      <c r="AD1054" s="41">
        <f t="shared" si="461"/>
        <v>0</v>
      </c>
      <c r="AE1054" s="47"/>
      <c r="AF1054" s="41">
        <f t="shared" si="480"/>
        <v>0</v>
      </c>
      <c r="AG1054" s="39"/>
      <c r="AH1054" s="41">
        <f t="shared" si="462"/>
        <v>0</v>
      </c>
      <c r="AI1054" s="47"/>
      <c r="AJ1054" s="41">
        <f t="shared" si="481"/>
        <v>0</v>
      </c>
      <c r="AK1054" s="39"/>
      <c r="AL1054" s="41">
        <f t="shared" si="463"/>
        <v>0</v>
      </c>
      <c r="AM1054" s="47"/>
      <c r="AN1054" s="41">
        <f t="shared" si="482"/>
        <v>0</v>
      </c>
      <c r="AO1054" s="39"/>
      <c r="AP1054" s="41">
        <f t="shared" si="464"/>
        <v>0</v>
      </c>
      <c r="AQ1054" s="47"/>
      <c r="AR1054" s="41">
        <f t="shared" si="483"/>
        <v>0</v>
      </c>
      <c r="AS1054" s="39"/>
      <c r="AT1054" s="41">
        <f t="shared" si="465"/>
        <v>0</v>
      </c>
      <c r="AU1054" s="47"/>
      <c r="AV1054" s="41">
        <f t="shared" si="484"/>
        <v>0</v>
      </c>
      <c r="AW1054" s="39"/>
      <c r="AX1054" s="41">
        <f t="shared" si="466"/>
        <v>0</v>
      </c>
      <c r="AY1054" s="47"/>
      <c r="AZ1054" s="41">
        <f t="shared" si="485"/>
        <v>0</v>
      </c>
      <c r="BA1054" s="39"/>
      <c r="BB1054" s="41">
        <f t="shared" si="467"/>
        <v>0</v>
      </c>
      <c r="BC1054" s="47"/>
      <c r="BD1054" s="41">
        <f t="shared" si="486"/>
        <v>0</v>
      </c>
      <c r="BE1054" s="39"/>
      <c r="BF1054" s="47"/>
    </row>
    <row r="1055" spans="1:58" ht="15.75" customHeight="1" x14ac:dyDescent="0.25">
      <c r="A1055" s="44">
        <v>2017</v>
      </c>
      <c r="B1055" s="39">
        <v>171430</v>
      </c>
      <c r="C1055" s="38" t="s">
        <v>145</v>
      </c>
      <c r="D1055" s="38" t="s">
        <v>85</v>
      </c>
      <c r="E1055" s="39"/>
      <c r="F1055" s="42">
        <f t="shared" si="468"/>
        <v>0</v>
      </c>
      <c r="G1055" s="47"/>
      <c r="H1055" s="42">
        <f t="shared" si="469"/>
        <v>0</v>
      </c>
      <c r="I1055" s="39"/>
      <c r="J1055" s="41">
        <f t="shared" si="470"/>
        <v>0</v>
      </c>
      <c r="K1055" s="47"/>
      <c r="L1055" s="41">
        <f t="shared" si="471"/>
        <v>0</v>
      </c>
      <c r="M1055" s="39"/>
      <c r="N1055" s="41">
        <f t="shared" si="472"/>
        <v>0</v>
      </c>
      <c r="O1055" s="47"/>
      <c r="P1055" s="41">
        <f t="shared" si="473"/>
        <v>0</v>
      </c>
      <c r="Q1055" s="39"/>
      <c r="R1055" s="41">
        <f t="shared" si="474"/>
        <v>0</v>
      </c>
      <c r="S1055" s="47"/>
      <c r="T1055" s="41">
        <f t="shared" si="475"/>
        <v>0</v>
      </c>
      <c r="U1055" s="39"/>
      <c r="V1055" s="41">
        <f t="shared" si="476"/>
        <v>0</v>
      </c>
      <c r="W1055" s="47"/>
      <c r="X1055" s="41">
        <f t="shared" si="477"/>
        <v>0</v>
      </c>
      <c r="Y1055" s="39"/>
      <c r="Z1055" s="41">
        <f t="shared" si="478"/>
        <v>0</v>
      </c>
      <c r="AA1055" s="47"/>
      <c r="AB1055" s="41">
        <f t="shared" si="479"/>
        <v>0</v>
      </c>
      <c r="AC1055" s="39"/>
      <c r="AD1055" s="41">
        <f t="shared" si="461"/>
        <v>0</v>
      </c>
      <c r="AE1055" s="47"/>
      <c r="AF1055" s="41">
        <f t="shared" si="480"/>
        <v>0</v>
      </c>
      <c r="AG1055" s="39"/>
      <c r="AH1055" s="41">
        <f t="shared" si="462"/>
        <v>0</v>
      </c>
      <c r="AI1055" s="47"/>
      <c r="AJ1055" s="41">
        <f t="shared" si="481"/>
        <v>0</v>
      </c>
      <c r="AK1055" s="39"/>
      <c r="AL1055" s="41">
        <f t="shared" si="463"/>
        <v>0</v>
      </c>
      <c r="AM1055" s="47"/>
      <c r="AN1055" s="41">
        <f t="shared" si="482"/>
        <v>0</v>
      </c>
      <c r="AO1055" s="39"/>
      <c r="AP1055" s="41">
        <f t="shared" si="464"/>
        <v>0</v>
      </c>
      <c r="AQ1055" s="47"/>
      <c r="AR1055" s="41">
        <f t="shared" si="483"/>
        <v>0</v>
      </c>
      <c r="AS1055" s="39"/>
      <c r="AT1055" s="41">
        <f t="shared" si="465"/>
        <v>0</v>
      </c>
      <c r="AU1055" s="47"/>
      <c r="AV1055" s="41">
        <f t="shared" si="484"/>
        <v>0</v>
      </c>
      <c r="AW1055" s="39"/>
      <c r="AX1055" s="41">
        <f t="shared" si="466"/>
        <v>0</v>
      </c>
      <c r="AY1055" s="47"/>
      <c r="AZ1055" s="41">
        <f t="shared" si="485"/>
        <v>0</v>
      </c>
      <c r="BA1055" s="39"/>
      <c r="BB1055" s="41">
        <f t="shared" si="467"/>
        <v>0</v>
      </c>
      <c r="BC1055" s="47"/>
      <c r="BD1055" s="41">
        <f t="shared" si="486"/>
        <v>0</v>
      </c>
      <c r="BE1055" s="39"/>
      <c r="BF1055" s="47"/>
    </row>
    <row r="1056" spans="1:58" ht="15.75" customHeight="1" x14ac:dyDescent="0.25">
      <c r="A1056" s="44">
        <v>2017</v>
      </c>
      <c r="B1056" s="39">
        <v>171488</v>
      </c>
      <c r="C1056" s="38" t="s">
        <v>149</v>
      </c>
      <c r="D1056" s="38" t="s">
        <v>86</v>
      </c>
      <c r="E1056" s="39"/>
      <c r="F1056" s="42">
        <f t="shared" si="468"/>
        <v>0</v>
      </c>
      <c r="G1056" s="47"/>
      <c r="H1056" s="42">
        <f t="shared" si="469"/>
        <v>0</v>
      </c>
      <c r="I1056" s="39"/>
      <c r="J1056" s="41">
        <f t="shared" si="470"/>
        <v>0</v>
      </c>
      <c r="K1056" s="47"/>
      <c r="L1056" s="41">
        <f t="shared" si="471"/>
        <v>0</v>
      </c>
      <c r="M1056" s="39"/>
      <c r="N1056" s="41">
        <f t="shared" si="472"/>
        <v>0</v>
      </c>
      <c r="O1056" s="47"/>
      <c r="P1056" s="41">
        <f t="shared" si="473"/>
        <v>0</v>
      </c>
      <c r="Q1056" s="39"/>
      <c r="R1056" s="41">
        <f t="shared" si="474"/>
        <v>0</v>
      </c>
      <c r="S1056" s="47"/>
      <c r="T1056" s="41">
        <f t="shared" si="475"/>
        <v>0</v>
      </c>
      <c r="U1056" s="39"/>
      <c r="V1056" s="41">
        <f t="shared" si="476"/>
        <v>0</v>
      </c>
      <c r="W1056" s="47"/>
      <c r="X1056" s="41">
        <f t="shared" si="477"/>
        <v>0</v>
      </c>
      <c r="Y1056" s="39"/>
      <c r="Z1056" s="41">
        <f t="shared" si="478"/>
        <v>0</v>
      </c>
      <c r="AA1056" s="47"/>
      <c r="AB1056" s="41">
        <f t="shared" si="479"/>
        <v>0</v>
      </c>
      <c r="AC1056" s="39"/>
      <c r="AD1056" s="41">
        <f t="shared" si="461"/>
        <v>0</v>
      </c>
      <c r="AE1056" s="47"/>
      <c r="AF1056" s="41">
        <f t="shared" si="480"/>
        <v>0</v>
      </c>
      <c r="AG1056" s="39"/>
      <c r="AH1056" s="41">
        <f t="shared" si="462"/>
        <v>0</v>
      </c>
      <c r="AI1056" s="47"/>
      <c r="AJ1056" s="41">
        <f t="shared" si="481"/>
        <v>0</v>
      </c>
      <c r="AK1056" s="39"/>
      <c r="AL1056" s="41">
        <f t="shared" si="463"/>
        <v>0</v>
      </c>
      <c r="AM1056" s="47"/>
      <c r="AN1056" s="41">
        <f t="shared" si="482"/>
        <v>0</v>
      </c>
      <c r="AO1056" s="39"/>
      <c r="AP1056" s="41">
        <f t="shared" si="464"/>
        <v>0</v>
      </c>
      <c r="AQ1056" s="47"/>
      <c r="AR1056" s="41">
        <f t="shared" si="483"/>
        <v>0</v>
      </c>
      <c r="AS1056" s="39"/>
      <c r="AT1056" s="41">
        <f t="shared" si="465"/>
        <v>0</v>
      </c>
      <c r="AU1056" s="47"/>
      <c r="AV1056" s="41">
        <f t="shared" si="484"/>
        <v>0</v>
      </c>
      <c r="AW1056" s="39"/>
      <c r="AX1056" s="41">
        <f t="shared" si="466"/>
        <v>0</v>
      </c>
      <c r="AY1056" s="47"/>
      <c r="AZ1056" s="41">
        <f t="shared" si="485"/>
        <v>0</v>
      </c>
      <c r="BA1056" s="39"/>
      <c r="BB1056" s="41">
        <f t="shared" si="467"/>
        <v>0</v>
      </c>
      <c r="BC1056" s="47"/>
      <c r="BD1056" s="41">
        <f t="shared" si="486"/>
        <v>0</v>
      </c>
      <c r="BE1056" s="39"/>
      <c r="BF1056" s="47"/>
    </row>
    <row r="1057" spans="1:58" ht="15.75" customHeight="1" x14ac:dyDescent="0.25">
      <c r="A1057" s="44">
        <v>2017</v>
      </c>
      <c r="B1057" s="39">
        <v>171500</v>
      </c>
      <c r="C1057" s="38" t="s">
        <v>144</v>
      </c>
      <c r="D1057" s="38" t="s">
        <v>87</v>
      </c>
      <c r="E1057" s="39"/>
      <c r="F1057" s="42">
        <f t="shared" si="468"/>
        <v>0</v>
      </c>
      <c r="G1057" s="47"/>
      <c r="H1057" s="42">
        <f t="shared" si="469"/>
        <v>0</v>
      </c>
      <c r="I1057" s="39"/>
      <c r="J1057" s="41">
        <f t="shared" si="470"/>
        <v>0</v>
      </c>
      <c r="K1057" s="47"/>
      <c r="L1057" s="41">
        <f t="shared" si="471"/>
        <v>0</v>
      </c>
      <c r="M1057" s="39"/>
      <c r="N1057" s="41">
        <f t="shared" si="472"/>
        <v>0</v>
      </c>
      <c r="O1057" s="47"/>
      <c r="P1057" s="41">
        <f t="shared" si="473"/>
        <v>0</v>
      </c>
      <c r="Q1057" s="39"/>
      <c r="R1057" s="41">
        <f t="shared" si="474"/>
        <v>0</v>
      </c>
      <c r="S1057" s="47"/>
      <c r="T1057" s="41">
        <f t="shared" si="475"/>
        <v>0</v>
      </c>
      <c r="U1057" s="39"/>
      <c r="V1057" s="41">
        <f t="shared" si="476"/>
        <v>0</v>
      </c>
      <c r="W1057" s="47"/>
      <c r="X1057" s="41">
        <f t="shared" si="477"/>
        <v>0</v>
      </c>
      <c r="Y1057" s="39"/>
      <c r="Z1057" s="41">
        <f t="shared" si="478"/>
        <v>0</v>
      </c>
      <c r="AA1057" s="47"/>
      <c r="AB1057" s="41">
        <f t="shared" si="479"/>
        <v>0</v>
      </c>
      <c r="AC1057" s="39"/>
      <c r="AD1057" s="41">
        <f t="shared" si="461"/>
        <v>0</v>
      </c>
      <c r="AE1057" s="47"/>
      <c r="AF1057" s="41">
        <f t="shared" si="480"/>
        <v>0</v>
      </c>
      <c r="AG1057" s="39"/>
      <c r="AH1057" s="41">
        <f t="shared" si="462"/>
        <v>0</v>
      </c>
      <c r="AI1057" s="47"/>
      <c r="AJ1057" s="41">
        <f t="shared" si="481"/>
        <v>0</v>
      </c>
      <c r="AK1057" s="39"/>
      <c r="AL1057" s="41">
        <f t="shared" si="463"/>
        <v>0</v>
      </c>
      <c r="AM1057" s="47"/>
      <c r="AN1057" s="41">
        <f t="shared" si="482"/>
        <v>0</v>
      </c>
      <c r="AO1057" s="39"/>
      <c r="AP1057" s="41">
        <f t="shared" si="464"/>
        <v>0</v>
      </c>
      <c r="AQ1057" s="47"/>
      <c r="AR1057" s="41">
        <f t="shared" si="483"/>
        <v>0</v>
      </c>
      <c r="AS1057" s="39"/>
      <c r="AT1057" s="41">
        <f t="shared" si="465"/>
        <v>0</v>
      </c>
      <c r="AU1057" s="47"/>
      <c r="AV1057" s="41">
        <f t="shared" si="484"/>
        <v>0</v>
      </c>
      <c r="AW1057" s="39"/>
      <c r="AX1057" s="41">
        <f t="shared" si="466"/>
        <v>0</v>
      </c>
      <c r="AY1057" s="47"/>
      <c r="AZ1057" s="41">
        <f t="shared" si="485"/>
        <v>0</v>
      </c>
      <c r="BA1057" s="39"/>
      <c r="BB1057" s="41">
        <f t="shared" si="467"/>
        <v>0</v>
      </c>
      <c r="BC1057" s="47"/>
      <c r="BD1057" s="41">
        <f t="shared" si="486"/>
        <v>0</v>
      </c>
      <c r="BE1057" s="39"/>
      <c r="BF1057" s="47"/>
    </row>
    <row r="1058" spans="1:58" ht="15.75" customHeight="1" x14ac:dyDescent="0.25">
      <c r="A1058" s="44">
        <v>2017</v>
      </c>
      <c r="B1058" s="39">
        <v>171510</v>
      </c>
      <c r="C1058" s="38" t="s">
        <v>148</v>
      </c>
      <c r="D1058" s="38" t="s">
        <v>88</v>
      </c>
      <c r="E1058" s="39"/>
      <c r="F1058" s="42">
        <f t="shared" si="468"/>
        <v>0</v>
      </c>
      <c r="G1058" s="47"/>
      <c r="H1058" s="42">
        <f t="shared" si="469"/>
        <v>0</v>
      </c>
      <c r="I1058" s="39"/>
      <c r="J1058" s="41">
        <f t="shared" si="470"/>
        <v>0</v>
      </c>
      <c r="K1058" s="47"/>
      <c r="L1058" s="41">
        <f t="shared" si="471"/>
        <v>0</v>
      </c>
      <c r="M1058" s="39"/>
      <c r="N1058" s="41">
        <f t="shared" si="472"/>
        <v>0</v>
      </c>
      <c r="O1058" s="47"/>
      <c r="P1058" s="41">
        <f t="shared" si="473"/>
        <v>0</v>
      </c>
      <c r="Q1058" s="39"/>
      <c r="R1058" s="41">
        <f t="shared" si="474"/>
        <v>0</v>
      </c>
      <c r="S1058" s="47"/>
      <c r="T1058" s="41">
        <f t="shared" si="475"/>
        <v>0</v>
      </c>
      <c r="U1058" s="39"/>
      <c r="V1058" s="41">
        <f t="shared" si="476"/>
        <v>0</v>
      </c>
      <c r="W1058" s="47"/>
      <c r="X1058" s="41">
        <f t="shared" si="477"/>
        <v>0</v>
      </c>
      <c r="Y1058" s="39"/>
      <c r="Z1058" s="41">
        <f t="shared" si="478"/>
        <v>0</v>
      </c>
      <c r="AA1058" s="47"/>
      <c r="AB1058" s="41">
        <f t="shared" si="479"/>
        <v>0</v>
      </c>
      <c r="AC1058" s="39"/>
      <c r="AD1058" s="41">
        <f t="shared" si="461"/>
        <v>0</v>
      </c>
      <c r="AE1058" s="47"/>
      <c r="AF1058" s="41">
        <f t="shared" si="480"/>
        <v>0</v>
      </c>
      <c r="AG1058" s="39"/>
      <c r="AH1058" s="41">
        <f t="shared" si="462"/>
        <v>0</v>
      </c>
      <c r="AI1058" s="47"/>
      <c r="AJ1058" s="41">
        <f t="shared" si="481"/>
        <v>0</v>
      </c>
      <c r="AK1058" s="39"/>
      <c r="AL1058" s="41">
        <f t="shared" si="463"/>
        <v>0</v>
      </c>
      <c r="AM1058" s="47"/>
      <c r="AN1058" s="41">
        <f t="shared" si="482"/>
        <v>0</v>
      </c>
      <c r="AO1058" s="39"/>
      <c r="AP1058" s="41">
        <f t="shared" si="464"/>
        <v>0</v>
      </c>
      <c r="AQ1058" s="47"/>
      <c r="AR1058" s="41">
        <f t="shared" si="483"/>
        <v>0</v>
      </c>
      <c r="AS1058" s="39"/>
      <c r="AT1058" s="41">
        <f t="shared" si="465"/>
        <v>0</v>
      </c>
      <c r="AU1058" s="47"/>
      <c r="AV1058" s="41">
        <f t="shared" si="484"/>
        <v>0</v>
      </c>
      <c r="AW1058" s="39"/>
      <c r="AX1058" s="41">
        <f t="shared" si="466"/>
        <v>0</v>
      </c>
      <c r="AY1058" s="47"/>
      <c r="AZ1058" s="41">
        <f t="shared" si="485"/>
        <v>0</v>
      </c>
      <c r="BA1058" s="39"/>
      <c r="BB1058" s="41">
        <f t="shared" si="467"/>
        <v>0</v>
      </c>
      <c r="BC1058" s="47"/>
      <c r="BD1058" s="41">
        <f t="shared" si="486"/>
        <v>0</v>
      </c>
      <c r="BE1058" s="39"/>
      <c r="BF1058" s="47"/>
    </row>
    <row r="1059" spans="1:58" ht="15.75" customHeight="1" x14ac:dyDescent="0.25">
      <c r="A1059" s="44">
        <v>2017</v>
      </c>
      <c r="B1059" s="39">
        <v>171515</v>
      </c>
      <c r="C1059" s="38" t="s">
        <v>147</v>
      </c>
      <c r="D1059" s="38" t="s">
        <v>89</v>
      </c>
      <c r="E1059" s="39"/>
      <c r="F1059" s="42">
        <f t="shared" si="468"/>
        <v>0</v>
      </c>
      <c r="G1059" s="47"/>
      <c r="H1059" s="42">
        <f t="shared" si="469"/>
        <v>0</v>
      </c>
      <c r="I1059" s="39"/>
      <c r="J1059" s="41">
        <f t="shared" si="470"/>
        <v>0</v>
      </c>
      <c r="K1059" s="47"/>
      <c r="L1059" s="41">
        <f t="shared" si="471"/>
        <v>0</v>
      </c>
      <c r="M1059" s="39"/>
      <c r="N1059" s="41">
        <f t="shared" si="472"/>
        <v>0</v>
      </c>
      <c r="O1059" s="47"/>
      <c r="P1059" s="41">
        <f t="shared" si="473"/>
        <v>0</v>
      </c>
      <c r="Q1059" s="39"/>
      <c r="R1059" s="41">
        <f t="shared" si="474"/>
        <v>0</v>
      </c>
      <c r="S1059" s="47"/>
      <c r="T1059" s="41">
        <f t="shared" si="475"/>
        <v>0</v>
      </c>
      <c r="U1059" s="39"/>
      <c r="V1059" s="41">
        <f t="shared" si="476"/>
        <v>0</v>
      </c>
      <c r="W1059" s="47"/>
      <c r="X1059" s="41">
        <f t="shared" si="477"/>
        <v>0</v>
      </c>
      <c r="Y1059" s="39"/>
      <c r="Z1059" s="41">
        <f t="shared" si="478"/>
        <v>0</v>
      </c>
      <c r="AA1059" s="47"/>
      <c r="AB1059" s="41">
        <f t="shared" si="479"/>
        <v>0</v>
      </c>
      <c r="AC1059" s="39"/>
      <c r="AD1059" s="41">
        <f t="shared" si="461"/>
        <v>0</v>
      </c>
      <c r="AE1059" s="47"/>
      <c r="AF1059" s="41">
        <f t="shared" si="480"/>
        <v>0</v>
      </c>
      <c r="AG1059" s="39"/>
      <c r="AH1059" s="41">
        <f t="shared" si="462"/>
        <v>0</v>
      </c>
      <c r="AI1059" s="47"/>
      <c r="AJ1059" s="41">
        <f t="shared" si="481"/>
        <v>0</v>
      </c>
      <c r="AK1059" s="39"/>
      <c r="AL1059" s="41">
        <f t="shared" si="463"/>
        <v>0</v>
      </c>
      <c r="AM1059" s="47"/>
      <c r="AN1059" s="41">
        <f t="shared" si="482"/>
        <v>0</v>
      </c>
      <c r="AO1059" s="39"/>
      <c r="AP1059" s="41">
        <f t="shared" si="464"/>
        <v>0</v>
      </c>
      <c r="AQ1059" s="47"/>
      <c r="AR1059" s="41">
        <f t="shared" si="483"/>
        <v>0</v>
      </c>
      <c r="AS1059" s="39"/>
      <c r="AT1059" s="41">
        <f t="shared" si="465"/>
        <v>0</v>
      </c>
      <c r="AU1059" s="47"/>
      <c r="AV1059" s="41">
        <f t="shared" si="484"/>
        <v>0</v>
      </c>
      <c r="AW1059" s="39"/>
      <c r="AX1059" s="41">
        <f t="shared" si="466"/>
        <v>0</v>
      </c>
      <c r="AY1059" s="47"/>
      <c r="AZ1059" s="41">
        <f t="shared" si="485"/>
        <v>0</v>
      </c>
      <c r="BA1059" s="39"/>
      <c r="BB1059" s="41">
        <f t="shared" si="467"/>
        <v>0</v>
      </c>
      <c r="BC1059" s="47"/>
      <c r="BD1059" s="41">
        <f t="shared" si="486"/>
        <v>0</v>
      </c>
      <c r="BE1059" s="39"/>
      <c r="BF1059" s="47"/>
    </row>
    <row r="1060" spans="1:58" ht="15.75" customHeight="1" x14ac:dyDescent="0.25">
      <c r="A1060" s="44">
        <v>2017</v>
      </c>
      <c r="B1060" s="39">
        <v>171525</v>
      </c>
      <c r="C1060" s="38" t="s">
        <v>147</v>
      </c>
      <c r="D1060" s="38" t="s">
        <v>90</v>
      </c>
      <c r="E1060" s="39"/>
      <c r="F1060" s="42">
        <f t="shared" si="468"/>
        <v>0</v>
      </c>
      <c r="G1060" s="47"/>
      <c r="H1060" s="42">
        <f t="shared" si="469"/>
        <v>0</v>
      </c>
      <c r="I1060" s="39"/>
      <c r="J1060" s="41">
        <f t="shared" si="470"/>
        <v>0</v>
      </c>
      <c r="K1060" s="47"/>
      <c r="L1060" s="41">
        <f t="shared" si="471"/>
        <v>0</v>
      </c>
      <c r="M1060" s="39"/>
      <c r="N1060" s="41">
        <f t="shared" si="472"/>
        <v>0</v>
      </c>
      <c r="O1060" s="47"/>
      <c r="P1060" s="41">
        <f t="shared" si="473"/>
        <v>0</v>
      </c>
      <c r="Q1060" s="39"/>
      <c r="R1060" s="41">
        <f t="shared" si="474"/>
        <v>0</v>
      </c>
      <c r="S1060" s="47"/>
      <c r="T1060" s="41">
        <f t="shared" si="475"/>
        <v>0</v>
      </c>
      <c r="U1060" s="39"/>
      <c r="V1060" s="41">
        <f t="shared" si="476"/>
        <v>0</v>
      </c>
      <c r="W1060" s="47"/>
      <c r="X1060" s="41">
        <f t="shared" si="477"/>
        <v>0</v>
      </c>
      <c r="Y1060" s="39"/>
      <c r="Z1060" s="41">
        <f t="shared" si="478"/>
        <v>0</v>
      </c>
      <c r="AA1060" s="47"/>
      <c r="AB1060" s="41">
        <f t="shared" si="479"/>
        <v>0</v>
      </c>
      <c r="AC1060" s="39"/>
      <c r="AD1060" s="41">
        <f t="shared" si="461"/>
        <v>0</v>
      </c>
      <c r="AE1060" s="47"/>
      <c r="AF1060" s="41">
        <f t="shared" si="480"/>
        <v>0</v>
      </c>
      <c r="AG1060" s="39"/>
      <c r="AH1060" s="41">
        <f t="shared" si="462"/>
        <v>0</v>
      </c>
      <c r="AI1060" s="47"/>
      <c r="AJ1060" s="41">
        <f t="shared" si="481"/>
        <v>0</v>
      </c>
      <c r="AK1060" s="39"/>
      <c r="AL1060" s="41">
        <f t="shared" si="463"/>
        <v>0</v>
      </c>
      <c r="AM1060" s="47"/>
      <c r="AN1060" s="41">
        <f t="shared" si="482"/>
        <v>0</v>
      </c>
      <c r="AO1060" s="39"/>
      <c r="AP1060" s="41">
        <f t="shared" si="464"/>
        <v>0</v>
      </c>
      <c r="AQ1060" s="47"/>
      <c r="AR1060" s="41">
        <f t="shared" si="483"/>
        <v>0</v>
      </c>
      <c r="AS1060" s="39"/>
      <c r="AT1060" s="41">
        <f t="shared" si="465"/>
        <v>0</v>
      </c>
      <c r="AU1060" s="47"/>
      <c r="AV1060" s="41">
        <f t="shared" si="484"/>
        <v>0</v>
      </c>
      <c r="AW1060" s="39"/>
      <c r="AX1060" s="41">
        <f t="shared" si="466"/>
        <v>0</v>
      </c>
      <c r="AY1060" s="47"/>
      <c r="AZ1060" s="41">
        <f t="shared" si="485"/>
        <v>0</v>
      </c>
      <c r="BA1060" s="39"/>
      <c r="BB1060" s="41">
        <f t="shared" si="467"/>
        <v>0</v>
      </c>
      <c r="BC1060" s="47"/>
      <c r="BD1060" s="41">
        <f t="shared" si="486"/>
        <v>0</v>
      </c>
      <c r="BE1060" s="39"/>
      <c r="BF1060" s="47"/>
    </row>
    <row r="1061" spans="1:58" ht="15.75" customHeight="1" x14ac:dyDescent="0.25">
      <c r="A1061" s="44">
        <v>2017</v>
      </c>
      <c r="B1061" s="39">
        <v>171550</v>
      </c>
      <c r="C1061" s="38" t="s">
        <v>151</v>
      </c>
      <c r="D1061" s="38" t="s">
        <v>91</v>
      </c>
      <c r="E1061" s="39"/>
      <c r="F1061" s="42">
        <f t="shared" si="468"/>
        <v>0</v>
      </c>
      <c r="G1061" s="47"/>
      <c r="H1061" s="42">
        <f t="shared" si="469"/>
        <v>0</v>
      </c>
      <c r="I1061" s="39"/>
      <c r="J1061" s="41">
        <f t="shared" si="470"/>
        <v>0</v>
      </c>
      <c r="K1061" s="47"/>
      <c r="L1061" s="41">
        <f t="shared" si="471"/>
        <v>0</v>
      </c>
      <c r="M1061" s="39"/>
      <c r="N1061" s="41">
        <f t="shared" si="472"/>
        <v>0</v>
      </c>
      <c r="O1061" s="47"/>
      <c r="P1061" s="41">
        <f t="shared" si="473"/>
        <v>0</v>
      </c>
      <c r="Q1061" s="39"/>
      <c r="R1061" s="41">
        <f t="shared" si="474"/>
        <v>0</v>
      </c>
      <c r="S1061" s="47"/>
      <c r="T1061" s="41">
        <f t="shared" si="475"/>
        <v>0</v>
      </c>
      <c r="U1061" s="39"/>
      <c r="V1061" s="41">
        <f t="shared" si="476"/>
        <v>0</v>
      </c>
      <c r="W1061" s="47"/>
      <c r="X1061" s="41">
        <f t="shared" si="477"/>
        <v>0</v>
      </c>
      <c r="Y1061" s="39"/>
      <c r="Z1061" s="41">
        <f t="shared" si="478"/>
        <v>0</v>
      </c>
      <c r="AA1061" s="47"/>
      <c r="AB1061" s="41">
        <f t="shared" si="479"/>
        <v>0</v>
      </c>
      <c r="AC1061" s="39"/>
      <c r="AD1061" s="41">
        <f t="shared" si="461"/>
        <v>0</v>
      </c>
      <c r="AE1061" s="47"/>
      <c r="AF1061" s="41">
        <f t="shared" si="480"/>
        <v>0</v>
      </c>
      <c r="AG1061" s="39"/>
      <c r="AH1061" s="41">
        <f t="shared" si="462"/>
        <v>0</v>
      </c>
      <c r="AI1061" s="47"/>
      <c r="AJ1061" s="41">
        <f t="shared" si="481"/>
        <v>0</v>
      </c>
      <c r="AK1061" s="39"/>
      <c r="AL1061" s="41">
        <f t="shared" si="463"/>
        <v>0</v>
      </c>
      <c r="AM1061" s="47"/>
      <c r="AN1061" s="41">
        <f t="shared" si="482"/>
        <v>0</v>
      </c>
      <c r="AO1061" s="39"/>
      <c r="AP1061" s="41">
        <f t="shared" si="464"/>
        <v>0</v>
      </c>
      <c r="AQ1061" s="47"/>
      <c r="AR1061" s="41">
        <f t="shared" si="483"/>
        <v>0</v>
      </c>
      <c r="AS1061" s="39"/>
      <c r="AT1061" s="41">
        <f t="shared" si="465"/>
        <v>0</v>
      </c>
      <c r="AU1061" s="47"/>
      <c r="AV1061" s="41">
        <f t="shared" si="484"/>
        <v>0</v>
      </c>
      <c r="AW1061" s="39"/>
      <c r="AX1061" s="41">
        <f t="shared" si="466"/>
        <v>0</v>
      </c>
      <c r="AY1061" s="47"/>
      <c r="AZ1061" s="41">
        <f t="shared" si="485"/>
        <v>0</v>
      </c>
      <c r="BA1061" s="39"/>
      <c r="BB1061" s="41">
        <f t="shared" si="467"/>
        <v>0</v>
      </c>
      <c r="BC1061" s="47"/>
      <c r="BD1061" s="41">
        <f t="shared" si="486"/>
        <v>0</v>
      </c>
      <c r="BE1061" s="39"/>
      <c r="BF1061" s="47"/>
    </row>
    <row r="1062" spans="1:58" ht="15.75" customHeight="1" x14ac:dyDescent="0.25">
      <c r="A1062" s="44">
        <v>2017</v>
      </c>
      <c r="B1062" s="39">
        <v>172100</v>
      </c>
      <c r="C1062" s="38" t="s">
        <v>148</v>
      </c>
      <c r="D1062" s="38" t="s">
        <v>92</v>
      </c>
      <c r="E1062" s="39"/>
      <c r="F1062" s="42">
        <f t="shared" si="468"/>
        <v>0</v>
      </c>
      <c r="G1062" s="47"/>
      <c r="H1062" s="42">
        <f t="shared" si="469"/>
        <v>0</v>
      </c>
      <c r="I1062" s="39"/>
      <c r="J1062" s="41">
        <f t="shared" si="470"/>
        <v>0</v>
      </c>
      <c r="K1062" s="47"/>
      <c r="L1062" s="41">
        <f t="shared" si="471"/>
        <v>0</v>
      </c>
      <c r="M1062" s="39"/>
      <c r="N1062" s="41">
        <f t="shared" si="472"/>
        <v>0</v>
      </c>
      <c r="O1062" s="48"/>
      <c r="P1062" s="41">
        <f t="shared" si="473"/>
        <v>0</v>
      </c>
      <c r="Q1062" s="39"/>
      <c r="R1062" s="41">
        <f t="shared" si="474"/>
        <v>0</v>
      </c>
      <c r="S1062" s="47"/>
      <c r="T1062" s="41">
        <f t="shared" si="475"/>
        <v>0</v>
      </c>
      <c r="U1062" s="39"/>
      <c r="V1062" s="41">
        <f t="shared" si="476"/>
        <v>0</v>
      </c>
      <c r="W1062" s="47"/>
      <c r="X1062" s="41">
        <f t="shared" si="477"/>
        <v>0</v>
      </c>
      <c r="Y1062" s="39"/>
      <c r="Z1062" s="41">
        <f t="shared" si="478"/>
        <v>0</v>
      </c>
      <c r="AA1062" s="47"/>
      <c r="AB1062" s="41">
        <f t="shared" si="479"/>
        <v>0</v>
      </c>
      <c r="AC1062" s="39"/>
      <c r="AD1062" s="41">
        <f t="shared" si="461"/>
        <v>0</v>
      </c>
      <c r="AE1062" s="48"/>
      <c r="AF1062" s="41">
        <f t="shared" si="480"/>
        <v>0</v>
      </c>
      <c r="AG1062" s="39"/>
      <c r="AH1062" s="41">
        <f t="shared" si="462"/>
        <v>0</v>
      </c>
      <c r="AI1062" s="47"/>
      <c r="AJ1062" s="41">
        <f t="shared" si="481"/>
        <v>0</v>
      </c>
      <c r="AK1062" s="39"/>
      <c r="AL1062" s="41">
        <f t="shared" si="463"/>
        <v>0</v>
      </c>
      <c r="AM1062" s="47"/>
      <c r="AN1062" s="41">
        <f t="shared" si="482"/>
        <v>0</v>
      </c>
      <c r="AO1062" s="39"/>
      <c r="AP1062" s="41">
        <f t="shared" si="464"/>
        <v>0</v>
      </c>
      <c r="AQ1062" s="48"/>
      <c r="AR1062" s="41">
        <f t="shared" si="483"/>
        <v>0</v>
      </c>
      <c r="AS1062" s="39"/>
      <c r="AT1062" s="41">
        <f t="shared" si="465"/>
        <v>0</v>
      </c>
      <c r="AU1062" s="47"/>
      <c r="AV1062" s="41">
        <f t="shared" si="484"/>
        <v>0</v>
      </c>
      <c r="AW1062" s="39"/>
      <c r="AX1062" s="41">
        <f t="shared" si="466"/>
        <v>0</v>
      </c>
      <c r="AY1062" s="47"/>
      <c r="AZ1062" s="41">
        <f t="shared" si="485"/>
        <v>0</v>
      </c>
      <c r="BA1062" s="39"/>
      <c r="BB1062" s="41">
        <f t="shared" si="467"/>
        <v>0</v>
      </c>
      <c r="BC1062" s="47"/>
      <c r="BD1062" s="41">
        <f t="shared" si="486"/>
        <v>0</v>
      </c>
      <c r="BE1062" s="39"/>
      <c r="BF1062" s="48"/>
    </row>
    <row r="1063" spans="1:58" ht="15.75" customHeight="1" x14ac:dyDescent="0.25">
      <c r="A1063" s="44">
        <v>2017</v>
      </c>
      <c r="B1063" s="39">
        <v>171570</v>
      </c>
      <c r="C1063" s="38" t="s">
        <v>150</v>
      </c>
      <c r="D1063" s="38" t="s">
        <v>93</v>
      </c>
      <c r="E1063" s="39"/>
      <c r="F1063" s="42">
        <f t="shared" si="468"/>
        <v>0</v>
      </c>
      <c r="G1063" s="47"/>
      <c r="H1063" s="42">
        <f t="shared" si="469"/>
        <v>0</v>
      </c>
      <c r="I1063" s="39"/>
      <c r="J1063" s="41">
        <f t="shared" si="470"/>
        <v>0</v>
      </c>
      <c r="K1063" s="47"/>
      <c r="L1063" s="41">
        <f t="shared" si="471"/>
        <v>0</v>
      </c>
      <c r="M1063" s="39"/>
      <c r="N1063" s="41">
        <f t="shared" si="472"/>
        <v>0</v>
      </c>
      <c r="O1063" s="47"/>
      <c r="P1063" s="41">
        <f t="shared" si="473"/>
        <v>0</v>
      </c>
      <c r="Q1063" s="39"/>
      <c r="R1063" s="41">
        <f t="shared" si="474"/>
        <v>0</v>
      </c>
      <c r="S1063" s="47"/>
      <c r="T1063" s="41">
        <f t="shared" si="475"/>
        <v>0</v>
      </c>
      <c r="U1063" s="39"/>
      <c r="V1063" s="41">
        <f t="shared" si="476"/>
        <v>0</v>
      </c>
      <c r="W1063" s="47"/>
      <c r="X1063" s="41">
        <f t="shared" si="477"/>
        <v>0</v>
      </c>
      <c r="Y1063" s="39"/>
      <c r="Z1063" s="41">
        <f t="shared" si="478"/>
        <v>0</v>
      </c>
      <c r="AA1063" s="47"/>
      <c r="AB1063" s="41">
        <f t="shared" si="479"/>
        <v>0</v>
      </c>
      <c r="AC1063" s="39"/>
      <c r="AD1063" s="41">
        <f t="shared" si="461"/>
        <v>0</v>
      </c>
      <c r="AE1063" s="47"/>
      <c r="AF1063" s="41">
        <f t="shared" si="480"/>
        <v>0</v>
      </c>
      <c r="AG1063" s="39"/>
      <c r="AH1063" s="41">
        <f t="shared" si="462"/>
        <v>0</v>
      </c>
      <c r="AI1063" s="47"/>
      <c r="AJ1063" s="41">
        <f t="shared" si="481"/>
        <v>0</v>
      </c>
      <c r="AK1063" s="39"/>
      <c r="AL1063" s="41">
        <f t="shared" si="463"/>
        <v>0</v>
      </c>
      <c r="AM1063" s="47"/>
      <c r="AN1063" s="41">
        <f t="shared" si="482"/>
        <v>0</v>
      </c>
      <c r="AO1063" s="39"/>
      <c r="AP1063" s="41">
        <f t="shared" si="464"/>
        <v>0</v>
      </c>
      <c r="AQ1063" s="47"/>
      <c r="AR1063" s="41">
        <f t="shared" si="483"/>
        <v>0</v>
      </c>
      <c r="AS1063" s="39"/>
      <c r="AT1063" s="41">
        <f t="shared" si="465"/>
        <v>0</v>
      </c>
      <c r="AU1063" s="47"/>
      <c r="AV1063" s="41">
        <f t="shared" si="484"/>
        <v>0</v>
      </c>
      <c r="AW1063" s="39"/>
      <c r="AX1063" s="41">
        <f t="shared" si="466"/>
        <v>0</v>
      </c>
      <c r="AY1063" s="47"/>
      <c r="AZ1063" s="41">
        <f t="shared" si="485"/>
        <v>0</v>
      </c>
      <c r="BA1063" s="39"/>
      <c r="BB1063" s="41">
        <f t="shared" si="467"/>
        <v>0</v>
      </c>
      <c r="BC1063" s="47"/>
      <c r="BD1063" s="41">
        <f t="shared" si="486"/>
        <v>0</v>
      </c>
      <c r="BE1063" s="39"/>
      <c r="BF1063" s="47"/>
    </row>
    <row r="1064" spans="1:58" ht="15.75" customHeight="1" x14ac:dyDescent="0.25">
      <c r="A1064" s="44">
        <v>2017</v>
      </c>
      <c r="B1064" s="39">
        <v>171380</v>
      </c>
      <c r="C1064" s="38" t="s">
        <v>145</v>
      </c>
      <c r="D1064" s="38" t="s">
        <v>94</v>
      </c>
      <c r="E1064" s="39"/>
      <c r="F1064" s="42">
        <f t="shared" si="468"/>
        <v>0</v>
      </c>
      <c r="G1064" s="47"/>
      <c r="H1064" s="42">
        <f t="shared" si="469"/>
        <v>0</v>
      </c>
      <c r="I1064" s="39"/>
      <c r="J1064" s="41">
        <f t="shared" si="470"/>
        <v>0</v>
      </c>
      <c r="K1064" s="47"/>
      <c r="L1064" s="41">
        <f t="shared" si="471"/>
        <v>0</v>
      </c>
      <c r="M1064" s="39"/>
      <c r="N1064" s="41">
        <f t="shared" si="472"/>
        <v>0</v>
      </c>
      <c r="O1064" s="47"/>
      <c r="P1064" s="41">
        <f t="shared" si="473"/>
        <v>0</v>
      </c>
      <c r="Q1064" s="39"/>
      <c r="R1064" s="41">
        <f t="shared" si="474"/>
        <v>0</v>
      </c>
      <c r="S1064" s="47"/>
      <c r="T1064" s="41">
        <f t="shared" si="475"/>
        <v>0</v>
      </c>
      <c r="U1064" s="39"/>
      <c r="V1064" s="41">
        <f t="shared" si="476"/>
        <v>0</v>
      </c>
      <c r="W1064" s="47"/>
      <c r="X1064" s="41">
        <f t="shared" si="477"/>
        <v>0</v>
      </c>
      <c r="Y1064" s="39"/>
      <c r="Z1064" s="41">
        <f t="shared" si="478"/>
        <v>0</v>
      </c>
      <c r="AA1064" s="47"/>
      <c r="AB1064" s="41">
        <f t="shared" si="479"/>
        <v>0</v>
      </c>
      <c r="AC1064" s="39"/>
      <c r="AD1064" s="41">
        <f t="shared" si="461"/>
        <v>0</v>
      </c>
      <c r="AE1064" s="47"/>
      <c r="AF1064" s="41">
        <f t="shared" si="480"/>
        <v>0</v>
      </c>
      <c r="AG1064" s="39"/>
      <c r="AH1064" s="41">
        <f t="shared" si="462"/>
        <v>0</v>
      </c>
      <c r="AI1064" s="47"/>
      <c r="AJ1064" s="41">
        <f t="shared" si="481"/>
        <v>0</v>
      </c>
      <c r="AK1064" s="39"/>
      <c r="AL1064" s="41">
        <f t="shared" si="463"/>
        <v>0</v>
      </c>
      <c r="AM1064" s="47"/>
      <c r="AN1064" s="41">
        <f t="shared" si="482"/>
        <v>0</v>
      </c>
      <c r="AO1064" s="39"/>
      <c r="AP1064" s="41">
        <f t="shared" si="464"/>
        <v>0</v>
      </c>
      <c r="AQ1064" s="47"/>
      <c r="AR1064" s="41">
        <f t="shared" si="483"/>
        <v>0</v>
      </c>
      <c r="AS1064" s="39"/>
      <c r="AT1064" s="41">
        <f t="shared" si="465"/>
        <v>0</v>
      </c>
      <c r="AU1064" s="47"/>
      <c r="AV1064" s="41">
        <f t="shared" si="484"/>
        <v>0</v>
      </c>
      <c r="AW1064" s="39"/>
      <c r="AX1064" s="41">
        <f t="shared" si="466"/>
        <v>0</v>
      </c>
      <c r="AY1064" s="47"/>
      <c r="AZ1064" s="41">
        <f t="shared" si="485"/>
        <v>0</v>
      </c>
      <c r="BA1064" s="39"/>
      <c r="BB1064" s="41">
        <f t="shared" si="467"/>
        <v>0</v>
      </c>
      <c r="BC1064" s="47"/>
      <c r="BD1064" s="41">
        <f t="shared" si="486"/>
        <v>0</v>
      </c>
      <c r="BE1064" s="39"/>
      <c r="BF1064" s="47"/>
    </row>
    <row r="1065" spans="1:58" ht="15.75" customHeight="1" x14ac:dyDescent="0.25">
      <c r="A1065" s="44">
        <v>2017</v>
      </c>
      <c r="B1065" s="39">
        <v>171575</v>
      </c>
      <c r="C1065" s="38" t="s">
        <v>146</v>
      </c>
      <c r="D1065" s="38" t="s">
        <v>95</v>
      </c>
      <c r="E1065" s="39"/>
      <c r="F1065" s="42">
        <f t="shared" si="468"/>
        <v>0</v>
      </c>
      <c r="G1065" s="47"/>
      <c r="H1065" s="42">
        <f t="shared" si="469"/>
        <v>0</v>
      </c>
      <c r="I1065" s="39"/>
      <c r="J1065" s="41">
        <f t="shared" si="470"/>
        <v>0</v>
      </c>
      <c r="K1065" s="47"/>
      <c r="L1065" s="41">
        <f t="shared" si="471"/>
        <v>0</v>
      </c>
      <c r="M1065" s="39"/>
      <c r="N1065" s="41">
        <f t="shared" si="472"/>
        <v>0</v>
      </c>
      <c r="O1065" s="47"/>
      <c r="P1065" s="41">
        <f t="shared" si="473"/>
        <v>0</v>
      </c>
      <c r="Q1065" s="39"/>
      <c r="R1065" s="41">
        <f t="shared" si="474"/>
        <v>0</v>
      </c>
      <c r="S1065" s="47"/>
      <c r="T1065" s="41">
        <f t="shared" si="475"/>
        <v>0</v>
      </c>
      <c r="U1065" s="39"/>
      <c r="V1065" s="41">
        <f t="shared" si="476"/>
        <v>0</v>
      </c>
      <c r="W1065" s="47"/>
      <c r="X1065" s="41">
        <f t="shared" si="477"/>
        <v>0</v>
      </c>
      <c r="Y1065" s="39"/>
      <c r="Z1065" s="41">
        <f t="shared" si="478"/>
        <v>0</v>
      </c>
      <c r="AA1065" s="47"/>
      <c r="AB1065" s="41">
        <f t="shared" si="479"/>
        <v>0</v>
      </c>
      <c r="AC1065" s="39"/>
      <c r="AD1065" s="41">
        <f t="shared" si="461"/>
        <v>0</v>
      </c>
      <c r="AE1065" s="47"/>
      <c r="AF1065" s="41">
        <f t="shared" si="480"/>
        <v>0</v>
      </c>
      <c r="AG1065" s="39"/>
      <c r="AH1065" s="41">
        <f t="shared" si="462"/>
        <v>0</v>
      </c>
      <c r="AI1065" s="47"/>
      <c r="AJ1065" s="41">
        <f t="shared" si="481"/>
        <v>0</v>
      </c>
      <c r="AK1065" s="39"/>
      <c r="AL1065" s="41">
        <f t="shared" si="463"/>
        <v>0</v>
      </c>
      <c r="AM1065" s="47"/>
      <c r="AN1065" s="41">
        <f t="shared" si="482"/>
        <v>0</v>
      </c>
      <c r="AO1065" s="39"/>
      <c r="AP1065" s="41">
        <f t="shared" si="464"/>
        <v>0</v>
      </c>
      <c r="AQ1065" s="47"/>
      <c r="AR1065" s="41">
        <f t="shared" si="483"/>
        <v>0</v>
      </c>
      <c r="AS1065" s="39"/>
      <c r="AT1065" s="41">
        <f t="shared" si="465"/>
        <v>0</v>
      </c>
      <c r="AU1065" s="47"/>
      <c r="AV1065" s="41">
        <f t="shared" si="484"/>
        <v>0</v>
      </c>
      <c r="AW1065" s="39"/>
      <c r="AX1065" s="41">
        <f t="shared" si="466"/>
        <v>0</v>
      </c>
      <c r="AY1065" s="47"/>
      <c r="AZ1065" s="41">
        <f t="shared" si="485"/>
        <v>0</v>
      </c>
      <c r="BA1065" s="39"/>
      <c r="BB1065" s="41">
        <f t="shared" si="467"/>
        <v>0</v>
      </c>
      <c r="BC1065" s="47"/>
      <c r="BD1065" s="41">
        <f t="shared" si="486"/>
        <v>0</v>
      </c>
      <c r="BE1065" s="39"/>
      <c r="BF1065" s="47"/>
    </row>
    <row r="1066" spans="1:58" ht="15.75" customHeight="1" x14ac:dyDescent="0.25">
      <c r="A1066" s="44">
        <v>2017</v>
      </c>
      <c r="B1066" s="39">
        <v>171610</v>
      </c>
      <c r="C1066" s="38" t="s">
        <v>144</v>
      </c>
      <c r="D1066" s="38" t="s">
        <v>96</v>
      </c>
      <c r="E1066" s="39"/>
      <c r="F1066" s="42">
        <f t="shared" si="468"/>
        <v>0</v>
      </c>
      <c r="G1066" s="47"/>
      <c r="H1066" s="42">
        <f t="shared" si="469"/>
        <v>0</v>
      </c>
      <c r="I1066" s="39"/>
      <c r="J1066" s="41">
        <f t="shared" si="470"/>
        <v>0</v>
      </c>
      <c r="K1066" s="47"/>
      <c r="L1066" s="41">
        <f t="shared" si="471"/>
        <v>0</v>
      </c>
      <c r="M1066" s="39"/>
      <c r="N1066" s="41">
        <f t="shared" si="472"/>
        <v>0</v>
      </c>
      <c r="O1066" s="47"/>
      <c r="P1066" s="41">
        <f t="shared" si="473"/>
        <v>0</v>
      </c>
      <c r="Q1066" s="39"/>
      <c r="R1066" s="41">
        <f t="shared" si="474"/>
        <v>0</v>
      </c>
      <c r="S1066" s="47"/>
      <c r="T1066" s="41">
        <f t="shared" si="475"/>
        <v>0</v>
      </c>
      <c r="U1066" s="39"/>
      <c r="V1066" s="41">
        <f t="shared" si="476"/>
        <v>0</v>
      </c>
      <c r="W1066" s="47"/>
      <c r="X1066" s="41">
        <f t="shared" si="477"/>
        <v>0</v>
      </c>
      <c r="Y1066" s="39"/>
      <c r="Z1066" s="41">
        <f t="shared" si="478"/>
        <v>0</v>
      </c>
      <c r="AA1066" s="47"/>
      <c r="AB1066" s="41">
        <f t="shared" si="479"/>
        <v>0</v>
      </c>
      <c r="AC1066" s="39"/>
      <c r="AD1066" s="41">
        <f t="shared" si="461"/>
        <v>0</v>
      </c>
      <c r="AE1066" s="47"/>
      <c r="AF1066" s="41">
        <f t="shared" si="480"/>
        <v>0</v>
      </c>
      <c r="AG1066" s="39"/>
      <c r="AH1066" s="41">
        <f t="shared" si="462"/>
        <v>0</v>
      </c>
      <c r="AI1066" s="47"/>
      <c r="AJ1066" s="41">
        <f t="shared" si="481"/>
        <v>0</v>
      </c>
      <c r="AK1066" s="39"/>
      <c r="AL1066" s="41">
        <f t="shared" si="463"/>
        <v>0</v>
      </c>
      <c r="AM1066" s="47"/>
      <c r="AN1066" s="41">
        <f t="shared" si="482"/>
        <v>0</v>
      </c>
      <c r="AO1066" s="39"/>
      <c r="AP1066" s="41">
        <f t="shared" si="464"/>
        <v>0</v>
      </c>
      <c r="AQ1066" s="47"/>
      <c r="AR1066" s="41">
        <f t="shared" si="483"/>
        <v>0</v>
      </c>
      <c r="AS1066" s="39"/>
      <c r="AT1066" s="41">
        <f t="shared" si="465"/>
        <v>0</v>
      </c>
      <c r="AU1066" s="47"/>
      <c r="AV1066" s="41">
        <f t="shared" si="484"/>
        <v>0</v>
      </c>
      <c r="AW1066" s="39"/>
      <c r="AX1066" s="41">
        <f t="shared" si="466"/>
        <v>0</v>
      </c>
      <c r="AY1066" s="47"/>
      <c r="AZ1066" s="41">
        <f t="shared" si="485"/>
        <v>0</v>
      </c>
      <c r="BA1066" s="39"/>
      <c r="BB1066" s="41">
        <f t="shared" si="467"/>
        <v>0</v>
      </c>
      <c r="BC1066" s="47"/>
      <c r="BD1066" s="41">
        <f t="shared" si="486"/>
        <v>0</v>
      </c>
      <c r="BE1066" s="39"/>
      <c r="BF1066" s="47"/>
    </row>
    <row r="1067" spans="1:58" ht="15.75" customHeight="1" x14ac:dyDescent="0.25">
      <c r="A1067" s="44">
        <v>2017</v>
      </c>
      <c r="B1067" s="39">
        <v>171620</v>
      </c>
      <c r="C1067" s="38" t="s">
        <v>147</v>
      </c>
      <c r="D1067" s="38" t="s">
        <v>97</v>
      </c>
      <c r="E1067" s="39"/>
      <c r="F1067" s="42">
        <f t="shared" si="468"/>
        <v>0</v>
      </c>
      <c r="G1067" s="47"/>
      <c r="H1067" s="42">
        <f t="shared" si="469"/>
        <v>0</v>
      </c>
      <c r="I1067" s="39"/>
      <c r="J1067" s="41">
        <f t="shared" si="470"/>
        <v>0</v>
      </c>
      <c r="K1067" s="47"/>
      <c r="L1067" s="41">
        <f t="shared" si="471"/>
        <v>0</v>
      </c>
      <c r="M1067" s="39"/>
      <c r="N1067" s="41">
        <f t="shared" si="472"/>
        <v>0</v>
      </c>
      <c r="O1067" s="47"/>
      <c r="P1067" s="41">
        <f t="shared" si="473"/>
        <v>0</v>
      </c>
      <c r="Q1067" s="39"/>
      <c r="R1067" s="41">
        <f t="shared" si="474"/>
        <v>0</v>
      </c>
      <c r="S1067" s="47"/>
      <c r="T1067" s="41">
        <f t="shared" si="475"/>
        <v>0</v>
      </c>
      <c r="U1067" s="39"/>
      <c r="V1067" s="41">
        <f t="shared" si="476"/>
        <v>0</v>
      </c>
      <c r="W1067" s="47"/>
      <c r="X1067" s="41">
        <f t="shared" si="477"/>
        <v>0</v>
      </c>
      <c r="Y1067" s="39"/>
      <c r="Z1067" s="41">
        <f t="shared" si="478"/>
        <v>0</v>
      </c>
      <c r="AA1067" s="47"/>
      <c r="AB1067" s="41">
        <f t="shared" si="479"/>
        <v>0</v>
      </c>
      <c r="AC1067" s="39"/>
      <c r="AD1067" s="41">
        <f t="shared" si="461"/>
        <v>0</v>
      </c>
      <c r="AE1067" s="47"/>
      <c r="AF1067" s="41">
        <f t="shared" si="480"/>
        <v>0</v>
      </c>
      <c r="AG1067" s="39"/>
      <c r="AH1067" s="41">
        <f t="shared" si="462"/>
        <v>0</v>
      </c>
      <c r="AI1067" s="47"/>
      <c r="AJ1067" s="41">
        <f t="shared" si="481"/>
        <v>0</v>
      </c>
      <c r="AK1067" s="39"/>
      <c r="AL1067" s="41">
        <f t="shared" si="463"/>
        <v>0</v>
      </c>
      <c r="AM1067" s="47"/>
      <c r="AN1067" s="41">
        <f t="shared" si="482"/>
        <v>0</v>
      </c>
      <c r="AO1067" s="39"/>
      <c r="AP1067" s="41">
        <f t="shared" si="464"/>
        <v>0</v>
      </c>
      <c r="AQ1067" s="47"/>
      <c r="AR1067" s="41">
        <f t="shared" si="483"/>
        <v>0</v>
      </c>
      <c r="AS1067" s="39"/>
      <c r="AT1067" s="41">
        <f t="shared" si="465"/>
        <v>0</v>
      </c>
      <c r="AU1067" s="47"/>
      <c r="AV1067" s="41">
        <f t="shared" si="484"/>
        <v>0</v>
      </c>
      <c r="AW1067" s="39"/>
      <c r="AX1067" s="41">
        <f t="shared" si="466"/>
        <v>0</v>
      </c>
      <c r="AY1067" s="47"/>
      <c r="AZ1067" s="41">
        <f t="shared" si="485"/>
        <v>0</v>
      </c>
      <c r="BA1067" s="39"/>
      <c r="BB1067" s="41">
        <f t="shared" si="467"/>
        <v>0</v>
      </c>
      <c r="BC1067" s="47"/>
      <c r="BD1067" s="41">
        <f t="shared" si="486"/>
        <v>0</v>
      </c>
      <c r="BE1067" s="39"/>
      <c r="BF1067" s="47"/>
    </row>
    <row r="1068" spans="1:58" ht="15.75" customHeight="1" x14ac:dyDescent="0.25">
      <c r="A1068" s="44">
        <v>2017</v>
      </c>
      <c r="B1068" s="39">
        <v>171630</v>
      </c>
      <c r="C1068" s="38" t="s">
        <v>149</v>
      </c>
      <c r="D1068" s="38" t="s">
        <v>98</v>
      </c>
      <c r="E1068" s="39"/>
      <c r="F1068" s="42">
        <f t="shared" si="468"/>
        <v>0</v>
      </c>
      <c r="G1068" s="47"/>
      <c r="H1068" s="42">
        <f t="shared" si="469"/>
        <v>0</v>
      </c>
      <c r="I1068" s="39"/>
      <c r="J1068" s="41">
        <f t="shared" si="470"/>
        <v>0</v>
      </c>
      <c r="K1068" s="47"/>
      <c r="L1068" s="41">
        <f t="shared" si="471"/>
        <v>0</v>
      </c>
      <c r="M1068" s="39"/>
      <c r="N1068" s="41">
        <f t="shared" si="472"/>
        <v>0</v>
      </c>
      <c r="O1068" s="47"/>
      <c r="P1068" s="41">
        <f t="shared" si="473"/>
        <v>0</v>
      </c>
      <c r="Q1068" s="39"/>
      <c r="R1068" s="41">
        <f t="shared" si="474"/>
        <v>0</v>
      </c>
      <c r="S1068" s="47"/>
      <c r="T1068" s="41">
        <f t="shared" si="475"/>
        <v>0</v>
      </c>
      <c r="U1068" s="39"/>
      <c r="V1068" s="41">
        <f t="shared" si="476"/>
        <v>0</v>
      </c>
      <c r="W1068" s="47"/>
      <c r="X1068" s="41">
        <f t="shared" si="477"/>
        <v>0</v>
      </c>
      <c r="Y1068" s="39"/>
      <c r="Z1068" s="41">
        <f t="shared" si="478"/>
        <v>0</v>
      </c>
      <c r="AA1068" s="47"/>
      <c r="AB1068" s="41">
        <f t="shared" si="479"/>
        <v>0</v>
      </c>
      <c r="AC1068" s="39"/>
      <c r="AD1068" s="41">
        <f t="shared" si="461"/>
        <v>0</v>
      </c>
      <c r="AE1068" s="47"/>
      <c r="AF1068" s="41">
        <f t="shared" si="480"/>
        <v>0</v>
      </c>
      <c r="AG1068" s="39"/>
      <c r="AH1068" s="41">
        <f t="shared" si="462"/>
        <v>0</v>
      </c>
      <c r="AI1068" s="47"/>
      <c r="AJ1068" s="41">
        <f t="shared" si="481"/>
        <v>0</v>
      </c>
      <c r="AK1068" s="39"/>
      <c r="AL1068" s="41">
        <f t="shared" si="463"/>
        <v>0</v>
      </c>
      <c r="AM1068" s="47"/>
      <c r="AN1068" s="41">
        <f t="shared" si="482"/>
        <v>0</v>
      </c>
      <c r="AO1068" s="39"/>
      <c r="AP1068" s="41">
        <f t="shared" si="464"/>
        <v>0</v>
      </c>
      <c r="AQ1068" s="47"/>
      <c r="AR1068" s="41">
        <f t="shared" si="483"/>
        <v>0</v>
      </c>
      <c r="AS1068" s="39"/>
      <c r="AT1068" s="41">
        <f t="shared" si="465"/>
        <v>0</v>
      </c>
      <c r="AU1068" s="47"/>
      <c r="AV1068" s="41">
        <f t="shared" si="484"/>
        <v>0</v>
      </c>
      <c r="AW1068" s="39"/>
      <c r="AX1068" s="41">
        <f t="shared" si="466"/>
        <v>0</v>
      </c>
      <c r="AY1068" s="47"/>
      <c r="AZ1068" s="41">
        <f t="shared" si="485"/>
        <v>0</v>
      </c>
      <c r="BA1068" s="39"/>
      <c r="BB1068" s="41">
        <f t="shared" si="467"/>
        <v>0</v>
      </c>
      <c r="BC1068" s="47"/>
      <c r="BD1068" s="41">
        <f t="shared" si="486"/>
        <v>0</v>
      </c>
      <c r="BE1068" s="39"/>
      <c r="BF1068" s="47"/>
    </row>
    <row r="1069" spans="1:58" ht="15.75" customHeight="1" x14ac:dyDescent="0.25">
      <c r="A1069" s="44">
        <v>2017</v>
      </c>
      <c r="B1069" s="39">
        <v>171650</v>
      </c>
      <c r="C1069" s="38" t="s">
        <v>150</v>
      </c>
      <c r="D1069" s="38" t="s">
        <v>99</v>
      </c>
      <c r="E1069" s="39"/>
      <c r="F1069" s="42">
        <f t="shared" si="468"/>
        <v>0</v>
      </c>
      <c r="G1069" s="47"/>
      <c r="H1069" s="42">
        <f t="shared" si="469"/>
        <v>0</v>
      </c>
      <c r="I1069" s="39"/>
      <c r="J1069" s="41">
        <f t="shared" si="470"/>
        <v>0</v>
      </c>
      <c r="K1069" s="47"/>
      <c r="L1069" s="41">
        <f t="shared" si="471"/>
        <v>0</v>
      </c>
      <c r="M1069" s="39"/>
      <c r="N1069" s="41">
        <f t="shared" si="472"/>
        <v>0</v>
      </c>
      <c r="O1069" s="47"/>
      <c r="P1069" s="41">
        <f t="shared" si="473"/>
        <v>0</v>
      </c>
      <c r="Q1069" s="39"/>
      <c r="R1069" s="41">
        <f t="shared" si="474"/>
        <v>0</v>
      </c>
      <c r="S1069" s="47"/>
      <c r="T1069" s="41">
        <f t="shared" si="475"/>
        <v>0</v>
      </c>
      <c r="U1069" s="39"/>
      <c r="V1069" s="41">
        <f t="shared" si="476"/>
        <v>0</v>
      </c>
      <c r="W1069" s="47"/>
      <c r="X1069" s="41">
        <f t="shared" si="477"/>
        <v>0</v>
      </c>
      <c r="Y1069" s="39"/>
      <c r="Z1069" s="41">
        <f t="shared" si="478"/>
        <v>0</v>
      </c>
      <c r="AA1069" s="47"/>
      <c r="AB1069" s="41">
        <f t="shared" si="479"/>
        <v>0</v>
      </c>
      <c r="AC1069" s="39"/>
      <c r="AD1069" s="41">
        <f t="shared" si="461"/>
        <v>0</v>
      </c>
      <c r="AE1069" s="47"/>
      <c r="AF1069" s="41">
        <f t="shared" si="480"/>
        <v>0</v>
      </c>
      <c r="AG1069" s="39"/>
      <c r="AH1069" s="41">
        <f t="shared" si="462"/>
        <v>0</v>
      </c>
      <c r="AI1069" s="47"/>
      <c r="AJ1069" s="41">
        <f t="shared" si="481"/>
        <v>0</v>
      </c>
      <c r="AK1069" s="39"/>
      <c r="AL1069" s="41">
        <f t="shared" si="463"/>
        <v>0</v>
      </c>
      <c r="AM1069" s="47"/>
      <c r="AN1069" s="41">
        <f t="shared" si="482"/>
        <v>0</v>
      </c>
      <c r="AO1069" s="39"/>
      <c r="AP1069" s="41">
        <f t="shared" si="464"/>
        <v>0</v>
      </c>
      <c r="AQ1069" s="47"/>
      <c r="AR1069" s="41">
        <f t="shared" si="483"/>
        <v>0</v>
      </c>
      <c r="AS1069" s="39"/>
      <c r="AT1069" s="41">
        <f t="shared" si="465"/>
        <v>0</v>
      </c>
      <c r="AU1069" s="47"/>
      <c r="AV1069" s="41">
        <f t="shared" si="484"/>
        <v>0</v>
      </c>
      <c r="AW1069" s="39"/>
      <c r="AX1069" s="41">
        <f t="shared" si="466"/>
        <v>0</v>
      </c>
      <c r="AY1069" s="47"/>
      <c r="AZ1069" s="41">
        <f t="shared" si="485"/>
        <v>0</v>
      </c>
      <c r="BA1069" s="39"/>
      <c r="BB1069" s="41">
        <f t="shared" si="467"/>
        <v>0</v>
      </c>
      <c r="BC1069" s="47"/>
      <c r="BD1069" s="41">
        <f t="shared" si="486"/>
        <v>0</v>
      </c>
      <c r="BE1069" s="39"/>
      <c r="BF1069" s="47"/>
    </row>
    <row r="1070" spans="1:58" ht="15.75" customHeight="1" x14ac:dyDescent="0.25">
      <c r="A1070" s="44">
        <v>2017</v>
      </c>
      <c r="B1070" s="39">
        <v>171660</v>
      </c>
      <c r="C1070" s="38" t="s">
        <v>146</v>
      </c>
      <c r="D1070" s="38" t="s">
        <v>100</v>
      </c>
      <c r="E1070" s="39"/>
      <c r="F1070" s="42">
        <f t="shared" si="468"/>
        <v>0</v>
      </c>
      <c r="G1070" s="47"/>
      <c r="H1070" s="42">
        <f t="shared" si="469"/>
        <v>0</v>
      </c>
      <c r="I1070" s="39"/>
      <c r="J1070" s="41">
        <f t="shared" si="470"/>
        <v>0</v>
      </c>
      <c r="K1070" s="47"/>
      <c r="L1070" s="41">
        <f t="shared" si="471"/>
        <v>0</v>
      </c>
      <c r="M1070" s="39"/>
      <c r="N1070" s="41">
        <f t="shared" si="472"/>
        <v>0</v>
      </c>
      <c r="O1070" s="47"/>
      <c r="P1070" s="41">
        <f t="shared" si="473"/>
        <v>0</v>
      </c>
      <c r="Q1070" s="39"/>
      <c r="R1070" s="41">
        <f t="shared" si="474"/>
        <v>0</v>
      </c>
      <c r="S1070" s="47"/>
      <c r="T1070" s="41">
        <f t="shared" si="475"/>
        <v>0</v>
      </c>
      <c r="U1070" s="39"/>
      <c r="V1070" s="41">
        <f t="shared" si="476"/>
        <v>0</v>
      </c>
      <c r="W1070" s="47"/>
      <c r="X1070" s="41">
        <f t="shared" si="477"/>
        <v>0</v>
      </c>
      <c r="Y1070" s="39"/>
      <c r="Z1070" s="41">
        <f t="shared" si="478"/>
        <v>0</v>
      </c>
      <c r="AA1070" s="47"/>
      <c r="AB1070" s="41">
        <f t="shared" si="479"/>
        <v>0</v>
      </c>
      <c r="AC1070" s="39"/>
      <c r="AD1070" s="41">
        <f t="shared" ref="AD1070:AD1101" si="487">IFERROR(AC1070/$BE1070,0)</f>
        <v>0</v>
      </c>
      <c r="AE1070" s="47"/>
      <c r="AF1070" s="41">
        <f t="shared" si="480"/>
        <v>0</v>
      </c>
      <c r="AG1070" s="39"/>
      <c r="AH1070" s="41">
        <f t="shared" ref="AH1070:AH1101" si="488">IFERROR(AG1070/$BE1070,0)</f>
        <v>0</v>
      </c>
      <c r="AI1070" s="47"/>
      <c r="AJ1070" s="41">
        <f t="shared" si="481"/>
        <v>0</v>
      </c>
      <c r="AK1070" s="39"/>
      <c r="AL1070" s="41">
        <f t="shared" ref="AL1070:AL1101" si="489">IFERROR(AK1070/$BE1070,0)</f>
        <v>0</v>
      </c>
      <c r="AM1070" s="47"/>
      <c r="AN1070" s="41">
        <f t="shared" si="482"/>
        <v>0</v>
      </c>
      <c r="AO1070" s="39"/>
      <c r="AP1070" s="41">
        <f t="shared" ref="AP1070:AP1101" si="490">IFERROR(AO1070/$BE1070,0)</f>
        <v>0</v>
      </c>
      <c r="AQ1070" s="47"/>
      <c r="AR1070" s="41">
        <f t="shared" si="483"/>
        <v>0</v>
      </c>
      <c r="AS1070" s="39"/>
      <c r="AT1070" s="41">
        <f t="shared" ref="AT1070:AT1101" si="491">IFERROR(AS1070/$BE1070,0)</f>
        <v>0</v>
      </c>
      <c r="AU1070" s="47"/>
      <c r="AV1070" s="41">
        <f t="shared" si="484"/>
        <v>0</v>
      </c>
      <c r="AW1070" s="39"/>
      <c r="AX1070" s="41">
        <f t="shared" ref="AX1070:AX1101" si="492">IFERROR(AW1070/$BE1070,0)</f>
        <v>0</v>
      </c>
      <c r="AY1070" s="47"/>
      <c r="AZ1070" s="41">
        <f t="shared" si="485"/>
        <v>0</v>
      </c>
      <c r="BA1070" s="39"/>
      <c r="BB1070" s="41">
        <f t="shared" ref="BB1070:BB1101" si="493">IFERROR(BA1070/$BE1070,0)</f>
        <v>0</v>
      </c>
      <c r="BC1070" s="47"/>
      <c r="BD1070" s="41">
        <f t="shared" si="486"/>
        <v>0</v>
      </c>
      <c r="BE1070" s="39"/>
      <c r="BF1070" s="47"/>
    </row>
    <row r="1071" spans="1:58" ht="15.75" customHeight="1" x14ac:dyDescent="0.25">
      <c r="A1071" s="44">
        <v>2017</v>
      </c>
      <c r="B1071" s="39">
        <v>171665</v>
      </c>
      <c r="C1071" s="38" t="s">
        <v>150</v>
      </c>
      <c r="D1071" s="38" t="s">
        <v>101</v>
      </c>
      <c r="E1071" s="39"/>
      <c r="F1071" s="42">
        <f t="shared" si="468"/>
        <v>0</v>
      </c>
      <c r="G1071" s="47"/>
      <c r="H1071" s="42">
        <f t="shared" si="469"/>
        <v>0</v>
      </c>
      <c r="I1071" s="39"/>
      <c r="J1071" s="41">
        <f t="shared" si="470"/>
        <v>0</v>
      </c>
      <c r="K1071" s="47"/>
      <c r="L1071" s="41">
        <f t="shared" si="471"/>
        <v>0</v>
      </c>
      <c r="M1071" s="39"/>
      <c r="N1071" s="41">
        <f t="shared" si="472"/>
        <v>0</v>
      </c>
      <c r="O1071" s="47"/>
      <c r="P1071" s="41">
        <f t="shared" si="473"/>
        <v>0</v>
      </c>
      <c r="Q1071" s="39"/>
      <c r="R1071" s="41">
        <f t="shared" si="474"/>
        <v>0</v>
      </c>
      <c r="S1071" s="47"/>
      <c r="T1071" s="41">
        <f t="shared" si="475"/>
        <v>0</v>
      </c>
      <c r="U1071" s="39"/>
      <c r="V1071" s="41">
        <f t="shared" si="476"/>
        <v>0</v>
      </c>
      <c r="W1071" s="47"/>
      <c r="X1071" s="41">
        <f t="shared" si="477"/>
        <v>0</v>
      </c>
      <c r="Y1071" s="39"/>
      <c r="Z1071" s="41">
        <f t="shared" si="478"/>
        <v>0</v>
      </c>
      <c r="AA1071" s="47"/>
      <c r="AB1071" s="41">
        <f t="shared" si="479"/>
        <v>0</v>
      </c>
      <c r="AC1071" s="39"/>
      <c r="AD1071" s="41">
        <f t="shared" si="487"/>
        <v>0</v>
      </c>
      <c r="AE1071" s="47"/>
      <c r="AF1071" s="41">
        <f t="shared" si="480"/>
        <v>0</v>
      </c>
      <c r="AG1071" s="39"/>
      <c r="AH1071" s="41">
        <f t="shared" si="488"/>
        <v>0</v>
      </c>
      <c r="AI1071" s="47"/>
      <c r="AJ1071" s="41">
        <f t="shared" si="481"/>
        <v>0</v>
      </c>
      <c r="AK1071" s="39"/>
      <c r="AL1071" s="41">
        <f t="shared" si="489"/>
        <v>0</v>
      </c>
      <c r="AM1071" s="47"/>
      <c r="AN1071" s="41">
        <f t="shared" si="482"/>
        <v>0</v>
      </c>
      <c r="AO1071" s="39"/>
      <c r="AP1071" s="41">
        <f t="shared" si="490"/>
        <v>0</v>
      </c>
      <c r="AQ1071" s="47"/>
      <c r="AR1071" s="41">
        <f t="shared" si="483"/>
        <v>0</v>
      </c>
      <c r="AS1071" s="39"/>
      <c r="AT1071" s="41">
        <f t="shared" si="491"/>
        <v>0</v>
      </c>
      <c r="AU1071" s="47"/>
      <c r="AV1071" s="41">
        <f t="shared" si="484"/>
        <v>0</v>
      </c>
      <c r="AW1071" s="39"/>
      <c r="AX1071" s="41">
        <f t="shared" si="492"/>
        <v>0</v>
      </c>
      <c r="AY1071" s="47"/>
      <c r="AZ1071" s="41">
        <f t="shared" si="485"/>
        <v>0</v>
      </c>
      <c r="BA1071" s="39"/>
      <c r="BB1071" s="41">
        <f t="shared" si="493"/>
        <v>0</v>
      </c>
      <c r="BC1071" s="47"/>
      <c r="BD1071" s="41">
        <f t="shared" si="486"/>
        <v>0</v>
      </c>
      <c r="BE1071" s="39"/>
      <c r="BF1071" s="47"/>
    </row>
    <row r="1072" spans="1:58" ht="15.75" customHeight="1" x14ac:dyDescent="0.25">
      <c r="A1072" s="44">
        <v>2017</v>
      </c>
      <c r="B1072" s="39">
        <v>171700</v>
      </c>
      <c r="C1072" s="38" t="s">
        <v>151</v>
      </c>
      <c r="D1072" s="38" t="s">
        <v>102</v>
      </c>
      <c r="E1072" s="39"/>
      <c r="F1072" s="42">
        <f t="shared" si="468"/>
        <v>0</v>
      </c>
      <c r="G1072" s="47"/>
      <c r="H1072" s="42">
        <f t="shared" si="469"/>
        <v>0</v>
      </c>
      <c r="I1072" s="39"/>
      <c r="J1072" s="41">
        <f t="shared" si="470"/>
        <v>0</v>
      </c>
      <c r="K1072" s="47"/>
      <c r="L1072" s="41">
        <f t="shared" si="471"/>
        <v>0</v>
      </c>
      <c r="M1072" s="39"/>
      <c r="N1072" s="41">
        <f t="shared" si="472"/>
        <v>0</v>
      </c>
      <c r="O1072" s="47"/>
      <c r="P1072" s="41">
        <f t="shared" si="473"/>
        <v>0</v>
      </c>
      <c r="Q1072" s="39"/>
      <c r="R1072" s="41">
        <f t="shared" si="474"/>
        <v>0</v>
      </c>
      <c r="S1072" s="47"/>
      <c r="T1072" s="41">
        <f t="shared" si="475"/>
        <v>0</v>
      </c>
      <c r="U1072" s="39"/>
      <c r="V1072" s="41">
        <f t="shared" si="476"/>
        <v>0</v>
      </c>
      <c r="W1072" s="47"/>
      <c r="X1072" s="41">
        <f t="shared" si="477"/>
        <v>0</v>
      </c>
      <c r="Y1072" s="39"/>
      <c r="Z1072" s="41">
        <f t="shared" si="478"/>
        <v>0</v>
      </c>
      <c r="AA1072" s="47"/>
      <c r="AB1072" s="41">
        <f t="shared" si="479"/>
        <v>0</v>
      </c>
      <c r="AC1072" s="39"/>
      <c r="AD1072" s="41">
        <f t="shared" si="487"/>
        <v>0</v>
      </c>
      <c r="AE1072" s="47"/>
      <c r="AF1072" s="41">
        <f t="shared" si="480"/>
        <v>0</v>
      </c>
      <c r="AG1072" s="39"/>
      <c r="AH1072" s="41">
        <f t="shared" si="488"/>
        <v>0</v>
      </c>
      <c r="AI1072" s="47"/>
      <c r="AJ1072" s="41">
        <f t="shared" si="481"/>
        <v>0</v>
      </c>
      <c r="AK1072" s="39"/>
      <c r="AL1072" s="41">
        <f t="shared" si="489"/>
        <v>0</v>
      </c>
      <c r="AM1072" s="47"/>
      <c r="AN1072" s="41">
        <f t="shared" si="482"/>
        <v>0</v>
      </c>
      <c r="AO1072" s="39"/>
      <c r="AP1072" s="41">
        <f t="shared" si="490"/>
        <v>0</v>
      </c>
      <c r="AQ1072" s="47"/>
      <c r="AR1072" s="41">
        <f t="shared" si="483"/>
        <v>0</v>
      </c>
      <c r="AS1072" s="39"/>
      <c r="AT1072" s="41">
        <f t="shared" si="491"/>
        <v>0</v>
      </c>
      <c r="AU1072" s="47"/>
      <c r="AV1072" s="41">
        <f t="shared" si="484"/>
        <v>0</v>
      </c>
      <c r="AW1072" s="39"/>
      <c r="AX1072" s="41">
        <f t="shared" si="492"/>
        <v>0</v>
      </c>
      <c r="AY1072" s="47"/>
      <c r="AZ1072" s="41">
        <f t="shared" si="485"/>
        <v>0</v>
      </c>
      <c r="BA1072" s="39"/>
      <c r="BB1072" s="41">
        <f t="shared" si="493"/>
        <v>0</v>
      </c>
      <c r="BC1072" s="47"/>
      <c r="BD1072" s="41">
        <f t="shared" si="486"/>
        <v>0</v>
      </c>
      <c r="BE1072" s="39"/>
      <c r="BF1072" s="47"/>
    </row>
    <row r="1073" spans="1:58" ht="15.75" customHeight="1" x14ac:dyDescent="0.25">
      <c r="A1073" s="44">
        <v>2017</v>
      </c>
      <c r="B1073" s="39">
        <v>171720</v>
      </c>
      <c r="C1073" s="38" t="s">
        <v>149</v>
      </c>
      <c r="D1073" s="38" t="s">
        <v>103</v>
      </c>
      <c r="E1073" s="39"/>
      <c r="F1073" s="42">
        <f t="shared" si="468"/>
        <v>0</v>
      </c>
      <c r="G1073" s="47"/>
      <c r="H1073" s="42">
        <f t="shared" si="469"/>
        <v>0</v>
      </c>
      <c r="I1073" s="39"/>
      <c r="J1073" s="41">
        <f t="shared" si="470"/>
        <v>0</v>
      </c>
      <c r="K1073" s="47"/>
      <c r="L1073" s="41">
        <f t="shared" si="471"/>
        <v>0</v>
      </c>
      <c r="M1073" s="39"/>
      <c r="N1073" s="41">
        <f t="shared" si="472"/>
        <v>0</v>
      </c>
      <c r="O1073" s="47"/>
      <c r="P1073" s="41">
        <f t="shared" si="473"/>
        <v>0</v>
      </c>
      <c r="Q1073" s="39"/>
      <c r="R1073" s="41">
        <f t="shared" si="474"/>
        <v>0</v>
      </c>
      <c r="S1073" s="47"/>
      <c r="T1073" s="41">
        <f t="shared" si="475"/>
        <v>0</v>
      </c>
      <c r="U1073" s="39"/>
      <c r="V1073" s="41">
        <f t="shared" si="476"/>
        <v>0</v>
      </c>
      <c r="W1073" s="47"/>
      <c r="X1073" s="41">
        <f t="shared" si="477"/>
        <v>0</v>
      </c>
      <c r="Y1073" s="39"/>
      <c r="Z1073" s="41">
        <f t="shared" si="478"/>
        <v>0</v>
      </c>
      <c r="AA1073" s="47"/>
      <c r="AB1073" s="41">
        <f t="shared" si="479"/>
        <v>0</v>
      </c>
      <c r="AC1073" s="39"/>
      <c r="AD1073" s="41">
        <f t="shared" si="487"/>
        <v>0</v>
      </c>
      <c r="AE1073" s="47"/>
      <c r="AF1073" s="41">
        <f t="shared" si="480"/>
        <v>0</v>
      </c>
      <c r="AG1073" s="39"/>
      <c r="AH1073" s="41">
        <f t="shared" si="488"/>
        <v>0</v>
      </c>
      <c r="AI1073" s="47"/>
      <c r="AJ1073" s="41">
        <f t="shared" si="481"/>
        <v>0</v>
      </c>
      <c r="AK1073" s="39"/>
      <c r="AL1073" s="41">
        <f t="shared" si="489"/>
        <v>0</v>
      </c>
      <c r="AM1073" s="47"/>
      <c r="AN1073" s="41">
        <f t="shared" si="482"/>
        <v>0</v>
      </c>
      <c r="AO1073" s="39"/>
      <c r="AP1073" s="41">
        <f t="shared" si="490"/>
        <v>0</v>
      </c>
      <c r="AQ1073" s="47"/>
      <c r="AR1073" s="41">
        <f t="shared" si="483"/>
        <v>0</v>
      </c>
      <c r="AS1073" s="39"/>
      <c r="AT1073" s="41">
        <f t="shared" si="491"/>
        <v>0</v>
      </c>
      <c r="AU1073" s="47"/>
      <c r="AV1073" s="41">
        <f t="shared" si="484"/>
        <v>0</v>
      </c>
      <c r="AW1073" s="39"/>
      <c r="AX1073" s="41">
        <f t="shared" si="492"/>
        <v>0</v>
      </c>
      <c r="AY1073" s="47"/>
      <c r="AZ1073" s="41">
        <f t="shared" si="485"/>
        <v>0</v>
      </c>
      <c r="BA1073" s="39"/>
      <c r="BB1073" s="41">
        <f t="shared" si="493"/>
        <v>0</v>
      </c>
      <c r="BC1073" s="47"/>
      <c r="BD1073" s="41">
        <f t="shared" si="486"/>
        <v>0</v>
      </c>
      <c r="BE1073" s="39"/>
      <c r="BF1073" s="47"/>
    </row>
    <row r="1074" spans="1:58" ht="15.75" customHeight="1" x14ac:dyDescent="0.25">
      <c r="A1074" s="44">
        <v>2017</v>
      </c>
      <c r="B1074" s="39">
        <v>171750</v>
      </c>
      <c r="C1074" s="38" t="s">
        <v>144</v>
      </c>
      <c r="D1074" s="38" t="s">
        <v>104</v>
      </c>
      <c r="E1074" s="39"/>
      <c r="F1074" s="42">
        <f t="shared" si="468"/>
        <v>0</v>
      </c>
      <c r="G1074" s="47"/>
      <c r="H1074" s="42">
        <f t="shared" si="469"/>
        <v>0</v>
      </c>
      <c r="I1074" s="39"/>
      <c r="J1074" s="41">
        <f t="shared" si="470"/>
        <v>0</v>
      </c>
      <c r="K1074" s="47"/>
      <c r="L1074" s="41">
        <f t="shared" si="471"/>
        <v>0</v>
      </c>
      <c r="M1074" s="39"/>
      <c r="N1074" s="41">
        <f t="shared" si="472"/>
        <v>0</v>
      </c>
      <c r="O1074" s="47"/>
      <c r="P1074" s="41">
        <f t="shared" si="473"/>
        <v>0</v>
      </c>
      <c r="Q1074" s="39"/>
      <c r="R1074" s="41">
        <f t="shared" si="474"/>
        <v>0</v>
      </c>
      <c r="S1074" s="47"/>
      <c r="T1074" s="41">
        <f t="shared" si="475"/>
        <v>0</v>
      </c>
      <c r="U1074" s="39"/>
      <c r="V1074" s="41">
        <f t="shared" si="476"/>
        <v>0</v>
      </c>
      <c r="W1074" s="47"/>
      <c r="X1074" s="41">
        <f t="shared" si="477"/>
        <v>0</v>
      </c>
      <c r="Y1074" s="39"/>
      <c r="Z1074" s="41">
        <f t="shared" si="478"/>
        <v>0</v>
      </c>
      <c r="AA1074" s="47"/>
      <c r="AB1074" s="41">
        <f t="shared" si="479"/>
        <v>0</v>
      </c>
      <c r="AC1074" s="39"/>
      <c r="AD1074" s="41">
        <f t="shared" si="487"/>
        <v>0</v>
      </c>
      <c r="AE1074" s="47"/>
      <c r="AF1074" s="41">
        <f t="shared" si="480"/>
        <v>0</v>
      </c>
      <c r="AG1074" s="39"/>
      <c r="AH1074" s="41">
        <f t="shared" si="488"/>
        <v>0</v>
      </c>
      <c r="AI1074" s="47"/>
      <c r="AJ1074" s="41">
        <f t="shared" si="481"/>
        <v>0</v>
      </c>
      <c r="AK1074" s="39"/>
      <c r="AL1074" s="41">
        <f t="shared" si="489"/>
        <v>0</v>
      </c>
      <c r="AM1074" s="47"/>
      <c r="AN1074" s="41">
        <f t="shared" si="482"/>
        <v>0</v>
      </c>
      <c r="AO1074" s="39"/>
      <c r="AP1074" s="41">
        <f t="shared" si="490"/>
        <v>0</v>
      </c>
      <c r="AQ1074" s="47"/>
      <c r="AR1074" s="41">
        <f t="shared" si="483"/>
        <v>0</v>
      </c>
      <c r="AS1074" s="39"/>
      <c r="AT1074" s="41">
        <f t="shared" si="491"/>
        <v>0</v>
      </c>
      <c r="AU1074" s="47"/>
      <c r="AV1074" s="41">
        <f t="shared" si="484"/>
        <v>0</v>
      </c>
      <c r="AW1074" s="39"/>
      <c r="AX1074" s="41">
        <f t="shared" si="492"/>
        <v>0</v>
      </c>
      <c r="AY1074" s="47"/>
      <c r="AZ1074" s="41">
        <f t="shared" si="485"/>
        <v>0</v>
      </c>
      <c r="BA1074" s="39"/>
      <c r="BB1074" s="41">
        <f t="shared" si="493"/>
        <v>0</v>
      </c>
      <c r="BC1074" s="47"/>
      <c r="BD1074" s="41">
        <f t="shared" si="486"/>
        <v>0</v>
      </c>
      <c r="BE1074" s="39"/>
      <c r="BF1074" s="47"/>
    </row>
    <row r="1075" spans="1:58" ht="15.75" customHeight="1" x14ac:dyDescent="0.25">
      <c r="A1075" s="44">
        <v>2017</v>
      </c>
      <c r="B1075" s="39">
        <v>171780</v>
      </c>
      <c r="C1075" s="38" t="s">
        <v>147</v>
      </c>
      <c r="D1075" s="38" t="s">
        <v>105</v>
      </c>
      <c r="E1075" s="39"/>
      <c r="F1075" s="42">
        <f t="shared" si="468"/>
        <v>0</v>
      </c>
      <c r="G1075" s="47"/>
      <c r="H1075" s="42">
        <f t="shared" si="469"/>
        <v>0</v>
      </c>
      <c r="I1075" s="39"/>
      <c r="J1075" s="41">
        <f t="shared" si="470"/>
        <v>0</v>
      </c>
      <c r="K1075" s="47"/>
      <c r="L1075" s="41">
        <f t="shared" si="471"/>
        <v>0</v>
      </c>
      <c r="M1075" s="39"/>
      <c r="N1075" s="41">
        <f t="shared" si="472"/>
        <v>0</v>
      </c>
      <c r="O1075" s="47"/>
      <c r="P1075" s="41">
        <f t="shared" si="473"/>
        <v>0</v>
      </c>
      <c r="Q1075" s="39"/>
      <c r="R1075" s="41">
        <f t="shared" si="474"/>
        <v>0</v>
      </c>
      <c r="S1075" s="47"/>
      <c r="T1075" s="41">
        <f t="shared" si="475"/>
        <v>0</v>
      </c>
      <c r="U1075" s="39"/>
      <c r="V1075" s="41">
        <f t="shared" si="476"/>
        <v>0</v>
      </c>
      <c r="W1075" s="47"/>
      <c r="X1075" s="41">
        <f t="shared" si="477"/>
        <v>0</v>
      </c>
      <c r="Y1075" s="39"/>
      <c r="Z1075" s="41">
        <f t="shared" si="478"/>
        <v>0</v>
      </c>
      <c r="AA1075" s="47"/>
      <c r="AB1075" s="41">
        <f t="shared" si="479"/>
        <v>0</v>
      </c>
      <c r="AC1075" s="39"/>
      <c r="AD1075" s="41">
        <f t="shared" si="487"/>
        <v>0</v>
      </c>
      <c r="AE1075" s="47"/>
      <c r="AF1075" s="41">
        <f t="shared" si="480"/>
        <v>0</v>
      </c>
      <c r="AG1075" s="39"/>
      <c r="AH1075" s="41">
        <f t="shared" si="488"/>
        <v>0</v>
      </c>
      <c r="AI1075" s="47"/>
      <c r="AJ1075" s="41">
        <f t="shared" si="481"/>
        <v>0</v>
      </c>
      <c r="AK1075" s="39"/>
      <c r="AL1075" s="41">
        <f t="shared" si="489"/>
        <v>0</v>
      </c>
      <c r="AM1075" s="47"/>
      <c r="AN1075" s="41">
        <f t="shared" si="482"/>
        <v>0</v>
      </c>
      <c r="AO1075" s="39"/>
      <c r="AP1075" s="41">
        <f t="shared" si="490"/>
        <v>0</v>
      </c>
      <c r="AQ1075" s="47"/>
      <c r="AR1075" s="41">
        <f t="shared" si="483"/>
        <v>0</v>
      </c>
      <c r="AS1075" s="39"/>
      <c r="AT1075" s="41">
        <f t="shared" si="491"/>
        <v>0</v>
      </c>
      <c r="AU1075" s="47"/>
      <c r="AV1075" s="41">
        <f t="shared" si="484"/>
        <v>0</v>
      </c>
      <c r="AW1075" s="39"/>
      <c r="AX1075" s="41">
        <f t="shared" si="492"/>
        <v>0</v>
      </c>
      <c r="AY1075" s="47"/>
      <c r="AZ1075" s="41">
        <f t="shared" si="485"/>
        <v>0</v>
      </c>
      <c r="BA1075" s="39"/>
      <c r="BB1075" s="41">
        <f t="shared" si="493"/>
        <v>0</v>
      </c>
      <c r="BC1075" s="47"/>
      <c r="BD1075" s="41">
        <f t="shared" si="486"/>
        <v>0</v>
      </c>
      <c r="BE1075" s="39"/>
      <c r="BF1075" s="47"/>
    </row>
    <row r="1076" spans="1:58" ht="15.75" customHeight="1" x14ac:dyDescent="0.25">
      <c r="A1076" s="44">
        <v>2017</v>
      </c>
      <c r="B1076" s="39">
        <v>171790</v>
      </c>
      <c r="C1076" s="38" t="s">
        <v>151</v>
      </c>
      <c r="D1076" s="38" t="s">
        <v>106</v>
      </c>
      <c r="E1076" s="39"/>
      <c r="F1076" s="42">
        <f t="shared" si="468"/>
        <v>0</v>
      </c>
      <c r="G1076" s="47"/>
      <c r="H1076" s="42">
        <f t="shared" si="469"/>
        <v>0</v>
      </c>
      <c r="I1076" s="39"/>
      <c r="J1076" s="41">
        <f t="shared" si="470"/>
        <v>0</v>
      </c>
      <c r="K1076" s="47"/>
      <c r="L1076" s="41">
        <f t="shared" si="471"/>
        <v>0</v>
      </c>
      <c r="M1076" s="39"/>
      <c r="N1076" s="41">
        <f t="shared" si="472"/>
        <v>0</v>
      </c>
      <c r="O1076" s="47"/>
      <c r="P1076" s="41">
        <f t="shared" si="473"/>
        <v>0</v>
      </c>
      <c r="Q1076" s="39"/>
      <c r="R1076" s="41">
        <f t="shared" si="474"/>
        <v>0</v>
      </c>
      <c r="S1076" s="47"/>
      <c r="T1076" s="41">
        <f t="shared" si="475"/>
        <v>0</v>
      </c>
      <c r="U1076" s="39"/>
      <c r="V1076" s="41">
        <f t="shared" si="476"/>
        <v>0</v>
      </c>
      <c r="W1076" s="47"/>
      <c r="X1076" s="41">
        <f t="shared" si="477"/>
        <v>0</v>
      </c>
      <c r="Y1076" s="39"/>
      <c r="Z1076" s="41">
        <f t="shared" si="478"/>
        <v>0</v>
      </c>
      <c r="AA1076" s="47"/>
      <c r="AB1076" s="41">
        <f t="shared" si="479"/>
        <v>0</v>
      </c>
      <c r="AC1076" s="39"/>
      <c r="AD1076" s="41">
        <f t="shared" si="487"/>
        <v>0</v>
      </c>
      <c r="AE1076" s="47"/>
      <c r="AF1076" s="41">
        <f t="shared" si="480"/>
        <v>0</v>
      </c>
      <c r="AG1076" s="39"/>
      <c r="AH1076" s="41">
        <f t="shared" si="488"/>
        <v>0</v>
      </c>
      <c r="AI1076" s="47"/>
      <c r="AJ1076" s="41">
        <f t="shared" si="481"/>
        <v>0</v>
      </c>
      <c r="AK1076" s="39"/>
      <c r="AL1076" s="41">
        <f t="shared" si="489"/>
        <v>0</v>
      </c>
      <c r="AM1076" s="47"/>
      <c r="AN1076" s="41">
        <f t="shared" si="482"/>
        <v>0</v>
      </c>
      <c r="AO1076" s="39"/>
      <c r="AP1076" s="41">
        <f t="shared" si="490"/>
        <v>0</v>
      </c>
      <c r="AQ1076" s="47"/>
      <c r="AR1076" s="41">
        <f t="shared" si="483"/>
        <v>0</v>
      </c>
      <c r="AS1076" s="39"/>
      <c r="AT1076" s="41">
        <f t="shared" si="491"/>
        <v>0</v>
      </c>
      <c r="AU1076" s="47"/>
      <c r="AV1076" s="41">
        <f t="shared" si="484"/>
        <v>0</v>
      </c>
      <c r="AW1076" s="39"/>
      <c r="AX1076" s="41">
        <f t="shared" si="492"/>
        <v>0</v>
      </c>
      <c r="AY1076" s="47"/>
      <c r="AZ1076" s="41">
        <f t="shared" si="485"/>
        <v>0</v>
      </c>
      <c r="BA1076" s="39"/>
      <c r="BB1076" s="41">
        <f t="shared" si="493"/>
        <v>0</v>
      </c>
      <c r="BC1076" s="47"/>
      <c r="BD1076" s="41">
        <f t="shared" si="486"/>
        <v>0</v>
      </c>
      <c r="BE1076" s="39"/>
      <c r="BF1076" s="47"/>
    </row>
    <row r="1077" spans="1:58" ht="15.75" customHeight="1" x14ac:dyDescent="0.25">
      <c r="A1077" s="44">
        <v>2017</v>
      </c>
      <c r="B1077" s="39">
        <v>171800</v>
      </c>
      <c r="C1077" s="38" t="s">
        <v>147</v>
      </c>
      <c r="D1077" s="38" t="s">
        <v>107</v>
      </c>
      <c r="E1077" s="39"/>
      <c r="F1077" s="42">
        <f t="shared" si="468"/>
        <v>0</v>
      </c>
      <c r="G1077" s="47"/>
      <c r="H1077" s="42">
        <f t="shared" si="469"/>
        <v>0</v>
      </c>
      <c r="I1077" s="39"/>
      <c r="J1077" s="41">
        <f t="shared" si="470"/>
        <v>0</v>
      </c>
      <c r="K1077" s="47"/>
      <c r="L1077" s="41">
        <f t="shared" si="471"/>
        <v>0</v>
      </c>
      <c r="M1077" s="39"/>
      <c r="N1077" s="41">
        <f t="shared" si="472"/>
        <v>0</v>
      </c>
      <c r="O1077" s="47"/>
      <c r="P1077" s="41">
        <f t="shared" si="473"/>
        <v>0</v>
      </c>
      <c r="Q1077" s="39"/>
      <c r="R1077" s="41">
        <f t="shared" si="474"/>
        <v>0</v>
      </c>
      <c r="S1077" s="47"/>
      <c r="T1077" s="41">
        <f t="shared" si="475"/>
        <v>0</v>
      </c>
      <c r="U1077" s="39"/>
      <c r="V1077" s="41">
        <f t="shared" si="476"/>
        <v>0</v>
      </c>
      <c r="W1077" s="47"/>
      <c r="X1077" s="41">
        <f t="shared" si="477"/>
        <v>0</v>
      </c>
      <c r="Y1077" s="39"/>
      <c r="Z1077" s="41">
        <f t="shared" si="478"/>
        <v>0</v>
      </c>
      <c r="AA1077" s="47"/>
      <c r="AB1077" s="41">
        <f t="shared" si="479"/>
        <v>0</v>
      </c>
      <c r="AC1077" s="39"/>
      <c r="AD1077" s="41">
        <f t="shared" si="487"/>
        <v>0</v>
      </c>
      <c r="AE1077" s="47"/>
      <c r="AF1077" s="41">
        <f t="shared" si="480"/>
        <v>0</v>
      </c>
      <c r="AG1077" s="39"/>
      <c r="AH1077" s="41">
        <f t="shared" si="488"/>
        <v>0</v>
      </c>
      <c r="AI1077" s="47"/>
      <c r="AJ1077" s="41">
        <f t="shared" si="481"/>
        <v>0</v>
      </c>
      <c r="AK1077" s="39"/>
      <c r="AL1077" s="41">
        <f t="shared" si="489"/>
        <v>0</v>
      </c>
      <c r="AM1077" s="47"/>
      <c r="AN1077" s="41">
        <f t="shared" si="482"/>
        <v>0</v>
      </c>
      <c r="AO1077" s="39"/>
      <c r="AP1077" s="41">
        <f t="shared" si="490"/>
        <v>0</v>
      </c>
      <c r="AQ1077" s="47"/>
      <c r="AR1077" s="41">
        <f t="shared" si="483"/>
        <v>0</v>
      </c>
      <c r="AS1077" s="39"/>
      <c r="AT1077" s="41">
        <f t="shared" si="491"/>
        <v>0</v>
      </c>
      <c r="AU1077" s="47"/>
      <c r="AV1077" s="41">
        <f t="shared" si="484"/>
        <v>0</v>
      </c>
      <c r="AW1077" s="39"/>
      <c r="AX1077" s="41">
        <f t="shared" si="492"/>
        <v>0</v>
      </c>
      <c r="AY1077" s="47"/>
      <c r="AZ1077" s="41">
        <f t="shared" si="485"/>
        <v>0</v>
      </c>
      <c r="BA1077" s="39"/>
      <c r="BB1077" s="41">
        <f t="shared" si="493"/>
        <v>0</v>
      </c>
      <c r="BC1077" s="47"/>
      <c r="BD1077" s="41">
        <f t="shared" si="486"/>
        <v>0</v>
      </c>
      <c r="BE1077" s="39"/>
      <c r="BF1077" s="47"/>
    </row>
    <row r="1078" spans="1:58" ht="15.75" customHeight="1" x14ac:dyDescent="0.25">
      <c r="A1078" s="44">
        <v>2017</v>
      </c>
      <c r="B1078" s="39">
        <v>171820</v>
      </c>
      <c r="C1078" s="38" t="s">
        <v>151</v>
      </c>
      <c r="D1078" s="38" t="s">
        <v>108</v>
      </c>
      <c r="E1078" s="39"/>
      <c r="F1078" s="42">
        <f t="shared" si="468"/>
        <v>0</v>
      </c>
      <c r="G1078" s="47"/>
      <c r="H1078" s="42">
        <f t="shared" si="469"/>
        <v>0</v>
      </c>
      <c r="I1078" s="39"/>
      <c r="J1078" s="41">
        <f t="shared" si="470"/>
        <v>0</v>
      </c>
      <c r="K1078" s="47"/>
      <c r="L1078" s="41">
        <f t="shared" si="471"/>
        <v>0</v>
      </c>
      <c r="M1078" s="39"/>
      <c r="N1078" s="41">
        <f t="shared" si="472"/>
        <v>0</v>
      </c>
      <c r="O1078" s="47"/>
      <c r="P1078" s="41">
        <f t="shared" si="473"/>
        <v>0</v>
      </c>
      <c r="Q1078" s="39"/>
      <c r="R1078" s="41">
        <f t="shared" si="474"/>
        <v>0</v>
      </c>
      <c r="S1078" s="47"/>
      <c r="T1078" s="41">
        <f t="shared" si="475"/>
        <v>0</v>
      </c>
      <c r="U1078" s="39"/>
      <c r="V1078" s="41">
        <f t="shared" si="476"/>
        <v>0</v>
      </c>
      <c r="W1078" s="47"/>
      <c r="X1078" s="41">
        <f t="shared" si="477"/>
        <v>0</v>
      </c>
      <c r="Y1078" s="39"/>
      <c r="Z1078" s="41">
        <f t="shared" si="478"/>
        <v>0</v>
      </c>
      <c r="AA1078" s="47"/>
      <c r="AB1078" s="41">
        <f t="shared" si="479"/>
        <v>0</v>
      </c>
      <c r="AC1078" s="39"/>
      <c r="AD1078" s="41">
        <f t="shared" si="487"/>
        <v>0</v>
      </c>
      <c r="AE1078" s="48"/>
      <c r="AF1078" s="41">
        <f t="shared" si="480"/>
        <v>0</v>
      </c>
      <c r="AG1078" s="39"/>
      <c r="AH1078" s="41">
        <f t="shared" si="488"/>
        <v>0</v>
      </c>
      <c r="AI1078" s="47"/>
      <c r="AJ1078" s="41">
        <f t="shared" si="481"/>
        <v>0</v>
      </c>
      <c r="AK1078" s="39"/>
      <c r="AL1078" s="41">
        <f t="shared" si="489"/>
        <v>0</v>
      </c>
      <c r="AM1078" s="47"/>
      <c r="AN1078" s="41">
        <f t="shared" si="482"/>
        <v>0</v>
      </c>
      <c r="AO1078" s="39"/>
      <c r="AP1078" s="41">
        <f t="shared" si="490"/>
        <v>0</v>
      </c>
      <c r="AQ1078" s="47"/>
      <c r="AR1078" s="41">
        <f t="shared" si="483"/>
        <v>0</v>
      </c>
      <c r="AS1078" s="39"/>
      <c r="AT1078" s="41">
        <f t="shared" si="491"/>
        <v>0</v>
      </c>
      <c r="AU1078" s="47"/>
      <c r="AV1078" s="41">
        <f t="shared" si="484"/>
        <v>0</v>
      </c>
      <c r="AW1078" s="39"/>
      <c r="AX1078" s="41">
        <f t="shared" si="492"/>
        <v>0</v>
      </c>
      <c r="AY1078" s="47"/>
      <c r="AZ1078" s="41">
        <f t="shared" si="485"/>
        <v>0</v>
      </c>
      <c r="BA1078" s="39"/>
      <c r="BB1078" s="41">
        <f t="shared" si="493"/>
        <v>0</v>
      </c>
      <c r="BC1078" s="47"/>
      <c r="BD1078" s="41">
        <f t="shared" si="486"/>
        <v>0</v>
      </c>
      <c r="BE1078" s="39"/>
      <c r="BF1078" s="48"/>
    </row>
    <row r="1079" spans="1:58" ht="15.75" customHeight="1" x14ac:dyDescent="0.25">
      <c r="A1079" s="44">
        <v>2017</v>
      </c>
      <c r="B1079" s="39">
        <v>171830</v>
      </c>
      <c r="C1079" s="38" t="s">
        <v>145</v>
      </c>
      <c r="D1079" s="38" t="s">
        <v>109</v>
      </c>
      <c r="E1079" s="39"/>
      <c r="F1079" s="42">
        <f t="shared" si="468"/>
        <v>0</v>
      </c>
      <c r="G1079" s="47"/>
      <c r="H1079" s="42">
        <f t="shared" si="469"/>
        <v>0</v>
      </c>
      <c r="I1079" s="39"/>
      <c r="J1079" s="41">
        <f t="shared" si="470"/>
        <v>0</v>
      </c>
      <c r="K1079" s="47"/>
      <c r="L1079" s="41">
        <f t="shared" si="471"/>
        <v>0</v>
      </c>
      <c r="M1079" s="39"/>
      <c r="N1079" s="41">
        <f t="shared" si="472"/>
        <v>0</v>
      </c>
      <c r="O1079" s="47"/>
      <c r="P1079" s="41">
        <f t="shared" si="473"/>
        <v>0</v>
      </c>
      <c r="Q1079" s="39"/>
      <c r="R1079" s="41">
        <f t="shared" si="474"/>
        <v>0</v>
      </c>
      <c r="S1079" s="47"/>
      <c r="T1079" s="41">
        <f t="shared" si="475"/>
        <v>0</v>
      </c>
      <c r="U1079" s="39"/>
      <c r="V1079" s="41">
        <f t="shared" si="476"/>
        <v>0</v>
      </c>
      <c r="W1079" s="47"/>
      <c r="X1079" s="41">
        <f t="shared" si="477"/>
        <v>0</v>
      </c>
      <c r="Y1079" s="39"/>
      <c r="Z1079" s="41">
        <f t="shared" si="478"/>
        <v>0</v>
      </c>
      <c r="AA1079" s="47"/>
      <c r="AB1079" s="41">
        <f t="shared" si="479"/>
        <v>0</v>
      </c>
      <c r="AC1079" s="39"/>
      <c r="AD1079" s="41">
        <f t="shared" si="487"/>
        <v>0</v>
      </c>
      <c r="AE1079" s="47"/>
      <c r="AF1079" s="41">
        <f t="shared" si="480"/>
        <v>0</v>
      </c>
      <c r="AG1079" s="39"/>
      <c r="AH1079" s="41">
        <f t="shared" si="488"/>
        <v>0</v>
      </c>
      <c r="AI1079" s="47"/>
      <c r="AJ1079" s="41">
        <f t="shared" si="481"/>
        <v>0</v>
      </c>
      <c r="AK1079" s="39"/>
      <c r="AL1079" s="41">
        <f t="shared" si="489"/>
        <v>0</v>
      </c>
      <c r="AM1079" s="47"/>
      <c r="AN1079" s="41">
        <f t="shared" si="482"/>
        <v>0</v>
      </c>
      <c r="AO1079" s="39"/>
      <c r="AP1079" s="41">
        <f t="shared" si="490"/>
        <v>0</v>
      </c>
      <c r="AQ1079" s="47"/>
      <c r="AR1079" s="41">
        <f t="shared" si="483"/>
        <v>0</v>
      </c>
      <c r="AS1079" s="39"/>
      <c r="AT1079" s="41">
        <f t="shared" si="491"/>
        <v>0</v>
      </c>
      <c r="AU1079" s="47"/>
      <c r="AV1079" s="41">
        <f t="shared" si="484"/>
        <v>0</v>
      </c>
      <c r="AW1079" s="39"/>
      <c r="AX1079" s="41">
        <f t="shared" si="492"/>
        <v>0</v>
      </c>
      <c r="AY1079" s="47"/>
      <c r="AZ1079" s="41">
        <f t="shared" si="485"/>
        <v>0</v>
      </c>
      <c r="BA1079" s="39"/>
      <c r="BB1079" s="41">
        <f t="shared" si="493"/>
        <v>0</v>
      </c>
      <c r="BC1079" s="47"/>
      <c r="BD1079" s="41">
        <f t="shared" si="486"/>
        <v>0</v>
      </c>
      <c r="BE1079" s="39"/>
      <c r="BF1079" s="47"/>
    </row>
    <row r="1080" spans="1:58" ht="15.75" customHeight="1" x14ac:dyDescent="0.25">
      <c r="A1080" s="44">
        <v>2017</v>
      </c>
      <c r="B1080" s="39">
        <v>171840</v>
      </c>
      <c r="C1080" s="38" t="s">
        <v>150</v>
      </c>
      <c r="D1080" s="38" t="s">
        <v>110</v>
      </c>
      <c r="E1080" s="39"/>
      <c r="F1080" s="42">
        <f t="shared" si="468"/>
        <v>0</v>
      </c>
      <c r="G1080" s="47"/>
      <c r="H1080" s="42">
        <f t="shared" si="469"/>
        <v>0</v>
      </c>
      <c r="I1080" s="39"/>
      <c r="J1080" s="41">
        <f t="shared" si="470"/>
        <v>0</v>
      </c>
      <c r="K1080" s="47"/>
      <c r="L1080" s="41">
        <f t="shared" si="471"/>
        <v>0</v>
      </c>
      <c r="M1080" s="39"/>
      <c r="N1080" s="41">
        <f t="shared" si="472"/>
        <v>0</v>
      </c>
      <c r="O1080" s="47"/>
      <c r="P1080" s="41">
        <f t="shared" si="473"/>
        <v>0</v>
      </c>
      <c r="Q1080" s="39"/>
      <c r="R1080" s="41">
        <f t="shared" si="474"/>
        <v>0</v>
      </c>
      <c r="S1080" s="47"/>
      <c r="T1080" s="41">
        <f t="shared" si="475"/>
        <v>0</v>
      </c>
      <c r="U1080" s="39"/>
      <c r="V1080" s="41">
        <f t="shared" si="476"/>
        <v>0</v>
      </c>
      <c r="W1080" s="47"/>
      <c r="X1080" s="41">
        <f t="shared" si="477"/>
        <v>0</v>
      </c>
      <c r="Y1080" s="39"/>
      <c r="Z1080" s="41">
        <f t="shared" si="478"/>
        <v>0</v>
      </c>
      <c r="AA1080" s="47"/>
      <c r="AB1080" s="41">
        <f t="shared" si="479"/>
        <v>0</v>
      </c>
      <c r="AC1080" s="39"/>
      <c r="AD1080" s="41">
        <f t="shared" si="487"/>
        <v>0</v>
      </c>
      <c r="AE1080" s="47"/>
      <c r="AF1080" s="41">
        <f t="shared" si="480"/>
        <v>0</v>
      </c>
      <c r="AG1080" s="39"/>
      <c r="AH1080" s="41">
        <f t="shared" si="488"/>
        <v>0</v>
      </c>
      <c r="AI1080" s="47"/>
      <c r="AJ1080" s="41">
        <f t="shared" si="481"/>
        <v>0</v>
      </c>
      <c r="AK1080" s="39"/>
      <c r="AL1080" s="41">
        <f t="shared" si="489"/>
        <v>0</v>
      </c>
      <c r="AM1080" s="47"/>
      <c r="AN1080" s="41">
        <f t="shared" si="482"/>
        <v>0</v>
      </c>
      <c r="AO1080" s="39"/>
      <c r="AP1080" s="41">
        <f t="shared" si="490"/>
        <v>0</v>
      </c>
      <c r="AQ1080" s="47"/>
      <c r="AR1080" s="41">
        <f t="shared" si="483"/>
        <v>0</v>
      </c>
      <c r="AS1080" s="39"/>
      <c r="AT1080" s="41">
        <f t="shared" si="491"/>
        <v>0</v>
      </c>
      <c r="AU1080" s="47"/>
      <c r="AV1080" s="41">
        <f t="shared" si="484"/>
        <v>0</v>
      </c>
      <c r="AW1080" s="39"/>
      <c r="AX1080" s="41">
        <f t="shared" si="492"/>
        <v>0</v>
      </c>
      <c r="AY1080" s="47"/>
      <c r="AZ1080" s="41">
        <f t="shared" si="485"/>
        <v>0</v>
      </c>
      <c r="BA1080" s="39"/>
      <c r="BB1080" s="41">
        <f t="shared" si="493"/>
        <v>0</v>
      </c>
      <c r="BC1080" s="47"/>
      <c r="BD1080" s="41">
        <f t="shared" si="486"/>
        <v>0</v>
      </c>
      <c r="BE1080" s="39"/>
      <c r="BF1080" s="47"/>
    </row>
    <row r="1081" spans="1:58" ht="15.75" customHeight="1" x14ac:dyDescent="0.25">
      <c r="A1081" s="44">
        <v>2017</v>
      </c>
      <c r="B1081" s="39">
        <v>171845</v>
      </c>
      <c r="C1081" s="38" t="s">
        <v>144</v>
      </c>
      <c r="D1081" s="38" t="s">
        <v>111</v>
      </c>
      <c r="E1081" s="39"/>
      <c r="F1081" s="42">
        <f t="shared" si="468"/>
        <v>0</v>
      </c>
      <c r="G1081" s="47"/>
      <c r="H1081" s="42">
        <f t="shared" si="469"/>
        <v>0</v>
      </c>
      <c r="I1081" s="39"/>
      <c r="J1081" s="41">
        <f t="shared" si="470"/>
        <v>0</v>
      </c>
      <c r="K1081" s="47"/>
      <c r="L1081" s="41">
        <f t="shared" si="471"/>
        <v>0</v>
      </c>
      <c r="M1081" s="39"/>
      <c r="N1081" s="41">
        <f t="shared" si="472"/>
        <v>0</v>
      </c>
      <c r="O1081" s="47"/>
      <c r="P1081" s="41">
        <f t="shared" si="473"/>
        <v>0</v>
      </c>
      <c r="Q1081" s="39"/>
      <c r="R1081" s="41">
        <f t="shared" si="474"/>
        <v>0</v>
      </c>
      <c r="S1081" s="47"/>
      <c r="T1081" s="41">
        <f t="shared" si="475"/>
        <v>0</v>
      </c>
      <c r="U1081" s="39"/>
      <c r="V1081" s="41">
        <f t="shared" si="476"/>
        <v>0</v>
      </c>
      <c r="W1081" s="47"/>
      <c r="X1081" s="41">
        <f t="shared" si="477"/>
        <v>0</v>
      </c>
      <c r="Y1081" s="39"/>
      <c r="Z1081" s="41">
        <f t="shared" si="478"/>
        <v>0</v>
      </c>
      <c r="AA1081" s="47"/>
      <c r="AB1081" s="41">
        <f t="shared" si="479"/>
        <v>0</v>
      </c>
      <c r="AC1081" s="39"/>
      <c r="AD1081" s="41">
        <f t="shared" si="487"/>
        <v>0</v>
      </c>
      <c r="AE1081" s="47"/>
      <c r="AF1081" s="41">
        <f t="shared" si="480"/>
        <v>0</v>
      </c>
      <c r="AG1081" s="39"/>
      <c r="AH1081" s="41">
        <f t="shared" si="488"/>
        <v>0</v>
      </c>
      <c r="AI1081" s="47"/>
      <c r="AJ1081" s="41">
        <f t="shared" si="481"/>
        <v>0</v>
      </c>
      <c r="AK1081" s="39"/>
      <c r="AL1081" s="41">
        <f t="shared" si="489"/>
        <v>0</v>
      </c>
      <c r="AM1081" s="47"/>
      <c r="AN1081" s="41">
        <f t="shared" si="482"/>
        <v>0</v>
      </c>
      <c r="AO1081" s="39"/>
      <c r="AP1081" s="41">
        <f t="shared" si="490"/>
        <v>0</v>
      </c>
      <c r="AQ1081" s="47"/>
      <c r="AR1081" s="41">
        <f t="shared" si="483"/>
        <v>0</v>
      </c>
      <c r="AS1081" s="39"/>
      <c r="AT1081" s="41">
        <f t="shared" si="491"/>
        <v>0</v>
      </c>
      <c r="AU1081" s="47"/>
      <c r="AV1081" s="41">
        <f t="shared" si="484"/>
        <v>0</v>
      </c>
      <c r="AW1081" s="39"/>
      <c r="AX1081" s="41">
        <f t="shared" si="492"/>
        <v>0</v>
      </c>
      <c r="AY1081" s="47"/>
      <c r="AZ1081" s="41">
        <f t="shared" si="485"/>
        <v>0</v>
      </c>
      <c r="BA1081" s="39"/>
      <c r="BB1081" s="41">
        <f t="shared" si="493"/>
        <v>0</v>
      </c>
      <c r="BC1081" s="47"/>
      <c r="BD1081" s="41">
        <f t="shared" si="486"/>
        <v>0</v>
      </c>
      <c r="BE1081" s="39"/>
      <c r="BF1081" s="47"/>
    </row>
    <row r="1082" spans="1:58" ht="15.75" customHeight="1" x14ac:dyDescent="0.25">
      <c r="A1082" s="44">
        <v>2017</v>
      </c>
      <c r="B1082" s="39">
        <v>171850</v>
      </c>
      <c r="C1082" s="38" t="s">
        <v>150</v>
      </c>
      <c r="D1082" s="38" t="s">
        <v>112</v>
      </c>
      <c r="E1082" s="39"/>
      <c r="F1082" s="42">
        <f t="shared" si="468"/>
        <v>0</v>
      </c>
      <c r="G1082" s="47"/>
      <c r="H1082" s="42">
        <f t="shared" si="469"/>
        <v>0</v>
      </c>
      <c r="I1082" s="39"/>
      <c r="J1082" s="41">
        <f t="shared" si="470"/>
        <v>0</v>
      </c>
      <c r="K1082" s="47"/>
      <c r="L1082" s="41">
        <f t="shared" si="471"/>
        <v>0</v>
      </c>
      <c r="M1082" s="39"/>
      <c r="N1082" s="41">
        <f t="shared" si="472"/>
        <v>0</v>
      </c>
      <c r="O1082" s="47"/>
      <c r="P1082" s="41">
        <f t="shared" si="473"/>
        <v>0</v>
      </c>
      <c r="Q1082" s="39"/>
      <c r="R1082" s="41">
        <f t="shared" si="474"/>
        <v>0</v>
      </c>
      <c r="S1082" s="47"/>
      <c r="T1082" s="41">
        <f t="shared" si="475"/>
        <v>0</v>
      </c>
      <c r="U1082" s="39"/>
      <c r="V1082" s="41">
        <f t="shared" si="476"/>
        <v>0</v>
      </c>
      <c r="W1082" s="47"/>
      <c r="X1082" s="41">
        <f t="shared" si="477"/>
        <v>0</v>
      </c>
      <c r="Y1082" s="39"/>
      <c r="Z1082" s="41">
        <f t="shared" si="478"/>
        <v>0</v>
      </c>
      <c r="AA1082" s="47"/>
      <c r="AB1082" s="41">
        <f t="shared" si="479"/>
        <v>0</v>
      </c>
      <c r="AC1082" s="39"/>
      <c r="AD1082" s="41">
        <f t="shared" si="487"/>
        <v>0</v>
      </c>
      <c r="AE1082" s="47"/>
      <c r="AF1082" s="41">
        <f t="shared" si="480"/>
        <v>0</v>
      </c>
      <c r="AG1082" s="39"/>
      <c r="AH1082" s="41">
        <f t="shared" si="488"/>
        <v>0</v>
      </c>
      <c r="AI1082" s="47"/>
      <c r="AJ1082" s="41">
        <f t="shared" si="481"/>
        <v>0</v>
      </c>
      <c r="AK1082" s="39"/>
      <c r="AL1082" s="41">
        <f t="shared" si="489"/>
        <v>0</v>
      </c>
      <c r="AM1082" s="47"/>
      <c r="AN1082" s="41">
        <f t="shared" si="482"/>
        <v>0</v>
      </c>
      <c r="AO1082" s="39"/>
      <c r="AP1082" s="41">
        <f t="shared" si="490"/>
        <v>0</v>
      </c>
      <c r="AQ1082" s="47"/>
      <c r="AR1082" s="41">
        <f t="shared" si="483"/>
        <v>0</v>
      </c>
      <c r="AS1082" s="39"/>
      <c r="AT1082" s="41">
        <f t="shared" si="491"/>
        <v>0</v>
      </c>
      <c r="AU1082" s="47"/>
      <c r="AV1082" s="41">
        <f t="shared" si="484"/>
        <v>0</v>
      </c>
      <c r="AW1082" s="39"/>
      <c r="AX1082" s="41">
        <f t="shared" si="492"/>
        <v>0</v>
      </c>
      <c r="AY1082" s="47"/>
      <c r="AZ1082" s="41">
        <f t="shared" si="485"/>
        <v>0</v>
      </c>
      <c r="BA1082" s="39"/>
      <c r="BB1082" s="41">
        <f t="shared" si="493"/>
        <v>0</v>
      </c>
      <c r="BC1082" s="47"/>
      <c r="BD1082" s="41">
        <f t="shared" si="486"/>
        <v>0</v>
      </c>
      <c r="BE1082" s="39"/>
      <c r="BF1082" s="47"/>
    </row>
    <row r="1083" spans="1:58" ht="15.75" customHeight="1" x14ac:dyDescent="0.25">
      <c r="A1083" s="44">
        <v>2017</v>
      </c>
      <c r="B1083" s="39">
        <v>171855</v>
      </c>
      <c r="C1083" s="38" t="s">
        <v>145</v>
      </c>
      <c r="D1083" s="38" t="s">
        <v>113</v>
      </c>
      <c r="E1083" s="39"/>
      <c r="F1083" s="42">
        <f t="shared" si="468"/>
        <v>0</v>
      </c>
      <c r="G1083" s="47"/>
      <c r="H1083" s="42">
        <f t="shared" si="469"/>
        <v>0</v>
      </c>
      <c r="I1083" s="39"/>
      <c r="J1083" s="41">
        <f t="shared" si="470"/>
        <v>0</v>
      </c>
      <c r="K1083" s="47"/>
      <c r="L1083" s="41">
        <f t="shared" si="471"/>
        <v>0</v>
      </c>
      <c r="M1083" s="39"/>
      <c r="N1083" s="41">
        <f t="shared" si="472"/>
        <v>0</v>
      </c>
      <c r="O1083" s="47"/>
      <c r="P1083" s="41">
        <f t="shared" si="473"/>
        <v>0</v>
      </c>
      <c r="Q1083" s="39"/>
      <c r="R1083" s="41">
        <f t="shared" si="474"/>
        <v>0</v>
      </c>
      <c r="S1083" s="47"/>
      <c r="T1083" s="41">
        <f t="shared" si="475"/>
        <v>0</v>
      </c>
      <c r="U1083" s="39"/>
      <c r="V1083" s="41">
        <f t="shared" si="476"/>
        <v>0</v>
      </c>
      <c r="W1083" s="47"/>
      <c r="X1083" s="41">
        <f t="shared" si="477"/>
        <v>0</v>
      </c>
      <c r="Y1083" s="39"/>
      <c r="Z1083" s="41">
        <f t="shared" si="478"/>
        <v>0</v>
      </c>
      <c r="AA1083" s="47"/>
      <c r="AB1083" s="41">
        <f t="shared" si="479"/>
        <v>0</v>
      </c>
      <c r="AC1083" s="39"/>
      <c r="AD1083" s="41">
        <f t="shared" si="487"/>
        <v>0</v>
      </c>
      <c r="AE1083" s="47"/>
      <c r="AF1083" s="41">
        <f t="shared" si="480"/>
        <v>0</v>
      </c>
      <c r="AG1083" s="39"/>
      <c r="AH1083" s="41">
        <f t="shared" si="488"/>
        <v>0</v>
      </c>
      <c r="AI1083" s="47"/>
      <c r="AJ1083" s="41">
        <f t="shared" si="481"/>
        <v>0</v>
      </c>
      <c r="AK1083" s="39"/>
      <c r="AL1083" s="41">
        <f t="shared" si="489"/>
        <v>0</v>
      </c>
      <c r="AM1083" s="47"/>
      <c r="AN1083" s="41">
        <f t="shared" si="482"/>
        <v>0</v>
      </c>
      <c r="AO1083" s="39"/>
      <c r="AP1083" s="41">
        <f t="shared" si="490"/>
        <v>0</v>
      </c>
      <c r="AQ1083" s="47"/>
      <c r="AR1083" s="41">
        <f t="shared" si="483"/>
        <v>0</v>
      </c>
      <c r="AS1083" s="39"/>
      <c r="AT1083" s="41">
        <f t="shared" si="491"/>
        <v>0</v>
      </c>
      <c r="AU1083" s="47"/>
      <c r="AV1083" s="41">
        <f t="shared" si="484"/>
        <v>0</v>
      </c>
      <c r="AW1083" s="39"/>
      <c r="AX1083" s="41">
        <f t="shared" si="492"/>
        <v>0</v>
      </c>
      <c r="AY1083" s="47"/>
      <c r="AZ1083" s="41">
        <f t="shared" si="485"/>
        <v>0</v>
      </c>
      <c r="BA1083" s="39"/>
      <c r="BB1083" s="41">
        <f t="shared" si="493"/>
        <v>0</v>
      </c>
      <c r="BC1083" s="47"/>
      <c r="BD1083" s="41">
        <f t="shared" si="486"/>
        <v>0</v>
      </c>
      <c r="BE1083" s="39"/>
      <c r="BF1083" s="47"/>
    </row>
    <row r="1084" spans="1:58" ht="15.75" customHeight="1" x14ac:dyDescent="0.25">
      <c r="A1084" s="44">
        <v>2017</v>
      </c>
      <c r="B1084" s="39">
        <v>171865</v>
      </c>
      <c r="C1084" s="38" t="s">
        <v>147</v>
      </c>
      <c r="D1084" s="38" t="s">
        <v>114</v>
      </c>
      <c r="E1084" s="39"/>
      <c r="F1084" s="42">
        <f t="shared" si="468"/>
        <v>0</v>
      </c>
      <c r="G1084" s="47"/>
      <c r="H1084" s="42">
        <f t="shared" si="469"/>
        <v>0</v>
      </c>
      <c r="I1084" s="39"/>
      <c r="J1084" s="41">
        <f t="shared" si="470"/>
        <v>0</v>
      </c>
      <c r="K1084" s="47"/>
      <c r="L1084" s="41">
        <f t="shared" si="471"/>
        <v>0</v>
      </c>
      <c r="M1084" s="39"/>
      <c r="N1084" s="41">
        <f t="shared" si="472"/>
        <v>0</v>
      </c>
      <c r="O1084" s="47"/>
      <c r="P1084" s="41">
        <f t="shared" si="473"/>
        <v>0</v>
      </c>
      <c r="Q1084" s="39"/>
      <c r="R1084" s="41">
        <f t="shared" si="474"/>
        <v>0</v>
      </c>
      <c r="S1084" s="47"/>
      <c r="T1084" s="41">
        <f t="shared" si="475"/>
        <v>0</v>
      </c>
      <c r="U1084" s="39"/>
      <c r="V1084" s="41">
        <f t="shared" si="476"/>
        <v>0</v>
      </c>
      <c r="W1084" s="47"/>
      <c r="X1084" s="41">
        <f t="shared" si="477"/>
        <v>0</v>
      </c>
      <c r="Y1084" s="39"/>
      <c r="Z1084" s="41">
        <f t="shared" si="478"/>
        <v>0</v>
      </c>
      <c r="AA1084" s="47"/>
      <c r="AB1084" s="41">
        <f t="shared" si="479"/>
        <v>0</v>
      </c>
      <c r="AC1084" s="39"/>
      <c r="AD1084" s="41">
        <f t="shared" si="487"/>
        <v>0</v>
      </c>
      <c r="AE1084" s="47"/>
      <c r="AF1084" s="41">
        <f t="shared" si="480"/>
        <v>0</v>
      </c>
      <c r="AG1084" s="39"/>
      <c r="AH1084" s="41">
        <f t="shared" si="488"/>
        <v>0</v>
      </c>
      <c r="AI1084" s="47"/>
      <c r="AJ1084" s="41">
        <f t="shared" si="481"/>
        <v>0</v>
      </c>
      <c r="AK1084" s="39"/>
      <c r="AL1084" s="41">
        <f t="shared" si="489"/>
        <v>0</v>
      </c>
      <c r="AM1084" s="47"/>
      <c r="AN1084" s="41">
        <f t="shared" si="482"/>
        <v>0</v>
      </c>
      <c r="AO1084" s="39"/>
      <c r="AP1084" s="41">
        <f t="shared" si="490"/>
        <v>0</v>
      </c>
      <c r="AQ1084" s="47"/>
      <c r="AR1084" s="41">
        <f t="shared" si="483"/>
        <v>0</v>
      </c>
      <c r="AS1084" s="39"/>
      <c r="AT1084" s="41">
        <f t="shared" si="491"/>
        <v>0</v>
      </c>
      <c r="AU1084" s="47"/>
      <c r="AV1084" s="41">
        <f t="shared" si="484"/>
        <v>0</v>
      </c>
      <c r="AW1084" s="39"/>
      <c r="AX1084" s="41">
        <f t="shared" si="492"/>
        <v>0</v>
      </c>
      <c r="AY1084" s="47"/>
      <c r="AZ1084" s="41">
        <f t="shared" si="485"/>
        <v>0</v>
      </c>
      <c r="BA1084" s="39"/>
      <c r="BB1084" s="41">
        <f t="shared" si="493"/>
        <v>0</v>
      </c>
      <c r="BC1084" s="47"/>
      <c r="BD1084" s="41">
        <f t="shared" si="486"/>
        <v>0</v>
      </c>
      <c r="BE1084" s="39"/>
      <c r="BF1084" s="47"/>
    </row>
    <row r="1085" spans="1:58" ht="15.75" customHeight="1" x14ac:dyDescent="0.25">
      <c r="A1085" s="44">
        <v>2017</v>
      </c>
      <c r="B1085" s="39">
        <v>171870</v>
      </c>
      <c r="C1085" s="38" t="s">
        <v>148</v>
      </c>
      <c r="D1085" s="38" t="s">
        <v>115</v>
      </c>
      <c r="E1085" s="39"/>
      <c r="F1085" s="42">
        <f t="shared" si="468"/>
        <v>0</v>
      </c>
      <c r="G1085" s="47"/>
      <c r="H1085" s="42">
        <f t="shared" si="469"/>
        <v>0</v>
      </c>
      <c r="I1085" s="39"/>
      <c r="J1085" s="41">
        <f t="shared" si="470"/>
        <v>0</v>
      </c>
      <c r="K1085" s="47"/>
      <c r="L1085" s="41">
        <f t="shared" si="471"/>
        <v>0</v>
      </c>
      <c r="M1085" s="39"/>
      <c r="N1085" s="41">
        <f t="shared" si="472"/>
        <v>0</v>
      </c>
      <c r="O1085" s="47"/>
      <c r="P1085" s="41">
        <f t="shared" si="473"/>
        <v>0</v>
      </c>
      <c r="Q1085" s="39"/>
      <c r="R1085" s="41">
        <f t="shared" si="474"/>
        <v>0</v>
      </c>
      <c r="S1085" s="47"/>
      <c r="T1085" s="41">
        <f t="shared" si="475"/>
        <v>0</v>
      </c>
      <c r="U1085" s="39"/>
      <c r="V1085" s="41">
        <f t="shared" si="476"/>
        <v>0</v>
      </c>
      <c r="W1085" s="47"/>
      <c r="X1085" s="41">
        <f t="shared" si="477"/>
        <v>0</v>
      </c>
      <c r="Y1085" s="39"/>
      <c r="Z1085" s="41">
        <f t="shared" si="478"/>
        <v>0</v>
      </c>
      <c r="AA1085" s="47"/>
      <c r="AB1085" s="41">
        <f t="shared" si="479"/>
        <v>0</v>
      </c>
      <c r="AC1085" s="39"/>
      <c r="AD1085" s="41">
        <f t="shared" si="487"/>
        <v>0</v>
      </c>
      <c r="AE1085" s="47"/>
      <c r="AF1085" s="41">
        <f t="shared" si="480"/>
        <v>0</v>
      </c>
      <c r="AG1085" s="39"/>
      <c r="AH1085" s="41">
        <f t="shared" si="488"/>
        <v>0</v>
      </c>
      <c r="AI1085" s="47"/>
      <c r="AJ1085" s="41">
        <f t="shared" si="481"/>
        <v>0</v>
      </c>
      <c r="AK1085" s="39"/>
      <c r="AL1085" s="41">
        <f t="shared" si="489"/>
        <v>0</v>
      </c>
      <c r="AM1085" s="47"/>
      <c r="AN1085" s="41">
        <f t="shared" si="482"/>
        <v>0</v>
      </c>
      <c r="AO1085" s="39"/>
      <c r="AP1085" s="41">
        <f t="shared" si="490"/>
        <v>0</v>
      </c>
      <c r="AQ1085" s="47"/>
      <c r="AR1085" s="41">
        <f t="shared" si="483"/>
        <v>0</v>
      </c>
      <c r="AS1085" s="39"/>
      <c r="AT1085" s="41">
        <f t="shared" si="491"/>
        <v>0</v>
      </c>
      <c r="AU1085" s="47"/>
      <c r="AV1085" s="41">
        <f t="shared" si="484"/>
        <v>0</v>
      </c>
      <c r="AW1085" s="39"/>
      <c r="AX1085" s="41">
        <f t="shared" si="492"/>
        <v>0</v>
      </c>
      <c r="AY1085" s="47"/>
      <c r="AZ1085" s="41">
        <f t="shared" si="485"/>
        <v>0</v>
      </c>
      <c r="BA1085" s="39"/>
      <c r="BB1085" s="41">
        <f t="shared" si="493"/>
        <v>0</v>
      </c>
      <c r="BC1085" s="47"/>
      <c r="BD1085" s="41">
        <f t="shared" si="486"/>
        <v>0</v>
      </c>
      <c r="BE1085" s="39"/>
      <c r="BF1085" s="47"/>
    </row>
    <row r="1086" spans="1:58" ht="15.75" customHeight="1" x14ac:dyDescent="0.25">
      <c r="A1086" s="44">
        <v>2017</v>
      </c>
      <c r="B1086" s="39">
        <v>171875</v>
      </c>
      <c r="C1086" s="38" t="s">
        <v>148</v>
      </c>
      <c r="D1086" s="38" t="s">
        <v>116</v>
      </c>
      <c r="E1086" s="39"/>
      <c r="F1086" s="42">
        <f t="shared" si="468"/>
        <v>0</v>
      </c>
      <c r="G1086" s="47"/>
      <c r="H1086" s="42">
        <f t="shared" si="469"/>
        <v>0</v>
      </c>
      <c r="I1086" s="39"/>
      <c r="J1086" s="41">
        <f t="shared" si="470"/>
        <v>0</v>
      </c>
      <c r="K1086" s="47"/>
      <c r="L1086" s="41">
        <f t="shared" si="471"/>
        <v>0</v>
      </c>
      <c r="M1086" s="39"/>
      <c r="N1086" s="41">
        <f t="shared" si="472"/>
        <v>0</v>
      </c>
      <c r="O1086" s="47"/>
      <c r="P1086" s="41">
        <f t="shared" si="473"/>
        <v>0</v>
      </c>
      <c r="Q1086" s="39"/>
      <c r="R1086" s="41">
        <f t="shared" si="474"/>
        <v>0</v>
      </c>
      <c r="S1086" s="47"/>
      <c r="T1086" s="41">
        <f t="shared" si="475"/>
        <v>0</v>
      </c>
      <c r="U1086" s="39"/>
      <c r="V1086" s="41">
        <f t="shared" si="476"/>
        <v>0</v>
      </c>
      <c r="W1086" s="47"/>
      <c r="X1086" s="41">
        <f t="shared" si="477"/>
        <v>0</v>
      </c>
      <c r="Y1086" s="39"/>
      <c r="Z1086" s="41">
        <f t="shared" si="478"/>
        <v>0</v>
      </c>
      <c r="AA1086" s="47"/>
      <c r="AB1086" s="41">
        <f t="shared" si="479"/>
        <v>0</v>
      </c>
      <c r="AC1086" s="39"/>
      <c r="AD1086" s="41">
        <f t="shared" si="487"/>
        <v>0</v>
      </c>
      <c r="AE1086" s="47"/>
      <c r="AF1086" s="41">
        <f t="shared" si="480"/>
        <v>0</v>
      </c>
      <c r="AG1086" s="39"/>
      <c r="AH1086" s="41">
        <f t="shared" si="488"/>
        <v>0</v>
      </c>
      <c r="AI1086" s="47"/>
      <c r="AJ1086" s="41">
        <f t="shared" si="481"/>
        <v>0</v>
      </c>
      <c r="AK1086" s="39"/>
      <c r="AL1086" s="41">
        <f t="shared" si="489"/>
        <v>0</v>
      </c>
      <c r="AM1086" s="47"/>
      <c r="AN1086" s="41">
        <f t="shared" si="482"/>
        <v>0</v>
      </c>
      <c r="AO1086" s="39"/>
      <c r="AP1086" s="41">
        <f t="shared" si="490"/>
        <v>0</v>
      </c>
      <c r="AQ1086" s="47"/>
      <c r="AR1086" s="41">
        <f t="shared" si="483"/>
        <v>0</v>
      </c>
      <c r="AS1086" s="39"/>
      <c r="AT1086" s="41">
        <f t="shared" si="491"/>
        <v>0</v>
      </c>
      <c r="AU1086" s="47"/>
      <c r="AV1086" s="41">
        <f t="shared" si="484"/>
        <v>0</v>
      </c>
      <c r="AW1086" s="39"/>
      <c r="AX1086" s="41">
        <f t="shared" si="492"/>
        <v>0</v>
      </c>
      <c r="AY1086" s="47"/>
      <c r="AZ1086" s="41">
        <f t="shared" si="485"/>
        <v>0</v>
      </c>
      <c r="BA1086" s="39"/>
      <c r="BB1086" s="41">
        <f t="shared" si="493"/>
        <v>0</v>
      </c>
      <c r="BC1086" s="47"/>
      <c r="BD1086" s="41">
        <f t="shared" si="486"/>
        <v>0</v>
      </c>
      <c r="BE1086" s="39"/>
      <c r="BF1086" s="47"/>
    </row>
    <row r="1087" spans="1:58" ht="15.75" customHeight="1" x14ac:dyDescent="0.25">
      <c r="A1087" s="44">
        <v>2017</v>
      </c>
      <c r="B1087" s="39">
        <v>171880</v>
      </c>
      <c r="C1087" s="38" t="s">
        <v>145</v>
      </c>
      <c r="D1087" s="38" t="s">
        <v>117</v>
      </c>
      <c r="E1087" s="39"/>
      <c r="F1087" s="42">
        <f t="shared" si="468"/>
        <v>0</v>
      </c>
      <c r="G1087" s="47"/>
      <c r="H1087" s="42">
        <f t="shared" si="469"/>
        <v>0</v>
      </c>
      <c r="I1087" s="39"/>
      <c r="J1087" s="41">
        <f t="shared" si="470"/>
        <v>0</v>
      </c>
      <c r="K1087" s="47"/>
      <c r="L1087" s="41">
        <f t="shared" si="471"/>
        <v>0</v>
      </c>
      <c r="M1087" s="39"/>
      <c r="N1087" s="41">
        <f t="shared" si="472"/>
        <v>0</v>
      </c>
      <c r="O1087" s="47"/>
      <c r="P1087" s="41">
        <f t="shared" si="473"/>
        <v>0</v>
      </c>
      <c r="Q1087" s="39"/>
      <c r="R1087" s="41">
        <f t="shared" si="474"/>
        <v>0</v>
      </c>
      <c r="S1087" s="47"/>
      <c r="T1087" s="41">
        <f t="shared" si="475"/>
        <v>0</v>
      </c>
      <c r="U1087" s="39"/>
      <c r="V1087" s="41">
        <f t="shared" si="476"/>
        <v>0</v>
      </c>
      <c r="W1087" s="47"/>
      <c r="X1087" s="41">
        <f t="shared" si="477"/>
        <v>0</v>
      </c>
      <c r="Y1087" s="39"/>
      <c r="Z1087" s="41">
        <f t="shared" si="478"/>
        <v>0</v>
      </c>
      <c r="AA1087" s="47"/>
      <c r="AB1087" s="41">
        <f t="shared" si="479"/>
        <v>0</v>
      </c>
      <c r="AC1087" s="39"/>
      <c r="AD1087" s="41">
        <f t="shared" si="487"/>
        <v>0</v>
      </c>
      <c r="AE1087" s="47"/>
      <c r="AF1087" s="41">
        <f t="shared" si="480"/>
        <v>0</v>
      </c>
      <c r="AG1087" s="39"/>
      <c r="AH1087" s="41">
        <f t="shared" si="488"/>
        <v>0</v>
      </c>
      <c r="AI1087" s="47"/>
      <c r="AJ1087" s="41">
        <f t="shared" si="481"/>
        <v>0</v>
      </c>
      <c r="AK1087" s="39"/>
      <c r="AL1087" s="41">
        <f t="shared" si="489"/>
        <v>0</v>
      </c>
      <c r="AM1087" s="47"/>
      <c r="AN1087" s="41">
        <f t="shared" si="482"/>
        <v>0</v>
      </c>
      <c r="AO1087" s="39"/>
      <c r="AP1087" s="41">
        <f t="shared" si="490"/>
        <v>0</v>
      </c>
      <c r="AQ1087" s="47"/>
      <c r="AR1087" s="41">
        <f t="shared" si="483"/>
        <v>0</v>
      </c>
      <c r="AS1087" s="39"/>
      <c r="AT1087" s="41">
        <f t="shared" si="491"/>
        <v>0</v>
      </c>
      <c r="AU1087" s="47"/>
      <c r="AV1087" s="41">
        <f t="shared" si="484"/>
        <v>0</v>
      </c>
      <c r="AW1087" s="39"/>
      <c r="AX1087" s="41">
        <f t="shared" si="492"/>
        <v>0</v>
      </c>
      <c r="AY1087" s="47"/>
      <c r="AZ1087" s="41">
        <f t="shared" si="485"/>
        <v>0</v>
      </c>
      <c r="BA1087" s="39"/>
      <c r="BB1087" s="41">
        <f t="shared" si="493"/>
        <v>0</v>
      </c>
      <c r="BC1087" s="47"/>
      <c r="BD1087" s="41">
        <f t="shared" si="486"/>
        <v>0</v>
      </c>
      <c r="BE1087" s="39"/>
      <c r="BF1087" s="47"/>
    </row>
    <row r="1088" spans="1:58" ht="15.75" customHeight="1" x14ac:dyDescent="0.25">
      <c r="A1088" s="44">
        <v>2017</v>
      </c>
      <c r="B1088" s="39">
        <v>171884</v>
      </c>
      <c r="C1088" s="38" t="s">
        <v>146</v>
      </c>
      <c r="D1088" s="38" t="s">
        <v>118</v>
      </c>
      <c r="E1088" s="39"/>
      <c r="F1088" s="42">
        <f t="shared" si="468"/>
        <v>0</v>
      </c>
      <c r="G1088" s="47"/>
      <c r="H1088" s="42">
        <f t="shared" si="469"/>
        <v>0</v>
      </c>
      <c r="I1088" s="39"/>
      <c r="J1088" s="41">
        <f t="shared" si="470"/>
        <v>0</v>
      </c>
      <c r="K1088" s="47"/>
      <c r="L1088" s="41">
        <f t="shared" si="471"/>
        <v>0</v>
      </c>
      <c r="M1088" s="39"/>
      <c r="N1088" s="41">
        <f t="shared" si="472"/>
        <v>0</v>
      </c>
      <c r="O1088" s="47"/>
      <c r="P1088" s="41">
        <f t="shared" si="473"/>
        <v>0</v>
      </c>
      <c r="Q1088" s="39"/>
      <c r="R1088" s="41">
        <f t="shared" si="474"/>
        <v>0</v>
      </c>
      <c r="S1088" s="47"/>
      <c r="T1088" s="41">
        <f t="shared" si="475"/>
        <v>0</v>
      </c>
      <c r="U1088" s="39"/>
      <c r="V1088" s="41">
        <f t="shared" si="476"/>
        <v>0</v>
      </c>
      <c r="W1088" s="47"/>
      <c r="X1088" s="41">
        <f t="shared" si="477"/>
        <v>0</v>
      </c>
      <c r="Y1088" s="39"/>
      <c r="Z1088" s="41">
        <f t="shared" si="478"/>
        <v>0</v>
      </c>
      <c r="AA1088" s="47"/>
      <c r="AB1088" s="41">
        <f t="shared" si="479"/>
        <v>0</v>
      </c>
      <c r="AC1088" s="39"/>
      <c r="AD1088" s="41">
        <f t="shared" si="487"/>
        <v>0</v>
      </c>
      <c r="AE1088" s="47"/>
      <c r="AF1088" s="41">
        <f t="shared" si="480"/>
        <v>0</v>
      </c>
      <c r="AG1088" s="39"/>
      <c r="AH1088" s="41">
        <f t="shared" si="488"/>
        <v>0</v>
      </c>
      <c r="AI1088" s="47"/>
      <c r="AJ1088" s="41">
        <f t="shared" si="481"/>
        <v>0</v>
      </c>
      <c r="AK1088" s="39"/>
      <c r="AL1088" s="41">
        <f t="shared" si="489"/>
        <v>0</v>
      </c>
      <c r="AM1088" s="47"/>
      <c r="AN1088" s="41">
        <f t="shared" si="482"/>
        <v>0</v>
      </c>
      <c r="AO1088" s="39"/>
      <c r="AP1088" s="41">
        <f t="shared" si="490"/>
        <v>0</v>
      </c>
      <c r="AQ1088" s="47"/>
      <c r="AR1088" s="41">
        <f t="shared" si="483"/>
        <v>0</v>
      </c>
      <c r="AS1088" s="39"/>
      <c r="AT1088" s="41">
        <f t="shared" si="491"/>
        <v>0</v>
      </c>
      <c r="AU1088" s="47"/>
      <c r="AV1088" s="41">
        <f t="shared" si="484"/>
        <v>0</v>
      </c>
      <c r="AW1088" s="39"/>
      <c r="AX1088" s="41">
        <f t="shared" si="492"/>
        <v>0</v>
      </c>
      <c r="AY1088" s="47"/>
      <c r="AZ1088" s="41">
        <f t="shared" si="485"/>
        <v>0</v>
      </c>
      <c r="BA1088" s="39"/>
      <c r="BB1088" s="41">
        <f t="shared" si="493"/>
        <v>0</v>
      </c>
      <c r="BC1088" s="47"/>
      <c r="BD1088" s="41">
        <f t="shared" si="486"/>
        <v>0</v>
      </c>
      <c r="BE1088" s="39"/>
      <c r="BF1088" s="47"/>
    </row>
    <row r="1089" spans="1:58" ht="15.75" customHeight="1" x14ac:dyDescent="0.25">
      <c r="A1089" s="44">
        <v>2017</v>
      </c>
      <c r="B1089" s="39">
        <v>171886</v>
      </c>
      <c r="C1089" s="38" t="s">
        <v>149</v>
      </c>
      <c r="D1089" s="38" t="s">
        <v>119</v>
      </c>
      <c r="E1089" s="39"/>
      <c r="F1089" s="42">
        <f t="shared" si="468"/>
        <v>0</v>
      </c>
      <c r="G1089" s="47"/>
      <c r="H1089" s="42">
        <f t="shared" si="469"/>
        <v>0</v>
      </c>
      <c r="I1089" s="39"/>
      <c r="J1089" s="41">
        <f t="shared" si="470"/>
        <v>0</v>
      </c>
      <c r="K1089" s="47"/>
      <c r="L1089" s="41">
        <f t="shared" si="471"/>
        <v>0</v>
      </c>
      <c r="M1089" s="39"/>
      <c r="N1089" s="41">
        <f t="shared" si="472"/>
        <v>0</v>
      </c>
      <c r="O1089" s="47"/>
      <c r="P1089" s="41">
        <f t="shared" si="473"/>
        <v>0</v>
      </c>
      <c r="Q1089" s="39"/>
      <c r="R1089" s="41">
        <f t="shared" si="474"/>
        <v>0</v>
      </c>
      <c r="S1089" s="47"/>
      <c r="T1089" s="41">
        <f t="shared" si="475"/>
        <v>0</v>
      </c>
      <c r="U1089" s="39"/>
      <c r="V1089" s="41">
        <f t="shared" si="476"/>
        <v>0</v>
      </c>
      <c r="W1089" s="47"/>
      <c r="X1089" s="41">
        <f t="shared" si="477"/>
        <v>0</v>
      </c>
      <c r="Y1089" s="39"/>
      <c r="Z1089" s="41">
        <f t="shared" si="478"/>
        <v>0</v>
      </c>
      <c r="AA1089" s="47"/>
      <c r="AB1089" s="41">
        <f t="shared" si="479"/>
        <v>0</v>
      </c>
      <c r="AC1089" s="39"/>
      <c r="AD1089" s="41">
        <f t="shared" si="487"/>
        <v>0</v>
      </c>
      <c r="AE1089" s="47"/>
      <c r="AF1089" s="41">
        <f t="shared" si="480"/>
        <v>0</v>
      </c>
      <c r="AG1089" s="39"/>
      <c r="AH1089" s="41">
        <f t="shared" si="488"/>
        <v>0</v>
      </c>
      <c r="AI1089" s="47"/>
      <c r="AJ1089" s="41">
        <f t="shared" si="481"/>
        <v>0</v>
      </c>
      <c r="AK1089" s="39"/>
      <c r="AL1089" s="41">
        <f t="shared" si="489"/>
        <v>0</v>
      </c>
      <c r="AM1089" s="47"/>
      <c r="AN1089" s="41">
        <f t="shared" si="482"/>
        <v>0</v>
      </c>
      <c r="AO1089" s="39"/>
      <c r="AP1089" s="41">
        <f t="shared" si="490"/>
        <v>0</v>
      </c>
      <c r="AQ1089" s="47"/>
      <c r="AR1089" s="41">
        <f t="shared" si="483"/>
        <v>0</v>
      </c>
      <c r="AS1089" s="39"/>
      <c r="AT1089" s="41">
        <f t="shared" si="491"/>
        <v>0</v>
      </c>
      <c r="AU1089" s="47"/>
      <c r="AV1089" s="41">
        <f t="shared" si="484"/>
        <v>0</v>
      </c>
      <c r="AW1089" s="39"/>
      <c r="AX1089" s="41">
        <f t="shared" si="492"/>
        <v>0</v>
      </c>
      <c r="AY1089" s="47"/>
      <c r="AZ1089" s="41">
        <f t="shared" si="485"/>
        <v>0</v>
      </c>
      <c r="BA1089" s="39"/>
      <c r="BB1089" s="41">
        <f t="shared" si="493"/>
        <v>0</v>
      </c>
      <c r="BC1089" s="47"/>
      <c r="BD1089" s="41">
        <f t="shared" si="486"/>
        <v>0</v>
      </c>
      <c r="BE1089" s="39"/>
      <c r="BF1089" s="47"/>
    </row>
    <row r="1090" spans="1:58" ht="15.75" customHeight="1" x14ac:dyDescent="0.25">
      <c r="A1090" s="44">
        <v>2017</v>
      </c>
      <c r="B1090" s="39">
        <v>171888</v>
      </c>
      <c r="C1090" s="38" t="s">
        <v>150</v>
      </c>
      <c r="D1090" s="38" t="s">
        <v>120</v>
      </c>
      <c r="E1090" s="39"/>
      <c r="F1090" s="42">
        <f t="shared" ref="F1090:F1153" si="494">IFERROR(E1090/$BE1090,0)</f>
        <v>0</v>
      </c>
      <c r="G1090" s="47"/>
      <c r="H1090" s="42">
        <f t="shared" ref="H1090:H1153" si="495">IFERROR(G1090/$BF1090,0)</f>
        <v>0</v>
      </c>
      <c r="I1090" s="39"/>
      <c r="J1090" s="41">
        <f t="shared" ref="J1090:J1153" si="496">IFERROR(I1090/$BE1090,0)</f>
        <v>0</v>
      </c>
      <c r="K1090" s="47"/>
      <c r="L1090" s="41">
        <f t="shared" ref="L1090:L1153" si="497">IFERROR(K1090/$BF1090,0)</f>
        <v>0</v>
      </c>
      <c r="M1090" s="39"/>
      <c r="N1090" s="41">
        <f t="shared" ref="N1090:N1153" si="498">IFERROR(M1090/$BE1090,0)</f>
        <v>0</v>
      </c>
      <c r="O1090" s="47"/>
      <c r="P1090" s="41">
        <f t="shared" ref="P1090:P1153" si="499">IFERROR(O1090/$BF1090,0)</f>
        <v>0</v>
      </c>
      <c r="Q1090" s="39"/>
      <c r="R1090" s="41">
        <f t="shared" ref="R1090:R1153" si="500">IFERROR(Q1090/$BE1090,0)</f>
        <v>0</v>
      </c>
      <c r="S1090" s="47"/>
      <c r="T1090" s="41">
        <f t="shared" ref="T1090:T1153" si="501">IFERROR(S1090/$BF1090,0)</f>
        <v>0</v>
      </c>
      <c r="U1090" s="39"/>
      <c r="V1090" s="41">
        <f t="shared" ref="V1090:V1153" si="502">IFERROR(U1090/$BE1090,0)</f>
        <v>0</v>
      </c>
      <c r="W1090" s="47"/>
      <c r="X1090" s="41">
        <f t="shared" ref="X1090:X1153" si="503">IFERROR(W1090/$BF1090,0)</f>
        <v>0</v>
      </c>
      <c r="Y1090" s="39"/>
      <c r="Z1090" s="41">
        <f t="shared" ref="Z1090:Z1153" si="504">IFERROR(Y1090/$BE1090,0)</f>
        <v>0</v>
      </c>
      <c r="AA1090" s="47"/>
      <c r="AB1090" s="41">
        <f t="shared" ref="AB1090:AB1153" si="505">IFERROR(AA1090/$BF1090,0)</f>
        <v>0</v>
      </c>
      <c r="AC1090" s="39"/>
      <c r="AD1090" s="41">
        <f t="shared" si="487"/>
        <v>0</v>
      </c>
      <c r="AE1090" s="47"/>
      <c r="AF1090" s="41">
        <f t="shared" ref="AF1090:AF1153" si="506">IFERROR(AE1090/$BF1090,0)</f>
        <v>0</v>
      </c>
      <c r="AG1090" s="39"/>
      <c r="AH1090" s="41">
        <f t="shared" si="488"/>
        <v>0</v>
      </c>
      <c r="AI1090" s="47"/>
      <c r="AJ1090" s="41">
        <f t="shared" ref="AJ1090:AJ1153" si="507">IFERROR(AI1090/$BF1090,0)</f>
        <v>0</v>
      </c>
      <c r="AK1090" s="39"/>
      <c r="AL1090" s="41">
        <f t="shared" si="489"/>
        <v>0</v>
      </c>
      <c r="AM1090" s="47"/>
      <c r="AN1090" s="41">
        <f t="shared" ref="AN1090:AN1153" si="508">IFERROR(AM1090/$BF1090,0)</f>
        <v>0</v>
      </c>
      <c r="AO1090" s="39"/>
      <c r="AP1090" s="41">
        <f t="shared" si="490"/>
        <v>0</v>
      </c>
      <c r="AQ1090" s="47"/>
      <c r="AR1090" s="41">
        <f t="shared" ref="AR1090:AR1153" si="509">IFERROR(AQ1090/$BF1090,0)</f>
        <v>0</v>
      </c>
      <c r="AS1090" s="39"/>
      <c r="AT1090" s="41">
        <f t="shared" si="491"/>
        <v>0</v>
      </c>
      <c r="AU1090" s="47"/>
      <c r="AV1090" s="41">
        <f t="shared" ref="AV1090:AV1153" si="510">IFERROR(AU1090/$BF1090,0)</f>
        <v>0</v>
      </c>
      <c r="AW1090" s="39"/>
      <c r="AX1090" s="41">
        <f t="shared" si="492"/>
        <v>0</v>
      </c>
      <c r="AY1090" s="47"/>
      <c r="AZ1090" s="41">
        <f t="shared" ref="AZ1090:AZ1153" si="511">IFERROR(AY1090/$BF1090,0)</f>
        <v>0</v>
      </c>
      <c r="BA1090" s="39"/>
      <c r="BB1090" s="41">
        <f t="shared" si="493"/>
        <v>0</v>
      </c>
      <c r="BC1090" s="47"/>
      <c r="BD1090" s="41">
        <f t="shared" ref="BD1090:BD1153" si="512">IFERROR(BC1090/$BF1090,0)</f>
        <v>0</v>
      </c>
      <c r="BE1090" s="39"/>
      <c r="BF1090" s="47"/>
    </row>
    <row r="1091" spans="1:58" ht="15.75" customHeight="1" x14ac:dyDescent="0.25">
      <c r="A1091" s="44">
        <v>2017</v>
      </c>
      <c r="B1091" s="39">
        <v>171889</v>
      </c>
      <c r="C1091" s="38" t="s">
        <v>146</v>
      </c>
      <c r="D1091" s="38" t="s">
        <v>121</v>
      </c>
      <c r="E1091" s="39"/>
      <c r="F1091" s="42">
        <f t="shared" si="494"/>
        <v>0</v>
      </c>
      <c r="G1091" s="47"/>
      <c r="H1091" s="42">
        <f t="shared" si="495"/>
        <v>0</v>
      </c>
      <c r="I1091" s="39"/>
      <c r="J1091" s="41">
        <f t="shared" si="496"/>
        <v>0</v>
      </c>
      <c r="K1091" s="47"/>
      <c r="L1091" s="41">
        <f t="shared" si="497"/>
        <v>0</v>
      </c>
      <c r="M1091" s="39"/>
      <c r="N1091" s="41">
        <f t="shared" si="498"/>
        <v>0</v>
      </c>
      <c r="O1091" s="47"/>
      <c r="P1091" s="41">
        <f t="shared" si="499"/>
        <v>0</v>
      </c>
      <c r="Q1091" s="39"/>
      <c r="R1091" s="41">
        <f t="shared" si="500"/>
        <v>0</v>
      </c>
      <c r="S1091" s="47"/>
      <c r="T1091" s="41">
        <f t="shared" si="501"/>
        <v>0</v>
      </c>
      <c r="U1091" s="39"/>
      <c r="V1091" s="41">
        <f t="shared" si="502"/>
        <v>0</v>
      </c>
      <c r="W1091" s="47"/>
      <c r="X1091" s="41">
        <f t="shared" si="503"/>
        <v>0</v>
      </c>
      <c r="Y1091" s="39"/>
      <c r="Z1091" s="41">
        <f t="shared" si="504"/>
        <v>0</v>
      </c>
      <c r="AA1091" s="47"/>
      <c r="AB1091" s="41">
        <f t="shared" si="505"/>
        <v>0</v>
      </c>
      <c r="AC1091" s="39"/>
      <c r="AD1091" s="41">
        <f t="shared" si="487"/>
        <v>0</v>
      </c>
      <c r="AE1091" s="47"/>
      <c r="AF1091" s="41">
        <f t="shared" si="506"/>
        <v>0</v>
      </c>
      <c r="AG1091" s="39"/>
      <c r="AH1091" s="41">
        <f t="shared" si="488"/>
        <v>0</v>
      </c>
      <c r="AI1091" s="47"/>
      <c r="AJ1091" s="41">
        <f t="shared" si="507"/>
        <v>0</v>
      </c>
      <c r="AK1091" s="39"/>
      <c r="AL1091" s="41">
        <f t="shared" si="489"/>
        <v>0</v>
      </c>
      <c r="AM1091" s="47"/>
      <c r="AN1091" s="41">
        <f t="shared" si="508"/>
        <v>0</v>
      </c>
      <c r="AO1091" s="39"/>
      <c r="AP1091" s="41">
        <f t="shared" si="490"/>
        <v>0</v>
      </c>
      <c r="AQ1091" s="47"/>
      <c r="AR1091" s="41">
        <f t="shared" si="509"/>
        <v>0</v>
      </c>
      <c r="AS1091" s="39"/>
      <c r="AT1091" s="41">
        <f t="shared" si="491"/>
        <v>0</v>
      </c>
      <c r="AU1091" s="47"/>
      <c r="AV1091" s="41">
        <f t="shared" si="510"/>
        <v>0</v>
      </c>
      <c r="AW1091" s="39"/>
      <c r="AX1091" s="41">
        <f t="shared" si="492"/>
        <v>0</v>
      </c>
      <c r="AY1091" s="47"/>
      <c r="AZ1091" s="41">
        <f t="shared" si="511"/>
        <v>0</v>
      </c>
      <c r="BA1091" s="39"/>
      <c r="BB1091" s="41">
        <f t="shared" si="493"/>
        <v>0</v>
      </c>
      <c r="BC1091" s="47"/>
      <c r="BD1091" s="41">
        <f t="shared" si="512"/>
        <v>0</v>
      </c>
      <c r="BE1091" s="39"/>
      <c r="BF1091" s="47"/>
    </row>
    <row r="1092" spans="1:58" ht="15.75" customHeight="1" x14ac:dyDescent="0.25">
      <c r="A1092" s="44">
        <v>2017</v>
      </c>
      <c r="B1092" s="39">
        <v>171890</v>
      </c>
      <c r="C1092" s="38" t="s">
        <v>151</v>
      </c>
      <c r="D1092" s="38" t="s">
        <v>122</v>
      </c>
      <c r="E1092" s="39"/>
      <c r="F1092" s="42">
        <f t="shared" si="494"/>
        <v>0</v>
      </c>
      <c r="G1092" s="47"/>
      <c r="H1092" s="42">
        <f t="shared" si="495"/>
        <v>0</v>
      </c>
      <c r="I1092" s="39"/>
      <c r="J1092" s="41">
        <f t="shared" si="496"/>
        <v>0</v>
      </c>
      <c r="K1092" s="47"/>
      <c r="L1092" s="41">
        <f t="shared" si="497"/>
        <v>0</v>
      </c>
      <c r="M1092" s="39"/>
      <c r="N1092" s="41">
        <f t="shared" si="498"/>
        <v>0</v>
      </c>
      <c r="O1092" s="47"/>
      <c r="P1092" s="41">
        <f t="shared" si="499"/>
        <v>0</v>
      </c>
      <c r="Q1092" s="39"/>
      <c r="R1092" s="41">
        <f t="shared" si="500"/>
        <v>0</v>
      </c>
      <c r="S1092" s="47"/>
      <c r="T1092" s="41">
        <f t="shared" si="501"/>
        <v>0</v>
      </c>
      <c r="U1092" s="39"/>
      <c r="V1092" s="41">
        <f t="shared" si="502"/>
        <v>0</v>
      </c>
      <c r="W1092" s="47"/>
      <c r="X1092" s="41">
        <f t="shared" si="503"/>
        <v>0</v>
      </c>
      <c r="Y1092" s="39"/>
      <c r="Z1092" s="41">
        <f t="shared" si="504"/>
        <v>0</v>
      </c>
      <c r="AA1092" s="47"/>
      <c r="AB1092" s="41">
        <f t="shared" si="505"/>
        <v>0</v>
      </c>
      <c r="AC1092" s="39"/>
      <c r="AD1092" s="41">
        <f t="shared" si="487"/>
        <v>0</v>
      </c>
      <c r="AE1092" s="47"/>
      <c r="AF1092" s="41">
        <f t="shared" si="506"/>
        <v>0</v>
      </c>
      <c r="AG1092" s="39"/>
      <c r="AH1092" s="41">
        <f t="shared" si="488"/>
        <v>0</v>
      </c>
      <c r="AI1092" s="47"/>
      <c r="AJ1092" s="41">
        <f t="shared" si="507"/>
        <v>0</v>
      </c>
      <c r="AK1092" s="39"/>
      <c r="AL1092" s="41">
        <f t="shared" si="489"/>
        <v>0</v>
      </c>
      <c r="AM1092" s="47"/>
      <c r="AN1092" s="41">
        <f t="shared" si="508"/>
        <v>0</v>
      </c>
      <c r="AO1092" s="39"/>
      <c r="AP1092" s="41">
        <f t="shared" si="490"/>
        <v>0</v>
      </c>
      <c r="AQ1092" s="47"/>
      <c r="AR1092" s="41">
        <f t="shared" si="509"/>
        <v>0</v>
      </c>
      <c r="AS1092" s="39"/>
      <c r="AT1092" s="41">
        <f t="shared" si="491"/>
        <v>0</v>
      </c>
      <c r="AU1092" s="47"/>
      <c r="AV1092" s="41">
        <f t="shared" si="510"/>
        <v>0</v>
      </c>
      <c r="AW1092" s="39"/>
      <c r="AX1092" s="41">
        <f t="shared" si="492"/>
        <v>0</v>
      </c>
      <c r="AY1092" s="47"/>
      <c r="AZ1092" s="41">
        <f t="shared" si="511"/>
        <v>0</v>
      </c>
      <c r="BA1092" s="39"/>
      <c r="BB1092" s="41">
        <f t="shared" si="493"/>
        <v>0</v>
      </c>
      <c r="BC1092" s="47"/>
      <c r="BD1092" s="41">
        <f t="shared" si="512"/>
        <v>0</v>
      </c>
      <c r="BE1092" s="39"/>
      <c r="BF1092" s="47"/>
    </row>
    <row r="1093" spans="1:58" ht="15.75" customHeight="1" x14ac:dyDescent="0.25">
      <c r="A1093" s="44">
        <v>2017</v>
      </c>
      <c r="B1093" s="39">
        <v>171900</v>
      </c>
      <c r="C1093" s="38" t="s">
        <v>148</v>
      </c>
      <c r="D1093" s="38" t="s">
        <v>123</v>
      </c>
      <c r="E1093" s="39"/>
      <c r="F1093" s="42">
        <f t="shared" si="494"/>
        <v>0</v>
      </c>
      <c r="G1093" s="47"/>
      <c r="H1093" s="42">
        <f t="shared" si="495"/>
        <v>0</v>
      </c>
      <c r="I1093" s="39"/>
      <c r="J1093" s="41">
        <f t="shared" si="496"/>
        <v>0</v>
      </c>
      <c r="K1093" s="47"/>
      <c r="L1093" s="41">
        <f t="shared" si="497"/>
        <v>0</v>
      </c>
      <c r="M1093" s="39"/>
      <c r="N1093" s="41">
        <f t="shared" si="498"/>
        <v>0</v>
      </c>
      <c r="O1093" s="47"/>
      <c r="P1093" s="41">
        <f t="shared" si="499"/>
        <v>0</v>
      </c>
      <c r="Q1093" s="39"/>
      <c r="R1093" s="41">
        <f t="shared" si="500"/>
        <v>0</v>
      </c>
      <c r="S1093" s="47"/>
      <c r="T1093" s="41">
        <f t="shared" si="501"/>
        <v>0</v>
      </c>
      <c r="U1093" s="39"/>
      <c r="V1093" s="41">
        <f t="shared" si="502"/>
        <v>0</v>
      </c>
      <c r="W1093" s="47"/>
      <c r="X1093" s="41">
        <f t="shared" si="503"/>
        <v>0</v>
      </c>
      <c r="Y1093" s="39"/>
      <c r="Z1093" s="41">
        <f t="shared" si="504"/>
        <v>0</v>
      </c>
      <c r="AA1093" s="47"/>
      <c r="AB1093" s="41">
        <f t="shared" si="505"/>
        <v>0</v>
      </c>
      <c r="AC1093" s="39"/>
      <c r="AD1093" s="41">
        <f t="shared" si="487"/>
        <v>0</v>
      </c>
      <c r="AE1093" s="47"/>
      <c r="AF1093" s="41">
        <f t="shared" si="506"/>
        <v>0</v>
      </c>
      <c r="AG1093" s="39"/>
      <c r="AH1093" s="41">
        <f t="shared" si="488"/>
        <v>0</v>
      </c>
      <c r="AI1093" s="47"/>
      <c r="AJ1093" s="41">
        <f t="shared" si="507"/>
        <v>0</v>
      </c>
      <c r="AK1093" s="39"/>
      <c r="AL1093" s="41">
        <f t="shared" si="489"/>
        <v>0</v>
      </c>
      <c r="AM1093" s="47"/>
      <c r="AN1093" s="41">
        <f t="shared" si="508"/>
        <v>0</v>
      </c>
      <c r="AO1093" s="39"/>
      <c r="AP1093" s="41">
        <f t="shared" si="490"/>
        <v>0</v>
      </c>
      <c r="AQ1093" s="47"/>
      <c r="AR1093" s="41">
        <f t="shared" si="509"/>
        <v>0</v>
      </c>
      <c r="AS1093" s="39"/>
      <c r="AT1093" s="41">
        <f t="shared" si="491"/>
        <v>0</v>
      </c>
      <c r="AU1093" s="47"/>
      <c r="AV1093" s="41">
        <f t="shared" si="510"/>
        <v>0</v>
      </c>
      <c r="AW1093" s="39"/>
      <c r="AX1093" s="41">
        <f t="shared" si="492"/>
        <v>0</v>
      </c>
      <c r="AY1093" s="47"/>
      <c r="AZ1093" s="41">
        <f t="shared" si="511"/>
        <v>0</v>
      </c>
      <c r="BA1093" s="39"/>
      <c r="BB1093" s="41">
        <f t="shared" si="493"/>
        <v>0</v>
      </c>
      <c r="BC1093" s="47"/>
      <c r="BD1093" s="41">
        <f t="shared" si="512"/>
        <v>0</v>
      </c>
      <c r="BE1093" s="39"/>
      <c r="BF1093" s="47"/>
    </row>
    <row r="1094" spans="1:58" ht="15.75" customHeight="1" x14ac:dyDescent="0.25">
      <c r="A1094" s="44">
        <v>2017</v>
      </c>
      <c r="B1094" s="39">
        <v>172000</v>
      </c>
      <c r="C1094" s="38" t="s">
        <v>145</v>
      </c>
      <c r="D1094" s="38" t="s">
        <v>124</v>
      </c>
      <c r="E1094" s="39"/>
      <c r="F1094" s="42">
        <f t="shared" si="494"/>
        <v>0</v>
      </c>
      <c r="G1094" s="47"/>
      <c r="H1094" s="42">
        <f t="shared" si="495"/>
        <v>0</v>
      </c>
      <c r="I1094" s="39"/>
      <c r="J1094" s="41">
        <f t="shared" si="496"/>
        <v>0</v>
      </c>
      <c r="K1094" s="47"/>
      <c r="L1094" s="41">
        <f t="shared" si="497"/>
        <v>0</v>
      </c>
      <c r="M1094" s="39"/>
      <c r="N1094" s="41">
        <f t="shared" si="498"/>
        <v>0</v>
      </c>
      <c r="O1094" s="47"/>
      <c r="P1094" s="41">
        <f t="shared" si="499"/>
        <v>0</v>
      </c>
      <c r="Q1094" s="39"/>
      <c r="R1094" s="41">
        <f t="shared" si="500"/>
        <v>0</v>
      </c>
      <c r="S1094" s="47"/>
      <c r="T1094" s="41">
        <f t="shared" si="501"/>
        <v>0</v>
      </c>
      <c r="U1094" s="39"/>
      <c r="V1094" s="41">
        <f t="shared" si="502"/>
        <v>0</v>
      </c>
      <c r="W1094" s="47"/>
      <c r="X1094" s="41">
        <f t="shared" si="503"/>
        <v>0</v>
      </c>
      <c r="Y1094" s="39"/>
      <c r="Z1094" s="41">
        <f t="shared" si="504"/>
        <v>0</v>
      </c>
      <c r="AA1094" s="47"/>
      <c r="AB1094" s="41">
        <f t="shared" si="505"/>
        <v>0</v>
      </c>
      <c r="AC1094" s="39"/>
      <c r="AD1094" s="41">
        <f t="shared" si="487"/>
        <v>0</v>
      </c>
      <c r="AE1094" s="47"/>
      <c r="AF1094" s="41">
        <f t="shared" si="506"/>
        <v>0</v>
      </c>
      <c r="AG1094" s="39"/>
      <c r="AH1094" s="41">
        <f t="shared" si="488"/>
        <v>0</v>
      </c>
      <c r="AI1094" s="47"/>
      <c r="AJ1094" s="41">
        <f t="shared" si="507"/>
        <v>0</v>
      </c>
      <c r="AK1094" s="39"/>
      <c r="AL1094" s="41">
        <f t="shared" si="489"/>
        <v>0</v>
      </c>
      <c r="AM1094" s="47"/>
      <c r="AN1094" s="41">
        <f t="shared" si="508"/>
        <v>0</v>
      </c>
      <c r="AO1094" s="39"/>
      <c r="AP1094" s="41">
        <f t="shared" si="490"/>
        <v>0</v>
      </c>
      <c r="AQ1094" s="47"/>
      <c r="AR1094" s="41">
        <f t="shared" si="509"/>
        <v>0</v>
      </c>
      <c r="AS1094" s="39"/>
      <c r="AT1094" s="41">
        <f t="shared" si="491"/>
        <v>0</v>
      </c>
      <c r="AU1094" s="47"/>
      <c r="AV1094" s="41">
        <f t="shared" si="510"/>
        <v>0</v>
      </c>
      <c r="AW1094" s="39"/>
      <c r="AX1094" s="41">
        <f t="shared" si="492"/>
        <v>0</v>
      </c>
      <c r="AY1094" s="47"/>
      <c r="AZ1094" s="41">
        <f t="shared" si="511"/>
        <v>0</v>
      </c>
      <c r="BA1094" s="39"/>
      <c r="BB1094" s="41">
        <f t="shared" si="493"/>
        <v>0</v>
      </c>
      <c r="BC1094" s="47"/>
      <c r="BD1094" s="41">
        <f t="shared" si="512"/>
        <v>0</v>
      </c>
      <c r="BE1094" s="39"/>
      <c r="BF1094" s="47"/>
    </row>
    <row r="1095" spans="1:58" ht="15.75" customHeight="1" x14ac:dyDescent="0.25">
      <c r="A1095" s="44">
        <v>2017</v>
      </c>
      <c r="B1095" s="39">
        <v>172010</v>
      </c>
      <c r="C1095" s="38" t="s">
        <v>145</v>
      </c>
      <c r="D1095" s="38" t="s">
        <v>125</v>
      </c>
      <c r="E1095" s="39"/>
      <c r="F1095" s="42">
        <f t="shared" si="494"/>
        <v>0</v>
      </c>
      <c r="G1095" s="47"/>
      <c r="H1095" s="42">
        <f t="shared" si="495"/>
        <v>0</v>
      </c>
      <c r="I1095" s="39"/>
      <c r="J1095" s="41">
        <f t="shared" si="496"/>
        <v>0</v>
      </c>
      <c r="K1095" s="47"/>
      <c r="L1095" s="41">
        <f t="shared" si="497"/>
        <v>0</v>
      </c>
      <c r="M1095" s="39"/>
      <c r="N1095" s="41">
        <f t="shared" si="498"/>
        <v>0</v>
      </c>
      <c r="O1095" s="47"/>
      <c r="P1095" s="41">
        <f t="shared" si="499"/>
        <v>0</v>
      </c>
      <c r="Q1095" s="39"/>
      <c r="R1095" s="41">
        <f t="shared" si="500"/>
        <v>0</v>
      </c>
      <c r="S1095" s="47"/>
      <c r="T1095" s="41">
        <f t="shared" si="501"/>
        <v>0</v>
      </c>
      <c r="U1095" s="39"/>
      <c r="V1095" s="41">
        <f t="shared" si="502"/>
        <v>0</v>
      </c>
      <c r="W1095" s="47"/>
      <c r="X1095" s="41">
        <f t="shared" si="503"/>
        <v>0</v>
      </c>
      <c r="Y1095" s="39"/>
      <c r="Z1095" s="41">
        <f t="shared" si="504"/>
        <v>0</v>
      </c>
      <c r="AA1095" s="47"/>
      <c r="AB1095" s="41">
        <f t="shared" si="505"/>
        <v>0</v>
      </c>
      <c r="AC1095" s="39"/>
      <c r="AD1095" s="41">
        <f t="shared" si="487"/>
        <v>0</v>
      </c>
      <c r="AE1095" s="47"/>
      <c r="AF1095" s="41">
        <f t="shared" si="506"/>
        <v>0</v>
      </c>
      <c r="AG1095" s="39"/>
      <c r="AH1095" s="41">
        <f t="shared" si="488"/>
        <v>0</v>
      </c>
      <c r="AI1095" s="47"/>
      <c r="AJ1095" s="41">
        <f t="shared" si="507"/>
        <v>0</v>
      </c>
      <c r="AK1095" s="39"/>
      <c r="AL1095" s="41">
        <f t="shared" si="489"/>
        <v>0</v>
      </c>
      <c r="AM1095" s="47"/>
      <c r="AN1095" s="41">
        <f t="shared" si="508"/>
        <v>0</v>
      </c>
      <c r="AO1095" s="39"/>
      <c r="AP1095" s="41">
        <f t="shared" si="490"/>
        <v>0</v>
      </c>
      <c r="AQ1095" s="47"/>
      <c r="AR1095" s="41">
        <f t="shared" si="509"/>
        <v>0</v>
      </c>
      <c r="AS1095" s="39"/>
      <c r="AT1095" s="41">
        <f t="shared" si="491"/>
        <v>0</v>
      </c>
      <c r="AU1095" s="47"/>
      <c r="AV1095" s="41">
        <f t="shared" si="510"/>
        <v>0</v>
      </c>
      <c r="AW1095" s="39"/>
      <c r="AX1095" s="41">
        <f t="shared" si="492"/>
        <v>0</v>
      </c>
      <c r="AY1095" s="47"/>
      <c r="AZ1095" s="41">
        <f t="shared" si="511"/>
        <v>0</v>
      </c>
      <c r="BA1095" s="39"/>
      <c r="BB1095" s="41">
        <f t="shared" si="493"/>
        <v>0</v>
      </c>
      <c r="BC1095" s="47"/>
      <c r="BD1095" s="41">
        <f t="shared" si="512"/>
        <v>0</v>
      </c>
      <c r="BE1095" s="39"/>
      <c r="BF1095" s="47"/>
    </row>
    <row r="1096" spans="1:58" ht="15.75" customHeight="1" x14ac:dyDescent="0.25">
      <c r="A1096" s="44">
        <v>2017</v>
      </c>
      <c r="B1096" s="39">
        <v>172015</v>
      </c>
      <c r="C1096" s="38" t="s">
        <v>148</v>
      </c>
      <c r="D1096" s="38" t="s">
        <v>126</v>
      </c>
      <c r="E1096" s="39"/>
      <c r="F1096" s="42">
        <f t="shared" si="494"/>
        <v>0</v>
      </c>
      <c r="G1096" s="47"/>
      <c r="H1096" s="42">
        <f t="shared" si="495"/>
        <v>0</v>
      </c>
      <c r="I1096" s="39"/>
      <c r="J1096" s="41">
        <f t="shared" si="496"/>
        <v>0</v>
      </c>
      <c r="K1096" s="47"/>
      <c r="L1096" s="41">
        <f t="shared" si="497"/>
        <v>0</v>
      </c>
      <c r="M1096" s="39"/>
      <c r="N1096" s="41">
        <f t="shared" si="498"/>
        <v>0</v>
      </c>
      <c r="O1096" s="47"/>
      <c r="P1096" s="41">
        <f t="shared" si="499"/>
        <v>0</v>
      </c>
      <c r="Q1096" s="39"/>
      <c r="R1096" s="41">
        <f t="shared" si="500"/>
        <v>0</v>
      </c>
      <c r="S1096" s="47"/>
      <c r="T1096" s="41">
        <f t="shared" si="501"/>
        <v>0</v>
      </c>
      <c r="U1096" s="39"/>
      <c r="V1096" s="41">
        <f t="shared" si="502"/>
        <v>0</v>
      </c>
      <c r="W1096" s="47"/>
      <c r="X1096" s="41">
        <f t="shared" si="503"/>
        <v>0</v>
      </c>
      <c r="Y1096" s="39"/>
      <c r="Z1096" s="41">
        <f t="shared" si="504"/>
        <v>0</v>
      </c>
      <c r="AA1096" s="47"/>
      <c r="AB1096" s="41">
        <f t="shared" si="505"/>
        <v>0</v>
      </c>
      <c r="AC1096" s="39"/>
      <c r="AD1096" s="41">
        <f t="shared" si="487"/>
        <v>0</v>
      </c>
      <c r="AE1096" s="47"/>
      <c r="AF1096" s="41">
        <f t="shared" si="506"/>
        <v>0</v>
      </c>
      <c r="AG1096" s="39"/>
      <c r="AH1096" s="41">
        <f t="shared" si="488"/>
        <v>0</v>
      </c>
      <c r="AI1096" s="47"/>
      <c r="AJ1096" s="41">
        <f t="shared" si="507"/>
        <v>0</v>
      </c>
      <c r="AK1096" s="39"/>
      <c r="AL1096" s="41">
        <f t="shared" si="489"/>
        <v>0</v>
      </c>
      <c r="AM1096" s="47"/>
      <c r="AN1096" s="41">
        <f t="shared" si="508"/>
        <v>0</v>
      </c>
      <c r="AO1096" s="39"/>
      <c r="AP1096" s="41">
        <f t="shared" si="490"/>
        <v>0</v>
      </c>
      <c r="AQ1096" s="47"/>
      <c r="AR1096" s="41">
        <f t="shared" si="509"/>
        <v>0</v>
      </c>
      <c r="AS1096" s="39"/>
      <c r="AT1096" s="41">
        <f t="shared" si="491"/>
        <v>0</v>
      </c>
      <c r="AU1096" s="47"/>
      <c r="AV1096" s="41">
        <f t="shared" si="510"/>
        <v>0</v>
      </c>
      <c r="AW1096" s="39"/>
      <c r="AX1096" s="41">
        <f t="shared" si="492"/>
        <v>0</v>
      </c>
      <c r="AY1096" s="47"/>
      <c r="AZ1096" s="41">
        <f t="shared" si="511"/>
        <v>0</v>
      </c>
      <c r="BA1096" s="39"/>
      <c r="BB1096" s="41">
        <f t="shared" si="493"/>
        <v>0</v>
      </c>
      <c r="BC1096" s="47"/>
      <c r="BD1096" s="41">
        <f t="shared" si="512"/>
        <v>0</v>
      </c>
      <c r="BE1096" s="39"/>
      <c r="BF1096" s="47"/>
    </row>
    <row r="1097" spans="1:58" ht="15.75" customHeight="1" x14ac:dyDescent="0.25">
      <c r="A1097" s="44">
        <v>2017</v>
      </c>
      <c r="B1097" s="39">
        <v>172020</v>
      </c>
      <c r="C1097" s="38" t="s">
        <v>145</v>
      </c>
      <c r="D1097" s="38" t="s">
        <v>127</v>
      </c>
      <c r="E1097" s="39"/>
      <c r="F1097" s="42">
        <f t="shared" si="494"/>
        <v>0</v>
      </c>
      <c r="G1097" s="47"/>
      <c r="H1097" s="42">
        <f t="shared" si="495"/>
        <v>0</v>
      </c>
      <c r="I1097" s="39"/>
      <c r="J1097" s="41">
        <f t="shared" si="496"/>
        <v>0</v>
      </c>
      <c r="K1097" s="47"/>
      <c r="L1097" s="41">
        <f t="shared" si="497"/>
        <v>0</v>
      </c>
      <c r="M1097" s="39"/>
      <c r="N1097" s="41">
        <f t="shared" si="498"/>
        <v>0</v>
      </c>
      <c r="O1097" s="47"/>
      <c r="P1097" s="41">
        <f t="shared" si="499"/>
        <v>0</v>
      </c>
      <c r="Q1097" s="39"/>
      <c r="R1097" s="41">
        <f t="shared" si="500"/>
        <v>0</v>
      </c>
      <c r="S1097" s="47"/>
      <c r="T1097" s="41">
        <f t="shared" si="501"/>
        <v>0</v>
      </c>
      <c r="U1097" s="39"/>
      <c r="V1097" s="41">
        <f t="shared" si="502"/>
        <v>0</v>
      </c>
      <c r="W1097" s="47"/>
      <c r="X1097" s="41">
        <f t="shared" si="503"/>
        <v>0</v>
      </c>
      <c r="Y1097" s="39"/>
      <c r="Z1097" s="41">
        <f t="shared" si="504"/>
        <v>0</v>
      </c>
      <c r="AA1097" s="47"/>
      <c r="AB1097" s="41">
        <f t="shared" si="505"/>
        <v>0</v>
      </c>
      <c r="AC1097" s="39"/>
      <c r="AD1097" s="41">
        <f t="shared" si="487"/>
        <v>0</v>
      </c>
      <c r="AE1097" s="47"/>
      <c r="AF1097" s="41">
        <f t="shared" si="506"/>
        <v>0</v>
      </c>
      <c r="AG1097" s="39"/>
      <c r="AH1097" s="41">
        <f t="shared" si="488"/>
        <v>0</v>
      </c>
      <c r="AI1097" s="47"/>
      <c r="AJ1097" s="41">
        <f t="shared" si="507"/>
        <v>0</v>
      </c>
      <c r="AK1097" s="39"/>
      <c r="AL1097" s="41">
        <f t="shared" si="489"/>
        <v>0</v>
      </c>
      <c r="AM1097" s="47"/>
      <c r="AN1097" s="41">
        <f t="shared" si="508"/>
        <v>0</v>
      </c>
      <c r="AO1097" s="39"/>
      <c r="AP1097" s="41">
        <f t="shared" si="490"/>
        <v>0</v>
      </c>
      <c r="AQ1097" s="47"/>
      <c r="AR1097" s="41">
        <f t="shared" si="509"/>
        <v>0</v>
      </c>
      <c r="AS1097" s="39"/>
      <c r="AT1097" s="41">
        <f t="shared" si="491"/>
        <v>0</v>
      </c>
      <c r="AU1097" s="47"/>
      <c r="AV1097" s="41">
        <f t="shared" si="510"/>
        <v>0</v>
      </c>
      <c r="AW1097" s="39"/>
      <c r="AX1097" s="41">
        <f t="shared" si="492"/>
        <v>0</v>
      </c>
      <c r="AY1097" s="47"/>
      <c r="AZ1097" s="41">
        <f t="shared" si="511"/>
        <v>0</v>
      </c>
      <c r="BA1097" s="39"/>
      <c r="BB1097" s="41">
        <f t="shared" si="493"/>
        <v>0</v>
      </c>
      <c r="BC1097" s="47"/>
      <c r="BD1097" s="41">
        <f t="shared" si="512"/>
        <v>0</v>
      </c>
      <c r="BE1097" s="39"/>
      <c r="BF1097" s="47"/>
    </row>
    <row r="1098" spans="1:58" ht="15.75" customHeight="1" x14ac:dyDescent="0.25">
      <c r="A1098" s="44">
        <v>2017</v>
      </c>
      <c r="B1098" s="39">
        <v>172025</v>
      </c>
      <c r="C1098" s="38" t="s">
        <v>146</v>
      </c>
      <c r="D1098" s="38" t="s">
        <v>128</v>
      </c>
      <c r="E1098" s="39"/>
      <c r="F1098" s="42">
        <f t="shared" si="494"/>
        <v>0</v>
      </c>
      <c r="G1098" s="47"/>
      <c r="H1098" s="42">
        <f t="shared" si="495"/>
        <v>0</v>
      </c>
      <c r="I1098" s="39"/>
      <c r="J1098" s="41">
        <f t="shared" si="496"/>
        <v>0</v>
      </c>
      <c r="K1098" s="47"/>
      <c r="L1098" s="41">
        <f t="shared" si="497"/>
        <v>0</v>
      </c>
      <c r="M1098" s="39"/>
      <c r="N1098" s="41">
        <f t="shared" si="498"/>
        <v>0</v>
      </c>
      <c r="O1098" s="47"/>
      <c r="P1098" s="41">
        <f t="shared" si="499"/>
        <v>0</v>
      </c>
      <c r="Q1098" s="39"/>
      <c r="R1098" s="41">
        <f t="shared" si="500"/>
        <v>0</v>
      </c>
      <c r="S1098" s="47"/>
      <c r="T1098" s="41">
        <f t="shared" si="501"/>
        <v>0</v>
      </c>
      <c r="U1098" s="39"/>
      <c r="V1098" s="41">
        <f t="shared" si="502"/>
        <v>0</v>
      </c>
      <c r="W1098" s="47"/>
      <c r="X1098" s="41">
        <f t="shared" si="503"/>
        <v>0</v>
      </c>
      <c r="Y1098" s="39"/>
      <c r="Z1098" s="41">
        <f t="shared" si="504"/>
        <v>0</v>
      </c>
      <c r="AA1098" s="47"/>
      <c r="AB1098" s="41">
        <f t="shared" si="505"/>
        <v>0</v>
      </c>
      <c r="AC1098" s="39"/>
      <c r="AD1098" s="41">
        <f t="shared" si="487"/>
        <v>0</v>
      </c>
      <c r="AE1098" s="47"/>
      <c r="AF1098" s="41">
        <f t="shared" si="506"/>
        <v>0</v>
      </c>
      <c r="AG1098" s="39"/>
      <c r="AH1098" s="41">
        <f t="shared" si="488"/>
        <v>0</v>
      </c>
      <c r="AI1098" s="47"/>
      <c r="AJ1098" s="41">
        <f t="shared" si="507"/>
        <v>0</v>
      </c>
      <c r="AK1098" s="39"/>
      <c r="AL1098" s="41">
        <f t="shared" si="489"/>
        <v>0</v>
      </c>
      <c r="AM1098" s="47"/>
      <c r="AN1098" s="41">
        <f t="shared" si="508"/>
        <v>0</v>
      </c>
      <c r="AO1098" s="39"/>
      <c r="AP1098" s="41">
        <f t="shared" si="490"/>
        <v>0</v>
      </c>
      <c r="AQ1098" s="47"/>
      <c r="AR1098" s="41">
        <f t="shared" si="509"/>
        <v>0</v>
      </c>
      <c r="AS1098" s="39"/>
      <c r="AT1098" s="41">
        <f t="shared" si="491"/>
        <v>0</v>
      </c>
      <c r="AU1098" s="47"/>
      <c r="AV1098" s="41">
        <f t="shared" si="510"/>
        <v>0</v>
      </c>
      <c r="AW1098" s="39"/>
      <c r="AX1098" s="41">
        <f t="shared" si="492"/>
        <v>0</v>
      </c>
      <c r="AY1098" s="47"/>
      <c r="AZ1098" s="41">
        <f t="shared" si="511"/>
        <v>0</v>
      </c>
      <c r="BA1098" s="39"/>
      <c r="BB1098" s="41">
        <f t="shared" si="493"/>
        <v>0</v>
      </c>
      <c r="BC1098" s="47"/>
      <c r="BD1098" s="41">
        <f t="shared" si="512"/>
        <v>0</v>
      </c>
      <c r="BE1098" s="39"/>
      <c r="BF1098" s="47"/>
    </row>
    <row r="1099" spans="1:58" ht="15.75" customHeight="1" x14ac:dyDescent="0.25">
      <c r="A1099" s="44">
        <v>2017</v>
      </c>
      <c r="B1099" s="39">
        <v>172030</v>
      </c>
      <c r="C1099" s="38" t="s">
        <v>145</v>
      </c>
      <c r="D1099" s="38" t="s">
        <v>129</v>
      </c>
      <c r="E1099" s="39"/>
      <c r="F1099" s="42">
        <f t="shared" si="494"/>
        <v>0</v>
      </c>
      <c r="G1099" s="47"/>
      <c r="H1099" s="42">
        <f t="shared" si="495"/>
        <v>0</v>
      </c>
      <c r="I1099" s="39"/>
      <c r="J1099" s="41">
        <f t="shared" si="496"/>
        <v>0</v>
      </c>
      <c r="K1099" s="47"/>
      <c r="L1099" s="41">
        <f t="shared" si="497"/>
        <v>0</v>
      </c>
      <c r="M1099" s="39"/>
      <c r="N1099" s="41">
        <f t="shared" si="498"/>
        <v>0</v>
      </c>
      <c r="O1099" s="47"/>
      <c r="P1099" s="41">
        <f t="shared" si="499"/>
        <v>0</v>
      </c>
      <c r="Q1099" s="39"/>
      <c r="R1099" s="41">
        <f t="shared" si="500"/>
        <v>0</v>
      </c>
      <c r="S1099" s="47"/>
      <c r="T1099" s="41">
        <f t="shared" si="501"/>
        <v>0</v>
      </c>
      <c r="U1099" s="39"/>
      <c r="V1099" s="41">
        <f t="shared" si="502"/>
        <v>0</v>
      </c>
      <c r="W1099" s="47"/>
      <c r="X1099" s="41">
        <f t="shared" si="503"/>
        <v>0</v>
      </c>
      <c r="Y1099" s="39"/>
      <c r="Z1099" s="41">
        <f t="shared" si="504"/>
        <v>0</v>
      </c>
      <c r="AA1099" s="47"/>
      <c r="AB1099" s="41">
        <f t="shared" si="505"/>
        <v>0</v>
      </c>
      <c r="AC1099" s="39"/>
      <c r="AD1099" s="41">
        <f t="shared" si="487"/>
        <v>0</v>
      </c>
      <c r="AE1099" s="47"/>
      <c r="AF1099" s="41">
        <f t="shared" si="506"/>
        <v>0</v>
      </c>
      <c r="AG1099" s="39"/>
      <c r="AH1099" s="41">
        <f t="shared" si="488"/>
        <v>0</v>
      </c>
      <c r="AI1099" s="47"/>
      <c r="AJ1099" s="41">
        <f t="shared" si="507"/>
        <v>0</v>
      </c>
      <c r="AK1099" s="39"/>
      <c r="AL1099" s="41">
        <f t="shared" si="489"/>
        <v>0</v>
      </c>
      <c r="AM1099" s="47"/>
      <c r="AN1099" s="41">
        <f t="shared" si="508"/>
        <v>0</v>
      </c>
      <c r="AO1099" s="39"/>
      <c r="AP1099" s="41">
        <f t="shared" si="490"/>
        <v>0</v>
      </c>
      <c r="AQ1099" s="47"/>
      <c r="AR1099" s="41">
        <f t="shared" si="509"/>
        <v>0</v>
      </c>
      <c r="AS1099" s="39"/>
      <c r="AT1099" s="41">
        <f t="shared" si="491"/>
        <v>0</v>
      </c>
      <c r="AU1099" s="47"/>
      <c r="AV1099" s="41">
        <f t="shared" si="510"/>
        <v>0</v>
      </c>
      <c r="AW1099" s="39"/>
      <c r="AX1099" s="41">
        <f t="shared" si="492"/>
        <v>0</v>
      </c>
      <c r="AY1099" s="47"/>
      <c r="AZ1099" s="41">
        <f t="shared" si="511"/>
        <v>0</v>
      </c>
      <c r="BA1099" s="39"/>
      <c r="BB1099" s="41">
        <f t="shared" si="493"/>
        <v>0</v>
      </c>
      <c r="BC1099" s="47"/>
      <c r="BD1099" s="41">
        <f t="shared" si="512"/>
        <v>0</v>
      </c>
      <c r="BE1099" s="39"/>
      <c r="BF1099" s="47"/>
    </row>
    <row r="1100" spans="1:58" ht="15.75" customHeight="1" x14ac:dyDescent="0.25">
      <c r="A1100" s="44">
        <v>2017</v>
      </c>
      <c r="B1100" s="39">
        <v>172049</v>
      </c>
      <c r="C1100" s="38" t="s">
        <v>146</v>
      </c>
      <c r="D1100" s="38" t="s">
        <v>130</v>
      </c>
      <c r="E1100" s="39"/>
      <c r="F1100" s="42">
        <f t="shared" si="494"/>
        <v>0</v>
      </c>
      <c r="G1100" s="47"/>
      <c r="H1100" s="42">
        <f t="shared" si="495"/>
        <v>0</v>
      </c>
      <c r="I1100" s="39"/>
      <c r="J1100" s="41">
        <f t="shared" si="496"/>
        <v>0</v>
      </c>
      <c r="K1100" s="47"/>
      <c r="L1100" s="41">
        <f t="shared" si="497"/>
        <v>0</v>
      </c>
      <c r="M1100" s="39"/>
      <c r="N1100" s="41">
        <f t="shared" si="498"/>
        <v>0</v>
      </c>
      <c r="O1100" s="47"/>
      <c r="P1100" s="41">
        <f t="shared" si="499"/>
        <v>0</v>
      </c>
      <c r="Q1100" s="39"/>
      <c r="R1100" s="41">
        <f t="shared" si="500"/>
        <v>0</v>
      </c>
      <c r="S1100" s="47"/>
      <c r="T1100" s="41">
        <f t="shared" si="501"/>
        <v>0</v>
      </c>
      <c r="U1100" s="39"/>
      <c r="V1100" s="41">
        <f t="shared" si="502"/>
        <v>0</v>
      </c>
      <c r="W1100" s="47"/>
      <c r="X1100" s="41">
        <f t="shared" si="503"/>
        <v>0</v>
      </c>
      <c r="Y1100" s="39"/>
      <c r="Z1100" s="41">
        <f t="shared" si="504"/>
        <v>0</v>
      </c>
      <c r="AA1100" s="47"/>
      <c r="AB1100" s="41">
        <f t="shared" si="505"/>
        <v>0</v>
      </c>
      <c r="AC1100" s="39"/>
      <c r="AD1100" s="41">
        <f t="shared" si="487"/>
        <v>0</v>
      </c>
      <c r="AE1100" s="47"/>
      <c r="AF1100" s="41">
        <f t="shared" si="506"/>
        <v>0</v>
      </c>
      <c r="AG1100" s="39"/>
      <c r="AH1100" s="41">
        <f t="shared" si="488"/>
        <v>0</v>
      </c>
      <c r="AI1100" s="47"/>
      <c r="AJ1100" s="41">
        <f t="shared" si="507"/>
        <v>0</v>
      </c>
      <c r="AK1100" s="39"/>
      <c r="AL1100" s="41">
        <f t="shared" si="489"/>
        <v>0</v>
      </c>
      <c r="AM1100" s="47"/>
      <c r="AN1100" s="41">
        <f t="shared" si="508"/>
        <v>0</v>
      </c>
      <c r="AO1100" s="39"/>
      <c r="AP1100" s="41">
        <f t="shared" si="490"/>
        <v>0</v>
      </c>
      <c r="AQ1100" s="47"/>
      <c r="AR1100" s="41">
        <f t="shared" si="509"/>
        <v>0</v>
      </c>
      <c r="AS1100" s="39"/>
      <c r="AT1100" s="41">
        <f t="shared" si="491"/>
        <v>0</v>
      </c>
      <c r="AU1100" s="47"/>
      <c r="AV1100" s="41">
        <f t="shared" si="510"/>
        <v>0</v>
      </c>
      <c r="AW1100" s="39"/>
      <c r="AX1100" s="41">
        <f t="shared" si="492"/>
        <v>0</v>
      </c>
      <c r="AY1100" s="47"/>
      <c r="AZ1100" s="41">
        <f t="shared" si="511"/>
        <v>0</v>
      </c>
      <c r="BA1100" s="39"/>
      <c r="BB1100" s="41">
        <f t="shared" si="493"/>
        <v>0</v>
      </c>
      <c r="BC1100" s="47"/>
      <c r="BD1100" s="41">
        <f t="shared" si="512"/>
        <v>0</v>
      </c>
      <c r="BE1100" s="39"/>
      <c r="BF1100" s="47"/>
    </row>
    <row r="1101" spans="1:58" ht="15.75" customHeight="1" x14ac:dyDescent="0.25">
      <c r="A1101" s="44">
        <v>2017</v>
      </c>
      <c r="B1101" s="39">
        <v>172065</v>
      </c>
      <c r="C1101" s="38" t="s">
        <v>151</v>
      </c>
      <c r="D1101" s="38" t="s">
        <v>131</v>
      </c>
      <c r="E1101" s="39"/>
      <c r="F1101" s="42">
        <f t="shared" si="494"/>
        <v>0</v>
      </c>
      <c r="G1101" s="47"/>
      <c r="H1101" s="42">
        <f t="shared" si="495"/>
        <v>0</v>
      </c>
      <c r="I1101" s="39"/>
      <c r="J1101" s="41">
        <f t="shared" si="496"/>
        <v>0</v>
      </c>
      <c r="K1101" s="47"/>
      <c r="L1101" s="41">
        <f t="shared" si="497"/>
        <v>0</v>
      </c>
      <c r="M1101" s="39"/>
      <c r="N1101" s="41">
        <f t="shared" si="498"/>
        <v>0</v>
      </c>
      <c r="O1101" s="47"/>
      <c r="P1101" s="41">
        <f t="shared" si="499"/>
        <v>0</v>
      </c>
      <c r="Q1101" s="39"/>
      <c r="R1101" s="41">
        <f t="shared" si="500"/>
        <v>0</v>
      </c>
      <c r="S1101" s="47"/>
      <c r="T1101" s="41">
        <f t="shared" si="501"/>
        <v>0</v>
      </c>
      <c r="U1101" s="39"/>
      <c r="V1101" s="41">
        <f t="shared" si="502"/>
        <v>0</v>
      </c>
      <c r="W1101" s="47"/>
      <c r="X1101" s="41">
        <f t="shared" si="503"/>
        <v>0</v>
      </c>
      <c r="Y1101" s="39"/>
      <c r="Z1101" s="41">
        <f t="shared" si="504"/>
        <v>0</v>
      </c>
      <c r="AA1101" s="47"/>
      <c r="AB1101" s="41">
        <f t="shared" si="505"/>
        <v>0</v>
      </c>
      <c r="AC1101" s="39"/>
      <c r="AD1101" s="41">
        <f t="shared" si="487"/>
        <v>0</v>
      </c>
      <c r="AE1101" s="47"/>
      <c r="AF1101" s="41">
        <f t="shared" si="506"/>
        <v>0</v>
      </c>
      <c r="AG1101" s="39"/>
      <c r="AH1101" s="41">
        <f t="shared" si="488"/>
        <v>0</v>
      </c>
      <c r="AI1101" s="47"/>
      <c r="AJ1101" s="41">
        <f t="shared" si="507"/>
        <v>0</v>
      </c>
      <c r="AK1101" s="39"/>
      <c r="AL1101" s="41">
        <f t="shared" si="489"/>
        <v>0</v>
      </c>
      <c r="AM1101" s="47"/>
      <c r="AN1101" s="41">
        <f t="shared" si="508"/>
        <v>0</v>
      </c>
      <c r="AO1101" s="39"/>
      <c r="AP1101" s="41">
        <f t="shared" si="490"/>
        <v>0</v>
      </c>
      <c r="AQ1101" s="47"/>
      <c r="AR1101" s="41">
        <f t="shared" si="509"/>
        <v>0</v>
      </c>
      <c r="AS1101" s="39"/>
      <c r="AT1101" s="41">
        <f t="shared" si="491"/>
        <v>0</v>
      </c>
      <c r="AU1101" s="47"/>
      <c r="AV1101" s="41">
        <f t="shared" si="510"/>
        <v>0</v>
      </c>
      <c r="AW1101" s="39"/>
      <c r="AX1101" s="41">
        <f t="shared" si="492"/>
        <v>0</v>
      </c>
      <c r="AY1101" s="47"/>
      <c r="AZ1101" s="41">
        <f t="shared" si="511"/>
        <v>0</v>
      </c>
      <c r="BA1101" s="39"/>
      <c r="BB1101" s="41">
        <f t="shared" si="493"/>
        <v>0</v>
      </c>
      <c r="BC1101" s="47"/>
      <c r="BD1101" s="41">
        <f t="shared" si="512"/>
        <v>0</v>
      </c>
      <c r="BE1101" s="39"/>
      <c r="BF1101" s="47"/>
    </row>
    <row r="1102" spans="1:58" ht="15.75" customHeight="1" x14ac:dyDescent="0.25">
      <c r="A1102" s="44">
        <v>2017</v>
      </c>
      <c r="B1102" s="39">
        <v>172080</v>
      </c>
      <c r="C1102" s="38" t="s">
        <v>145</v>
      </c>
      <c r="D1102" s="38" t="s">
        <v>132</v>
      </c>
      <c r="E1102" s="39"/>
      <c r="F1102" s="42">
        <f t="shared" si="494"/>
        <v>0</v>
      </c>
      <c r="G1102" s="47"/>
      <c r="H1102" s="42">
        <f t="shared" si="495"/>
        <v>0</v>
      </c>
      <c r="I1102" s="39"/>
      <c r="J1102" s="41">
        <f t="shared" si="496"/>
        <v>0</v>
      </c>
      <c r="K1102" s="47"/>
      <c r="L1102" s="41">
        <f t="shared" si="497"/>
        <v>0</v>
      </c>
      <c r="M1102" s="39"/>
      <c r="N1102" s="41">
        <f t="shared" si="498"/>
        <v>0</v>
      </c>
      <c r="O1102" s="47"/>
      <c r="P1102" s="41">
        <f t="shared" si="499"/>
        <v>0</v>
      </c>
      <c r="Q1102" s="39"/>
      <c r="R1102" s="41">
        <f t="shared" si="500"/>
        <v>0</v>
      </c>
      <c r="S1102" s="47"/>
      <c r="T1102" s="41">
        <f t="shared" si="501"/>
        <v>0</v>
      </c>
      <c r="U1102" s="39"/>
      <c r="V1102" s="41">
        <f t="shared" si="502"/>
        <v>0</v>
      </c>
      <c r="W1102" s="47"/>
      <c r="X1102" s="41">
        <f t="shared" si="503"/>
        <v>0</v>
      </c>
      <c r="Y1102" s="39"/>
      <c r="Z1102" s="41">
        <f t="shared" si="504"/>
        <v>0</v>
      </c>
      <c r="AA1102" s="47"/>
      <c r="AB1102" s="41">
        <f t="shared" si="505"/>
        <v>0</v>
      </c>
      <c r="AC1102" s="39"/>
      <c r="AD1102" s="41">
        <f t="shared" ref="AD1102:AD1130" si="513">IFERROR(AC1102/$BE1102,0)</f>
        <v>0</v>
      </c>
      <c r="AE1102" s="47"/>
      <c r="AF1102" s="41">
        <f t="shared" si="506"/>
        <v>0</v>
      </c>
      <c r="AG1102" s="39"/>
      <c r="AH1102" s="41">
        <f t="shared" ref="AH1102:AH1130" si="514">IFERROR(AG1102/$BE1102,0)</f>
        <v>0</v>
      </c>
      <c r="AI1102" s="47"/>
      <c r="AJ1102" s="41">
        <f t="shared" si="507"/>
        <v>0</v>
      </c>
      <c r="AK1102" s="39"/>
      <c r="AL1102" s="41">
        <f t="shared" ref="AL1102:AL1130" si="515">IFERROR(AK1102/$BE1102,0)</f>
        <v>0</v>
      </c>
      <c r="AM1102" s="47"/>
      <c r="AN1102" s="41">
        <f t="shared" si="508"/>
        <v>0</v>
      </c>
      <c r="AO1102" s="39"/>
      <c r="AP1102" s="41">
        <f t="shared" ref="AP1102:AP1130" si="516">IFERROR(AO1102/$BE1102,0)</f>
        <v>0</v>
      </c>
      <c r="AQ1102" s="47"/>
      <c r="AR1102" s="41">
        <f t="shared" si="509"/>
        <v>0</v>
      </c>
      <c r="AS1102" s="39"/>
      <c r="AT1102" s="41">
        <f t="shared" ref="AT1102:AT1130" si="517">IFERROR(AS1102/$BE1102,0)</f>
        <v>0</v>
      </c>
      <c r="AU1102" s="47"/>
      <c r="AV1102" s="41">
        <f t="shared" si="510"/>
        <v>0</v>
      </c>
      <c r="AW1102" s="39"/>
      <c r="AX1102" s="41">
        <f t="shared" ref="AX1102:AX1130" si="518">IFERROR(AW1102/$BE1102,0)</f>
        <v>0</v>
      </c>
      <c r="AY1102" s="47"/>
      <c r="AZ1102" s="41">
        <f t="shared" si="511"/>
        <v>0</v>
      </c>
      <c r="BA1102" s="39"/>
      <c r="BB1102" s="41">
        <f t="shared" ref="BB1102:BB1130" si="519">IFERROR(BA1102/$BE1102,0)</f>
        <v>0</v>
      </c>
      <c r="BC1102" s="47"/>
      <c r="BD1102" s="41">
        <f t="shared" si="512"/>
        <v>0</v>
      </c>
      <c r="BE1102" s="39"/>
      <c r="BF1102" s="47"/>
    </row>
    <row r="1103" spans="1:58" ht="15.75" customHeight="1" x14ac:dyDescent="0.25">
      <c r="A1103" s="44">
        <v>2017</v>
      </c>
      <c r="B1103" s="39">
        <v>172085</v>
      </c>
      <c r="C1103" s="38" t="s">
        <v>146</v>
      </c>
      <c r="D1103" s="38" t="s">
        <v>133</v>
      </c>
      <c r="E1103" s="39"/>
      <c r="F1103" s="42">
        <f t="shared" si="494"/>
        <v>0</v>
      </c>
      <c r="G1103" s="47"/>
      <c r="H1103" s="42">
        <f t="shared" si="495"/>
        <v>0</v>
      </c>
      <c r="I1103" s="39"/>
      <c r="J1103" s="41">
        <f t="shared" si="496"/>
        <v>0</v>
      </c>
      <c r="K1103" s="47"/>
      <c r="L1103" s="41">
        <f t="shared" si="497"/>
        <v>0</v>
      </c>
      <c r="M1103" s="39"/>
      <c r="N1103" s="41">
        <f t="shared" si="498"/>
        <v>0</v>
      </c>
      <c r="O1103" s="47"/>
      <c r="P1103" s="41">
        <f t="shared" si="499"/>
        <v>0</v>
      </c>
      <c r="Q1103" s="39"/>
      <c r="R1103" s="41">
        <f t="shared" si="500"/>
        <v>0</v>
      </c>
      <c r="S1103" s="47"/>
      <c r="T1103" s="41">
        <f t="shared" si="501"/>
        <v>0</v>
      </c>
      <c r="U1103" s="39"/>
      <c r="V1103" s="41">
        <f t="shared" si="502"/>
        <v>0</v>
      </c>
      <c r="W1103" s="47"/>
      <c r="X1103" s="41">
        <f t="shared" si="503"/>
        <v>0</v>
      </c>
      <c r="Y1103" s="39"/>
      <c r="Z1103" s="41">
        <f t="shared" si="504"/>
        <v>0</v>
      </c>
      <c r="AA1103" s="47"/>
      <c r="AB1103" s="41">
        <f t="shared" si="505"/>
        <v>0</v>
      </c>
      <c r="AC1103" s="39"/>
      <c r="AD1103" s="41">
        <f t="shared" si="513"/>
        <v>0</v>
      </c>
      <c r="AE1103" s="47"/>
      <c r="AF1103" s="41">
        <f t="shared" si="506"/>
        <v>0</v>
      </c>
      <c r="AG1103" s="39"/>
      <c r="AH1103" s="41">
        <f t="shared" si="514"/>
        <v>0</v>
      </c>
      <c r="AI1103" s="47"/>
      <c r="AJ1103" s="41">
        <f t="shared" si="507"/>
        <v>0</v>
      </c>
      <c r="AK1103" s="39"/>
      <c r="AL1103" s="41">
        <f t="shared" si="515"/>
        <v>0</v>
      </c>
      <c r="AM1103" s="47"/>
      <c r="AN1103" s="41">
        <f t="shared" si="508"/>
        <v>0</v>
      </c>
      <c r="AO1103" s="39"/>
      <c r="AP1103" s="41">
        <f t="shared" si="516"/>
        <v>0</v>
      </c>
      <c r="AQ1103" s="47"/>
      <c r="AR1103" s="41">
        <f t="shared" si="509"/>
        <v>0</v>
      </c>
      <c r="AS1103" s="39"/>
      <c r="AT1103" s="41">
        <f t="shared" si="517"/>
        <v>0</v>
      </c>
      <c r="AU1103" s="47"/>
      <c r="AV1103" s="41">
        <f t="shared" si="510"/>
        <v>0</v>
      </c>
      <c r="AW1103" s="39"/>
      <c r="AX1103" s="41">
        <f t="shared" si="518"/>
        <v>0</v>
      </c>
      <c r="AY1103" s="47"/>
      <c r="AZ1103" s="41">
        <f t="shared" si="511"/>
        <v>0</v>
      </c>
      <c r="BA1103" s="39"/>
      <c r="BB1103" s="41">
        <f t="shared" si="519"/>
        <v>0</v>
      </c>
      <c r="BC1103" s="47"/>
      <c r="BD1103" s="41">
        <f t="shared" si="512"/>
        <v>0</v>
      </c>
      <c r="BE1103" s="39"/>
      <c r="BF1103" s="47"/>
    </row>
    <row r="1104" spans="1:58" ht="15.75" customHeight="1" x14ac:dyDescent="0.25">
      <c r="A1104" s="44">
        <v>2017</v>
      </c>
      <c r="B1104" s="39">
        <v>170825</v>
      </c>
      <c r="C1104" s="38" t="s">
        <v>148</v>
      </c>
      <c r="D1104" s="38" t="s">
        <v>134</v>
      </c>
      <c r="E1104" s="39"/>
      <c r="F1104" s="42">
        <f t="shared" si="494"/>
        <v>0</v>
      </c>
      <c r="G1104" s="47"/>
      <c r="H1104" s="42">
        <f t="shared" si="495"/>
        <v>0</v>
      </c>
      <c r="I1104" s="39"/>
      <c r="J1104" s="41">
        <f t="shared" si="496"/>
        <v>0</v>
      </c>
      <c r="K1104" s="47"/>
      <c r="L1104" s="41">
        <f t="shared" si="497"/>
        <v>0</v>
      </c>
      <c r="M1104" s="39"/>
      <c r="N1104" s="41">
        <f t="shared" si="498"/>
        <v>0</v>
      </c>
      <c r="O1104" s="47"/>
      <c r="P1104" s="41">
        <f t="shared" si="499"/>
        <v>0</v>
      </c>
      <c r="Q1104" s="39"/>
      <c r="R1104" s="41">
        <f t="shared" si="500"/>
        <v>0</v>
      </c>
      <c r="S1104" s="47"/>
      <c r="T1104" s="41">
        <f t="shared" si="501"/>
        <v>0</v>
      </c>
      <c r="U1104" s="39"/>
      <c r="V1104" s="41">
        <f t="shared" si="502"/>
        <v>0</v>
      </c>
      <c r="W1104" s="47"/>
      <c r="X1104" s="41">
        <f t="shared" si="503"/>
        <v>0</v>
      </c>
      <c r="Y1104" s="39"/>
      <c r="Z1104" s="41">
        <f t="shared" si="504"/>
        <v>0</v>
      </c>
      <c r="AA1104" s="47"/>
      <c r="AB1104" s="41">
        <f t="shared" si="505"/>
        <v>0</v>
      </c>
      <c r="AC1104" s="39"/>
      <c r="AD1104" s="41">
        <f t="shared" si="513"/>
        <v>0</v>
      </c>
      <c r="AE1104" s="47"/>
      <c r="AF1104" s="41">
        <f t="shared" si="506"/>
        <v>0</v>
      </c>
      <c r="AG1104" s="39"/>
      <c r="AH1104" s="41">
        <f t="shared" si="514"/>
        <v>0</v>
      </c>
      <c r="AI1104" s="47"/>
      <c r="AJ1104" s="41">
        <f t="shared" si="507"/>
        <v>0</v>
      </c>
      <c r="AK1104" s="39"/>
      <c r="AL1104" s="41">
        <f t="shared" si="515"/>
        <v>0</v>
      </c>
      <c r="AM1104" s="47"/>
      <c r="AN1104" s="41">
        <f t="shared" si="508"/>
        <v>0</v>
      </c>
      <c r="AO1104" s="39"/>
      <c r="AP1104" s="41">
        <f t="shared" si="516"/>
        <v>0</v>
      </c>
      <c r="AQ1104" s="47"/>
      <c r="AR1104" s="41">
        <f t="shared" si="509"/>
        <v>0</v>
      </c>
      <c r="AS1104" s="39"/>
      <c r="AT1104" s="41">
        <f t="shared" si="517"/>
        <v>0</v>
      </c>
      <c r="AU1104" s="47"/>
      <c r="AV1104" s="41">
        <f t="shared" si="510"/>
        <v>0</v>
      </c>
      <c r="AW1104" s="39"/>
      <c r="AX1104" s="41">
        <f t="shared" si="518"/>
        <v>0</v>
      </c>
      <c r="AY1104" s="47"/>
      <c r="AZ1104" s="41">
        <f t="shared" si="511"/>
        <v>0</v>
      </c>
      <c r="BA1104" s="39"/>
      <c r="BB1104" s="41">
        <f t="shared" si="519"/>
        <v>0</v>
      </c>
      <c r="BC1104" s="47"/>
      <c r="BD1104" s="41">
        <f t="shared" si="512"/>
        <v>0</v>
      </c>
      <c r="BE1104" s="39"/>
      <c r="BF1104" s="47"/>
    </row>
    <row r="1105" spans="1:58" ht="15.75" customHeight="1" x14ac:dyDescent="0.25">
      <c r="A1105" s="44">
        <v>2017</v>
      </c>
      <c r="B1105" s="39">
        <v>172090</v>
      </c>
      <c r="C1105" s="38" t="s">
        <v>147</v>
      </c>
      <c r="D1105" s="38" t="s">
        <v>135</v>
      </c>
      <c r="E1105" s="39"/>
      <c r="F1105" s="42">
        <f t="shared" si="494"/>
        <v>0</v>
      </c>
      <c r="G1105" s="47"/>
      <c r="H1105" s="42">
        <f t="shared" si="495"/>
        <v>0</v>
      </c>
      <c r="I1105" s="39"/>
      <c r="J1105" s="41">
        <f t="shared" si="496"/>
        <v>0</v>
      </c>
      <c r="K1105" s="47"/>
      <c r="L1105" s="41">
        <f t="shared" si="497"/>
        <v>0</v>
      </c>
      <c r="M1105" s="39"/>
      <c r="N1105" s="41">
        <f t="shared" si="498"/>
        <v>0</v>
      </c>
      <c r="O1105" s="47"/>
      <c r="P1105" s="41">
        <f t="shared" si="499"/>
        <v>0</v>
      </c>
      <c r="Q1105" s="39"/>
      <c r="R1105" s="41">
        <f t="shared" si="500"/>
        <v>0</v>
      </c>
      <c r="S1105" s="47"/>
      <c r="T1105" s="41">
        <f t="shared" si="501"/>
        <v>0</v>
      </c>
      <c r="U1105" s="39"/>
      <c r="V1105" s="41">
        <f t="shared" si="502"/>
        <v>0</v>
      </c>
      <c r="W1105" s="47"/>
      <c r="X1105" s="41">
        <f t="shared" si="503"/>
        <v>0</v>
      </c>
      <c r="Y1105" s="39"/>
      <c r="Z1105" s="41">
        <f t="shared" si="504"/>
        <v>0</v>
      </c>
      <c r="AA1105" s="47"/>
      <c r="AB1105" s="41">
        <f t="shared" si="505"/>
        <v>0</v>
      </c>
      <c r="AC1105" s="39"/>
      <c r="AD1105" s="41">
        <f t="shared" si="513"/>
        <v>0</v>
      </c>
      <c r="AE1105" s="47"/>
      <c r="AF1105" s="41">
        <f t="shared" si="506"/>
        <v>0</v>
      </c>
      <c r="AG1105" s="39"/>
      <c r="AH1105" s="41">
        <f t="shared" si="514"/>
        <v>0</v>
      </c>
      <c r="AI1105" s="47"/>
      <c r="AJ1105" s="41">
        <f t="shared" si="507"/>
        <v>0</v>
      </c>
      <c r="AK1105" s="39"/>
      <c r="AL1105" s="41">
        <f t="shared" si="515"/>
        <v>0</v>
      </c>
      <c r="AM1105" s="47"/>
      <c r="AN1105" s="41">
        <f t="shared" si="508"/>
        <v>0</v>
      </c>
      <c r="AO1105" s="39"/>
      <c r="AP1105" s="41">
        <f t="shared" si="516"/>
        <v>0</v>
      </c>
      <c r="AQ1105" s="47"/>
      <c r="AR1105" s="41">
        <f t="shared" si="509"/>
        <v>0</v>
      </c>
      <c r="AS1105" s="39"/>
      <c r="AT1105" s="41">
        <f t="shared" si="517"/>
        <v>0</v>
      </c>
      <c r="AU1105" s="47"/>
      <c r="AV1105" s="41">
        <f t="shared" si="510"/>
        <v>0</v>
      </c>
      <c r="AW1105" s="39"/>
      <c r="AX1105" s="41">
        <f t="shared" si="518"/>
        <v>0</v>
      </c>
      <c r="AY1105" s="47"/>
      <c r="AZ1105" s="41">
        <f t="shared" si="511"/>
        <v>0</v>
      </c>
      <c r="BA1105" s="39"/>
      <c r="BB1105" s="41">
        <f t="shared" si="519"/>
        <v>0</v>
      </c>
      <c r="BC1105" s="47"/>
      <c r="BD1105" s="41">
        <f t="shared" si="512"/>
        <v>0</v>
      </c>
      <c r="BE1105" s="39"/>
      <c r="BF1105" s="47"/>
    </row>
    <row r="1106" spans="1:58" ht="15.75" customHeight="1" x14ac:dyDescent="0.25">
      <c r="A1106" s="44">
        <v>2017</v>
      </c>
      <c r="B1106" s="39">
        <v>172093</v>
      </c>
      <c r="C1106" s="38" t="s">
        <v>147</v>
      </c>
      <c r="D1106" s="38" t="s">
        <v>136</v>
      </c>
      <c r="E1106" s="39"/>
      <c r="F1106" s="42">
        <f t="shared" si="494"/>
        <v>0</v>
      </c>
      <c r="G1106" s="47"/>
      <c r="H1106" s="42">
        <f t="shared" si="495"/>
        <v>0</v>
      </c>
      <c r="I1106" s="39"/>
      <c r="J1106" s="41">
        <f t="shared" si="496"/>
        <v>0</v>
      </c>
      <c r="K1106" s="47"/>
      <c r="L1106" s="41">
        <f t="shared" si="497"/>
        <v>0</v>
      </c>
      <c r="M1106" s="39"/>
      <c r="N1106" s="41">
        <f t="shared" si="498"/>
        <v>0</v>
      </c>
      <c r="O1106" s="47"/>
      <c r="P1106" s="41">
        <f t="shared" si="499"/>
        <v>0</v>
      </c>
      <c r="Q1106" s="39"/>
      <c r="R1106" s="41">
        <f t="shared" si="500"/>
        <v>0</v>
      </c>
      <c r="S1106" s="47"/>
      <c r="T1106" s="41">
        <f t="shared" si="501"/>
        <v>0</v>
      </c>
      <c r="U1106" s="39"/>
      <c r="V1106" s="41">
        <f t="shared" si="502"/>
        <v>0</v>
      </c>
      <c r="W1106" s="47"/>
      <c r="X1106" s="41">
        <f t="shared" si="503"/>
        <v>0</v>
      </c>
      <c r="Y1106" s="39"/>
      <c r="Z1106" s="41">
        <f t="shared" si="504"/>
        <v>0</v>
      </c>
      <c r="AA1106" s="47"/>
      <c r="AB1106" s="41">
        <f t="shared" si="505"/>
        <v>0</v>
      </c>
      <c r="AC1106" s="39"/>
      <c r="AD1106" s="41">
        <f t="shared" si="513"/>
        <v>0</v>
      </c>
      <c r="AE1106" s="47"/>
      <c r="AF1106" s="41">
        <f t="shared" si="506"/>
        <v>0</v>
      </c>
      <c r="AG1106" s="39"/>
      <c r="AH1106" s="41">
        <f t="shared" si="514"/>
        <v>0</v>
      </c>
      <c r="AI1106" s="47"/>
      <c r="AJ1106" s="41">
        <f t="shared" si="507"/>
        <v>0</v>
      </c>
      <c r="AK1106" s="39"/>
      <c r="AL1106" s="41">
        <f t="shared" si="515"/>
        <v>0</v>
      </c>
      <c r="AM1106" s="47"/>
      <c r="AN1106" s="41">
        <f t="shared" si="508"/>
        <v>0</v>
      </c>
      <c r="AO1106" s="39"/>
      <c r="AP1106" s="41">
        <f t="shared" si="516"/>
        <v>0</v>
      </c>
      <c r="AQ1106" s="47"/>
      <c r="AR1106" s="41">
        <f t="shared" si="509"/>
        <v>0</v>
      </c>
      <c r="AS1106" s="39"/>
      <c r="AT1106" s="41">
        <f t="shared" si="517"/>
        <v>0</v>
      </c>
      <c r="AU1106" s="47"/>
      <c r="AV1106" s="41">
        <f t="shared" si="510"/>
        <v>0</v>
      </c>
      <c r="AW1106" s="39"/>
      <c r="AX1106" s="41">
        <f t="shared" si="518"/>
        <v>0</v>
      </c>
      <c r="AY1106" s="47"/>
      <c r="AZ1106" s="41">
        <f t="shared" si="511"/>
        <v>0</v>
      </c>
      <c r="BA1106" s="39"/>
      <c r="BB1106" s="41">
        <f t="shared" si="519"/>
        <v>0</v>
      </c>
      <c r="BC1106" s="47"/>
      <c r="BD1106" s="41">
        <f t="shared" si="512"/>
        <v>0</v>
      </c>
      <c r="BE1106" s="39"/>
      <c r="BF1106" s="47"/>
    </row>
    <row r="1107" spans="1:58" ht="15.75" customHeight="1" x14ac:dyDescent="0.25">
      <c r="A1107" s="44">
        <v>2017</v>
      </c>
      <c r="B1107" s="39">
        <v>172097</v>
      </c>
      <c r="C1107" s="38" t="s">
        <v>146</v>
      </c>
      <c r="D1107" s="38" t="s">
        <v>137</v>
      </c>
      <c r="E1107" s="39"/>
      <c r="F1107" s="42">
        <f t="shared" si="494"/>
        <v>0</v>
      </c>
      <c r="G1107" s="47"/>
      <c r="H1107" s="42">
        <f t="shared" si="495"/>
        <v>0</v>
      </c>
      <c r="I1107" s="39"/>
      <c r="J1107" s="41">
        <f t="shared" si="496"/>
        <v>0</v>
      </c>
      <c r="K1107" s="47"/>
      <c r="L1107" s="41">
        <f t="shared" si="497"/>
        <v>0</v>
      </c>
      <c r="M1107" s="39"/>
      <c r="N1107" s="41">
        <f t="shared" si="498"/>
        <v>0</v>
      </c>
      <c r="O1107" s="47"/>
      <c r="P1107" s="41">
        <f t="shared" si="499"/>
        <v>0</v>
      </c>
      <c r="Q1107" s="39"/>
      <c r="R1107" s="41">
        <f t="shared" si="500"/>
        <v>0</v>
      </c>
      <c r="S1107" s="47"/>
      <c r="T1107" s="41">
        <f t="shared" si="501"/>
        <v>0</v>
      </c>
      <c r="U1107" s="39"/>
      <c r="V1107" s="41">
        <f t="shared" si="502"/>
        <v>0</v>
      </c>
      <c r="W1107" s="47"/>
      <c r="X1107" s="41">
        <f t="shared" si="503"/>
        <v>0</v>
      </c>
      <c r="Y1107" s="39"/>
      <c r="Z1107" s="41">
        <f t="shared" si="504"/>
        <v>0</v>
      </c>
      <c r="AA1107" s="47"/>
      <c r="AB1107" s="41">
        <f t="shared" si="505"/>
        <v>0</v>
      </c>
      <c r="AC1107" s="39"/>
      <c r="AD1107" s="41">
        <f t="shared" si="513"/>
        <v>0</v>
      </c>
      <c r="AE1107" s="47"/>
      <c r="AF1107" s="41">
        <f t="shared" si="506"/>
        <v>0</v>
      </c>
      <c r="AG1107" s="39"/>
      <c r="AH1107" s="41">
        <f t="shared" si="514"/>
        <v>0</v>
      </c>
      <c r="AI1107" s="47"/>
      <c r="AJ1107" s="41">
        <f t="shared" si="507"/>
        <v>0</v>
      </c>
      <c r="AK1107" s="39"/>
      <c r="AL1107" s="41">
        <f t="shared" si="515"/>
        <v>0</v>
      </c>
      <c r="AM1107" s="47"/>
      <c r="AN1107" s="41">
        <f t="shared" si="508"/>
        <v>0</v>
      </c>
      <c r="AO1107" s="39"/>
      <c r="AP1107" s="41">
        <f t="shared" si="516"/>
        <v>0</v>
      </c>
      <c r="AQ1107" s="47"/>
      <c r="AR1107" s="41">
        <f t="shared" si="509"/>
        <v>0</v>
      </c>
      <c r="AS1107" s="39"/>
      <c r="AT1107" s="41">
        <f t="shared" si="517"/>
        <v>0</v>
      </c>
      <c r="AU1107" s="47"/>
      <c r="AV1107" s="41">
        <f t="shared" si="510"/>
        <v>0</v>
      </c>
      <c r="AW1107" s="39"/>
      <c r="AX1107" s="41">
        <f t="shared" si="518"/>
        <v>0</v>
      </c>
      <c r="AY1107" s="47"/>
      <c r="AZ1107" s="41">
        <f t="shared" si="511"/>
        <v>0</v>
      </c>
      <c r="BA1107" s="39"/>
      <c r="BB1107" s="41">
        <f t="shared" si="519"/>
        <v>0</v>
      </c>
      <c r="BC1107" s="47"/>
      <c r="BD1107" s="41">
        <f t="shared" si="512"/>
        <v>0</v>
      </c>
      <c r="BE1107" s="39"/>
      <c r="BF1107" s="47"/>
    </row>
    <row r="1108" spans="1:58" ht="15.75" customHeight="1" x14ac:dyDescent="0.25">
      <c r="A1108" s="44">
        <v>2017</v>
      </c>
      <c r="B1108" s="39">
        <v>172110</v>
      </c>
      <c r="C1108" s="38" t="s">
        <v>148</v>
      </c>
      <c r="D1108" s="38" t="s">
        <v>138</v>
      </c>
      <c r="E1108" s="39"/>
      <c r="F1108" s="42">
        <f t="shared" si="494"/>
        <v>0</v>
      </c>
      <c r="G1108" s="47"/>
      <c r="H1108" s="42">
        <f t="shared" si="495"/>
        <v>0</v>
      </c>
      <c r="I1108" s="39"/>
      <c r="J1108" s="41">
        <f t="shared" si="496"/>
        <v>0</v>
      </c>
      <c r="K1108" s="47"/>
      <c r="L1108" s="41">
        <f t="shared" si="497"/>
        <v>0</v>
      </c>
      <c r="M1108" s="39"/>
      <c r="N1108" s="41">
        <f t="shared" si="498"/>
        <v>0</v>
      </c>
      <c r="O1108" s="47"/>
      <c r="P1108" s="41">
        <f t="shared" si="499"/>
        <v>0</v>
      </c>
      <c r="Q1108" s="39"/>
      <c r="R1108" s="41">
        <f t="shared" si="500"/>
        <v>0</v>
      </c>
      <c r="S1108" s="47"/>
      <c r="T1108" s="41">
        <f t="shared" si="501"/>
        <v>0</v>
      </c>
      <c r="U1108" s="39"/>
      <c r="V1108" s="41">
        <f t="shared" si="502"/>
        <v>0</v>
      </c>
      <c r="W1108" s="47"/>
      <c r="X1108" s="41">
        <f t="shared" si="503"/>
        <v>0</v>
      </c>
      <c r="Y1108" s="39"/>
      <c r="Z1108" s="41">
        <f t="shared" si="504"/>
        <v>0</v>
      </c>
      <c r="AA1108" s="47"/>
      <c r="AB1108" s="41">
        <f t="shared" si="505"/>
        <v>0</v>
      </c>
      <c r="AC1108" s="39"/>
      <c r="AD1108" s="41">
        <f t="shared" si="513"/>
        <v>0</v>
      </c>
      <c r="AE1108" s="47"/>
      <c r="AF1108" s="41">
        <f t="shared" si="506"/>
        <v>0</v>
      </c>
      <c r="AG1108" s="39"/>
      <c r="AH1108" s="41">
        <f t="shared" si="514"/>
        <v>0</v>
      </c>
      <c r="AI1108" s="47"/>
      <c r="AJ1108" s="41">
        <f t="shared" si="507"/>
        <v>0</v>
      </c>
      <c r="AK1108" s="39"/>
      <c r="AL1108" s="41">
        <f t="shared" si="515"/>
        <v>0</v>
      </c>
      <c r="AM1108" s="47"/>
      <c r="AN1108" s="41">
        <f t="shared" si="508"/>
        <v>0</v>
      </c>
      <c r="AO1108" s="39"/>
      <c r="AP1108" s="41">
        <f t="shared" si="516"/>
        <v>0</v>
      </c>
      <c r="AQ1108" s="47"/>
      <c r="AR1108" s="41">
        <f t="shared" si="509"/>
        <v>0</v>
      </c>
      <c r="AS1108" s="39"/>
      <c r="AT1108" s="41">
        <f t="shared" si="517"/>
        <v>0</v>
      </c>
      <c r="AU1108" s="47"/>
      <c r="AV1108" s="41">
        <f t="shared" si="510"/>
        <v>0</v>
      </c>
      <c r="AW1108" s="39"/>
      <c r="AX1108" s="41">
        <f t="shared" si="518"/>
        <v>0</v>
      </c>
      <c r="AY1108" s="47"/>
      <c r="AZ1108" s="41">
        <f t="shared" si="511"/>
        <v>0</v>
      </c>
      <c r="BA1108" s="39"/>
      <c r="BB1108" s="41">
        <f t="shared" si="519"/>
        <v>0</v>
      </c>
      <c r="BC1108" s="47"/>
      <c r="BD1108" s="41">
        <f t="shared" si="512"/>
        <v>0</v>
      </c>
      <c r="BE1108" s="39"/>
      <c r="BF1108" s="47"/>
    </row>
    <row r="1109" spans="1:58" ht="15.75" customHeight="1" x14ac:dyDescent="0.25">
      <c r="A1109" s="44">
        <v>2017</v>
      </c>
      <c r="B1109" s="39">
        <v>172120</v>
      </c>
      <c r="C1109" s="38" t="s">
        <v>145</v>
      </c>
      <c r="D1109" s="38" t="s">
        <v>139</v>
      </c>
      <c r="E1109" s="39"/>
      <c r="F1109" s="42">
        <f t="shared" si="494"/>
        <v>0</v>
      </c>
      <c r="G1109" s="47"/>
      <c r="H1109" s="42">
        <f t="shared" si="495"/>
        <v>0</v>
      </c>
      <c r="I1109" s="39"/>
      <c r="J1109" s="41">
        <f t="shared" si="496"/>
        <v>0</v>
      </c>
      <c r="K1109" s="47"/>
      <c r="L1109" s="41">
        <f t="shared" si="497"/>
        <v>0</v>
      </c>
      <c r="M1109" s="39"/>
      <c r="N1109" s="41">
        <f t="shared" si="498"/>
        <v>0</v>
      </c>
      <c r="O1109" s="47"/>
      <c r="P1109" s="41">
        <f t="shared" si="499"/>
        <v>0</v>
      </c>
      <c r="Q1109" s="39"/>
      <c r="R1109" s="41">
        <f t="shared" si="500"/>
        <v>0</v>
      </c>
      <c r="S1109" s="47"/>
      <c r="T1109" s="41">
        <f t="shared" si="501"/>
        <v>0</v>
      </c>
      <c r="U1109" s="39"/>
      <c r="V1109" s="41">
        <f t="shared" si="502"/>
        <v>0</v>
      </c>
      <c r="W1109" s="47"/>
      <c r="X1109" s="41">
        <f t="shared" si="503"/>
        <v>0</v>
      </c>
      <c r="Y1109" s="39"/>
      <c r="Z1109" s="41">
        <f t="shared" si="504"/>
        <v>0</v>
      </c>
      <c r="AA1109" s="47"/>
      <c r="AB1109" s="41">
        <f t="shared" si="505"/>
        <v>0</v>
      </c>
      <c r="AC1109" s="39"/>
      <c r="AD1109" s="41">
        <f t="shared" si="513"/>
        <v>0</v>
      </c>
      <c r="AE1109" s="47"/>
      <c r="AF1109" s="41">
        <f t="shared" si="506"/>
        <v>0</v>
      </c>
      <c r="AG1109" s="39"/>
      <c r="AH1109" s="41">
        <f t="shared" si="514"/>
        <v>0</v>
      </c>
      <c r="AI1109" s="47"/>
      <c r="AJ1109" s="41">
        <f t="shared" si="507"/>
        <v>0</v>
      </c>
      <c r="AK1109" s="39"/>
      <c r="AL1109" s="41">
        <f t="shared" si="515"/>
        <v>0</v>
      </c>
      <c r="AM1109" s="47"/>
      <c r="AN1109" s="41">
        <f t="shared" si="508"/>
        <v>0</v>
      </c>
      <c r="AO1109" s="39"/>
      <c r="AP1109" s="41">
        <f t="shared" si="516"/>
        <v>0</v>
      </c>
      <c r="AQ1109" s="47"/>
      <c r="AR1109" s="41">
        <f t="shared" si="509"/>
        <v>0</v>
      </c>
      <c r="AS1109" s="39"/>
      <c r="AT1109" s="41">
        <f t="shared" si="517"/>
        <v>0</v>
      </c>
      <c r="AU1109" s="47"/>
      <c r="AV1109" s="41">
        <f t="shared" si="510"/>
        <v>0</v>
      </c>
      <c r="AW1109" s="39"/>
      <c r="AX1109" s="41">
        <f t="shared" si="518"/>
        <v>0</v>
      </c>
      <c r="AY1109" s="47"/>
      <c r="AZ1109" s="41">
        <f t="shared" si="511"/>
        <v>0</v>
      </c>
      <c r="BA1109" s="39"/>
      <c r="BB1109" s="41">
        <f t="shared" si="519"/>
        <v>0</v>
      </c>
      <c r="BC1109" s="47"/>
      <c r="BD1109" s="41">
        <f t="shared" si="512"/>
        <v>0</v>
      </c>
      <c r="BE1109" s="39"/>
      <c r="BF1109" s="47"/>
    </row>
    <row r="1110" spans="1:58" ht="15.75" customHeight="1" x14ac:dyDescent="0.25">
      <c r="A1110" s="44">
        <v>2017</v>
      </c>
      <c r="B1110" s="39">
        <v>172125</v>
      </c>
      <c r="C1110" s="38" t="s">
        <v>150</v>
      </c>
      <c r="D1110" s="38" t="s">
        <v>140</v>
      </c>
      <c r="E1110" s="39"/>
      <c r="F1110" s="42">
        <f t="shared" si="494"/>
        <v>0</v>
      </c>
      <c r="G1110" s="47"/>
      <c r="H1110" s="42">
        <f t="shared" si="495"/>
        <v>0</v>
      </c>
      <c r="I1110" s="39"/>
      <c r="J1110" s="41">
        <f t="shared" si="496"/>
        <v>0</v>
      </c>
      <c r="K1110" s="47"/>
      <c r="L1110" s="41">
        <f t="shared" si="497"/>
        <v>0</v>
      </c>
      <c r="M1110" s="39"/>
      <c r="N1110" s="41">
        <f t="shared" si="498"/>
        <v>0</v>
      </c>
      <c r="O1110" s="47"/>
      <c r="P1110" s="41">
        <f t="shared" si="499"/>
        <v>0</v>
      </c>
      <c r="Q1110" s="39"/>
      <c r="R1110" s="41">
        <f t="shared" si="500"/>
        <v>0</v>
      </c>
      <c r="S1110" s="47"/>
      <c r="T1110" s="41">
        <f t="shared" si="501"/>
        <v>0</v>
      </c>
      <c r="U1110" s="39"/>
      <c r="V1110" s="41">
        <f t="shared" si="502"/>
        <v>0</v>
      </c>
      <c r="W1110" s="47"/>
      <c r="X1110" s="41">
        <f t="shared" si="503"/>
        <v>0</v>
      </c>
      <c r="Y1110" s="39"/>
      <c r="Z1110" s="41">
        <f t="shared" si="504"/>
        <v>0</v>
      </c>
      <c r="AA1110" s="47"/>
      <c r="AB1110" s="41">
        <f t="shared" si="505"/>
        <v>0</v>
      </c>
      <c r="AC1110" s="39"/>
      <c r="AD1110" s="41">
        <f t="shared" si="513"/>
        <v>0</v>
      </c>
      <c r="AE1110" s="47"/>
      <c r="AF1110" s="41">
        <f t="shared" si="506"/>
        <v>0</v>
      </c>
      <c r="AG1110" s="39"/>
      <c r="AH1110" s="41">
        <f t="shared" si="514"/>
        <v>0</v>
      </c>
      <c r="AI1110" s="47"/>
      <c r="AJ1110" s="41">
        <f t="shared" si="507"/>
        <v>0</v>
      </c>
      <c r="AK1110" s="39"/>
      <c r="AL1110" s="41">
        <f t="shared" si="515"/>
        <v>0</v>
      </c>
      <c r="AM1110" s="47"/>
      <c r="AN1110" s="41">
        <f t="shared" si="508"/>
        <v>0</v>
      </c>
      <c r="AO1110" s="39"/>
      <c r="AP1110" s="41">
        <f t="shared" si="516"/>
        <v>0</v>
      </c>
      <c r="AQ1110" s="47"/>
      <c r="AR1110" s="41">
        <f t="shared" si="509"/>
        <v>0</v>
      </c>
      <c r="AS1110" s="39"/>
      <c r="AT1110" s="41">
        <f t="shared" si="517"/>
        <v>0</v>
      </c>
      <c r="AU1110" s="47"/>
      <c r="AV1110" s="41">
        <f t="shared" si="510"/>
        <v>0</v>
      </c>
      <c r="AW1110" s="39"/>
      <c r="AX1110" s="41">
        <f t="shared" si="518"/>
        <v>0</v>
      </c>
      <c r="AY1110" s="47"/>
      <c r="AZ1110" s="41">
        <f t="shared" si="511"/>
        <v>0</v>
      </c>
      <c r="BA1110" s="39"/>
      <c r="BB1110" s="41">
        <f t="shared" si="519"/>
        <v>0</v>
      </c>
      <c r="BC1110" s="47"/>
      <c r="BD1110" s="41">
        <f t="shared" si="512"/>
        <v>0</v>
      </c>
      <c r="BE1110" s="39"/>
      <c r="BF1110" s="47"/>
    </row>
    <row r="1111" spans="1:58" ht="15.75" customHeight="1" x14ac:dyDescent="0.25">
      <c r="A1111" s="44">
        <v>2017</v>
      </c>
      <c r="B1111" s="39">
        <v>172130</v>
      </c>
      <c r="C1111" s="38" t="s">
        <v>150</v>
      </c>
      <c r="D1111" s="38" t="s">
        <v>141</v>
      </c>
      <c r="E1111" s="39"/>
      <c r="F1111" s="42">
        <f t="shared" si="494"/>
        <v>0</v>
      </c>
      <c r="G1111" s="47"/>
      <c r="H1111" s="42">
        <f t="shared" si="495"/>
        <v>0</v>
      </c>
      <c r="I1111" s="39"/>
      <c r="J1111" s="41">
        <f t="shared" si="496"/>
        <v>0</v>
      </c>
      <c r="K1111" s="47"/>
      <c r="L1111" s="41">
        <f t="shared" si="497"/>
        <v>0</v>
      </c>
      <c r="M1111" s="39"/>
      <c r="N1111" s="41">
        <f t="shared" si="498"/>
        <v>0</v>
      </c>
      <c r="O1111" s="47"/>
      <c r="P1111" s="41">
        <f t="shared" si="499"/>
        <v>0</v>
      </c>
      <c r="Q1111" s="39"/>
      <c r="R1111" s="41">
        <f t="shared" si="500"/>
        <v>0</v>
      </c>
      <c r="S1111" s="47"/>
      <c r="T1111" s="41">
        <f t="shared" si="501"/>
        <v>0</v>
      </c>
      <c r="U1111" s="39"/>
      <c r="V1111" s="41">
        <f t="shared" si="502"/>
        <v>0</v>
      </c>
      <c r="W1111" s="47"/>
      <c r="X1111" s="41">
        <f t="shared" si="503"/>
        <v>0</v>
      </c>
      <c r="Y1111" s="39"/>
      <c r="Z1111" s="41">
        <f t="shared" si="504"/>
        <v>0</v>
      </c>
      <c r="AA1111" s="47"/>
      <c r="AB1111" s="41">
        <f t="shared" si="505"/>
        <v>0</v>
      </c>
      <c r="AC1111" s="39"/>
      <c r="AD1111" s="41">
        <f t="shared" si="513"/>
        <v>0</v>
      </c>
      <c r="AE1111" s="47"/>
      <c r="AF1111" s="41">
        <f t="shared" si="506"/>
        <v>0</v>
      </c>
      <c r="AG1111" s="39"/>
      <c r="AH1111" s="41">
        <f t="shared" si="514"/>
        <v>0</v>
      </c>
      <c r="AI1111" s="47"/>
      <c r="AJ1111" s="41">
        <f t="shared" si="507"/>
        <v>0</v>
      </c>
      <c r="AK1111" s="39"/>
      <c r="AL1111" s="41">
        <f t="shared" si="515"/>
        <v>0</v>
      </c>
      <c r="AM1111" s="47"/>
      <c r="AN1111" s="41">
        <f t="shared" si="508"/>
        <v>0</v>
      </c>
      <c r="AO1111" s="39"/>
      <c r="AP1111" s="41">
        <f t="shared" si="516"/>
        <v>0</v>
      </c>
      <c r="AQ1111" s="47"/>
      <c r="AR1111" s="41">
        <f t="shared" si="509"/>
        <v>0</v>
      </c>
      <c r="AS1111" s="39"/>
      <c r="AT1111" s="41">
        <f t="shared" si="517"/>
        <v>0</v>
      </c>
      <c r="AU1111" s="47"/>
      <c r="AV1111" s="41">
        <f t="shared" si="510"/>
        <v>0</v>
      </c>
      <c r="AW1111" s="39"/>
      <c r="AX1111" s="41">
        <f t="shared" si="518"/>
        <v>0</v>
      </c>
      <c r="AY1111" s="47"/>
      <c r="AZ1111" s="41">
        <f t="shared" si="511"/>
        <v>0</v>
      </c>
      <c r="BA1111" s="39"/>
      <c r="BB1111" s="41">
        <f t="shared" si="519"/>
        <v>0</v>
      </c>
      <c r="BC1111" s="47"/>
      <c r="BD1111" s="41">
        <f t="shared" si="512"/>
        <v>0</v>
      </c>
      <c r="BE1111" s="39"/>
      <c r="BF1111" s="47"/>
    </row>
    <row r="1112" spans="1:58" ht="15.75" customHeight="1" x14ac:dyDescent="0.25">
      <c r="A1112" s="44">
        <v>2017</v>
      </c>
      <c r="B1112" s="39">
        <v>172208</v>
      </c>
      <c r="C1112" s="38" t="s">
        <v>149</v>
      </c>
      <c r="D1112" s="38" t="s">
        <v>142</v>
      </c>
      <c r="E1112" s="39"/>
      <c r="F1112" s="42">
        <f t="shared" si="494"/>
        <v>0</v>
      </c>
      <c r="G1112" s="47"/>
      <c r="H1112" s="42">
        <f t="shared" si="495"/>
        <v>0</v>
      </c>
      <c r="I1112" s="39"/>
      <c r="J1112" s="41">
        <f t="shared" si="496"/>
        <v>0</v>
      </c>
      <c r="K1112" s="47"/>
      <c r="L1112" s="41">
        <f t="shared" si="497"/>
        <v>0</v>
      </c>
      <c r="M1112" s="39"/>
      <c r="N1112" s="41">
        <f t="shared" si="498"/>
        <v>0</v>
      </c>
      <c r="O1112" s="47"/>
      <c r="P1112" s="41">
        <f t="shared" si="499"/>
        <v>0</v>
      </c>
      <c r="Q1112" s="39"/>
      <c r="R1112" s="41">
        <f t="shared" si="500"/>
        <v>0</v>
      </c>
      <c r="S1112" s="47"/>
      <c r="T1112" s="41">
        <f t="shared" si="501"/>
        <v>0</v>
      </c>
      <c r="U1112" s="39"/>
      <c r="V1112" s="41">
        <f t="shared" si="502"/>
        <v>0</v>
      </c>
      <c r="W1112" s="47"/>
      <c r="X1112" s="41">
        <f t="shared" si="503"/>
        <v>0</v>
      </c>
      <c r="Y1112" s="39"/>
      <c r="Z1112" s="41">
        <f t="shared" si="504"/>
        <v>0</v>
      </c>
      <c r="AA1112" s="47"/>
      <c r="AB1112" s="41">
        <f t="shared" si="505"/>
        <v>0</v>
      </c>
      <c r="AC1112" s="39"/>
      <c r="AD1112" s="41">
        <f t="shared" si="513"/>
        <v>0</v>
      </c>
      <c r="AE1112" s="47"/>
      <c r="AF1112" s="41">
        <f t="shared" si="506"/>
        <v>0</v>
      </c>
      <c r="AG1112" s="39"/>
      <c r="AH1112" s="41">
        <f t="shared" si="514"/>
        <v>0</v>
      </c>
      <c r="AI1112" s="47"/>
      <c r="AJ1112" s="41">
        <f t="shared" si="507"/>
        <v>0</v>
      </c>
      <c r="AK1112" s="39"/>
      <c r="AL1112" s="41">
        <f t="shared" si="515"/>
        <v>0</v>
      </c>
      <c r="AM1112" s="47"/>
      <c r="AN1112" s="41">
        <f t="shared" si="508"/>
        <v>0</v>
      </c>
      <c r="AO1112" s="39"/>
      <c r="AP1112" s="41">
        <f t="shared" si="516"/>
        <v>0</v>
      </c>
      <c r="AQ1112" s="47"/>
      <c r="AR1112" s="41">
        <f t="shared" si="509"/>
        <v>0</v>
      </c>
      <c r="AS1112" s="39"/>
      <c r="AT1112" s="41">
        <f t="shared" si="517"/>
        <v>0</v>
      </c>
      <c r="AU1112" s="47"/>
      <c r="AV1112" s="41">
        <f t="shared" si="510"/>
        <v>0</v>
      </c>
      <c r="AW1112" s="39"/>
      <c r="AX1112" s="41">
        <f t="shared" si="518"/>
        <v>0</v>
      </c>
      <c r="AY1112" s="47"/>
      <c r="AZ1112" s="41">
        <f t="shared" si="511"/>
        <v>0</v>
      </c>
      <c r="BA1112" s="39"/>
      <c r="BB1112" s="41">
        <f t="shared" si="519"/>
        <v>0</v>
      </c>
      <c r="BC1112" s="47"/>
      <c r="BD1112" s="41">
        <f t="shared" si="512"/>
        <v>0</v>
      </c>
      <c r="BE1112" s="39"/>
      <c r="BF1112" s="47"/>
    </row>
    <row r="1113" spans="1:58" ht="15.75" customHeight="1" x14ac:dyDescent="0.25">
      <c r="A1113" s="44">
        <v>2017</v>
      </c>
      <c r="B1113" s="39">
        <v>172210</v>
      </c>
      <c r="C1113" s="38" t="s">
        <v>149</v>
      </c>
      <c r="D1113" s="38" t="s">
        <v>143</v>
      </c>
      <c r="E1113" s="39"/>
      <c r="F1113" s="42">
        <f t="shared" si="494"/>
        <v>0</v>
      </c>
      <c r="G1113" s="47"/>
      <c r="H1113" s="42">
        <f t="shared" si="495"/>
        <v>0</v>
      </c>
      <c r="I1113" s="39"/>
      <c r="J1113" s="41">
        <f t="shared" si="496"/>
        <v>0</v>
      </c>
      <c r="K1113" s="47"/>
      <c r="L1113" s="41">
        <f t="shared" si="497"/>
        <v>0</v>
      </c>
      <c r="M1113" s="39"/>
      <c r="N1113" s="41">
        <f t="shared" si="498"/>
        <v>0</v>
      </c>
      <c r="O1113" s="47"/>
      <c r="P1113" s="41">
        <f t="shared" si="499"/>
        <v>0</v>
      </c>
      <c r="Q1113" s="39"/>
      <c r="R1113" s="41">
        <f t="shared" si="500"/>
        <v>0</v>
      </c>
      <c r="S1113" s="47"/>
      <c r="T1113" s="41">
        <f t="shared" si="501"/>
        <v>0</v>
      </c>
      <c r="U1113" s="39"/>
      <c r="V1113" s="41">
        <f t="shared" si="502"/>
        <v>0</v>
      </c>
      <c r="W1113" s="47"/>
      <c r="X1113" s="41">
        <f t="shared" si="503"/>
        <v>0</v>
      </c>
      <c r="Y1113" s="39"/>
      <c r="Z1113" s="41">
        <f t="shared" si="504"/>
        <v>0</v>
      </c>
      <c r="AA1113" s="47"/>
      <c r="AB1113" s="41">
        <f t="shared" si="505"/>
        <v>0</v>
      </c>
      <c r="AC1113" s="39"/>
      <c r="AD1113" s="41">
        <f t="shared" si="513"/>
        <v>0</v>
      </c>
      <c r="AE1113" s="47"/>
      <c r="AF1113" s="41">
        <f t="shared" si="506"/>
        <v>0</v>
      </c>
      <c r="AG1113" s="39"/>
      <c r="AH1113" s="41">
        <f t="shared" si="514"/>
        <v>0</v>
      </c>
      <c r="AI1113" s="47"/>
      <c r="AJ1113" s="41">
        <f t="shared" si="507"/>
        <v>0</v>
      </c>
      <c r="AK1113" s="39"/>
      <c r="AL1113" s="41">
        <f t="shared" si="515"/>
        <v>0</v>
      </c>
      <c r="AM1113" s="47"/>
      <c r="AN1113" s="41">
        <f t="shared" si="508"/>
        <v>0</v>
      </c>
      <c r="AO1113" s="39"/>
      <c r="AP1113" s="41">
        <f t="shared" si="516"/>
        <v>0</v>
      </c>
      <c r="AQ1113" s="47"/>
      <c r="AR1113" s="41">
        <f t="shared" si="509"/>
        <v>0</v>
      </c>
      <c r="AS1113" s="39"/>
      <c r="AT1113" s="41">
        <f t="shared" si="517"/>
        <v>0</v>
      </c>
      <c r="AU1113" s="47"/>
      <c r="AV1113" s="41">
        <f t="shared" si="510"/>
        <v>0</v>
      </c>
      <c r="AW1113" s="39"/>
      <c r="AX1113" s="41">
        <f t="shared" si="518"/>
        <v>0</v>
      </c>
      <c r="AY1113" s="47"/>
      <c r="AZ1113" s="41">
        <f t="shared" si="511"/>
        <v>0</v>
      </c>
      <c r="BA1113" s="39"/>
      <c r="BB1113" s="41">
        <f t="shared" si="519"/>
        <v>0</v>
      </c>
      <c r="BC1113" s="47"/>
      <c r="BD1113" s="41">
        <f t="shared" si="512"/>
        <v>0</v>
      </c>
      <c r="BE1113" s="39"/>
      <c r="BF1113" s="47"/>
    </row>
    <row r="1114" spans="1:58" ht="15.75" customHeight="1" x14ac:dyDescent="0.25">
      <c r="A1114" s="44">
        <v>2016</v>
      </c>
      <c r="B1114" s="39">
        <v>170025</v>
      </c>
      <c r="C1114" s="38" t="s">
        <v>144</v>
      </c>
      <c r="D1114" s="38" t="s">
        <v>5</v>
      </c>
      <c r="E1114" s="39"/>
      <c r="F1114" s="42">
        <f t="shared" si="494"/>
        <v>0</v>
      </c>
      <c r="G1114" s="47"/>
      <c r="H1114" s="42">
        <f t="shared" si="495"/>
        <v>0</v>
      </c>
      <c r="I1114" s="39"/>
      <c r="J1114" s="41">
        <f t="shared" si="496"/>
        <v>0</v>
      </c>
      <c r="K1114" s="47"/>
      <c r="L1114" s="41">
        <f t="shared" si="497"/>
        <v>0</v>
      </c>
      <c r="M1114" s="39"/>
      <c r="N1114" s="41">
        <f t="shared" si="498"/>
        <v>0</v>
      </c>
      <c r="O1114" s="47"/>
      <c r="P1114" s="41">
        <f t="shared" si="499"/>
        <v>0</v>
      </c>
      <c r="Q1114" s="39"/>
      <c r="R1114" s="41">
        <f t="shared" si="500"/>
        <v>0</v>
      </c>
      <c r="S1114" s="47"/>
      <c r="T1114" s="41">
        <f t="shared" si="501"/>
        <v>0</v>
      </c>
      <c r="U1114" s="39"/>
      <c r="V1114" s="41">
        <f t="shared" si="502"/>
        <v>0</v>
      </c>
      <c r="W1114" s="47"/>
      <c r="X1114" s="41">
        <f t="shared" si="503"/>
        <v>0</v>
      </c>
      <c r="Y1114" s="39"/>
      <c r="Z1114" s="41">
        <f t="shared" si="504"/>
        <v>0</v>
      </c>
      <c r="AA1114" s="47"/>
      <c r="AB1114" s="41">
        <f t="shared" si="505"/>
        <v>0</v>
      </c>
      <c r="AC1114" s="39"/>
      <c r="AD1114" s="41">
        <f t="shared" si="513"/>
        <v>0</v>
      </c>
      <c r="AE1114" s="47"/>
      <c r="AF1114" s="41">
        <f t="shared" si="506"/>
        <v>0</v>
      </c>
      <c r="AG1114" s="39"/>
      <c r="AH1114" s="41">
        <f t="shared" si="514"/>
        <v>0</v>
      </c>
      <c r="AI1114" s="47"/>
      <c r="AJ1114" s="41">
        <f t="shared" si="507"/>
        <v>0</v>
      </c>
      <c r="AK1114" s="39"/>
      <c r="AL1114" s="41">
        <f t="shared" si="515"/>
        <v>0</v>
      </c>
      <c r="AM1114" s="47"/>
      <c r="AN1114" s="41">
        <f t="shared" si="508"/>
        <v>0</v>
      </c>
      <c r="AO1114" s="39"/>
      <c r="AP1114" s="41">
        <f t="shared" si="516"/>
        <v>0</v>
      </c>
      <c r="AQ1114" s="47"/>
      <c r="AR1114" s="41">
        <f t="shared" si="509"/>
        <v>0</v>
      </c>
      <c r="AS1114" s="39"/>
      <c r="AT1114" s="41">
        <f t="shared" si="517"/>
        <v>0</v>
      </c>
      <c r="AU1114" s="47"/>
      <c r="AV1114" s="41">
        <f t="shared" si="510"/>
        <v>0</v>
      </c>
      <c r="AW1114" s="39"/>
      <c r="AX1114" s="41">
        <f t="shared" si="518"/>
        <v>0</v>
      </c>
      <c r="AY1114" s="47"/>
      <c r="AZ1114" s="41">
        <f t="shared" si="511"/>
        <v>0</v>
      </c>
      <c r="BA1114" s="39"/>
      <c r="BB1114" s="41">
        <f t="shared" si="519"/>
        <v>0</v>
      </c>
      <c r="BC1114" s="47"/>
      <c r="BD1114" s="41">
        <f t="shared" si="512"/>
        <v>0</v>
      </c>
      <c r="BE1114" s="39"/>
      <c r="BF1114" s="47"/>
    </row>
    <row r="1115" spans="1:58" ht="15.75" customHeight="1" x14ac:dyDescent="0.25">
      <c r="A1115" s="44">
        <v>2016</v>
      </c>
      <c r="B1115" s="39">
        <v>170030</v>
      </c>
      <c r="C1115" s="38" t="s">
        <v>145</v>
      </c>
      <c r="D1115" s="38" t="s">
        <v>6</v>
      </c>
      <c r="E1115" s="39"/>
      <c r="F1115" s="42">
        <f t="shared" si="494"/>
        <v>0</v>
      </c>
      <c r="G1115" s="47"/>
      <c r="H1115" s="42">
        <f t="shared" si="495"/>
        <v>0</v>
      </c>
      <c r="I1115" s="39"/>
      <c r="J1115" s="41">
        <f t="shared" si="496"/>
        <v>0</v>
      </c>
      <c r="K1115" s="47"/>
      <c r="L1115" s="41">
        <f t="shared" si="497"/>
        <v>0</v>
      </c>
      <c r="M1115" s="39"/>
      <c r="N1115" s="41">
        <f t="shared" si="498"/>
        <v>0</v>
      </c>
      <c r="O1115" s="47"/>
      <c r="P1115" s="41">
        <f t="shared" si="499"/>
        <v>0</v>
      </c>
      <c r="Q1115" s="39"/>
      <c r="R1115" s="41">
        <f t="shared" si="500"/>
        <v>0</v>
      </c>
      <c r="S1115" s="47"/>
      <c r="T1115" s="41">
        <f t="shared" si="501"/>
        <v>0</v>
      </c>
      <c r="U1115" s="39"/>
      <c r="V1115" s="41">
        <f t="shared" si="502"/>
        <v>0</v>
      </c>
      <c r="W1115" s="47"/>
      <c r="X1115" s="41">
        <f t="shared" si="503"/>
        <v>0</v>
      </c>
      <c r="Y1115" s="39"/>
      <c r="Z1115" s="41">
        <f t="shared" si="504"/>
        <v>0</v>
      </c>
      <c r="AA1115" s="47"/>
      <c r="AB1115" s="41">
        <f t="shared" si="505"/>
        <v>0</v>
      </c>
      <c r="AC1115" s="39"/>
      <c r="AD1115" s="41">
        <f t="shared" si="513"/>
        <v>0</v>
      </c>
      <c r="AE1115" s="47"/>
      <c r="AF1115" s="41">
        <f t="shared" si="506"/>
        <v>0</v>
      </c>
      <c r="AG1115" s="39"/>
      <c r="AH1115" s="41">
        <f t="shared" si="514"/>
        <v>0</v>
      </c>
      <c r="AI1115" s="47"/>
      <c r="AJ1115" s="41">
        <f t="shared" si="507"/>
        <v>0</v>
      </c>
      <c r="AK1115" s="39"/>
      <c r="AL1115" s="41">
        <f t="shared" si="515"/>
        <v>0</v>
      </c>
      <c r="AM1115" s="47"/>
      <c r="AN1115" s="41">
        <f t="shared" si="508"/>
        <v>0</v>
      </c>
      <c r="AO1115" s="39"/>
      <c r="AP1115" s="41">
        <f t="shared" si="516"/>
        <v>0</v>
      </c>
      <c r="AQ1115" s="47"/>
      <c r="AR1115" s="41">
        <f t="shared" si="509"/>
        <v>0</v>
      </c>
      <c r="AS1115" s="39"/>
      <c r="AT1115" s="41">
        <f t="shared" si="517"/>
        <v>0</v>
      </c>
      <c r="AU1115" s="47"/>
      <c r="AV1115" s="41">
        <f t="shared" si="510"/>
        <v>0</v>
      </c>
      <c r="AW1115" s="39"/>
      <c r="AX1115" s="41">
        <f t="shared" si="518"/>
        <v>0</v>
      </c>
      <c r="AY1115" s="47"/>
      <c r="AZ1115" s="41">
        <f t="shared" si="511"/>
        <v>0</v>
      </c>
      <c r="BA1115" s="39"/>
      <c r="BB1115" s="41">
        <f t="shared" si="519"/>
        <v>0</v>
      </c>
      <c r="BC1115" s="47"/>
      <c r="BD1115" s="41">
        <f t="shared" si="512"/>
        <v>0</v>
      </c>
      <c r="BE1115" s="39"/>
      <c r="BF1115" s="47"/>
    </row>
    <row r="1116" spans="1:58" ht="15.75" customHeight="1" x14ac:dyDescent="0.25">
      <c r="A1116" s="44">
        <v>2016</v>
      </c>
      <c r="B1116" s="39">
        <v>170035</v>
      </c>
      <c r="C1116" s="38" t="s">
        <v>146</v>
      </c>
      <c r="D1116" s="38" t="s">
        <v>7</v>
      </c>
      <c r="E1116" s="39"/>
      <c r="F1116" s="42">
        <f t="shared" si="494"/>
        <v>0</v>
      </c>
      <c r="G1116" s="47"/>
      <c r="H1116" s="42">
        <f t="shared" si="495"/>
        <v>0</v>
      </c>
      <c r="I1116" s="39"/>
      <c r="J1116" s="41">
        <f t="shared" si="496"/>
        <v>0</v>
      </c>
      <c r="K1116" s="47"/>
      <c r="L1116" s="41">
        <f t="shared" si="497"/>
        <v>0</v>
      </c>
      <c r="M1116" s="39"/>
      <c r="N1116" s="41">
        <f t="shared" si="498"/>
        <v>0</v>
      </c>
      <c r="O1116" s="47"/>
      <c r="P1116" s="41">
        <f t="shared" si="499"/>
        <v>0</v>
      </c>
      <c r="Q1116" s="39"/>
      <c r="R1116" s="41">
        <f t="shared" si="500"/>
        <v>0</v>
      </c>
      <c r="S1116" s="47"/>
      <c r="T1116" s="41">
        <f t="shared" si="501"/>
        <v>0</v>
      </c>
      <c r="U1116" s="39"/>
      <c r="V1116" s="41">
        <f t="shared" si="502"/>
        <v>0</v>
      </c>
      <c r="W1116" s="47"/>
      <c r="X1116" s="41">
        <f t="shared" si="503"/>
        <v>0</v>
      </c>
      <c r="Y1116" s="39"/>
      <c r="Z1116" s="41">
        <f t="shared" si="504"/>
        <v>0</v>
      </c>
      <c r="AA1116" s="47"/>
      <c r="AB1116" s="41">
        <f t="shared" si="505"/>
        <v>0</v>
      </c>
      <c r="AC1116" s="39"/>
      <c r="AD1116" s="41">
        <f t="shared" si="513"/>
        <v>0</v>
      </c>
      <c r="AE1116" s="47"/>
      <c r="AF1116" s="41">
        <f t="shared" si="506"/>
        <v>0</v>
      </c>
      <c r="AG1116" s="39"/>
      <c r="AH1116" s="41">
        <f t="shared" si="514"/>
        <v>0</v>
      </c>
      <c r="AI1116" s="47"/>
      <c r="AJ1116" s="41">
        <f t="shared" si="507"/>
        <v>0</v>
      </c>
      <c r="AK1116" s="39"/>
      <c r="AL1116" s="41">
        <f t="shared" si="515"/>
        <v>0</v>
      </c>
      <c r="AM1116" s="47"/>
      <c r="AN1116" s="41">
        <f t="shared" si="508"/>
        <v>0</v>
      </c>
      <c r="AO1116" s="39"/>
      <c r="AP1116" s="41">
        <f t="shared" si="516"/>
        <v>0</v>
      </c>
      <c r="AQ1116" s="47"/>
      <c r="AR1116" s="41">
        <f t="shared" si="509"/>
        <v>0</v>
      </c>
      <c r="AS1116" s="39"/>
      <c r="AT1116" s="41">
        <f t="shared" si="517"/>
        <v>0</v>
      </c>
      <c r="AU1116" s="47"/>
      <c r="AV1116" s="41">
        <f t="shared" si="510"/>
        <v>0</v>
      </c>
      <c r="AW1116" s="39"/>
      <c r="AX1116" s="41">
        <f t="shared" si="518"/>
        <v>0</v>
      </c>
      <c r="AY1116" s="47"/>
      <c r="AZ1116" s="41">
        <f t="shared" si="511"/>
        <v>0</v>
      </c>
      <c r="BA1116" s="39"/>
      <c r="BB1116" s="41">
        <f t="shared" si="519"/>
        <v>0</v>
      </c>
      <c r="BC1116" s="47"/>
      <c r="BD1116" s="41">
        <f t="shared" si="512"/>
        <v>0</v>
      </c>
      <c r="BE1116" s="39"/>
      <c r="BF1116" s="47"/>
    </row>
    <row r="1117" spans="1:58" ht="15.75" customHeight="1" x14ac:dyDescent="0.25">
      <c r="A1117" s="44">
        <v>2016</v>
      </c>
      <c r="B1117" s="39">
        <v>170040</v>
      </c>
      <c r="C1117" s="38" t="s">
        <v>147</v>
      </c>
      <c r="D1117" s="38" t="s">
        <v>8</v>
      </c>
      <c r="E1117" s="39"/>
      <c r="F1117" s="42">
        <f t="shared" si="494"/>
        <v>0</v>
      </c>
      <c r="G1117" s="47"/>
      <c r="H1117" s="42">
        <f t="shared" si="495"/>
        <v>0</v>
      </c>
      <c r="I1117" s="39"/>
      <c r="J1117" s="41">
        <f t="shared" si="496"/>
        <v>0</v>
      </c>
      <c r="K1117" s="47"/>
      <c r="L1117" s="41">
        <f t="shared" si="497"/>
        <v>0</v>
      </c>
      <c r="M1117" s="39"/>
      <c r="N1117" s="41">
        <f t="shared" si="498"/>
        <v>0</v>
      </c>
      <c r="O1117" s="47"/>
      <c r="P1117" s="41">
        <f t="shared" si="499"/>
        <v>0</v>
      </c>
      <c r="Q1117" s="39"/>
      <c r="R1117" s="41">
        <f t="shared" si="500"/>
        <v>0</v>
      </c>
      <c r="S1117" s="47"/>
      <c r="T1117" s="41">
        <f t="shared" si="501"/>
        <v>0</v>
      </c>
      <c r="U1117" s="39"/>
      <c r="V1117" s="41">
        <f t="shared" si="502"/>
        <v>0</v>
      </c>
      <c r="W1117" s="47"/>
      <c r="X1117" s="41">
        <f t="shared" si="503"/>
        <v>0</v>
      </c>
      <c r="Y1117" s="39"/>
      <c r="Z1117" s="41">
        <f t="shared" si="504"/>
        <v>0</v>
      </c>
      <c r="AA1117" s="47"/>
      <c r="AB1117" s="41">
        <f t="shared" si="505"/>
        <v>0</v>
      </c>
      <c r="AC1117" s="39"/>
      <c r="AD1117" s="41">
        <f t="shared" si="513"/>
        <v>0</v>
      </c>
      <c r="AE1117" s="47"/>
      <c r="AF1117" s="41">
        <f t="shared" si="506"/>
        <v>0</v>
      </c>
      <c r="AG1117" s="39"/>
      <c r="AH1117" s="41">
        <f t="shared" si="514"/>
        <v>0</v>
      </c>
      <c r="AI1117" s="47"/>
      <c r="AJ1117" s="41">
        <f t="shared" si="507"/>
        <v>0</v>
      </c>
      <c r="AK1117" s="39"/>
      <c r="AL1117" s="41">
        <f t="shared" si="515"/>
        <v>0</v>
      </c>
      <c r="AM1117" s="47"/>
      <c r="AN1117" s="41">
        <f t="shared" si="508"/>
        <v>0</v>
      </c>
      <c r="AO1117" s="39"/>
      <c r="AP1117" s="41">
        <f t="shared" si="516"/>
        <v>0</v>
      </c>
      <c r="AQ1117" s="47"/>
      <c r="AR1117" s="41">
        <f t="shared" si="509"/>
        <v>0</v>
      </c>
      <c r="AS1117" s="39"/>
      <c r="AT1117" s="41">
        <f t="shared" si="517"/>
        <v>0</v>
      </c>
      <c r="AU1117" s="47"/>
      <c r="AV1117" s="41">
        <f t="shared" si="510"/>
        <v>0</v>
      </c>
      <c r="AW1117" s="39"/>
      <c r="AX1117" s="41">
        <f t="shared" si="518"/>
        <v>0</v>
      </c>
      <c r="AY1117" s="47"/>
      <c r="AZ1117" s="41">
        <f t="shared" si="511"/>
        <v>0</v>
      </c>
      <c r="BA1117" s="39"/>
      <c r="BB1117" s="41">
        <f t="shared" si="519"/>
        <v>0</v>
      </c>
      <c r="BC1117" s="47"/>
      <c r="BD1117" s="41">
        <f t="shared" si="512"/>
        <v>0</v>
      </c>
      <c r="BE1117" s="39"/>
      <c r="BF1117" s="47"/>
    </row>
    <row r="1118" spans="1:58" ht="15.75" customHeight="1" x14ac:dyDescent="0.25">
      <c r="A1118" s="44">
        <v>2016</v>
      </c>
      <c r="B1118" s="39">
        <v>170070</v>
      </c>
      <c r="C1118" s="38" t="s">
        <v>146</v>
      </c>
      <c r="D1118" s="38" t="s">
        <v>9</v>
      </c>
      <c r="E1118" s="39"/>
      <c r="F1118" s="42">
        <f t="shared" si="494"/>
        <v>0</v>
      </c>
      <c r="G1118" s="47"/>
      <c r="H1118" s="42">
        <f t="shared" si="495"/>
        <v>0</v>
      </c>
      <c r="I1118" s="39"/>
      <c r="J1118" s="41">
        <f t="shared" si="496"/>
        <v>0</v>
      </c>
      <c r="K1118" s="47"/>
      <c r="L1118" s="41">
        <f t="shared" si="497"/>
        <v>0</v>
      </c>
      <c r="M1118" s="39"/>
      <c r="N1118" s="41">
        <f t="shared" si="498"/>
        <v>0</v>
      </c>
      <c r="O1118" s="47"/>
      <c r="P1118" s="41">
        <f t="shared" si="499"/>
        <v>0</v>
      </c>
      <c r="Q1118" s="39"/>
      <c r="R1118" s="41">
        <f t="shared" si="500"/>
        <v>0</v>
      </c>
      <c r="S1118" s="47"/>
      <c r="T1118" s="41">
        <f t="shared" si="501"/>
        <v>0</v>
      </c>
      <c r="U1118" s="39"/>
      <c r="V1118" s="41">
        <f t="shared" si="502"/>
        <v>0</v>
      </c>
      <c r="W1118" s="47"/>
      <c r="X1118" s="41">
        <f t="shared" si="503"/>
        <v>0</v>
      </c>
      <c r="Y1118" s="39"/>
      <c r="Z1118" s="41">
        <f t="shared" si="504"/>
        <v>0</v>
      </c>
      <c r="AA1118" s="47"/>
      <c r="AB1118" s="41">
        <f t="shared" si="505"/>
        <v>0</v>
      </c>
      <c r="AC1118" s="39"/>
      <c r="AD1118" s="41">
        <f t="shared" si="513"/>
        <v>0</v>
      </c>
      <c r="AE1118" s="47"/>
      <c r="AF1118" s="41">
        <f t="shared" si="506"/>
        <v>0</v>
      </c>
      <c r="AG1118" s="39"/>
      <c r="AH1118" s="41">
        <f t="shared" si="514"/>
        <v>0</v>
      </c>
      <c r="AI1118" s="47"/>
      <c r="AJ1118" s="41">
        <f t="shared" si="507"/>
        <v>0</v>
      </c>
      <c r="AK1118" s="39"/>
      <c r="AL1118" s="41">
        <f t="shared" si="515"/>
        <v>0</v>
      </c>
      <c r="AM1118" s="47"/>
      <c r="AN1118" s="41">
        <f t="shared" si="508"/>
        <v>0</v>
      </c>
      <c r="AO1118" s="39"/>
      <c r="AP1118" s="41">
        <f t="shared" si="516"/>
        <v>0</v>
      </c>
      <c r="AQ1118" s="47"/>
      <c r="AR1118" s="41">
        <f t="shared" si="509"/>
        <v>0</v>
      </c>
      <c r="AS1118" s="39"/>
      <c r="AT1118" s="41">
        <f t="shared" si="517"/>
        <v>0</v>
      </c>
      <c r="AU1118" s="47"/>
      <c r="AV1118" s="41">
        <f t="shared" si="510"/>
        <v>0</v>
      </c>
      <c r="AW1118" s="39"/>
      <c r="AX1118" s="41">
        <f t="shared" si="518"/>
        <v>0</v>
      </c>
      <c r="AY1118" s="47"/>
      <c r="AZ1118" s="41">
        <f t="shared" si="511"/>
        <v>0</v>
      </c>
      <c r="BA1118" s="39"/>
      <c r="BB1118" s="41">
        <f t="shared" si="519"/>
        <v>0</v>
      </c>
      <c r="BC1118" s="47"/>
      <c r="BD1118" s="41">
        <f t="shared" si="512"/>
        <v>0</v>
      </c>
      <c r="BE1118" s="39"/>
      <c r="BF1118" s="47"/>
    </row>
    <row r="1119" spans="1:58" ht="15.75" customHeight="1" x14ac:dyDescent="0.25">
      <c r="A1119" s="44">
        <v>2016</v>
      </c>
      <c r="B1119" s="39">
        <v>170100</v>
      </c>
      <c r="C1119" s="38" t="s">
        <v>145</v>
      </c>
      <c r="D1119" s="38" t="s">
        <v>10</v>
      </c>
      <c r="E1119" s="39"/>
      <c r="F1119" s="42">
        <f t="shared" si="494"/>
        <v>0</v>
      </c>
      <c r="G1119" s="47"/>
      <c r="H1119" s="42">
        <f t="shared" si="495"/>
        <v>0</v>
      </c>
      <c r="I1119" s="39"/>
      <c r="J1119" s="41">
        <f t="shared" si="496"/>
        <v>0</v>
      </c>
      <c r="K1119" s="47"/>
      <c r="L1119" s="41">
        <f t="shared" si="497"/>
        <v>0</v>
      </c>
      <c r="M1119" s="39"/>
      <c r="N1119" s="41">
        <f t="shared" si="498"/>
        <v>0</v>
      </c>
      <c r="O1119" s="47"/>
      <c r="P1119" s="41">
        <f t="shared" si="499"/>
        <v>0</v>
      </c>
      <c r="Q1119" s="39"/>
      <c r="R1119" s="41">
        <f t="shared" si="500"/>
        <v>0</v>
      </c>
      <c r="S1119" s="47"/>
      <c r="T1119" s="41">
        <f t="shared" si="501"/>
        <v>0</v>
      </c>
      <c r="U1119" s="39"/>
      <c r="V1119" s="41">
        <f t="shared" si="502"/>
        <v>0</v>
      </c>
      <c r="W1119" s="47"/>
      <c r="X1119" s="41">
        <f t="shared" si="503"/>
        <v>0</v>
      </c>
      <c r="Y1119" s="39"/>
      <c r="Z1119" s="41">
        <f t="shared" si="504"/>
        <v>0</v>
      </c>
      <c r="AA1119" s="47"/>
      <c r="AB1119" s="41">
        <f t="shared" si="505"/>
        <v>0</v>
      </c>
      <c r="AC1119" s="39"/>
      <c r="AD1119" s="41">
        <f t="shared" si="513"/>
        <v>0</v>
      </c>
      <c r="AE1119" s="47"/>
      <c r="AF1119" s="41">
        <f t="shared" si="506"/>
        <v>0</v>
      </c>
      <c r="AG1119" s="39"/>
      <c r="AH1119" s="41">
        <f t="shared" si="514"/>
        <v>0</v>
      </c>
      <c r="AI1119" s="47"/>
      <c r="AJ1119" s="41">
        <f t="shared" si="507"/>
        <v>0</v>
      </c>
      <c r="AK1119" s="39"/>
      <c r="AL1119" s="41">
        <f t="shared" si="515"/>
        <v>0</v>
      </c>
      <c r="AM1119" s="47"/>
      <c r="AN1119" s="41">
        <f t="shared" si="508"/>
        <v>0</v>
      </c>
      <c r="AO1119" s="39"/>
      <c r="AP1119" s="41">
        <f t="shared" si="516"/>
        <v>0</v>
      </c>
      <c r="AQ1119" s="47"/>
      <c r="AR1119" s="41">
        <f t="shared" si="509"/>
        <v>0</v>
      </c>
      <c r="AS1119" s="39"/>
      <c r="AT1119" s="41">
        <f t="shared" si="517"/>
        <v>0</v>
      </c>
      <c r="AU1119" s="47"/>
      <c r="AV1119" s="41">
        <f t="shared" si="510"/>
        <v>0</v>
      </c>
      <c r="AW1119" s="39"/>
      <c r="AX1119" s="41">
        <f t="shared" si="518"/>
        <v>0</v>
      </c>
      <c r="AY1119" s="47"/>
      <c r="AZ1119" s="41">
        <f t="shared" si="511"/>
        <v>0</v>
      </c>
      <c r="BA1119" s="39"/>
      <c r="BB1119" s="41">
        <f t="shared" si="519"/>
        <v>0</v>
      </c>
      <c r="BC1119" s="47"/>
      <c r="BD1119" s="41">
        <f t="shared" si="512"/>
        <v>0</v>
      </c>
      <c r="BE1119" s="39"/>
      <c r="BF1119" s="47"/>
    </row>
    <row r="1120" spans="1:58" ht="15.75" customHeight="1" x14ac:dyDescent="0.25">
      <c r="A1120" s="44">
        <v>2016</v>
      </c>
      <c r="B1120" s="39">
        <v>170105</v>
      </c>
      <c r="C1120" s="38" t="s">
        <v>145</v>
      </c>
      <c r="D1120" s="38" t="s">
        <v>11</v>
      </c>
      <c r="E1120" s="39"/>
      <c r="F1120" s="42">
        <f t="shared" si="494"/>
        <v>0</v>
      </c>
      <c r="G1120" s="47"/>
      <c r="H1120" s="42">
        <f t="shared" si="495"/>
        <v>0</v>
      </c>
      <c r="I1120" s="39"/>
      <c r="J1120" s="41">
        <f t="shared" si="496"/>
        <v>0</v>
      </c>
      <c r="K1120" s="47"/>
      <c r="L1120" s="41">
        <f t="shared" si="497"/>
        <v>0</v>
      </c>
      <c r="M1120" s="39"/>
      <c r="N1120" s="41">
        <f t="shared" si="498"/>
        <v>0</v>
      </c>
      <c r="O1120" s="47"/>
      <c r="P1120" s="41">
        <f t="shared" si="499"/>
        <v>0</v>
      </c>
      <c r="Q1120" s="39"/>
      <c r="R1120" s="41">
        <f t="shared" si="500"/>
        <v>0</v>
      </c>
      <c r="S1120" s="47"/>
      <c r="T1120" s="41">
        <f t="shared" si="501"/>
        <v>0</v>
      </c>
      <c r="U1120" s="39"/>
      <c r="V1120" s="41">
        <f t="shared" si="502"/>
        <v>0</v>
      </c>
      <c r="W1120" s="47"/>
      <c r="X1120" s="41">
        <f t="shared" si="503"/>
        <v>0</v>
      </c>
      <c r="Y1120" s="39"/>
      <c r="Z1120" s="41">
        <f t="shared" si="504"/>
        <v>0</v>
      </c>
      <c r="AA1120" s="47"/>
      <c r="AB1120" s="41">
        <f t="shared" si="505"/>
        <v>0</v>
      </c>
      <c r="AC1120" s="39"/>
      <c r="AD1120" s="41">
        <f t="shared" si="513"/>
        <v>0</v>
      </c>
      <c r="AE1120" s="47"/>
      <c r="AF1120" s="41">
        <f t="shared" si="506"/>
        <v>0</v>
      </c>
      <c r="AG1120" s="39"/>
      <c r="AH1120" s="41">
        <f t="shared" si="514"/>
        <v>0</v>
      </c>
      <c r="AI1120" s="47"/>
      <c r="AJ1120" s="41">
        <f t="shared" si="507"/>
        <v>0</v>
      </c>
      <c r="AK1120" s="39"/>
      <c r="AL1120" s="41">
        <f t="shared" si="515"/>
        <v>0</v>
      </c>
      <c r="AM1120" s="47"/>
      <c r="AN1120" s="41">
        <f t="shared" si="508"/>
        <v>0</v>
      </c>
      <c r="AO1120" s="39"/>
      <c r="AP1120" s="41">
        <f t="shared" si="516"/>
        <v>0</v>
      </c>
      <c r="AQ1120" s="47"/>
      <c r="AR1120" s="41">
        <f t="shared" si="509"/>
        <v>0</v>
      </c>
      <c r="AS1120" s="39"/>
      <c r="AT1120" s="41">
        <f t="shared" si="517"/>
        <v>0</v>
      </c>
      <c r="AU1120" s="47"/>
      <c r="AV1120" s="41">
        <f t="shared" si="510"/>
        <v>0</v>
      </c>
      <c r="AW1120" s="39"/>
      <c r="AX1120" s="41">
        <f t="shared" si="518"/>
        <v>0</v>
      </c>
      <c r="AY1120" s="47"/>
      <c r="AZ1120" s="41">
        <f t="shared" si="511"/>
        <v>0</v>
      </c>
      <c r="BA1120" s="39"/>
      <c r="BB1120" s="41">
        <f t="shared" si="519"/>
        <v>0</v>
      </c>
      <c r="BC1120" s="47"/>
      <c r="BD1120" s="41">
        <f t="shared" si="512"/>
        <v>0</v>
      </c>
      <c r="BE1120" s="39"/>
      <c r="BF1120" s="47"/>
    </row>
    <row r="1121" spans="1:58" ht="15.75" customHeight="1" x14ac:dyDescent="0.25">
      <c r="A1121" s="44">
        <v>2016</v>
      </c>
      <c r="B1121" s="39">
        <v>170110</v>
      </c>
      <c r="C1121" s="38" t="s">
        <v>148</v>
      </c>
      <c r="D1121" s="38" t="s">
        <v>12</v>
      </c>
      <c r="E1121" s="39"/>
      <c r="F1121" s="42">
        <f t="shared" si="494"/>
        <v>0</v>
      </c>
      <c r="G1121" s="47"/>
      <c r="H1121" s="42">
        <f t="shared" si="495"/>
        <v>0</v>
      </c>
      <c r="I1121" s="39"/>
      <c r="J1121" s="41">
        <f t="shared" si="496"/>
        <v>0</v>
      </c>
      <c r="K1121" s="47"/>
      <c r="L1121" s="41">
        <f t="shared" si="497"/>
        <v>0</v>
      </c>
      <c r="M1121" s="39"/>
      <c r="N1121" s="41">
        <f t="shared" si="498"/>
        <v>0</v>
      </c>
      <c r="O1121" s="47"/>
      <c r="P1121" s="41">
        <f t="shared" si="499"/>
        <v>0</v>
      </c>
      <c r="Q1121" s="39"/>
      <c r="R1121" s="41">
        <f t="shared" si="500"/>
        <v>0</v>
      </c>
      <c r="S1121" s="47"/>
      <c r="T1121" s="41">
        <f t="shared" si="501"/>
        <v>0</v>
      </c>
      <c r="U1121" s="39"/>
      <c r="V1121" s="41">
        <f t="shared" si="502"/>
        <v>0</v>
      </c>
      <c r="W1121" s="47"/>
      <c r="X1121" s="41">
        <f t="shared" si="503"/>
        <v>0</v>
      </c>
      <c r="Y1121" s="39"/>
      <c r="Z1121" s="41">
        <f t="shared" si="504"/>
        <v>0</v>
      </c>
      <c r="AA1121" s="47"/>
      <c r="AB1121" s="41">
        <f t="shared" si="505"/>
        <v>0</v>
      </c>
      <c r="AC1121" s="39"/>
      <c r="AD1121" s="41">
        <f t="shared" si="513"/>
        <v>0</v>
      </c>
      <c r="AE1121" s="47"/>
      <c r="AF1121" s="41">
        <f t="shared" si="506"/>
        <v>0</v>
      </c>
      <c r="AG1121" s="39"/>
      <c r="AH1121" s="41">
        <f t="shared" si="514"/>
        <v>0</v>
      </c>
      <c r="AI1121" s="47"/>
      <c r="AJ1121" s="41">
        <f t="shared" si="507"/>
        <v>0</v>
      </c>
      <c r="AK1121" s="39"/>
      <c r="AL1121" s="41">
        <f t="shared" si="515"/>
        <v>0</v>
      </c>
      <c r="AM1121" s="47"/>
      <c r="AN1121" s="41">
        <f t="shared" si="508"/>
        <v>0</v>
      </c>
      <c r="AO1121" s="39"/>
      <c r="AP1121" s="41">
        <f t="shared" si="516"/>
        <v>0</v>
      </c>
      <c r="AQ1121" s="47"/>
      <c r="AR1121" s="41">
        <f t="shared" si="509"/>
        <v>0</v>
      </c>
      <c r="AS1121" s="39"/>
      <c r="AT1121" s="41">
        <f t="shared" si="517"/>
        <v>0</v>
      </c>
      <c r="AU1121" s="47"/>
      <c r="AV1121" s="41">
        <f t="shared" si="510"/>
        <v>0</v>
      </c>
      <c r="AW1121" s="39"/>
      <c r="AX1121" s="41">
        <f t="shared" si="518"/>
        <v>0</v>
      </c>
      <c r="AY1121" s="47"/>
      <c r="AZ1121" s="41">
        <f t="shared" si="511"/>
        <v>0</v>
      </c>
      <c r="BA1121" s="39"/>
      <c r="BB1121" s="41">
        <f t="shared" si="519"/>
        <v>0</v>
      </c>
      <c r="BC1121" s="47"/>
      <c r="BD1121" s="41">
        <f t="shared" si="512"/>
        <v>0</v>
      </c>
      <c r="BE1121" s="39"/>
      <c r="BF1121" s="47"/>
    </row>
    <row r="1122" spans="1:58" ht="15.75" customHeight="1" x14ac:dyDescent="0.25">
      <c r="A1122" s="44">
        <v>2016</v>
      </c>
      <c r="B1122" s="39">
        <v>170130</v>
      </c>
      <c r="C1122" s="38" t="s">
        <v>149</v>
      </c>
      <c r="D1122" s="38" t="s">
        <v>13</v>
      </c>
      <c r="E1122" s="39"/>
      <c r="F1122" s="42">
        <f t="shared" si="494"/>
        <v>0</v>
      </c>
      <c r="G1122" s="47"/>
      <c r="H1122" s="42">
        <f t="shared" si="495"/>
        <v>0</v>
      </c>
      <c r="I1122" s="39"/>
      <c r="J1122" s="41">
        <f t="shared" si="496"/>
        <v>0</v>
      </c>
      <c r="K1122" s="47"/>
      <c r="L1122" s="41">
        <f t="shared" si="497"/>
        <v>0</v>
      </c>
      <c r="M1122" s="39"/>
      <c r="N1122" s="41">
        <f t="shared" si="498"/>
        <v>0</v>
      </c>
      <c r="O1122" s="47"/>
      <c r="P1122" s="41">
        <f t="shared" si="499"/>
        <v>0</v>
      </c>
      <c r="Q1122" s="39"/>
      <c r="R1122" s="41">
        <f t="shared" si="500"/>
        <v>0</v>
      </c>
      <c r="S1122" s="47"/>
      <c r="T1122" s="41">
        <f t="shared" si="501"/>
        <v>0</v>
      </c>
      <c r="U1122" s="39"/>
      <c r="V1122" s="41">
        <f t="shared" si="502"/>
        <v>0</v>
      </c>
      <c r="W1122" s="47"/>
      <c r="X1122" s="41">
        <f t="shared" si="503"/>
        <v>0</v>
      </c>
      <c r="Y1122" s="39"/>
      <c r="Z1122" s="41">
        <f t="shared" si="504"/>
        <v>0</v>
      </c>
      <c r="AA1122" s="47"/>
      <c r="AB1122" s="41">
        <f t="shared" si="505"/>
        <v>0</v>
      </c>
      <c r="AC1122" s="39"/>
      <c r="AD1122" s="41">
        <f t="shared" si="513"/>
        <v>0</v>
      </c>
      <c r="AE1122" s="47"/>
      <c r="AF1122" s="41">
        <f t="shared" si="506"/>
        <v>0</v>
      </c>
      <c r="AG1122" s="39"/>
      <c r="AH1122" s="41">
        <f t="shared" si="514"/>
        <v>0</v>
      </c>
      <c r="AI1122" s="47"/>
      <c r="AJ1122" s="41">
        <f t="shared" si="507"/>
        <v>0</v>
      </c>
      <c r="AK1122" s="39"/>
      <c r="AL1122" s="41">
        <f t="shared" si="515"/>
        <v>0</v>
      </c>
      <c r="AM1122" s="47"/>
      <c r="AN1122" s="41">
        <f t="shared" si="508"/>
        <v>0</v>
      </c>
      <c r="AO1122" s="39"/>
      <c r="AP1122" s="41">
        <f t="shared" si="516"/>
        <v>0</v>
      </c>
      <c r="AQ1122" s="47"/>
      <c r="AR1122" s="41">
        <f t="shared" si="509"/>
        <v>0</v>
      </c>
      <c r="AS1122" s="39"/>
      <c r="AT1122" s="41">
        <f t="shared" si="517"/>
        <v>0</v>
      </c>
      <c r="AU1122" s="47"/>
      <c r="AV1122" s="41">
        <f t="shared" si="510"/>
        <v>0</v>
      </c>
      <c r="AW1122" s="39"/>
      <c r="AX1122" s="41">
        <f t="shared" si="518"/>
        <v>0</v>
      </c>
      <c r="AY1122" s="47"/>
      <c r="AZ1122" s="41">
        <f t="shared" si="511"/>
        <v>0</v>
      </c>
      <c r="BA1122" s="39"/>
      <c r="BB1122" s="41">
        <f t="shared" si="519"/>
        <v>0</v>
      </c>
      <c r="BC1122" s="47"/>
      <c r="BD1122" s="41">
        <f t="shared" si="512"/>
        <v>0</v>
      </c>
      <c r="BE1122" s="39"/>
      <c r="BF1122" s="47"/>
    </row>
    <row r="1123" spans="1:58" ht="15.75" customHeight="1" x14ac:dyDescent="0.25">
      <c r="A1123" s="44">
        <v>2016</v>
      </c>
      <c r="B1123" s="39">
        <v>170190</v>
      </c>
      <c r="C1123" s="38" t="s">
        <v>144</v>
      </c>
      <c r="D1123" s="38" t="s">
        <v>14</v>
      </c>
      <c r="E1123" s="39"/>
      <c r="F1123" s="42">
        <f t="shared" si="494"/>
        <v>0</v>
      </c>
      <c r="G1123" s="47"/>
      <c r="H1123" s="42">
        <f t="shared" si="495"/>
        <v>0</v>
      </c>
      <c r="I1123" s="39"/>
      <c r="J1123" s="41">
        <f t="shared" si="496"/>
        <v>0</v>
      </c>
      <c r="K1123" s="47"/>
      <c r="L1123" s="41">
        <f t="shared" si="497"/>
        <v>0</v>
      </c>
      <c r="M1123" s="39"/>
      <c r="N1123" s="41">
        <f t="shared" si="498"/>
        <v>0</v>
      </c>
      <c r="O1123" s="47"/>
      <c r="P1123" s="41">
        <f t="shared" si="499"/>
        <v>0</v>
      </c>
      <c r="Q1123" s="39"/>
      <c r="R1123" s="41">
        <f t="shared" si="500"/>
        <v>0</v>
      </c>
      <c r="S1123" s="47"/>
      <c r="T1123" s="41">
        <f t="shared" si="501"/>
        <v>0</v>
      </c>
      <c r="U1123" s="39"/>
      <c r="V1123" s="41">
        <f t="shared" si="502"/>
        <v>0</v>
      </c>
      <c r="W1123" s="47"/>
      <c r="X1123" s="41">
        <f t="shared" si="503"/>
        <v>0</v>
      </c>
      <c r="Y1123" s="39"/>
      <c r="Z1123" s="41">
        <f t="shared" si="504"/>
        <v>0</v>
      </c>
      <c r="AA1123" s="47"/>
      <c r="AB1123" s="41">
        <f t="shared" si="505"/>
        <v>0</v>
      </c>
      <c r="AC1123" s="39"/>
      <c r="AD1123" s="41">
        <f t="shared" si="513"/>
        <v>0</v>
      </c>
      <c r="AE1123" s="47"/>
      <c r="AF1123" s="41">
        <f t="shared" si="506"/>
        <v>0</v>
      </c>
      <c r="AG1123" s="39"/>
      <c r="AH1123" s="41">
        <f t="shared" si="514"/>
        <v>0</v>
      </c>
      <c r="AI1123" s="47"/>
      <c r="AJ1123" s="41">
        <f t="shared" si="507"/>
        <v>0</v>
      </c>
      <c r="AK1123" s="39"/>
      <c r="AL1123" s="41">
        <f t="shared" si="515"/>
        <v>0</v>
      </c>
      <c r="AM1123" s="47"/>
      <c r="AN1123" s="41">
        <f t="shared" si="508"/>
        <v>0</v>
      </c>
      <c r="AO1123" s="39"/>
      <c r="AP1123" s="41">
        <f t="shared" si="516"/>
        <v>0</v>
      </c>
      <c r="AQ1123" s="47"/>
      <c r="AR1123" s="41">
        <f t="shared" si="509"/>
        <v>0</v>
      </c>
      <c r="AS1123" s="39"/>
      <c r="AT1123" s="41">
        <f t="shared" si="517"/>
        <v>0</v>
      </c>
      <c r="AU1123" s="47"/>
      <c r="AV1123" s="41">
        <f t="shared" si="510"/>
        <v>0</v>
      </c>
      <c r="AW1123" s="39"/>
      <c r="AX1123" s="41">
        <f t="shared" si="518"/>
        <v>0</v>
      </c>
      <c r="AY1123" s="47"/>
      <c r="AZ1123" s="41">
        <f t="shared" si="511"/>
        <v>0</v>
      </c>
      <c r="BA1123" s="39"/>
      <c r="BB1123" s="41">
        <f t="shared" si="519"/>
        <v>0</v>
      </c>
      <c r="BC1123" s="47"/>
      <c r="BD1123" s="41">
        <f t="shared" si="512"/>
        <v>0</v>
      </c>
      <c r="BE1123" s="39"/>
      <c r="BF1123" s="47"/>
    </row>
    <row r="1124" spans="1:58" ht="15.75" customHeight="1" x14ac:dyDescent="0.25">
      <c r="A1124" s="44">
        <v>2016</v>
      </c>
      <c r="B1124" s="39">
        <v>170200</v>
      </c>
      <c r="C1124" s="38" t="s">
        <v>146</v>
      </c>
      <c r="D1124" s="38" t="s">
        <v>15</v>
      </c>
      <c r="E1124" s="39"/>
      <c r="F1124" s="42">
        <f t="shared" si="494"/>
        <v>0</v>
      </c>
      <c r="G1124" s="47"/>
      <c r="H1124" s="42">
        <f t="shared" si="495"/>
        <v>0</v>
      </c>
      <c r="I1124" s="39"/>
      <c r="J1124" s="41">
        <f t="shared" si="496"/>
        <v>0</v>
      </c>
      <c r="K1124" s="47"/>
      <c r="L1124" s="41">
        <f t="shared" si="497"/>
        <v>0</v>
      </c>
      <c r="M1124" s="39"/>
      <c r="N1124" s="41">
        <f t="shared" si="498"/>
        <v>0</v>
      </c>
      <c r="O1124" s="47"/>
      <c r="P1124" s="41">
        <f t="shared" si="499"/>
        <v>0</v>
      </c>
      <c r="Q1124" s="39"/>
      <c r="R1124" s="41">
        <f t="shared" si="500"/>
        <v>0</v>
      </c>
      <c r="S1124" s="47"/>
      <c r="T1124" s="41">
        <f t="shared" si="501"/>
        <v>0</v>
      </c>
      <c r="U1124" s="39"/>
      <c r="V1124" s="41">
        <f t="shared" si="502"/>
        <v>0</v>
      </c>
      <c r="W1124" s="47"/>
      <c r="X1124" s="41">
        <f t="shared" si="503"/>
        <v>0</v>
      </c>
      <c r="Y1124" s="39"/>
      <c r="Z1124" s="41">
        <f t="shared" si="504"/>
        <v>0</v>
      </c>
      <c r="AA1124" s="47"/>
      <c r="AB1124" s="41">
        <f t="shared" si="505"/>
        <v>0</v>
      </c>
      <c r="AC1124" s="39"/>
      <c r="AD1124" s="41">
        <f t="shared" si="513"/>
        <v>0</v>
      </c>
      <c r="AE1124" s="47"/>
      <c r="AF1124" s="41">
        <f t="shared" si="506"/>
        <v>0</v>
      </c>
      <c r="AG1124" s="39"/>
      <c r="AH1124" s="41">
        <f t="shared" si="514"/>
        <v>0</v>
      </c>
      <c r="AI1124" s="47"/>
      <c r="AJ1124" s="41">
        <f t="shared" si="507"/>
        <v>0</v>
      </c>
      <c r="AK1124" s="39"/>
      <c r="AL1124" s="41">
        <f t="shared" si="515"/>
        <v>0</v>
      </c>
      <c r="AM1124" s="47"/>
      <c r="AN1124" s="41">
        <f t="shared" si="508"/>
        <v>0</v>
      </c>
      <c r="AO1124" s="39"/>
      <c r="AP1124" s="41">
        <f t="shared" si="516"/>
        <v>0</v>
      </c>
      <c r="AQ1124" s="47"/>
      <c r="AR1124" s="41">
        <f t="shared" si="509"/>
        <v>0</v>
      </c>
      <c r="AS1124" s="39"/>
      <c r="AT1124" s="41">
        <f t="shared" si="517"/>
        <v>0</v>
      </c>
      <c r="AU1124" s="47"/>
      <c r="AV1124" s="41">
        <f t="shared" si="510"/>
        <v>0</v>
      </c>
      <c r="AW1124" s="39"/>
      <c r="AX1124" s="41">
        <f t="shared" si="518"/>
        <v>0</v>
      </c>
      <c r="AY1124" s="47"/>
      <c r="AZ1124" s="41">
        <f t="shared" si="511"/>
        <v>0</v>
      </c>
      <c r="BA1124" s="39"/>
      <c r="BB1124" s="41">
        <f t="shared" si="519"/>
        <v>0</v>
      </c>
      <c r="BC1124" s="47"/>
      <c r="BD1124" s="41">
        <f t="shared" si="512"/>
        <v>0</v>
      </c>
      <c r="BE1124" s="39"/>
      <c r="BF1124" s="47"/>
    </row>
    <row r="1125" spans="1:58" ht="15.75" customHeight="1" x14ac:dyDescent="0.25">
      <c r="A1125" s="44">
        <v>2016</v>
      </c>
      <c r="B1125" s="39">
        <v>170210</v>
      </c>
      <c r="C1125" s="38" t="s">
        <v>149</v>
      </c>
      <c r="D1125" s="38" t="s">
        <v>16</v>
      </c>
      <c r="E1125" s="39"/>
      <c r="F1125" s="42">
        <f t="shared" si="494"/>
        <v>0</v>
      </c>
      <c r="G1125" s="47"/>
      <c r="H1125" s="42">
        <f t="shared" si="495"/>
        <v>0</v>
      </c>
      <c r="I1125" s="39"/>
      <c r="J1125" s="41">
        <f t="shared" si="496"/>
        <v>0</v>
      </c>
      <c r="K1125" s="47"/>
      <c r="L1125" s="41">
        <f t="shared" si="497"/>
        <v>0</v>
      </c>
      <c r="M1125" s="39"/>
      <c r="N1125" s="41">
        <f t="shared" si="498"/>
        <v>0</v>
      </c>
      <c r="O1125" s="48"/>
      <c r="P1125" s="41">
        <f t="shared" si="499"/>
        <v>0</v>
      </c>
      <c r="Q1125" s="39"/>
      <c r="R1125" s="41">
        <f t="shared" si="500"/>
        <v>0</v>
      </c>
      <c r="S1125" s="47"/>
      <c r="T1125" s="41">
        <f t="shared" si="501"/>
        <v>0</v>
      </c>
      <c r="U1125" s="39"/>
      <c r="V1125" s="41">
        <f t="shared" si="502"/>
        <v>0</v>
      </c>
      <c r="W1125" s="47"/>
      <c r="X1125" s="41">
        <f t="shared" si="503"/>
        <v>0</v>
      </c>
      <c r="Y1125" s="39"/>
      <c r="Z1125" s="41">
        <f t="shared" si="504"/>
        <v>0</v>
      </c>
      <c r="AA1125" s="47"/>
      <c r="AB1125" s="41">
        <f t="shared" si="505"/>
        <v>0</v>
      </c>
      <c r="AC1125" s="39"/>
      <c r="AD1125" s="41">
        <f t="shared" si="513"/>
        <v>0</v>
      </c>
      <c r="AE1125" s="48"/>
      <c r="AF1125" s="41">
        <f t="shared" si="506"/>
        <v>0</v>
      </c>
      <c r="AG1125" s="39"/>
      <c r="AH1125" s="41">
        <f t="shared" si="514"/>
        <v>0</v>
      </c>
      <c r="AI1125" s="47"/>
      <c r="AJ1125" s="41">
        <f t="shared" si="507"/>
        <v>0</v>
      </c>
      <c r="AK1125" s="39"/>
      <c r="AL1125" s="41">
        <f t="shared" si="515"/>
        <v>0</v>
      </c>
      <c r="AM1125" s="47"/>
      <c r="AN1125" s="41">
        <f t="shared" si="508"/>
        <v>0</v>
      </c>
      <c r="AO1125" s="39"/>
      <c r="AP1125" s="41">
        <f t="shared" si="516"/>
        <v>0</v>
      </c>
      <c r="AQ1125" s="48"/>
      <c r="AR1125" s="41">
        <f t="shared" si="509"/>
        <v>0</v>
      </c>
      <c r="AS1125" s="39"/>
      <c r="AT1125" s="41">
        <f t="shared" si="517"/>
        <v>0</v>
      </c>
      <c r="AU1125" s="47"/>
      <c r="AV1125" s="41">
        <f t="shared" si="510"/>
        <v>0</v>
      </c>
      <c r="AW1125" s="39"/>
      <c r="AX1125" s="41">
        <f t="shared" si="518"/>
        <v>0</v>
      </c>
      <c r="AY1125" s="47"/>
      <c r="AZ1125" s="41">
        <f t="shared" si="511"/>
        <v>0</v>
      </c>
      <c r="BA1125" s="39"/>
      <c r="BB1125" s="41">
        <f t="shared" si="519"/>
        <v>0</v>
      </c>
      <c r="BC1125" s="47"/>
      <c r="BD1125" s="41">
        <f t="shared" si="512"/>
        <v>0</v>
      </c>
      <c r="BE1125" s="39"/>
      <c r="BF1125" s="48"/>
    </row>
    <row r="1126" spans="1:58" ht="15.75" customHeight="1" x14ac:dyDescent="0.25">
      <c r="A1126" s="44">
        <v>2016</v>
      </c>
      <c r="B1126" s="39">
        <v>170215</v>
      </c>
      <c r="C1126" s="38" t="s">
        <v>149</v>
      </c>
      <c r="D1126" s="38" t="s">
        <v>17</v>
      </c>
      <c r="E1126" s="39"/>
      <c r="F1126" s="42">
        <f t="shared" si="494"/>
        <v>0</v>
      </c>
      <c r="G1126" s="47"/>
      <c r="H1126" s="42">
        <f t="shared" si="495"/>
        <v>0</v>
      </c>
      <c r="I1126" s="39"/>
      <c r="J1126" s="41">
        <f t="shared" si="496"/>
        <v>0</v>
      </c>
      <c r="K1126" s="47"/>
      <c r="L1126" s="41">
        <f t="shared" si="497"/>
        <v>0</v>
      </c>
      <c r="M1126" s="39"/>
      <c r="N1126" s="41">
        <f t="shared" si="498"/>
        <v>0</v>
      </c>
      <c r="O1126" s="47"/>
      <c r="P1126" s="41">
        <f t="shared" si="499"/>
        <v>0</v>
      </c>
      <c r="Q1126" s="39"/>
      <c r="R1126" s="41">
        <f t="shared" si="500"/>
        <v>0</v>
      </c>
      <c r="S1126" s="47"/>
      <c r="T1126" s="41">
        <f t="shared" si="501"/>
        <v>0</v>
      </c>
      <c r="U1126" s="39"/>
      <c r="V1126" s="41">
        <f t="shared" si="502"/>
        <v>0</v>
      </c>
      <c r="W1126" s="47"/>
      <c r="X1126" s="41">
        <f t="shared" si="503"/>
        <v>0</v>
      </c>
      <c r="Y1126" s="39"/>
      <c r="Z1126" s="41">
        <f t="shared" si="504"/>
        <v>0</v>
      </c>
      <c r="AA1126" s="47"/>
      <c r="AB1126" s="41">
        <f t="shared" si="505"/>
        <v>0</v>
      </c>
      <c r="AC1126" s="39"/>
      <c r="AD1126" s="41">
        <f t="shared" si="513"/>
        <v>0</v>
      </c>
      <c r="AE1126" s="47"/>
      <c r="AF1126" s="41">
        <f t="shared" si="506"/>
        <v>0</v>
      </c>
      <c r="AG1126" s="39"/>
      <c r="AH1126" s="41">
        <f t="shared" si="514"/>
        <v>0</v>
      </c>
      <c r="AI1126" s="47"/>
      <c r="AJ1126" s="41">
        <f t="shared" si="507"/>
        <v>0</v>
      </c>
      <c r="AK1126" s="39"/>
      <c r="AL1126" s="41">
        <f t="shared" si="515"/>
        <v>0</v>
      </c>
      <c r="AM1126" s="47"/>
      <c r="AN1126" s="41">
        <f t="shared" si="508"/>
        <v>0</v>
      </c>
      <c r="AO1126" s="39"/>
      <c r="AP1126" s="41">
        <f t="shared" si="516"/>
        <v>0</v>
      </c>
      <c r="AQ1126" s="47"/>
      <c r="AR1126" s="41">
        <f t="shared" si="509"/>
        <v>0</v>
      </c>
      <c r="AS1126" s="39"/>
      <c r="AT1126" s="41">
        <f t="shared" si="517"/>
        <v>0</v>
      </c>
      <c r="AU1126" s="47"/>
      <c r="AV1126" s="41">
        <f t="shared" si="510"/>
        <v>0</v>
      </c>
      <c r="AW1126" s="39"/>
      <c r="AX1126" s="41">
        <f t="shared" si="518"/>
        <v>0</v>
      </c>
      <c r="AY1126" s="47"/>
      <c r="AZ1126" s="41">
        <f t="shared" si="511"/>
        <v>0</v>
      </c>
      <c r="BA1126" s="39"/>
      <c r="BB1126" s="41">
        <f t="shared" si="519"/>
        <v>0</v>
      </c>
      <c r="BC1126" s="47"/>
      <c r="BD1126" s="41">
        <f t="shared" si="512"/>
        <v>0</v>
      </c>
      <c r="BE1126" s="39"/>
      <c r="BF1126" s="47"/>
    </row>
    <row r="1127" spans="1:58" ht="15.75" customHeight="1" x14ac:dyDescent="0.25">
      <c r="A1127" s="44">
        <v>2016</v>
      </c>
      <c r="B1127" s="39">
        <v>170220</v>
      </c>
      <c r="C1127" s="38" t="s">
        <v>145</v>
      </c>
      <c r="D1127" s="38" t="s">
        <v>18</v>
      </c>
      <c r="E1127" s="39"/>
      <c r="F1127" s="42">
        <f t="shared" si="494"/>
        <v>0</v>
      </c>
      <c r="G1127" s="47"/>
      <c r="H1127" s="42">
        <f t="shared" si="495"/>
        <v>0</v>
      </c>
      <c r="I1127" s="39"/>
      <c r="J1127" s="41">
        <f t="shared" si="496"/>
        <v>0</v>
      </c>
      <c r="K1127" s="47"/>
      <c r="L1127" s="41">
        <f t="shared" si="497"/>
        <v>0</v>
      </c>
      <c r="M1127" s="39"/>
      <c r="N1127" s="41">
        <f t="shared" si="498"/>
        <v>0</v>
      </c>
      <c r="O1127" s="47"/>
      <c r="P1127" s="41">
        <f t="shared" si="499"/>
        <v>0</v>
      </c>
      <c r="Q1127" s="39"/>
      <c r="R1127" s="41">
        <f t="shared" si="500"/>
        <v>0</v>
      </c>
      <c r="S1127" s="47"/>
      <c r="T1127" s="41">
        <f t="shared" si="501"/>
        <v>0</v>
      </c>
      <c r="U1127" s="39"/>
      <c r="V1127" s="41">
        <f t="shared" si="502"/>
        <v>0</v>
      </c>
      <c r="W1127" s="47"/>
      <c r="X1127" s="41">
        <f t="shared" si="503"/>
        <v>0</v>
      </c>
      <c r="Y1127" s="39"/>
      <c r="Z1127" s="41">
        <f t="shared" si="504"/>
        <v>0</v>
      </c>
      <c r="AA1127" s="47"/>
      <c r="AB1127" s="41">
        <f t="shared" si="505"/>
        <v>0</v>
      </c>
      <c r="AC1127" s="39"/>
      <c r="AD1127" s="41">
        <f t="shared" si="513"/>
        <v>0</v>
      </c>
      <c r="AE1127" s="48"/>
      <c r="AF1127" s="41">
        <f t="shared" si="506"/>
        <v>0</v>
      </c>
      <c r="AG1127" s="39"/>
      <c r="AH1127" s="41">
        <f t="shared" si="514"/>
        <v>0</v>
      </c>
      <c r="AI1127" s="47"/>
      <c r="AJ1127" s="41">
        <f t="shared" si="507"/>
        <v>0</v>
      </c>
      <c r="AK1127" s="39"/>
      <c r="AL1127" s="41">
        <f t="shared" si="515"/>
        <v>0</v>
      </c>
      <c r="AM1127" s="47"/>
      <c r="AN1127" s="41">
        <f t="shared" si="508"/>
        <v>0</v>
      </c>
      <c r="AO1127" s="39"/>
      <c r="AP1127" s="41">
        <f t="shared" si="516"/>
        <v>0</v>
      </c>
      <c r="AQ1127" s="47"/>
      <c r="AR1127" s="41">
        <f t="shared" si="509"/>
        <v>0</v>
      </c>
      <c r="AS1127" s="39"/>
      <c r="AT1127" s="41">
        <f t="shared" si="517"/>
        <v>0</v>
      </c>
      <c r="AU1127" s="47"/>
      <c r="AV1127" s="41">
        <f t="shared" si="510"/>
        <v>0</v>
      </c>
      <c r="AW1127" s="39"/>
      <c r="AX1127" s="41">
        <f t="shared" si="518"/>
        <v>0</v>
      </c>
      <c r="AY1127" s="47"/>
      <c r="AZ1127" s="41">
        <f t="shared" si="511"/>
        <v>0</v>
      </c>
      <c r="BA1127" s="39"/>
      <c r="BB1127" s="41">
        <f t="shared" si="519"/>
        <v>0</v>
      </c>
      <c r="BC1127" s="47"/>
      <c r="BD1127" s="41">
        <f t="shared" si="512"/>
        <v>0</v>
      </c>
      <c r="BE1127" s="39"/>
      <c r="BF1127" s="48"/>
    </row>
    <row r="1128" spans="1:58" ht="15.75" customHeight="1" x14ac:dyDescent="0.25">
      <c r="A1128" s="44">
        <v>2016</v>
      </c>
      <c r="B1128" s="39">
        <v>170230</v>
      </c>
      <c r="C1128" s="38" t="s">
        <v>150</v>
      </c>
      <c r="D1128" s="38" t="s">
        <v>19</v>
      </c>
      <c r="E1128" s="39"/>
      <c r="F1128" s="42">
        <f t="shared" si="494"/>
        <v>0</v>
      </c>
      <c r="G1128" s="47"/>
      <c r="H1128" s="42">
        <f t="shared" si="495"/>
        <v>0</v>
      </c>
      <c r="I1128" s="39"/>
      <c r="J1128" s="41">
        <f t="shared" si="496"/>
        <v>0</v>
      </c>
      <c r="K1128" s="47"/>
      <c r="L1128" s="41">
        <f t="shared" si="497"/>
        <v>0</v>
      </c>
      <c r="M1128" s="39"/>
      <c r="N1128" s="41">
        <f t="shared" si="498"/>
        <v>0</v>
      </c>
      <c r="O1128" s="47"/>
      <c r="P1128" s="41">
        <f t="shared" si="499"/>
        <v>0</v>
      </c>
      <c r="Q1128" s="39"/>
      <c r="R1128" s="41">
        <f t="shared" si="500"/>
        <v>0</v>
      </c>
      <c r="S1128" s="47"/>
      <c r="T1128" s="41">
        <f t="shared" si="501"/>
        <v>0</v>
      </c>
      <c r="U1128" s="39"/>
      <c r="V1128" s="41">
        <f t="shared" si="502"/>
        <v>0</v>
      </c>
      <c r="W1128" s="47"/>
      <c r="X1128" s="41">
        <f t="shared" si="503"/>
        <v>0</v>
      </c>
      <c r="Y1128" s="39"/>
      <c r="Z1128" s="41">
        <f t="shared" si="504"/>
        <v>0</v>
      </c>
      <c r="AA1128" s="47"/>
      <c r="AB1128" s="41">
        <f t="shared" si="505"/>
        <v>0</v>
      </c>
      <c r="AC1128" s="39"/>
      <c r="AD1128" s="41">
        <f t="shared" si="513"/>
        <v>0</v>
      </c>
      <c r="AE1128" s="47"/>
      <c r="AF1128" s="41">
        <f t="shared" si="506"/>
        <v>0</v>
      </c>
      <c r="AG1128" s="39"/>
      <c r="AH1128" s="41">
        <f t="shared" si="514"/>
        <v>0</v>
      </c>
      <c r="AI1128" s="47"/>
      <c r="AJ1128" s="41">
        <f t="shared" si="507"/>
        <v>0</v>
      </c>
      <c r="AK1128" s="39"/>
      <c r="AL1128" s="41">
        <f t="shared" si="515"/>
        <v>0</v>
      </c>
      <c r="AM1128" s="47"/>
      <c r="AN1128" s="41">
        <f t="shared" si="508"/>
        <v>0</v>
      </c>
      <c r="AO1128" s="39"/>
      <c r="AP1128" s="41">
        <f t="shared" si="516"/>
        <v>0</v>
      </c>
      <c r="AQ1128" s="47"/>
      <c r="AR1128" s="41">
        <f t="shared" si="509"/>
        <v>0</v>
      </c>
      <c r="AS1128" s="39"/>
      <c r="AT1128" s="41">
        <f t="shared" si="517"/>
        <v>0</v>
      </c>
      <c r="AU1128" s="47"/>
      <c r="AV1128" s="41">
        <f t="shared" si="510"/>
        <v>0</v>
      </c>
      <c r="AW1128" s="39"/>
      <c r="AX1128" s="41">
        <f t="shared" si="518"/>
        <v>0</v>
      </c>
      <c r="AY1128" s="47"/>
      <c r="AZ1128" s="41">
        <f t="shared" si="511"/>
        <v>0</v>
      </c>
      <c r="BA1128" s="39"/>
      <c r="BB1128" s="41">
        <f t="shared" si="519"/>
        <v>0</v>
      </c>
      <c r="BC1128" s="47"/>
      <c r="BD1128" s="41">
        <f t="shared" si="512"/>
        <v>0</v>
      </c>
      <c r="BE1128" s="39"/>
      <c r="BF1128" s="47"/>
    </row>
    <row r="1129" spans="1:58" ht="15.75" customHeight="1" x14ac:dyDescent="0.25">
      <c r="A1129" s="44">
        <v>2016</v>
      </c>
      <c r="B1129" s="39">
        <v>170240</v>
      </c>
      <c r="C1129" s="38" t="s">
        <v>147</v>
      </c>
      <c r="D1129" s="38" t="s">
        <v>20</v>
      </c>
      <c r="E1129" s="39"/>
      <c r="F1129" s="42">
        <f t="shared" si="494"/>
        <v>0</v>
      </c>
      <c r="G1129" s="47"/>
      <c r="H1129" s="42">
        <f t="shared" si="495"/>
        <v>0</v>
      </c>
      <c r="I1129" s="39"/>
      <c r="J1129" s="41">
        <f t="shared" si="496"/>
        <v>0</v>
      </c>
      <c r="K1129" s="47"/>
      <c r="L1129" s="41">
        <f t="shared" si="497"/>
        <v>0</v>
      </c>
      <c r="M1129" s="39"/>
      <c r="N1129" s="41">
        <f t="shared" si="498"/>
        <v>0</v>
      </c>
      <c r="O1129" s="47"/>
      <c r="P1129" s="41">
        <f t="shared" si="499"/>
        <v>0</v>
      </c>
      <c r="Q1129" s="39"/>
      <c r="R1129" s="41">
        <f t="shared" si="500"/>
        <v>0</v>
      </c>
      <c r="S1129" s="47"/>
      <c r="T1129" s="41">
        <f t="shared" si="501"/>
        <v>0</v>
      </c>
      <c r="U1129" s="39"/>
      <c r="V1129" s="41">
        <f t="shared" si="502"/>
        <v>0</v>
      </c>
      <c r="W1129" s="47"/>
      <c r="X1129" s="41">
        <f t="shared" si="503"/>
        <v>0</v>
      </c>
      <c r="Y1129" s="39"/>
      <c r="Z1129" s="41">
        <f t="shared" si="504"/>
        <v>0</v>
      </c>
      <c r="AA1129" s="47"/>
      <c r="AB1129" s="41">
        <f t="shared" si="505"/>
        <v>0</v>
      </c>
      <c r="AC1129" s="39"/>
      <c r="AD1129" s="41">
        <f t="shared" si="513"/>
        <v>0</v>
      </c>
      <c r="AE1129" s="47"/>
      <c r="AF1129" s="41">
        <f t="shared" si="506"/>
        <v>0</v>
      </c>
      <c r="AG1129" s="39"/>
      <c r="AH1129" s="41">
        <f t="shared" si="514"/>
        <v>0</v>
      </c>
      <c r="AI1129" s="47"/>
      <c r="AJ1129" s="41">
        <f t="shared" si="507"/>
        <v>0</v>
      </c>
      <c r="AK1129" s="39"/>
      <c r="AL1129" s="41">
        <f t="shared" si="515"/>
        <v>0</v>
      </c>
      <c r="AM1129" s="47"/>
      <c r="AN1129" s="41">
        <f t="shared" si="508"/>
        <v>0</v>
      </c>
      <c r="AO1129" s="39"/>
      <c r="AP1129" s="41">
        <f t="shared" si="516"/>
        <v>0</v>
      </c>
      <c r="AQ1129" s="47"/>
      <c r="AR1129" s="41">
        <f t="shared" si="509"/>
        <v>0</v>
      </c>
      <c r="AS1129" s="39"/>
      <c r="AT1129" s="41">
        <f t="shared" si="517"/>
        <v>0</v>
      </c>
      <c r="AU1129" s="47"/>
      <c r="AV1129" s="41">
        <f t="shared" si="510"/>
        <v>0</v>
      </c>
      <c r="AW1129" s="39"/>
      <c r="AX1129" s="41">
        <f t="shared" si="518"/>
        <v>0</v>
      </c>
      <c r="AY1129" s="47"/>
      <c r="AZ1129" s="41">
        <f t="shared" si="511"/>
        <v>0</v>
      </c>
      <c r="BA1129" s="39"/>
      <c r="BB1129" s="41">
        <f t="shared" si="519"/>
        <v>0</v>
      </c>
      <c r="BC1129" s="47"/>
      <c r="BD1129" s="41">
        <f t="shared" si="512"/>
        <v>0</v>
      </c>
      <c r="BE1129" s="39"/>
      <c r="BF1129" s="47"/>
    </row>
    <row r="1130" spans="1:58" ht="15.75" customHeight="1" x14ac:dyDescent="0.25">
      <c r="A1130" s="44">
        <v>2016</v>
      </c>
      <c r="B1130" s="39">
        <v>170255</v>
      </c>
      <c r="C1130" s="38" t="s">
        <v>145</v>
      </c>
      <c r="D1130" s="38" t="s">
        <v>21</v>
      </c>
      <c r="E1130" s="39"/>
      <c r="F1130" s="42">
        <f t="shared" si="494"/>
        <v>0</v>
      </c>
      <c r="G1130" s="47"/>
      <c r="H1130" s="42">
        <f t="shared" si="495"/>
        <v>0</v>
      </c>
      <c r="I1130" s="39"/>
      <c r="J1130" s="41">
        <f t="shared" si="496"/>
        <v>0</v>
      </c>
      <c r="K1130" s="47"/>
      <c r="L1130" s="41">
        <f t="shared" si="497"/>
        <v>0</v>
      </c>
      <c r="M1130" s="39"/>
      <c r="N1130" s="41">
        <f t="shared" si="498"/>
        <v>0</v>
      </c>
      <c r="O1130" s="47"/>
      <c r="P1130" s="41">
        <f t="shared" si="499"/>
        <v>0</v>
      </c>
      <c r="Q1130" s="39"/>
      <c r="R1130" s="41">
        <f t="shared" si="500"/>
        <v>0</v>
      </c>
      <c r="S1130" s="47"/>
      <c r="T1130" s="41">
        <f t="shared" si="501"/>
        <v>0</v>
      </c>
      <c r="U1130" s="39"/>
      <c r="V1130" s="41">
        <f t="shared" si="502"/>
        <v>0</v>
      </c>
      <c r="W1130" s="47"/>
      <c r="X1130" s="41">
        <f t="shared" si="503"/>
        <v>0</v>
      </c>
      <c r="Y1130" s="39"/>
      <c r="Z1130" s="41">
        <f t="shared" si="504"/>
        <v>0</v>
      </c>
      <c r="AA1130" s="47"/>
      <c r="AB1130" s="41">
        <f t="shared" si="505"/>
        <v>0</v>
      </c>
      <c r="AC1130" s="39"/>
      <c r="AD1130" s="41">
        <f t="shared" si="513"/>
        <v>0</v>
      </c>
      <c r="AE1130" s="47"/>
      <c r="AF1130" s="41">
        <f t="shared" si="506"/>
        <v>0</v>
      </c>
      <c r="AG1130" s="39"/>
      <c r="AH1130" s="41">
        <f t="shared" si="514"/>
        <v>0</v>
      </c>
      <c r="AI1130" s="47"/>
      <c r="AJ1130" s="41">
        <f t="shared" si="507"/>
        <v>0</v>
      </c>
      <c r="AK1130" s="39"/>
      <c r="AL1130" s="41">
        <f t="shared" si="515"/>
        <v>0</v>
      </c>
      <c r="AM1130" s="47"/>
      <c r="AN1130" s="41">
        <f t="shared" si="508"/>
        <v>0</v>
      </c>
      <c r="AO1130" s="39"/>
      <c r="AP1130" s="41">
        <f t="shared" si="516"/>
        <v>0</v>
      </c>
      <c r="AQ1130" s="47"/>
      <c r="AR1130" s="41">
        <f t="shared" si="509"/>
        <v>0</v>
      </c>
      <c r="AS1130" s="39"/>
      <c r="AT1130" s="41">
        <f t="shared" si="517"/>
        <v>0</v>
      </c>
      <c r="AU1130" s="47"/>
      <c r="AV1130" s="41">
        <f t="shared" si="510"/>
        <v>0</v>
      </c>
      <c r="AW1130" s="39"/>
      <c r="AX1130" s="41">
        <f t="shared" si="518"/>
        <v>0</v>
      </c>
      <c r="AY1130" s="47"/>
      <c r="AZ1130" s="41">
        <f t="shared" si="511"/>
        <v>0</v>
      </c>
      <c r="BA1130" s="39"/>
      <c r="BB1130" s="41">
        <f t="shared" si="519"/>
        <v>0</v>
      </c>
      <c r="BC1130" s="47"/>
      <c r="BD1130" s="41">
        <f t="shared" si="512"/>
        <v>0</v>
      </c>
      <c r="BE1130" s="39"/>
      <c r="BF1130" s="47"/>
    </row>
    <row r="1131" spans="1:58" ht="15.75" customHeight="1" x14ac:dyDescent="0.25">
      <c r="A1131" s="44">
        <v>2016</v>
      </c>
      <c r="B1131" s="39">
        <v>170270</v>
      </c>
      <c r="C1131" s="38" t="s">
        <v>147</v>
      </c>
      <c r="D1131" s="38" t="s">
        <v>22</v>
      </c>
      <c r="E1131" s="39"/>
      <c r="F1131" s="42">
        <f t="shared" si="494"/>
        <v>0</v>
      </c>
      <c r="G1131" s="47"/>
      <c r="H1131" s="42">
        <f t="shared" si="495"/>
        <v>0</v>
      </c>
      <c r="I1131" s="39"/>
      <c r="J1131" s="41">
        <f t="shared" si="496"/>
        <v>0</v>
      </c>
      <c r="K1131" s="47"/>
      <c r="L1131" s="41">
        <f t="shared" si="497"/>
        <v>0</v>
      </c>
      <c r="M1131" s="39"/>
      <c r="N1131" s="41">
        <f t="shared" si="498"/>
        <v>0</v>
      </c>
      <c r="O1131" s="47"/>
      <c r="P1131" s="41">
        <f t="shared" si="499"/>
        <v>0</v>
      </c>
      <c r="Q1131" s="39"/>
      <c r="R1131" s="41">
        <f t="shared" si="500"/>
        <v>0</v>
      </c>
      <c r="S1131" s="47"/>
      <c r="T1131" s="41">
        <f t="shared" si="501"/>
        <v>0</v>
      </c>
      <c r="U1131" s="39"/>
      <c r="V1131" s="41">
        <f t="shared" si="502"/>
        <v>0</v>
      </c>
      <c r="W1131" s="47"/>
      <c r="X1131" s="41">
        <f t="shared" si="503"/>
        <v>0</v>
      </c>
      <c r="Y1131" s="39"/>
      <c r="Z1131" s="41">
        <f t="shared" si="504"/>
        <v>0</v>
      </c>
      <c r="AA1131" s="47"/>
      <c r="AB1131" s="41">
        <f t="shared" si="505"/>
        <v>0</v>
      </c>
      <c r="AC1131" s="39"/>
      <c r="AD1131" s="41">
        <f t="shared" ref="AD1131:AD1194" si="520">IFERROR(AC1131/$BE1131,0)</f>
        <v>0</v>
      </c>
      <c r="AE1131" s="47"/>
      <c r="AF1131" s="41">
        <f t="shared" si="506"/>
        <v>0</v>
      </c>
      <c r="AG1131" s="39"/>
      <c r="AH1131" s="41">
        <f t="shared" ref="AH1131:AH1194" si="521">IFERROR(AG1131/$BE1131,0)</f>
        <v>0</v>
      </c>
      <c r="AI1131" s="47"/>
      <c r="AJ1131" s="41">
        <f t="shared" si="507"/>
        <v>0</v>
      </c>
      <c r="AK1131" s="39"/>
      <c r="AL1131" s="41">
        <f t="shared" ref="AL1131:AL1194" si="522">IFERROR(AK1131/$BE1131,0)</f>
        <v>0</v>
      </c>
      <c r="AM1131" s="47"/>
      <c r="AN1131" s="41">
        <f t="shared" si="508"/>
        <v>0</v>
      </c>
      <c r="AO1131" s="39"/>
      <c r="AP1131" s="41">
        <f t="shared" ref="AP1131:AP1194" si="523">IFERROR(AO1131/$BE1131,0)</f>
        <v>0</v>
      </c>
      <c r="AQ1131" s="47"/>
      <c r="AR1131" s="41">
        <f t="shared" si="509"/>
        <v>0</v>
      </c>
      <c r="AS1131" s="39"/>
      <c r="AT1131" s="41">
        <f t="shared" ref="AT1131:AT1194" si="524">IFERROR(AS1131/$BE1131,0)</f>
        <v>0</v>
      </c>
      <c r="AU1131" s="47"/>
      <c r="AV1131" s="41">
        <f t="shared" si="510"/>
        <v>0</v>
      </c>
      <c r="AW1131" s="39"/>
      <c r="AX1131" s="41">
        <f t="shared" ref="AX1131:AX1194" si="525">IFERROR(AW1131/$BE1131,0)</f>
        <v>0</v>
      </c>
      <c r="AY1131" s="47"/>
      <c r="AZ1131" s="41">
        <f t="shared" si="511"/>
        <v>0</v>
      </c>
      <c r="BA1131" s="39"/>
      <c r="BB1131" s="41">
        <f t="shared" ref="BB1131:BB1194" si="526">IFERROR(BA1131/$BE1131,0)</f>
        <v>0</v>
      </c>
      <c r="BC1131" s="47"/>
      <c r="BD1131" s="41">
        <f t="shared" si="512"/>
        <v>0</v>
      </c>
      <c r="BE1131" s="39"/>
      <c r="BF1131" s="47"/>
    </row>
    <row r="1132" spans="1:58" ht="15.75" customHeight="1" x14ac:dyDescent="0.25">
      <c r="A1132" s="44">
        <v>2016</v>
      </c>
      <c r="B1132" s="39">
        <v>170290</v>
      </c>
      <c r="C1132" s="38" t="s">
        <v>145</v>
      </c>
      <c r="D1132" s="38" t="s">
        <v>23</v>
      </c>
      <c r="E1132" s="39"/>
      <c r="F1132" s="42">
        <f t="shared" si="494"/>
        <v>0</v>
      </c>
      <c r="G1132" s="47"/>
      <c r="H1132" s="42">
        <f t="shared" si="495"/>
        <v>0</v>
      </c>
      <c r="I1132" s="39"/>
      <c r="J1132" s="41">
        <f t="shared" si="496"/>
        <v>0</v>
      </c>
      <c r="K1132" s="47"/>
      <c r="L1132" s="41">
        <f t="shared" si="497"/>
        <v>0</v>
      </c>
      <c r="M1132" s="39"/>
      <c r="N1132" s="41">
        <f t="shared" si="498"/>
        <v>0</v>
      </c>
      <c r="O1132" s="47"/>
      <c r="P1132" s="41">
        <f t="shared" si="499"/>
        <v>0</v>
      </c>
      <c r="Q1132" s="39"/>
      <c r="R1132" s="41">
        <f t="shared" si="500"/>
        <v>0</v>
      </c>
      <c r="S1132" s="47"/>
      <c r="T1132" s="41">
        <f t="shared" si="501"/>
        <v>0</v>
      </c>
      <c r="U1132" s="39"/>
      <c r="V1132" s="41">
        <f t="shared" si="502"/>
        <v>0</v>
      </c>
      <c r="W1132" s="47"/>
      <c r="X1132" s="41">
        <f t="shared" si="503"/>
        <v>0</v>
      </c>
      <c r="Y1132" s="39"/>
      <c r="Z1132" s="41">
        <f t="shared" si="504"/>
        <v>0</v>
      </c>
      <c r="AA1132" s="47"/>
      <c r="AB1132" s="41">
        <f t="shared" si="505"/>
        <v>0</v>
      </c>
      <c r="AC1132" s="39"/>
      <c r="AD1132" s="41">
        <f t="shared" si="520"/>
        <v>0</v>
      </c>
      <c r="AE1132" s="47"/>
      <c r="AF1132" s="41">
        <f t="shared" si="506"/>
        <v>0</v>
      </c>
      <c r="AG1132" s="39"/>
      <c r="AH1132" s="41">
        <f t="shared" si="521"/>
        <v>0</v>
      </c>
      <c r="AI1132" s="47"/>
      <c r="AJ1132" s="41">
        <f t="shared" si="507"/>
        <v>0</v>
      </c>
      <c r="AK1132" s="39"/>
      <c r="AL1132" s="41">
        <f t="shared" si="522"/>
        <v>0</v>
      </c>
      <c r="AM1132" s="47"/>
      <c r="AN1132" s="41">
        <f t="shared" si="508"/>
        <v>0</v>
      </c>
      <c r="AO1132" s="39"/>
      <c r="AP1132" s="41">
        <f t="shared" si="523"/>
        <v>0</v>
      </c>
      <c r="AQ1132" s="47"/>
      <c r="AR1132" s="41">
        <f t="shared" si="509"/>
        <v>0</v>
      </c>
      <c r="AS1132" s="39"/>
      <c r="AT1132" s="41">
        <f t="shared" si="524"/>
        <v>0</v>
      </c>
      <c r="AU1132" s="47"/>
      <c r="AV1132" s="41">
        <f t="shared" si="510"/>
        <v>0</v>
      </c>
      <c r="AW1132" s="39"/>
      <c r="AX1132" s="41">
        <f t="shared" si="525"/>
        <v>0</v>
      </c>
      <c r="AY1132" s="47"/>
      <c r="AZ1132" s="41">
        <f t="shared" si="511"/>
        <v>0</v>
      </c>
      <c r="BA1132" s="39"/>
      <c r="BB1132" s="41">
        <f t="shared" si="526"/>
        <v>0</v>
      </c>
      <c r="BC1132" s="47"/>
      <c r="BD1132" s="41">
        <f t="shared" si="512"/>
        <v>0</v>
      </c>
      <c r="BE1132" s="39"/>
      <c r="BF1132" s="47"/>
    </row>
    <row r="1133" spans="1:58" ht="15.75" customHeight="1" x14ac:dyDescent="0.25">
      <c r="A1133" s="44">
        <v>2016</v>
      </c>
      <c r="B1133" s="39">
        <v>170300</v>
      </c>
      <c r="C1133" s="38" t="s">
        <v>149</v>
      </c>
      <c r="D1133" s="38" t="s">
        <v>24</v>
      </c>
      <c r="E1133" s="39"/>
      <c r="F1133" s="42">
        <f t="shared" si="494"/>
        <v>0</v>
      </c>
      <c r="G1133" s="47"/>
      <c r="H1133" s="42">
        <f t="shared" si="495"/>
        <v>0</v>
      </c>
      <c r="I1133" s="39"/>
      <c r="J1133" s="41">
        <f t="shared" si="496"/>
        <v>0</v>
      </c>
      <c r="K1133" s="47"/>
      <c r="L1133" s="41">
        <f t="shared" si="497"/>
        <v>0</v>
      </c>
      <c r="M1133" s="39"/>
      <c r="N1133" s="41">
        <f t="shared" si="498"/>
        <v>0</v>
      </c>
      <c r="O1133" s="47"/>
      <c r="P1133" s="41">
        <f t="shared" si="499"/>
        <v>0</v>
      </c>
      <c r="Q1133" s="39"/>
      <c r="R1133" s="41">
        <f t="shared" si="500"/>
        <v>0</v>
      </c>
      <c r="S1133" s="47"/>
      <c r="T1133" s="41">
        <f t="shared" si="501"/>
        <v>0</v>
      </c>
      <c r="U1133" s="39"/>
      <c r="V1133" s="41">
        <f t="shared" si="502"/>
        <v>0</v>
      </c>
      <c r="W1133" s="47"/>
      <c r="X1133" s="41">
        <f t="shared" si="503"/>
        <v>0</v>
      </c>
      <c r="Y1133" s="39"/>
      <c r="Z1133" s="41">
        <f t="shared" si="504"/>
        <v>0</v>
      </c>
      <c r="AA1133" s="47"/>
      <c r="AB1133" s="41">
        <f t="shared" si="505"/>
        <v>0</v>
      </c>
      <c r="AC1133" s="39"/>
      <c r="AD1133" s="41">
        <f t="shared" si="520"/>
        <v>0</v>
      </c>
      <c r="AE1133" s="47"/>
      <c r="AF1133" s="41">
        <f t="shared" si="506"/>
        <v>0</v>
      </c>
      <c r="AG1133" s="39"/>
      <c r="AH1133" s="41">
        <f t="shared" si="521"/>
        <v>0</v>
      </c>
      <c r="AI1133" s="47"/>
      <c r="AJ1133" s="41">
        <f t="shared" si="507"/>
        <v>0</v>
      </c>
      <c r="AK1133" s="39"/>
      <c r="AL1133" s="41">
        <f t="shared" si="522"/>
        <v>0</v>
      </c>
      <c r="AM1133" s="47"/>
      <c r="AN1133" s="41">
        <f t="shared" si="508"/>
        <v>0</v>
      </c>
      <c r="AO1133" s="39"/>
      <c r="AP1133" s="41">
        <f t="shared" si="523"/>
        <v>0</v>
      </c>
      <c r="AQ1133" s="47"/>
      <c r="AR1133" s="41">
        <f t="shared" si="509"/>
        <v>0</v>
      </c>
      <c r="AS1133" s="39"/>
      <c r="AT1133" s="41">
        <f t="shared" si="524"/>
        <v>0</v>
      </c>
      <c r="AU1133" s="47"/>
      <c r="AV1133" s="41">
        <f t="shared" si="510"/>
        <v>0</v>
      </c>
      <c r="AW1133" s="39"/>
      <c r="AX1133" s="41">
        <f t="shared" si="525"/>
        <v>0</v>
      </c>
      <c r="AY1133" s="47"/>
      <c r="AZ1133" s="41">
        <f t="shared" si="511"/>
        <v>0</v>
      </c>
      <c r="BA1133" s="39"/>
      <c r="BB1133" s="41">
        <f t="shared" si="526"/>
        <v>0</v>
      </c>
      <c r="BC1133" s="47"/>
      <c r="BD1133" s="41">
        <f t="shared" si="512"/>
        <v>0</v>
      </c>
      <c r="BE1133" s="39"/>
      <c r="BF1133" s="47"/>
    </row>
    <row r="1134" spans="1:58" ht="15.75" customHeight="1" x14ac:dyDescent="0.25">
      <c r="A1134" s="44">
        <v>2016</v>
      </c>
      <c r="B1134" s="39">
        <v>170305</v>
      </c>
      <c r="C1134" s="38" t="s">
        <v>150</v>
      </c>
      <c r="D1134" s="38" t="s">
        <v>25</v>
      </c>
      <c r="E1134" s="39"/>
      <c r="F1134" s="42">
        <f t="shared" si="494"/>
        <v>0</v>
      </c>
      <c r="G1134" s="47"/>
      <c r="H1134" s="42">
        <f t="shared" si="495"/>
        <v>0</v>
      </c>
      <c r="I1134" s="39"/>
      <c r="J1134" s="41">
        <f t="shared" si="496"/>
        <v>0</v>
      </c>
      <c r="K1134" s="47"/>
      <c r="L1134" s="41">
        <f t="shared" si="497"/>
        <v>0</v>
      </c>
      <c r="M1134" s="39"/>
      <c r="N1134" s="41">
        <f t="shared" si="498"/>
        <v>0</v>
      </c>
      <c r="O1134" s="47"/>
      <c r="P1134" s="41">
        <f t="shared" si="499"/>
        <v>0</v>
      </c>
      <c r="Q1134" s="39"/>
      <c r="R1134" s="41">
        <f t="shared" si="500"/>
        <v>0</v>
      </c>
      <c r="S1134" s="47"/>
      <c r="T1134" s="41">
        <f t="shared" si="501"/>
        <v>0</v>
      </c>
      <c r="U1134" s="39"/>
      <c r="V1134" s="41">
        <f t="shared" si="502"/>
        <v>0</v>
      </c>
      <c r="W1134" s="47"/>
      <c r="X1134" s="41">
        <f t="shared" si="503"/>
        <v>0</v>
      </c>
      <c r="Y1134" s="39"/>
      <c r="Z1134" s="41">
        <f t="shared" si="504"/>
        <v>0</v>
      </c>
      <c r="AA1134" s="47"/>
      <c r="AB1134" s="41">
        <f t="shared" si="505"/>
        <v>0</v>
      </c>
      <c r="AC1134" s="39"/>
      <c r="AD1134" s="41">
        <f t="shared" si="520"/>
        <v>0</v>
      </c>
      <c r="AE1134" s="47"/>
      <c r="AF1134" s="41">
        <f t="shared" si="506"/>
        <v>0</v>
      </c>
      <c r="AG1134" s="39"/>
      <c r="AH1134" s="41">
        <f t="shared" si="521"/>
        <v>0</v>
      </c>
      <c r="AI1134" s="47"/>
      <c r="AJ1134" s="41">
        <f t="shared" si="507"/>
        <v>0</v>
      </c>
      <c r="AK1134" s="39"/>
      <c r="AL1134" s="41">
        <f t="shared" si="522"/>
        <v>0</v>
      </c>
      <c r="AM1134" s="47"/>
      <c r="AN1134" s="41">
        <f t="shared" si="508"/>
        <v>0</v>
      </c>
      <c r="AO1134" s="39"/>
      <c r="AP1134" s="41">
        <f t="shared" si="523"/>
        <v>0</v>
      </c>
      <c r="AQ1134" s="47"/>
      <c r="AR1134" s="41">
        <f t="shared" si="509"/>
        <v>0</v>
      </c>
      <c r="AS1134" s="39"/>
      <c r="AT1134" s="41">
        <f t="shared" si="524"/>
        <v>0</v>
      </c>
      <c r="AU1134" s="47"/>
      <c r="AV1134" s="41">
        <f t="shared" si="510"/>
        <v>0</v>
      </c>
      <c r="AW1134" s="39"/>
      <c r="AX1134" s="41">
        <f t="shared" si="525"/>
        <v>0</v>
      </c>
      <c r="AY1134" s="47"/>
      <c r="AZ1134" s="41">
        <f t="shared" si="511"/>
        <v>0</v>
      </c>
      <c r="BA1134" s="39"/>
      <c r="BB1134" s="41">
        <f t="shared" si="526"/>
        <v>0</v>
      </c>
      <c r="BC1134" s="47"/>
      <c r="BD1134" s="41">
        <f t="shared" si="512"/>
        <v>0</v>
      </c>
      <c r="BE1134" s="39"/>
      <c r="BF1134" s="47"/>
    </row>
    <row r="1135" spans="1:58" ht="15.75" customHeight="1" x14ac:dyDescent="0.25">
      <c r="A1135" s="44">
        <v>2016</v>
      </c>
      <c r="B1135" s="39">
        <v>170307</v>
      </c>
      <c r="C1135" s="38" t="s">
        <v>149</v>
      </c>
      <c r="D1135" s="38" t="s">
        <v>26</v>
      </c>
      <c r="E1135" s="39"/>
      <c r="F1135" s="42">
        <f t="shared" si="494"/>
        <v>0</v>
      </c>
      <c r="G1135" s="47"/>
      <c r="H1135" s="42">
        <f t="shared" si="495"/>
        <v>0</v>
      </c>
      <c r="I1135" s="39"/>
      <c r="J1135" s="41">
        <f t="shared" si="496"/>
        <v>0</v>
      </c>
      <c r="K1135" s="47"/>
      <c r="L1135" s="41">
        <f t="shared" si="497"/>
        <v>0</v>
      </c>
      <c r="M1135" s="39"/>
      <c r="N1135" s="41">
        <f t="shared" si="498"/>
        <v>0</v>
      </c>
      <c r="O1135" s="47"/>
      <c r="P1135" s="41">
        <f t="shared" si="499"/>
        <v>0</v>
      </c>
      <c r="Q1135" s="39"/>
      <c r="R1135" s="41">
        <f t="shared" si="500"/>
        <v>0</v>
      </c>
      <c r="S1135" s="47"/>
      <c r="T1135" s="41">
        <f t="shared" si="501"/>
        <v>0</v>
      </c>
      <c r="U1135" s="39"/>
      <c r="V1135" s="41">
        <f t="shared" si="502"/>
        <v>0</v>
      </c>
      <c r="W1135" s="47"/>
      <c r="X1135" s="41">
        <f t="shared" si="503"/>
        <v>0</v>
      </c>
      <c r="Y1135" s="39"/>
      <c r="Z1135" s="41">
        <f t="shared" si="504"/>
        <v>0</v>
      </c>
      <c r="AA1135" s="47"/>
      <c r="AB1135" s="41">
        <f t="shared" si="505"/>
        <v>0</v>
      </c>
      <c r="AC1135" s="39"/>
      <c r="AD1135" s="41">
        <f t="shared" si="520"/>
        <v>0</v>
      </c>
      <c r="AE1135" s="47"/>
      <c r="AF1135" s="41">
        <f t="shared" si="506"/>
        <v>0</v>
      </c>
      <c r="AG1135" s="39"/>
      <c r="AH1135" s="41">
        <f t="shared" si="521"/>
        <v>0</v>
      </c>
      <c r="AI1135" s="47"/>
      <c r="AJ1135" s="41">
        <f t="shared" si="507"/>
        <v>0</v>
      </c>
      <c r="AK1135" s="39"/>
      <c r="AL1135" s="41">
        <f t="shared" si="522"/>
        <v>0</v>
      </c>
      <c r="AM1135" s="47"/>
      <c r="AN1135" s="41">
        <f t="shared" si="508"/>
        <v>0</v>
      </c>
      <c r="AO1135" s="39"/>
      <c r="AP1135" s="41">
        <f t="shared" si="523"/>
        <v>0</v>
      </c>
      <c r="AQ1135" s="47"/>
      <c r="AR1135" s="41">
        <f t="shared" si="509"/>
        <v>0</v>
      </c>
      <c r="AS1135" s="39"/>
      <c r="AT1135" s="41">
        <f t="shared" si="524"/>
        <v>0</v>
      </c>
      <c r="AU1135" s="47"/>
      <c r="AV1135" s="41">
        <f t="shared" si="510"/>
        <v>0</v>
      </c>
      <c r="AW1135" s="39"/>
      <c r="AX1135" s="41">
        <f t="shared" si="525"/>
        <v>0</v>
      </c>
      <c r="AY1135" s="47"/>
      <c r="AZ1135" s="41">
        <f t="shared" si="511"/>
        <v>0</v>
      </c>
      <c r="BA1135" s="39"/>
      <c r="BB1135" s="41">
        <f t="shared" si="526"/>
        <v>0</v>
      </c>
      <c r="BC1135" s="47"/>
      <c r="BD1135" s="41">
        <f t="shared" si="512"/>
        <v>0</v>
      </c>
      <c r="BE1135" s="39"/>
      <c r="BF1135" s="47"/>
    </row>
    <row r="1136" spans="1:58" ht="15.75" customHeight="1" x14ac:dyDescent="0.25">
      <c r="A1136" s="44">
        <v>2016</v>
      </c>
      <c r="B1136" s="39">
        <v>170310</v>
      </c>
      <c r="C1136" s="38" t="s">
        <v>144</v>
      </c>
      <c r="D1136" s="38" t="s">
        <v>27</v>
      </c>
      <c r="E1136" s="39"/>
      <c r="F1136" s="42">
        <f t="shared" si="494"/>
        <v>0</v>
      </c>
      <c r="G1136" s="47"/>
      <c r="H1136" s="42">
        <f t="shared" si="495"/>
        <v>0</v>
      </c>
      <c r="I1136" s="39"/>
      <c r="J1136" s="41">
        <f t="shared" si="496"/>
        <v>0</v>
      </c>
      <c r="K1136" s="47"/>
      <c r="L1136" s="41">
        <f t="shared" si="497"/>
        <v>0</v>
      </c>
      <c r="M1136" s="39"/>
      <c r="N1136" s="41">
        <f t="shared" si="498"/>
        <v>0</v>
      </c>
      <c r="O1136" s="47"/>
      <c r="P1136" s="41">
        <f t="shared" si="499"/>
        <v>0</v>
      </c>
      <c r="Q1136" s="39"/>
      <c r="R1136" s="41">
        <f t="shared" si="500"/>
        <v>0</v>
      </c>
      <c r="S1136" s="47"/>
      <c r="T1136" s="41">
        <f t="shared" si="501"/>
        <v>0</v>
      </c>
      <c r="U1136" s="39"/>
      <c r="V1136" s="41">
        <f t="shared" si="502"/>
        <v>0</v>
      </c>
      <c r="W1136" s="47"/>
      <c r="X1136" s="41">
        <f t="shared" si="503"/>
        <v>0</v>
      </c>
      <c r="Y1136" s="39"/>
      <c r="Z1136" s="41">
        <f t="shared" si="504"/>
        <v>0</v>
      </c>
      <c r="AA1136" s="47"/>
      <c r="AB1136" s="41">
        <f t="shared" si="505"/>
        <v>0</v>
      </c>
      <c r="AC1136" s="39"/>
      <c r="AD1136" s="41">
        <f t="shared" si="520"/>
        <v>0</v>
      </c>
      <c r="AE1136" s="47"/>
      <c r="AF1136" s="41">
        <f t="shared" si="506"/>
        <v>0</v>
      </c>
      <c r="AG1136" s="39"/>
      <c r="AH1136" s="41">
        <f t="shared" si="521"/>
        <v>0</v>
      </c>
      <c r="AI1136" s="47"/>
      <c r="AJ1136" s="41">
        <f t="shared" si="507"/>
        <v>0</v>
      </c>
      <c r="AK1136" s="39"/>
      <c r="AL1136" s="41">
        <f t="shared" si="522"/>
        <v>0</v>
      </c>
      <c r="AM1136" s="47"/>
      <c r="AN1136" s="41">
        <f t="shared" si="508"/>
        <v>0</v>
      </c>
      <c r="AO1136" s="39"/>
      <c r="AP1136" s="41">
        <f t="shared" si="523"/>
        <v>0</v>
      </c>
      <c r="AQ1136" s="47"/>
      <c r="AR1136" s="41">
        <f t="shared" si="509"/>
        <v>0</v>
      </c>
      <c r="AS1136" s="39"/>
      <c r="AT1136" s="41">
        <f t="shared" si="524"/>
        <v>0</v>
      </c>
      <c r="AU1136" s="47"/>
      <c r="AV1136" s="41">
        <f t="shared" si="510"/>
        <v>0</v>
      </c>
      <c r="AW1136" s="39"/>
      <c r="AX1136" s="41">
        <f t="shared" si="525"/>
        <v>0</v>
      </c>
      <c r="AY1136" s="47"/>
      <c r="AZ1136" s="41">
        <f t="shared" si="511"/>
        <v>0</v>
      </c>
      <c r="BA1136" s="39"/>
      <c r="BB1136" s="41">
        <f t="shared" si="526"/>
        <v>0</v>
      </c>
      <c r="BC1136" s="47"/>
      <c r="BD1136" s="41">
        <f t="shared" si="512"/>
        <v>0</v>
      </c>
      <c r="BE1136" s="39"/>
      <c r="BF1136" s="47"/>
    </row>
    <row r="1137" spans="1:58" ht="15.75" customHeight="1" x14ac:dyDescent="0.25">
      <c r="A1137" s="44">
        <v>2016</v>
      </c>
      <c r="B1137" s="39">
        <v>170320</v>
      </c>
      <c r="C1137" s="38" t="s">
        <v>150</v>
      </c>
      <c r="D1137" s="38" t="s">
        <v>28</v>
      </c>
      <c r="E1137" s="39"/>
      <c r="F1137" s="42">
        <f t="shared" si="494"/>
        <v>0</v>
      </c>
      <c r="G1137" s="47"/>
      <c r="H1137" s="42">
        <f t="shared" si="495"/>
        <v>0</v>
      </c>
      <c r="I1137" s="39"/>
      <c r="J1137" s="41">
        <f t="shared" si="496"/>
        <v>0</v>
      </c>
      <c r="K1137" s="47"/>
      <c r="L1137" s="41">
        <f t="shared" si="497"/>
        <v>0</v>
      </c>
      <c r="M1137" s="39"/>
      <c r="N1137" s="41">
        <f t="shared" si="498"/>
        <v>0</v>
      </c>
      <c r="O1137" s="47"/>
      <c r="P1137" s="41">
        <f t="shared" si="499"/>
        <v>0</v>
      </c>
      <c r="Q1137" s="39"/>
      <c r="R1137" s="41">
        <f t="shared" si="500"/>
        <v>0</v>
      </c>
      <c r="S1137" s="47"/>
      <c r="T1137" s="41">
        <f t="shared" si="501"/>
        <v>0</v>
      </c>
      <c r="U1137" s="39"/>
      <c r="V1137" s="41">
        <f t="shared" si="502"/>
        <v>0</v>
      </c>
      <c r="W1137" s="47"/>
      <c r="X1137" s="41">
        <f t="shared" si="503"/>
        <v>0</v>
      </c>
      <c r="Y1137" s="39"/>
      <c r="Z1137" s="41">
        <f t="shared" si="504"/>
        <v>0</v>
      </c>
      <c r="AA1137" s="47"/>
      <c r="AB1137" s="41">
        <f t="shared" si="505"/>
        <v>0</v>
      </c>
      <c r="AC1137" s="39"/>
      <c r="AD1137" s="41">
        <f t="shared" si="520"/>
        <v>0</v>
      </c>
      <c r="AE1137" s="47"/>
      <c r="AF1137" s="41">
        <f t="shared" si="506"/>
        <v>0</v>
      </c>
      <c r="AG1137" s="39"/>
      <c r="AH1137" s="41">
        <f t="shared" si="521"/>
        <v>0</v>
      </c>
      <c r="AI1137" s="47"/>
      <c r="AJ1137" s="41">
        <f t="shared" si="507"/>
        <v>0</v>
      </c>
      <c r="AK1137" s="39"/>
      <c r="AL1137" s="41">
        <f t="shared" si="522"/>
        <v>0</v>
      </c>
      <c r="AM1137" s="47"/>
      <c r="AN1137" s="41">
        <f t="shared" si="508"/>
        <v>0</v>
      </c>
      <c r="AO1137" s="39"/>
      <c r="AP1137" s="41">
        <f t="shared" si="523"/>
        <v>0</v>
      </c>
      <c r="AQ1137" s="47"/>
      <c r="AR1137" s="41">
        <f t="shared" si="509"/>
        <v>0</v>
      </c>
      <c r="AS1137" s="39"/>
      <c r="AT1137" s="41">
        <f t="shared" si="524"/>
        <v>0</v>
      </c>
      <c r="AU1137" s="47"/>
      <c r="AV1137" s="41">
        <f t="shared" si="510"/>
        <v>0</v>
      </c>
      <c r="AW1137" s="39"/>
      <c r="AX1137" s="41">
        <f t="shared" si="525"/>
        <v>0</v>
      </c>
      <c r="AY1137" s="47"/>
      <c r="AZ1137" s="41">
        <f t="shared" si="511"/>
        <v>0</v>
      </c>
      <c r="BA1137" s="39"/>
      <c r="BB1137" s="41">
        <f t="shared" si="526"/>
        <v>0</v>
      </c>
      <c r="BC1137" s="47"/>
      <c r="BD1137" s="41">
        <f t="shared" si="512"/>
        <v>0</v>
      </c>
      <c r="BE1137" s="39"/>
      <c r="BF1137" s="47"/>
    </row>
    <row r="1138" spans="1:58" ht="15.75" customHeight="1" x14ac:dyDescent="0.25">
      <c r="A1138" s="44">
        <v>2016</v>
      </c>
      <c r="B1138" s="39">
        <v>170330</v>
      </c>
      <c r="C1138" s="38" t="s">
        <v>150</v>
      </c>
      <c r="D1138" s="38" t="s">
        <v>29</v>
      </c>
      <c r="E1138" s="39"/>
      <c r="F1138" s="42">
        <f t="shared" si="494"/>
        <v>0</v>
      </c>
      <c r="G1138" s="47"/>
      <c r="H1138" s="42">
        <f t="shared" si="495"/>
        <v>0</v>
      </c>
      <c r="I1138" s="39"/>
      <c r="J1138" s="41">
        <f t="shared" si="496"/>
        <v>0</v>
      </c>
      <c r="K1138" s="47"/>
      <c r="L1138" s="41">
        <f t="shared" si="497"/>
        <v>0</v>
      </c>
      <c r="M1138" s="39"/>
      <c r="N1138" s="41">
        <f t="shared" si="498"/>
        <v>0</v>
      </c>
      <c r="O1138" s="47"/>
      <c r="P1138" s="41">
        <f t="shared" si="499"/>
        <v>0</v>
      </c>
      <c r="Q1138" s="39"/>
      <c r="R1138" s="41">
        <f t="shared" si="500"/>
        <v>0</v>
      </c>
      <c r="S1138" s="47"/>
      <c r="T1138" s="41">
        <f t="shared" si="501"/>
        <v>0</v>
      </c>
      <c r="U1138" s="39"/>
      <c r="V1138" s="41">
        <f t="shared" si="502"/>
        <v>0</v>
      </c>
      <c r="W1138" s="47"/>
      <c r="X1138" s="41">
        <f t="shared" si="503"/>
        <v>0</v>
      </c>
      <c r="Y1138" s="39"/>
      <c r="Z1138" s="41">
        <f t="shared" si="504"/>
        <v>0</v>
      </c>
      <c r="AA1138" s="47"/>
      <c r="AB1138" s="41">
        <f t="shared" si="505"/>
        <v>0</v>
      </c>
      <c r="AC1138" s="39"/>
      <c r="AD1138" s="41">
        <f t="shared" si="520"/>
        <v>0</v>
      </c>
      <c r="AE1138" s="47"/>
      <c r="AF1138" s="41">
        <f t="shared" si="506"/>
        <v>0</v>
      </c>
      <c r="AG1138" s="39"/>
      <c r="AH1138" s="41">
        <f t="shared" si="521"/>
        <v>0</v>
      </c>
      <c r="AI1138" s="47"/>
      <c r="AJ1138" s="41">
        <f t="shared" si="507"/>
        <v>0</v>
      </c>
      <c r="AK1138" s="39"/>
      <c r="AL1138" s="41">
        <f t="shared" si="522"/>
        <v>0</v>
      </c>
      <c r="AM1138" s="47"/>
      <c r="AN1138" s="41">
        <f t="shared" si="508"/>
        <v>0</v>
      </c>
      <c r="AO1138" s="39"/>
      <c r="AP1138" s="41">
        <f t="shared" si="523"/>
        <v>0</v>
      </c>
      <c r="AQ1138" s="47"/>
      <c r="AR1138" s="41">
        <f t="shared" si="509"/>
        <v>0</v>
      </c>
      <c r="AS1138" s="39"/>
      <c r="AT1138" s="41">
        <f t="shared" si="524"/>
        <v>0</v>
      </c>
      <c r="AU1138" s="47"/>
      <c r="AV1138" s="41">
        <f t="shared" si="510"/>
        <v>0</v>
      </c>
      <c r="AW1138" s="39"/>
      <c r="AX1138" s="41">
        <f t="shared" si="525"/>
        <v>0</v>
      </c>
      <c r="AY1138" s="47"/>
      <c r="AZ1138" s="41">
        <f t="shared" si="511"/>
        <v>0</v>
      </c>
      <c r="BA1138" s="39"/>
      <c r="BB1138" s="41">
        <f t="shared" si="526"/>
        <v>0</v>
      </c>
      <c r="BC1138" s="47"/>
      <c r="BD1138" s="41">
        <f t="shared" si="512"/>
        <v>0</v>
      </c>
      <c r="BE1138" s="39"/>
      <c r="BF1138" s="47"/>
    </row>
    <row r="1139" spans="1:58" ht="15.75" customHeight="1" x14ac:dyDescent="0.25">
      <c r="A1139" s="44">
        <v>2016</v>
      </c>
      <c r="B1139" s="39">
        <v>170360</v>
      </c>
      <c r="C1139" s="38" t="s">
        <v>150</v>
      </c>
      <c r="D1139" s="38" t="s">
        <v>30</v>
      </c>
      <c r="E1139" s="39"/>
      <c r="F1139" s="42">
        <f t="shared" si="494"/>
        <v>0</v>
      </c>
      <c r="G1139" s="47"/>
      <c r="H1139" s="42">
        <f t="shared" si="495"/>
        <v>0</v>
      </c>
      <c r="I1139" s="39"/>
      <c r="J1139" s="41">
        <f t="shared" si="496"/>
        <v>0</v>
      </c>
      <c r="K1139" s="47"/>
      <c r="L1139" s="41">
        <f t="shared" si="497"/>
        <v>0</v>
      </c>
      <c r="M1139" s="39"/>
      <c r="N1139" s="41">
        <f t="shared" si="498"/>
        <v>0</v>
      </c>
      <c r="O1139" s="47"/>
      <c r="P1139" s="41">
        <f t="shared" si="499"/>
        <v>0</v>
      </c>
      <c r="Q1139" s="39"/>
      <c r="R1139" s="41">
        <f t="shared" si="500"/>
        <v>0</v>
      </c>
      <c r="S1139" s="47"/>
      <c r="T1139" s="41">
        <f t="shared" si="501"/>
        <v>0</v>
      </c>
      <c r="U1139" s="39"/>
      <c r="V1139" s="41">
        <f t="shared" si="502"/>
        <v>0</v>
      </c>
      <c r="W1139" s="47"/>
      <c r="X1139" s="41">
        <f t="shared" si="503"/>
        <v>0</v>
      </c>
      <c r="Y1139" s="39"/>
      <c r="Z1139" s="41">
        <f t="shared" si="504"/>
        <v>0</v>
      </c>
      <c r="AA1139" s="47"/>
      <c r="AB1139" s="41">
        <f t="shared" si="505"/>
        <v>0</v>
      </c>
      <c r="AC1139" s="39"/>
      <c r="AD1139" s="41">
        <f t="shared" si="520"/>
        <v>0</v>
      </c>
      <c r="AE1139" s="47"/>
      <c r="AF1139" s="41">
        <f t="shared" si="506"/>
        <v>0</v>
      </c>
      <c r="AG1139" s="39"/>
      <c r="AH1139" s="41">
        <f t="shared" si="521"/>
        <v>0</v>
      </c>
      <c r="AI1139" s="47"/>
      <c r="AJ1139" s="41">
        <f t="shared" si="507"/>
        <v>0</v>
      </c>
      <c r="AK1139" s="39"/>
      <c r="AL1139" s="41">
        <f t="shared" si="522"/>
        <v>0</v>
      </c>
      <c r="AM1139" s="47"/>
      <c r="AN1139" s="41">
        <f t="shared" si="508"/>
        <v>0</v>
      </c>
      <c r="AO1139" s="39"/>
      <c r="AP1139" s="41">
        <f t="shared" si="523"/>
        <v>0</v>
      </c>
      <c r="AQ1139" s="47"/>
      <c r="AR1139" s="41">
        <f t="shared" si="509"/>
        <v>0</v>
      </c>
      <c r="AS1139" s="39"/>
      <c r="AT1139" s="41">
        <f t="shared" si="524"/>
        <v>0</v>
      </c>
      <c r="AU1139" s="47"/>
      <c r="AV1139" s="41">
        <f t="shared" si="510"/>
        <v>0</v>
      </c>
      <c r="AW1139" s="39"/>
      <c r="AX1139" s="41">
        <f t="shared" si="525"/>
        <v>0</v>
      </c>
      <c r="AY1139" s="47"/>
      <c r="AZ1139" s="41">
        <f t="shared" si="511"/>
        <v>0</v>
      </c>
      <c r="BA1139" s="39"/>
      <c r="BB1139" s="41">
        <f t="shared" si="526"/>
        <v>0</v>
      </c>
      <c r="BC1139" s="47"/>
      <c r="BD1139" s="41">
        <f t="shared" si="512"/>
        <v>0</v>
      </c>
      <c r="BE1139" s="39"/>
      <c r="BF1139" s="47"/>
    </row>
    <row r="1140" spans="1:58" ht="15.75" customHeight="1" x14ac:dyDescent="0.25">
      <c r="A1140" s="44">
        <v>2016</v>
      </c>
      <c r="B1140" s="39">
        <v>170370</v>
      </c>
      <c r="C1140" s="38" t="s">
        <v>151</v>
      </c>
      <c r="D1140" s="38" t="s">
        <v>31</v>
      </c>
      <c r="E1140" s="39"/>
      <c r="F1140" s="42">
        <f t="shared" si="494"/>
        <v>0</v>
      </c>
      <c r="G1140" s="47"/>
      <c r="H1140" s="42">
        <f t="shared" si="495"/>
        <v>0</v>
      </c>
      <c r="I1140" s="39"/>
      <c r="J1140" s="41">
        <f t="shared" si="496"/>
        <v>0</v>
      </c>
      <c r="K1140" s="47"/>
      <c r="L1140" s="41">
        <f t="shared" si="497"/>
        <v>0</v>
      </c>
      <c r="M1140" s="39"/>
      <c r="N1140" s="41">
        <f t="shared" si="498"/>
        <v>0</v>
      </c>
      <c r="O1140" s="47"/>
      <c r="P1140" s="41">
        <f t="shared" si="499"/>
        <v>0</v>
      </c>
      <c r="Q1140" s="39"/>
      <c r="R1140" s="41">
        <f t="shared" si="500"/>
        <v>0</v>
      </c>
      <c r="S1140" s="47"/>
      <c r="T1140" s="41">
        <f t="shared" si="501"/>
        <v>0</v>
      </c>
      <c r="U1140" s="39"/>
      <c r="V1140" s="41">
        <f t="shared" si="502"/>
        <v>0</v>
      </c>
      <c r="W1140" s="47"/>
      <c r="X1140" s="41">
        <f t="shared" si="503"/>
        <v>0</v>
      </c>
      <c r="Y1140" s="39"/>
      <c r="Z1140" s="41">
        <f t="shared" si="504"/>
        <v>0</v>
      </c>
      <c r="AA1140" s="47"/>
      <c r="AB1140" s="41">
        <f t="shared" si="505"/>
        <v>0</v>
      </c>
      <c r="AC1140" s="39"/>
      <c r="AD1140" s="41">
        <f t="shared" si="520"/>
        <v>0</v>
      </c>
      <c r="AE1140" s="47"/>
      <c r="AF1140" s="41">
        <f t="shared" si="506"/>
        <v>0</v>
      </c>
      <c r="AG1140" s="39"/>
      <c r="AH1140" s="41">
        <f t="shared" si="521"/>
        <v>0</v>
      </c>
      <c r="AI1140" s="47"/>
      <c r="AJ1140" s="41">
        <f t="shared" si="507"/>
        <v>0</v>
      </c>
      <c r="AK1140" s="39"/>
      <c r="AL1140" s="41">
        <f t="shared" si="522"/>
        <v>0</v>
      </c>
      <c r="AM1140" s="47"/>
      <c r="AN1140" s="41">
        <f t="shared" si="508"/>
        <v>0</v>
      </c>
      <c r="AO1140" s="39"/>
      <c r="AP1140" s="41">
        <f t="shared" si="523"/>
        <v>0</v>
      </c>
      <c r="AQ1140" s="47"/>
      <c r="AR1140" s="41">
        <f t="shared" si="509"/>
        <v>0</v>
      </c>
      <c r="AS1140" s="39"/>
      <c r="AT1140" s="41">
        <f t="shared" si="524"/>
        <v>0</v>
      </c>
      <c r="AU1140" s="47"/>
      <c r="AV1140" s="41">
        <f t="shared" si="510"/>
        <v>0</v>
      </c>
      <c r="AW1140" s="39"/>
      <c r="AX1140" s="41">
        <f t="shared" si="525"/>
        <v>0</v>
      </c>
      <c r="AY1140" s="47"/>
      <c r="AZ1140" s="41">
        <f t="shared" si="511"/>
        <v>0</v>
      </c>
      <c r="BA1140" s="39"/>
      <c r="BB1140" s="41">
        <f t="shared" si="526"/>
        <v>0</v>
      </c>
      <c r="BC1140" s="47"/>
      <c r="BD1140" s="41">
        <f t="shared" si="512"/>
        <v>0</v>
      </c>
      <c r="BE1140" s="39"/>
      <c r="BF1140" s="47"/>
    </row>
    <row r="1141" spans="1:58" ht="15.75" customHeight="1" x14ac:dyDescent="0.25">
      <c r="A1141" s="44">
        <v>2016</v>
      </c>
      <c r="B1141" s="39">
        <v>170380</v>
      </c>
      <c r="C1141" s="38" t="s">
        <v>145</v>
      </c>
      <c r="D1141" s="38" t="s">
        <v>32</v>
      </c>
      <c r="E1141" s="39"/>
      <c r="F1141" s="42">
        <f t="shared" si="494"/>
        <v>0</v>
      </c>
      <c r="G1141" s="47"/>
      <c r="H1141" s="42">
        <f t="shared" si="495"/>
        <v>0</v>
      </c>
      <c r="I1141" s="39"/>
      <c r="J1141" s="41">
        <f t="shared" si="496"/>
        <v>0</v>
      </c>
      <c r="K1141" s="47"/>
      <c r="L1141" s="41">
        <f t="shared" si="497"/>
        <v>0</v>
      </c>
      <c r="M1141" s="39"/>
      <c r="N1141" s="41">
        <f t="shared" si="498"/>
        <v>0</v>
      </c>
      <c r="O1141" s="47"/>
      <c r="P1141" s="41">
        <f t="shared" si="499"/>
        <v>0</v>
      </c>
      <c r="Q1141" s="39"/>
      <c r="R1141" s="41">
        <f t="shared" si="500"/>
        <v>0</v>
      </c>
      <c r="S1141" s="47"/>
      <c r="T1141" s="41">
        <f t="shared" si="501"/>
        <v>0</v>
      </c>
      <c r="U1141" s="39"/>
      <c r="V1141" s="41">
        <f t="shared" si="502"/>
        <v>0</v>
      </c>
      <c r="W1141" s="47"/>
      <c r="X1141" s="41">
        <f t="shared" si="503"/>
        <v>0</v>
      </c>
      <c r="Y1141" s="39"/>
      <c r="Z1141" s="41">
        <f t="shared" si="504"/>
        <v>0</v>
      </c>
      <c r="AA1141" s="47"/>
      <c r="AB1141" s="41">
        <f t="shared" si="505"/>
        <v>0</v>
      </c>
      <c r="AC1141" s="39"/>
      <c r="AD1141" s="41">
        <f t="shared" si="520"/>
        <v>0</v>
      </c>
      <c r="AE1141" s="47"/>
      <c r="AF1141" s="41">
        <f t="shared" si="506"/>
        <v>0</v>
      </c>
      <c r="AG1141" s="39"/>
      <c r="AH1141" s="41">
        <f t="shared" si="521"/>
        <v>0</v>
      </c>
      <c r="AI1141" s="47"/>
      <c r="AJ1141" s="41">
        <f t="shared" si="507"/>
        <v>0</v>
      </c>
      <c r="AK1141" s="39"/>
      <c r="AL1141" s="41">
        <f t="shared" si="522"/>
        <v>0</v>
      </c>
      <c r="AM1141" s="47"/>
      <c r="AN1141" s="41">
        <f t="shared" si="508"/>
        <v>0</v>
      </c>
      <c r="AO1141" s="39"/>
      <c r="AP1141" s="41">
        <f t="shared" si="523"/>
        <v>0</v>
      </c>
      <c r="AQ1141" s="47"/>
      <c r="AR1141" s="41">
        <f t="shared" si="509"/>
        <v>0</v>
      </c>
      <c r="AS1141" s="39"/>
      <c r="AT1141" s="41">
        <f t="shared" si="524"/>
        <v>0</v>
      </c>
      <c r="AU1141" s="47"/>
      <c r="AV1141" s="41">
        <f t="shared" si="510"/>
        <v>0</v>
      </c>
      <c r="AW1141" s="39"/>
      <c r="AX1141" s="41">
        <f t="shared" si="525"/>
        <v>0</v>
      </c>
      <c r="AY1141" s="47"/>
      <c r="AZ1141" s="41">
        <f t="shared" si="511"/>
        <v>0</v>
      </c>
      <c r="BA1141" s="39"/>
      <c r="BB1141" s="41">
        <f t="shared" si="526"/>
        <v>0</v>
      </c>
      <c r="BC1141" s="47"/>
      <c r="BD1141" s="41">
        <f t="shared" si="512"/>
        <v>0</v>
      </c>
      <c r="BE1141" s="39"/>
      <c r="BF1141" s="47"/>
    </row>
    <row r="1142" spans="1:58" ht="15.75" customHeight="1" x14ac:dyDescent="0.25">
      <c r="A1142" s="44">
        <v>2016</v>
      </c>
      <c r="B1142" s="39">
        <v>170382</v>
      </c>
      <c r="C1142" s="38" t="s">
        <v>145</v>
      </c>
      <c r="D1142" s="38" t="s">
        <v>33</v>
      </c>
      <c r="E1142" s="39"/>
      <c r="F1142" s="42">
        <f t="shared" si="494"/>
        <v>0</v>
      </c>
      <c r="G1142" s="47"/>
      <c r="H1142" s="42">
        <f t="shared" si="495"/>
        <v>0</v>
      </c>
      <c r="I1142" s="39"/>
      <c r="J1142" s="41">
        <f t="shared" si="496"/>
        <v>0</v>
      </c>
      <c r="K1142" s="47"/>
      <c r="L1142" s="41">
        <f t="shared" si="497"/>
        <v>0</v>
      </c>
      <c r="M1142" s="39"/>
      <c r="N1142" s="41">
        <f t="shared" si="498"/>
        <v>0</v>
      </c>
      <c r="O1142" s="47"/>
      <c r="P1142" s="41">
        <f t="shared" si="499"/>
        <v>0</v>
      </c>
      <c r="Q1142" s="39"/>
      <c r="R1142" s="41">
        <f t="shared" si="500"/>
        <v>0</v>
      </c>
      <c r="S1142" s="47"/>
      <c r="T1142" s="41">
        <f t="shared" si="501"/>
        <v>0</v>
      </c>
      <c r="U1142" s="39"/>
      <c r="V1142" s="41">
        <f t="shared" si="502"/>
        <v>0</v>
      </c>
      <c r="W1142" s="47"/>
      <c r="X1142" s="41">
        <f t="shared" si="503"/>
        <v>0</v>
      </c>
      <c r="Y1142" s="39"/>
      <c r="Z1142" s="41">
        <f t="shared" si="504"/>
        <v>0</v>
      </c>
      <c r="AA1142" s="47"/>
      <c r="AB1142" s="41">
        <f t="shared" si="505"/>
        <v>0</v>
      </c>
      <c r="AC1142" s="39"/>
      <c r="AD1142" s="41">
        <f t="shared" si="520"/>
        <v>0</v>
      </c>
      <c r="AE1142" s="47"/>
      <c r="AF1142" s="41">
        <f t="shared" si="506"/>
        <v>0</v>
      </c>
      <c r="AG1142" s="39"/>
      <c r="AH1142" s="41">
        <f t="shared" si="521"/>
        <v>0</v>
      </c>
      <c r="AI1142" s="47"/>
      <c r="AJ1142" s="41">
        <f t="shared" si="507"/>
        <v>0</v>
      </c>
      <c r="AK1142" s="39"/>
      <c r="AL1142" s="41">
        <f t="shared" si="522"/>
        <v>0</v>
      </c>
      <c r="AM1142" s="47"/>
      <c r="AN1142" s="41">
        <f t="shared" si="508"/>
        <v>0</v>
      </c>
      <c r="AO1142" s="39"/>
      <c r="AP1142" s="41">
        <f t="shared" si="523"/>
        <v>0</v>
      </c>
      <c r="AQ1142" s="47"/>
      <c r="AR1142" s="41">
        <f t="shared" si="509"/>
        <v>0</v>
      </c>
      <c r="AS1142" s="39"/>
      <c r="AT1142" s="41">
        <f t="shared" si="524"/>
        <v>0</v>
      </c>
      <c r="AU1142" s="47"/>
      <c r="AV1142" s="41">
        <f t="shared" si="510"/>
        <v>0</v>
      </c>
      <c r="AW1142" s="39"/>
      <c r="AX1142" s="41">
        <f t="shared" si="525"/>
        <v>0</v>
      </c>
      <c r="AY1142" s="47"/>
      <c r="AZ1142" s="41">
        <f t="shared" si="511"/>
        <v>0</v>
      </c>
      <c r="BA1142" s="39"/>
      <c r="BB1142" s="41">
        <f t="shared" si="526"/>
        <v>0</v>
      </c>
      <c r="BC1142" s="47"/>
      <c r="BD1142" s="41">
        <f t="shared" si="512"/>
        <v>0</v>
      </c>
      <c r="BE1142" s="39"/>
      <c r="BF1142" s="47"/>
    </row>
    <row r="1143" spans="1:58" ht="15.75" customHeight="1" x14ac:dyDescent="0.25">
      <c r="A1143" s="44">
        <v>2016</v>
      </c>
      <c r="B1143" s="39">
        <v>170384</v>
      </c>
      <c r="C1143" s="38" t="s">
        <v>149</v>
      </c>
      <c r="D1143" s="38" t="s">
        <v>34</v>
      </c>
      <c r="E1143" s="39"/>
      <c r="F1143" s="42">
        <f t="shared" si="494"/>
        <v>0</v>
      </c>
      <c r="G1143" s="47"/>
      <c r="H1143" s="42">
        <f t="shared" si="495"/>
        <v>0</v>
      </c>
      <c r="I1143" s="39"/>
      <c r="J1143" s="41">
        <f t="shared" si="496"/>
        <v>0</v>
      </c>
      <c r="K1143" s="47"/>
      <c r="L1143" s="41">
        <f t="shared" si="497"/>
        <v>0</v>
      </c>
      <c r="M1143" s="39"/>
      <c r="N1143" s="41">
        <f t="shared" si="498"/>
        <v>0</v>
      </c>
      <c r="O1143" s="47"/>
      <c r="P1143" s="41">
        <f t="shared" si="499"/>
        <v>0</v>
      </c>
      <c r="Q1143" s="39"/>
      <c r="R1143" s="41">
        <f t="shared" si="500"/>
        <v>0</v>
      </c>
      <c r="S1143" s="47"/>
      <c r="T1143" s="41">
        <f t="shared" si="501"/>
        <v>0</v>
      </c>
      <c r="U1143" s="39"/>
      <c r="V1143" s="41">
        <f t="shared" si="502"/>
        <v>0</v>
      </c>
      <c r="W1143" s="47"/>
      <c r="X1143" s="41">
        <f t="shared" si="503"/>
        <v>0</v>
      </c>
      <c r="Y1143" s="39"/>
      <c r="Z1143" s="41">
        <f t="shared" si="504"/>
        <v>0</v>
      </c>
      <c r="AA1143" s="47"/>
      <c r="AB1143" s="41">
        <f t="shared" si="505"/>
        <v>0</v>
      </c>
      <c r="AC1143" s="39"/>
      <c r="AD1143" s="41">
        <f t="shared" si="520"/>
        <v>0</v>
      </c>
      <c r="AE1143" s="47"/>
      <c r="AF1143" s="41">
        <f t="shared" si="506"/>
        <v>0</v>
      </c>
      <c r="AG1143" s="39"/>
      <c r="AH1143" s="41">
        <f t="shared" si="521"/>
        <v>0</v>
      </c>
      <c r="AI1143" s="47"/>
      <c r="AJ1143" s="41">
        <f t="shared" si="507"/>
        <v>0</v>
      </c>
      <c r="AK1143" s="39"/>
      <c r="AL1143" s="41">
        <f t="shared" si="522"/>
        <v>0</v>
      </c>
      <c r="AM1143" s="47"/>
      <c r="AN1143" s="41">
        <f t="shared" si="508"/>
        <v>0</v>
      </c>
      <c r="AO1143" s="39"/>
      <c r="AP1143" s="41">
        <f t="shared" si="523"/>
        <v>0</v>
      </c>
      <c r="AQ1143" s="47"/>
      <c r="AR1143" s="41">
        <f t="shared" si="509"/>
        <v>0</v>
      </c>
      <c r="AS1143" s="39"/>
      <c r="AT1143" s="41">
        <f t="shared" si="524"/>
        <v>0</v>
      </c>
      <c r="AU1143" s="47"/>
      <c r="AV1143" s="41">
        <f t="shared" si="510"/>
        <v>0</v>
      </c>
      <c r="AW1143" s="39"/>
      <c r="AX1143" s="41">
        <f t="shared" si="525"/>
        <v>0</v>
      </c>
      <c r="AY1143" s="47"/>
      <c r="AZ1143" s="41">
        <f t="shared" si="511"/>
        <v>0</v>
      </c>
      <c r="BA1143" s="39"/>
      <c r="BB1143" s="41">
        <f t="shared" si="526"/>
        <v>0</v>
      </c>
      <c r="BC1143" s="47"/>
      <c r="BD1143" s="41">
        <f t="shared" si="512"/>
        <v>0</v>
      </c>
      <c r="BE1143" s="39"/>
      <c r="BF1143" s="47"/>
    </row>
    <row r="1144" spans="1:58" ht="15.75" customHeight="1" x14ac:dyDescent="0.25">
      <c r="A1144" s="44">
        <v>2016</v>
      </c>
      <c r="B1144" s="39">
        <v>170386</v>
      </c>
      <c r="C1144" s="38" t="s">
        <v>146</v>
      </c>
      <c r="D1144" s="38" t="s">
        <v>35</v>
      </c>
      <c r="E1144" s="39"/>
      <c r="F1144" s="42">
        <f t="shared" si="494"/>
        <v>0</v>
      </c>
      <c r="G1144" s="47"/>
      <c r="H1144" s="42">
        <f t="shared" si="495"/>
        <v>0</v>
      </c>
      <c r="I1144" s="39"/>
      <c r="J1144" s="41">
        <f t="shared" si="496"/>
        <v>0</v>
      </c>
      <c r="K1144" s="47"/>
      <c r="L1144" s="41">
        <f t="shared" si="497"/>
        <v>0</v>
      </c>
      <c r="M1144" s="39"/>
      <c r="N1144" s="41">
        <f t="shared" si="498"/>
        <v>0</v>
      </c>
      <c r="O1144" s="47"/>
      <c r="P1144" s="41">
        <f t="shared" si="499"/>
        <v>0</v>
      </c>
      <c r="Q1144" s="39"/>
      <c r="R1144" s="41">
        <f t="shared" si="500"/>
        <v>0</v>
      </c>
      <c r="S1144" s="47"/>
      <c r="T1144" s="41">
        <f t="shared" si="501"/>
        <v>0</v>
      </c>
      <c r="U1144" s="39"/>
      <c r="V1144" s="41">
        <f t="shared" si="502"/>
        <v>0</v>
      </c>
      <c r="W1144" s="47"/>
      <c r="X1144" s="41">
        <f t="shared" si="503"/>
        <v>0</v>
      </c>
      <c r="Y1144" s="39"/>
      <c r="Z1144" s="41">
        <f t="shared" si="504"/>
        <v>0</v>
      </c>
      <c r="AA1144" s="47"/>
      <c r="AB1144" s="41">
        <f t="shared" si="505"/>
        <v>0</v>
      </c>
      <c r="AC1144" s="39"/>
      <c r="AD1144" s="41">
        <f t="shared" si="520"/>
        <v>0</v>
      </c>
      <c r="AE1144" s="47"/>
      <c r="AF1144" s="41">
        <f t="shared" si="506"/>
        <v>0</v>
      </c>
      <c r="AG1144" s="39"/>
      <c r="AH1144" s="41">
        <f t="shared" si="521"/>
        <v>0</v>
      </c>
      <c r="AI1144" s="47"/>
      <c r="AJ1144" s="41">
        <f t="shared" si="507"/>
        <v>0</v>
      </c>
      <c r="AK1144" s="39"/>
      <c r="AL1144" s="41">
        <f t="shared" si="522"/>
        <v>0</v>
      </c>
      <c r="AM1144" s="47"/>
      <c r="AN1144" s="41">
        <f t="shared" si="508"/>
        <v>0</v>
      </c>
      <c r="AO1144" s="39"/>
      <c r="AP1144" s="41">
        <f t="shared" si="523"/>
        <v>0</v>
      </c>
      <c r="AQ1144" s="47"/>
      <c r="AR1144" s="41">
        <f t="shared" si="509"/>
        <v>0</v>
      </c>
      <c r="AS1144" s="39"/>
      <c r="AT1144" s="41">
        <f t="shared" si="524"/>
        <v>0</v>
      </c>
      <c r="AU1144" s="47"/>
      <c r="AV1144" s="41">
        <f t="shared" si="510"/>
        <v>0</v>
      </c>
      <c r="AW1144" s="39"/>
      <c r="AX1144" s="41">
        <f t="shared" si="525"/>
        <v>0</v>
      </c>
      <c r="AY1144" s="47"/>
      <c r="AZ1144" s="41">
        <f t="shared" si="511"/>
        <v>0</v>
      </c>
      <c r="BA1144" s="39"/>
      <c r="BB1144" s="41">
        <f t="shared" si="526"/>
        <v>0</v>
      </c>
      <c r="BC1144" s="47"/>
      <c r="BD1144" s="41">
        <f t="shared" si="512"/>
        <v>0</v>
      </c>
      <c r="BE1144" s="39"/>
      <c r="BF1144" s="47"/>
    </row>
    <row r="1145" spans="1:58" ht="15.75" customHeight="1" x14ac:dyDescent="0.25">
      <c r="A1145" s="44">
        <v>2016</v>
      </c>
      <c r="B1145" s="39">
        <v>170388</v>
      </c>
      <c r="C1145" s="38" t="s">
        <v>149</v>
      </c>
      <c r="D1145" s="38" t="s">
        <v>36</v>
      </c>
      <c r="E1145" s="39"/>
      <c r="F1145" s="42">
        <f t="shared" si="494"/>
        <v>0</v>
      </c>
      <c r="G1145" s="47"/>
      <c r="H1145" s="42">
        <f t="shared" si="495"/>
        <v>0</v>
      </c>
      <c r="I1145" s="39"/>
      <c r="J1145" s="41">
        <f t="shared" si="496"/>
        <v>0</v>
      </c>
      <c r="K1145" s="47"/>
      <c r="L1145" s="41">
        <f t="shared" si="497"/>
        <v>0</v>
      </c>
      <c r="M1145" s="39"/>
      <c r="N1145" s="41">
        <f t="shared" si="498"/>
        <v>0</v>
      </c>
      <c r="O1145" s="47"/>
      <c r="P1145" s="41">
        <f t="shared" si="499"/>
        <v>0</v>
      </c>
      <c r="Q1145" s="39"/>
      <c r="R1145" s="41">
        <f t="shared" si="500"/>
        <v>0</v>
      </c>
      <c r="S1145" s="47"/>
      <c r="T1145" s="41">
        <f t="shared" si="501"/>
        <v>0</v>
      </c>
      <c r="U1145" s="39"/>
      <c r="V1145" s="41">
        <f t="shared" si="502"/>
        <v>0</v>
      </c>
      <c r="W1145" s="47"/>
      <c r="X1145" s="41">
        <f t="shared" si="503"/>
        <v>0</v>
      </c>
      <c r="Y1145" s="39"/>
      <c r="Z1145" s="41">
        <f t="shared" si="504"/>
        <v>0</v>
      </c>
      <c r="AA1145" s="47"/>
      <c r="AB1145" s="41">
        <f t="shared" si="505"/>
        <v>0</v>
      </c>
      <c r="AC1145" s="39"/>
      <c r="AD1145" s="41">
        <f t="shared" si="520"/>
        <v>0</v>
      </c>
      <c r="AE1145" s="47"/>
      <c r="AF1145" s="41">
        <f t="shared" si="506"/>
        <v>0</v>
      </c>
      <c r="AG1145" s="39"/>
      <c r="AH1145" s="41">
        <f t="shared" si="521"/>
        <v>0</v>
      </c>
      <c r="AI1145" s="47"/>
      <c r="AJ1145" s="41">
        <f t="shared" si="507"/>
        <v>0</v>
      </c>
      <c r="AK1145" s="39"/>
      <c r="AL1145" s="41">
        <f t="shared" si="522"/>
        <v>0</v>
      </c>
      <c r="AM1145" s="47"/>
      <c r="AN1145" s="41">
        <f t="shared" si="508"/>
        <v>0</v>
      </c>
      <c r="AO1145" s="39"/>
      <c r="AP1145" s="41">
        <f t="shared" si="523"/>
        <v>0</v>
      </c>
      <c r="AQ1145" s="47"/>
      <c r="AR1145" s="41">
        <f t="shared" si="509"/>
        <v>0</v>
      </c>
      <c r="AS1145" s="39"/>
      <c r="AT1145" s="41">
        <f t="shared" si="524"/>
        <v>0</v>
      </c>
      <c r="AU1145" s="47"/>
      <c r="AV1145" s="41">
        <f t="shared" si="510"/>
        <v>0</v>
      </c>
      <c r="AW1145" s="39"/>
      <c r="AX1145" s="41">
        <f t="shared" si="525"/>
        <v>0</v>
      </c>
      <c r="AY1145" s="47"/>
      <c r="AZ1145" s="41">
        <f t="shared" si="511"/>
        <v>0</v>
      </c>
      <c r="BA1145" s="39"/>
      <c r="BB1145" s="41">
        <f t="shared" si="526"/>
        <v>0</v>
      </c>
      <c r="BC1145" s="47"/>
      <c r="BD1145" s="41">
        <f t="shared" si="512"/>
        <v>0</v>
      </c>
      <c r="BE1145" s="39"/>
      <c r="BF1145" s="47"/>
    </row>
    <row r="1146" spans="1:58" ht="15.75" customHeight="1" x14ac:dyDescent="0.25">
      <c r="A1146" s="44">
        <v>2016</v>
      </c>
      <c r="B1146" s="39">
        <v>170389</v>
      </c>
      <c r="C1146" s="38" t="s">
        <v>145</v>
      </c>
      <c r="D1146" s="38" t="s">
        <v>37</v>
      </c>
      <c r="E1146" s="39"/>
      <c r="F1146" s="42">
        <f t="shared" si="494"/>
        <v>0</v>
      </c>
      <c r="G1146" s="47"/>
      <c r="H1146" s="42">
        <f t="shared" si="495"/>
        <v>0</v>
      </c>
      <c r="I1146" s="39"/>
      <c r="J1146" s="41">
        <f t="shared" si="496"/>
        <v>0</v>
      </c>
      <c r="K1146" s="47"/>
      <c r="L1146" s="41">
        <f t="shared" si="497"/>
        <v>0</v>
      </c>
      <c r="M1146" s="39"/>
      <c r="N1146" s="41">
        <f t="shared" si="498"/>
        <v>0</v>
      </c>
      <c r="O1146" s="47"/>
      <c r="P1146" s="41">
        <f t="shared" si="499"/>
        <v>0</v>
      </c>
      <c r="Q1146" s="39"/>
      <c r="R1146" s="41">
        <f t="shared" si="500"/>
        <v>0</v>
      </c>
      <c r="S1146" s="47"/>
      <c r="T1146" s="41">
        <f t="shared" si="501"/>
        <v>0</v>
      </c>
      <c r="U1146" s="39"/>
      <c r="V1146" s="41">
        <f t="shared" si="502"/>
        <v>0</v>
      </c>
      <c r="W1146" s="47"/>
      <c r="X1146" s="41">
        <f t="shared" si="503"/>
        <v>0</v>
      </c>
      <c r="Y1146" s="39"/>
      <c r="Z1146" s="41">
        <f t="shared" si="504"/>
        <v>0</v>
      </c>
      <c r="AA1146" s="47"/>
      <c r="AB1146" s="41">
        <f t="shared" si="505"/>
        <v>0</v>
      </c>
      <c r="AC1146" s="39"/>
      <c r="AD1146" s="41">
        <f t="shared" si="520"/>
        <v>0</v>
      </c>
      <c r="AE1146" s="47"/>
      <c r="AF1146" s="41">
        <f t="shared" si="506"/>
        <v>0</v>
      </c>
      <c r="AG1146" s="39"/>
      <c r="AH1146" s="41">
        <f t="shared" si="521"/>
        <v>0</v>
      </c>
      <c r="AI1146" s="47"/>
      <c r="AJ1146" s="41">
        <f t="shared" si="507"/>
        <v>0</v>
      </c>
      <c r="AK1146" s="39"/>
      <c r="AL1146" s="41">
        <f t="shared" si="522"/>
        <v>0</v>
      </c>
      <c r="AM1146" s="47"/>
      <c r="AN1146" s="41">
        <f t="shared" si="508"/>
        <v>0</v>
      </c>
      <c r="AO1146" s="39"/>
      <c r="AP1146" s="41">
        <f t="shared" si="523"/>
        <v>0</v>
      </c>
      <c r="AQ1146" s="47"/>
      <c r="AR1146" s="41">
        <f t="shared" si="509"/>
        <v>0</v>
      </c>
      <c r="AS1146" s="39"/>
      <c r="AT1146" s="41">
        <f t="shared" si="524"/>
        <v>0</v>
      </c>
      <c r="AU1146" s="47"/>
      <c r="AV1146" s="41">
        <f t="shared" si="510"/>
        <v>0</v>
      </c>
      <c r="AW1146" s="39"/>
      <c r="AX1146" s="41">
        <f t="shared" si="525"/>
        <v>0</v>
      </c>
      <c r="AY1146" s="47"/>
      <c r="AZ1146" s="41">
        <f t="shared" si="511"/>
        <v>0</v>
      </c>
      <c r="BA1146" s="39"/>
      <c r="BB1146" s="41">
        <f t="shared" si="526"/>
        <v>0</v>
      </c>
      <c r="BC1146" s="47"/>
      <c r="BD1146" s="41">
        <f t="shared" si="512"/>
        <v>0</v>
      </c>
      <c r="BE1146" s="39"/>
      <c r="BF1146" s="47"/>
    </row>
    <row r="1147" spans="1:58" ht="15.75" customHeight="1" x14ac:dyDescent="0.25">
      <c r="A1147" s="44">
        <v>2016</v>
      </c>
      <c r="B1147" s="39">
        <v>170390</v>
      </c>
      <c r="C1147" s="38" t="s">
        <v>144</v>
      </c>
      <c r="D1147" s="38" t="s">
        <v>38</v>
      </c>
      <c r="E1147" s="39"/>
      <c r="F1147" s="42">
        <f t="shared" si="494"/>
        <v>0</v>
      </c>
      <c r="G1147" s="47"/>
      <c r="H1147" s="42">
        <f t="shared" si="495"/>
        <v>0</v>
      </c>
      <c r="I1147" s="39"/>
      <c r="J1147" s="41">
        <f t="shared" si="496"/>
        <v>0</v>
      </c>
      <c r="K1147" s="47"/>
      <c r="L1147" s="41">
        <f t="shared" si="497"/>
        <v>0</v>
      </c>
      <c r="M1147" s="39"/>
      <c r="N1147" s="41">
        <f t="shared" si="498"/>
        <v>0</v>
      </c>
      <c r="O1147" s="47"/>
      <c r="P1147" s="41">
        <f t="shared" si="499"/>
        <v>0</v>
      </c>
      <c r="Q1147" s="39"/>
      <c r="R1147" s="41">
        <f t="shared" si="500"/>
        <v>0</v>
      </c>
      <c r="S1147" s="47"/>
      <c r="T1147" s="41">
        <f t="shared" si="501"/>
        <v>0</v>
      </c>
      <c r="U1147" s="39"/>
      <c r="V1147" s="41">
        <f t="shared" si="502"/>
        <v>0</v>
      </c>
      <c r="W1147" s="47"/>
      <c r="X1147" s="41">
        <f t="shared" si="503"/>
        <v>0</v>
      </c>
      <c r="Y1147" s="39"/>
      <c r="Z1147" s="41">
        <f t="shared" si="504"/>
        <v>0</v>
      </c>
      <c r="AA1147" s="47"/>
      <c r="AB1147" s="41">
        <f t="shared" si="505"/>
        <v>0</v>
      </c>
      <c r="AC1147" s="39"/>
      <c r="AD1147" s="41">
        <f t="shared" si="520"/>
        <v>0</v>
      </c>
      <c r="AE1147" s="47"/>
      <c r="AF1147" s="41">
        <f t="shared" si="506"/>
        <v>0</v>
      </c>
      <c r="AG1147" s="39"/>
      <c r="AH1147" s="41">
        <f t="shared" si="521"/>
        <v>0</v>
      </c>
      <c r="AI1147" s="47"/>
      <c r="AJ1147" s="41">
        <f t="shared" si="507"/>
        <v>0</v>
      </c>
      <c r="AK1147" s="39"/>
      <c r="AL1147" s="41">
        <f t="shared" si="522"/>
        <v>0</v>
      </c>
      <c r="AM1147" s="47"/>
      <c r="AN1147" s="41">
        <f t="shared" si="508"/>
        <v>0</v>
      </c>
      <c r="AO1147" s="39"/>
      <c r="AP1147" s="41">
        <f t="shared" si="523"/>
        <v>0</v>
      </c>
      <c r="AQ1147" s="47"/>
      <c r="AR1147" s="41">
        <f t="shared" si="509"/>
        <v>0</v>
      </c>
      <c r="AS1147" s="39"/>
      <c r="AT1147" s="41">
        <f t="shared" si="524"/>
        <v>0</v>
      </c>
      <c r="AU1147" s="47"/>
      <c r="AV1147" s="41">
        <f t="shared" si="510"/>
        <v>0</v>
      </c>
      <c r="AW1147" s="39"/>
      <c r="AX1147" s="41">
        <f t="shared" si="525"/>
        <v>0</v>
      </c>
      <c r="AY1147" s="47"/>
      <c r="AZ1147" s="41">
        <f t="shared" si="511"/>
        <v>0</v>
      </c>
      <c r="BA1147" s="39"/>
      <c r="BB1147" s="41">
        <f t="shared" si="526"/>
        <v>0</v>
      </c>
      <c r="BC1147" s="47"/>
      <c r="BD1147" s="41">
        <f t="shared" si="512"/>
        <v>0</v>
      </c>
      <c r="BE1147" s="39"/>
      <c r="BF1147" s="47"/>
    </row>
    <row r="1148" spans="1:58" ht="15.75" customHeight="1" x14ac:dyDescent="0.25">
      <c r="A1148" s="44">
        <v>2016</v>
      </c>
      <c r="B1148" s="39">
        <v>170410</v>
      </c>
      <c r="C1148" s="38" t="s">
        <v>150</v>
      </c>
      <c r="D1148" s="38" t="s">
        <v>39</v>
      </c>
      <c r="E1148" s="39"/>
      <c r="F1148" s="42">
        <f t="shared" si="494"/>
        <v>0</v>
      </c>
      <c r="G1148" s="47"/>
      <c r="H1148" s="42">
        <f t="shared" si="495"/>
        <v>0</v>
      </c>
      <c r="I1148" s="39"/>
      <c r="J1148" s="41">
        <f t="shared" si="496"/>
        <v>0</v>
      </c>
      <c r="K1148" s="47"/>
      <c r="L1148" s="41">
        <f t="shared" si="497"/>
        <v>0</v>
      </c>
      <c r="M1148" s="39"/>
      <c r="N1148" s="41">
        <f t="shared" si="498"/>
        <v>0</v>
      </c>
      <c r="O1148" s="47"/>
      <c r="P1148" s="41">
        <f t="shared" si="499"/>
        <v>0</v>
      </c>
      <c r="Q1148" s="39"/>
      <c r="R1148" s="41">
        <f t="shared" si="500"/>
        <v>0</v>
      </c>
      <c r="S1148" s="47"/>
      <c r="T1148" s="41">
        <f t="shared" si="501"/>
        <v>0</v>
      </c>
      <c r="U1148" s="39"/>
      <c r="V1148" s="41">
        <f t="shared" si="502"/>
        <v>0</v>
      </c>
      <c r="W1148" s="47"/>
      <c r="X1148" s="41">
        <f t="shared" si="503"/>
        <v>0</v>
      </c>
      <c r="Y1148" s="39"/>
      <c r="Z1148" s="41">
        <f t="shared" si="504"/>
        <v>0</v>
      </c>
      <c r="AA1148" s="47"/>
      <c r="AB1148" s="41">
        <f t="shared" si="505"/>
        <v>0</v>
      </c>
      <c r="AC1148" s="39"/>
      <c r="AD1148" s="41">
        <f t="shared" si="520"/>
        <v>0</v>
      </c>
      <c r="AE1148" s="47"/>
      <c r="AF1148" s="41">
        <f t="shared" si="506"/>
        <v>0</v>
      </c>
      <c r="AG1148" s="39"/>
      <c r="AH1148" s="41">
        <f t="shared" si="521"/>
        <v>0</v>
      </c>
      <c r="AI1148" s="47"/>
      <c r="AJ1148" s="41">
        <f t="shared" si="507"/>
        <v>0</v>
      </c>
      <c r="AK1148" s="39"/>
      <c r="AL1148" s="41">
        <f t="shared" si="522"/>
        <v>0</v>
      </c>
      <c r="AM1148" s="47"/>
      <c r="AN1148" s="41">
        <f t="shared" si="508"/>
        <v>0</v>
      </c>
      <c r="AO1148" s="39"/>
      <c r="AP1148" s="41">
        <f t="shared" si="523"/>
        <v>0</v>
      </c>
      <c r="AQ1148" s="47"/>
      <c r="AR1148" s="41">
        <f t="shared" si="509"/>
        <v>0</v>
      </c>
      <c r="AS1148" s="39"/>
      <c r="AT1148" s="41">
        <f t="shared" si="524"/>
        <v>0</v>
      </c>
      <c r="AU1148" s="47"/>
      <c r="AV1148" s="41">
        <f t="shared" si="510"/>
        <v>0</v>
      </c>
      <c r="AW1148" s="39"/>
      <c r="AX1148" s="41">
        <f t="shared" si="525"/>
        <v>0</v>
      </c>
      <c r="AY1148" s="47"/>
      <c r="AZ1148" s="41">
        <f t="shared" si="511"/>
        <v>0</v>
      </c>
      <c r="BA1148" s="39"/>
      <c r="BB1148" s="41">
        <f t="shared" si="526"/>
        <v>0</v>
      </c>
      <c r="BC1148" s="47"/>
      <c r="BD1148" s="41">
        <f t="shared" si="512"/>
        <v>0</v>
      </c>
      <c r="BE1148" s="39"/>
      <c r="BF1148" s="47"/>
    </row>
    <row r="1149" spans="1:58" ht="15.75" customHeight="1" x14ac:dyDescent="0.25">
      <c r="A1149" s="44">
        <v>2016</v>
      </c>
      <c r="B1149" s="39">
        <v>170510</v>
      </c>
      <c r="C1149" s="38" t="s">
        <v>151</v>
      </c>
      <c r="D1149" s="38" t="s">
        <v>40</v>
      </c>
      <c r="E1149" s="39"/>
      <c r="F1149" s="42">
        <f t="shared" si="494"/>
        <v>0</v>
      </c>
      <c r="G1149" s="47"/>
      <c r="H1149" s="42">
        <f t="shared" si="495"/>
        <v>0</v>
      </c>
      <c r="I1149" s="39"/>
      <c r="J1149" s="41">
        <f t="shared" si="496"/>
        <v>0</v>
      </c>
      <c r="K1149" s="47"/>
      <c r="L1149" s="41">
        <f t="shared" si="497"/>
        <v>0</v>
      </c>
      <c r="M1149" s="39"/>
      <c r="N1149" s="41">
        <f t="shared" si="498"/>
        <v>0</v>
      </c>
      <c r="O1149" s="47"/>
      <c r="P1149" s="41">
        <f t="shared" si="499"/>
        <v>0</v>
      </c>
      <c r="Q1149" s="39"/>
      <c r="R1149" s="41">
        <f t="shared" si="500"/>
        <v>0</v>
      </c>
      <c r="S1149" s="47"/>
      <c r="T1149" s="41">
        <f t="shared" si="501"/>
        <v>0</v>
      </c>
      <c r="U1149" s="39"/>
      <c r="V1149" s="41">
        <f t="shared" si="502"/>
        <v>0</v>
      </c>
      <c r="W1149" s="47"/>
      <c r="X1149" s="41">
        <f t="shared" si="503"/>
        <v>0</v>
      </c>
      <c r="Y1149" s="39"/>
      <c r="Z1149" s="41">
        <f t="shared" si="504"/>
        <v>0</v>
      </c>
      <c r="AA1149" s="47"/>
      <c r="AB1149" s="41">
        <f t="shared" si="505"/>
        <v>0</v>
      </c>
      <c r="AC1149" s="39"/>
      <c r="AD1149" s="41">
        <f t="shared" si="520"/>
        <v>0</v>
      </c>
      <c r="AE1149" s="47"/>
      <c r="AF1149" s="41">
        <f t="shared" si="506"/>
        <v>0</v>
      </c>
      <c r="AG1149" s="39"/>
      <c r="AH1149" s="41">
        <f t="shared" si="521"/>
        <v>0</v>
      </c>
      <c r="AI1149" s="47"/>
      <c r="AJ1149" s="41">
        <f t="shared" si="507"/>
        <v>0</v>
      </c>
      <c r="AK1149" s="39"/>
      <c r="AL1149" s="41">
        <f t="shared" si="522"/>
        <v>0</v>
      </c>
      <c r="AM1149" s="47"/>
      <c r="AN1149" s="41">
        <f t="shared" si="508"/>
        <v>0</v>
      </c>
      <c r="AO1149" s="39"/>
      <c r="AP1149" s="41">
        <f t="shared" si="523"/>
        <v>0</v>
      </c>
      <c r="AQ1149" s="47"/>
      <c r="AR1149" s="41">
        <f t="shared" si="509"/>
        <v>0</v>
      </c>
      <c r="AS1149" s="39"/>
      <c r="AT1149" s="41">
        <f t="shared" si="524"/>
        <v>0</v>
      </c>
      <c r="AU1149" s="47"/>
      <c r="AV1149" s="41">
        <f t="shared" si="510"/>
        <v>0</v>
      </c>
      <c r="AW1149" s="39"/>
      <c r="AX1149" s="41">
        <f t="shared" si="525"/>
        <v>0</v>
      </c>
      <c r="AY1149" s="47"/>
      <c r="AZ1149" s="41">
        <f t="shared" si="511"/>
        <v>0</v>
      </c>
      <c r="BA1149" s="39"/>
      <c r="BB1149" s="41">
        <f t="shared" si="526"/>
        <v>0</v>
      </c>
      <c r="BC1149" s="47"/>
      <c r="BD1149" s="41">
        <f t="shared" si="512"/>
        <v>0</v>
      </c>
      <c r="BE1149" s="39"/>
      <c r="BF1149" s="47"/>
    </row>
    <row r="1150" spans="1:58" ht="15.75" customHeight="1" x14ac:dyDescent="0.25">
      <c r="A1150" s="44">
        <v>2016</v>
      </c>
      <c r="B1150" s="39">
        <v>170460</v>
      </c>
      <c r="C1150" s="38" t="s">
        <v>144</v>
      </c>
      <c r="D1150" s="38" t="s">
        <v>41</v>
      </c>
      <c r="E1150" s="39"/>
      <c r="F1150" s="42">
        <f t="shared" si="494"/>
        <v>0</v>
      </c>
      <c r="G1150" s="47"/>
      <c r="H1150" s="42">
        <f t="shared" si="495"/>
        <v>0</v>
      </c>
      <c r="I1150" s="39"/>
      <c r="J1150" s="41">
        <f t="shared" si="496"/>
        <v>0</v>
      </c>
      <c r="K1150" s="47"/>
      <c r="L1150" s="41">
        <f t="shared" si="497"/>
        <v>0</v>
      </c>
      <c r="M1150" s="39"/>
      <c r="N1150" s="41">
        <f t="shared" si="498"/>
        <v>0</v>
      </c>
      <c r="O1150" s="47"/>
      <c r="P1150" s="41">
        <f t="shared" si="499"/>
        <v>0</v>
      </c>
      <c r="Q1150" s="39"/>
      <c r="R1150" s="41">
        <f t="shared" si="500"/>
        <v>0</v>
      </c>
      <c r="S1150" s="47"/>
      <c r="T1150" s="41">
        <f t="shared" si="501"/>
        <v>0</v>
      </c>
      <c r="U1150" s="39"/>
      <c r="V1150" s="41">
        <f t="shared" si="502"/>
        <v>0</v>
      </c>
      <c r="W1150" s="47"/>
      <c r="X1150" s="41">
        <f t="shared" si="503"/>
        <v>0</v>
      </c>
      <c r="Y1150" s="39"/>
      <c r="Z1150" s="41">
        <f t="shared" si="504"/>
        <v>0</v>
      </c>
      <c r="AA1150" s="47"/>
      <c r="AB1150" s="41">
        <f t="shared" si="505"/>
        <v>0</v>
      </c>
      <c r="AC1150" s="39"/>
      <c r="AD1150" s="41">
        <f t="shared" si="520"/>
        <v>0</v>
      </c>
      <c r="AE1150" s="47"/>
      <c r="AF1150" s="41">
        <f t="shared" si="506"/>
        <v>0</v>
      </c>
      <c r="AG1150" s="39"/>
      <c r="AH1150" s="41">
        <f t="shared" si="521"/>
        <v>0</v>
      </c>
      <c r="AI1150" s="47"/>
      <c r="AJ1150" s="41">
        <f t="shared" si="507"/>
        <v>0</v>
      </c>
      <c r="AK1150" s="39"/>
      <c r="AL1150" s="41">
        <f t="shared" si="522"/>
        <v>0</v>
      </c>
      <c r="AM1150" s="47"/>
      <c r="AN1150" s="41">
        <f t="shared" si="508"/>
        <v>0</v>
      </c>
      <c r="AO1150" s="39"/>
      <c r="AP1150" s="41">
        <f t="shared" si="523"/>
        <v>0</v>
      </c>
      <c r="AQ1150" s="47"/>
      <c r="AR1150" s="41">
        <f t="shared" si="509"/>
        <v>0</v>
      </c>
      <c r="AS1150" s="39"/>
      <c r="AT1150" s="41">
        <f t="shared" si="524"/>
        <v>0</v>
      </c>
      <c r="AU1150" s="47"/>
      <c r="AV1150" s="41">
        <f t="shared" si="510"/>
        <v>0</v>
      </c>
      <c r="AW1150" s="39"/>
      <c r="AX1150" s="41">
        <f t="shared" si="525"/>
        <v>0</v>
      </c>
      <c r="AY1150" s="47"/>
      <c r="AZ1150" s="41">
        <f t="shared" si="511"/>
        <v>0</v>
      </c>
      <c r="BA1150" s="39"/>
      <c r="BB1150" s="41">
        <f t="shared" si="526"/>
        <v>0</v>
      </c>
      <c r="BC1150" s="47"/>
      <c r="BD1150" s="41">
        <f t="shared" si="512"/>
        <v>0</v>
      </c>
      <c r="BE1150" s="39"/>
      <c r="BF1150" s="47"/>
    </row>
    <row r="1151" spans="1:58" ht="15.75" customHeight="1" x14ac:dyDescent="0.25">
      <c r="A1151" s="44">
        <v>2016</v>
      </c>
      <c r="B1151" s="39">
        <v>170550</v>
      </c>
      <c r="C1151" s="38" t="s">
        <v>150</v>
      </c>
      <c r="D1151" s="38" t="s">
        <v>42</v>
      </c>
      <c r="E1151" s="39"/>
      <c r="F1151" s="42">
        <f t="shared" si="494"/>
        <v>0</v>
      </c>
      <c r="G1151" s="47"/>
      <c r="H1151" s="42">
        <f t="shared" si="495"/>
        <v>0</v>
      </c>
      <c r="I1151" s="39"/>
      <c r="J1151" s="41">
        <f t="shared" si="496"/>
        <v>0</v>
      </c>
      <c r="K1151" s="47"/>
      <c r="L1151" s="41">
        <f t="shared" si="497"/>
        <v>0</v>
      </c>
      <c r="M1151" s="39"/>
      <c r="N1151" s="41">
        <f t="shared" si="498"/>
        <v>0</v>
      </c>
      <c r="O1151" s="47"/>
      <c r="P1151" s="41">
        <f t="shared" si="499"/>
        <v>0</v>
      </c>
      <c r="Q1151" s="39"/>
      <c r="R1151" s="41">
        <f t="shared" si="500"/>
        <v>0</v>
      </c>
      <c r="S1151" s="47"/>
      <c r="T1151" s="41">
        <f t="shared" si="501"/>
        <v>0</v>
      </c>
      <c r="U1151" s="39"/>
      <c r="V1151" s="41">
        <f t="shared" si="502"/>
        <v>0</v>
      </c>
      <c r="W1151" s="47"/>
      <c r="X1151" s="41">
        <f t="shared" si="503"/>
        <v>0</v>
      </c>
      <c r="Y1151" s="39"/>
      <c r="Z1151" s="41">
        <f t="shared" si="504"/>
        <v>0</v>
      </c>
      <c r="AA1151" s="47"/>
      <c r="AB1151" s="41">
        <f t="shared" si="505"/>
        <v>0</v>
      </c>
      <c r="AC1151" s="39"/>
      <c r="AD1151" s="41">
        <f t="shared" si="520"/>
        <v>0</v>
      </c>
      <c r="AE1151" s="47"/>
      <c r="AF1151" s="41">
        <f t="shared" si="506"/>
        <v>0</v>
      </c>
      <c r="AG1151" s="39"/>
      <c r="AH1151" s="41">
        <f t="shared" si="521"/>
        <v>0</v>
      </c>
      <c r="AI1151" s="47"/>
      <c r="AJ1151" s="41">
        <f t="shared" si="507"/>
        <v>0</v>
      </c>
      <c r="AK1151" s="39"/>
      <c r="AL1151" s="41">
        <f t="shared" si="522"/>
        <v>0</v>
      </c>
      <c r="AM1151" s="47"/>
      <c r="AN1151" s="41">
        <f t="shared" si="508"/>
        <v>0</v>
      </c>
      <c r="AO1151" s="39"/>
      <c r="AP1151" s="41">
        <f t="shared" si="523"/>
        <v>0</v>
      </c>
      <c r="AQ1151" s="47"/>
      <c r="AR1151" s="41">
        <f t="shared" si="509"/>
        <v>0</v>
      </c>
      <c r="AS1151" s="39"/>
      <c r="AT1151" s="41">
        <f t="shared" si="524"/>
        <v>0</v>
      </c>
      <c r="AU1151" s="47"/>
      <c r="AV1151" s="41">
        <f t="shared" si="510"/>
        <v>0</v>
      </c>
      <c r="AW1151" s="39"/>
      <c r="AX1151" s="41">
        <f t="shared" si="525"/>
        <v>0</v>
      </c>
      <c r="AY1151" s="47"/>
      <c r="AZ1151" s="41">
        <f t="shared" si="511"/>
        <v>0</v>
      </c>
      <c r="BA1151" s="39"/>
      <c r="BB1151" s="41">
        <f t="shared" si="526"/>
        <v>0</v>
      </c>
      <c r="BC1151" s="47"/>
      <c r="BD1151" s="41">
        <f t="shared" si="512"/>
        <v>0</v>
      </c>
      <c r="BE1151" s="39"/>
      <c r="BF1151" s="47"/>
    </row>
    <row r="1152" spans="1:58" ht="15.75" customHeight="1" x14ac:dyDescent="0.25">
      <c r="A1152" s="44">
        <v>2016</v>
      </c>
      <c r="B1152" s="39">
        <v>171670</v>
      </c>
      <c r="C1152" s="38" t="s">
        <v>150</v>
      </c>
      <c r="D1152" s="38" t="s">
        <v>43</v>
      </c>
      <c r="E1152" s="39"/>
      <c r="F1152" s="42">
        <f t="shared" si="494"/>
        <v>0</v>
      </c>
      <c r="G1152" s="47"/>
      <c r="H1152" s="42">
        <f t="shared" si="495"/>
        <v>0</v>
      </c>
      <c r="I1152" s="39"/>
      <c r="J1152" s="41">
        <f t="shared" si="496"/>
        <v>0</v>
      </c>
      <c r="K1152" s="47"/>
      <c r="L1152" s="41">
        <f t="shared" si="497"/>
        <v>0</v>
      </c>
      <c r="M1152" s="39"/>
      <c r="N1152" s="41">
        <f t="shared" si="498"/>
        <v>0</v>
      </c>
      <c r="O1152" s="47"/>
      <c r="P1152" s="41">
        <f t="shared" si="499"/>
        <v>0</v>
      </c>
      <c r="Q1152" s="39"/>
      <c r="R1152" s="41">
        <f t="shared" si="500"/>
        <v>0</v>
      </c>
      <c r="S1152" s="47"/>
      <c r="T1152" s="41">
        <f t="shared" si="501"/>
        <v>0</v>
      </c>
      <c r="U1152" s="39"/>
      <c r="V1152" s="41">
        <f t="shared" si="502"/>
        <v>0</v>
      </c>
      <c r="W1152" s="47"/>
      <c r="X1152" s="41">
        <f t="shared" si="503"/>
        <v>0</v>
      </c>
      <c r="Y1152" s="39"/>
      <c r="Z1152" s="41">
        <f t="shared" si="504"/>
        <v>0</v>
      </c>
      <c r="AA1152" s="47"/>
      <c r="AB1152" s="41">
        <f t="shared" si="505"/>
        <v>0</v>
      </c>
      <c r="AC1152" s="39"/>
      <c r="AD1152" s="41">
        <f t="shared" si="520"/>
        <v>0</v>
      </c>
      <c r="AE1152" s="47"/>
      <c r="AF1152" s="41">
        <f t="shared" si="506"/>
        <v>0</v>
      </c>
      <c r="AG1152" s="39"/>
      <c r="AH1152" s="41">
        <f t="shared" si="521"/>
        <v>0</v>
      </c>
      <c r="AI1152" s="47"/>
      <c r="AJ1152" s="41">
        <f t="shared" si="507"/>
        <v>0</v>
      </c>
      <c r="AK1152" s="39"/>
      <c r="AL1152" s="41">
        <f t="shared" si="522"/>
        <v>0</v>
      </c>
      <c r="AM1152" s="47"/>
      <c r="AN1152" s="41">
        <f t="shared" si="508"/>
        <v>0</v>
      </c>
      <c r="AO1152" s="39"/>
      <c r="AP1152" s="41">
        <f t="shared" si="523"/>
        <v>0</v>
      </c>
      <c r="AQ1152" s="47"/>
      <c r="AR1152" s="41">
        <f t="shared" si="509"/>
        <v>0</v>
      </c>
      <c r="AS1152" s="39"/>
      <c r="AT1152" s="41">
        <f t="shared" si="524"/>
        <v>0</v>
      </c>
      <c r="AU1152" s="47"/>
      <c r="AV1152" s="41">
        <f t="shared" si="510"/>
        <v>0</v>
      </c>
      <c r="AW1152" s="39"/>
      <c r="AX1152" s="41">
        <f t="shared" si="525"/>
        <v>0</v>
      </c>
      <c r="AY1152" s="47"/>
      <c r="AZ1152" s="41">
        <f t="shared" si="511"/>
        <v>0</v>
      </c>
      <c r="BA1152" s="39"/>
      <c r="BB1152" s="41">
        <f t="shared" si="526"/>
        <v>0</v>
      </c>
      <c r="BC1152" s="47"/>
      <c r="BD1152" s="41">
        <f t="shared" si="512"/>
        <v>0</v>
      </c>
      <c r="BE1152" s="39"/>
      <c r="BF1152" s="47"/>
    </row>
    <row r="1153" spans="1:58" ht="15.75" customHeight="1" x14ac:dyDescent="0.25">
      <c r="A1153" s="44">
        <v>2016</v>
      </c>
      <c r="B1153" s="39">
        <v>170555</v>
      </c>
      <c r="C1153" s="38" t="s">
        <v>147</v>
      </c>
      <c r="D1153" s="38" t="s">
        <v>44</v>
      </c>
      <c r="E1153" s="39"/>
      <c r="F1153" s="42">
        <f t="shared" si="494"/>
        <v>0</v>
      </c>
      <c r="G1153" s="47"/>
      <c r="H1153" s="42">
        <f t="shared" si="495"/>
        <v>0</v>
      </c>
      <c r="I1153" s="39"/>
      <c r="J1153" s="41">
        <f t="shared" si="496"/>
        <v>0</v>
      </c>
      <c r="K1153" s="47"/>
      <c r="L1153" s="41">
        <f t="shared" si="497"/>
        <v>0</v>
      </c>
      <c r="M1153" s="39"/>
      <c r="N1153" s="41">
        <f t="shared" si="498"/>
        <v>0</v>
      </c>
      <c r="O1153" s="47"/>
      <c r="P1153" s="41">
        <f t="shared" si="499"/>
        <v>0</v>
      </c>
      <c r="Q1153" s="39"/>
      <c r="R1153" s="41">
        <f t="shared" si="500"/>
        <v>0</v>
      </c>
      <c r="S1153" s="47"/>
      <c r="T1153" s="41">
        <f t="shared" si="501"/>
        <v>0</v>
      </c>
      <c r="U1153" s="39"/>
      <c r="V1153" s="41">
        <f t="shared" si="502"/>
        <v>0</v>
      </c>
      <c r="W1153" s="47"/>
      <c r="X1153" s="41">
        <f t="shared" si="503"/>
        <v>0</v>
      </c>
      <c r="Y1153" s="39"/>
      <c r="Z1153" s="41">
        <f t="shared" si="504"/>
        <v>0</v>
      </c>
      <c r="AA1153" s="47"/>
      <c r="AB1153" s="41">
        <f t="shared" si="505"/>
        <v>0</v>
      </c>
      <c r="AC1153" s="39"/>
      <c r="AD1153" s="41">
        <f t="shared" si="520"/>
        <v>0</v>
      </c>
      <c r="AE1153" s="47"/>
      <c r="AF1153" s="41">
        <f t="shared" si="506"/>
        <v>0</v>
      </c>
      <c r="AG1153" s="39"/>
      <c r="AH1153" s="41">
        <f t="shared" si="521"/>
        <v>0</v>
      </c>
      <c r="AI1153" s="47"/>
      <c r="AJ1153" s="41">
        <f t="shared" si="507"/>
        <v>0</v>
      </c>
      <c r="AK1153" s="39"/>
      <c r="AL1153" s="41">
        <f t="shared" si="522"/>
        <v>0</v>
      </c>
      <c r="AM1153" s="47"/>
      <c r="AN1153" s="41">
        <f t="shared" si="508"/>
        <v>0</v>
      </c>
      <c r="AO1153" s="39"/>
      <c r="AP1153" s="41">
        <f t="shared" si="523"/>
        <v>0</v>
      </c>
      <c r="AQ1153" s="47"/>
      <c r="AR1153" s="41">
        <f t="shared" si="509"/>
        <v>0</v>
      </c>
      <c r="AS1153" s="39"/>
      <c r="AT1153" s="41">
        <f t="shared" si="524"/>
        <v>0</v>
      </c>
      <c r="AU1153" s="47"/>
      <c r="AV1153" s="41">
        <f t="shared" si="510"/>
        <v>0</v>
      </c>
      <c r="AW1153" s="39"/>
      <c r="AX1153" s="41">
        <f t="shared" si="525"/>
        <v>0</v>
      </c>
      <c r="AY1153" s="47"/>
      <c r="AZ1153" s="41">
        <f t="shared" si="511"/>
        <v>0</v>
      </c>
      <c r="BA1153" s="39"/>
      <c r="BB1153" s="41">
        <f t="shared" si="526"/>
        <v>0</v>
      </c>
      <c r="BC1153" s="47"/>
      <c r="BD1153" s="41">
        <f t="shared" si="512"/>
        <v>0</v>
      </c>
      <c r="BE1153" s="39"/>
      <c r="BF1153" s="47"/>
    </row>
    <row r="1154" spans="1:58" ht="15.75" customHeight="1" x14ac:dyDescent="0.25">
      <c r="A1154" s="44">
        <v>2016</v>
      </c>
      <c r="B1154" s="39">
        <v>170560</v>
      </c>
      <c r="C1154" s="38" t="s">
        <v>147</v>
      </c>
      <c r="D1154" s="38" t="s">
        <v>45</v>
      </c>
      <c r="E1154" s="39"/>
      <c r="F1154" s="42">
        <f t="shared" ref="F1154:F1217" si="527">IFERROR(E1154/$BE1154,0)</f>
        <v>0</v>
      </c>
      <c r="G1154" s="47"/>
      <c r="H1154" s="42">
        <f t="shared" ref="H1154:H1217" si="528">IFERROR(G1154/$BF1154,0)</f>
        <v>0</v>
      </c>
      <c r="I1154" s="39"/>
      <c r="J1154" s="41">
        <f t="shared" ref="J1154:J1217" si="529">IFERROR(I1154/$BE1154,0)</f>
        <v>0</v>
      </c>
      <c r="K1154" s="47"/>
      <c r="L1154" s="41">
        <f t="shared" ref="L1154:L1217" si="530">IFERROR(K1154/$BF1154,0)</f>
        <v>0</v>
      </c>
      <c r="M1154" s="39"/>
      <c r="N1154" s="41">
        <f t="shared" ref="N1154:N1217" si="531">IFERROR(M1154/$BE1154,0)</f>
        <v>0</v>
      </c>
      <c r="O1154" s="47"/>
      <c r="P1154" s="41">
        <f t="shared" ref="P1154:P1217" si="532">IFERROR(O1154/$BF1154,0)</f>
        <v>0</v>
      </c>
      <c r="Q1154" s="39"/>
      <c r="R1154" s="41">
        <f t="shared" ref="R1154:R1217" si="533">IFERROR(Q1154/$BE1154,0)</f>
        <v>0</v>
      </c>
      <c r="S1154" s="47"/>
      <c r="T1154" s="41">
        <f t="shared" ref="T1154:T1217" si="534">IFERROR(S1154/$BF1154,0)</f>
        <v>0</v>
      </c>
      <c r="U1154" s="39"/>
      <c r="V1154" s="41">
        <f t="shared" ref="V1154:V1217" si="535">IFERROR(U1154/$BE1154,0)</f>
        <v>0</v>
      </c>
      <c r="W1154" s="47"/>
      <c r="X1154" s="41">
        <f t="shared" ref="X1154:X1217" si="536">IFERROR(W1154/$BF1154,0)</f>
        <v>0</v>
      </c>
      <c r="Y1154" s="39"/>
      <c r="Z1154" s="41">
        <f t="shared" ref="Z1154:Z1217" si="537">IFERROR(Y1154/$BE1154,0)</f>
        <v>0</v>
      </c>
      <c r="AA1154" s="47"/>
      <c r="AB1154" s="41">
        <f t="shared" ref="AB1154:AB1217" si="538">IFERROR(AA1154/$BF1154,0)</f>
        <v>0</v>
      </c>
      <c r="AC1154" s="39"/>
      <c r="AD1154" s="41">
        <f t="shared" si="520"/>
        <v>0</v>
      </c>
      <c r="AE1154" s="47"/>
      <c r="AF1154" s="41">
        <f t="shared" ref="AF1154:AF1217" si="539">IFERROR(AE1154/$BF1154,0)</f>
        <v>0</v>
      </c>
      <c r="AG1154" s="39"/>
      <c r="AH1154" s="41">
        <f t="shared" si="521"/>
        <v>0</v>
      </c>
      <c r="AI1154" s="47"/>
      <c r="AJ1154" s="41">
        <f t="shared" ref="AJ1154:AJ1217" si="540">IFERROR(AI1154/$BF1154,0)</f>
        <v>0</v>
      </c>
      <c r="AK1154" s="39"/>
      <c r="AL1154" s="41">
        <f t="shared" si="522"/>
        <v>0</v>
      </c>
      <c r="AM1154" s="47"/>
      <c r="AN1154" s="41">
        <f t="shared" ref="AN1154:AN1217" si="541">IFERROR(AM1154/$BF1154,0)</f>
        <v>0</v>
      </c>
      <c r="AO1154" s="39"/>
      <c r="AP1154" s="41">
        <f t="shared" si="523"/>
        <v>0</v>
      </c>
      <c r="AQ1154" s="47"/>
      <c r="AR1154" s="41">
        <f t="shared" ref="AR1154:AR1217" si="542">IFERROR(AQ1154/$BF1154,0)</f>
        <v>0</v>
      </c>
      <c r="AS1154" s="39"/>
      <c r="AT1154" s="41">
        <f t="shared" si="524"/>
        <v>0</v>
      </c>
      <c r="AU1154" s="47"/>
      <c r="AV1154" s="41">
        <f t="shared" ref="AV1154:AV1217" si="543">IFERROR(AU1154/$BF1154,0)</f>
        <v>0</v>
      </c>
      <c r="AW1154" s="39"/>
      <c r="AX1154" s="41">
        <f t="shared" si="525"/>
        <v>0</v>
      </c>
      <c r="AY1154" s="47"/>
      <c r="AZ1154" s="41">
        <f t="shared" ref="AZ1154:AZ1217" si="544">IFERROR(AY1154/$BF1154,0)</f>
        <v>0</v>
      </c>
      <c r="BA1154" s="39"/>
      <c r="BB1154" s="41">
        <f t="shared" si="526"/>
        <v>0</v>
      </c>
      <c r="BC1154" s="47"/>
      <c r="BD1154" s="41">
        <f t="shared" ref="BD1154:BD1217" si="545">IFERROR(BC1154/$BF1154,0)</f>
        <v>0</v>
      </c>
      <c r="BE1154" s="39"/>
      <c r="BF1154" s="47"/>
    </row>
    <row r="1155" spans="1:58" ht="15.75" customHeight="1" x14ac:dyDescent="0.25">
      <c r="A1155" s="44">
        <v>2016</v>
      </c>
      <c r="B1155" s="39">
        <v>170600</v>
      </c>
      <c r="C1155" s="38" t="s">
        <v>150</v>
      </c>
      <c r="D1155" s="38" t="s">
        <v>46</v>
      </c>
      <c r="E1155" s="39"/>
      <c r="F1155" s="42">
        <f t="shared" si="527"/>
        <v>0</v>
      </c>
      <c r="G1155" s="47"/>
      <c r="H1155" s="42">
        <f t="shared" si="528"/>
        <v>0</v>
      </c>
      <c r="I1155" s="39"/>
      <c r="J1155" s="41">
        <f t="shared" si="529"/>
        <v>0</v>
      </c>
      <c r="K1155" s="47"/>
      <c r="L1155" s="41">
        <f t="shared" si="530"/>
        <v>0</v>
      </c>
      <c r="M1155" s="39"/>
      <c r="N1155" s="41">
        <f t="shared" si="531"/>
        <v>0</v>
      </c>
      <c r="O1155" s="47"/>
      <c r="P1155" s="41">
        <f t="shared" si="532"/>
        <v>0</v>
      </c>
      <c r="Q1155" s="39"/>
      <c r="R1155" s="41">
        <f t="shared" si="533"/>
        <v>0</v>
      </c>
      <c r="S1155" s="47"/>
      <c r="T1155" s="41">
        <f t="shared" si="534"/>
        <v>0</v>
      </c>
      <c r="U1155" s="39"/>
      <c r="V1155" s="41">
        <f t="shared" si="535"/>
        <v>0</v>
      </c>
      <c r="W1155" s="47"/>
      <c r="X1155" s="41">
        <f t="shared" si="536"/>
        <v>0</v>
      </c>
      <c r="Y1155" s="39"/>
      <c r="Z1155" s="41">
        <f t="shared" si="537"/>
        <v>0</v>
      </c>
      <c r="AA1155" s="47"/>
      <c r="AB1155" s="41">
        <f t="shared" si="538"/>
        <v>0</v>
      </c>
      <c r="AC1155" s="39"/>
      <c r="AD1155" s="41">
        <f t="shared" si="520"/>
        <v>0</v>
      </c>
      <c r="AE1155" s="47"/>
      <c r="AF1155" s="41">
        <f t="shared" si="539"/>
        <v>0</v>
      </c>
      <c r="AG1155" s="39"/>
      <c r="AH1155" s="41">
        <f t="shared" si="521"/>
        <v>0</v>
      </c>
      <c r="AI1155" s="47"/>
      <c r="AJ1155" s="41">
        <f t="shared" si="540"/>
        <v>0</v>
      </c>
      <c r="AK1155" s="39"/>
      <c r="AL1155" s="41">
        <f t="shared" si="522"/>
        <v>0</v>
      </c>
      <c r="AM1155" s="47"/>
      <c r="AN1155" s="41">
        <f t="shared" si="541"/>
        <v>0</v>
      </c>
      <c r="AO1155" s="39"/>
      <c r="AP1155" s="41">
        <f t="shared" si="523"/>
        <v>0</v>
      </c>
      <c r="AQ1155" s="47"/>
      <c r="AR1155" s="41">
        <f t="shared" si="542"/>
        <v>0</v>
      </c>
      <c r="AS1155" s="39"/>
      <c r="AT1155" s="41">
        <f t="shared" si="524"/>
        <v>0</v>
      </c>
      <c r="AU1155" s="47"/>
      <c r="AV1155" s="41">
        <f t="shared" si="543"/>
        <v>0</v>
      </c>
      <c r="AW1155" s="39"/>
      <c r="AX1155" s="41">
        <f t="shared" si="525"/>
        <v>0</v>
      </c>
      <c r="AY1155" s="47"/>
      <c r="AZ1155" s="41">
        <f t="shared" si="544"/>
        <v>0</v>
      </c>
      <c r="BA1155" s="39"/>
      <c r="BB1155" s="41">
        <f t="shared" si="526"/>
        <v>0</v>
      </c>
      <c r="BC1155" s="47"/>
      <c r="BD1155" s="41">
        <f t="shared" si="545"/>
        <v>0</v>
      </c>
      <c r="BE1155" s="39"/>
      <c r="BF1155" s="47"/>
    </row>
    <row r="1156" spans="1:58" ht="15.75" customHeight="1" x14ac:dyDescent="0.25">
      <c r="A1156" s="44">
        <v>2016</v>
      </c>
      <c r="B1156" s="39">
        <v>170610</v>
      </c>
      <c r="C1156" s="38" t="s">
        <v>144</v>
      </c>
      <c r="D1156" s="38" t="s">
        <v>47</v>
      </c>
      <c r="E1156" s="39"/>
      <c r="F1156" s="42">
        <f t="shared" si="527"/>
        <v>0</v>
      </c>
      <c r="G1156" s="47"/>
      <c r="H1156" s="42">
        <f t="shared" si="528"/>
        <v>0</v>
      </c>
      <c r="I1156" s="39"/>
      <c r="J1156" s="41">
        <f t="shared" si="529"/>
        <v>0</v>
      </c>
      <c r="K1156" s="47"/>
      <c r="L1156" s="41">
        <f t="shared" si="530"/>
        <v>0</v>
      </c>
      <c r="M1156" s="39"/>
      <c r="N1156" s="41">
        <f t="shared" si="531"/>
        <v>0</v>
      </c>
      <c r="O1156" s="47"/>
      <c r="P1156" s="41">
        <f t="shared" si="532"/>
        <v>0</v>
      </c>
      <c r="Q1156" s="39"/>
      <c r="R1156" s="41">
        <f t="shared" si="533"/>
        <v>0</v>
      </c>
      <c r="S1156" s="47"/>
      <c r="T1156" s="41">
        <f t="shared" si="534"/>
        <v>0</v>
      </c>
      <c r="U1156" s="39"/>
      <c r="V1156" s="41">
        <f t="shared" si="535"/>
        <v>0</v>
      </c>
      <c r="W1156" s="47"/>
      <c r="X1156" s="41">
        <f t="shared" si="536"/>
        <v>0</v>
      </c>
      <c r="Y1156" s="39"/>
      <c r="Z1156" s="41">
        <f t="shared" si="537"/>
        <v>0</v>
      </c>
      <c r="AA1156" s="47"/>
      <c r="AB1156" s="41">
        <f t="shared" si="538"/>
        <v>0</v>
      </c>
      <c r="AC1156" s="39"/>
      <c r="AD1156" s="41">
        <f t="shared" si="520"/>
        <v>0</v>
      </c>
      <c r="AE1156" s="47"/>
      <c r="AF1156" s="41">
        <f t="shared" si="539"/>
        <v>0</v>
      </c>
      <c r="AG1156" s="39"/>
      <c r="AH1156" s="41">
        <f t="shared" si="521"/>
        <v>0</v>
      </c>
      <c r="AI1156" s="47"/>
      <c r="AJ1156" s="41">
        <f t="shared" si="540"/>
        <v>0</v>
      </c>
      <c r="AK1156" s="39"/>
      <c r="AL1156" s="41">
        <f t="shared" si="522"/>
        <v>0</v>
      </c>
      <c r="AM1156" s="47"/>
      <c r="AN1156" s="41">
        <f t="shared" si="541"/>
        <v>0</v>
      </c>
      <c r="AO1156" s="39"/>
      <c r="AP1156" s="41">
        <f t="shared" si="523"/>
        <v>0</v>
      </c>
      <c r="AQ1156" s="47"/>
      <c r="AR1156" s="41">
        <f t="shared" si="542"/>
        <v>0</v>
      </c>
      <c r="AS1156" s="39"/>
      <c r="AT1156" s="41">
        <f t="shared" si="524"/>
        <v>0</v>
      </c>
      <c r="AU1156" s="47"/>
      <c r="AV1156" s="41">
        <f t="shared" si="543"/>
        <v>0</v>
      </c>
      <c r="AW1156" s="39"/>
      <c r="AX1156" s="41">
        <f t="shared" si="525"/>
        <v>0</v>
      </c>
      <c r="AY1156" s="47"/>
      <c r="AZ1156" s="41">
        <f t="shared" si="544"/>
        <v>0</v>
      </c>
      <c r="BA1156" s="39"/>
      <c r="BB1156" s="41">
        <f t="shared" si="526"/>
        <v>0</v>
      </c>
      <c r="BC1156" s="47"/>
      <c r="BD1156" s="41">
        <f t="shared" si="545"/>
        <v>0</v>
      </c>
      <c r="BE1156" s="39"/>
      <c r="BF1156" s="47"/>
    </row>
    <row r="1157" spans="1:58" ht="15.75" customHeight="1" x14ac:dyDescent="0.25">
      <c r="A1157" s="44">
        <v>2016</v>
      </c>
      <c r="B1157" s="39">
        <v>170625</v>
      </c>
      <c r="C1157" s="38" t="s">
        <v>146</v>
      </c>
      <c r="D1157" s="38" t="s">
        <v>48</v>
      </c>
      <c r="E1157" s="39"/>
      <c r="F1157" s="42">
        <f t="shared" si="527"/>
        <v>0</v>
      </c>
      <c r="G1157" s="47"/>
      <c r="H1157" s="42">
        <f t="shared" si="528"/>
        <v>0</v>
      </c>
      <c r="I1157" s="39"/>
      <c r="J1157" s="41">
        <f t="shared" si="529"/>
        <v>0</v>
      </c>
      <c r="K1157" s="47"/>
      <c r="L1157" s="41">
        <f t="shared" si="530"/>
        <v>0</v>
      </c>
      <c r="M1157" s="39"/>
      <c r="N1157" s="41">
        <f t="shared" si="531"/>
        <v>0</v>
      </c>
      <c r="O1157" s="47"/>
      <c r="P1157" s="41">
        <f t="shared" si="532"/>
        <v>0</v>
      </c>
      <c r="Q1157" s="39"/>
      <c r="R1157" s="41">
        <f t="shared" si="533"/>
        <v>0</v>
      </c>
      <c r="S1157" s="47"/>
      <c r="T1157" s="41">
        <f t="shared" si="534"/>
        <v>0</v>
      </c>
      <c r="U1157" s="39"/>
      <c r="V1157" s="41">
        <f t="shared" si="535"/>
        <v>0</v>
      </c>
      <c r="W1157" s="47"/>
      <c r="X1157" s="41">
        <f t="shared" si="536"/>
        <v>0</v>
      </c>
      <c r="Y1157" s="39"/>
      <c r="Z1157" s="41">
        <f t="shared" si="537"/>
        <v>0</v>
      </c>
      <c r="AA1157" s="47"/>
      <c r="AB1157" s="41">
        <f t="shared" si="538"/>
        <v>0</v>
      </c>
      <c r="AC1157" s="39"/>
      <c r="AD1157" s="41">
        <f t="shared" si="520"/>
        <v>0</v>
      </c>
      <c r="AE1157" s="47"/>
      <c r="AF1157" s="41">
        <f t="shared" si="539"/>
        <v>0</v>
      </c>
      <c r="AG1157" s="39"/>
      <c r="AH1157" s="41">
        <f t="shared" si="521"/>
        <v>0</v>
      </c>
      <c r="AI1157" s="47"/>
      <c r="AJ1157" s="41">
        <f t="shared" si="540"/>
        <v>0</v>
      </c>
      <c r="AK1157" s="39"/>
      <c r="AL1157" s="41">
        <f t="shared" si="522"/>
        <v>0</v>
      </c>
      <c r="AM1157" s="47"/>
      <c r="AN1157" s="41">
        <f t="shared" si="541"/>
        <v>0</v>
      </c>
      <c r="AO1157" s="39"/>
      <c r="AP1157" s="41">
        <f t="shared" si="523"/>
        <v>0</v>
      </c>
      <c r="AQ1157" s="47"/>
      <c r="AR1157" s="41">
        <f t="shared" si="542"/>
        <v>0</v>
      </c>
      <c r="AS1157" s="39"/>
      <c r="AT1157" s="41">
        <f t="shared" si="524"/>
        <v>0</v>
      </c>
      <c r="AU1157" s="47"/>
      <c r="AV1157" s="41">
        <f t="shared" si="543"/>
        <v>0</v>
      </c>
      <c r="AW1157" s="39"/>
      <c r="AX1157" s="41">
        <f t="shared" si="525"/>
        <v>0</v>
      </c>
      <c r="AY1157" s="47"/>
      <c r="AZ1157" s="41">
        <f t="shared" si="544"/>
        <v>0</v>
      </c>
      <c r="BA1157" s="39"/>
      <c r="BB1157" s="41">
        <f t="shared" si="526"/>
        <v>0</v>
      </c>
      <c r="BC1157" s="47"/>
      <c r="BD1157" s="41">
        <f t="shared" si="545"/>
        <v>0</v>
      </c>
      <c r="BE1157" s="39"/>
      <c r="BF1157" s="47"/>
    </row>
    <row r="1158" spans="1:58" ht="15.75" customHeight="1" x14ac:dyDescent="0.25">
      <c r="A1158" s="44">
        <v>2016</v>
      </c>
      <c r="B1158" s="39">
        <v>170650</v>
      </c>
      <c r="C1158" s="38" t="s">
        <v>149</v>
      </c>
      <c r="D1158" s="38" t="s">
        <v>49</v>
      </c>
      <c r="E1158" s="39"/>
      <c r="F1158" s="42">
        <f t="shared" si="527"/>
        <v>0</v>
      </c>
      <c r="G1158" s="47"/>
      <c r="H1158" s="42">
        <f t="shared" si="528"/>
        <v>0</v>
      </c>
      <c r="I1158" s="39"/>
      <c r="J1158" s="41">
        <f t="shared" si="529"/>
        <v>0</v>
      </c>
      <c r="K1158" s="47"/>
      <c r="L1158" s="41">
        <f t="shared" si="530"/>
        <v>0</v>
      </c>
      <c r="M1158" s="39"/>
      <c r="N1158" s="41">
        <f t="shared" si="531"/>
        <v>0</v>
      </c>
      <c r="O1158" s="47"/>
      <c r="P1158" s="41">
        <f t="shared" si="532"/>
        <v>0</v>
      </c>
      <c r="Q1158" s="39"/>
      <c r="R1158" s="41">
        <f t="shared" si="533"/>
        <v>0</v>
      </c>
      <c r="S1158" s="47"/>
      <c r="T1158" s="41">
        <f t="shared" si="534"/>
        <v>0</v>
      </c>
      <c r="U1158" s="39"/>
      <c r="V1158" s="41">
        <f t="shared" si="535"/>
        <v>0</v>
      </c>
      <c r="W1158" s="47"/>
      <c r="X1158" s="41">
        <f t="shared" si="536"/>
        <v>0</v>
      </c>
      <c r="Y1158" s="39"/>
      <c r="Z1158" s="41">
        <f t="shared" si="537"/>
        <v>0</v>
      </c>
      <c r="AA1158" s="47"/>
      <c r="AB1158" s="41">
        <f t="shared" si="538"/>
        <v>0</v>
      </c>
      <c r="AC1158" s="39"/>
      <c r="AD1158" s="41">
        <f t="shared" si="520"/>
        <v>0</v>
      </c>
      <c r="AE1158" s="47"/>
      <c r="AF1158" s="41">
        <f t="shared" si="539"/>
        <v>0</v>
      </c>
      <c r="AG1158" s="39"/>
      <c r="AH1158" s="41">
        <f t="shared" si="521"/>
        <v>0</v>
      </c>
      <c r="AI1158" s="47"/>
      <c r="AJ1158" s="41">
        <f t="shared" si="540"/>
        <v>0</v>
      </c>
      <c r="AK1158" s="39"/>
      <c r="AL1158" s="41">
        <f t="shared" si="522"/>
        <v>0</v>
      </c>
      <c r="AM1158" s="47"/>
      <c r="AN1158" s="41">
        <f t="shared" si="541"/>
        <v>0</v>
      </c>
      <c r="AO1158" s="39"/>
      <c r="AP1158" s="41">
        <f t="shared" si="523"/>
        <v>0</v>
      </c>
      <c r="AQ1158" s="47"/>
      <c r="AR1158" s="41">
        <f t="shared" si="542"/>
        <v>0</v>
      </c>
      <c r="AS1158" s="39"/>
      <c r="AT1158" s="41">
        <f t="shared" si="524"/>
        <v>0</v>
      </c>
      <c r="AU1158" s="47"/>
      <c r="AV1158" s="41">
        <f t="shared" si="543"/>
        <v>0</v>
      </c>
      <c r="AW1158" s="39"/>
      <c r="AX1158" s="41">
        <f t="shared" si="525"/>
        <v>0</v>
      </c>
      <c r="AY1158" s="47"/>
      <c r="AZ1158" s="41">
        <f t="shared" si="544"/>
        <v>0</v>
      </c>
      <c r="BA1158" s="39"/>
      <c r="BB1158" s="41">
        <f t="shared" si="526"/>
        <v>0</v>
      </c>
      <c r="BC1158" s="47"/>
      <c r="BD1158" s="41">
        <f t="shared" si="545"/>
        <v>0</v>
      </c>
      <c r="BE1158" s="39"/>
      <c r="BF1158" s="47"/>
    </row>
    <row r="1159" spans="1:58" ht="15.75" customHeight="1" x14ac:dyDescent="0.25">
      <c r="A1159" s="44">
        <v>2016</v>
      </c>
      <c r="B1159" s="39">
        <v>170700</v>
      </c>
      <c r="C1159" s="38" t="s">
        <v>147</v>
      </c>
      <c r="D1159" s="38" t="s">
        <v>50</v>
      </c>
      <c r="E1159" s="39"/>
      <c r="F1159" s="42">
        <f t="shared" si="527"/>
        <v>0</v>
      </c>
      <c r="G1159" s="47"/>
      <c r="H1159" s="42">
        <f t="shared" si="528"/>
        <v>0</v>
      </c>
      <c r="I1159" s="39"/>
      <c r="J1159" s="41">
        <f t="shared" si="529"/>
        <v>0</v>
      </c>
      <c r="K1159" s="47"/>
      <c r="L1159" s="41">
        <f t="shared" si="530"/>
        <v>0</v>
      </c>
      <c r="M1159" s="39"/>
      <c r="N1159" s="41">
        <f t="shared" si="531"/>
        <v>0</v>
      </c>
      <c r="O1159" s="47"/>
      <c r="P1159" s="41">
        <f t="shared" si="532"/>
        <v>0</v>
      </c>
      <c r="Q1159" s="39"/>
      <c r="R1159" s="41">
        <f t="shared" si="533"/>
        <v>0</v>
      </c>
      <c r="S1159" s="47"/>
      <c r="T1159" s="41">
        <f t="shared" si="534"/>
        <v>0</v>
      </c>
      <c r="U1159" s="39"/>
      <c r="V1159" s="41">
        <f t="shared" si="535"/>
        <v>0</v>
      </c>
      <c r="W1159" s="47"/>
      <c r="X1159" s="41">
        <f t="shared" si="536"/>
        <v>0</v>
      </c>
      <c r="Y1159" s="39"/>
      <c r="Z1159" s="41">
        <f t="shared" si="537"/>
        <v>0</v>
      </c>
      <c r="AA1159" s="47"/>
      <c r="AB1159" s="41">
        <f t="shared" si="538"/>
        <v>0</v>
      </c>
      <c r="AC1159" s="39"/>
      <c r="AD1159" s="41">
        <f t="shared" si="520"/>
        <v>0</v>
      </c>
      <c r="AE1159" s="47"/>
      <c r="AF1159" s="41">
        <f t="shared" si="539"/>
        <v>0</v>
      </c>
      <c r="AG1159" s="39"/>
      <c r="AH1159" s="41">
        <f t="shared" si="521"/>
        <v>0</v>
      </c>
      <c r="AI1159" s="47"/>
      <c r="AJ1159" s="41">
        <f t="shared" si="540"/>
        <v>0</v>
      </c>
      <c r="AK1159" s="39"/>
      <c r="AL1159" s="41">
        <f t="shared" si="522"/>
        <v>0</v>
      </c>
      <c r="AM1159" s="47"/>
      <c r="AN1159" s="41">
        <f t="shared" si="541"/>
        <v>0</v>
      </c>
      <c r="AO1159" s="39"/>
      <c r="AP1159" s="41">
        <f t="shared" si="523"/>
        <v>0</v>
      </c>
      <c r="AQ1159" s="47"/>
      <c r="AR1159" s="41">
        <f t="shared" si="542"/>
        <v>0</v>
      </c>
      <c r="AS1159" s="39"/>
      <c r="AT1159" s="41">
        <f t="shared" si="524"/>
        <v>0</v>
      </c>
      <c r="AU1159" s="47"/>
      <c r="AV1159" s="41">
        <f t="shared" si="543"/>
        <v>0</v>
      </c>
      <c r="AW1159" s="39"/>
      <c r="AX1159" s="41">
        <f t="shared" si="525"/>
        <v>0</v>
      </c>
      <c r="AY1159" s="47"/>
      <c r="AZ1159" s="41">
        <f t="shared" si="544"/>
        <v>0</v>
      </c>
      <c r="BA1159" s="39"/>
      <c r="BB1159" s="41">
        <f t="shared" si="526"/>
        <v>0</v>
      </c>
      <c r="BC1159" s="47"/>
      <c r="BD1159" s="41">
        <f t="shared" si="545"/>
        <v>0</v>
      </c>
      <c r="BE1159" s="39"/>
      <c r="BF1159" s="47"/>
    </row>
    <row r="1160" spans="1:58" ht="15.75" customHeight="1" x14ac:dyDescent="0.25">
      <c r="A1160" s="44">
        <v>2016</v>
      </c>
      <c r="B1160" s="39">
        <v>170710</v>
      </c>
      <c r="C1160" s="38" t="s">
        <v>144</v>
      </c>
      <c r="D1160" s="38" t="s">
        <v>51</v>
      </c>
      <c r="E1160" s="39"/>
      <c r="F1160" s="42">
        <f t="shared" si="527"/>
        <v>0</v>
      </c>
      <c r="G1160" s="47"/>
      <c r="H1160" s="42">
        <f t="shared" si="528"/>
        <v>0</v>
      </c>
      <c r="I1160" s="39"/>
      <c r="J1160" s="41">
        <f t="shared" si="529"/>
        <v>0</v>
      </c>
      <c r="K1160" s="47"/>
      <c r="L1160" s="41">
        <f t="shared" si="530"/>
        <v>0</v>
      </c>
      <c r="M1160" s="39"/>
      <c r="N1160" s="41">
        <f t="shared" si="531"/>
        <v>0</v>
      </c>
      <c r="O1160" s="47"/>
      <c r="P1160" s="41">
        <f t="shared" si="532"/>
        <v>0</v>
      </c>
      <c r="Q1160" s="39"/>
      <c r="R1160" s="41">
        <f t="shared" si="533"/>
        <v>0</v>
      </c>
      <c r="S1160" s="47"/>
      <c r="T1160" s="41">
        <f t="shared" si="534"/>
        <v>0</v>
      </c>
      <c r="U1160" s="39"/>
      <c r="V1160" s="41">
        <f t="shared" si="535"/>
        <v>0</v>
      </c>
      <c r="W1160" s="47"/>
      <c r="X1160" s="41">
        <f t="shared" si="536"/>
        <v>0</v>
      </c>
      <c r="Y1160" s="39"/>
      <c r="Z1160" s="41">
        <f t="shared" si="537"/>
        <v>0</v>
      </c>
      <c r="AA1160" s="47"/>
      <c r="AB1160" s="41">
        <f t="shared" si="538"/>
        <v>0</v>
      </c>
      <c r="AC1160" s="39"/>
      <c r="AD1160" s="41">
        <f t="shared" si="520"/>
        <v>0</v>
      </c>
      <c r="AE1160" s="47"/>
      <c r="AF1160" s="41">
        <f t="shared" si="539"/>
        <v>0</v>
      </c>
      <c r="AG1160" s="39"/>
      <c r="AH1160" s="41">
        <f t="shared" si="521"/>
        <v>0</v>
      </c>
      <c r="AI1160" s="47"/>
      <c r="AJ1160" s="41">
        <f t="shared" si="540"/>
        <v>0</v>
      </c>
      <c r="AK1160" s="39"/>
      <c r="AL1160" s="41">
        <f t="shared" si="522"/>
        <v>0</v>
      </c>
      <c r="AM1160" s="47"/>
      <c r="AN1160" s="41">
        <f t="shared" si="541"/>
        <v>0</v>
      </c>
      <c r="AO1160" s="39"/>
      <c r="AP1160" s="41">
        <f t="shared" si="523"/>
        <v>0</v>
      </c>
      <c r="AQ1160" s="47"/>
      <c r="AR1160" s="41">
        <f t="shared" si="542"/>
        <v>0</v>
      </c>
      <c r="AS1160" s="39"/>
      <c r="AT1160" s="41">
        <f t="shared" si="524"/>
        <v>0</v>
      </c>
      <c r="AU1160" s="47"/>
      <c r="AV1160" s="41">
        <f t="shared" si="543"/>
        <v>0</v>
      </c>
      <c r="AW1160" s="39"/>
      <c r="AX1160" s="41">
        <f t="shared" si="525"/>
        <v>0</v>
      </c>
      <c r="AY1160" s="47"/>
      <c r="AZ1160" s="41">
        <f t="shared" si="544"/>
        <v>0</v>
      </c>
      <c r="BA1160" s="39"/>
      <c r="BB1160" s="41">
        <f t="shared" si="526"/>
        <v>0</v>
      </c>
      <c r="BC1160" s="47"/>
      <c r="BD1160" s="41">
        <f t="shared" si="545"/>
        <v>0</v>
      </c>
      <c r="BE1160" s="39"/>
      <c r="BF1160" s="47"/>
    </row>
    <row r="1161" spans="1:58" ht="15.75" customHeight="1" x14ac:dyDescent="0.25">
      <c r="A1161" s="44">
        <v>2016</v>
      </c>
      <c r="B1161" s="39">
        <v>170720</v>
      </c>
      <c r="C1161" s="38" t="s">
        <v>144</v>
      </c>
      <c r="D1161" s="38" t="s">
        <v>52</v>
      </c>
      <c r="E1161" s="39"/>
      <c r="F1161" s="42">
        <f t="shared" si="527"/>
        <v>0</v>
      </c>
      <c r="G1161" s="47"/>
      <c r="H1161" s="42">
        <f t="shared" si="528"/>
        <v>0</v>
      </c>
      <c r="I1161" s="39"/>
      <c r="J1161" s="41">
        <f t="shared" si="529"/>
        <v>0</v>
      </c>
      <c r="K1161" s="47"/>
      <c r="L1161" s="41">
        <f t="shared" si="530"/>
        <v>0</v>
      </c>
      <c r="M1161" s="39"/>
      <c r="N1161" s="41">
        <f t="shared" si="531"/>
        <v>0</v>
      </c>
      <c r="O1161" s="47"/>
      <c r="P1161" s="41">
        <f t="shared" si="532"/>
        <v>0</v>
      </c>
      <c r="Q1161" s="39"/>
      <c r="R1161" s="41">
        <f t="shared" si="533"/>
        <v>0</v>
      </c>
      <c r="S1161" s="47"/>
      <c r="T1161" s="41">
        <f t="shared" si="534"/>
        <v>0</v>
      </c>
      <c r="U1161" s="39"/>
      <c r="V1161" s="41">
        <f t="shared" si="535"/>
        <v>0</v>
      </c>
      <c r="W1161" s="47"/>
      <c r="X1161" s="41">
        <f t="shared" si="536"/>
        <v>0</v>
      </c>
      <c r="Y1161" s="39"/>
      <c r="Z1161" s="41">
        <f t="shared" si="537"/>
        <v>0</v>
      </c>
      <c r="AA1161" s="47"/>
      <c r="AB1161" s="41">
        <f t="shared" si="538"/>
        <v>0</v>
      </c>
      <c r="AC1161" s="39"/>
      <c r="AD1161" s="41">
        <f t="shared" si="520"/>
        <v>0</v>
      </c>
      <c r="AE1161" s="47"/>
      <c r="AF1161" s="41">
        <f t="shared" si="539"/>
        <v>0</v>
      </c>
      <c r="AG1161" s="39"/>
      <c r="AH1161" s="41">
        <f t="shared" si="521"/>
        <v>0</v>
      </c>
      <c r="AI1161" s="47"/>
      <c r="AJ1161" s="41">
        <f t="shared" si="540"/>
        <v>0</v>
      </c>
      <c r="AK1161" s="39"/>
      <c r="AL1161" s="41">
        <f t="shared" si="522"/>
        <v>0</v>
      </c>
      <c r="AM1161" s="47"/>
      <c r="AN1161" s="41">
        <f t="shared" si="541"/>
        <v>0</v>
      </c>
      <c r="AO1161" s="39"/>
      <c r="AP1161" s="41">
        <f t="shared" si="523"/>
        <v>0</v>
      </c>
      <c r="AQ1161" s="47"/>
      <c r="AR1161" s="41">
        <f t="shared" si="542"/>
        <v>0</v>
      </c>
      <c r="AS1161" s="39"/>
      <c r="AT1161" s="41">
        <f t="shared" si="524"/>
        <v>0</v>
      </c>
      <c r="AU1161" s="47"/>
      <c r="AV1161" s="41">
        <f t="shared" si="543"/>
        <v>0</v>
      </c>
      <c r="AW1161" s="39"/>
      <c r="AX1161" s="41">
        <f t="shared" si="525"/>
        <v>0</v>
      </c>
      <c r="AY1161" s="47"/>
      <c r="AZ1161" s="41">
        <f t="shared" si="544"/>
        <v>0</v>
      </c>
      <c r="BA1161" s="39"/>
      <c r="BB1161" s="41">
        <f t="shared" si="526"/>
        <v>0</v>
      </c>
      <c r="BC1161" s="47"/>
      <c r="BD1161" s="41">
        <f t="shared" si="545"/>
        <v>0</v>
      </c>
      <c r="BE1161" s="39"/>
      <c r="BF1161" s="47"/>
    </row>
    <row r="1162" spans="1:58" ht="15.75" customHeight="1" x14ac:dyDescent="0.25">
      <c r="A1162" s="44">
        <v>2016</v>
      </c>
      <c r="B1162" s="39">
        <v>170730</v>
      </c>
      <c r="C1162" s="38" t="s">
        <v>146</v>
      </c>
      <c r="D1162" s="38" t="s">
        <v>53</v>
      </c>
      <c r="E1162" s="39"/>
      <c r="F1162" s="42">
        <f t="shared" si="527"/>
        <v>0</v>
      </c>
      <c r="G1162" s="47"/>
      <c r="H1162" s="42">
        <f t="shared" si="528"/>
        <v>0</v>
      </c>
      <c r="I1162" s="39"/>
      <c r="J1162" s="41">
        <f t="shared" si="529"/>
        <v>0</v>
      </c>
      <c r="K1162" s="47"/>
      <c r="L1162" s="41">
        <f t="shared" si="530"/>
        <v>0</v>
      </c>
      <c r="M1162" s="39"/>
      <c r="N1162" s="41">
        <f t="shared" si="531"/>
        <v>0</v>
      </c>
      <c r="O1162" s="47"/>
      <c r="P1162" s="41">
        <f t="shared" si="532"/>
        <v>0</v>
      </c>
      <c r="Q1162" s="39"/>
      <c r="R1162" s="41">
        <f t="shared" si="533"/>
        <v>0</v>
      </c>
      <c r="S1162" s="47"/>
      <c r="T1162" s="41">
        <f t="shared" si="534"/>
        <v>0</v>
      </c>
      <c r="U1162" s="39"/>
      <c r="V1162" s="41">
        <f t="shared" si="535"/>
        <v>0</v>
      </c>
      <c r="W1162" s="47"/>
      <c r="X1162" s="41">
        <f t="shared" si="536"/>
        <v>0</v>
      </c>
      <c r="Y1162" s="39"/>
      <c r="Z1162" s="41">
        <f t="shared" si="537"/>
        <v>0</v>
      </c>
      <c r="AA1162" s="47"/>
      <c r="AB1162" s="41">
        <f t="shared" si="538"/>
        <v>0</v>
      </c>
      <c r="AC1162" s="39"/>
      <c r="AD1162" s="41">
        <f t="shared" si="520"/>
        <v>0</v>
      </c>
      <c r="AE1162" s="47"/>
      <c r="AF1162" s="41">
        <f t="shared" si="539"/>
        <v>0</v>
      </c>
      <c r="AG1162" s="39"/>
      <c r="AH1162" s="41">
        <f t="shared" si="521"/>
        <v>0</v>
      </c>
      <c r="AI1162" s="47"/>
      <c r="AJ1162" s="41">
        <f t="shared" si="540"/>
        <v>0</v>
      </c>
      <c r="AK1162" s="39"/>
      <c r="AL1162" s="41">
        <f t="shared" si="522"/>
        <v>0</v>
      </c>
      <c r="AM1162" s="47"/>
      <c r="AN1162" s="41">
        <f t="shared" si="541"/>
        <v>0</v>
      </c>
      <c r="AO1162" s="39"/>
      <c r="AP1162" s="41">
        <f t="shared" si="523"/>
        <v>0</v>
      </c>
      <c r="AQ1162" s="47"/>
      <c r="AR1162" s="41">
        <f t="shared" si="542"/>
        <v>0</v>
      </c>
      <c r="AS1162" s="39"/>
      <c r="AT1162" s="41">
        <f t="shared" si="524"/>
        <v>0</v>
      </c>
      <c r="AU1162" s="47"/>
      <c r="AV1162" s="41">
        <f t="shared" si="543"/>
        <v>0</v>
      </c>
      <c r="AW1162" s="39"/>
      <c r="AX1162" s="41">
        <f t="shared" si="525"/>
        <v>0</v>
      </c>
      <c r="AY1162" s="47"/>
      <c r="AZ1162" s="41">
        <f t="shared" si="544"/>
        <v>0</v>
      </c>
      <c r="BA1162" s="39"/>
      <c r="BB1162" s="41">
        <f t="shared" si="526"/>
        <v>0</v>
      </c>
      <c r="BC1162" s="47"/>
      <c r="BD1162" s="41">
        <f t="shared" si="545"/>
        <v>0</v>
      </c>
      <c r="BE1162" s="39"/>
      <c r="BF1162" s="47"/>
    </row>
    <row r="1163" spans="1:58" ht="15.75" customHeight="1" x14ac:dyDescent="0.25">
      <c r="A1163" s="44">
        <v>2016</v>
      </c>
      <c r="B1163" s="39">
        <v>170740</v>
      </c>
      <c r="C1163" s="38" t="s">
        <v>145</v>
      </c>
      <c r="D1163" s="38" t="s">
        <v>54</v>
      </c>
      <c r="E1163" s="39"/>
      <c r="F1163" s="42">
        <f t="shared" si="527"/>
        <v>0</v>
      </c>
      <c r="G1163" s="47"/>
      <c r="H1163" s="42">
        <f t="shared" si="528"/>
        <v>0</v>
      </c>
      <c r="I1163" s="39"/>
      <c r="J1163" s="41">
        <f t="shared" si="529"/>
        <v>0</v>
      </c>
      <c r="K1163" s="47"/>
      <c r="L1163" s="41">
        <f t="shared" si="530"/>
        <v>0</v>
      </c>
      <c r="M1163" s="39"/>
      <c r="N1163" s="41">
        <f t="shared" si="531"/>
        <v>0</v>
      </c>
      <c r="O1163" s="47"/>
      <c r="P1163" s="41">
        <f t="shared" si="532"/>
        <v>0</v>
      </c>
      <c r="Q1163" s="39"/>
      <c r="R1163" s="41">
        <f t="shared" si="533"/>
        <v>0</v>
      </c>
      <c r="S1163" s="47"/>
      <c r="T1163" s="41">
        <f t="shared" si="534"/>
        <v>0</v>
      </c>
      <c r="U1163" s="39"/>
      <c r="V1163" s="41">
        <f t="shared" si="535"/>
        <v>0</v>
      </c>
      <c r="W1163" s="47"/>
      <c r="X1163" s="41">
        <f t="shared" si="536"/>
        <v>0</v>
      </c>
      <c r="Y1163" s="39"/>
      <c r="Z1163" s="41">
        <f t="shared" si="537"/>
        <v>0</v>
      </c>
      <c r="AA1163" s="47"/>
      <c r="AB1163" s="41">
        <f t="shared" si="538"/>
        <v>0</v>
      </c>
      <c r="AC1163" s="39"/>
      <c r="AD1163" s="41">
        <f t="shared" si="520"/>
        <v>0</v>
      </c>
      <c r="AE1163" s="47"/>
      <c r="AF1163" s="41">
        <f t="shared" si="539"/>
        <v>0</v>
      </c>
      <c r="AG1163" s="39"/>
      <c r="AH1163" s="41">
        <f t="shared" si="521"/>
        <v>0</v>
      </c>
      <c r="AI1163" s="47"/>
      <c r="AJ1163" s="41">
        <f t="shared" si="540"/>
        <v>0</v>
      </c>
      <c r="AK1163" s="39"/>
      <c r="AL1163" s="41">
        <f t="shared" si="522"/>
        <v>0</v>
      </c>
      <c r="AM1163" s="47"/>
      <c r="AN1163" s="41">
        <f t="shared" si="541"/>
        <v>0</v>
      </c>
      <c r="AO1163" s="39"/>
      <c r="AP1163" s="41">
        <f t="shared" si="523"/>
        <v>0</v>
      </c>
      <c r="AQ1163" s="47"/>
      <c r="AR1163" s="41">
        <f t="shared" si="542"/>
        <v>0</v>
      </c>
      <c r="AS1163" s="39"/>
      <c r="AT1163" s="41">
        <f t="shared" si="524"/>
        <v>0</v>
      </c>
      <c r="AU1163" s="47"/>
      <c r="AV1163" s="41">
        <f t="shared" si="543"/>
        <v>0</v>
      </c>
      <c r="AW1163" s="39"/>
      <c r="AX1163" s="41">
        <f t="shared" si="525"/>
        <v>0</v>
      </c>
      <c r="AY1163" s="47"/>
      <c r="AZ1163" s="41">
        <f t="shared" si="544"/>
        <v>0</v>
      </c>
      <c r="BA1163" s="39"/>
      <c r="BB1163" s="41">
        <f t="shared" si="526"/>
        <v>0</v>
      </c>
      <c r="BC1163" s="47"/>
      <c r="BD1163" s="41">
        <f t="shared" si="545"/>
        <v>0</v>
      </c>
      <c r="BE1163" s="39"/>
      <c r="BF1163" s="47"/>
    </row>
    <row r="1164" spans="1:58" ht="15.75" customHeight="1" x14ac:dyDescent="0.25">
      <c r="A1164" s="44">
        <v>2016</v>
      </c>
      <c r="B1164" s="39">
        <v>170755</v>
      </c>
      <c r="C1164" s="38" t="s">
        <v>151</v>
      </c>
      <c r="D1164" s="38" t="s">
        <v>55</v>
      </c>
      <c r="E1164" s="39"/>
      <c r="F1164" s="42">
        <f t="shared" si="527"/>
        <v>0</v>
      </c>
      <c r="G1164" s="47"/>
      <c r="H1164" s="42">
        <f t="shared" si="528"/>
        <v>0</v>
      </c>
      <c r="I1164" s="39"/>
      <c r="J1164" s="41">
        <f t="shared" si="529"/>
        <v>0</v>
      </c>
      <c r="K1164" s="47"/>
      <c r="L1164" s="41">
        <f t="shared" si="530"/>
        <v>0</v>
      </c>
      <c r="M1164" s="39"/>
      <c r="N1164" s="41">
        <f t="shared" si="531"/>
        <v>0</v>
      </c>
      <c r="O1164" s="47"/>
      <c r="P1164" s="41">
        <f t="shared" si="532"/>
        <v>0</v>
      </c>
      <c r="Q1164" s="39"/>
      <c r="R1164" s="41">
        <f t="shared" si="533"/>
        <v>0</v>
      </c>
      <c r="S1164" s="47"/>
      <c r="T1164" s="41">
        <f t="shared" si="534"/>
        <v>0</v>
      </c>
      <c r="U1164" s="39"/>
      <c r="V1164" s="41">
        <f t="shared" si="535"/>
        <v>0</v>
      </c>
      <c r="W1164" s="47"/>
      <c r="X1164" s="41">
        <f t="shared" si="536"/>
        <v>0</v>
      </c>
      <c r="Y1164" s="39"/>
      <c r="Z1164" s="41">
        <f t="shared" si="537"/>
        <v>0</v>
      </c>
      <c r="AA1164" s="47"/>
      <c r="AB1164" s="41">
        <f t="shared" si="538"/>
        <v>0</v>
      </c>
      <c r="AC1164" s="39"/>
      <c r="AD1164" s="41">
        <f t="shared" si="520"/>
        <v>0</v>
      </c>
      <c r="AE1164" s="47"/>
      <c r="AF1164" s="41">
        <f t="shared" si="539"/>
        <v>0</v>
      </c>
      <c r="AG1164" s="39"/>
      <c r="AH1164" s="41">
        <f t="shared" si="521"/>
        <v>0</v>
      </c>
      <c r="AI1164" s="47"/>
      <c r="AJ1164" s="41">
        <f t="shared" si="540"/>
        <v>0</v>
      </c>
      <c r="AK1164" s="39"/>
      <c r="AL1164" s="41">
        <f t="shared" si="522"/>
        <v>0</v>
      </c>
      <c r="AM1164" s="47"/>
      <c r="AN1164" s="41">
        <f t="shared" si="541"/>
        <v>0</v>
      </c>
      <c r="AO1164" s="39"/>
      <c r="AP1164" s="41">
        <f t="shared" si="523"/>
        <v>0</v>
      </c>
      <c r="AQ1164" s="47"/>
      <c r="AR1164" s="41">
        <f t="shared" si="542"/>
        <v>0</v>
      </c>
      <c r="AS1164" s="39"/>
      <c r="AT1164" s="41">
        <f t="shared" si="524"/>
        <v>0</v>
      </c>
      <c r="AU1164" s="47"/>
      <c r="AV1164" s="41">
        <f t="shared" si="543"/>
        <v>0</v>
      </c>
      <c r="AW1164" s="39"/>
      <c r="AX1164" s="41">
        <f t="shared" si="525"/>
        <v>0</v>
      </c>
      <c r="AY1164" s="47"/>
      <c r="AZ1164" s="41">
        <f t="shared" si="544"/>
        <v>0</v>
      </c>
      <c r="BA1164" s="39"/>
      <c r="BB1164" s="41">
        <f t="shared" si="526"/>
        <v>0</v>
      </c>
      <c r="BC1164" s="47"/>
      <c r="BD1164" s="41">
        <f t="shared" si="545"/>
        <v>0</v>
      </c>
      <c r="BE1164" s="39"/>
      <c r="BF1164" s="47"/>
    </row>
    <row r="1165" spans="1:58" ht="15.75" customHeight="1" x14ac:dyDescent="0.25">
      <c r="A1165" s="44">
        <v>2016</v>
      </c>
      <c r="B1165" s="39">
        <v>170765</v>
      </c>
      <c r="C1165" s="38" t="s">
        <v>146</v>
      </c>
      <c r="D1165" s="38" t="s">
        <v>56</v>
      </c>
      <c r="E1165" s="39"/>
      <c r="F1165" s="42">
        <f t="shared" si="527"/>
        <v>0</v>
      </c>
      <c r="G1165" s="47"/>
      <c r="H1165" s="42">
        <f t="shared" si="528"/>
        <v>0</v>
      </c>
      <c r="I1165" s="39"/>
      <c r="J1165" s="41">
        <f t="shared" si="529"/>
        <v>0</v>
      </c>
      <c r="K1165" s="47"/>
      <c r="L1165" s="41">
        <f t="shared" si="530"/>
        <v>0</v>
      </c>
      <c r="M1165" s="39"/>
      <c r="N1165" s="41">
        <f t="shared" si="531"/>
        <v>0</v>
      </c>
      <c r="O1165" s="47"/>
      <c r="P1165" s="41">
        <f t="shared" si="532"/>
        <v>0</v>
      </c>
      <c r="Q1165" s="39"/>
      <c r="R1165" s="41">
        <f t="shared" si="533"/>
        <v>0</v>
      </c>
      <c r="S1165" s="47"/>
      <c r="T1165" s="41">
        <f t="shared" si="534"/>
        <v>0</v>
      </c>
      <c r="U1165" s="39"/>
      <c r="V1165" s="41">
        <f t="shared" si="535"/>
        <v>0</v>
      </c>
      <c r="W1165" s="47"/>
      <c r="X1165" s="41">
        <f t="shared" si="536"/>
        <v>0</v>
      </c>
      <c r="Y1165" s="39"/>
      <c r="Z1165" s="41">
        <f t="shared" si="537"/>
        <v>0</v>
      </c>
      <c r="AA1165" s="47"/>
      <c r="AB1165" s="41">
        <f t="shared" si="538"/>
        <v>0</v>
      </c>
      <c r="AC1165" s="39"/>
      <c r="AD1165" s="41">
        <f t="shared" si="520"/>
        <v>0</v>
      </c>
      <c r="AE1165" s="47"/>
      <c r="AF1165" s="41">
        <f t="shared" si="539"/>
        <v>0</v>
      </c>
      <c r="AG1165" s="39"/>
      <c r="AH1165" s="41">
        <f t="shared" si="521"/>
        <v>0</v>
      </c>
      <c r="AI1165" s="47"/>
      <c r="AJ1165" s="41">
        <f t="shared" si="540"/>
        <v>0</v>
      </c>
      <c r="AK1165" s="39"/>
      <c r="AL1165" s="41">
        <f t="shared" si="522"/>
        <v>0</v>
      </c>
      <c r="AM1165" s="47"/>
      <c r="AN1165" s="41">
        <f t="shared" si="541"/>
        <v>0</v>
      </c>
      <c r="AO1165" s="39"/>
      <c r="AP1165" s="41">
        <f t="shared" si="523"/>
        <v>0</v>
      </c>
      <c r="AQ1165" s="47"/>
      <c r="AR1165" s="41">
        <f t="shared" si="542"/>
        <v>0</v>
      </c>
      <c r="AS1165" s="39"/>
      <c r="AT1165" s="41">
        <f t="shared" si="524"/>
        <v>0</v>
      </c>
      <c r="AU1165" s="47"/>
      <c r="AV1165" s="41">
        <f t="shared" si="543"/>
        <v>0</v>
      </c>
      <c r="AW1165" s="39"/>
      <c r="AX1165" s="41">
        <f t="shared" si="525"/>
        <v>0</v>
      </c>
      <c r="AY1165" s="47"/>
      <c r="AZ1165" s="41">
        <f t="shared" si="544"/>
        <v>0</v>
      </c>
      <c r="BA1165" s="39"/>
      <c r="BB1165" s="41">
        <f t="shared" si="526"/>
        <v>0</v>
      </c>
      <c r="BC1165" s="47"/>
      <c r="BD1165" s="41">
        <f t="shared" si="545"/>
        <v>0</v>
      </c>
      <c r="BE1165" s="39"/>
      <c r="BF1165" s="47"/>
    </row>
    <row r="1166" spans="1:58" ht="15.75" customHeight="1" x14ac:dyDescent="0.25">
      <c r="A1166" s="44">
        <v>2016</v>
      </c>
      <c r="B1166" s="39">
        <v>170770</v>
      </c>
      <c r="C1166" s="38" t="s">
        <v>149</v>
      </c>
      <c r="D1166" s="38" t="s">
        <v>57</v>
      </c>
      <c r="E1166" s="39"/>
      <c r="F1166" s="42">
        <f t="shared" si="527"/>
        <v>0</v>
      </c>
      <c r="G1166" s="47"/>
      <c r="H1166" s="42">
        <f t="shared" si="528"/>
        <v>0</v>
      </c>
      <c r="I1166" s="39"/>
      <c r="J1166" s="41">
        <f t="shared" si="529"/>
        <v>0</v>
      </c>
      <c r="K1166" s="47"/>
      <c r="L1166" s="41">
        <f t="shared" si="530"/>
        <v>0</v>
      </c>
      <c r="M1166" s="39"/>
      <c r="N1166" s="41">
        <f t="shared" si="531"/>
        <v>0</v>
      </c>
      <c r="O1166" s="47"/>
      <c r="P1166" s="41">
        <f t="shared" si="532"/>
        <v>0</v>
      </c>
      <c r="Q1166" s="39"/>
      <c r="R1166" s="41">
        <f t="shared" si="533"/>
        <v>0</v>
      </c>
      <c r="S1166" s="47"/>
      <c r="T1166" s="41">
        <f t="shared" si="534"/>
        <v>0</v>
      </c>
      <c r="U1166" s="39"/>
      <c r="V1166" s="41">
        <f t="shared" si="535"/>
        <v>0</v>
      </c>
      <c r="W1166" s="47"/>
      <c r="X1166" s="41">
        <f t="shared" si="536"/>
        <v>0</v>
      </c>
      <c r="Y1166" s="39"/>
      <c r="Z1166" s="41">
        <f t="shared" si="537"/>
        <v>0</v>
      </c>
      <c r="AA1166" s="47"/>
      <c r="AB1166" s="41">
        <f t="shared" si="538"/>
        <v>0</v>
      </c>
      <c r="AC1166" s="39"/>
      <c r="AD1166" s="41">
        <f t="shared" si="520"/>
        <v>0</v>
      </c>
      <c r="AE1166" s="47"/>
      <c r="AF1166" s="41">
        <f t="shared" si="539"/>
        <v>0</v>
      </c>
      <c r="AG1166" s="39"/>
      <c r="AH1166" s="41">
        <f t="shared" si="521"/>
        <v>0</v>
      </c>
      <c r="AI1166" s="47"/>
      <c r="AJ1166" s="41">
        <f t="shared" si="540"/>
        <v>0</v>
      </c>
      <c r="AK1166" s="39"/>
      <c r="AL1166" s="41">
        <f t="shared" si="522"/>
        <v>0</v>
      </c>
      <c r="AM1166" s="47"/>
      <c r="AN1166" s="41">
        <f t="shared" si="541"/>
        <v>0</v>
      </c>
      <c r="AO1166" s="39"/>
      <c r="AP1166" s="41">
        <f t="shared" si="523"/>
        <v>0</v>
      </c>
      <c r="AQ1166" s="47"/>
      <c r="AR1166" s="41">
        <f t="shared" si="542"/>
        <v>0</v>
      </c>
      <c r="AS1166" s="39"/>
      <c r="AT1166" s="41">
        <f t="shared" si="524"/>
        <v>0</v>
      </c>
      <c r="AU1166" s="47"/>
      <c r="AV1166" s="41">
        <f t="shared" si="543"/>
        <v>0</v>
      </c>
      <c r="AW1166" s="39"/>
      <c r="AX1166" s="41">
        <f t="shared" si="525"/>
        <v>0</v>
      </c>
      <c r="AY1166" s="47"/>
      <c r="AZ1166" s="41">
        <f t="shared" si="544"/>
        <v>0</v>
      </c>
      <c r="BA1166" s="39"/>
      <c r="BB1166" s="41">
        <f t="shared" si="526"/>
        <v>0</v>
      </c>
      <c r="BC1166" s="47"/>
      <c r="BD1166" s="41">
        <f t="shared" si="545"/>
        <v>0</v>
      </c>
      <c r="BE1166" s="39"/>
      <c r="BF1166" s="47"/>
    </row>
    <row r="1167" spans="1:58" ht="15.75" customHeight="1" x14ac:dyDescent="0.25">
      <c r="A1167" s="44">
        <v>2016</v>
      </c>
      <c r="B1167" s="39">
        <v>170820</v>
      </c>
      <c r="C1167" s="38" t="s">
        <v>146</v>
      </c>
      <c r="D1167" s="38" t="s">
        <v>58</v>
      </c>
      <c r="E1167" s="39"/>
      <c r="F1167" s="42">
        <f t="shared" si="527"/>
        <v>0</v>
      </c>
      <c r="G1167" s="47"/>
      <c r="H1167" s="42">
        <f t="shared" si="528"/>
        <v>0</v>
      </c>
      <c r="I1167" s="39"/>
      <c r="J1167" s="41">
        <f t="shared" si="529"/>
        <v>0</v>
      </c>
      <c r="K1167" s="47"/>
      <c r="L1167" s="41">
        <f t="shared" si="530"/>
        <v>0</v>
      </c>
      <c r="M1167" s="39"/>
      <c r="N1167" s="41">
        <f t="shared" si="531"/>
        <v>0</v>
      </c>
      <c r="O1167" s="47"/>
      <c r="P1167" s="41">
        <f t="shared" si="532"/>
        <v>0</v>
      </c>
      <c r="Q1167" s="39"/>
      <c r="R1167" s="41">
        <f t="shared" si="533"/>
        <v>0</v>
      </c>
      <c r="S1167" s="47"/>
      <c r="T1167" s="41">
        <f t="shared" si="534"/>
        <v>0</v>
      </c>
      <c r="U1167" s="39"/>
      <c r="V1167" s="41">
        <f t="shared" si="535"/>
        <v>0</v>
      </c>
      <c r="W1167" s="47"/>
      <c r="X1167" s="41">
        <f t="shared" si="536"/>
        <v>0</v>
      </c>
      <c r="Y1167" s="39"/>
      <c r="Z1167" s="41">
        <f t="shared" si="537"/>
        <v>0</v>
      </c>
      <c r="AA1167" s="47"/>
      <c r="AB1167" s="41">
        <f t="shared" si="538"/>
        <v>0</v>
      </c>
      <c r="AC1167" s="39"/>
      <c r="AD1167" s="41">
        <f t="shared" si="520"/>
        <v>0</v>
      </c>
      <c r="AE1167" s="47"/>
      <c r="AF1167" s="41">
        <f t="shared" si="539"/>
        <v>0</v>
      </c>
      <c r="AG1167" s="39"/>
      <c r="AH1167" s="41">
        <f t="shared" si="521"/>
        <v>0</v>
      </c>
      <c r="AI1167" s="47"/>
      <c r="AJ1167" s="41">
        <f t="shared" si="540"/>
        <v>0</v>
      </c>
      <c r="AK1167" s="39"/>
      <c r="AL1167" s="41">
        <f t="shared" si="522"/>
        <v>0</v>
      </c>
      <c r="AM1167" s="47"/>
      <c r="AN1167" s="41">
        <f t="shared" si="541"/>
        <v>0</v>
      </c>
      <c r="AO1167" s="39"/>
      <c r="AP1167" s="41">
        <f t="shared" si="523"/>
        <v>0</v>
      </c>
      <c r="AQ1167" s="47"/>
      <c r="AR1167" s="41">
        <f t="shared" si="542"/>
        <v>0</v>
      </c>
      <c r="AS1167" s="39"/>
      <c r="AT1167" s="41">
        <f t="shared" si="524"/>
        <v>0</v>
      </c>
      <c r="AU1167" s="47"/>
      <c r="AV1167" s="41">
        <f t="shared" si="543"/>
        <v>0</v>
      </c>
      <c r="AW1167" s="39"/>
      <c r="AX1167" s="41">
        <f t="shared" si="525"/>
        <v>0</v>
      </c>
      <c r="AY1167" s="47"/>
      <c r="AZ1167" s="41">
        <f t="shared" si="544"/>
        <v>0</v>
      </c>
      <c r="BA1167" s="39"/>
      <c r="BB1167" s="41">
        <f t="shared" si="526"/>
        <v>0</v>
      </c>
      <c r="BC1167" s="47"/>
      <c r="BD1167" s="41">
        <f t="shared" si="545"/>
        <v>0</v>
      </c>
      <c r="BE1167" s="39"/>
      <c r="BF1167" s="47"/>
    </row>
    <row r="1168" spans="1:58" ht="15.75" customHeight="1" x14ac:dyDescent="0.25">
      <c r="A1168" s="44">
        <v>2016</v>
      </c>
      <c r="B1168" s="39">
        <v>170830</v>
      </c>
      <c r="C1168" s="38" t="s">
        <v>150</v>
      </c>
      <c r="D1168" s="38" t="s">
        <v>59</v>
      </c>
      <c r="E1168" s="39"/>
      <c r="F1168" s="42">
        <f t="shared" si="527"/>
        <v>0</v>
      </c>
      <c r="G1168" s="47"/>
      <c r="H1168" s="42">
        <f t="shared" si="528"/>
        <v>0</v>
      </c>
      <c r="I1168" s="39"/>
      <c r="J1168" s="41">
        <f t="shared" si="529"/>
        <v>0</v>
      </c>
      <c r="K1168" s="47"/>
      <c r="L1168" s="41">
        <f t="shared" si="530"/>
        <v>0</v>
      </c>
      <c r="M1168" s="39"/>
      <c r="N1168" s="41">
        <f t="shared" si="531"/>
        <v>0</v>
      </c>
      <c r="O1168" s="47"/>
      <c r="P1168" s="41">
        <f t="shared" si="532"/>
        <v>0</v>
      </c>
      <c r="Q1168" s="39"/>
      <c r="R1168" s="41">
        <f t="shared" si="533"/>
        <v>0</v>
      </c>
      <c r="S1168" s="47"/>
      <c r="T1168" s="41">
        <f t="shared" si="534"/>
        <v>0</v>
      </c>
      <c r="U1168" s="39"/>
      <c r="V1168" s="41">
        <f t="shared" si="535"/>
        <v>0</v>
      </c>
      <c r="W1168" s="47"/>
      <c r="X1168" s="41">
        <f t="shared" si="536"/>
        <v>0</v>
      </c>
      <c r="Y1168" s="39"/>
      <c r="Z1168" s="41">
        <f t="shared" si="537"/>
        <v>0</v>
      </c>
      <c r="AA1168" s="47"/>
      <c r="AB1168" s="41">
        <f t="shared" si="538"/>
        <v>0</v>
      </c>
      <c r="AC1168" s="39"/>
      <c r="AD1168" s="41">
        <f t="shared" si="520"/>
        <v>0</v>
      </c>
      <c r="AE1168" s="47"/>
      <c r="AF1168" s="41">
        <f t="shared" si="539"/>
        <v>0</v>
      </c>
      <c r="AG1168" s="39"/>
      <c r="AH1168" s="41">
        <f t="shared" si="521"/>
        <v>0</v>
      </c>
      <c r="AI1168" s="47"/>
      <c r="AJ1168" s="41">
        <f t="shared" si="540"/>
        <v>0</v>
      </c>
      <c r="AK1168" s="39"/>
      <c r="AL1168" s="41">
        <f t="shared" si="522"/>
        <v>0</v>
      </c>
      <c r="AM1168" s="47"/>
      <c r="AN1168" s="41">
        <f t="shared" si="541"/>
        <v>0</v>
      </c>
      <c r="AO1168" s="39"/>
      <c r="AP1168" s="41">
        <f t="shared" si="523"/>
        <v>0</v>
      </c>
      <c r="AQ1168" s="47"/>
      <c r="AR1168" s="41">
        <f t="shared" si="542"/>
        <v>0</v>
      </c>
      <c r="AS1168" s="39"/>
      <c r="AT1168" s="41">
        <f t="shared" si="524"/>
        <v>0</v>
      </c>
      <c r="AU1168" s="47"/>
      <c r="AV1168" s="41">
        <f t="shared" si="543"/>
        <v>0</v>
      </c>
      <c r="AW1168" s="39"/>
      <c r="AX1168" s="41">
        <f t="shared" si="525"/>
        <v>0</v>
      </c>
      <c r="AY1168" s="47"/>
      <c r="AZ1168" s="41">
        <f t="shared" si="544"/>
        <v>0</v>
      </c>
      <c r="BA1168" s="39"/>
      <c r="BB1168" s="41">
        <f t="shared" si="526"/>
        <v>0</v>
      </c>
      <c r="BC1168" s="47"/>
      <c r="BD1168" s="41">
        <f t="shared" si="545"/>
        <v>0</v>
      </c>
      <c r="BE1168" s="39"/>
      <c r="BF1168" s="47"/>
    </row>
    <row r="1169" spans="1:58" ht="15.75" customHeight="1" x14ac:dyDescent="0.25">
      <c r="A1169" s="44">
        <v>2016</v>
      </c>
      <c r="B1169" s="39">
        <v>170900</v>
      </c>
      <c r="C1169" s="38" t="s">
        <v>149</v>
      </c>
      <c r="D1169" s="38" t="s">
        <v>60</v>
      </c>
      <c r="E1169" s="39"/>
      <c r="F1169" s="42">
        <f t="shared" si="527"/>
        <v>0</v>
      </c>
      <c r="G1169" s="47"/>
      <c r="H1169" s="42">
        <f t="shared" si="528"/>
        <v>0</v>
      </c>
      <c r="I1169" s="39"/>
      <c r="J1169" s="41">
        <f t="shared" si="529"/>
        <v>0</v>
      </c>
      <c r="K1169" s="47"/>
      <c r="L1169" s="41">
        <f t="shared" si="530"/>
        <v>0</v>
      </c>
      <c r="M1169" s="39"/>
      <c r="N1169" s="41">
        <f t="shared" si="531"/>
        <v>0</v>
      </c>
      <c r="O1169" s="47"/>
      <c r="P1169" s="41">
        <f t="shared" si="532"/>
        <v>0</v>
      </c>
      <c r="Q1169" s="39"/>
      <c r="R1169" s="41">
        <f t="shared" si="533"/>
        <v>0</v>
      </c>
      <c r="S1169" s="47"/>
      <c r="T1169" s="41">
        <f t="shared" si="534"/>
        <v>0</v>
      </c>
      <c r="U1169" s="39"/>
      <c r="V1169" s="41">
        <f t="shared" si="535"/>
        <v>0</v>
      </c>
      <c r="W1169" s="47"/>
      <c r="X1169" s="41">
        <f t="shared" si="536"/>
        <v>0</v>
      </c>
      <c r="Y1169" s="39"/>
      <c r="Z1169" s="41">
        <f t="shared" si="537"/>
        <v>0</v>
      </c>
      <c r="AA1169" s="47"/>
      <c r="AB1169" s="41">
        <f t="shared" si="538"/>
        <v>0</v>
      </c>
      <c r="AC1169" s="39"/>
      <c r="AD1169" s="41">
        <f t="shared" si="520"/>
        <v>0</v>
      </c>
      <c r="AE1169" s="47"/>
      <c r="AF1169" s="41">
        <f t="shared" si="539"/>
        <v>0</v>
      </c>
      <c r="AG1169" s="39"/>
      <c r="AH1169" s="41">
        <f t="shared" si="521"/>
        <v>0</v>
      </c>
      <c r="AI1169" s="47"/>
      <c r="AJ1169" s="41">
        <f t="shared" si="540"/>
        <v>0</v>
      </c>
      <c r="AK1169" s="39"/>
      <c r="AL1169" s="41">
        <f t="shared" si="522"/>
        <v>0</v>
      </c>
      <c r="AM1169" s="47"/>
      <c r="AN1169" s="41">
        <f t="shared" si="541"/>
        <v>0</v>
      </c>
      <c r="AO1169" s="39"/>
      <c r="AP1169" s="41">
        <f t="shared" si="523"/>
        <v>0</v>
      </c>
      <c r="AQ1169" s="47"/>
      <c r="AR1169" s="41">
        <f t="shared" si="542"/>
        <v>0</v>
      </c>
      <c r="AS1169" s="39"/>
      <c r="AT1169" s="41">
        <f t="shared" si="524"/>
        <v>0</v>
      </c>
      <c r="AU1169" s="47"/>
      <c r="AV1169" s="41">
        <f t="shared" si="543"/>
        <v>0</v>
      </c>
      <c r="AW1169" s="39"/>
      <c r="AX1169" s="41">
        <f t="shared" si="525"/>
        <v>0</v>
      </c>
      <c r="AY1169" s="47"/>
      <c r="AZ1169" s="41">
        <f t="shared" si="544"/>
        <v>0</v>
      </c>
      <c r="BA1169" s="39"/>
      <c r="BB1169" s="41">
        <f t="shared" si="526"/>
        <v>0</v>
      </c>
      <c r="BC1169" s="47"/>
      <c r="BD1169" s="41">
        <f t="shared" si="545"/>
        <v>0</v>
      </c>
      <c r="BE1169" s="39"/>
      <c r="BF1169" s="47"/>
    </row>
    <row r="1170" spans="1:58" ht="15.75" customHeight="1" x14ac:dyDescent="0.25">
      <c r="A1170" s="44">
        <v>2016</v>
      </c>
      <c r="B1170" s="39">
        <v>170930</v>
      </c>
      <c r="C1170" s="38" t="s">
        <v>150</v>
      </c>
      <c r="D1170" s="38" t="s">
        <v>61</v>
      </c>
      <c r="E1170" s="39"/>
      <c r="F1170" s="42">
        <f t="shared" si="527"/>
        <v>0</v>
      </c>
      <c r="G1170" s="47"/>
      <c r="H1170" s="42">
        <f t="shared" si="528"/>
        <v>0</v>
      </c>
      <c r="I1170" s="39"/>
      <c r="J1170" s="41">
        <f t="shared" si="529"/>
        <v>0</v>
      </c>
      <c r="K1170" s="47"/>
      <c r="L1170" s="41">
        <f t="shared" si="530"/>
        <v>0</v>
      </c>
      <c r="M1170" s="39"/>
      <c r="N1170" s="41">
        <f t="shared" si="531"/>
        <v>0</v>
      </c>
      <c r="O1170" s="47"/>
      <c r="P1170" s="41">
        <f t="shared" si="532"/>
        <v>0</v>
      </c>
      <c r="Q1170" s="39"/>
      <c r="R1170" s="41">
        <f t="shared" si="533"/>
        <v>0</v>
      </c>
      <c r="S1170" s="47"/>
      <c r="T1170" s="41">
        <f t="shared" si="534"/>
        <v>0</v>
      </c>
      <c r="U1170" s="39"/>
      <c r="V1170" s="41">
        <f t="shared" si="535"/>
        <v>0</v>
      </c>
      <c r="W1170" s="47"/>
      <c r="X1170" s="41">
        <f t="shared" si="536"/>
        <v>0</v>
      </c>
      <c r="Y1170" s="39"/>
      <c r="Z1170" s="41">
        <f t="shared" si="537"/>
        <v>0</v>
      </c>
      <c r="AA1170" s="47"/>
      <c r="AB1170" s="41">
        <f t="shared" si="538"/>
        <v>0</v>
      </c>
      <c r="AC1170" s="39"/>
      <c r="AD1170" s="41">
        <f t="shared" si="520"/>
        <v>0</v>
      </c>
      <c r="AE1170" s="47"/>
      <c r="AF1170" s="41">
        <f t="shared" si="539"/>
        <v>0</v>
      </c>
      <c r="AG1170" s="39"/>
      <c r="AH1170" s="41">
        <f t="shared" si="521"/>
        <v>0</v>
      </c>
      <c r="AI1170" s="47"/>
      <c r="AJ1170" s="41">
        <f t="shared" si="540"/>
        <v>0</v>
      </c>
      <c r="AK1170" s="39"/>
      <c r="AL1170" s="41">
        <f t="shared" si="522"/>
        <v>0</v>
      </c>
      <c r="AM1170" s="47"/>
      <c r="AN1170" s="41">
        <f t="shared" si="541"/>
        <v>0</v>
      </c>
      <c r="AO1170" s="39"/>
      <c r="AP1170" s="41">
        <f t="shared" si="523"/>
        <v>0</v>
      </c>
      <c r="AQ1170" s="47"/>
      <c r="AR1170" s="41">
        <f t="shared" si="542"/>
        <v>0</v>
      </c>
      <c r="AS1170" s="39"/>
      <c r="AT1170" s="41">
        <f t="shared" si="524"/>
        <v>0</v>
      </c>
      <c r="AU1170" s="47"/>
      <c r="AV1170" s="41">
        <f t="shared" si="543"/>
        <v>0</v>
      </c>
      <c r="AW1170" s="39"/>
      <c r="AX1170" s="41">
        <f t="shared" si="525"/>
        <v>0</v>
      </c>
      <c r="AY1170" s="47"/>
      <c r="AZ1170" s="41">
        <f t="shared" si="544"/>
        <v>0</v>
      </c>
      <c r="BA1170" s="39"/>
      <c r="BB1170" s="41">
        <f t="shared" si="526"/>
        <v>0</v>
      </c>
      <c r="BC1170" s="47"/>
      <c r="BD1170" s="41">
        <f t="shared" si="545"/>
        <v>0</v>
      </c>
      <c r="BE1170" s="39"/>
      <c r="BF1170" s="47"/>
    </row>
    <row r="1171" spans="1:58" ht="15.75" customHeight="1" x14ac:dyDescent="0.25">
      <c r="A1171" s="44">
        <v>2016</v>
      </c>
      <c r="B1171" s="39">
        <v>170950</v>
      </c>
      <c r="C1171" s="38" t="s">
        <v>146</v>
      </c>
      <c r="D1171" s="38" t="s">
        <v>62</v>
      </c>
      <c r="E1171" s="39"/>
      <c r="F1171" s="42">
        <f t="shared" si="527"/>
        <v>0</v>
      </c>
      <c r="G1171" s="47"/>
      <c r="H1171" s="42">
        <f t="shared" si="528"/>
        <v>0</v>
      </c>
      <c r="I1171" s="39"/>
      <c r="J1171" s="41">
        <f t="shared" si="529"/>
        <v>0</v>
      </c>
      <c r="K1171" s="47"/>
      <c r="L1171" s="41">
        <f t="shared" si="530"/>
        <v>0</v>
      </c>
      <c r="M1171" s="39"/>
      <c r="N1171" s="41">
        <f t="shared" si="531"/>
        <v>0</v>
      </c>
      <c r="O1171" s="48"/>
      <c r="P1171" s="41">
        <f t="shared" si="532"/>
        <v>0</v>
      </c>
      <c r="Q1171" s="39"/>
      <c r="R1171" s="41">
        <f t="shared" si="533"/>
        <v>0</v>
      </c>
      <c r="S1171" s="47"/>
      <c r="T1171" s="41">
        <f t="shared" si="534"/>
        <v>0</v>
      </c>
      <c r="U1171" s="39"/>
      <c r="V1171" s="41">
        <f t="shared" si="535"/>
        <v>0</v>
      </c>
      <c r="W1171" s="47"/>
      <c r="X1171" s="41">
        <f t="shared" si="536"/>
        <v>0</v>
      </c>
      <c r="Y1171" s="39"/>
      <c r="Z1171" s="41">
        <f t="shared" si="537"/>
        <v>0</v>
      </c>
      <c r="AA1171" s="47"/>
      <c r="AB1171" s="41">
        <f t="shared" si="538"/>
        <v>0</v>
      </c>
      <c r="AC1171" s="39"/>
      <c r="AD1171" s="41">
        <f t="shared" si="520"/>
        <v>0</v>
      </c>
      <c r="AE1171" s="48"/>
      <c r="AF1171" s="41">
        <f t="shared" si="539"/>
        <v>0</v>
      </c>
      <c r="AG1171" s="39"/>
      <c r="AH1171" s="41">
        <f t="shared" si="521"/>
        <v>0</v>
      </c>
      <c r="AI1171" s="47"/>
      <c r="AJ1171" s="41">
        <f t="shared" si="540"/>
        <v>0</v>
      </c>
      <c r="AK1171" s="39"/>
      <c r="AL1171" s="41">
        <f t="shared" si="522"/>
        <v>0</v>
      </c>
      <c r="AM1171" s="47"/>
      <c r="AN1171" s="41">
        <f t="shared" si="541"/>
        <v>0</v>
      </c>
      <c r="AO1171" s="39"/>
      <c r="AP1171" s="41">
        <f t="shared" si="523"/>
        <v>0</v>
      </c>
      <c r="AQ1171" s="47"/>
      <c r="AR1171" s="41">
        <f t="shared" si="542"/>
        <v>0</v>
      </c>
      <c r="AS1171" s="39"/>
      <c r="AT1171" s="41">
        <f t="shared" si="524"/>
        <v>0</v>
      </c>
      <c r="AU1171" s="47"/>
      <c r="AV1171" s="41">
        <f t="shared" si="543"/>
        <v>0</v>
      </c>
      <c r="AW1171" s="39"/>
      <c r="AX1171" s="41">
        <f t="shared" si="525"/>
        <v>0</v>
      </c>
      <c r="AY1171" s="47"/>
      <c r="AZ1171" s="41">
        <f t="shared" si="544"/>
        <v>0</v>
      </c>
      <c r="BA1171" s="39"/>
      <c r="BB1171" s="41">
        <f t="shared" si="526"/>
        <v>0</v>
      </c>
      <c r="BC1171" s="47"/>
      <c r="BD1171" s="41">
        <f t="shared" si="545"/>
        <v>0</v>
      </c>
      <c r="BE1171" s="39"/>
      <c r="BF1171" s="48"/>
    </row>
    <row r="1172" spans="1:58" ht="15.75" customHeight="1" x14ac:dyDescent="0.25">
      <c r="A1172" s="44">
        <v>2016</v>
      </c>
      <c r="B1172" s="39">
        <v>170980</v>
      </c>
      <c r="C1172" s="38" t="s">
        <v>151</v>
      </c>
      <c r="D1172" s="38" t="s">
        <v>63</v>
      </c>
      <c r="E1172" s="39"/>
      <c r="F1172" s="42">
        <f t="shared" si="527"/>
        <v>0</v>
      </c>
      <c r="G1172" s="47"/>
      <c r="H1172" s="42">
        <f t="shared" si="528"/>
        <v>0</v>
      </c>
      <c r="I1172" s="39"/>
      <c r="J1172" s="41">
        <f t="shared" si="529"/>
        <v>0</v>
      </c>
      <c r="K1172" s="47"/>
      <c r="L1172" s="41">
        <f t="shared" si="530"/>
        <v>0</v>
      </c>
      <c r="M1172" s="39"/>
      <c r="N1172" s="41">
        <f t="shared" si="531"/>
        <v>0</v>
      </c>
      <c r="O1172" s="47"/>
      <c r="P1172" s="41">
        <f t="shared" si="532"/>
        <v>0</v>
      </c>
      <c r="Q1172" s="39"/>
      <c r="R1172" s="41">
        <f t="shared" si="533"/>
        <v>0</v>
      </c>
      <c r="S1172" s="47"/>
      <c r="T1172" s="41">
        <f t="shared" si="534"/>
        <v>0</v>
      </c>
      <c r="U1172" s="39"/>
      <c r="V1172" s="41">
        <f t="shared" si="535"/>
        <v>0</v>
      </c>
      <c r="W1172" s="47"/>
      <c r="X1172" s="41">
        <f t="shared" si="536"/>
        <v>0</v>
      </c>
      <c r="Y1172" s="39"/>
      <c r="Z1172" s="41">
        <f t="shared" si="537"/>
        <v>0</v>
      </c>
      <c r="AA1172" s="47"/>
      <c r="AB1172" s="41">
        <f t="shared" si="538"/>
        <v>0</v>
      </c>
      <c r="AC1172" s="39"/>
      <c r="AD1172" s="41">
        <f t="shared" si="520"/>
        <v>0</v>
      </c>
      <c r="AE1172" s="47"/>
      <c r="AF1172" s="41">
        <f t="shared" si="539"/>
        <v>0</v>
      </c>
      <c r="AG1172" s="39"/>
      <c r="AH1172" s="41">
        <f t="shared" si="521"/>
        <v>0</v>
      </c>
      <c r="AI1172" s="47"/>
      <c r="AJ1172" s="41">
        <f t="shared" si="540"/>
        <v>0</v>
      </c>
      <c r="AK1172" s="39"/>
      <c r="AL1172" s="41">
        <f t="shared" si="522"/>
        <v>0</v>
      </c>
      <c r="AM1172" s="47"/>
      <c r="AN1172" s="41">
        <f t="shared" si="541"/>
        <v>0</v>
      </c>
      <c r="AO1172" s="39"/>
      <c r="AP1172" s="41">
        <f t="shared" si="523"/>
        <v>0</v>
      </c>
      <c r="AQ1172" s="47"/>
      <c r="AR1172" s="41">
        <f t="shared" si="542"/>
        <v>0</v>
      </c>
      <c r="AS1172" s="39"/>
      <c r="AT1172" s="41">
        <f t="shared" si="524"/>
        <v>0</v>
      </c>
      <c r="AU1172" s="47"/>
      <c r="AV1172" s="41">
        <f t="shared" si="543"/>
        <v>0</v>
      </c>
      <c r="AW1172" s="39"/>
      <c r="AX1172" s="41">
        <f t="shared" si="525"/>
        <v>0</v>
      </c>
      <c r="AY1172" s="47"/>
      <c r="AZ1172" s="41">
        <f t="shared" si="544"/>
        <v>0</v>
      </c>
      <c r="BA1172" s="39"/>
      <c r="BB1172" s="41">
        <f t="shared" si="526"/>
        <v>0</v>
      </c>
      <c r="BC1172" s="47"/>
      <c r="BD1172" s="41">
        <f t="shared" si="545"/>
        <v>0</v>
      </c>
      <c r="BE1172" s="39"/>
      <c r="BF1172" s="47"/>
    </row>
    <row r="1173" spans="1:58" ht="15.75" customHeight="1" x14ac:dyDescent="0.25">
      <c r="A1173" s="44">
        <v>2016</v>
      </c>
      <c r="B1173" s="39">
        <v>171050</v>
      </c>
      <c r="C1173" s="38" t="s">
        <v>150</v>
      </c>
      <c r="D1173" s="38" t="s">
        <v>64</v>
      </c>
      <c r="E1173" s="39"/>
      <c r="F1173" s="42">
        <f t="shared" si="527"/>
        <v>0</v>
      </c>
      <c r="G1173" s="47"/>
      <c r="H1173" s="42">
        <f t="shared" si="528"/>
        <v>0</v>
      </c>
      <c r="I1173" s="39"/>
      <c r="J1173" s="41">
        <f t="shared" si="529"/>
        <v>0</v>
      </c>
      <c r="K1173" s="47"/>
      <c r="L1173" s="41">
        <f t="shared" si="530"/>
        <v>0</v>
      </c>
      <c r="M1173" s="39"/>
      <c r="N1173" s="41">
        <f t="shared" si="531"/>
        <v>0</v>
      </c>
      <c r="O1173" s="47"/>
      <c r="P1173" s="41">
        <f t="shared" si="532"/>
        <v>0</v>
      </c>
      <c r="Q1173" s="39"/>
      <c r="R1173" s="41">
        <f t="shared" si="533"/>
        <v>0</v>
      </c>
      <c r="S1173" s="47"/>
      <c r="T1173" s="41">
        <f t="shared" si="534"/>
        <v>0</v>
      </c>
      <c r="U1173" s="39"/>
      <c r="V1173" s="41">
        <f t="shared" si="535"/>
        <v>0</v>
      </c>
      <c r="W1173" s="47"/>
      <c r="X1173" s="41">
        <f t="shared" si="536"/>
        <v>0</v>
      </c>
      <c r="Y1173" s="39"/>
      <c r="Z1173" s="41">
        <f t="shared" si="537"/>
        <v>0</v>
      </c>
      <c r="AA1173" s="47"/>
      <c r="AB1173" s="41">
        <f t="shared" si="538"/>
        <v>0</v>
      </c>
      <c r="AC1173" s="39"/>
      <c r="AD1173" s="41">
        <f t="shared" si="520"/>
        <v>0</v>
      </c>
      <c r="AE1173" s="47"/>
      <c r="AF1173" s="41">
        <f t="shared" si="539"/>
        <v>0</v>
      </c>
      <c r="AG1173" s="39"/>
      <c r="AH1173" s="41">
        <f t="shared" si="521"/>
        <v>0</v>
      </c>
      <c r="AI1173" s="47"/>
      <c r="AJ1173" s="41">
        <f t="shared" si="540"/>
        <v>0</v>
      </c>
      <c r="AK1173" s="39"/>
      <c r="AL1173" s="41">
        <f t="shared" si="522"/>
        <v>0</v>
      </c>
      <c r="AM1173" s="47"/>
      <c r="AN1173" s="41">
        <f t="shared" si="541"/>
        <v>0</v>
      </c>
      <c r="AO1173" s="39"/>
      <c r="AP1173" s="41">
        <f t="shared" si="523"/>
        <v>0</v>
      </c>
      <c r="AQ1173" s="47"/>
      <c r="AR1173" s="41">
        <f t="shared" si="542"/>
        <v>0</v>
      </c>
      <c r="AS1173" s="39"/>
      <c r="AT1173" s="41">
        <f t="shared" si="524"/>
        <v>0</v>
      </c>
      <c r="AU1173" s="47"/>
      <c r="AV1173" s="41">
        <f t="shared" si="543"/>
        <v>0</v>
      </c>
      <c r="AW1173" s="39"/>
      <c r="AX1173" s="41">
        <f t="shared" si="525"/>
        <v>0</v>
      </c>
      <c r="AY1173" s="47"/>
      <c r="AZ1173" s="41">
        <f t="shared" si="544"/>
        <v>0</v>
      </c>
      <c r="BA1173" s="39"/>
      <c r="BB1173" s="41">
        <f t="shared" si="526"/>
        <v>0</v>
      </c>
      <c r="BC1173" s="47"/>
      <c r="BD1173" s="41">
        <f t="shared" si="545"/>
        <v>0</v>
      </c>
      <c r="BE1173" s="39"/>
      <c r="BF1173" s="47"/>
    </row>
    <row r="1174" spans="1:58" ht="15.75" customHeight="1" x14ac:dyDescent="0.25">
      <c r="A1174" s="44">
        <v>2016</v>
      </c>
      <c r="B1174" s="39">
        <v>171070</v>
      </c>
      <c r="C1174" s="38" t="s">
        <v>145</v>
      </c>
      <c r="D1174" s="38" t="s">
        <v>65</v>
      </c>
      <c r="E1174" s="39"/>
      <c r="F1174" s="42">
        <f t="shared" si="527"/>
        <v>0</v>
      </c>
      <c r="G1174" s="47"/>
      <c r="H1174" s="42">
        <f t="shared" si="528"/>
        <v>0</v>
      </c>
      <c r="I1174" s="39"/>
      <c r="J1174" s="41">
        <f t="shared" si="529"/>
        <v>0</v>
      </c>
      <c r="K1174" s="47"/>
      <c r="L1174" s="41">
        <f t="shared" si="530"/>
        <v>0</v>
      </c>
      <c r="M1174" s="39"/>
      <c r="N1174" s="41">
        <f t="shared" si="531"/>
        <v>0</v>
      </c>
      <c r="O1174" s="47"/>
      <c r="P1174" s="41">
        <f t="shared" si="532"/>
        <v>0</v>
      </c>
      <c r="Q1174" s="39"/>
      <c r="R1174" s="41">
        <f t="shared" si="533"/>
        <v>0</v>
      </c>
      <c r="S1174" s="47"/>
      <c r="T1174" s="41">
        <f t="shared" si="534"/>
        <v>0</v>
      </c>
      <c r="U1174" s="39"/>
      <c r="V1174" s="41">
        <f t="shared" si="535"/>
        <v>0</v>
      </c>
      <c r="W1174" s="47"/>
      <c r="X1174" s="41">
        <f t="shared" si="536"/>
        <v>0</v>
      </c>
      <c r="Y1174" s="39"/>
      <c r="Z1174" s="41">
        <f t="shared" si="537"/>
        <v>0</v>
      </c>
      <c r="AA1174" s="47"/>
      <c r="AB1174" s="41">
        <f t="shared" si="538"/>
        <v>0</v>
      </c>
      <c r="AC1174" s="39"/>
      <c r="AD1174" s="41">
        <f t="shared" si="520"/>
        <v>0</v>
      </c>
      <c r="AE1174" s="47"/>
      <c r="AF1174" s="41">
        <f t="shared" si="539"/>
        <v>0</v>
      </c>
      <c r="AG1174" s="39"/>
      <c r="AH1174" s="41">
        <f t="shared" si="521"/>
        <v>0</v>
      </c>
      <c r="AI1174" s="47"/>
      <c r="AJ1174" s="41">
        <f t="shared" si="540"/>
        <v>0</v>
      </c>
      <c r="AK1174" s="39"/>
      <c r="AL1174" s="41">
        <f t="shared" si="522"/>
        <v>0</v>
      </c>
      <c r="AM1174" s="47"/>
      <c r="AN1174" s="41">
        <f t="shared" si="541"/>
        <v>0</v>
      </c>
      <c r="AO1174" s="39"/>
      <c r="AP1174" s="41">
        <f t="shared" si="523"/>
        <v>0</v>
      </c>
      <c r="AQ1174" s="47"/>
      <c r="AR1174" s="41">
        <f t="shared" si="542"/>
        <v>0</v>
      </c>
      <c r="AS1174" s="39"/>
      <c r="AT1174" s="41">
        <f t="shared" si="524"/>
        <v>0</v>
      </c>
      <c r="AU1174" s="47"/>
      <c r="AV1174" s="41">
        <f t="shared" si="543"/>
        <v>0</v>
      </c>
      <c r="AW1174" s="39"/>
      <c r="AX1174" s="41">
        <f t="shared" si="525"/>
        <v>0</v>
      </c>
      <c r="AY1174" s="47"/>
      <c r="AZ1174" s="41">
        <f t="shared" si="544"/>
        <v>0</v>
      </c>
      <c r="BA1174" s="39"/>
      <c r="BB1174" s="41">
        <f t="shared" si="526"/>
        <v>0</v>
      </c>
      <c r="BC1174" s="47"/>
      <c r="BD1174" s="41">
        <f t="shared" si="545"/>
        <v>0</v>
      </c>
      <c r="BE1174" s="39"/>
      <c r="BF1174" s="47"/>
    </row>
    <row r="1175" spans="1:58" ht="15.75" customHeight="1" x14ac:dyDescent="0.25">
      <c r="A1175" s="44">
        <v>2016</v>
      </c>
      <c r="B1175" s="39">
        <v>171090</v>
      </c>
      <c r="C1175" s="38" t="s">
        <v>150</v>
      </c>
      <c r="D1175" s="38" t="s">
        <v>66</v>
      </c>
      <c r="E1175" s="39"/>
      <c r="F1175" s="42">
        <f t="shared" si="527"/>
        <v>0</v>
      </c>
      <c r="G1175" s="47"/>
      <c r="H1175" s="42">
        <f t="shared" si="528"/>
        <v>0</v>
      </c>
      <c r="I1175" s="39"/>
      <c r="J1175" s="41">
        <f t="shared" si="529"/>
        <v>0</v>
      </c>
      <c r="K1175" s="47"/>
      <c r="L1175" s="41">
        <f t="shared" si="530"/>
        <v>0</v>
      </c>
      <c r="M1175" s="39"/>
      <c r="N1175" s="41">
        <f t="shared" si="531"/>
        <v>0</v>
      </c>
      <c r="O1175" s="47"/>
      <c r="P1175" s="41">
        <f t="shared" si="532"/>
        <v>0</v>
      </c>
      <c r="Q1175" s="39"/>
      <c r="R1175" s="41">
        <f t="shared" si="533"/>
        <v>0</v>
      </c>
      <c r="S1175" s="47"/>
      <c r="T1175" s="41">
        <f t="shared" si="534"/>
        <v>0</v>
      </c>
      <c r="U1175" s="39"/>
      <c r="V1175" s="41">
        <f t="shared" si="535"/>
        <v>0</v>
      </c>
      <c r="W1175" s="47"/>
      <c r="X1175" s="41">
        <f t="shared" si="536"/>
        <v>0</v>
      </c>
      <c r="Y1175" s="39"/>
      <c r="Z1175" s="41">
        <f t="shared" si="537"/>
        <v>0</v>
      </c>
      <c r="AA1175" s="47"/>
      <c r="AB1175" s="41">
        <f t="shared" si="538"/>
        <v>0</v>
      </c>
      <c r="AC1175" s="39"/>
      <c r="AD1175" s="41">
        <f t="shared" si="520"/>
        <v>0</v>
      </c>
      <c r="AE1175" s="47"/>
      <c r="AF1175" s="41">
        <f t="shared" si="539"/>
        <v>0</v>
      </c>
      <c r="AG1175" s="39"/>
      <c r="AH1175" s="41">
        <f t="shared" si="521"/>
        <v>0</v>
      </c>
      <c r="AI1175" s="47"/>
      <c r="AJ1175" s="41">
        <f t="shared" si="540"/>
        <v>0</v>
      </c>
      <c r="AK1175" s="39"/>
      <c r="AL1175" s="41">
        <f t="shared" si="522"/>
        <v>0</v>
      </c>
      <c r="AM1175" s="47"/>
      <c r="AN1175" s="41">
        <f t="shared" si="541"/>
        <v>0</v>
      </c>
      <c r="AO1175" s="39"/>
      <c r="AP1175" s="41">
        <f t="shared" si="523"/>
        <v>0</v>
      </c>
      <c r="AQ1175" s="47"/>
      <c r="AR1175" s="41">
        <f t="shared" si="542"/>
        <v>0</v>
      </c>
      <c r="AS1175" s="39"/>
      <c r="AT1175" s="41">
        <f t="shared" si="524"/>
        <v>0</v>
      </c>
      <c r="AU1175" s="47"/>
      <c r="AV1175" s="41">
        <f t="shared" si="543"/>
        <v>0</v>
      </c>
      <c r="AW1175" s="39"/>
      <c r="AX1175" s="41">
        <f t="shared" si="525"/>
        <v>0</v>
      </c>
      <c r="AY1175" s="47"/>
      <c r="AZ1175" s="41">
        <f t="shared" si="544"/>
        <v>0</v>
      </c>
      <c r="BA1175" s="39"/>
      <c r="BB1175" s="41">
        <f t="shared" si="526"/>
        <v>0</v>
      </c>
      <c r="BC1175" s="47"/>
      <c r="BD1175" s="41">
        <f t="shared" si="545"/>
        <v>0</v>
      </c>
      <c r="BE1175" s="39"/>
      <c r="BF1175" s="47"/>
    </row>
    <row r="1176" spans="1:58" ht="15.75" customHeight="1" x14ac:dyDescent="0.25">
      <c r="A1176" s="44">
        <v>2016</v>
      </c>
      <c r="B1176" s="39">
        <v>171110</v>
      </c>
      <c r="C1176" s="38" t="s">
        <v>150</v>
      </c>
      <c r="D1176" s="38" t="s">
        <v>67</v>
      </c>
      <c r="E1176" s="39"/>
      <c r="F1176" s="42">
        <f t="shared" si="527"/>
        <v>0</v>
      </c>
      <c r="G1176" s="47"/>
      <c r="H1176" s="42">
        <f t="shared" si="528"/>
        <v>0</v>
      </c>
      <c r="I1176" s="39"/>
      <c r="J1176" s="41">
        <f t="shared" si="529"/>
        <v>0</v>
      </c>
      <c r="K1176" s="47"/>
      <c r="L1176" s="41">
        <f t="shared" si="530"/>
        <v>0</v>
      </c>
      <c r="M1176" s="39"/>
      <c r="N1176" s="41">
        <f t="shared" si="531"/>
        <v>0</v>
      </c>
      <c r="O1176" s="47"/>
      <c r="P1176" s="41">
        <f t="shared" si="532"/>
        <v>0</v>
      </c>
      <c r="Q1176" s="39"/>
      <c r="R1176" s="41">
        <f t="shared" si="533"/>
        <v>0</v>
      </c>
      <c r="S1176" s="47"/>
      <c r="T1176" s="41">
        <f t="shared" si="534"/>
        <v>0</v>
      </c>
      <c r="U1176" s="39"/>
      <c r="V1176" s="41">
        <f t="shared" si="535"/>
        <v>0</v>
      </c>
      <c r="W1176" s="47"/>
      <c r="X1176" s="41">
        <f t="shared" si="536"/>
        <v>0</v>
      </c>
      <c r="Y1176" s="39"/>
      <c r="Z1176" s="41">
        <f t="shared" si="537"/>
        <v>0</v>
      </c>
      <c r="AA1176" s="47"/>
      <c r="AB1176" s="41">
        <f t="shared" si="538"/>
        <v>0</v>
      </c>
      <c r="AC1176" s="39"/>
      <c r="AD1176" s="41">
        <f t="shared" si="520"/>
        <v>0</v>
      </c>
      <c r="AE1176" s="47"/>
      <c r="AF1176" s="41">
        <f t="shared" si="539"/>
        <v>0</v>
      </c>
      <c r="AG1176" s="39"/>
      <c r="AH1176" s="41">
        <f t="shared" si="521"/>
        <v>0</v>
      </c>
      <c r="AI1176" s="47"/>
      <c r="AJ1176" s="41">
        <f t="shared" si="540"/>
        <v>0</v>
      </c>
      <c r="AK1176" s="39"/>
      <c r="AL1176" s="41">
        <f t="shared" si="522"/>
        <v>0</v>
      </c>
      <c r="AM1176" s="47"/>
      <c r="AN1176" s="41">
        <f t="shared" si="541"/>
        <v>0</v>
      </c>
      <c r="AO1176" s="39"/>
      <c r="AP1176" s="41">
        <f t="shared" si="523"/>
        <v>0</v>
      </c>
      <c r="AQ1176" s="47"/>
      <c r="AR1176" s="41">
        <f t="shared" si="542"/>
        <v>0</v>
      </c>
      <c r="AS1176" s="39"/>
      <c r="AT1176" s="41">
        <f t="shared" si="524"/>
        <v>0</v>
      </c>
      <c r="AU1176" s="47"/>
      <c r="AV1176" s="41">
        <f t="shared" si="543"/>
        <v>0</v>
      </c>
      <c r="AW1176" s="39"/>
      <c r="AX1176" s="41">
        <f t="shared" si="525"/>
        <v>0</v>
      </c>
      <c r="AY1176" s="47"/>
      <c r="AZ1176" s="41">
        <f t="shared" si="544"/>
        <v>0</v>
      </c>
      <c r="BA1176" s="39"/>
      <c r="BB1176" s="41">
        <f t="shared" si="526"/>
        <v>0</v>
      </c>
      <c r="BC1176" s="47"/>
      <c r="BD1176" s="41">
        <f t="shared" si="545"/>
        <v>0</v>
      </c>
      <c r="BE1176" s="39"/>
      <c r="BF1176" s="47"/>
    </row>
    <row r="1177" spans="1:58" ht="15.75" customHeight="1" x14ac:dyDescent="0.25">
      <c r="A1177" s="44">
        <v>2016</v>
      </c>
      <c r="B1177" s="39">
        <v>171150</v>
      </c>
      <c r="C1177" s="38" t="s">
        <v>146</v>
      </c>
      <c r="D1177" s="38" t="s">
        <v>68</v>
      </c>
      <c r="E1177" s="39"/>
      <c r="F1177" s="42">
        <f t="shared" si="527"/>
        <v>0</v>
      </c>
      <c r="G1177" s="47"/>
      <c r="H1177" s="42">
        <f t="shared" si="528"/>
        <v>0</v>
      </c>
      <c r="I1177" s="39"/>
      <c r="J1177" s="41">
        <f t="shared" si="529"/>
        <v>0</v>
      </c>
      <c r="K1177" s="47"/>
      <c r="L1177" s="41">
        <f t="shared" si="530"/>
        <v>0</v>
      </c>
      <c r="M1177" s="39"/>
      <c r="N1177" s="41">
        <f t="shared" si="531"/>
        <v>0</v>
      </c>
      <c r="O1177" s="47"/>
      <c r="P1177" s="41">
        <f t="shared" si="532"/>
        <v>0</v>
      </c>
      <c r="Q1177" s="39"/>
      <c r="R1177" s="41">
        <f t="shared" si="533"/>
        <v>0</v>
      </c>
      <c r="S1177" s="47"/>
      <c r="T1177" s="41">
        <f t="shared" si="534"/>
        <v>0</v>
      </c>
      <c r="U1177" s="39"/>
      <c r="V1177" s="41">
        <f t="shared" si="535"/>
        <v>0</v>
      </c>
      <c r="W1177" s="47"/>
      <c r="X1177" s="41">
        <f t="shared" si="536"/>
        <v>0</v>
      </c>
      <c r="Y1177" s="39"/>
      <c r="Z1177" s="41">
        <f t="shared" si="537"/>
        <v>0</v>
      </c>
      <c r="AA1177" s="47"/>
      <c r="AB1177" s="41">
        <f t="shared" si="538"/>
        <v>0</v>
      </c>
      <c r="AC1177" s="39"/>
      <c r="AD1177" s="41">
        <f t="shared" si="520"/>
        <v>0</v>
      </c>
      <c r="AE1177" s="47"/>
      <c r="AF1177" s="41">
        <f t="shared" si="539"/>
        <v>0</v>
      </c>
      <c r="AG1177" s="39"/>
      <c r="AH1177" s="41">
        <f t="shared" si="521"/>
        <v>0</v>
      </c>
      <c r="AI1177" s="47"/>
      <c r="AJ1177" s="41">
        <f t="shared" si="540"/>
        <v>0</v>
      </c>
      <c r="AK1177" s="39"/>
      <c r="AL1177" s="41">
        <f t="shared" si="522"/>
        <v>0</v>
      </c>
      <c r="AM1177" s="47"/>
      <c r="AN1177" s="41">
        <f t="shared" si="541"/>
        <v>0</v>
      </c>
      <c r="AO1177" s="39"/>
      <c r="AP1177" s="41">
        <f t="shared" si="523"/>
        <v>0</v>
      </c>
      <c r="AQ1177" s="47"/>
      <c r="AR1177" s="41">
        <f t="shared" si="542"/>
        <v>0</v>
      </c>
      <c r="AS1177" s="39"/>
      <c r="AT1177" s="41">
        <f t="shared" si="524"/>
        <v>0</v>
      </c>
      <c r="AU1177" s="47"/>
      <c r="AV1177" s="41">
        <f t="shared" si="543"/>
        <v>0</v>
      </c>
      <c r="AW1177" s="39"/>
      <c r="AX1177" s="41">
        <f t="shared" si="525"/>
        <v>0</v>
      </c>
      <c r="AY1177" s="47"/>
      <c r="AZ1177" s="41">
        <f t="shared" si="544"/>
        <v>0</v>
      </c>
      <c r="BA1177" s="39"/>
      <c r="BB1177" s="41">
        <f t="shared" si="526"/>
        <v>0</v>
      </c>
      <c r="BC1177" s="47"/>
      <c r="BD1177" s="41">
        <f t="shared" si="545"/>
        <v>0</v>
      </c>
      <c r="BE1177" s="39"/>
      <c r="BF1177" s="47"/>
    </row>
    <row r="1178" spans="1:58" ht="15.75" customHeight="1" x14ac:dyDescent="0.25">
      <c r="A1178" s="44">
        <v>2016</v>
      </c>
      <c r="B1178" s="39">
        <v>171180</v>
      </c>
      <c r="C1178" s="38" t="s">
        <v>150</v>
      </c>
      <c r="D1178" s="38" t="s">
        <v>69</v>
      </c>
      <c r="E1178" s="39"/>
      <c r="F1178" s="42">
        <f t="shared" si="527"/>
        <v>0</v>
      </c>
      <c r="G1178" s="47"/>
      <c r="H1178" s="42">
        <f t="shared" si="528"/>
        <v>0</v>
      </c>
      <c r="I1178" s="39"/>
      <c r="J1178" s="41">
        <f t="shared" si="529"/>
        <v>0</v>
      </c>
      <c r="K1178" s="47"/>
      <c r="L1178" s="41">
        <f t="shared" si="530"/>
        <v>0</v>
      </c>
      <c r="M1178" s="39"/>
      <c r="N1178" s="41">
        <f t="shared" si="531"/>
        <v>0</v>
      </c>
      <c r="O1178" s="47"/>
      <c r="P1178" s="41">
        <f t="shared" si="532"/>
        <v>0</v>
      </c>
      <c r="Q1178" s="39"/>
      <c r="R1178" s="41">
        <f t="shared" si="533"/>
        <v>0</v>
      </c>
      <c r="S1178" s="47"/>
      <c r="T1178" s="41">
        <f t="shared" si="534"/>
        <v>0</v>
      </c>
      <c r="U1178" s="39"/>
      <c r="V1178" s="41">
        <f t="shared" si="535"/>
        <v>0</v>
      </c>
      <c r="W1178" s="47"/>
      <c r="X1178" s="41">
        <f t="shared" si="536"/>
        <v>0</v>
      </c>
      <c r="Y1178" s="39"/>
      <c r="Z1178" s="41">
        <f t="shared" si="537"/>
        <v>0</v>
      </c>
      <c r="AA1178" s="47"/>
      <c r="AB1178" s="41">
        <f t="shared" si="538"/>
        <v>0</v>
      </c>
      <c r="AC1178" s="39"/>
      <c r="AD1178" s="41">
        <f t="shared" si="520"/>
        <v>0</v>
      </c>
      <c r="AE1178" s="47"/>
      <c r="AF1178" s="41">
        <f t="shared" si="539"/>
        <v>0</v>
      </c>
      <c r="AG1178" s="39"/>
      <c r="AH1178" s="41">
        <f t="shared" si="521"/>
        <v>0</v>
      </c>
      <c r="AI1178" s="47"/>
      <c r="AJ1178" s="41">
        <f t="shared" si="540"/>
        <v>0</v>
      </c>
      <c r="AK1178" s="39"/>
      <c r="AL1178" s="41">
        <f t="shared" si="522"/>
        <v>0</v>
      </c>
      <c r="AM1178" s="47"/>
      <c r="AN1178" s="41">
        <f t="shared" si="541"/>
        <v>0</v>
      </c>
      <c r="AO1178" s="39"/>
      <c r="AP1178" s="41">
        <f t="shared" si="523"/>
        <v>0</v>
      </c>
      <c r="AQ1178" s="47"/>
      <c r="AR1178" s="41">
        <f t="shared" si="542"/>
        <v>0</v>
      </c>
      <c r="AS1178" s="39"/>
      <c r="AT1178" s="41">
        <f t="shared" si="524"/>
        <v>0</v>
      </c>
      <c r="AU1178" s="47"/>
      <c r="AV1178" s="41">
        <f t="shared" si="543"/>
        <v>0</v>
      </c>
      <c r="AW1178" s="39"/>
      <c r="AX1178" s="41">
        <f t="shared" si="525"/>
        <v>0</v>
      </c>
      <c r="AY1178" s="47"/>
      <c r="AZ1178" s="41">
        <f t="shared" si="544"/>
        <v>0</v>
      </c>
      <c r="BA1178" s="39"/>
      <c r="BB1178" s="41">
        <f t="shared" si="526"/>
        <v>0</v>
      </c>
      <c r="BC1178" s="47"/>
      <c r="BD1178" s="41">
        <f t="shared" si="545"/>
        <v>0</v>
      </c>
      <c r="BE1178" s="39"/>
      <c r="BF1178" s="47"/>
    </row>
    <row r="1179" spans="1:58" ht="15.75" customHeight="1" x14ac:dyDescent="0.25">
      <c r="A1179" s="44">
        <v>2016</v>
      </c>
      <c r="B1179" s="39">
        <v>171190</v>
      </c>
      <c r="C1179" s="38" t="s">
        <v>144</v>
      </c>
      <c r="D1179" s="38" t="s">
        <v>70</v>
      </c>
      <c r="E1179" s="39"/>
      <c r="F1179" s="42">
        <f t="shared" si="527"/>
        <v>0</v>
      </c>
      <c r="G1179" s="47"/>
      <c r="H1179" s="42">
        <f t="shared" si="528"/>
        <v>0</v>
      </c>
      <c r="I1179" s="39"/>
      <c r="J1179" s="41">
        <f t="shared" si="529"/>
        <v>0</v>
      </c>
      <c r="K1179" s="47"/>
      <c r="L1179" s="41">
        <f t="shared" si="530"/>
        <v>0</v>
      </c>
      <c r="M1179" s="39"/>
      <c r="N1179" s="41">
        <f t="shared" si="531"/>
        <v>0</v>
      </c>
      <c r="O1179" s="47"/>
      <c r="P1179" s="41">
        <f t="shared" si="532"/>
        <v>0</v>
      </c>
      <c r="Q1179" s="39"/>
      <c r="R1179" s="41">
        <f t="shared" si="533"/>
        <v>0</v>
      </c>
      <c r="S1179" s="47"/>
      <c r="T1179" s="41">
        <f t="shared" si="534"/>
        <v>0</v>
      </c>
      <c r="U1179" s="39"/>
      <c r="V1179" s="41">
        <f t="shared" si="535"/>
        <v>0</v>
      </c>
      <c r="W1179" s="47"/>
      <c r="X1179" s="41">
        <f t="shared" si="536"/>
        <v>0</v>
      </c>
      <c r="Y1179" s="39"/>
      <c r="Z1179" s="41">
        <f t="shared" si="537"/>
        <v>0</v>
      </c>
      <c r="AA1179" s="47"/>
      <c r="AB1179" s="41">
        <f t="shared" si="538"/>
        <v>0</v>
      </c>
      <c r="AC1179" s="39"/>
      <c r="AD1179" s="41">
        <f t="shared" si="520"/>
        <v>0</v>
      </c>
      <c r="AE1179" s="47"/>
      <c r="AF1179" s="41">
        <f t="shared" si="539"/>
        <v>0</v>
      </c>
      <c r="AG1179" s="39"/>
      <c r="AH1179" s="41">
        <f t="shared" si="521"/>
        <v>0</v>
      </c>
      <c r="AI1179" s="47"/>
      <c r="AJ1179" s="41">
        <f t="shared" si="540"/>
        <v>0</v>
      </c>
      <c r="AK1179" s="39"/>
      <c r="AL1179" s="41">
        <f t="shared" si="522"/>
        <v>0</v>
      </c>
      <c r="AM1179" s="47"/>
      <c r="AN1179" s="41">
        <f t="shared" si="541"/>
        <v>0</v>
      </c>
      <c r="AO1179" s="39"/>
      <c r="AP1179" s="41">
        <f t="shared" si="523"/>
        <v>0</v>
      </c>
      <c r="AQ1179" s="47"/>
      <c r="AR1179" s="41">
        <f t="shared" si="542"/>
        <v>0</v>
      </c>
      <c r="AS1179" s="39"/>
      <c r="AT1179" s="41">
        <f t="shared" si="524"/>
        <v>0</v>
      </c>
      <c r="AU1179" s="47"/>
      <c r="AV1179" s="41">
        <f t="shared" si="543"/>
        <v>0</v>
      </c>
      <c r="AW1179" s="39"/>
      <c r="AX1179" s="41">
        <f t="shared" si="525"/>
        <v>0</v>
      </c>
      <c r="AY1179" s="47"/>
      <c r="AZ1179" s="41">
        <f t="shared" si="544"/>
        <v>0</v>
      </c>
      <c r="BA1179" s="39"/>
      <c r="BB1179" s="41">
        <f t="shared" si="526"/>
        <v>0</v>
      </c>
      <c r="BC1179" s="47"/>
      <c r="BD1179" s="41">
        <f t="shared" si="545"/>
        <v>0</v>
      </c>
      <c r="BE1179" s="39"/>
      <c r="BF1179" s="47"/>
    </row>
    <row r="1180" spans="1:58" ht="15.75" customHeight="1" x14ac:dyDescent="0.25">
      <c r="A1180" s="44">
        <v>2016</v>
      </c>
      <c r="B1180" s="39">
        <v>171195</v>
      </c>
      <c r="C1180" s="38" t="s">
        <v>148</v>
      </c>
      <c r="D1180" s="38" t="s">
        <v>71</v>
      </c>
      <c r="E1180" s="39"/>
      <c r="F1180" s="42">
        <f t="shared" si="527"/>
        <v>0</v>
      </c>
      <c r="G1180" s="47"/>
      <c r="H1180" s="42">
        <f t="shared" si="528"/>
        <v>0</v>
      </c>
      <c r="I1180" s="39"/>
      <c r="J1180" s="41">
        <f t="shared" si="529"/>
        <v>0</v>
      </c>
      <c r="K1180" s="47"/>
      <c r="L1180" s="41">
        <f t="shared" si="530"/>
        <v>0</v>
      </c>
      <c r="M1180" s="39"/>
      <c r="N1180" s="41">
        <f t="shared" si="531"/>
        <v>0</v>
      </c>
      <c r="O1180" s="47"/>
      <c r="P1180" s="41">
        <f t="shared" si="532"/>
        <v>0</v>
      </c>
      <c r="Q1180" s="39"/>
      <c r="R1180" s="41">
        <f t="shared" si="533"/>
        <v>0</v>
      </c>
      <c r="S1180" s="47"/>
      <c r="T1180" s="41">
        <f t="shared" si="534"/>
        <v>0</v>
      </c>
      <c r="U1180" s="39"/>
      <c r="V1180" s="41">
        <f t="shared" si="535"/>
        <v>0</v>
      </c>
      <c r="W1180" s="47"/>
      <c r="X1180" s="41">
        <f t="shared" si="536"/>
        <v>0</v>
      </c>
      <c r="Y1180" s="39"/>
      <c r="Z1180" s="41">
        <f t="shared" si="537"/>
        <v>0</v>
      </c>
      <c r="AA1180" s="47"/>
      <c r="AB1180" s="41">
        <f t="shared" si="538"/>
        <v>0</v>
      </c>
      <c r="AC1180" s="39"/>
      <c r="AD1180" s="41">
        <f t="shared" si="520"/>
        <v>0</v>
      </c>
      <c r="AE1180" s="47"/>
      <c r="AF1180" s="41">
        <f t="shared" si="539"/>
        <v>0</v>
      </c>
      <c r="AG1180" s="39"/>
      <c r="AH1180" s="41">
        <f t="shared" si="521"/>
        <v>0</v>
      </c>
      <c r="AI1180" s="47"/>
      <c r="AJ1180" s="41">
        <f t="shared" si="540"/>
        <v>0</v>
      </c>
      <c r="AK1180" s="39"/>
      <c r="AL1180" s="41">
        <f t="shared" si="522"/>
        <v>0</v>
      </c>
      <c r="AM1180" s="47"/>
      <c r="AN1180" s="41">
        <f t="shared" si="541"/>
        <v>0</v>
      </c>
      <c r="AO1180" s="39"/>
      <c r="AP1180" s="41">
        <f t="shared" si="523"/>
        <v>0</v>
      </c>
      <c r="AQ1180" s="47"/>
      <c r="AR1180" s="41">
        <f t="shared" si="542"/>
        <v>0</v>
      </c>
      <c r="AS1180" s="39"/>
      <c r="AT1180" s="41">
        <f t="shared" si="524"/>
        <v>0</v>
      </c>
      <c r="AU1180" s="47"/>
      <c r="AV1180" s="41">
        <f t="shared" si="543"/>
        <v>0</v>
      </c>
      <c r="AW1180" s="39"/>
      <c r="AX1180" s="41">
        <f t="shared" si="525"/>
        <v>0</v>
      </c>
      <c r="AY1180" s="47"/>
      <c r="AZ1180" s="41">
        <f t="shared" si="544"/>
        <v>0</v>
      </c>
      <c r="BA1180" s="39"/>
      <c r="BB1180" s="41">
        <f t="shared" si="526"/>
        <v>0</v>
      </c>
      <c r="BC1180" s="47"/>
      <c r="BD1180" s="41">
        <f t="shared" si="545"/>
        <v>0</v>
      </c>
      <c r="BE1180" s="39"/>
      <c r="BF1180" s="47"/>
    </row>
    <row r="1181" spans="1:58" ht="15.75" customHeight="1" x14ac:dyDescent="0.25">
      <c r="A1181" s="44">
        <v>2016</v>
      </c>
      <c r="B1181" s="39">
        <v>171200</v>
      </c>
      <c r="C1181" s="38" t="s">
        <v>148</v>
      </c>
      <c r="D1181" s="38" t="s">
        <v>72</v>
      </c>
      <c r="E1181" s="39"/>
      <c r="F1181" s="42">
        <f t="shared" si="527"/>
        <v>0</v>
      </c>
      <c r="G1181" s="47"/>
      <c r="H1181" s="42">
        <f t="shared" si="528"/>
        <v>0</v>
      </c>
      <c r="I1181" s="39"/>
      <c r="J1181" s="41">
        <f t="shared" si="529"/>
        <v>0</v>
      </c>
      <c r="K1181" s="47"/>
      <c r="L1181" s="41">
        <f t="shared" si="530"/>
        <v>0</v>
      </c>
      <c r="M1181" s="39"/>
      <c r="N1181" s="41">
        <f t="shared" si="531"/>
        <v>0</v>
      </c>
      <c r="O1181" s="47"/>
      <c r="P1181" s="41">
        <f t="shared" si="532"/>
        <v>0</v>
      </c>
      <c r="Q1181" s="39"/>
      <c r="R1181" s="41">
        <f t="shared" si="533"/>
        <v>0</v>
      </c>
      <c r="S1181" s="47"/>
      <c r="T1181" s="41">
        <f t="shared" si="534"/>
        <v>0</v>
      </c>
      <c r="U1181" s="39"/>
      <c r="V1181" s="41">
        <f t="shared" si="535"/>
        <v>0</v>
      </c>
      <c r="W1181" s="47"/>
      <c r="X1181" s="41">
        <f t="shared" si="536"/>
        <v>0</v>
      </c>
      <c r="Y1181" s="39"/>
      <c r="Z1181" s="41">
        <f t="shared" si="537"/>
        <v>0</v>
      </c>
      <c r="AA1181" s="47"/>
      <c r="AB1181" s="41">
        <f t="shared" si="538"/>
        <v>0</v>
      </c>
      <c r="AC1181" s="39"/>
      <c r="AD1181" s="41">
        <f t="shared" si="520"/>
        <v>0</v>
      </c>
      <c r="AE1181" s="47"/>
      <c r="AF1181" s="41">
        <f t="shared" si="539"/>
        <v>0</v>
      </c>
      <c r="AG1181" s="39"/>
      <c r="AH1181" s="41">
        <f t="shared" si="521"/>
        <v>0</v>
      </c>
      <c r="AI1181" s="47"/>
      <c r="AJ1181" s="41">
        <f t="shared" si="540"/>
        <v>0</v>
      </c>
      <c r="AK1181" s="39"/>
      <c r="AL1181" s="41">
        <f t="shared" si="522"/>
        <v>0</v>
      </c>
      <c r="AM1181" s="47"/>
      <c r="AN1181" s="41">
        <f t="shared" si="541"/>
        <v>0</v>
      </c>
      <c r="AO1181" s="39"/>
      <c r="AP1181" s="41">
        <f t="shared" si="523"/>
        <v>0</v>
      </c>
      <c r="AQ1181" s="47"/>
      <c r="AR1181" s="41">
        <f t="shared" si="542"/>
        <v>0</v>
      </c>
      <c r="AS1181" s="39"/>
      <c r="AT1181" s="41">
        <f t="shared" si="524"/>
        <v>0</v>
      </c>
      <c r="AU1181" s="47"/>
      <c r="AV1181" s="41">
        <f t="shared" si="543"/>
        <v>0</v>
      </c>
      <c r="AW1181" s="39"/>
      <c r="AX1181" s="41">
        <f t="shared" si="525"/>
        <v>0</v>
      </c>
      <c r="AY1181" s="47"/>
      <c r="AZ1181" s="41">
        <f t="shared" si="544"/>
        <v>0</v>
      </c>
      <c r="BA1181" s="39"/>
      <c r="BB1181" s="41">
        <f t="shared" si="526"/>
        <v>0</v>
      </c>
      <c r="BC1181" s="47"/>
      <c r="BD1181" s="41">
        <f t="shared" si="545"/>
        <v>0</v>
      </c>
      <c r="BE1181" s="39"/>
      <c r="BF1181" s="47"/>
    </row>
    <row r="1182" spans="1:58" ht="15.75" customHeight="1" x14ac:dyDescent="0.25">
      <c r="A1182" s="44">
        <v>2016</v>
      </c>
      <c r="B1182" s="39">
        <v>171215</v>
      </c>
      <c r="C1182" s="38" t="s">
        <v>147</v>
      </c>
      <c r="D1182" s="38" t="s">
        <v>73</v>
      </c>
      <c r="E1182" s="39"/>
      <c r="F1182" s="42">
        <f t="shared" si="527"/>
        <v>0</v>
      </c>
      <c r="G1182" s="47"/>
      <c r="H1182" s="42">
        <f t="shared" si="528"/>
        <v>0</v>
      </c>
      <c r="I1182" s="39"/>
      <c r="J1182" s="41">
        <f t="shared" si="529"/>
        <v>0</v>
      </c>
      <c r="K1182" s="47"/>
      <c r="L1182" s="41">
        <f t="shared" si="530"/>
        <v>0</v>
      </c>
      <c r="M1182" s="39"/>
      <c r="N1182" s="41">
        <f t="shared" si="531"/>
        <v>0</v>
      </c>
      <c r="O1182" s="47"/>
      <c r="P1182" s="41">
        <f t="shared" si="532"/>
        <v>0</v>
      </c>
      <c r="Q1182" s="39"/>
      <c r="R1182" s="41">
        <f t="shared" si="533"/>
        <v>0</v>
      </c>
      <c r="S1182" s="47"/>
      <c r="T1182" s="41">
        <f t="shared" si="534"/>
        <v>0</v>
      </c>
      <c r="U1182" s="39"/>
      <c r="V1182" s="41">
        <f t="shared" si="535"/>
        <v>0</v>
      </c>
      <c r="W1182" s="47"/>
      <c r="X1182" s="41">
        <f t="shared" si="536"/>
        <v>0</v>
      </c>
      <c r="Y1182" s="39"/>
      <c r="Z1182" s="41">
        <f t="shared" si="537"/>
        <v>0</v>
      </c>
      <c r="AA1182" s="47"/>
      <c r="AB1182" s="41">
        <f t="shared" si="538"/>
        <v>0</v>
      </c>
      <c r="AC1182" s="39"/>
      <c r="AD1182" s="41">
        <f t="shared" si="520"/>
        <v>0</v>
      </c>
      <c r="AE1182" s="47"/>
      <c r="AF1182" s="41">
        <f t="shared" si="539"/>
        <v>0</v>
      </c>
      <c r="AG1182" s="39"/>
      <c r="AH1182" s="41">
        <f t="shared" si="521"/>
        <v>0</v>
      </c>
      <c r="AI1182" s="47"/>
      <c r="AJ1182" s="41">
        <f t="shared" si="540"/>
        <v>0</v>
      </c>
      <c r="AK1182" s="39"/>
      <c r="AL1182" s="41">
        <f t="shared" si="522"/>
        <v>0</v>
      </c>
      <c r="AM1182" s="47"/>
      <c r="AN1182" s="41">
        <f t="shared" si="541"/>
        <v>0</v>
      </c>
      <c r="AO1182" s="39"/>
      <c r="AP1182" s="41">
        <f t="shared" si="523"/>
        <v>0</v>
      </c>
      <c r="AQ1182" s="47"/>
      <c r="AR1182" s="41">
        <f t="shared" si="542"/>
        <v>0</v>
      </c>
      <c r="AS1182" s="39"/>
      <c r="AT1182" s="41">
        <f t="shared" si="524"/>
        <v>0</v>
      </c>
      <c r="AU1182" s="47"/>
      <c r="AV1182" s="41">
        <f t="shared" si="543"/>
        <v>0</v>
      </c>
      <c r="AW1182" s="39"/>
      <c r="AX1182" s="41">
        <f t="shared" si="525"/>
        <v>0</v>
      </c>
      <c r="AY1182" s="47"/>
      <c r="AZ1182" s="41">
        <f t="shared" si="544"/>
        <v>0</v>
      </c>
      <c r="BA1182" s="39"/>
      <c r="BB1182" s="41">
        <f t="shared" si="526"/>
        <v>0</v>
      </c>
      <c r="BC1182" s="47"/>
      <c r="BD1182" s="41">
        <f t="shared" si="545"/>
        <v>0</v>
      </c>
      <c r="BE1182" s="39"/>
      <c r="BF1182" s="47"/>
    </row>
    <row r="1183" spans="1:58" ht="15.75" customHeight="1" x14ac:dyDescent="0.25">
      <c r="A1183" s="44">
        <v>2016</v>
      </c>
      <c r="B1183" s="39">
        <v>171240</v>
      </c>
      <c r="C1183" s="38" t="s">
        <v>148</v>
      </c>
      <c r="D1183" s="38" t="s">
        <v>74</v>
      </c>
      <c r="E1183" s="39"/>
      <c r="F1183" s="42">
        <f t="shared" si="527"/>
        <v>0</v>
      </c>
      <c r="G1183" s="47"/>
      <c r="H1183" s="42">
        <f t="shared" si="528"/>
        <v>0</v>
      </c>
      <c r="I1183" s="39"/>
      <c r="J1183" s="41">
        <f t="shared" si="529"/>
        <v>0</v>
      </c>
      <c r="K1183" s="47"/>
      <c r="L1183" s="41">
        <f t="shared" si="530"/>
        <v>0</v>
      </c>
      <c r="M1183" s="39"/>
      <c r="N1183" s="41">
        <f t="shared" si="531"/>
        <v>0</v>
      </c>
      <c r="O1183" s="47"/>
      <c r="P1183" s="41">
        <f t="shared" si="532"/>
        <v>0</v>
      </c>
      <c r="Q1183" s="39"/>
      <c r="R1183" s="41">
        <f t="shared" si="533"/>
        <v>0</v>
      </c>
      <c r="S1183" s="47"/>
      <c r="T1183" s="41">
        <f t="shared" si="534"/>
        <v>0</v>
      </c>
      <c r="U1183" s="39"/>
      <c r="V1183" s="41">
        <f t="shared" si="535"/>
        <v>0</v>
      </c>
      <c r="W1183" s="47"/>
      <c r="X1183" s="41">
        <f t="shared" si="536"/>
        <v>0</v>
      </c>
      <c r="Y1183" s="39"/>
      <c r="Z1183" s="41">
        <f t="shared" si="537"/>
        <v>0</v>
      </c>
      <c r="AA1183" s="47"/>
      <c r="AB1183" s="41">
        <f t="shared" si="538"/>
        <v>0</v>
      </c>
      <c r="AC1183" s="39"/>
      <c r="AD1183" s="41">
        <f t="shared" si="520"/>
        <v>0</v>
      </c>
      <c r="AE1183" s="47"/>
      <c r="AF1183" s="41">
        <f t="shared" si="539"/>
        <v>0</v>
      </c>
      <c r="AG1183" s="39"/>
      <c r="AH1183" s="41">
        <f t="shared" si="521"/>
        <v>0</v>
      </c>
      <c r="AI1183" s="47"/>
      <c r="AJ1183" s="41">
        <f t="shared" si="540"/>
        <v>0</v>
      </c>
      <c r="AK1183" s="39"/>
      <c r="AL1183" s="41">
        <f t="shared" si="522"/>
        <v>0</v>
      </c>
      <c r="AM1183" s="47"/>
      <c r="AN1183" s="41">
        <f t="shared" si="541"/>
        <v>0</v>
      </c>
      <c r="AO1183" s="39"/>
      <c r="AP1183" s="41">
        <f t="shared" si="523"/>
        <v>0</v>
      </c>
      <c r="AQ1183" s="47"/>
      <c r="AR1183" s="41">
        <f t="shared" si="542"/>
        <v>0</v>
      </c>
      <c r="AS1183" s="39"/>
      <c r="AT1183" s="41">
        <f t="shared" si="524"/>
        <v>0</v>
      </c>
      <c r="AU1183" s="47"/>
      <c r="AV1183" s="41">
        <f t="shared" si="543"/>
        <v>0</v>
      </c>
      <c r="AW1183" s="39"/>
      <c r="AX1183" s="41">
        <f t="shared" si="525"/>
        <v>0</v>
      </c>
      <c r="AY1183" s="47"/>
      <c r="AZ1183" s="41">
        <f t="shared" si="544"/>
        <v>0</v>
      </c>
      <c r="BA1183" s="39"/>
      <c r="BB1183" s="41">
        <f t="shared" si="526"/>
        <v>0</v>
      </c>
      <c r="BC1183" s="47"/>
      <c r="BD1183" s="41">
        <f t="shared" si="545"/>
        <v>0</v>
      </c>
      <c r="BE1183" s="39"/>
      <c r="BF1183" s="47"/>
    </row>
    <row r="1184" spans="1:58" ht="15.75" customHeight="1" x14ac:dyDescent="0.25">
      <c r="A1184" s="44">
        <v>2016</v>
      </c>
      <c r="B1184" s="39">
        <v>171245</v>
      </c>
      <c r="C1184" s="38" t="s">
        <v>145</v>
      </c>
      <c r="D1184" s="38" t="s">
        <v>75</v>
      </c>
      <c r="E1184" s="39"/>
      <c r="F1184" s="42">
        <f t="shared" si="527"/>
        <v>0</v>
      </c>
      <c r="G1184" s="47"/>
      <c r="H1184" s="42">
        <f t="shared" si="528"/>
        <v>0</v>
      </c>
      <c r="I1184" s="39"/>
      <c r="J1184" s="41">
        <f t="shared" si="529"/>
        <v>0</v>
      </c>
      <c r="K1184" s="47"/>
      <c r="L1184" s="41">
        <f t="shared" si="530"/>
        <v>0</v>
      </c>
      <c r="M1184" s="39"/>
      <c r="N1184" s="41">
        <f t="shared" si="531"/>
        <v>0</v>
      </c>
      <c r="O1184" s="47"/>
      <c r="P1184" s="41">
        <f t="shared" si="532"/>
        <v>0</v>
      </c>
      <c r="Q1184" s="39"/>
      <c r="R1184" s="41">
        <f t="shared" si="533"/>
        <v>0</v>
      </c>
      <c r="S1184" s="47"/>
      <c r="T1184" s="41">
        <f t="shared" si="534"/>
        <v>0</v>
      </c>
      <c r="U1184" s="39"/>
      <c r="V1184" s="41">
        <f t="shared" si="535"/>
        <v>0</v>
      </c>
      <c r="W1184" s="47"/>
      <c r="X1184" s="41">
        <f t="shared" si="536"/>
        <v>0</v>
      </c>
      <c r="Y1184" s="39"/>
      <c r="Z1184" s="41">
        <f t="shared" si="537"/>
        <v>0</v>
      </c>
      <c r="AA1184" s="47"/>
      <c r="AB1184" s="41">
        <f t="shared" si="538"/>
        <v>0</v>
      </c>
      <c r="AC1184" s="39"/>
      <c r="AD1184" s="41">
        <f t="shared" si="520"/>
        <v>0</v>
      </c>
      <c r="AE1184" s="47"/>
      <c r="AF1184" s="41">
        <f t="shared" si="539"/>
        <v>0</v>
      </c>
      <c r="AG1184" s="39"/>
      <c r="AH1184" s="41">
        <f t="shared" si="521"/>
        <v>0</v>
      </c>
      <c r="AI1184" s="47"/>
      <c r="AJ1184" s="41">
        <f t="shared" si="540"/>
        <v>0</v>
      </c>
      <c r="AK1184" s="39"/>
      <c r="AL1184" s="41">
        <f t="shared" si="522"/>
        <v>0</v>
      </c>
      <c r="AM1184" s="47"/>
      <c r="AN1184" s="41">
        <f t="shared" si="541"/>
        <v>0</v>
      </c>
      <c r="AO1184" s="39"/>
      <c r="AP1184" s="41">
        <f t="shared" si="523"/>
        <v>0</v>
      </c>
      <c r="AQ1184" s="47"/>
      <c r="AR1184" s="41">
        <f t="shared" si="542"/>
        <v>0</v>
      </c>
      <c r="AS1184" s="39"/>
      <c r="AT1184" s="41">
        <f t="shared" si="524"/>
        <v>0</v>
      </c>
      <c r="AU1184" s="47"/>
      <c r="AV1184" s="41">
        <f t="shared" si="543"/>
        <v>0</v>
      </c>
      <c r="AW1184" s="39"/>
      <c r="AX1184" s="41">
        <f t="shared" si="525"/>
        <v>0</v>
      </c>
      <c r="AY1184" s="47"/>
      <c r="AZ1184" s="41">
        <f t="shared" si="544"/>
        <v>0</v>
      </c>
      <c r="BA1184" s="39"/>
      <c r="BB1184" s="41">
        <f t="shared" si="526"/>
        <v>0</v>
      </c>
      <c r="BC1184" s="47"/>
      <c r="BD1184" s="41">
        <f t="shared" si="545"/>
        <v>0</v>
      </c>
      <c r="BE1184" s="39"/>
      <c r="BF1184" s="47"/>
    </row>
    <row r="1185" spans="1:58" ht="15.75" customHeight="1" x14ac:dyDescent="0.25">
      <c r="A1185" s="44">
        <v>2016</v>
      </c>
      <c r="B1185" s="39">
        <v>171250</v>
      </c>
      <c r="C1185" s="38" t="s">
        <v>144</v>
      </c>
      <c r="D1185" s="38" t="s">
        <v>76</v>
      </c>
      <c r="E1185" s="39"/>
      <c r="F1185" s="42">
        <f t="shared" si="527"/>
        <v>0</v>
      </c>
      <c r="G1185" s="47"/>
      <c r="H1185" s="42">
        <f t="shared" si="528"/>
        <v>0</v>
      </c>
      <c r="I1185" s="39"/>
      <c r="J1185" s="41">
        <f t="shared" si="529"/>
        <v>0</v>
      </c>
      <c r="K1185" s="47"/>
      <c r="L1185" s="41">
        <f t="shared" si="530"/>
        <v>0</v>
      </c>
      <c r="M1185" s="39"/>
      <c r="N1185" s="41">
        <f t="shared" si="531"/>
        <v>0</v>
      </c>
      <c r="O1185" s="47"/>
      <c r="P1185" s="41">
        <f t="shared" si="532"/>
        <v>0</v>
      </c>
      <c r="Q1185" s="39"/>
      <c r="R1185" s="41">
        <f t="shared" si="533"/>
        <v>0</v>
      </c>
      <c r="S1185" s="47"/>
      <c r="T1185" s="41">
        <f t="shared" si="534"/>
        <v>0</v>
      </c>
      <c r="U1185" s="39"/>
      <c r="V1185" s="41">
        <f t="shared" si="535"/>
        <v>0</v>
      </c>
      <c r="W1185" s="47"/>
      <c r="X1185" s="41">
        <f t="shared" si="536"/>
        <v>0</v>
      </c>
      <c r="Y1185" s="39"/>
      <c r="Z1185" s="41">
        <f t="shared" si="537"/>
        <v>0</v>
      </c>
      <c r="AA1185" s="47"/>
      <c r="AB1185" s="41">
        <f t="shared" si="538"/>
        <v>0</v>
      </c>
      <c r="AC1185" s="39"/>
      <c r="AD1185" s="41">
        <f t="shared" si="520"/>
        <v>0</v>
      </c>
      <c r="AE1185" s="47"/>
      <c r="AF1185" s="41">
        <f t="shared" si="539"/>
        <v>0</v>
      </c>
      <c r="AG1185" s="39"/>
      <c r="AH1185" s="41">
        <f t="shared" si="521"/>
        <v>0</v>
      </c>
      <c r="AI1185" s="47"/>
      <c r="AJ1185" s="41">
        <f t="shared" si="540"/>
        <v>0</v>
      </c>
      <c r="AK1185" s="39"/>
      <c r="AL1185" s="41">
        <f t="shared" si="522"/>
        <v>0</v>
      </c>
      <c r="AM1185" s="47"/>
      <c r="AN1185" s="41">
        <f t="shared" si="541"/>
        <v>0</v>
      </c>
      <c r="AO1185" s="39"/>
      <c r="AP1185" s="41">
        <f t="shared" si="523"/>
        <v>0</v>
      </c>
      <c r="AQ1185" s="47"/>
      <c r="AR1185" s="41">
        <f t="shared" si="542"/>
        <v>0</v>
      </c>
      <c r="AS1185" s="39"/>
      <c r="AT1185" s="41">
        <f t="shared" si="524"/>
        <v>0</v>
      </c>
      <c r="AU1185" s="47"/>
      <c r="AV1185" s="41">
        <f t="shared" si="543"/>
        <v>0</v>
      </c>
      <c r="AW1185" s="39"/>
      <c r="AX1185" s="41">
        <f t="shared" si="525"/>
        <v>0</v>
      </c>
      <c r="AY1185" s="47"/>
      <c r="AZ1185" s="41">
        <f t="shared" si="544"/>
        <v>0</v>
      </c>
      <c r="BA1185" s="39"/>
      <c r="BB1185" s="41">
        <f t="shared" si="526"/>
        <v>0</v>
      </c>
      <c r="BC1185" s="47"/>
      <c r="BD1185" s="41">
        <f t="shared" si="545"/>
        <v>0</v>
      </c>
      <c r="BE1185" s="39"/>
      <c r="BF1185" s="47"/>
    </row>
    <row r="1186" spans="1:58" ht="15.75" customHeight="1" x14ac:dyDescent="0.25">
      <c r="A1186" s="44">
        <v>2016</v>
      </c>
      <c r="B1186" s="39">
        <v>171270</v>
      </c>
      <c r="C1186" s="38" t="s">
        <v>151</v>
      </c>
      <c r="D1186" s="38" t="s">
        <v>77</v>
      </c>
      <c r="E1186" s="39"/>
      <c r="F1186" s="42">
        <f t="shared" si="527"/>
        <v>0</v>
      </c>
      <c r="G1186" s="47"/>
      <c r="H1186" s="42">
        <f t="shared" si="528"/>
        <v>0</v>
      </c>
      <c r="I1186" s="39"/>
      <c r="J1186" s="41">
        <f t="shared" si="529"/>
        <v>0</v>
      </c>
      <c r="K1186" s="47"/>
      <c r="L1186" s="41">
        <f t="shared" si="530"/>
        <v>0</v>
      </c>
      <c r="M1186" s="39"/>
      <c r="N1186" s="41">
        <f t="shared" si="531"/>
        <v>0</v>
      </c>
      <c r="O1186" s="47"/>
      <c r="P1186" s="41">
        <f t="shared" si="532"/>
        <v>0</v>
      </c>
      <c r="Q1186" s="39"/>
      <c r="R1186" s="41">
        <f t="shared" si="533"/>
        <v>0</v>
      </c>
      <c r="S1186" s="47"/>
      <c r="T1186" s="41">
        <f t="shared" si="534"/>
        <v>0</v>
      </c>
      <c r="U1186" s="39"/>
      <c r="V1186" s="41">
        <f t="shared" si="535"/>
        <v>0</v>
      </c>
      <c r="W1186" s="47"/>
      <c r="X1186" s="41">
        <f t="shared" si="536"/>
        <v>0</v>
      </c>
      <c r="Y1186" s="39"/>
      <c r="Z1186" s="41">
        <f t="shared" si="537"/>
        <v>0</v>
      </c>
      <c r="AA1186" s="47"/>
      <c r="AB1186" s="41">
        <f t="shared" si="538"/>
        <v>0</v>
      </c>
      <c r="AC1186" s="39"/>
      <c r="AD1186" s="41">
        <f t="shared" si="520"/>
        <v>0</v>
      </c>
      <c r="AE1186" s="47"/>
      <c r="AF1186" s="41">
        <f t="shared" si="539"/>
        <v>0</v>
      </c>
      <c r="AG1186" s="39"/>
      <c r="AH1186" s="41">
        <f t="shared" si="521"/>
        <v>0</v>
      </c>
      <c r="AI1186" s="47"/>
      <c r="AJ1186" s="41">
        <f t="shared" si="540"/>
        <v>0</v>
      </c>
      <c r="AK1186" s="39"/>
      <c r="AL1186" s="41">
        <f t="shared" si="522"/>
        <v>0</v>
      </c>
      <c r="AM1186" s="47"/>
      <c r="AN1186" s="41">
        <f t="shared" si="541"/>
        <v>0</v>
      </c>
      <c r="AO1186" s="39"/>
      <c r="AP1186" s="41">
        <f t="shared" si="523"/>
        <v>0</v>
      </c>
      <c r="AQ1186" s="47"/>
      <c r="AR1186" s="41">
        <f t="shared" si="542"/>
        <v>0</v>
      </c>
      <c r="AS1186" s="39"/>
      <c r="AT1186" s="41">
        <f t="shared" si="524"/>
        <v>0</v>
      </c>
      <c r="AU1186" s="47"/>
      <c r="AV1186" s="41">
        <f t="shared" si="543"/>
        <v>0</v>
      </c>
      <c r="AW1186" s="39"/>
      <c r="AX1186" s="41">
        <f t="shared" si="525"/>
        <v>0</v>
      </c>
      <c r="AY1186" s="47"/>
      <c r="AZ1186" s="41">
        <f t="shared" si="544"/>
        <v>0</v>
      </c>
      <c r="BA1186" s="39"/>
      <c r="BB1186" s="41">
        <f t="shared" si="526"/>
        <v>0</v>
      </c>
      <c r="BC1186" s="47"/>
      <c r="BD1186" s="41">
        <f t="shared" si="545"/>
        <v>0</v>
      </c>
      <c r="BE1186" s="39"/>
      <c r="BF1186" s="47"/>
    </row>
    <row r="1187" spans="1:58" ht="15.75" customHeight="1" x14ac:dyDescent="0.25">
      <c r="A1187" s="44">
        <v>2016</v>
      </c>
      <c r="B1187" s="39">
        <v>171280</v>
      </c>
      <c r="C1187" s="38" t="s">
        <v>145</v>
      </c>
      <c r="D1187" s="38" t="s">
        <v>78</v>
      </c>
      <c r="E1187" s="39"/>
      <c r="F1187" s="42">
        <f t="shared" si="527"/>
        <v>0</v>
      </c>
      <c r="G1187" s="47"/>
      <c r="H1187" s="42">
        <f t="shared" si="528"/>
        <v>0</v>
      </c>
      <c r="I1187" s="39"/>
      <c r="J1187" s="41">
        <f t="shared" si="529"/>
        <v>0</v>
      </c>
      <c r="K1187" s="47"/>
      <c r="L1187" s="41">
        <f t="shared" si="530"/>
        <v>0</v>
      </c>
      <c r="M1187" s="39"/>
      <c r="N1187" s="41">
        <f t="shared" si="531"/>
        <v>0</v>
      </c>
      <c r="O1187" s="47"/>
      <c r="P1187" s="41">
        <f t="shared" si="532"/>
        <v>0</v>
      </c>
      <c r="Q1187" s="39"/>
      <c r="R1187" s="41">
        <f t="shared" si="533"/>
        <v>0</v>
      </c>
      <c r="S1187" s="47"/>
      <c r="T1187" s="41">
        <f t="shared" si="534"/>
        <v>0</v>
      </c>
      <c r="U1187" s="39"/>
      <c r="V1187" s="41">
        <f t="shared" si="535"/>
        <v>0</v>
      </c>
      <c r="W1187" s="47"/>
      <c r="X1187" s="41">
        <f t="shared" si="536"/>
        <v>0</v>
      </c>
      <c r="Y1187" s="39"/>
      <c r="Z1187" s="41">
        <f t="shared" si="537"/>
        <v>0</v>
      </c>
      <c r="AA1187" s="47"/>
      <c r="AB1187" s="41">
        <f t="shared" si="538"/>
        <v>0</v>
      </c>
      <c r="AC1187" s="39"/>
      <c r="AD1187" s="41">
        <f t="shared" si="520"/>
        <v>0</v>
      </c>
      <c r="AE1187" s="47"/>
      <c r="AF1187" s="41">
        <f t="shared" si="539"/>
        <v>0</v>
      </c>
      <c r="AG1187" s="39"/>
      <c r="AH1187" s="41">
        <f t="shared" si="521"/>
        <v>0</v>
      </c>
      <c r="AI1187" s="47"/>
      <c r="AJ1187" s="41">
        <f t="shared" si="540"/>
        <v>0</v>
      </c>
      <c r="AK1187" s="39"/>
      <c r="AL1187" s="41">
        <f t="shared" si="522"/>
        <v>0</v>
      </c>
      <c r="AM1187" s="47"/>
      <c r="AN1187" s="41">
        <f t="shared" si="541"/>
        <v>0</v>
      </c>
      <c r="AO1187" s="39"/>
      <c r="AP1187" s="41">
        <f t="shared" si="523"/>
        <v>0</v>
      </c>
      <c r="AQ1187" s="47"/>
      <c r="AR1187" s="41">
        <f t="shared" si="542"/>
        <v>0</v>
      </c>
      <c r="AS1187" s="39"/>
      <c r="AT1187" s="41">
        <f t="shared" si="524"/>
        <v>0</v>
      </c>
      <c r="AU1187" s="47"/>
      <c r="AV1187" s="41">
        <f t="shared" si="543"/>
        <v>0</v>
      </c>
      <c r="AW1187" s="39"/>
      <c r="AX1187" s="41">
        <f t="shared" si="525"/>
        <v>0</v>
      </c>
      <c r="AY1187" s="47"/>
      <c r="AZ1187" s="41">
        <f t="shared" si="544"/>
        <v>0</v>
      </c>
      <c r="BA1187" s="39"/>
      <c r="BB1187" s="41">
        <f t="shared" si="526"/>
        <v>0</v>
      </c>
      <c r="BC1187" s="47"/>
      <c r="BD1187" s="41">
        <f t="shared" si="545"/>
        <v>0</v>
      </c>
      <c r="BE1187" s="39"/>
      <c r="BF1187" s="47"/>
    </row>
    <row r="1188" spans="1:58" ht="15.75" customHeight="1" x14ac:dyDescent="0.25">
      <c r="A1188" s="44">
        <v>2016</v>
      </c>
      <c r="B1188" s="39">
        <v>171320</v>
      </c>
      <c r="C1188" s="38" t="s">
        <v>148</v>
      </c>
      <c r="D1188" s="38" t="s">
        <v>79</v>
      </c>
      <c r="E1188" s="39"/>
      <c r="F1188" s="42">
        <f t="shared" si="527"/>
        <v>0</v>
      </c>
      <c r="G1188" s="47"/>
      <c r="H1188" s="42">
        <f t="shared" si="528"/>
        <v>0</v>
      </c>
      <c r="I1188" s="39"/>
      <c r="J1188" s="41">
        <f t="shared" si="529"/>
        <v>0</v>
      </c>
      <c r="K1188" s="47"/>
      <c r="L1188" s="41">
        <f t="shared" si="530"/>
        <v>0</v>
      </c>
      <c r="M1188" s="39"/>
      <c r="N1188" s="41">
        <f t="shared" si="531"/>
        <v>0</v>
      </c>
      <c r="O1188" s="47"/>
      <c r="P1188" s="41">
        <f t="shared" si="532"/>
        <v>0</v>
      </c>
      <c r="Q1188" s="39"/>
      <c r="R1188" s="41">
        <f t="shared" si="533"/>
        <v>0</v>
      </c>
      <c r="S1188" s="47"/>
      <c r="T1188" s="41">
        <f t="shared" si="534"/>
        <v>0</v>
      </c>
      <c r="U1188" s="39"/>
      <c r="V1188" s="41">
        <f t="shared" si="535"/>
        <v>0</v>
      </c>
      <c r="W1188" s="47"/>
      <c r="X1188" s="41">
        <f t="shared" si="536"/>
        <v>0</v>
      </c>
      <c r="Y1188" s="39"/>
      <c r="Z1188" s="41">
        <f t="shared" si="537"/>
        <v>0</v>
      </c>
      <c r="AA1188" s="47"/>
      <c r="AB1188" s="41">
        <f t="shared" si="538"/>
        <v>0</v>
      </c>
      <c r="AC1188" s="39"/>
      <c r="AD1188" s="41">
        <f t="shared" si="520"/>
        <v>0</v>
      </c>
      <c r="AE1188" s="47"/>
      <c r="AF1188" s="41">
        <f t="shared" si="539"/>
        <v>0</v>
      </c>
      <c r="AG1188" s="39"/>
      <c r="AH1188" s="41">
        <f t="shared" si="521"/>
        <v>0</v>
      </c>
      <c r="AI1188" s="47"/>
      <c r="AJ1188" s="41">
        <f t="shared" si="540"/>
        <v>0</v>
      </c>
      <c r="AK1188" s="39"/>
      <c r="AL1188" s="41">
        <f t="shared" si="522"/>
        <v>0</v>
      </c>
      <c r="AM1188" s="47"/>
      <c r="AN1188" s="41">
        <f t="shared" si="541"/>
        <v>0</v>
      </c>
      <c r="AO1188" s="39"/>
      <c r="AP1188" s="41">
        <f t="shared" si="523"/>
        <v>0</v>
      </c>
      <c r="AQ1188" s="47"/>
      <c r="AR1188" s="41">
        <f t="shared" si="542"/>
        <v>0</v>
      </c>
      <c r="AS1188" s="39"/>
      <c r="AT1188" s="41">
        <f t="shared" si="524"/>
        <v>0</v>
      </c>
      <c r="AU1188" s="47"/>
      <c r="AV1188" s="41">
        <f t="shared" si="543"/>
        <v>0</v>
      </c>
      <c r="AW1188" s="39"/>
      <c r="AX1188" s="41">
        <f t="shared" si="525"/>
        <v>0</v>
      </c>
      <c r="AY1188" s="47"/>
      <c r="AZ1188" s="41">
        <f t="shared" si="544"/>
        <v>0</v>
      </c>
      <c r="BA1188" s="39"/>
      <c r="BB1188" s="41">
        <f t="shared" si="526"/>
        <v>0</v>
      </c>
      <c r="BC1188" s="47"/>
      <c r="BD1188" s="41">
        <f t="shared" si="545"/>
        <v>0</v>
      </c>
      <c r="BE1188" s="39"/>
      <c r="BF1188" s="47"/>
    </row>
    <row r="1189" spans="1:58" ht="15.75" customHeight="1" x14ac:dyDescent="0.25">
      <c r="A1189" s="44">
        <v>2016</v>
      </c>
      <c r="B1189" s="39">
        <v>171330</v>
      </c>
      <c r="C1189" s="38" t="s">
        <v>148</v>
      </c>
      <c r="D1189" s="38" t="s">
        <v>80</v>
      </c>
      <c r="E1189" s="39"/>
      <c r="F1189" s="42">
        <f t="shared" si="527"/>
        <v>0</v>
      </c>
      <c r="G1189" s="47"/>
      <c r="H1189" s="42">
        <f t="shared" si="528"/>
        <v>0</v>
      </c>
      <c r="I1189" s="39"/>
      <c r="J1189" s="41">
        <f t="shared" si="529"/>
        <v>0</v>
      </c>
      <c r="K1189" s="47"/>
      <c r="L1189" s="41">
        <f t="shared" si="530"/>
        <v>0</v>
      </c>
      <c r="M1189" s="39"/>
      <c r="N1189" s="41">
        <f t="shared" si="531"/>
        <v>0</v>
      </c>
      <c r="O1189" s="47"/>
      <c r="P1189" s="41">
        <f t="shared" si="532"/>
        <v>0</v>
      </c>
      <c r="Q1189" s="39"/>
      <c r="R1189" s="41">
        <f t="shared" si="533"/>
        <v>0</v>
      </c>
      <c r="S1189" s="47"/>
      <c r="T1189" s="41">
        <f t="shared" si="534"/>
        <v>0</v>
      </c>
      <c r="U1189" s="39"/>
      <c r="V1189" s="41">
        <f t="shared" si="535"/>
        <v>0</v>
      </c>
      <c r="W1189" s="47"/>
      <c r="X1189" s="41">
        <f t="shared" si="536"/>
        <v>0</v>
      </c>
      <c r="Y1189" s="39"/>
      <c r="Z1189" s="41">
        <f t="shared" si="537"/>
        <v>0</v>
      </c>
      <c r="AA1189" s="47"/>
      <c r="AB1189" s="41">
        <f t="shared" si="538"/>
        <v>0</v>
      </c>
      <c r="AC1189" s="39"/>
      <c r="AD1189" s="41">
        <f t="shared" si="520"/>
        <v>0</v>
      </c>
      <c r="AE1189" s="47"/>
      <c r="AF1189" s="41">
        <f t="shared" si="539"/>
        <v>0</v>
      </c>
      <c r="AG1189" s="39"/>
      <c r="AH1189" s="41">
        <f t="shared" si="521"/>
        <v>0</v>
      </c>
      <c r="AI1189" s="47"/>
      <c r="AJ1189" s="41">
        <f t="shared" si="540"/>
        <v>0</v>
      </c>
      <c r="AK1189" s="39"/>
      <c r="AL1189" s="41">
        <f t="shared" si="522"/>
        <v>0</v>
      </c>
      <c r="AM1189" s="47"/>
      <c r="AN1189" s="41">
        <f t="shared" si="541"/>
        <v>0</v>
      </c>
      <c r="AO1189" s="39"/>
      <c r="AP1189" s="41">
        <f t="shared" si="523"/>
        <v>0</v>
      </c>
      <c r="AQ1189" s="47"/>
      <c r="AR1189" s="41">
        <f t="shared" si="542"/>
        <v>0</v>
      </c>
      <c r="AS1189" s="39"/>
      <c r="AT1189" s="41">
        <f t="shared" si="524"/>
        <v>0</v>
      </c>
      <c r="AU1189" s="47"/>
      <c r="AV1189" s="41">
        <f t="shared" si="543"/>
        <v>0</v>
      </c>
      <c r="AW1189" s="39"/>
      <c r="AX1189" s="41">
        <f t="shared" si="525"/>
        <v>0</v>
      </c>
      <c r="AY1189" s="47"/>
      <c r="AZ1189" s="41">
        <f t="shared" si="544"/>
        <v>0</v>
      </c>
      <c r="BA1189" s="39"/>
      <c r="BB1189" s="41">
        <f t="shared" si="526"/>
        <v>0</v>
      </c>
      <c r="BC1189" s="47"/>
      <c r="BD1189" s="41">
        <f t="shared" si="545"/>
        <v>0</v>
      </c>
      <c r="BE1189" s="39"/>
      <c r="BF1189" s="47"/>
    </row>
    <row r="1190" spans="1:58" ht="15.75" customHeight="1" x14ac:dyDescent="0.25">
      <c r="A1190" s="44">
        <v>2016</v>
      </c>
      <c r="B1190" s="39">
        <v>171360</v>
      </c>
      <c r="C1190" s="38" t="s">
        <v>151</v>
      </c>
      <c r="D1190" s="38" t="s">
        <v>81</v>
      </c>
      <c r="E1190" s="39"/>
      <c r="F1190" s="42">
        <f t="shared" si="527"/>
        <v>0</v>
      </c>
      <c r="G1190" s="47"/>
      <c r="H1190" s="42">
        <f t="shared" si="528"/>
        <v>0</v>
      </c>
      <c r="I1190" s="39"/>
      <c r="J1190" s="41">
        <f t="shared" si="529"/>
        <v>0</v>
      </c>
      <c r="K1190" s="47"/>
      <c r="L1190" s="41">
        <f t="shared" si="530"/>
        <v>0</v>
      </c>
      <c r="M1190" s="39"/>
      <c r="N1190" s="41">
        <f t="shared" si="531"/>
        <v>0</v>
      </c>
      <c r="O1190" s="47"/>
      <c r="P1190" s="41">
        <f t="shared" si="532"/>
        <v>0</v>
      </c>
      <c r="Q1190" s="39"/>
      <c r="R1190" s="41">
        <f t="shared" si="533"/>
        <v>0</v>
      </c>
      <c r="S1190" s="47"/>
      <c r="T1190" s="41">
        <f t="shared" si="534"/>
        <v>0</v>
      </c>
      <c r="U1190" s="39"/>
      <c r="V1190" s="41">
        <f t="shared" si="535"/>
        <v>0</v>
      </c>
      <c r="W1190" s="47"/>
      <c r="X1190" s="41">
        <f t="shared" si="536"/>
        <v>0</v>
      </c>
      <c r="Y1190" s="39"/>
      <c r="Z1190" s="41">
        <f t="shared" si="537"/>
        <v>0</v>
      </c>
      <c r="AA1190" s="47"/>
      <c r="AB1190" s="41">
        <f t="shared" si="538"/>
        <v>0</v>
      </c>
      <c r="AC1190" s="39"/>
      <c r="AD1190" s="41">
        <f t="shared" si="520"/>
        <v>0</v>
      </c>
      <c r="AE1190" s="47"/>
      <c r="AF1190" s="41">
        <f t="shared" si="539"/>
        <v>0</v>
      </c>
      <c r="AG1190" s="39"/>
      <c r="AH1190" s="41">
        <f t="shared" si="521"/>
        <v>0</v>
      </c>
      <c r="AI1190" s="47"/>
      <c r="AJ1190" s="41">
        <f t="shared" si="540"/>
        <v>0</v>
      </c>
      <c r="AK1190" s="39"/>
      <c r="AL1190" s="41">
        <f t="shared" si="522"/>
        <v>0</v>
      </c>
      <c r="AM1190" s="47"/>
      <c r="AN1190" s="41">
        <f t="shared" si="541"/>
        <v>0</v>
      </c>
      <c r="AO1190" s="39"/>
      <c r="AP1190" s="41">
        <f t="shared" si="523"/>
        <v>0</v>
      </c>
      <c r="AQ1190" s="47"/>
      <c r="AR1190" s="41">
        <f t="shared" si="542"/>
        <v>0</v>
      </c>
      <c r="AS1190" s="39"/>
      <c r="AT1190" s="41">
        <f t="shared" si="524"/>
        <v>0</v>
      </c>
      <c r="AU1190" s="47"/>
      <c r="AV1190" s="41">
        <f t="shared" si="543"/>
        <v>0</v>
      </c>
      <c r="AW1190" s="39"/>
      <c r="AX1190" s="41">
        <f t="shared" si="525"/>
        <v>0</v>
      </c>
      <c r="AY1190" s="47"/>
      <c r="AZ1190" s="41">
        <f t="shared" si="544"/>
        <v>0</v>
      </c>
      <c r="BA1190" s="39"/>
      <c r="BB1190" s="41">
        <f t="shared" si="526"/>
        <v>0</v>
      </c>
      <c r="BC1190" s="47"/>
      <c r="BD1190" s="41">
        <f t="shared" si="545"/>
        <v>0</v>
      </c>
      <c r="BE1190" s="39"/>
      <c r="BF1190" s="47"/>
    </row>
    <row r="1191" spans="1:58" ht="15.75" customHeight="1" x14ac:dyDescent="0.25">
      <c r="A1191" s="44">
        <v>2016</v>
      </c>
      <c r="B1191" s="39">
        <v>171370</v>
      </c>
      <c r="C1191" s="38" t="s">
        <v>144</v>
      </c>
      <c r="D1191" s="38" t="s">
        <v>82</v>
      </c>
      <c r="E1191" s="39"/>
      <c r="F1191" s="42">
        <f t="shared" si="527"/>
        <v>0</v>
      </c>
      <c r="G1191" s="47"/>
      <c r="H1191" s="42">
        <f t="shared" si="528"/>
        <v>0</v>
      </c>
      <c r="I1191" s="39"/>
      <c r="J1191" s="41">
        <f t="shared" si="529"/>
        <v>0</v>
      </c>
      <c r="K1191" s="47"/>
      <c r="L1191" s="41">
        <f t="shared" si="530"/>
        <v>0</v>
      </c>
      <c r="M1191" s="39"/>
      <c r="N1191" s="41">
        <f t="shared" si="531"/>
        <v>0</v>
      </c>
      <c r="O1191" s="47"/>
      <c r="P1191" s="41">
        <f t="shared" si="532"/>
        <v>0</v>
      </c>
      <c r="Q1191" s="39"/>
      <c r="R1191" s="41">
        <f t="shared" si="533"/>
        <v>0</v>
      </c>
      <c r="S1191" s="47"/>
      <c r="T1191" s="41">
        <f t="shared" si="534"/>
        <v>0</v>
      </c>
      <c r="U1191" s="39"/>
      <c r="V1191" s="41">
        <f t="shared" si="535"/>
        <v>0</v>
      </c>
      <c r="W1191" s="47"/>
      <c r="X1191" s="41">
        <f t="shared" si="536"/>
        <v>0</v>
      </c>
      <c r="Y1191" s="39"/>
      <c r="Z1191" s="41">
        <f t="shared" si="537"/>
        <v>0</v>
      </c>
      <c r="AA1191" s="47"/>
      <c r="AB1191" s="41">
        <f t="shared" si="538"/>
        <v>0</v>
      </c>
      <c r="AC1191" s="39"/>
      <c r="AD1191" s="41">
        <f t="shared" si="520"/>
        <v>0</v>
      </c>
      <c r="AE1191" s="47"/>
      <c r="AF1191" s="41">
        <f t="shared" si="539"/>
        <v>0</v>
      </c>
      <c r="AG1191" s="39"/>
      <c r="AH1191" s="41">
        <f t="shared" si="521"/>
        <v>0</v>
      </c>
      <c r="AI1191" s="47"/>
      <c r="AJ1191" s="41">
        <f t="shared" si="540"/>
        <v>0</v>
      </c>
      <c r="AK1191" s="39"/>
      <c r="AL1191" s="41">
        <f t="shared" si="522"/>
        <v>0</v>
      </c>
      <c r="AM1191" s="47"/>
      <c r="AN1191" s="41">
        <f t="shared" si="541"/>
        <v>0</v>
      </c>
      <c r="AO1191" s="39"/>
      <c r="AP1191" s="41">
        <f t="shared" si="523"/>
        <v>0</v>
      </c>
      <c r="AQ1191" s="47"/>
      <c r="AR1191" s="41">
        <f t="shared" si="542"/>
        <v>0</v>
      </c>
      <c r="AS1191" s="39"/>
      <c r="AT1191" s="41">
        <f t="shared" si="524"/>
        <v>0</v>
      </c>
      <c r="AU1191" s="47"/>
      <c r="AV1191" s="41">
        <f t="shared" si="543"/>
        <v>0</v>
      </c>
      <c r="AW1191" s="39"/>
      <c r="AX1191" s="41">
        <f t="shared" si="525"/>
        <v>0</v>
      </c>
      <c r="AY1191" s="47"/>
      <c r="AZ1191" s="41">
        <f t="shared" si="544"/>
        <v>0</v>
      </c>
      <c r="BA1191" s="39"/>
      <c r="BB1191" s="41">
        <f t="shared" si="526"/>
        <v>0</v>
      </c>
      <c r="BC1191" s="47"/>
      <c r="BD1191" s="41">
        <f t="shared" si="545"/>
        <v>0</v>
      </c>
      <c r="BE1191" s="39"/>
      <c r="BF1191" s="47"/>
    </row>
    <row r="1192" spans="1:58" ht="15.75" customHeight="1" x14ac:dyDescent="0.25">
      <c r="A1192" s="44">
        <v>2016</v>
      </c>
      <c r="B1192" s="39">
        <v>171395</v>
      </c>
      <c r="C1192" s="38" t="s">
        <v>149</v>
      </c>
      <c r="D1192" s="38" t="s">
        <v>83</v>
      </c>
      <c r="E1192" s="39"/>
      <c r="F1192" s="42">
        <f t="shared" si="527"/>
        <v>0</v>
      </c>
      <c r="G1192" s="47"/>
      <c r="H1192" s="42">
        <f t="shared" si="528"/>
        <v>0</v>
      </c>
      <c r="I1192" s="39"/>
      <c r="J1192" s="41">
        <f t="shared" si="529"/>
        <v>0</v>
      </c>
      <c r="K1192" s="47"/>
      <c r="L1192" s="41">
        <f t="shared" si="530"/>
        <v>0</v>
      </c>
      <c r="M1192" s="39"/>
      <c r="N1192" s="41">
        <f t="shared" si="531"/>
        <v>0</v>
      </c>
      <c r="O1192" s="47"/>
      <c r="P1192" s="41">
        <f t="shared" si="532"/>
        <v>0</v>
      </c>
      <c r="Q1192" s="39"/>
      <c r="R1192" s="41">
        <f t="shared" si="533"/>
        <v>0</v>
      </c>
      <c r="S1192" s="47"/>
      <c r="T1192" s="41">
        <f t="shared" si="534"/>
        <v>0</v>
      </c>
      <c r="U1192" s="39"/>
      <c r="V1192" s="41">
        <f t="shared" si="535"/>
        <v>0</v>
      </c>
      <c r="W1192" s="47"/>
      <c r="X1192" s="41">
        <f t="shared" si="536"/>
        <v>0</v>
      </c>
      <c r="Y1192" s="39"/>
      <c r="Z1192" s="41">
        <f t="shared" si="537"/>
        <v>0</v>
      </c>
      <c r="AA1192" s="47"/>
      <c r="AB1192" s="41">
        <f t="shared" si="538"/>
        <v>0</v>
      </c>
      <c r="AC1192" s="39"/>
      <c r="AD1192" s="41">
        <f t="shared" si="520"/>
        <v>0</v>
      </c>
      <c r="AE1192" s="47"/>
      <c r="AF1192" s="41">
        <f t="shared" si="539"/>
        <v>0</v>
      </c>
      <c r="AG1192" s="39"/>
      <c r="AH1192" s="41">
        <f t="shared" si="521"/>
        <v>0</v>
      </c>
      <c r="AI1192" s="47"/>
      <c r="AJ1192" s="41">
        <f t="shared" si="540"/>
        <v>0</v>
      </c>
      <c r="AK1192" s="39"/>
      <c r="AL1192" s="41">
        <f t="shared" si="522"/>
        <v>0</v>
      </c>
      <c r="AM1192" s="47"/>
      <c r="AN1192" s="41">
        <f t="shared" si="541"/>
        <v>0</v>
      </c>
      <c r="AO1192" s="39"/>
      <c r="AP1192" s="41">
        <f t="shared" si="523"/>
        <v>0</v>
      </c>
      <c r="AQ1192" s="47"/>
      <c r="AR1192" s="41">
        <f t="shared" si="542"/>
        <v>0</v>
      </c>
      <c r="AS1192" s="39"/>
      <c r="AT1192" s="41">
        <f t="shared" si="524"/>
        <v>0</v>
      </c>
      <c r="AU1192" s="47"/>
      <c r="AV1192" s="41">
        <f t="shared" si="543"/>
        <v>0</v>
      </c>
      <c r="AW1192" s="39"/>
      <c r="AX1192" s="41">
        <f t="shared" si="525"/>
        <v>0</v>
      </c>
      <c r="AY1192" s="47"/>
      <c r="AZ1192" s="41">
        <f t="shared" si="544"/>
        <v>0</v>
      </c>
      <c r="BA1192" s="39"/>
      <c r="BB1192" s="41">
        <f t="shared" si="526"/>
        <v>0</v>
      </c>
      <c r="BC1192" s="47"/>
      <c r="BD1192" s="41">
        <f t="shared" si="545"/>
        <v>0</v>
      </c>
      <c r="BE1192" s="39"/>
      <c r="BF1192" s="47"/>
    </row>
    <row r="1193" spans="1:58" ht="15.75" customHeight="1" x14ac:dyDescent="0.25">
      <c r="A1193" s="44">
        <v>2016</v>
      </c>
      <c r="B1193" s="39">
        <v>171420</v>
      </c>
      <c r="C1193" s="38" t="s">
        <v>151</v>
      </c>
      <c r="D1193" s="38" t="s">
        <v>84</v>
      </c>
      <c r="E1193" s="39"/>
      <c r="F1193" s="42">
        <f t="shared" si="527"/>
        <v>0</v>
      </c>
      <c r="G1193" s="47"/>
      <c r="H1193" s="42">
        <f t="shared" si="528"/>
        <v>0</v>
      </c>
      <c r="I1193" s="39"/>
      <c r="J1193" s="41">
        <f t="shared" si="529"/>
        <v>0</v>
      </c>
      <c r="K1193" s="47"/>
      <c r="L1193" s="41">
        <f t="shared" si="530"/>
        <v>0</v>
      </c>
      <c r="M1193" s="39"/>
      <c r="N1193" s="41">
        <f t="shared" si="531"/>
        <v>0</v>
      </c>
      <c r="O1193" s="47"/>
      <c r="P1193" s="41">
        <f t="shared" si="532"/>
        <v>0</v>
      </c>
      <c r="Q1193" s="39"/>
      <c r="R1193" s="41">
        <f t="shared" si="533"/>
        <v>0</v>
      </c>
      <c r="S1193" s="47"/>
      <c r="T1193" s="41">
        <f t="shared" si="534"/>
        <v>0</v>
      </c>
      <c r="U1193" s="39"/>
      <c r="V1193" s="41">
        <f t="shared" si="535"/>
        <v>0</v>
      </c>
      <c r="W1193" s="47"/>
      <c r="X1193" s="41">
        <f t="shared" si="536"/>
        <v>0</v>
      </c>
      <c r="Y1193" s="39"/>
      <c r="Z1193" s="41">
        <f t="shared" si="537"/>
        <v>0</v>
      </c>
      <c r="AA1193" s="47"/>
      <c r="AB1193" s="41">
        <f t="shared" si="538"/>
        <v>0</v>
      </c>
      <c r="AC1193" s="39"/>
      <c r="AD1193" s="41">
        <f t="shared" si="520"/>
        <v>0</v>
      </c>
      <c r="AE1193" s="47"/>
      <c r="AF1193" s="41">
        <f t="shared" si="539"/>
        <v>0</v>
      </c>
      <c r="AG1193" s="39"/>
      <c r="AH1193" s="41">
        <f t="shared" si="521"/>
        <v>0</v>
      </c>
      <c r="AI1193" s="47"/>
      <c r="AJ1193" s="41">
        <f t="shared" si="540"/>
        <v>0</v>
      </c>
      <c r="AK1193" s="39"/>
      <c r="AL1193" s="41">
        <f t="shared" si="522"/>
        <v>0</v>
      </c>
      <c r="AM1193" s="47"/>
      <c r="AN1193" s="41">
        <f t="shared" si="541"/>
        <v>0</v>
      </c>
      <c r="AO1193" s="39"/>
      <c r="AP1193" s="41">
        <f t="shared" si="523"/>
        <v>0</v>
      </c>
      <c r="AQ1193" s="47"/>
      <c r="AR1193" s="41">
        <f t="shared" si="542"/>
        <v>0</v>
      </c>
      <c r="AS1193" s="39"/>
      <c r="AT1193" s="41">
        <f t="shared" si="524"/>
        <v>0</v>
      </c>
      <c r="AU1193" s="47"/>
      <c r="AV1193" s="41">
        <f t="shared" si="543"/>
        <v>0</v>
      </c>
      <c r="AW1193" s="39"/>
      <c r="AX1193" s="41">
        <f t="shared" si="525"/>
        <v>0</v>
      </c>
      <c r="AY1193" s="47"/>
      <c r="AZ1193" s="41">
        <f t="shared" si="544"/>
        <v>0</v>
      </c>
      <c r="BA1193" s="39"/>
      <c r="BB1193" s="41">
        <f t="shared" si="526"/>
        <v>0</v>
      </c>
      <c r="BC1193" s="47"/>
      <c r="BD1193" s="41">
        <f t="shared" si="545"/>
        <v>0</v>
      </c>
      <c r="BE1193" s="39"/>
      <c r="BF1193" s="47"/>
    </row>
    <row r="1194" spans="1:58" ht="15.75" customHeight="1" x14ac:dyDescent="0.25">
      <c r="A1194" s="44">
        <v>2016</v>
      </c>
      <c r="B1194" s="39">
        <v>171430</v>
      </c>
      <c r="C1194" s="38" t="s">
        <v>145</v>
      </c>
      <c r="D1194" s="38" t="s">
        <v>85</v>
      </c>
      <c r="E1194" s="39"/>
      <c r="F1194" s="42">
        <f t="shared" si="527"/>
        <v>0</v>
      </c>
      <c r="G1194" s="47"/>
      <c r="H1194" s="42">
        <f t="shared" si="528"/>
        <v>0</v>
      </c>
      <c r="I1194" s="39"/>
      <c r="J1194" s="41">
        <f t="shared" si="529"/>
        <v>0</v>
      </c>
      <c r="K1194" s="47"/>
      <c r="L1194" s="41">
        <f t="shared" si="530"/>
        <v>0</v>
      </c>
      <c r="M1194" s="39"/>
      <c r="N1194" s="41">
        <f t="shared" si="531"/>
        <v>0</v>
      </c>
      <c r="O1194" s="47"/>
      <c r="P1194" s="41">
        <f t="shared" si="532"/>
        <v>0</v>
      </c>
      <c r="Q1194" s="39"/>
      <c r="R1194" s="41">
        <f t="shared" si="533"/>
        <v>0</v>
      </c>
      <c r="S1194" s="47"/>
      <c r="T1194" s="41">
        <f t="shared" si="534"/>
        <v>0</v>
      </c>
      <c r="U1194" s="39"/>
      <c r="V1194" s="41">
        <f t="shared" si="535"/>
        <v>0</v>
      </c>
      <c r="W1194" s="47"/>
      <c r="X1194" s="41">
        <f t="shared" si="536"/>
        <v>0</v>
      </c>
      <c r="Y1194" s="39"/>
      <c r="Z1194" s="41">
        <f t="shared" si="537"/>
        <v>0</v>
      </c>
      <c r="AA1194" s="47"/>
      <c r="AB1194" s="41">
        <f t="shared" si="538"/>
        <v>0</v>
      </c>
      <c r="AC1194" s="39"/>
      <c r="AD1194" s="41">
        <f t="shared" si="520"/>
        <v>0</v>
      </c>
      <c r="AE1194" s="47"/>
      <c r="AF1194" s="41">
        <f t="shared" si="539"/>
        <v>0</v>
      </c>
      <c r="AG1194" s="39"/>
      <c r="AH1194" s="41">
        <f t="shared" si="521"/>
        <v>0</v>
      </c>
      <c r="AI1194" s="47"/>
      <c r="AJ1194" s="41">
        <f t="shared" si="540"/>
        <v>0</v>
      </c>
      <c r="AK1194" s="39"/>
      <c r="AL1194" s="41">
        <f t="shared" si="522"/>
        <v>0</v>
      </c>
      <c r="AM1194" s="47"/>
      <c r="AN1194" s="41">
        <f t="shared" si="541"/>
        <v>0</v>
      </c>
      <c r="AO1194" s="39"/>
      <c r="AP1194" s="41">
        <f t="shared" si="523"/>
        <v>0</v>
      </c>
      <c r="AQ1194" s="47"/>
      <c r="AR1194" s="41">
        <f t="shared" si="542"/>
        <v>0</v>
      </c>
      <c r="AS1194" s="39"/>
      <c r="AT1194" s="41">
        <f t="shared" si="524"/>
        <v>0</v>
      </c>
      <c r="AU1194" s="47"/>
      <c r="AV1194" s="41">
        <f t="shared" si="543"/>
        <v>0</v>
      </c>
      <c r="AW1194" s="39"/>
      <c r="AX1194" s="41">
        <f t="shared" si="525"/>
        <v>0</v>
      </c>
      <c r="AY1194" s="47"/>
      <c r="AZ1194" s="41">
        <f t="shared" si="544"/>
        <v>0</v>
      </c>
      <c r="BA1194" s="39"/>
      <c r="BB1194" s="41">
        <f t="shared" si="526"/>
        <v>0</v>
      </c>
      <c r="BC1194" s="47"/>
      <c r="BD1194" s="41">
        <f t="shared" si="545"/>
        <v>0</v>
      </c>
      <c r="BE1194" s="39"/>
      <c r="BF1194" s="47"/>
    </row>
    <row r="1195" spans="1:58" ht="15.75" customHeight="1" x14ac:dyDescent="0.25">
      <c r="A1195" s="44">
        <v>2016</v>
      </c>
      <c r="B1195" s="39">
        <v>171488</v>
      </c>
      <c r="C1195" s="38" t="s">
        <v>149</v>
      </c>
      <c r="D1195" s="38" t="s">
        <v>86</v>
      </c>
      <c r="E1195" s="39"/>
      <c r="F1195" s="42">
        <f t="shared" si="527"/>
        <v>0</v>
      </c>
      <c r="G1195" s="47"/>
      <c r="H1195" s="42">
        <f t="shared" si="528"/>
        <v>0</v>
      </c>
      <c r="I1195" s="39"/>
      <c r="J1195" s="41">
        <f t="shared" si="529"/>
        <v>0</v>
      </c>
      <c r="K1195" s="47"/>
      <c r="L1195" s="41">
        <f t="shared" si="530"/>
        <v>0</v>
      </c>
      <c r="M1195" s="39"/>
      <c r="N1195" s="41">
        <f t="shared" si="531"/>
        <v>0</v>
      </c>
      <c r="O1195" s="47"/>
      <c r="P1195" s="41">
        <f t="shared" si="532"/>
        <v>0</v>
      </c>
      <c r="Q1195" s="39"/>
      <c r="R1195" s="41">
        <f t="shared" si="533"/>
        <v>0</v>
      </c>
      <c r="S1195" s="47"/>
      <c r="T1195" s="41">
        <f t="shared" si="534"/>
        <v>0</v>
      </c>
      <c r="U1195" s="39"/>
      <c r="V1195" s="41">
        <f t="shared" si="535"/>
        <v>0</v>
      </c>
      <c r="W1195" s="47"/>
      <c r="X1195" s="41">
        <f t="shared" si="536"/>
        <v>0</v>
      </c>
      <c r="Y1195" s="39"/>
      <c r="Z1195" s="41">
        <f t="shared" si="537"/>
        <v>0</v>
      </c>
      <c r="AA1195" s="47"/>
      <c r="AB1195" s="41">
        <f t="shared" si="538"/>
        <v>0</v>
      </c>
      <c r="AC1195" s="39"/>
      <c r="AD1195" s="41">
        <f t="shared" ref="AD1195:AD1226" si="546">IFERROR(AC1195/$BE1195,0)</f>
        <v>0</v>
      </c>
      <c r="AE1195" s="47"/>
      <c r="AF1195" s="41">
        <f t="shared" si="539"/>
        <v>0</v>
      </c>
      <c r="AG1195" s="39"/>
      <c r="AH1195" s="41">
        <f t="shared" ref="AH1195:AH1226" si="547">IFERROR(AG1195/$BE1195,0)</f>
        <v>0</v>
      </c>
      <c r="AI1195" s="47"/>
      <c r="AJ1195" s="41">
        <f t="shared" si="540"/>
        <v>0</v>
      </c>
      <c r="AK1195" s="39"/>
      <c r="AL1195" s="41">
        <f t="shared" ref="AL1195:AL1226" si="548">IFERROR(AK1195/$BE1195,0)</f>
        <v>0</v>
      </c>
      <c r="AM1195" s="47"/>
      <c r="AN1195" s="41">
        <f t="shared" si="541"/>
        <v>0</v>
      </c>
      <c r="AO1195" s="39"/>
      <c r="AP1195" s="41">
        <f t="shared" ref="AP1195:AP1226" si="549">IFERROR(AO1195/$BE1195,0)</f>
        <v>0</v>
      </c>
      <c r="AQ1195" s="47"/>
      <c r="AR1195" s="41">
        <f t="shared" si="542"/>
        <v>0</v>
      </c>
      <c r="AS1195" s="39"/>
      <c r="AT1195" s="41">
        <f t="shared" ref="AT1195:AT1226" si="550">IFERROR(AS1195/$BE1195,0)</f>
        <v>0</v>
      </c>
      <c r="AU1195" s="47"/>
      <c r="AV1195" s="41">
        <f t="shared" si="543"/>
        <v>0</v>
      </c>
      <c r="AW1195" s="39"/>
      <c r="AX1195" s="41">
        <f t="shared" ref="AX1195:AX1226" si="551">IFERROR(AW1195/$BE1195,0)</f>
        <v>0</v>
      </c>
      <c r="AY1195" s="47"/>
      <c r="AZ1195" s="41">
        <f t="shared" si="544"/>
        <v>0</v>
      </c>
      <c r="BA1195" s="39"/>
      <c r="BB1195" s="41">
        <f t="shared" ref="BB1195:BB1226" si="552">IFERROR(BA1195/$BE1195,0)</f>
        <v>0</v>
      </c>
      <c r="BC1195" s="47"/>
      <c r="BD1195" s="41">
        <f t="shared" si="545"/>
        <v>0</v>
      </c>
      <c r="BE1195" s="39"/>
      <c r="BF1195" s="47"/>
    </row>
    <row r="1196" spans="1:58" ht="15.75" customHeight="1" x14ac:dyDescent="0.25">
      <c r="A1196" s="44">
        <v>2016</v>
      </c>
      <c r="B1196" s="39">
        <v>171500</v>
      </c>
      <c r="C1196" s="38" t="s">
        <v>144</v>
      </c>
      <c r="D1196" s="38" t="s">
        <v>87</v>
      </c>
      <c r="E1196" s="39"/>
      <c r="F1196" s="42">
        <f t="shared" si="527"/>
        <v>0</v>
      </c>
      <c r="G1196" s="47"/>
      <c r="H1196" s="42">
        <f t="shared" si="528"/>
        <v>0</v>
      </c>
      <c r="I1196" s="39"/>
      <c r="J1196" s="41">
        <f t="shared" si="529"/>
        <v>0</v>
      </c>
      <c r="K1196" s="47"/>
      <c r="L1196" s="41">
        <f t="shared" si="530"/>
        <v>0</v>
      </c>
      <c r="M1196" s="39"/>
      <c r="N1196" s="41">
        <f t="shared" si="531"/>
        <v>0</v>
      </c>
      <c r="O1196" s="47"/>
      <c r="P1196" s="41">
        <f t="shared" si="532"/>
        <v>0</v>
      </c>
      <c r="Q1196" s="39"/>
      <c r="R1196" s="41">
        <f t="shared" si="533"/>
        <v>0</v>
      </c>
      <c r="S1196" s="47"/>
      <c r="T1196" s="41">
        <f t="shared" si="534"/>
        <v>0</v>
      </c>
      <c r="U1196" s="39"/>
      <c r="V1196" s="41">
        <f t="shared" si="535"/>
        <v>0</v>
      </c>
      <c r="W1196" s="47"/>
      <c r="X1196" s="41">
        <f t="shared" si="536"/>
        <v>0</v>
      </c>
      <c r="Y1196" s="39"/>
      <c r="Z1196" s="41">
        <f t="shared" si="537"/>
        <v>0</v>
      </c>
      <c r="AA1196" s="47"/>
      <c r="AB1196" s="41">
        <f t="shared" si="538"/>
        <v>0</v>
      </c>
      <c r="AC1196" s="39"/>
      <c r="AD1196" s="41">
        <f t="shared" si="546"/>
        <v>0</v>
      </c>
      <c r="AE1196" s="47"/>
      <c r="AF1196" s="41">
        <f t="shared" si="539"/>
        <v>0</v>
      </c>
      <c r="AG1196" s="39"/>
      <c r="AH1196" s="41">
        <f t="shared" si="547"/>
        <v>0</v>
      </c>
      <c r="AI1196" s="47"/>
      <c r="AJ1196" s="41">
        <f t="shared" si="540"/>
        <v>0</v>
      </c>
      <c r="AK1196" s="39"/>
      <c r="AL1196" s="41">
        <f t="shared" si="548"/>
        <v>0</v>
      </c>
      <c r="AM1196" s="47"/>
      <c r="AN1196" s="41">
        <f t="shared" si="541"/>
        <v>0</v>
      </c>
      <c r="AO1196" s="39"/>
      <c r="AP1196" s="41">
        <f t="shared" si="549"/>
        <v>0</v>
      </c>
      <c r="AQ1196" s="47"/>
      <c r="AR1196" s="41">
        <f t="shared" si="542"/>
        <v>0</v>
      </c>
      <c r="AS1196" s="39"/>
      <c r="AT1196" s="41">
        <f t="shared" si="550"/>
        <v>0</v>
      </c>
      <c r="AU1196" s="47"/>
      <c r="AV1196" s="41">
        <f t="shared" si="543"/>
        <v>0</v>
      </c>
      <c r="AW1196" s="39"/>
      <c r="AX1196" s="41">
        <f t="shared" si="551"/>
        <v>0</v>
      </c>
      <c r="AY1196" s="47"/>
      <c r="AZ1196" s="41">
        <f t="shared" si="544"/>
        <v>0</v>
      </c>
      <c r="BA1196" s="39"/>
      <c r="BB1196" s="41">
        <f t="shared" si="552"/>
        <v>0</v>
      </c>
      <c r="BC1196" s="47"/>
      <c r="BD1196" s="41">
        <f t="shared" si="545"/>
        <v>0</v>
      </c>
      <c r="BE1196" s="39"/>
      <c r="BF1196" s="47"/>
    </row>
    <row r="1197" spans="1:58" ht="15.75" customHeight="1" x14ac:dyDescent="0.25">
      <c r="A1197" s="44">
        <v>2016</v>
      </c>
      <c r="B1197" s="39">
        <v>171510</v>
      </c>
      <c r="C1197" s="38" t="s">
        <v>148</v>
      </c>
      <c r="D1197" s="38" t="s">
        <v>88</v>
      </c>
      <c r="E1197" s="39"/>
      <c r="F1197" s="42">
        <f t="shared" si="527"/>
        <v>0</v>
      </c>
      <c r="G1197" s="47"/>
      <c r="H1197" s="42">
        <f t="shared" si="528"/>
        <v>0</v>
      </c>
      <c r="I1197" s="39"/>
      <c r="J1197" s="41">
        <f t="shared" si="529"/>
        <v>0</v>
      </c>
      <c r="K1197" s="47"/>
      <c r="L1197" s="41">
        <f t="shared" si="530"/>
        <v>0</v>
      </c>
      <c r="M1197" s="39"/>
      <c r="N1197" s="41">
        <f t="shared" si="531"/>
        <v>0</v>
      </c>
      <c r="O1197" s="47"/>
      <c r="P1197" s="41">
        <f t="shared" si="532"/>
        <v>0</v>
      </c>
      <c r="Q1197" s="39"/>
      <c r="R1197" s="41">
        <f t="shared" si="533"/>
        <v>0</v>
      </c>
      <c r="S1197" s="47"/>
      <c r="T1197" s="41">
        <f t="shared" si="534"/>
        <v>0</v>
      </c>
      <c r="U1197" s="39"/>
      <c r="V1197" s="41">
        <f t="shared" si="535"/>
        <v>0</v>
      </c>
      <c r="W1197" s="47"/>
      <c r="X1197" s="41">
        <f t="shared" si="536"/>
        <v>0</v>
      </c>
      <c r="Y1197" s="39"/>
      <c r="Z1197" s="41">
        <f t="shared" si="537"/>
        <v>0</v>
      </c>
      <c r="AA1197" s="47"/>
      <c r="AB1197" s="41">
        <f t="shared" si="538"/>
        <v>0</v>
      </c>
      <c r="AC1197" s="39"/>
      <c r="AD1197" s="41">
        <f t="shared" si="546"/>
        <v>0</v>
      </c>
      <c r="AE1197" s="47"/>
      <c r="AF1197" s="41">
        <f t="shared" si="539"/>
        <v>0</v>
      </c>
      <c r="AG1197" s="39"/>
      <c r="AH1197" s="41">
        <f t="shared" si="547"/>
        <v>0</v>
      </c>
      <c r="AI1197" s="47"/>
      <c r="AJ1197" s="41">
        <f t="shared" si="540"/>
        <v>0</v>
      </c>
      <c r="AK1197" s="39"/>
      <c r="AL1197" s="41">
        <f t="shared" si="548"/>
        <v>0</v>
      </c>
      <c r="AM1197" s="47"/>
      <c r="AN1197" s="41">
        <f t="shared" si="541"/>
        <v>0</v>
      </c>
      <c r="AO1197" s="39"/>
      <c r="AP1197" s="41">
        <f t="shared" si="549"/>
        <v>0</v>
      </c>
      <c r="AQ1197" s="47"/>
      <c r="AR1197" s="41">
        <f t="shared" si="542"/>
        <v>0</v>
      </c>
      <c r="AS1197" s="39"/>
      <c r="AT1197" s="41">
        <f t="shared" si="550"/>
        <v>0</v>
      </c>
      <c r="AU1197" s="47"/>
      <c r="AV1197" s="41">
        <f t="shared" si="543"/>
        <v>0</v>
      </c>
      <c r="AW1197" s="39"/>
      <c r="AX1197" s="41">
        <f t="shared" si="551"/>
        <v>0</v>
      </c>
      <c r="AY1197" s="47"/>
      <c r="AZ1197" s="41">
        <f t="shared" si="544"/>
        <v>0</v>
      </c>
      <c r="BA1197" s="39"/>
      <c r="BB1197" s="41">
        <f t="shared" si="552"/>
        <v>0</v>
      </c>
      <c r="BC1197" s="47"/>
      <c r="BD1197" s="41">
        <f t="shared" si="545"/>
        <v>0</v>
      </c>
      <c r="BE1197" s="39"/>
      <c r="BF1197" s="47"/>
    </row>
    <row r="1198" spans="1:58" ht="15.75" customHeight="1" x14ac:dyDescent="0.25">
      <c r="A1198" s="44">
        <v>2016</v>
      </c>
      <c r="B1198" s="39">
        <v>171515</v>
      </c>
      <c r="C1198" s="38" t="s">
        <v>147</v>
      </c>
      <c r="D1198" s="38" t="s">
        <v>89</v>
      </c>
      <c r="E1198" s="39"/>
      <c r="F1198" s="42">
        <f t="shared" si="527"/>
        <v>0</v>
      </c>
      <c r="G1198" s="47"/>
      <c r="H1198" s="42">
        <f t="shared" si="528"/>
        <v>0</v>
      </c>
      <c r="I1198" s="39"/>
      <c r="J1198" s="41">
        <f t="shared" si="529"/>
        <v>0</v>
      </c>
      <c r="K1198" s="47"/>
      <c r="L1198" s="41">
        <f t="shared" si="530"/>
        <v>0</v>
      </c>
      <c r="M1198" s="39"/>
      <c r="N1198" s="41">
        <f t="shared" si="531"/>
        <v>0</v>
      </c>
      <c r="O1198" s="47"/>
      <c r="P1198" s="41">
        <f t="shared" si="532"/>
        <v>0</v>
      </c>
      <c r="Q1198" s="39"/>
      <c r="R1198" s="41">
        <f t="shared" si="533"/>
        <v>0</v>
      </c>
      <c r="S1198" s="47"/>
      <c r="T1198" s="41">
        <f t="shared" si="534"/>
        <v>0</v>
      </c>
      <c r="U1198" s="39"/>
      <c r="V1198" s="41">
        <f t="shared" si="535"/>
        <v>0</v>
      </c>
      <c r="W1198" s="47"/>
      <c r="X1198" s="41">
        <f t="shared" si="536"/>
        <v>0</v>
      </c>
      <c r="Y1198" s="39"/>
      <c r="Z1198" s="41">
        <f t="shared" si="537"/>
        <v>0</v>
      </c>
      <c r="AA1198" s="47"/>
      <c r="AB1198" s="41">
        <f t="shared" si="538"/>
        <v>0</v>
      </c>
      <c r="AC1198" s="39"/>
      <c r="AD1198" s="41">
        <f t="shared" si="546"/>
        <v>0</v>
      </c>
      <c r="AE1198" s="47"/>
      <c r="AF1198" s="41">
        <f t="shared" si="539"/>
        <v>0</v>
      </c>
      <c r="AG1198" s="39"/>
      <c r="AH1198" s="41">
        <f t="shared" si="547"/>
        <v>0</v>
      </c>
      <c r="AI1198" s="47"/>
      <c r="AJ1198" s="41">
        <f t="shared" si="540"/>
        <v>0</v>
      </c>
      <c r="AK1198" s="39"/>
      <c r="AL1198" s="41">
        <f t="shared" si="548"/>
        <v>0</v>
      </c>
      <c r="AM1198" s="47"/>
      <c r="AN1198" s="41">
        <f t="shared" si="541"/>
        <v>0</v>
      </c>
      <c r="AO1198" s="39"/>
      <c r="AP1198" s="41">
        <f t="shared" si="549"/>
        <v>0</v>
      </c>
      <c r="AQ1198" s="47"/>
      <c r="AR1198" s="41">
        <f t="shared" si="542"/>
        <v>0</v>
      </c>
      <c r="AS1198" s="39"/>
      <c r="AT1198" s="41">
        <f t="shared" si="550"/>
        <v>0</v>
      </c>
      <c r="AU1198" s="47"/>
      <c r="AV1198" s="41">
        <f t="shared" si="543"/>
        <v>0</v>
      </c>
      <c r="AW1198" s="39"/>
      <c r="AX1198" s="41">
        <f t="shared" si="551"/>
        <v>0</v>
      </c>
      <c r="AY1198" s="47"/>
      <c r="AZ1198" s="41">
        <f t="shared" si="544"/>
        <v>0</v>
      </c>
      <c r="BA1198" s="39"/>
      <c r="BB1198" s="41">
        <f t="shared" si="552"/>
        <v>0</v>
      </c>
      <c r="BC1198" s="47"/>
      <c r="BD1198" s="41">
        <f t="shared" si="545"/>
        <v>0</v>
      </c>
      <c r="BE1198" s="39"/>
      <c r="BF1198" s="47"/>
    </row>
    <row r="1199" spans="1:58" ht="15.75" customHeight="1" x14ac:dyDescent="0.25">
      <c r="A1199" s="44">
        <v>2016</v>
      </c>
      <c r="B1199" s="39">
        <v>171525</v>
      </c>
      <c r="C1199" s="38" t="s">
        <v>147</v>
      </c>
      <c r="D1199" s="38" t="s">
        <v>90</v>
      </c>
      <c r="E1199" s="39"/>
      <c r="F1199" s="42">
        <f t="shared" si="527"/>
        <v>0</v>
      </c>
      <c r="G1199" s="47"/>
      <c r="H1199" s="42">
        <f t="shared" si="528"/>
        <v>0</v>
      </c>
      <c r="I1199" s="39"/>
      <c r="J1199" s="41">
        <f t="shared" si="529"/>
        <v>0</v>
      </c>
      <c r="K1199" s="47"/>
      <c r="L1199" s="41">
        <f t="shared" si="530"/>
        <v>0</v>
      </c>
      <c r="M1199" s="39"/>
      <c r="N1199" s="41">
        <f t="shared" si="531"/>
        <v>0</v>
      </c>
      <c r="O1199" s="47"/>
      <c r="P1199" s="41">
        <f t="shared" si="532"/>
        <v>0</v>
      </c>
      <c r="Q1199" s="39"/>
      <c r="R1199" s="41">
        <f t="shared" si="533"/>
        <v>0</v>
      </c>
      <c r="S1199" s="47"/>
      <c r="T1199" s="41">
        <f t="shared" si="534"/>
        <v>0</v>
      </c>
      <c r="U1199" s="39"/>
      <c r="V1199" s="41">
        <f t="shared" si="535"/>
        <v>0</v>
      </c>
      <c r="W1199" s="47"/>
      <c r="X1199" s="41">
        <f t="shared" si="536"/>
        <v>0</v>
      </c>
      <c r="Y1199" s="39"/>
      <c r="Z1199" s="41">
        <f t="shared" si="537"/>
        <v>0</v>
      </c>
      <c r="AA1199" s="47"/>
      <c r="AB1199" s="41">
        <f t="shared" si="538"/>
        <v>0</v>
      </c>
      <c r="AC1199" s="39"/>
      <c r="AD1199" s="41">
        <f t="shared" si="546"/>
        <v>0</v>
      </c>
      <c r="AE1199" s="47"/>
      <c r="AF1199" s="41">
        <f t="shared" si="539"/>
        <v>0</v>
      </c>
      <c r="AG1199" s="39"/>
      <c r="AH1199" s="41">
        <f t="shared" si="547"/>
        <v>0</v>
      </c>
      <c r="AI1199" s="47"/>
      <c r="AJ1199" s="41">
        <f t="shared" si="540"/>
        <v>0</v>
      </c>
      <c r="AK1199" s="39"/>
      <c r="AL1199" s="41">
        <f t="shared" si="548"/>
        <v>0</v>
      </c>
      <c r="AM1199" s="47"/>
      <c r="AN1199" s="41">
        <f t="shared" si="541"/>
        <v>0</v>
      </c>
      <c r="AO1199" s="39"/>
      <c r="AP1199" s="41">
        <f t="shared" si="549"/>
        <v>0</v>
      </c>
      <c r="AQ1199" s="47"/>
      <c r="AR1199" s="41">
        <f t="shared" si="542"/>
        <v>0</v>
      </c>
      <c r="AS1199" s="39"/>
      <c r="AT1199" s="41">
        <f t="shared" si="550"/>
        <v>0</v>
      </c>
      <c r="AU1199" s="47"/>
      <c r="AV1199" s="41">
        <f t="shared" si="543"/>
        <v>0</v>
      </c>
      <c r="AW1199" s="39"/>
      <c r="AX1199" s="41">
        <f t="shared" si="551"/>
        <v>0</v>
      </c>
      <c r="AY1199" s="47"/>
      <c r="AZ1199" s="41">
        <f t="shared" si="544"/>
        <v>0</v>
      </c>
      <c r="BA1199" s="39"/>
      <c r="BB1199" s="41">
        <f t="shared" si="552"/>
        <v>0</v>
      </c>
      <c r="BC1199" s="47"/>
      <c r="BD1199" s="41">
        <f t="shared" si="545"/>
        <v>0</v>
      </c>
      <c r="BE1199" s="39"/>
      <c r="BF1199" s="47"/>
    </row>
    <row r="1200" spans="1:58" ht="15.75" customHeight="1" x14ac:dyDescent="0.25">
      <c r="A1200" s="44">
        <v>2016</v>
      </c>
      <c r="B1200" s="39">
        <v>171550</v>
      </c>
      <c r="C1200" s="38" t="s">
        <v>151</v>
      </c>
      <c r="D1200" s="38" t="s">
        <v>91</v>
      </c>
      <c r="E1200" s="39"/>
      <c r="F1200" s="42">
        <f t="shared" si="527"/>
        <v>0</v>
      </c>
      <c r="G1200" s="47"/>
      <c r="H1200" s="42">
        <f t="shared" si="528"/>
        <v>0</v>
      </c>
      <c r="I1200" s="39"/>
      <c r="J1200" s="41">
        <f t="shared" si="529"/>
        <v>0</v>
      </c>
      <c r="K1200" s="47"/>
      <c r="L1200" s="41">
        <f t="shared" si="530"/>
        <v>0</v>
      </c>
      <c r="M1200" s="39"/>
      <c r="N1200" s="41">
        <f t="shared" si="531"/>
        <v>0</v>
      </c>
      <c r="O1200" s="47"/>
      <c r="P1200" s="41">
        <f t="shared" si="532"/>
        <v>0</v>
      </c>
      <c r="Q1200" s="39"/>
      <c r="R1200" s="41">
        <f t="shared" si="533"/>
        <v>0</v>
      </c>
      <c r="S1200" s="47"/>
      <c r="T1200" s="41">
        <f t="shared" si="534"/>
        <v>0</v>
      </c>
      <c r="U1200" s="39"/>
      <c r="V1200" s="41">
        <f t="shared" si="535"/>
        <v>0</v>
      </c>
      <c r="W1200" s="47"/>
      <c r="X1200" s="41">
        <f t="shared" si="536"/>
        <v>0</v>
      </c>
      <c r="Y1200" s="39"/>
      <c r="Z1200" s="41">
        <f t="shared" si="537"/>
        <v>0</v>
      </c>
      <c r="AA1200" s="47"/>
      <c r="AB1200" s="41">
        <f t="shared" si="538"/>
        <v>0</v>
      </c>
      <c r="AC1200" s="39"/>
      <c r="AD1200" s="41">
        <f t="shared" si="546"/>
        <v>0</v>
      </c>
      <c r="AE1200" s="47"/>
      <c r="AF1200" s="41">
        <f t="shared" si="539"/>
        <v>0</v>
      </c>
      <c r="AG1200" s="39"/>
      <c r="AH1200" s="41">
        <f t="shared" si="547"/>
        <v>0</v>
      </c>
      <c r="AI1200" s="47"/>
      <c r="AJ1200" s="41">
        <f t="shared" si="540"/>
        <v>0</v>
      </c>
      <c r="AK1200" s="39"/>
      <c r="AL1200" s="41">
        <f t="shared" si="548"/>
        <v>0</v>
      </c>
      <c r="AM1200" s="47"/>
      <c r="AN1200" s="41">
        <f t="shared" si="541"/>
        <v>0</v>
      </c>
      <c r="AO1200" s="39"/>
      <c r="AP1200" s="41">
        <f t="shared" si="549"/>
        <v>0</v>
      </c>
      <c r="AQ1200" s="47"/>
      <c r="AR1200" s="41">
        <f t="shared" si="542"/>
        <v>0</v>
      </c>
      <c r="AS1200" s="39"/>
      <c r="AT1200" s="41">
        <f t="shared" si="550"/>
        <v>0</v>
      </c>
      <c r="AU1200" s="47"/>
      <c r="AV1200" s="41">
        <f t="shared" si="543"/>
        <v>0</v>
      </c>
      <c r="AW1200" s="39"/>
      <c r="AX1200" s="41">
        <f t="shared" si="551"/>
        <v>0</v>
      </c>
      <c r="AY1200" s="47"/>
      <c r="AZ1200" s="41">
        <f t="shared" si="544"/>
        <v>0</v>
      </c>
      <c r="BA1200" s="39"/>
      <c r="BB1200" s="41">
        <f t="shared" si="552"/>
        <v>0</v>
      </c>
      <c r="BC1200" s="47"/>
      <c r="BD1200" s="41">
        <f t="shared" si="545"/>
        <v>0</v>
      </c>
      <c r="BE1200" s="39"/>
      <c r="BF1200" s="47"/>
    </row>
    <row r="1201" spans="1:58" ht="15.75" customHeight="1" x14ac:dyDescent="0.25">
      <c r="A1201" s="44">
        <v>2016</v>
      </c>
      <c r="B1201" s="39">
        <v>172100</v>
      </c>
      <c r="C1201" s="38" t="s">
        <v>148</v>
      </c>
      <c r="D1201" s="38" t="s">
        <v>92</v>
      </c>
      <c r="E1201" s="39"/>
      <c r="F1201" s="42">
        <f t="shared" si="527"/>
        <v>0</v>
      </c>
      <c r="G1201" s="47"/>
      <c r="H1201" s="42">
        <f t="shared" si="528"/>
        <v>0</v>
      </c>
      <c r="I1201" s="39"/>
      <c r="J1201" s="41">
        <f t="shared" si="529"/>
        <v>0</v>
      </c>
      <c r="K1201" s="47"/>
      <c r="L1201" s="41">
        <f t="shared" si="530"/>
        <v>0</v>
      </c>
      <c r="M1201" s="39"/>
      <c r="N1201" s="41">
        <f t="shared" si="531"/>
        <v>0</v>
      </c>
      <c r="O1201" s="48"/>
      <c r="P1201" s="41">
        <f t="shared" si="532"/>
        <v>0</v>
      </c>
      <c r="Q1201" s="39"/>
      <c r="R1201" s="41">
        <f t="shared" si="533"/>
        <v>0</v>
      </c>
      <c r="S1201" s="47"/>
      <c r="T1201" s="41">
        <f t="shared" si="534"/>
        <v>0</v>
      </c>
      <c r="U1201" s="39"/>
      <c r="V1201" s="41">
        <f t="shared" si="535"/>
        <v>0</v>
      </c>
      <c r="W1201" s="47"/>
      <c r="X1201" s="41">
        <f t="shared" si="536"/>
        <v>0</v>
      </c>
      <c r="Y1201" s="39"/>
      <c r="Z1201" s="41">
        <f t="shared" si="537"/>
        <v>0</v>
      </c>
      <c r="AA1201" s="47"/>
      <c r="AB1201" s="41">
        <f t="shared" si="538"/>
        <v>0</v>
      </c>
      <c r="AC1201" s="39"/>
      <c r="AD1201" s="41">
        <f t="shared" si="546"/>
        <v>0</v>
      </c>
      <c r="AE1201" s="48"/>
      <c r="AF1201" s="41">
        <f t="shared" si="539"/>
        <v>0</v>
      </c>
      <c r="AG1201" s="39"/>
      <c r="AH1201" s="41">
        <f t="shared" si="547"/>
        <v>0</v>
      </c>
      <c r="AI1201" s="47"/>
      <c r="AJ1201" s="41">
        <f t="shared" si="540"/>
        <v>0</v>
      </c>
      <c r="AK1201" s="39"/>
      <c r="AL1201" s="41">
        <f t="shared" si="548"/>
        <v>0</v>
      </c>
      <c r="AM1201" s="47"/>
      <c r="AN1201" s="41">
        <f t="shared" si="541"/>
        <v>0</v>
      </c>
      <c r="AO1201" s="39"/>
      <c r="AP1201" s="41">
        <f t="shared" si="549"/>
        <v>0</v>
      </c>
      <c r="AQ1201" s="48"/>
      <c r="AR1201" s="41">
        <f t="shared" si="542"/>
        <v>0</v>
      </c>
      <c r="AS1201" s="39"/>
      <c r="AT1201" s="41">
        <f t="shared" si="550"/>
        <v>0</v>
      </c>
      <c r="AU1201" s="47"/>
      <c r="AV1201" s="41">
        <f t="shared" si="543"/>
        <v>0</v>
      </c>
      <c r="AW1201" s="39"/>
      <c r="AX1201" s="41">
        <f t="shared" si="551"/>
        <v>0</v>
      </c>
      <c r="AY1201" s="47"/>
      <c r="AZ1201" s="41">
        <f t="shared" si="544"/>
        <v>0</v>
      </c>
      <c r="BA1201" s="39"/>
      <c r="BB1201" s="41">
        <f t="shared" si="552"/>
        <v>0</v>
      </c>
      <c r="BC1201" s="47"/>
      <c r="BD1201" s="41">
        <f t="shared" si="545"/>
        <v>0</v>
      </c>
      <c r="BE1201" s="39"/>
      <c r="BF1201" s="48"/>
    </row>
    <row r="1202" spans="1:58" ht="15.75" customHeight="1" x14ac:dyDescent="0.25">
      <c r="A1202" s="44">
        <v>2016</v>
      </c>
      <c r="B1202" s="39">
        <v>171570</v>
      </c>
      <c r="C1202" s="38" t="s">
        <v>150</v>
      </c>
      <c r="D1202" s="38" t="s">
        <v>93</v>
      </c>
      <c r="E1202" s="39"/>
      <c r="F1202" s="42">
        <f t="shared" si="527"/>
        <v>0</v>
      </c>
      <c r="G1202" s="47"/>
      <c r="H1202" s="42">
        <f t="shared" si="528"/>
        <v>0</v>
      </c>
      <c r="I1202" s="39"/>
      <c r="J1202" s="41">
        <f t="shared" si="529"/>
        <v>0</v>
      </c>
      <c r="K1202" s="47"/>
      <c r="L1202" s="41">
        <f t="shared" si="530"/>
        <v>0</v>
      </c>
      <c r="M1202" s="39"/>
      <c r="N1202" s="41">
        <f t="shared" si="531"/>
        <v>0</v>
      </c>
      <c r="O1202" s="47"/>
      <c r="P1202" s="41">
        <f t="shared" si="532"/>
        <v>0</v>
      </c>
      <c r="Q1202" s="39"/>
      <c r="R1202" s="41">
        <f t="shared" si="533"/>
        <v>0</v>
      </c>
      <c r="S1202" s="47"/>
      <c r="T1202" s="41">
        <f t="shared" si="534"/>
        <v>0</v>
      </c>
      <c r="U1202" s="39"/>
      <c r="V1202" s="41">
        <f t="shared" si="535"/>
        <v>0</v>
      </c>
      <c r="W1202" s="47"/>
      <c r="X1202" s="41">
        <f t="shared" si="536"/>
        <v>0</v>
      </c>
      <c r="Y1202" s="39"/>
      <c r="Z1202" s="41">
        <f t="shared" si="537"/>
        <v>0</v>
      </c>
      <c r="AA1202" s="47"/>
      <c r="AB1202" s="41">
        <f t="shared" si="538"/>
        <v>0</v>
      </c>
      <c r="AC1202" s="39"/>
      <c r="AD1202" s="41">
        <f t="shared" si="546"/>
        <v>0</v>
      </c>
      <c r="AE1202" s="47"/>
      <c r="AF1202" s="41">
        <f t="shared" si="539"/>
        <v>0</v>
      </c>
      <c r="AG1202" s="39"/>
      <c r="AH1202" s="41">
        <f t="shared" si="547"/>
        <v>0</v>
      </c>
      <c r="AI1202" s="47"/>
      <c r="AJ1202" s="41">
        <f t="shared" si="540"/>
        <v>0</v>
      </c>
      <c r="AK1202" s="39"/>
      <c r="AL1202" s="41">
        <f t="shared" si="548"/>
        <v>0</v>
      </c>
      <c r="AM1202" s="47"/>
      <c r="AN1202" s="41">
        <f t="shared" si="541"/>
        <v>0</v>
      </c>
      <c r="AO1202" s="39"/>
      <c r="AP1202" s="41">
        <f t="shared" si="549"/>
        <v>0</v>
      </c>
      <c r="AQ1202" s="47"/>
      <c r="AR1202" s="41">
        <f t="shared" si="542"/>
        <v>0</v>
      </c>
      <c r="AS1202" s="39"/>
      <c r="AT1202" s="41">
        <f t="shared" si="550"/>
        <v>0</v>
      </c>
      <c r="AU1202" s="47"/>
      <c r="AV1202" s="41">
        <f t="shared" si="543"/>
        <v>0</v>
      </c>
      <c r="AW1202" s="39"/>
      <c r="AX1202" s="41">
        <f t="shared" si="551"/>
        <v>0</v>
      </c>
      <c r="AY1202" s="47"/>
      <c r="AZ1202" s="41">
        <f t="shared" si="544"/>
        <v>0</v>
      </c>
      <c r="BA1202" s="39"/>
      <c r="BB1202" s="41">
        <f t="shared" si="552"/>
        <v>0</v>
      </c>
      <c r="BC1202" s="47"/>
      <c r="BD1202" s="41">
        <f t="shared" si="545"/>
        <v>0</v>
      </c>
      <c r="BE1202" s="39"/>
      <c r="BF1202" s="47"/>
    </row>
    <row r="1203" spans="1:58" ht="15.75" customHeight="1" x14ac:dyDescent="0.25">
      <c r="A1203" s="44">
        <v>2016</v>
      </c>
      <c r="B1203" s="39">
        <v>171380</v>
      </c>
      <c r="C1203" s="38" t="s">
        <v>145</v>
      </c>
      <c r="D1203" s="38" t="s">
        <v>94</v>
      </c>
      <c r="E1203" s="39"/>
      <c r="F1203" s="42">
        <f t="shared" si="527"/>
        <v>0</v>
      </c>
      <c r="G1203" s="47"/>
      <c r="H1203" s="42">
        <f t="shared" si="528"/>
        <v>0</v>
      </c>
      <c r="I1203" s="39"/>
      <c r="J1203" s="41">
        <f t="shared" si="529"/>
        <v>0</v>
      </c>
      <c r="K1203" s="47"/>
      <c r="L1203" s="41">
        <f t="shared" si="530"/>
        <v>0</v>
      </c>
      <c r="M1203" s="39"/>
      <c r="N1203" s="41">
        <f t="shared" si="531"/>
        <v>0</v>
      </c>
      <c r="O1203" s="47"/>
      <c r="P1203" s="41">
        <f t="shared" si="532"/>
        <v>0</v>
      </c>
      <c r="Q1203" s="39"/>
      <c r="R1203" s="41">
        <f t="shared" si="533"/>
        <v>0</v>
      </c>
      <c r="S1203" s="47"/>
      <c r="T1203" s="41">
        <f t="shared" si="534"/>
        <v>0</v>
      </c>
      <c r="U1203" s="39"/>
      <c r="V1203" s="41">
        <f t="shared" si="535"/>
        <v>0</v>
      </c>
      <c r="W1203" s="47"/>
      <c r="X1203" s="41">
        <f t="shared" si="536"/>
        <v>0</v>
      </c>
      <c r="Y1203" s="39"/>
      <c r="Z1203" s="41">
        <f t="shared" si="537"/>
        <v>0</v>
      </c>
      <c r="AA1203" s="47"/>
      <c r="AB1203" s="41">
        <f t="shared" si="538"/>
        <v>0</v>
      </c>
      <c r="AC1203" s="39"/>
      <c r="AD1203" s="41">
        <f t="shared" si="546"/>
        <v>0</v>
      </c>
      <c r="AE1203" s="47"/>
      <c r="AF1203" s="41">
        <f t="shared" si="539"/>
        <v>0</v>
      </c>
      <c r="AG1203" s="39"/>
      <c r="AH1203" s="41">
        <f t="shared" si="547"/>
        <v>0</v>
      </c>
      <c r="AI1203" s="47"/>
      <c r="AJ1203" s="41">
        <f t="shared" si="540"/>
        <v>0</v>
      </c>
      <c r="AK1203" s="39"/>
      <c r="AL1203" s="41">
        <f t="shared" si="548"/>
        <v>0</v>
      </c>
      <c r="AM1203" s="47"/>
      <c r="AN1203" s="41">
        <f t="shared" si="541"/>
        <v>0</v>
      </c>
      <c r="AO1203" s="39"/>
      <c r="AP1203" s="41">
        <f t="shared" si="549"/>
        <v>0</v>
      </c>
      <c r="AQ1203" s="47"/>
      <c r="AR1203" s="41">
        <f t="shared" si="542"/>
        <v>0</v>
      </c>
      <c r="AS1203" s="39"/>
      <c r="AT1203" s="41">
        <f t="shared" si="550"/>
        <v>0</v>
      </c>
      <c r="AU1203" s="47"/>
      <c r="AV1203" s="41">
        <f t="shared" si="543"/>
        <v>0</v>
      </c>
      <c r="AW1203" s="39"/>
      <c r="AX1203" s="41">
        <f t="shared" si="551"/>
        <v>0</v>
      </c>
      <c r="AY1203" s="47"/>
      <c r="AZ1203" s="41">
        <f t="shared" si="544"/>
        <v>0</v>
      </c>
      <c r="BA1203" s="39"/>
      <c r="BB1203" s="41">
        <f t="shared" si="552"/>
        <v>0</v>
      </c>
      <c r="BC1203" s="47"/>
      <c r="BD1203" s="41">
        <f t="shared" si="545"/>
        <v>0</v>
      </c>
      <c r="BE1203" s="39"/>
      <c r="BF1203" s="47"/>
    </row>
    <row r="1204" spans="1:58" ht="15.75" customHeight="1" x14ac:dyDescent="0.25">
      <c r="A1204" s="44">
        <v>2016</v>
      </c>
      <c r="B1204" s="39">
        <v>171575</v>
      </c>
      <c r="C1204" s="38" t="s">
        <v>146</v>
      </c>
      <c r="D1204" s="38" t="s">
        <v>95</v>
      </c>
      <c r="E1204" s="39"/>
      <c r="F1204" s="42">
        <f t="shared" si="527"/>
        <v>0</v>
      </c>
      <c r="G1204" s="47"/>
      <c r="H1204" s="42">
        <f t="shared" si="528"/>
        <v>0</v>
      </c>
      <c r="I1204" s="39"/>
      <c r="J1204" s="41">
        <f t="shared" si="529"/>
        <v>0</v>
      </c>
      <c r="K1204" s="47"/>
      <c r="L1204" s="41">
        <f t="shared" si="530"/>
        <v>0</v>
      </c>
      <c r="M1204" s="39"/>
      <c r="N1204" s="41">
        <f t="shared" si="531"/>
        <v>0</v>
      </c>
      <c r="O1204" s="47"/>
      <c r="P1204" s="41">
        <f t="shared" si="532"/>
        <v>0</v>
      </c>
      <c r="Q1204" s="39"/>
      <c r="R1204" s="41">
        <f t="shared" si="533"/>
        <v>0</v>
      </c>
      <c r="S1204" s="47"/>
      <c r="T1204" s="41">
        <f t="shared" si="534"/>
        <v>0</v>
      </c>
      <c r="U1204" s="39"/>
      <c r="V1204" s="41">
        <f t="shared" si="535"/>
        <v>0</v>
      </c>
      <c r="W1204" s="47"/>
      <c r="X1204" s="41">
        <f t="shared" si="536"/>
        <v>0</v>
      </c>
      <c r="Y1204" s="39"/>
      <c r="Z1204" s="41">
        <f t="shared" si="537"/>
        <v>0</v>
      </c>
      <c r="AA1204" s="47"/>
      <c r="AB1204" s="41">
        <f t="shared" si="538"/>
        <v>0</v>
      </c>
      <c r="AC1204" s="39"/>
      <c r="AD1204" s="41">
        <f t="shared" si="546"/>
        <v>0</v>
      </c>
      <c r="AE1204" s="47"/>
      <c r="AF1204" s="41">
        <f t="shared" si="539"/>
        <v>0</v>
      </c>
      <c r="AG1204" s="39"/>
      <c r="AH1204" s="41">
        <f t="shared" si="547"/>
        <v>0</v>
      </c>
      <c r="AI1204" s="47"/>
      <c r="AJ1204" s="41">
        <f t="shared" si="540"/>
        <v>0</v>
      </c>
      <c r="AK1204" s="39"/>
      <c r="AL1204" s="41">
        <f t="shared" si="548"/>
        <v>0</v>
      </c>
      <c r="AM1204" s="47"/>
      <c r="AN1204" s="41">
        <f t="shared" si="541"/>
        <v>0</v>
      </c>
      <c r="AO1204" s="39"/>
      <c r="AP1204" s="41">
        <f t="shared" si="549"/>
        <v>0</v>
      </c>
      <c r="AQ1204" s="47"/>
      <c r="AR1204" s="41">
        <f t="shared" si="542"/>
        <v>0</v>
      </c>
      <c r="AS1204" s="39"/>
      <c r="AT1204" s="41">
        <f t="shared" si="550"/>
        <v>0</v>
      </c>
      <c r="AU1204" s="47"/>
      <c r="AV1204" s="41">
        <f t="shared" si="543"/>
        <v>0</v>
      </c>
      <c r="AW1204" s="39"/>
      <c r="AX1204" s="41">
        <f t="shared" si="551"/>
        <v>0</v>
      </c>
      <c r="AY1204" s="47"/>
      <c r="AZ1204" s="41">
        <f t="shared" si="544"/>
        <v>0</v>
      </c>
      <c r="BA1204" s="39"/>
      <c r="BB1204" s="41">
        <f t="shared" si="552"/>
        <v>0</v>
      </c>
      <c r="BC1204" s="47"/>
      <c r="BD1204" s="41">
        <f t="shared" si="545"/>
        <v>0</v>
      </c>
      <c r="BE1204" s="39"/>
      <c r="BF1204" s="47"/>
    </row>
    <row r="1205" spans="1:58" ht="15.75" customHeight="1" x14ac:dyDescent="0.25">
      <c r="A1205" s="44">
        <v>2016</v>
      </c>
      <c r="B1205" s="39">
        <v>171610</v>
      </c>
      <c r="C1205" s="38" t="s">
        <v>144</v>
      </c>
      <c r="D1205" s="38" t="s">
        <v>96</v>
      </c>
      <c r="E1205" s="39"/>
      <c r="F1205" s="42">
        <f t="shared" si="527"/>
        <v>0</v>
      </c>
      <c r="G1205" s="47"/>
      <c r="H1205" s="42">
        <f t="shared" si="528"/>
        <v>0</v>
      </c>
      <c r="I1205" s="39"/>
      <c r="J1205" s="41">
        <f t="shared" si="529"/>
        <v>0</v>
      </c>
      <c r="K1205" s="47"/>
      <c r="L1205" s="41">
        <f t="shared" si="530"/>
        <v>0</v>
      </c>
      <c r="M1205" s="39"/>
      <c r="N1205" s="41">
        <f t="shared" si="531"/>
        <v>0</v>
      </c>
      <c r="O1205" s="47"/>
      <c r="P1205" s="41">
        <f t="shared" si="532"/>
        <v>0</v>
      </c>
      <c r="Q1205" s="39"/>
      <c r="R1205" s="41">
        <f t="shared" si="533"/>
        <v>0</v>
      </c>
      <c r="S1205" s="47"/>
      <c r="T1205" s="41">
        <f t="shared" si="534"/>
        <v>0</v>
      </c>
      <c r="U1205" s="39"/>
      <c r="V1205" s="41">
        <f t="shared" si="535"/>
        <v>0</v>
      </c>
      <c r="W1205" s="47"/>
      <c r="X1205" s="41">
        <f t="shared" si="536"/>
        <v>0</v>
      </c>
      <c r="Y1205" s="39"/>
      <c r="Z1205" s="41">
        <f t="shared" si="537"/>
        <v>0</v>
      </c>
      <c r="AA1205" s="47"/>
      <c r="AB1205" s="41">
        <f t="shared" si="538"/>
        <v>0</v>
      </c>
      <c r="AC1205" s="39"/>
      <c r="AD1205" s="41">
        <f t="shared" si="546"/>
        <v>0</v>
      </c>
      <c r="AE1205" s="47"/>
      <c r="AF1205" s="41">
        <f t="shared" si="539"/>
        <v>0</v>
      </c>
      <c r="AG1205" s="39"/>
      <c r="AH1205" s="41">
        <f t="shared" si="547"/>
        <v>0</v>
      </c>
      <c r="AI1205" s="47"/>
      <c r="AJ1205" s="41">
        <f t="shared" si="540"/>
        <v>0</v>
      </c>
      <c r="AK1205" s="39"/>
      <c r="AL1205" s="41">
        <f t="shared" si="548"/>
        <v>0</v>
      </c>
      <c r="AM1205" s="47"/>
      <c r="AN1205" s="41">
        <f t="shared" si="541"/>
        <v>0</v>
      </c>
      <c r="AO1205" s="39"/>
      <c r="AP1205" s="41">
        <f t="shared" si="549"/>
        <v>0</v>
      </c>
      <c r="AQ1205" s="47"/>
      <c r="AR1205" s="41">
        <f t="shared" si="542"/>
        <v>0</v>
      </c>
      <c r="AS1205" s="39"/>
      <c r="AT1205" s="41">
        <f t="shared" si="550"/>
        <v>0</v>
      </c>
      <c r="AU1205" s="47"/>
      <c r="AV1205" s="41">
        <f t="shared" si="543"/>
        <v>0</v>
      </c>
      <c r="AW1205" s="39"/>
      <c r="AX1205" s="41">
        <f t="shared" si="551"/>
        <v>0</v>
      </c>
      <c r="AY1205" s="47"/>
      <c r="AZ1205" s="41">
        <f t="shared" si="544"/>
        <v>0</v>
      </c>
      <c r="BA1205" s="39"/>
      <c r="BB1205" s="41">
        <f t="shared" si="552"/>
        <v>0</v>
      </c>
      <c r="BC1205" s="47"/>
      <c r="BD1205" s="41">
        <f t="shared" si="545"/>
        <v>0</v>
      </c>
      <c r="BE1205" s="39"/>
      <c r="BF1205" s="47"/>
    </row>
    <row r="1206" spans="1:58" ht="15.75" customHeight="1" x14ac:dyDescent="0.25">
      <c r="A1206" s="44">
        <v>2016</v>
      </c>
      <c r="B1206" s="39">
        <v>171620</v>
      </c>
      <c r="C1206" s="38" t="s">
        <v>147</v>
      </c>
      <c r="D1206" s="38" t="s">
        <v>97</v>
      </c>
      <c r="E1206" s="39"/>
      <c r="F1206" s="42">
        <f t="shared" si="527"/>
        <v>0</v>
      </c>
      <c r="G1206" s="47"/>
      <c r="H1206" s="42">
        <f t="shared" si="528"/>
        <v>0</v>
      </c>
      <c r="I1206" s="39"/>
      <c r="J1206" s="41">
        <f t="shared" si="529"/>
        <v>0</v>
      </c>
      <c r="K1206" s="47"/>
      <c r="L1206" s="41">
        <f t="shared" si="530"/>
        <v>0</v>
      </c>
      <c r="M1206" s="39"/>
      <c r="N1206" s="41">
        <f t="shared" si="531"/>
        <v>0</v>
      </c>
      <c r="O1206" s="47"/>
      <c r="P1206" s="41">
        <f t="shared" si="532"/>
        <v>0</v>
      </c>
      <c r="Q1206" s="39"/>
      <c r="R1206" s="41">
        <f t="shared" si="533"/>
        <v>0</v>
      </c>
      <c r="S1206" s="47"/>
      <c r="T1206" s="41">
        <f t="shared" si="534"/>
        <v>0</v>
      </c>
      <c r="U1206" s="39"/>
      <c r="V1206" s="41">
        <f t="shared" si="535"/>
        <v>0</v>
      </c>
      <c r="W1206" s="47"/>
      <c r="X1206" s="41">
        <f t="shared" si="536"/>
        <v>0</v>
      </c>
      <c r="Y1206" s="39"/>
      <c r="Z1206" s="41">
        <f t="shared" si="537"/>
        <v>0</v>
      </c>
      <c r="AA1206" s="47"/>
      <c r="AB1206" s="41">
        <f t="shared" si="538"/>
        <v>0</v>
      </c>
      <c r="AC1206" s="39"/>
      <c r="AD1206" s="41">
        <f t="shared" si="546"/>
        <v>0</v>
      </c>
      <c r="AE1206" s="47"/>
      <c r="AF1206" s="41">
        <f t="shared" si="539"/>
        <v>0</v>
      </c>
      <c r="AG1206" s="39"/>
      <c r="AH1206" s="41">
        <f t="shared" si="547"/>
        <v>0</v>
      </c>
      <c r="AI1206" s="47"/>
      <c r="AJ1206" s="41">
        <f t="shared" si="540"/>
        <v>0</v>
      </c>
      <c r="AK1206" s="39"/>
      <c r="AL1206" s="41">
        <f t="shared" si="548"/>
        <v>0</v>
      </c>
      <c r="AM1206" s="47"/>
      <c r="AN1206" s="41">
        <f t="shared" si="541"/>
        <v>0</v>
      </c>
      <c r="AO1206" s="39"/>
      <c r="AP1206" s="41">
        <f t="shared" si="549"/>
        <v>0</v>
      </c>
      <c r="AQ1206" s="47"/>
      <c r="AR1206" s="41">
        <f t="shared" si="542"/>
        <v>0</v>
      </c>
      <c r="AS1206" s="39"/>
      <c r="AT1206" s="41">
        <f t="shared" si="550"/>
        <v>0</v>
      </c>
      <c r="AU1206" s="47"/>
      <c r="AV1206" s="41">
        <f t="shared" si="543"/>
        <v>0</v>
      </c>
      <c r="AW1206" s="39"/>
      <c r="AX1206" s="41">
        <f t="shared" si="551"/>
        <v>0</v>
      </c>
      <c r="AY1206" s="47"/>
      <c r="AZ1206" s="41">
        <f t="shared" si="544"/>
        <v>0</v>
      </c>
      <c r="BA1206" s="39"/>
      <c r="BB1206" s="41">
        <f t="shared" si="552"/>
        <v>0</v>
      </c>
      <c r="BC1206" s="47"/>
      <c r="BD1206" s="41">
        <f t="shared" si="545"/>
        <v>0</v>
      </c>
      <c r="BE1206" s="39"/>
      <c r="BF1206" s="47"/>
    </row>
    <row r="1207" spans="1:58" ht="15.75" customHeight="1" x14ac:dyDescent="0.25">
      <c r="A1207" s="44">
        <v>2016</v>
      </c>
      <c r="B1207" s="39">
        <v>171630</v>
      </c>
      <c r="C1207" s="38" t="s">
        <v>149</v>
      </c>
      <c r="D1207" s="38" t="s">
        <v>98</v>
      </c>
      <c r="E1207" s="39"/>
      <c r="F1207" s="42">
        <f t="shared" si="527"/>
        <v>0</v>
      </c>
      <c r="G1207" s="47"/>
      <c r="H1207" s="42">
        <f t="shared" si="528"/>
        <v>0</v>
      </c>
      <c r="I1207" s="39"/>
      <c r="J1207" s="41">
        <f t="shared" si="529"/>
        <v>0</v>
      </c>
      <c r="K1207" s="47"/>
      <c r="L1207" s="41">
        <f t="shared" si="530"/>
        <v>0</v>
      </c>
      <c r="M1207" s="39"/>
      <c r="N1207" s="41">
        <f t="shared" si="531"/>
        <v>0</v>
      </c>
      <c r="O1207" s="47"/>
      <c r="P1207" s="41">
        <f t="shared" si="532"/>
        <v>0</v>
      </c>
      <c r="Q1207" s="39"/>
      <c r="R1207" s="41">
        <f t="shared" si="533"/>
        <v>0</v>
      </c>
      <c r="S1207" s="47"/>
      <c r="T1207" s="41">
        <f t="shared" si="534"/>
        <v>0</v>
      </c>
      <c r="U1207" s="39"/>
      <c r="V1207" s="41">
        <f t="shared" si="535"/>
        <v>0</v>
      </c>
      <c r="W1207" s="47"/>
      <c r="X1207" s="41">
        <f t="shared" si="536"/>
        <v>0</v>
      </c>
      <c r="Y1207" s="39"/>
      <c r="Z1207" s="41">
        <f t="shared" si="537"/>
        <v>0</v>
      </c>
      <c r="AA1207" s="47"/>
      <c r="AB1207" s="41">
        <f t="shared" si="538"/>
        <v>0</v>
      </c>
      <c r="AC1207" s="39"/>
      <c r="AD1207" s="41">
        <f t="shared" si="546"/>
        <v>0</v>
      </c>
      <c r="AE1207" s="47"/>
      <c r="AF1207" s="41">
        <f t="shared" si="539"/>
        <v>0</v>
      </c>
      <c r="AG1207" s="39"/>
      <c r="AH1207" s="41">
        <f t="shared" si="547"/>
        <v>0</v>
      </c>
      <c r="AI1207" s="47"/>
      <c r="AJ1207" s="41">
        <f t="shared" si="540"/>
        <v>0</v>
      </c>
      <c r="AK1207" s="39"/>
      <c r="AL1207" s="41">
        <f t="shared" si="548"/>
        <v>0</v>
      </c>
      <c r="AM1207" s="47"/>
      <c r="AN1207" s="41">
        <f t="shared" si="541"/>
        <v>0</v>
      </c>
      <c r="AO1207" s="39"/>
      <c r="AP1207" s="41">
        <f t="shared" si="549"/>
        <v>0</v>
      </c>
      <c r="AQ1207" s="47"/>
      <c r="AR1207" s="41">
        <f t="shared" si="542"/>
        <v>0</v>
      </c>
      <c r="AS1207" s="39"/>
      <c r="AT1207" s="41">
        <f t="shared" si="550"/>
        <v>0</v>
      </c>
      <c r="AU1207" s="47"/>
      <c r="AV1207" s="41">
        <f t="shared" si="543"/>
        <v>0</v>
      </c>
      <c r="AW1207" s="39"/>
      <c r="AX1207" s="41">
        <f t="shared" si="551"/>
        <v>0</v>
      </c>
      <c r="AY1207" s="47"/>
      <c r="AZ1207" s="41">
        <f t="shared" si="544"/>
        <v>0</v>
      </c>
      <c r="BA1207" s="39"/>
      <c r="BB1207" s="41">
        <f t="shared" si="552"/>
        <v>0</v>
      </c>
      <c r="BC1207" s="47"/>
      <c r="BD1207" s="41">
        <f t="shared" si="545"/>
        <v>0</v>
      </c>
      <c r="BE1207" s="39"/>
      <c r="BF1207" s="47"/>
    </row>
    <row r="1208" spans="1:58" ht="15.75" customHeight="1" x14ac:dyDescent="0.25">
      <c r="A1208" s="44">
        <v>2016</v>
      </c>
      <c r="B1208" s="39">
        <v>171650</v>
      </c>
      <c r="C1208" s="38" t="s">
        <v>150</v>
      </c>
      <c r="D1208" s="38" t="s">
        <v>99</v>
      </c>
      <c r="E1208" s="39"/>
      <c r="F1208" s="42">
        <f t="shared" si="527"/>
        <v>0</v>
      </c>
      <c r="G1208" s="47"/>
      <c r="H1208" s="42">
        <f t="shared" si="528"/>
        <v>0</v>
      </c>
      <c r="I1208" s="39"/>
      <c r="J1208" s="41">
        <f t="shared" si="529"/>
        <v>0</v>
      </c>
      <c r="K1208" s="47"/>
      <c r="L1208" s="41">
        <f t="shared" si="530"/>
        <v>0</v>
      </c>
      <c r="M1208" s="39"/>
      <c r="N1208" s="41">
        <f t="shared" si="531"/>
        <v>0</v>
      </c>
      <c r="O1208" s="47"/>
      <c r="P1208" s="41">
        <f t="shared" si="532"/>
        <v>0</v>
      </c>
      <c r="Q1208" s="39"/>
      <c r="R1208" s="41">
        <f t="shared" si="533"/>
        <v>0</v>
      </c>
      <c r="S1208" s="47"/>
      <c r="T1208" s="41">
        <f t="shared" si="534"/>
        <v>0</v>
      </c>
      <c r="U1208" s="39"/>
      <c r="V1208" s="41">
        <f t="shared" si="535"/>
        <v>0</v>
      </c>
      <c r="W1208" s="47"/>
      <c r="X1208" s="41">
        <f t="shared" si="536"/>
        <v>0</v>
      </c>
      <c r="Y1208" s="39"/>
      <c r="Z1208" s="41">
        <f t="shared" si="537"/>
        <v>0</v>
      </c>
      <c r="AA1208" s="47"/>
      <c r="AB1208" s="41">
        <f t="shared" si="538"/>
        <v>0</v>
      </c>
      <c r="AC1208" s="39"/>
      <c r="AD1208" s="41">
        <f t="shared" si="546"/>
        <v>0</v>
      </c>
      <c r="AE1208" s="47"/>
      <c r="AF1208" s="41">
        <f t="shared" si="539"/>
        <v>0</v>
      </c>
      <c r="AG1208" s="39"/>
      <c r="AH1208" s="41">
        <f t="shared" si="547"/>
        <v>0</v>
      </c>
      <c r="AI1208" s="47"/>
      <c r="AJ1208" s="41">
        <f t="shared" si="540"/>
        <v>0</v>
      </c>
      <c r="AK1208" s="39"/>
      <c r="AL1208" s="41">
        <f t="shared" si="548"/>
        <v>0</v>
      </c>
      <c r="AM1208" s="47"/>
      <c r="AN1208" s="41">
        <f t="shared" si="541"/>
        <v>0</v>
      </c>
      <c r="AO1208" s="39"/>
      <c r="AP1208" s="41">
        <f t="shared" si="549"/>
        <v>0</v>
      </c>
      <c r="AQ1208" s="47"/>
      <c r="AR1208" s="41">
        <f t="shared" si="542"/>
        <v>0</v>
      </c>
      <c r="AS1208" s="39"/>
      <c r="AT1208" s="41">
        <f t="shared" si="550"/>
        <v>0</v>
      </c>
      <c r="AU1208" s="47"/>
      <c r="AV1208" s="41">
        <f t="shared" si="543"/>
        <v>0</v>
      </c>
      <c r="AW1208" s="39"/>
      <c r="AX1208" s="41">
        <f t="shared" si="551"/>
        <v>0</v>
      </c>
      <c r="AY1208" s="47"/>
      <c r="AZ1208" s="41">
        <f t="shared" si="544"/>
        <v>0</v>
      </c>
      <c r="BA1208" s="39"/>
      <c r="BB1208" s="41">
        <f t="shared" si="552"/>
        <v>0</v>
      </c>
      <c r="BC1208" s="47"/>
      <c r="BD1208" s="41">
        <f t="shared" si="545"/>
        <v>0</v>
      </c>
      <c r="BE1208" s="39"/>
      <c r="BF1208" s="47"/>
    </row>
    <row r="1209" spans="1:58" ht="15.75" customHeight="1" x14ac:dyDescent="0.25">
      <c r="A1209" s="44">
        <v>2016</v>
      </c>
      <c r="B1209" s="39">
        <v>171660</v>
      </c>
      <c r="C1209" s="38" t="s">
        <v>146</v>
      </c>
      <c r="D1209" s="38" t="s">
        <v>100</v>
      </c>
      <c r="E1209" s="39"/>
      <c r="F1209" s="42">
        <f t="shared" si="527"/>
        <v>0</v>
      </c>
      <c r="G1209" s="47"/>
      <c r="H1209" s="42">
        <f t="shared" si="528"/>
        <v>0</v>
      </c>
      <c r="I1209" s="39"/>
      <c r="J1209" s="41">
        <f t="shared" si="529"/>
        <v>0</v>
      </c>
      <c r="K1209" s="47"/>
      <c r="L1209" s="41">
        <f t="shared" si="530"/>
        <v>0</v>
      </c>
      <c r="M1209" s="39"/>
      <c r="N1209" s="41">
        <f t="shared" si="531"/>
        <v>0</v>
      </c>
      <c r="O1209" s="47"/>
      <c r="P1209" s="41">
        <f t="shared" si="532"/>
        <v>0</v>
      </c>
      <c r="Q1209" s="39"/>
      <c r="R1209" s="41">
        <f t="shared" si="533"/>
        <v>0</v>
      </c>
      <c r="S1209" s="47"/>
      <c r="T1209" s="41">
        <f t="shared" si="534"/>
        <v>0</v>
      </c>
      <c r="U1209" s="39"/>
      <c r="V1209" s="41">
        <f t="shared" si="535"/>
        <v>0</v>
      </c>
      <c r="W1209" s="47"/>
      <c r="X1209" s="41">
        <f t="shared" si="536"/>
        <v>0</v>
      </c>
      <c r="Y1209" s="39"/>
      <c r="Z1209" s="41">
        <f t="shared" si="537"/>
        <v>0</v>
      </c>
      <c r="AA1209" s="47"/>
      <c r="AB1209" s="41">
        <f t="shared" si="538"/>
        <v>0</v>
      </c>
      <c r="AC1209" s="39"/>
      <c r="AD1209" s="41">
        <f t="shared" si="546"/>
        <v>0</v>
      </c>
      <c r="AE1209" s="47"/>
      <c r="AF1209" s="41">
        <f t="shared" si="539"/>
        <v>0</v>
      </c>
      <c r="AG1209" s="39"/>
      <c r="AH1209" s="41">
        <f t="shared" si="547"/>
        <v>0</v>
      </c>
      <c r="AI1209" s="47"/>
      <c r="AJ1209" s="41">
        <f t="shared" si="540"/>
        <v>0</v>
      </c>
      <c r="AK1209" s="39"/>
      <c r="AL1209" s="41">
        <f t="shared" si="548"/>
        <v>0</v>
      </c>
      <c r="AM1209" s="47"/>
      <c r="AN1209" s="41">
        <f t="shared" si="541"/>
        <v>0</v>
      </c>
      <c r="AO1209" s="39"/>
      <c r="AP1209" s="41">
        <f t="shared" si="549"/>
        <v>0</v>
      </c>
      <c r="AQ1209" s="47"/>
      <c r="AR1209" s="41">
        <f t="shared" si="542"/>
        <v>0</v>
      </c>
      <c r="AS1209" s="39"/>
      <c r="AT1209" s="41">
        <f t="shared" si="550"/>
        <v>0</v>
      </c>
      <c r="AU1209" s="47"/>
      <c r="AV1209" s="41">
        <f t="shared" si="543"/>
        <v>0</v>
      </c>
      <c r="AW1209" s="39"/>
      <c r="AX1209" s="41">
        <f t="shared" si="551"/>
        <v>0</v>
      </c>
      <c r="AY1209" s="47"/>
      <c r="AZ1209" s="41">
        <f t="shared" si="544"/>
        <v>0</v>
      </c>
      <c r="BA1209" s="39"/>
      <c r="BB1209" s="41">
        <f t="shared" si="552"/>
        <v>0</v>
      </c>
      <c r="BC1209" s="47"/>
      <c r="BD1209" s="41">
        <f t="shared" si="545"/>
        <v>0</v>
      </c>
      <c r="BE1209" s="39"/>
      <c r="BF1209" s="47"/>
    </row>
    <row r="1210" spans="1:58" ht="15.75" customHeight="1" x14ac:dyDescent="0.25">
      <c r="A1210" s="44">
        <v>2016</v>
      </c>
      <c r="B1210" s="39">
        <v>171665</v>
      </c>
      <c r="C1210" s="38" t="s">
        <v>150</v>
      </c>
      <c r="D1210" s="38" t="s">
        <v>101</v>
      </c>
      <c r="E1210" s="39"/>
      <c r="F1210" s="42">
        <f t="shared" si="527"/>
        <v>0</v>
      </c>
      <c r="G1210" s="47"/>
      <c r="H1210" s="42">
        <f t="shared" si="528"/>
        <v>0</v>
      </c>
      <c r="I1210" s="39"/>
      <c r="J1210" s="41">
        <f t="shared" si="529"/>
        <v>0</v>
      </c>
      <c r="K1210" s="47"/>
      <c r="L1210" s="41">
        <f t="shared" si="530"/>
        <v>0</v>
      </c>
      <c r="M1210" s="39"/>
      <c r="N1210" s="41">
        <f t="shared" si="531"/>
        <v>0</v>
      </c>
      <c r="O1210" s="47"/>
      <c r="P1210" s="41">
        <f t="shared" si="532"/>
        <v>0</v>
      </c>
      <c r="Q1210" s="39"/>
      <c r="R1210" s="41">
        <f t="shared" si="533"/>
        <v>0</v>
      </c>
      <c r="S1210" s="47"/>
      <c r="T1210" s="41">
        <f t="shared" si="534"/>
        <v>0</v>
      </c>
      <c r="U1210" s="39"/>
      <c r="V1210" s="41">
        <f t="shared" si="535"/>
        <v>0</v>
      </c>
      <c r="W1210" s="47"/>
      <c r="X1210" s="41">
        <f t="shared" si="536"/>
        <v>0</v>
      </c>
      <c r="Y1210" s="39"/>
      <c r="Z1210" s="41">
        <f t="shared" si="537"/>
        <v>0</v>
      </c>
      <c r="AA1210" s="47"/>
      <c r="AB1210" s="41">
        <f t="shared" si="538"/>
        <v>0</v>
      </c>
      <c r="AC1210" s="39"/>
      <c r="AD1210" s="41">
        <f t="shared" si="546"/>
        <v>0</v>
      </c>
      <c r="AE1210" s="47"/>
      <c r="AF1210" s="41">
        <f t="shared" si="539"/>
        <v>0</v>
      </c>
      <c r="AG1210" s="39"/>
      <c r="AH1210" s="41">
        <f t="shared" si="547"/>
        <v>0</v>
      </c>
      <c r="AI1210" s="47"/>
      <c r="AJ1210" s="41">
        <f t="shared" si="540"/>
        <v>0</v>
      </c>
      <c r="AK1210" s="39"/>
      <c r="AL1210" s="41">
        <f t="shared" si="548"/>
        <v>0</v>
      </c>
      <c r="AM1210" s="47"/>
      <c r="AN1210" s="41">
        <f t="shared" si="541"/>
        <v>0</v>
      </c>
      <c r="AO1210" s="39"/>
      <c r="AP1210" s="41">
        <f t="shared" si="549"/>
        <v>0</v>
      </c>
      <c r="AQ1210" s="47"/>
      <c r="AR1210" s="41">
        <f t="shared" si="542"/>
        <v>0</v>
      </c>
      <c r="AS1210" s="39"/>
      <c r="AT1210" s="41">
        <f t="shared" si="550"/>
        <v>0</v>
      </c>
      <c r="AU1210" s="47"/>
      <c r="AV1210" s="41">
        <f t="shared" si="543"/>
        <v>0</v>
      </c>
      <c r="AW1210" s="39"/>
      <c r="AX1210" s="41">
        <f t="shared" si="551"/>
        <v>0</v>
      </c>
      <c r="AY1210" s="47"/>
      <c r="AZ1210" s="41">
        <f t="shared" si="544"/>
        <v>0</v>
      </c>
      <c r="BA1210" s="39"/>
      <c r="BB1210" s="41">
        <f t="shared" si="552"/>
        <v>0</v>
      </c>
      <c r="BC1210" s="47"/>
      <c r="BD1210" s="41">
        <f t="shared" si="545"/>
        <v>0</v>
      </c>
      <c r="BE1210" s="39"/>
      <c r="BF1210" s="47"/>
    </row>
    <row r="1211" spans="1:58" ht="15.75" customHeight="1" x14ac:dyDescent="0.25">
      <c r="A1211" s="44">
        <v>2016</v>
      </c>
      <c r="B1211" s="39">
        <v>171700</v>
      </c>
      <c r="C1211" s="38" t="s">
        <v>151</v>
      </c>
      <c r="D1211" s="38" t="s">
        <v>102</v>
      </c>
      <c r="E1211" s="39"/>
      <c r="F1211" s="42">
        <f t="shared" si="527"/>
        <v>0</v>
      </c>
      <c r="G1211" s="47"/>
      <c r="H1211" s="42">
        <f t="shared" si="528"/>
        <v>0</v>
      </c>
      <c r="I1211" s="39"/>
      <c r="J1211" s="41">
        <f t="shared" si="529"/>
        <v>0</v>
      </c>
      <c r="K1211" s="47"/>
      <c r="L1211" s="41">
        <f t="shared" si="530"/>
        <v>0</v>
      </c>
      <c r="M1211" s="39"/>
      <c r="N1211" s="41">
        <f t="shared" si="531"/>
        <v>0</v>
      </c>
      <c r="O1211" s="47"/>
      <c r="P1211" s="41">
        <f t="shared" si="532"/>
        <v>0</v>
      </c>
      <c r="Q1211" s="39"/>
      <c r="R1211" s="41">
        <f t="shared" si="533"/>
        <v>0</v>
      </c>
      <c r="S1211" s="47"/>
      <c r="T1211" s="41">
        <f t="shared" si="534"/>
        <v>0</v>
      </c>
      <c r="U1211" s="39"/>
      <c r="V1211" s="41">
        <f t="shared" si="535"/>
        <v>0</v>
      </c>
      <c r="W1211" s="47"/>
      <c r="X1211" s="41">
        <f t="shared" si="536"/>
        <v>0</v>
      </c>
      <c r="Y1211" s="39"/>
      <c r="Z1211" s="41">
        <f t="shared" si="537"/>
        <v>0</v>
      </c>
      <c r="AA1211" s="47"/>
      <c r="AB1211" s="41">
        <f t="shared" si="538"/>
        <v>0</v>
      </c>
      <c r="AC1211" s="39"/>
      <c r="AD1211" s="41">
        <f t="shared" si="546"/>
        <v>0</v>
      </c>
      <c r="AE1211" s="47"/>
      <c r="AF1211" s="41">
        <f t="shared" si="539"/>
        <v>0</v>
      </c>
      <c r="AG1211" s="39"/>
      <c r="AH1211" s="41">
        <f t="shared" si="547"/>
        <v>0</v>
      </c>
      <c r="AI1211" s="47"/>
      <c r="AJ1211" s="41">
        <f t="shared" si="540"/>
        <v>0</v>
      </c>
      <c r="AK1211" s="39"/>
      <c r="AL1211" s="41">
        <f t="shared" si="548"/>
        <v>0</v>
      </c>
      <c r="AM1211" s="47"/>
      <c r="AN1211" s="41">
        <f t="shared" si="541"/>
        <v>0</v>
      </c>
      <c r="AO1211" s="39"/>
      <c r="AP1211" s="41">
        <f t="shared" si="549"/>
        <v>0</v>
      </c>
      <c r="AQ1211" s="47"/>
      <c r="AR1211" s="41">
        <f t="shared" si="542"/>
        <v>0</v>
      </c>
      <c r="AS1211" s="39"/>
      <c r="AT1211" s="41">
        <f t="shared" si="550"/>
        <v>0</v>
      </c>
      <c r="AU1211" s="47"/>
      <c r="AV1211" s="41">
        <f t="shared" si="543"/>
        <v>0</v>
      </c>
      <c r="AW1211" s="39"/>
      <c r="AX1211" s="41">
        <f t="shared" si="551"/>
        <v>0</v>
      </c>
      <c r="AY1211" s="47"/>
      <c r="AZ1211" s="41">
        <f t="shared" si="544"/>
        <v>0</v>
      </c>
      <c r="BA1211" s="39"/>
      <c r="BB1211" s="41">
        <f t="shared" si="552"/>
        <v>0</v>
      </c>
      <c r="BC1211" s="47"/>
      <c r="BD1211" s="41">
        <f t="shared" si="545"/>
        <v>0</v>
      </c>
      <c r="BE1211" s="39"/>
      <c r="BF1211" s="47"/>
    </row>
    <row r="1212" spans="1:58" ht="15.75" customHeight="1" x14ac:dyDescent="0.25">
      <c r="A1212" s="44">
        <v>2016</v>
      </c>
      <c r="B1212" s="39">
        <v>171720</v>
      </c>
      <c r="C1212" s="38" t="s">
        <v>149</v>
      </c>
      <c r="D1212" s="38" t="s">
        <v>103</v>
      </c>
      <c r="E1212" s="39"/>
      <c r="F1212" s="42">
        <f t="shared" si="527"/>
        <v>0</v>
      </c>
      <c r="G1212" s="47"/>
      <c r="H1212" s="42">
        <f t="shared" si="528"/>
        <v>0</v>
      </c>
      <c r="I1212" s="39"/>
      <c r="J1212" s="41">
        <f t="shared" si="529"/>
        <v>0</v>
      </c>
      <c r="K1212" s="47"/>
      <c r="L1212" s="41">
        <f t="shared" si="530"/>
        <v>0</v>
      </c>
      <c r="M1212" s="39"/>
      <c r="N1212" s="41">
        <f t="shared" si="531"/>
        <v>0</v>
      </c>
      <c r="O1212" s="47"/>
      <c r="P1212" s="41">
        <f t="shared" si="532"/>
        <v>0</v>
      </c>
      <c r="Q1212" s="39"/>
      <c r="R1212" s="41">
        <f t="shared" si="533"/>
        <v>0</v>
      </c>
      <c r="S1212" s="47"/>
      <c r="T1212" s="41">
        <f t="shared" si="534"/>
        <v>0</v>
      </c>
      <c r="U1212" s="39"/>
      <c r="V1212" s="41">
        <f t="shared" si="535"/>
        <v>0</v>
      </c>
      <c r="W1212" s="47"/>
      <c r="X1212" s="41">
        <f t="shared" si="536"/>
        <v>0</v>
      </c>
      <c r="Y1212" s="39"/>
      <c r="Z1212" s="41">
        <f t="shared" si="537"/>
        <v>0</v>
      </c>
      <c r="AA1212" s="47"/>
      <c r="AB1212" s="41">
        <f t="shared" si="538"/>
        <v>0</v>
      </c>
      <c r="AC1212" s="39"/>
      <c r="AD1212" s="41">
        <f t="shared" si="546"/>
        <v>0</v>
      </c>
      <c r="AE1212" s="47"/>
      <c r="AF1212" s="41">
        <f t="shared" si="539"/>
        <v>0</v>
      </c>
      <c r="AG1212" s="39"/>
      <c r="AH1212" s="41">
        <f t="shared" si="547"/>
        <v>0</v>
      </c>
      <c r="AI1212" s="47"/>
      <c r="AJ1212" s="41">
        <f t="shared" si="540"/>
        <v>0</v>
      </c>
      <c r="AK1212" s="39"/>
      <c r="AL1212" s="41">
        <f t="shared" si="548"/>
        <v>0</v>
      </c>
      <c r="AM1212" s="47"/>
      <c r="AN1212" s="41">
        <f t="shared" si="541"/>
        <v>0</v>
      </c>
      <c r="AO1212" s="39"/>
      <c r="AP1212" s="41">
        <f t="shared" si="549"/>
        <v>0</v>
      </c>
      <c r="AQ1212" s="47"/>
      <c r="AR1212" s="41">
        <f t="shared" si="542"/>
        <v>0</v>
      </c>
      <c r="AS1212" s="39"/>
      <c r="AT1212" s="41">
        <f t="shared" si="550"/>
        <v>0</v>
      </c>
      <c r="AU1212" s="47"/>
      <c r="AV1212" s="41">
        <f t="shared" si="543"/>
        <v>0</v>
      </c>
      <c r="AW1212" s="39"/>
      <c r="AX1212" s="41">
        <f t="shared" si="551"/>
        <v>0</v>
      </c>
      <c r="AY1212" s="47"/>
      <c r="AZ1212" s="41">
        <f t="shared" si="544"/>
        <v>0</v>
      </c>
      <c r="BA1212" s="39"/>
      <c r="BB1212" s="41">
        <f t="shared" si="552"/>
        <v>0</v>
      </c>
      <c r="BC1212" s="47"/>
      <c r="BD1212" s="41">
        <f t="shared" si="545"/>
        <v>0</v>
      </c>
      <c r="BE1212" s="39"/>
      <c r="BF1212" s="47"/>
    </row>
    <row r="1213" spans="1:58" ht="15.75" customHeight="1" x14ac:dyDescent="0.25">
      <c r="A1213" s="44">
        <v>2016</v>
      </c>
      <c r="B1213" s="39">
        <v>171750</v>
      </c>
      <c r="C1213" s="38" t="s">
        <v>144</v>
      </c>
      <c r="D1213" s="38" t="s">
        <v>104</v>
      </c>
      <c r="E1213" s="39"/>
      <c r="F1213" s="42">
        <f t="shared" si="527"/>
        <v>0</v>
      </c>
      <c r="G1213" s="47"/>
      <c r="H1213" s="42">
        <f t="shared" si="528"/>
        <v>0</v>
      </c>
      <c r="I1213" s="39"/>
      <c r="J1213" s="41">
        <f t="shared" si="529"/>
        <v>0</v>
      </c>
      <c r="K1213" s="47"/>
      <c r="L1213" s="41">
        <f t="shared" si="530"/>
        <v>0</v>
      </c>
      <c r="M1213" s="39"/>
      <c r="N1213" s="41">
        <f t="shared" si="531"/>
        <v>0</v>
      </c>
      <c r="O1213" s="47"/>
      <c r="P1213" s="41">
        <f t="shared" si="532"/>
        <v>0</v>
      </c>
      <c r="Q1213" s="39"/>
      <c r="R1213" s="41">
        <f t="shared" si="533"/>
        <v>0</v>
      </c>
      <c r="S1213" s="47"/>
      <c r="T1213" s="41">
        <f t="shared" si="534"/>
        <v>0</v>
      </c>
      <c r="U1213" s="39"/>
      <c r="V1213" s="41">
        <f t="shared" si="535"/>
        <v>0</v>
      </c>
      <c r="W1213" s="47"/>
      <c r="X1213" s="41">
        <f t="shared" si="536"/>
        <v>0</v>
      </c>
      <c r="Y1213" s="39"/>
      <c r="Z1213" s="41">
        <f t="shared" si="537"/>
        <v>0</v>
      </c>
      <c r="AA1213" s="47"/>
      <c r="AB1213" s="41">
        <f t="shared" si="538"/>
        <v>0</v>
      </c>
      <c r="AC1213" s="39"/>
      <c r="AD1213" s="41">
        <f t="shared" si="546"/>
        <v>0</v>
      </c>
      <c r="AE1213" s="47"/>
      <c r="AF1213" s="41">
        <f t="shared" si="539"/>
        <v>0</v>
      </c>
      <c r="AG1213" s="39"/>
      <c r="AH1213" s="41">
        <f t="shared" si="547"/>
        <v>0</v>
      </c>
      <c r="AI1213" s="47"/>
      <c r="AJ1213" s="41">
        <f t="shared" si="540"/>
        <v>0</v>
      </c>
      <c r="AK1213" s="39"/>
      <c r="AL1213" s="41">
        <f t="shared" si="548"/>
        <v>0</v>
      </c>
      <c r="AM1213" s="47"/>
      <c r="AN1213" s="41">
        <f t="shared" si="541"/>
        <v>0</v>
      </c>
      <c r="AO1213" s="39"/>
      <c r="AP1213" s="41">
        <f t="shared" si="549"/>
        <v>0</v>
      </c>
      <c r="AQ1213" s="47"/>
      <c r="AR1213" s="41">
        <f t="shared" si="542"/>
        <v>0</v>
      </c>
      <c r="AS1213" s="39"/>
      <c r="AT1213" s="41">
        <f t="shared" si="550"/>
        <v>0</v>
      </c>
      <c r="AU1213" s="47"/>
      <c r="AV1213" s="41">
        <f t="shared" si="543"/>
        <v>0</v>
      </c>
      <c r="AW1213" s="39"/>
      <c r="AX1213" s="41">
        <f t="shared" si="551"/>
        <v>0</v>
      </c>
      <c r="AY1213" s="47"/>
      <c r="AZ1213" s="41">
        <f t="shared" si="544"/>
        <v>0</v>
      </c>
      <c r="BA1213" s="39"/>
      <c r="BB1213" s="41">
        <f t="shared" si="552"/>
        <v>0</v>
      </c>
      <c r="BC1213" s="47"/>
      <c r="BD1213" s="41">
        <f t="shared" si="545"/>
        <v>0</v>
      </c>
      <c r="BE1213" s="39"/>
      <c r="BF1213" s="47"/>
    </row>
    <row r="1214" spans="1:58" ht="15.75" customHeight="1" x14ac:dyDescent="0.25">
      <c r="A1214" s="44">
        <v>2016</v>
      </c>
      <c r="B1214" s="39">
        <v>171780</v>
      </c>
      <c r="C1214" s="38" t="s">
        <v>147</v>
      </c>
      <c r="D1214" s="38" t="s">
        <v>105</v>
      </c>
      <c r="E1214" s="39"/>
      <c r="F1214" s="42">
        <f t="shared" si="527"/>
        <v>0</v>
      </c>
      <c r="G1214" s="47"/>
      <c r="H1214" s="42">
        <f t="shared" si="528"/>
        <v>0</v>
      </c>
      <c r="I1214" s="39"/>
      <c r="J1214" s="41">
        <f t="shared" si="529"/>
        <v>0</v>
      </c>
      <c r="K1214" s="47"/>
      <c r="L1214" s="41">
        <f t="shared" si="530"/>
        <v>0</v>
      </c>
      <c r="M1214" s="39"/>
      <c r="N1214" s="41">
        <f t="shared" si="531"/>
        <v>0</v>
      </c>
      <c r="O1214" s="47"/>
      <c r="P1214" s="41">
        <f t="shared" si="532"/>
        <v>0</v>
      </c>
      <c r="Q1214" s="39"/>
      <c r="R1214" s="41">
        <f t="shared" si="533"/>
        <v>0</v>
      </c>
      <c r="S1214" s="47"/>
      <c r="T1214" s="41">
        <f t="shared" si="534"/>
        <v>0</v>
      </c>
      <c r="U1214" s="39"/>
      <c r="V1214" s="41">
        <f t="shared" si="535"/>
        <v>0</v>
      </c>
      <c r="W1214" s="47"/>
      <c r="X1214" s="41">
        <f t="shared" si="536"/>
        <v>0</v>
      </c>
      <c r="Y1214" s="39"/>
      <c r="Z1214" s="41">
        <f t="shared" si="537"/>
        <v>0</v>
      </c>
      <c r="AA1214" s="47"/>
      <c r="AB1214" s="41">
        <f t="shared" si="538"/>
        <v>0</v>
      </c>
      <c r="AC1214" s="39"/>
      <c r="AD1214" s="41">
        <f t="shared" si="546"/>
        <v>0</v>
      </c>
      <c r="AE1214" s="47"/>
      <c r="AF1214" s="41">
        <f t="shared" si="539"/>
        <v>0</v>
      </c>
      <c r="AG1214" s="39"/>
      <c r="AH1214" s="41">
        <f t="shared" si="547"/>
        <v>0</v>
      </c>
      <c r="AI1214" s="47"/>
      <c r="AJ1214" s="41">
        <f t="shared" si="540"/>
        <v>0</v>
      </c>
      <c r="AK1214" s="39"/>
      <c r="AL1214" s="41">
        <f t="shared" si="548"/>
        <v>0</v>
      </c>
      <c r="AM1214" s="47"/>
      <c r="AN1214" s="41">
        <f t="shared" si="541"/>
        <v>0</v>
      </c>
      <c r="AO1214" s="39"/>
      <c r="AP1214" s="41">
        <f t="shared" si="549"/>
        <v>0</v>
      </c>
      <c r="AQ1214" s="47"/>
      <c r="AR1214" s="41">
        <f t="shared" si="542"/>
        <v>0</v>
      </c>
      <c r="AS1214" s="39"/>
      <c r="AT1214" s="41">
        <f t="shared" si="550"/>
        <v>0</v>
      </c>
      <c r="AU1214" s="47"/>
      <c r="AV1214" s="41">
        <f t="shared" si="543"/>
        <v>0</v>
      </c>
      <c r="AW1214" s="39"/>
      <c r="AX1214" s="41">
        <f t="shared" si="551"/>
        <v>0</v>
      </c>
      <c r="AY1214" s="47"/>
      <c r="AZ1214" s="41">
        <f t="shared" si="544"/>
        <v>0</v>
      </c>
      <c r="BA1214" s="39"/>
      <c r="BB1214" s="41">
        <f t="shared" si="552"/>
        <v>0</v>
      </c>
      <c r="BC1214" s="47"/>
      <c r="BD1214" s="41">
        <f t="shared" si="545"/>
        <v>0</v>
      </c>
      <c r="BE1214" s="39"/>
      <c r="BF1214" s="47"/>
    </row>
    <row r="1215" spans="1:58" ht="15.75" customHeight="1" x14ac:dyDescent="0.25">
      <c r="A1215" s="44">
        <v>2016</v>
      </c>
      <c r="B1215" s="39">
        <v>171790</v>
      </c>
      <c r="C1215" s="38" t="s">
        <v>151</v>
      </c>
      <c r="D1215" s="38" t="s">
        <v>106</v>
      </c>
      <c r="E1215" s="39"/>
      <c r="F1215" s="42">
        <f t="shared" si="527"/>
        <v>0</v>
      </c>
      <c r="G1215" s="47"/>
      <c r="H1215" s="42">
        <f t="shared" si="528"/>
        <v>0</v>
      </c>
      <c r="I1215" s="39"/>
      <c r="J1215" s="41">
        <f t="shared" si="529"/>
        <v>0</v>
      </c>
      <c r="K1215" s="47"/>
      <c r="L1215" s="41">
        <f t="shared" si="530"/>
        <v>0</v>
      </c>
      <c r="M1215" s="39"/>
      <c r="N1215" s="41">
        <f t="shared" si="531"/>
        <v>0</v>
      </c>
      <c r="O1215" s="47"/>
      <c r="P1215" s="41">
        <f t="shared" si="532"/>
        <v>0</v>
      </c>
      <c r="Q1215" s="39"/>
      <c r="R1215" s="41">
        <f t="shared" si="533"/>
        <v>0</v>
      </c>
      <c r="S1215" s="47"/>
      <c r="T1215" s="41">
        <f t="shared" si="534"/>
        <v>0</v>
      </c>
      <c r="U1215" s="39"/>
      <c r="V1215" s="41">
        <f t="shared" si="535"/>
        <v>0</v>
      </c>
      <c r="W1215" s="47"/>
      <c r="X1215" s="41">
        <f t="shared" si="536"/>
        <v>0</v>
      </c>
      <c r="Y1215" s="39"/>
      <c r="Z1215" s="41">
        <f t="shared" si="537"/>
        <v>0</v>
      </c>
      <c r="AA1215" s="47"/>
      <c r="AB1215" s="41">
        <f t="shared" si="538"/>
        <v>0</v>
      </c>
      <c r="AC1215" s="39"/>
      <c r="AD1215" s="41">
        <f t="shared" si="546"/>
        <v>0</v>
      </c>
      <c r="AE1215" s="47"/>
      <c r="AF1215" s="41">
        <f t="shared" si="539"/>
        <v>0</v>
      </c>
      <c r="AG1215" s="39"/>
      <c r="AH1215" s="41">
        <f t="shared" si="547"/>
        <v>0</v>
      </c>
      <c r="AI1215" s="47"/>
      <c r="AJ1215" s="41">
        <f t="shared" si="540"/>
        <v>0</v>
      </c>
      <c r="AK1215" s="39"/>
      <c r="AL1215" s="41">
        <f t="shared" si="548"/>
        <v>0</v>
      </c>
      <c r="AM1215" s="47"/>
      <c r="AN1215" s="41">
        <f t="shared" si="541"/>
        <v>0</v>
      </c>
      <c r="AO1215" s="39"/>
      <c r="AP1215" s="41">
        <f t="shared" si="549"/>
        <v>0</v>
      </c>
      <c r="AQ1215" s="47"/>
      <c r="AR1215" s="41">
        <f t="shared" si="542"/>
        <v>0</v>
      </c>
      <c r="AS1215" s="39"/>
      <c r="AT1215" s="41">
        <f t="shared" si="550"/>
        <v>0</v>
      </c>
      <c r="AU1215" s="47"/>
      <c r="AV1215" s="41">
        <f t="shared" si="543"/>
        <v>0</v>
      </c>
      <c r="AW1215" s="39"/>
      <c r="AX1215" s="41">
        <f t="shared" si="551"/>
        <v>0</v>
      </c>
      <c r="AY1215" s="47"/>
      <c r="AZ1215" s="41">
        <f t="shared" si="544"/>
        <v>0</v>
      </c>
      <c r="BA1215" s="39"/>
      <c r="BB1215" s="41">
        <f t="shared" si="552"/>
        <v>0</v>
      </c>
      <c r="BC1215" s="47"/>
      <c r="BD1215" s="41">
        <f t="shared" si="545"/>
        <v>0</v>
      </c>
      <c r="BE1215" s="39"/>
      <c r="BF1215" s="47"/>
    </row>
    <row r="1216" spans="1:58" ht="15.75" customHeight="1" x14ac:dyDescent="0.25">
      <c r="A1216" s="44">
        <v>2016</v>
      </c>
      <c r="B1216" s="39">
        <v>171800</v>
      </c>
      <c r="C1216" s="38" t="s">
        <v>147</v>
      </c>
      <c r="D1216" s="38" t="s">
        <v>107</v>
      </c>
      <c r="E1216" s="39"/>
      <c r="F1216" s="42">
        <f t="shared" si="527"/>
        <v>0</v>
      </c>
      <c r="G1216" s="47"/>
      <c r="H1216" s="42">
        <f t="shared" si="528"/>
        <v>0</v>
      </c>
      <c r="I1216" s="39"/>
      <c r="J1216" s="41">
        <f t="shared" si="529"/>
        <v>0</v>
      </c>
      <c r="K1216" s="47"/>
      <c r="L1216" s="41">
        <f t="shared" si="530"/>
        <v>0</v>
      </c>
      <c r="M1216" s="39"/>
      <c r="N1216" s="41">
        <f t="shared" si="531"/>
        <v>0</v>
      </c>
      <c r="O1216" s="47"/>
      <c r="P1216" s="41">
        <f t="shared" si="532"/>
        <v>0</v>
      </c>
      <c r="Q1216" s="39"/>
      <c r="R1216" s="41">
        <f t="shared" si="533"/>
        <v>0</v>
      </c>
      <c r="S1216" s="47"/>
      <c r="T1216" s="41">
        <f t="shared" si="534"/>
        <v>0</v>
      </c>
      <c r="U1216" s="39"/>
      <c r="V1216" s="41">
        <f t="shared" si="535"/>
        <v>0</v>
      </c>
      <c r="W1216" s="47"/>
      <c r="X1216" s="41">
        <f t="shared" si="536"/>
        <v>0</v>
      </c>
      <c r="Y1216" s="39"/>
      <c r="Z1216" s="41">
        <f t="shared" si="537"/>
        <v>0</v>
      </c>
      <c r="AA1216" s="47"/>
      <c r="AB1216" s="41">
        <f t="shared" si="538"/>
        <v>0</v>
      </c>
      <c r="AC1216" s="39"/>
      <c r="AD1216" s="41">
        <f t="shared" si="546"/>
        <v>0</v>
      </c>
      <c r="AE1216" s="47"/>
      <c r="AF1216" s="41">
        <f t="shared" si="539"/>
        <v>0</v>
      </c>
      <c r="AG1216" s="39"/>
      <c r="AH1216" s="41">
        <f t="shared" si="547"/>
        <v>0</v>
      </c>
      <c r="AI1216" s="47"/>
      <c r="AJ1216" s="41">
        <f t="shared" si="540"/>
        <v>0</v>
      </c>
      <c r="AK1216" s="39"/>
      <c r="AL1216" s="41">
        <f t="shared" si="548"/>
        <v>0</v>
      </c>
      <c r="AM1216" s="47"/>
      <c r="AN1216" s="41">
        <f t="shared" si="541"/>
        <v>0</v>
      </c>
      <c r="AO1216" s="39"/>
      <c r="AP1216" s="41">
        <f t="shared" si="549"/>
        <v>0</v>
      </c>
      <c r="AQ1216" s="47"/>
      <c r="AR1216" s="41">
        <f t="shared" si="542"/>
        <v>0</v>
      </c>
      <c r="AS1216" s="39"/>
      <c r="AT1216" s="41">
        <f t="shared" si="550"/>
        <v>0</v>
      </c>
      <c r="AU1216" s="47"/>
      <c r="AV1216" s="41">
        <f t="shared" si="543"/>
        <v>0</v>
      </c>
      <c r="AW1216" s="39"/>
      <c r="AX1216" s="41">
        <f t="shared" si="551"/>
        <v>0</v>
      </c>
      <c r="AY1216" s="47"/>
      <c r="AZ1216" s="41">
        <f t="shared" si="544"/>
        <v>0</v>
      </c>
      <c r="BA1216" s="39"/>
      <c r="BB1216" s="41">
        <f t="shared" si="552"/>
        <v>0</v>
      </c>
      <c r="BC1216" s="47"/>
      <c r="BD1216" s="41">
        <f t="shared" si="545"/>
        <v>0</v>
      </c>
      <c r="BE1216" s="39"/>
      <c r="BF1216" s="47"/>
    </row>
    <row r="1217" spans="1:58" ht="15.75" customHeight="1" x14ac:dyDescent="0.25">
      <c r="A1217" s="44">
        <v>2016</v>
      </c>
      <c r="B1217" s="39">
        <v>171820</v>
      </c>
      <c r="C1217" s="38" t="s">
        <v>151</v>
      </c>
      <c r="D1217" s="38" t="s">
        <v>108</v>
      </c>
      <c r="E1217" s="39"/>
      <c r="F1217" s="42">
        <f t="shared" si="527"/>
        <v>0</v>
      </c>
      <c r="G1217" s="47"/>
      <c r="H1217" s="42">
        <f t="shared" si="528"/>
        <v>0</v>
      </c>
      <c r="I1217" s="39"/>
      <c r="J1217" s="41">
        <f t="shared" si="529"/>
        <v>0</v>
      </c>
      <c r="K1217" s="47"/>
      <c r="L1217" s="41">
        <f t="shared" si="530"/>
        <v>0</v>
      </c>
      <c r="M1217" s="39"/>
      <c r="N1217" s="41">
        <f t="shared" si="531"/>
        <v>0</v>
      </c>
      <c r="O1217" s="47"/>
      <c r="P1217" s="41">
        <f t="shared" si="532"/>
        <v>0</v>
      </c>
      <c r="Q1217" s="39"/>
      <c r="R1217" s="41">
        <f t="shared" si="533"/>
        <v>0</v>
      </c>
      <c r="S1217" s="47"/>
      <c r="T1217" s="41">
        <f t="shared" si="534"/>
        <v>0</v>
      </c>
      <c r="U1217" s="39"/>
      <c r="V1217" s="41">
        <f t="shared" si="535"/>
        <v>0</v>
      </c>
      <c r="W1217" s="47"/>
      <c r="X1217" s="41">
        <f t="shared" si="536"/>
        <v>0</v>
      </c>
      <c r="Y1217" s="39"/>
      <c r="Z1217" s="41">
        <f t="shared" si="537"/>
        <v>0</v>
      </c>
      <c r="AA1217" s="47"/>
      <c r="AB1217" s="41">
        <f t="shared" si="538"/>
        <v>0</v>
      </c>
      <c r="AC1217" s="39"/>
      <c r="AD1217" s="41">
        <f t="shared" si="546"/>
        <v>0</v>
      </c>
      <c r="AE1217" s="47"/>
      <c r="AF1217" s="41">
        <f t="shared" si="539"/>
        <v>0</v>
      </c>
      <c r="AG1217" s="39"/>
      <c r="AH1217" s="41">
        <f t="shared" si="547"/>
        <v>0</v>
      </c>
      <c r="AI1217" s="47"/>
      <c r="AJ1217" s="41">
        <f t="shared" si="540"/>
        <v>0</v>
      </c>
      <c r="AK1217" s="39"/>
      <c r="AL1217" s="41">
        <f t="shared" si="548"/>
        <v>0</v>
      </c>
      <c r="AM1217" s="47"/>
      <c r="AN1217" s="41">
        <f t="shared" si="541"/>
        <v>0</v>
      </c>
      <c r="AO1217" s="39"/>
      <c r="AP1217" s="41">
        <f t="shared" si="549"/>
        <v>0</v>
      </c>
      <c r="AQ1217" s="47"/>
      <c r="AR1217" s="41">
        <f t="shared" si="542"/>
        <v>0</v>
      </c>
      <c r="AS1217" s="39"/>
      <c r="AT1217" s="41">
        <f t="shared" si="550"/>
        <v>0</v>
      </c>
      <c r="AU1217" s="47"/>
      <c r="AV1217" s="41">
        <f t="shared" si="543"/>
        <v>0</v>
      </c>
      <c r="AW1217" s="39"/>
      <c r="AX1217" s="41">
        <f t="shared" si="551"/>
        <v>0</v>
      </c>
      <c r="AY1217" s="47"/>
      <c r="AZ1217" s="41">
        <f t="shared" si="544"/>
        <v>0</v>
      </c>
      <c r="BA1217" s="39"/>
      <c r="BB1217" s="41">
        <f t="shared" si="552"/>
        <v>0</v>
      </c>
      <c r="BC1217" s="47"/>
      <c r="BD1217" s="41">
        <f t="shared" si="545"/>
        <v>0</v>
      </c>
      <c r="BE1217" s="39"/>
      <c r="BF1217" s="47"/>
    </row>
    <row r="1218" spans="1:58" ht="15.75" customHeight="1" x14ac:dyDescent="0.25">
      <c r="A1218" s="44">
        <v>2016</v>
      </c>
      <c r="B1218" s="39">
        <v>171830</v>
      </c>
      <c r="C1218" s="38" t="s">
        <v>145</v>
      </c>
      <c r="D1218" s="38" t="s">
        <v>109</v>
      </c>
      <c r="E1218" s="39"/>
      <c r="F1218" s="42">
        <f t="shared" ref="F1218:F1281" si="553">IFERROR(E1218/$BE1218,0)</f>
        <v>0</v>
      </c>
      <c r="G1218" s="47"/>
      <c r="H1218" s="42">
        <f t="shared" ref="H1218:H1281" si="554">IFERROR(G1218/$BF1218,0)</f>
        <v>0</v>
      </c>
      <c r="I1218" s="39"/>
      <c r="J1218" s="41">
        <f t="shared" ref="J1218:J1281" si="555">IFERROR(I1218/$BE1218,0)</f>
        <v>0</v>
      </c>
      <c r="K1218" s="47"/>
      <c r="L1218" s="41">
        <f t="shared" ref="L1218:L1281" si="556">IFERROR(K1218/$BF1218,0)</f>
        <v>0</v>
      </c>
      <c r="M1218" s="39"/>
      <c r="N1218" s="41">
        <f t="shared" ref="N1218:N1281" si="557">IFERROR(M1218/$BE1218,0)</f>
        <v>0</v>
      </c>
      <c r="O1218" s="47"/>
      <c r="P1218" s="41">
        <f t="shared" ref="P1218:P1281" si="558">IFERROR(O1218/$BF1218,0)</f>
        <v>0</v>
      </c>
      <c r="Q1218" s="39"/>
      <c r="R1218" s="41">
        <f t="shared" ref="R1218:R1281" si="559">IFERROR(Q1218/$BE1218,0)</f>
        <v>0</v>
      </c>
      <c r="S1218" s="47"/>
      <c r="T1218" s="41">
        <f t="shared" ref="T1218:T1281" si="560">IFERROR(S1218/$BF1218,0)</f>
        <v>0</v>
      </c>
      <c r="U1218" s="39"/>
      <c r="V1218" s="41">
        <f t="shared" ref="V1218:V1281" si="561">IFERROR(U1218/$BE1218,0)</f>
        <v>0</v>
      </c>
      <c r="W1218" s="47"/>
      <c r="X1218" s="41">
        <f t="shared" ref="X1218:X1281" si="562">IFERROR(W1218/$BF1218,0)</f>
        <v>0</v>
      </c>
      <c r="Y1218" s="39"/>
      <c r="Z1218" s="41">
        <f t="shared" ref="Z1218:Z1281" si="563">IFERROR(Y1218/$BE1218,0)</f>
        <v>0</v>
      </c>
      <c r="AA1218" s="47"/>
      <c r="AB1218" s="41">
        <f t="shared" ref="AB1218:AB1281" si="564">IFERROR(AA1218/$BF1218,0)</f>
        <v>0</v>
      </c>
      <c r="AC1218" s="39"/>
      <c r="AD1218" s="41">
        <f t="shared" si="546"/>
        <v>0</v>
      </c>
      <c r="AE1218" s="47"/>
      <c r="AF1218" s="41">
        <f t="shared" ref="AF1218:AF1281" si="565">IFERROR(AE1218/$BF1218,0)</f>
        <v>0</v>
      </c>
      <c r="AG1218" s="39"/>
      <c r="AH1218" s="41">
        <f t="shared" si="547"/>
        <v>0</v>
      </c>
      <c r="AI1218" s="47"/>
      <c r="AJ1218" s="41">
        <f t="shared" ref="AJ1218:AJ1281" si="566">IFERROR(AI1218/$BF1218,0)</f>
        <v>0</v>
      </c>
      <c r="AK1218" s="39"/>
      <c r="AL1218" s="41">
        <f t="shared" si="548"/>
        <v>0</v>
      </c>
      <c r="AM1218" s="47"/>
      <c r="AN1218" s="41">
        <f t="shared" ref="AN1218:AN1281" si="567">IFERROR(AM1218/$BF1218,0)</f>
        <v>0</v>
      </c>
      <c r="AO1218" s="39"/>
      <c r="AP1218" s="41">
        <f t="shared" si="549"/>
        <v>0</v>
      </c>
      <c r="AQ1218" s="47"/>
      <c r="AR1218" s="41">
        <f t="shared" ref="AR1218:AR1281" si="568">IFERROR(AQ1218/$BF1218,0)</f>
        <v>0</v>
      </c>
      <c r="AS1218" s="39"/>
      <c r="AT1218" s="41">
        <f t="shared" si="550"/>
        <v>0</v>
      </c>
      <c r="AU1218" s="47"/>
      <c r="AV1218" s="41">
        <f t="shared" ref="AV1218:AV1281" si="569">IFERROR(AU1218/$BF1218,0)</f>
        <v>0</v>
      </c>
      <c r="AW1218" s="39"/>
      <c r="AX1218" s="41">
        <f t="shared" si="551"/>
        <v>0</v>
      </c>
      <c r="AY1218" s="47"/>
      <c r="AZ1218" s="41">
        <f t="shared" ref="AZ1218:AZ1281" si="570">IFERROR(AY1218/$BF1218,0)</f>
        <v>0</v>
      </c>
      <c r="BA1218" s="39"/>
      <c r="BB1218" s="41">
        <f t="shared" si="552"/>
        <v>0</v>
      </c>
      <c r="BC1218" s="47"/>
      <c r="BD1218" s="41">
        <f t="shared" ref="BD1218:BD1281" si="571">IFERROR(BC1218/$BF1218,0)</f>
        <v>0</v>
      </c>
      <c r="BE1218" s="39"/>
      <c r="BF1218" s="47"/>
    </row>
    <row r="1219" spans="1:58" ht="15.75" customHeight="1" x14ac:dyDescent="0.25">
      <c r="A1219" s="44">
        <v>2016</v>
      </c>
      <c r="B1219" s="39">
        <v>171840</v>
      </c>
      <c r="C1219" s="38" t="s">
        <v>150</v>
      </c>
      <c r="D1219" s="38" t="s">
        <v>110</v>
      </c>
      <c r="E1219" s="39"/>
      <c r="F1219" s="42">
        <f t="shared" si="553"/>
        <v>0</v>
      </c>
      <c r="G1219" s="47"/>
      <c r="H1219" s="42">
        <f t="shared" si="554"/>
        <v>0</v>
      </c>
      <c r="I1219" s="39"/>
      <c r="J1219" s="41">
        <f t="shared" si="555"/>
        <v>0</v>
      </c>
      <c r="K1219" s="47"/>
      <c r="L1219" s="41">
        <f t="shared" si="556"/>
        <v>0</v>
      </c>
      <c r="M1219" s="39"/>
      <c r="N1219" s="41">
        <f t="shared" si="557"/>
        <v>0</v>
      </c>
      <c r="O1219" s="47"/>
      <c r="P1219" s="41">
        <f t="shared" si="558"/>
        <v>0</v>
      </c>
      <c r="Q1219" s="39"/>
      <c r="R1219" s="41">
        <f t="shared" si="559"/>
        <v>0</v>
      </c>
      <c r="S1219" s="47"/>
      <c r="T1219" s="41">
        <f t="shared" si="560"/>
        <v>0</v>
      </c>
      <c r="U1219" s="39"/>
      <c r="V1219" s="41">
        <f t="shared" si="561"/>
        <v>0</v>
      </c>
      <c r="W1219" s="47"/>
      <c r="X1219" s="41">
        <f t="shared" si="562"/>
        <v>0</v>
      </c>
      <c r="Y1219" s="39"/>
      <c r="Z1219" s="41">
        <f t="shared" si="563"/>
        <v>0</v>
      </c>
      <c r="AA1219" s="47"/>
      <c r="AB1219" s="41">
        <f t="shared" si="564"/>
        <v>0</v>
      </c>
      <c r="AC1219" s="39"/>
      <c r="AD1219" s="41">
        <f t="shared" si="546"/>
        <v>0</v>
      </c>
      <c r="AE1219" s="47"/>
      <c r="AF1219" s="41">
        <f t="shared" si="565"/>
        <v>0</v>
      </c>
      <c r="AG1219" s="39"/>
      <c r="AH1219" s="41">
        <f t="shared" si="547"/>
        <v>0</v>
      </c>
      <c r="AI1219" s="47"/>
      <c r="AJ1219" s="41">
        <f t="shared" si="566"/>
        <v>0</v>
      </c>
      <c r="AK1219" s="39"/>
      <c r="AL1219" s="41">
        <f t="shared" si="548"/>
        <v>0</v>
      </c>
      <c r="AM1219" s="47"/>
      <c r="AN1219" s="41">
        <f t="shared" si="567"/>
        <v>0</v>
      </c>
      <c r="AO1219" s="39"/>
      <c r="AP1219" s="41">
        <f t="shared" si="549"/>
        <v>0</v>
      </c>
      <c r="AQ1219" s="47"/>
      <c r="AR1219" s="41">
        <f t="shared" si="568"/>
        <v>0</v>
      </c>
      <c r="AS1219" s="39"/>
      <c r="AT1219" s="41">
        <f t="shared" si="550"/>
        <v>0</v>
      </c>
      <c r="AU1219" s="47"/>
      <c r="AV1219" s="41">
        <f t="shared" si="569"/>
        <v>0</v>
      </c>
      <c r="AW1219" s="39"/>
      <c r="AX1219" s="41">
        <f t="shared" si="551"/>
        <v>0</v>
      </c>
      <c r="AY1219" s="47"/>
      <c r="AZ1219" s="41">
        <f t="shared" si="570"/>
        <v>0</v>
      </c>
      <c r="BA1219" s="39"/>
      <c r="BB1219" s="41">
        <f t="shared" si="552"/>
        <v>0</v>
      </c>
      <c r="BC1219" s="47"/>
      <c r="BD1219" s="41">
        <f t="shared" si="571"/>
        <v>0</v>
      </c>
      <c r="BE1219" s="39"/>
      <c r="BF1219" s="47"/>
    </row>
    <row r="1220" spans="1:58" ht="15.75" customHeight="1" x14ac:dyDescent="0.25">
      <c r="A1220" s="44">
        <v>2016</v>
      </c>
      <c r="B1220" s="39">
        <v>171845</v>
      </c>
      <c r="C1220" s="38" t="s">
        <v>144</v>
      </c>
      <c r="D1220" s="38" t="s">
        <v>111</v>
      </c>
      <c r="E1220" s="39"/>
      <c r="F1220" s="42">
        <f t="shared" si="553"/>
        <v>0</v>
      </c>
      <c r="G1220" s="47"/>
      <c r="H1220" s="42">
        <f t="shared" si="554"/>
        <v>0</v>
      </c>
      <c r="I1220" s="39"/>
      <c r="J1220" s="41">
        <f t="shared" si="555"/>
        <v>0</v>
      </c>
      <c r="K1220" s="47"/>
      <c r="L1220" s="41">
        <f t="shared" si="556"/>
        <v>0</v>
      </c>
      <c r="M1220" s="39"/>
      <c r="N1220" s="41">
        <f t="shared" si="557"/>
        <v>0</v>
      </c>
      <c r="O1220" s="47"/>
      <c r="P1220" s="41">
        <f t="shared" si="558"/>
        <v>0</v>
      </c>
      <c r="Q1220" s="39"/>
      <c r="R1220" s="41">
        <f t="shared" si="559"/>
        <v>0</v>
      </c>
      <c r="S1220" s="47"/>
      <c r="T1220" s="41">
        <f t="shared" si="560"/>
        <v>0</v>
      </c>
      <c r="U1220" s="39"/>
      <c r="V1220" s="41">
        <f t="shared" si="561"/>
        <v>0</v>
      </c>
      <c r="W1220" s="47"/>
      <c r="X1220" s="41">
        <f t="shared" si="562"/>
        <v>0</v>
      </c>
      <c r="Y1220" s="39"/>
      <c r="Z1220" s="41">
        <f t="shared" si="563"/>
        <v>0</v>
      </c>
      <c r="AA1220" s="47"/>
      <c r="AB1220" s="41">
        <f t="shared" si="564"/>
        <v>0</v>
      </c>
      <c r="AC1220" s="39"/>
      <c r="AD1220" s="41">
        <f t="shared" si="546"/>
        <v>0</v>
      </c>
      <c r="AE1220" s="47"/>
      <c r="AF1220" s="41">
        <f t="shared" si="565"/>
        <v>0</v>
      </c>
      <c r="AG1220" s="39"/>
      <c r="AH1220" s="41">
        <f t="shared" si="547"/>
        <v>0</v>
      </c>
      <c r="AI1220" s="47"/>
      <c r="AJ1220" s="41">
        <f t="shared" si="566"/>
        <v>0</v>
      </c>
      <c r="AK1220" s="39"/>
      <c r="AL1220" s="41">
        <f t="shared" si="548"/>
        <v>0</v>
      </c>
      <c r="AM1220" s="47"/>
      <c r="AN1220" s="41">
        <f t="shared" si="567"/>
        <v>0</v>
      </c>
      <c r="AO1220" s="39"/>
      <c r="AP1220" s="41">
        <f t="shared" si="549"/>
        <v>0</v>
      </c>
      <c r="AQ1220" s="47"/>
      <c r="AR1220" s="41">
        <f t="shared" si="568"/>
        <v>0</v>
      </c>
      <c r="AS1220" s="39"/>
      <c r="AT1220" s="41">
        <f t="shared" si="550"/>
        <v>0</v>
      </c>
      <c r="AU1220" s="47"/>
      <c r="AV1220" s="41">
        <f t="shared" si="569"/>
        <v>0</v>
      </c>
      <c r="AW1220" s="39"/>
      <c r="AX1220" s="41">
        <f t="shared" si="551"/>
        <v>0</v>
      </c>
      <c r="AY1220" s="47"/>
      <c r="AZ1220" s="41">
        <f t="shared" si="570"/>
        <v>0</v>
      </c>
      <c r="BA1220" s="39"/>
      <c r="BB1220" s="41">
        <f t="shared" si="552"/>
        <v>0</v>
      </c>
      <c r="BC1220" s="47"/>
      <c r="BD1220" s="41">
        <f t="shared" si="571"/>
        <v>0</v>
      </c>
      <c r="BE1220" s="39"/>
      <c r="BF1220" s="47"/>
    </row>
    <row r="1221" spans="1:58" ht="15.75" customHeight="1" x14ac:dyDescent="0.25">
      <c r="A1221" s="44">
        <v>2016</v>
      </c>
      <c r="B1221" s="39">
        <v>171850</v>
      </c>
      <c r="C1221" s="38" t="s">
        <v>150</v>
      </c>
      <c r="D1221" s="38" t="s">
        <v>112</v>
      </c>
      <c r="E1221" s="39"/>
      <c r="F1221" s="42">
        <f t="shared" si="553"/>
        <v>0</v>
      </c>
      <c r="G1221" s="47"/>
      <c r="H1221" s="42">
        <f t="shared" si="554"/>
        <v>0</v>
      </c>
      <c r="I1221" s="39"/>
      <c r="J1221" s="41">
        <f t="shared" si="555"/>
        <v>0</v>
      </c>
      <c r="K1221" s="47"/>
      <c r="L1221" s="41">
        <f t="shared" si="556"/>
        <v>0</v>
      </c>
      <c r="M1221" s="39"/>
      <c r="N1221" s="41">
        <f t="shared" si="557"/>
        <v>0</v>
      </c>
      <c r="O1221" s="47"/>
      <c r="P1221" s="41">
        <f t="shared" si="558"/>
        <v>0</v>
      </c>
      <c r="Q1221" s="39"/>
      <c r="R1221" s="41">
        <f t="shared" si="559"/>
        <v>0</v>
      </c>
      <c r="S1221" s="47"/>
      <c r="T1221" s="41">
        <f t="shared" si="560"/>
        <v>0</v>
      </c>
      <c r="U1221" s="39"/>
      <c r="V1221" s="41">
        <f t="shared" si="561"/>
        <v>0</v>
      </c>
      <c r="W1221" s="47"/>
      <c r="X1221" s="41">
        <f t="shared" si="562"/>
        <v>0</v>
      </c>
      <c r="Y1221" s="39"/>
      <c r="Z1221" s="41">
        <f t="shared" si="563"/>
        <v>0</v>
      </c>
      <c r="AA1221" s="47"/>
      <c r="AB1221" s="41">
        <f t="shared" si="564"/>
        <v>0</v>
      </c>
      <c r="AC1221" s="39"/>
      <c r="AD1221" s="41">
        <f t="shared" si="546"/>
        <v>0</v>
      </c>
      <c r="AE1221" s="47"/>
      <c r="AF1221" s="41">
        <f t="shared" si="565"/>
        <v>0</v>
      </c>
      <c r="AG1221" s="39"/>
      <c r="AH1221" s="41">
        <f t="shared" si="547"/>
        <v>0</v>
      </c>
      <c r="AI1221" s="47"/>
      <c r="AJ1221" s="41">
        <f t="shared" si="566"/>
        <v>0</v>
      </c>
      <c r="AK1221" s="39"/>
      <c r="AL1221" s="41">
        <f t="shared" si="548"/>
        <v>0</v>
      </c>
      <c r="AM1221" s="47"/>
      <c r="AN1221" s="41">
        <f t="shared" si="567"/>
        <v>0</v>
      </c>
      <c r="AO1221" s="39"/>
      <c r="AP1221" s="41">
        <f t="shared" si="549"/>
        <v>0</v>
      </c>
      <c r="AQ1221" s="47"/>
      <c r="AR1221" s="41">
        <f t="shared" si="568"/>
        <v>0</v>
      </c>
      <c r="AS1221" s="39"/>
      <c r="AT1221" s="41">
        <f t="shared" si="550"/>
        <v>0</v>
      </c>
      <c r="AU1221" s="47"/>
      <c r="AV1221" s="41">
        <f t="shared" si="569"/>
        <v>0</v>
      </c>
      <c r="AW1221" s="39"/>
      <c r="AX1221" s="41">
        <f t="shared" si="551"/>
        <v>0</v>
      </c>
      <c r="AY1221" s="47"/>
      <c r="AZ1221" s="41">
        <f t="shared" si="570"/>
        <v>0</v>
      </c>
      <c r="BA1221" s="39"/>
      <c r="BB1221" s="41">
        <f t="shared" si="552"/>
        <v>0</v>
      </c>
      <c r="BC1221" s="47"/>
      <c r="BD1221" s="41">
        <f t="shared" si="571"/>
        <v>0</v>
      </c>
      <c r="BE1221" s="39"/>
      <c r="BF1221" s="47"/>
    </row>
    <row r="1222" spans="1:58" ht="15.75" customHeight="1" x14ac:dyDescent="0.25">
      <c r="A1222" s="44">
        <v>2016</v>
      </c>
      <c r="B1222" s="39">
        <v>171855</v>
      </c>
      <c r="C1222" s="38" t="s">
        <v>145</v>
      </c>
      <c r="D1222" s="38" t="s">
        <v>113</v>
      </c>
      <c r="E1222" s="39"/>
      <c r="F1222" s="42">
        <f t="shared" si="553"/>
        <v>0</v>
      </c>
      <c r="G1222" s="47"/>
      <c r="H1222" s="42">
        <f t="shared" si="554"/>
        <v>0</v>
      </c>
      <c r="I1222" s="39"/>
      <c r="J1222" s="41">
        <f t="shared" si="555"/>
        <v>0</v>
      </c>
      <c r="K1222" s="47"/>
      <c r="L1222" s="41">
        <f t="shared" si="556"/>
        <v>0</v>
      </c>
      <c r="M1222" s="39"/>
      <c r="N1222" s="41">
        <f t="shared" si="557"/>
        <v>0</v>
      </c>
      <c r="O1222" s="47"/>
      <c r="P1222" s="41">
        <f t="shared" si="558"/>
        <v>0</v>
      </c>
      <c r="Q1222" s="39"/>
      <c r="R1222" s="41">
        <f t="shared" si="559"/>
        <v>0</v>
      </c>
      <c r="S1222" s="47"/>
      <c r="T1222" s="41">
        <f t="shared" si="560"/>
        <v>0</v>
      </c>
      <c r="U1222" s="39"/>
      <c r="V1222" s="41">
        <f t="shared" si="561"/>
        <v>0</v>
      </c>
      <c r="W1222" s="47"/>
      <c r="X1222" s="41">
        <f t="shared" si="562"/>
        <v>0</v>
      </c>
      <c r="Y1222" s="39"/>
      <c r="Z1222" s="41">
        <f t="shared" si="563"/>
        <v>0</v>
      </c>
      <c r="AA1222" s="47"/>
      <c r="AB1222" s="41">
        <f t="shared" si="564"/>
        <v>0</v>
      </c>
      <c r="AC1222" s="39"/>
      <c r="AD1222" s="41">
        <f t="shared" si="546"/>
        <v>0</v>
      </c>
      <c r="AE1222" s="47"/>
      <c r="AF1222" s="41">
        <f t="shared" si="565"/>
        <v>0</v>
      </c>
      <c r="AG1222" s="39"/>
      <c r="AH1222" s="41">
        <f t="shared" si="547"/>
        <v>0</v>
      </c>
      <c r="AI1222" s="47"/>
      <c r="AJ1222" s="41">
        <f t="shared" si="566"/>
        <v>0</v>
      </c>
      <c r="AK1222" s="39"/>
      <c r="AL1222" s="41">
        <f t="shared" si="548"/>
        <v>0</v>
      </c>
      <c r="AM1222" s="47"/>
      <c r="AN1222" s="41">
        <f t="shared" si="567"/>
        <v>0</v>
      </c>
      <c r="AO1222" s="39"/>
      <c r="AP1222" s="41">
        <f t="shared" si="549"/>
        <v>0</v>
      </c>
      <c r="AQ1222" s="47"/>
      <c r="AR1222" s="41">
        <f t="shared" si="568"/>
        <v>0</v>
      </c>
      <c r="AS1222" s="39"/>
      <c r="AT1222" s="41">
        <f t="shared" si="550"/>
        <v>0</v>
      </c>
      <c r="AU1222" s="47"/>
      <c r="AV1222" s="41">
        <f t="shared" si="569"/>
        <v>0</v>
      </c>
      <c r="AW1222" s="39"/>
      <c r="AX1222" s="41">
        <f t="shared" si="551"/>
        <v>0</v>
      </c>
      <c r="AY1222" s="47"/>
      <c r="AZ1222" s="41">
        <f t="shared" si="570"/>
        <v>0</v>
      </c>
      <c r="BA1222" s="39"/>
      <c r="BB1222" s="41">
        <f t="shared" si="552"/>
        <v>0</v>
      </c>
      <c r="BC1222" s="47"/>
      <c r="BD1222" s="41">
        <f t="shared" si="571"/>
        <v>0</v>
      </c>
      <c r="BE1222" s="39"/>
      <c r="BF1222" s="47"/>
    </row>
    <row r="1223" spans="1:58" ht="15.75" customHeight="1" x14ac:dyDescent="0.25">
      <c r="A1223" s="44">
        <v>2016</v>
      </c>
      <c r="B1223" s="39">
        <v>171865</v>
      </c>
      <c r="C1223" s="38" t="s">
        <v>147</v>
      </c>
      <c r="D1223" s="38" t="s">
        <v>114</v>
      </c>
      <c r="E1223" s="39"/>
      <c r="F1223" s="42">
        <f t="shared" si="553"/>
        <v>0</v>
      </c>
      <c r="G1223" s="47"/>
      <c r="H1223" s="42">
        <f t="shared" si="554"/>
        <v>0</v>
      </c>
      <c r="I1223" s="39"/>
      <c r="J1223" s="41">
        <f t="shared" si="555"/>
        <v>0</v>
      </c>
      <c r="K1223" s="47"/>
      <c r="L1223" s="41">
        <f t="shared" si="556"/>
        <v>0</v>
      </c>
      <c r="M1223" s="39"/>
      <c r="N1223" s="41">
        <f t="shared" si="557"/>
        <v>0</v>
      </c>
      <c r="O1223" s="47"/>
      <c r="P1223" s="41">
        <f t="shared" si="558"/>
        <v>0</v>
      </c>
      <c r="Q1223" s="39"/>
      <c r="R1223" s="41">
        <f t="shared" si="559"/>
        <v>0</v>
      </c>
      <c r="S1223" s="47"/>
      <c r="T1223" s="41">
        <f t="shared" si="560"/>
        <v>0</v>
      </c>
      <c r="U1223" s="39"/>
      <c r="V1223" s="41">
        <f t="shared" si="561"/>
        <v>0</v>
      </c>
      <c r="W1223" s="47"/>
      <c r="X1223" s="41">
        <f t="shared" si="562"/>
        <v>0</v>
      </c>
      <c r="Y1223" s="39"/>
      <c r="Z1223" s="41">
        <f t="shared" si="563"/>
        <v>0</v>
      </c>
      <c r="AA1223" s="47"/>
      <c r="AB1223" s="41">
        <f t="shared" si="564"/>
        <v>0</v>
      </c>
      <c r="AC1223" s="39"/>
      <c r="AD1223" s="41">
        <f t="shared" si="546"/>
        <v>0</v>
      </c>
      <c r="AE1223" s="47"/>
      <c r="AF1223" s="41">
        <f t="shared" si="565"/>
        <v>0</v>
      </c>
      <c r="AG1223" s="39"/>
      <c r="AH1223" s="41">
        <f t="shared" si="547"/>
        <v>0</v>
      </c>
      <c r="AI1223" s="47"/>
      <c r="AJ1223" s="41">
        <f t="shared" si="566"/>
        <v>0</v>
      </c>
      <c r="AK1223" s="39"/>
      <c r="AL1223" s="41">
        <f t="shared" si="548"/>
        <v>0</v>
      </c>
      <c r="AM1223" s="47"/>
      <c r="AN1223" s="41">
        <f t="shared" si="567"/>
        <v>0</v>
      </c>
      <c r="AO1223" s="39"/>
      <c r="AP1223" s="41">
        <f t="shared" si="549"/>
        <v>0</v>
      </c>
      <c r="AQ1223" s="47"/>
      <c r="AR1223" s="41">
        <f t="shared" si="568"/>
        <v>0</v>
      </c>
      <c r="AS1223" s="39"/>
      <c r="AT1223" s="41">
        <f t="shared" si="550"/>
        <v>0</v>
      </c>
      <c r="AU1223" s="47"/>
      <c r="AV1223" s="41">
        <f t="shared" si="569"/>
        <v>0</v>
      </c>
      <c r="AW1223" s="39"/>
      <c r="AX1223" s="41">
        <f t="shared" si="551"/>
        <v>0</v>
      </c>
      <c r="AY1223" s="47"/>
      <c r="AZ1223" s="41">
        <f t="shared" si="570"/>
        <v>0</v>
      </c>
      <c r="BA1223" s="39"/>
      <c r="BB1223" s="41">
        <f t="shared" si="552"/>
        <v>0</v>
      </c>
      <c r="BC1223" s="47"/>
      <c r="BD1223" s="41">
        <f t="shared" si="571"/>
        <v>0</v>
      </c>
      <c r="BE1223" s="39"/>
      <c r="BF1223" s="47"/>
    </row>
    <row r="1224" spans="1:58" ht="15.75" customHeight="1" x14ac:dyDescent="0.25">
      <c r="A1224" s="44">
        <v>2016</v>
      </c>
      <c r="B1224" s="39">
        <v>171870</v>
      </c>
      <c r="C1224" s="38" t="s">
        <v>148</v>
      </c>
      <c r="D1224" s="38" t="s">
        <v>115</v>
      </c>
      <c r="E1224" s="39"/>
      <c r="F1224" s="42">
        <f t="shared" si="553"/>
        <v>0</v>
      </c>
      <c r="G1224" s="47"/>
      <c r="H1224" s="42">
        <f t="shared" si="554"/>
        <v>0</v>
      </c>
      <c r="I1224" s="39"/>
      <c r="J1224" s="41">
        <f t="shared" si="555"/>
        <v>0</v>
      </c>
      <c r="K1224" s="47"/>
      <c r="L1224" s="41">
        <f t="shared" si="556"/>
        <v>0</v>
      </c>
      <c r="M1224" s="39"/>
      <c r="N1224" s="41">
        <f t="shared" si="557"/>
        <v>0</v>
      </c>
      <c r="O1224" s="47"/>
      <c r="P1224" s="41">
        <f t="shared" si="558"/>
        <v>0</v>
      </c>
      <c r="Q1224" s="39"/>
      <c r="R1224" s="41">
        <f t="shared" si="559"/>
        <v>0</v>
      </c>
      <c r="S1224" s="47"/>
      <c r="T1224" s="41">
        <f t="shared" si="560"/>
        <v>0</v>
      </c>
      <c r="U1224" s="39"/>
      <c r="V1224" s="41">
        <f t="shared" si="561"/>
        <v>0</v>
      </c>
      <c r="W1224" s="47"/>
      <c r="X1224" s="41">
        <f t="shared" si="562"/>
        <v>0</v>
      </c>
      <c r="Y1224" s="39"/>
      <c r="Z1224" s="41">
        <f t="shared" si="563"/>
        <v>0</v>
      </c>
      <c r="AA1224" s="47"/>
      <c r="AB1224" s="41">
        <f t="shared" si="564"/>
        <v>0</v>
      </c>
      <c r="AC1224" s="39"/>
      <c r="AD1224" s="41">
        <f t="shared" si="546"/>
        <v>0</v>
      </c>
      <c r="AE1224" s="47"/>
      <c r="AF1224" s="41">
        <f t="shared" si="565"/>
        <v>0</v>
      </c>
      <c r="AG1224" s="39"/>
      <c r="AH1224" s="41">
        <f t="shared" si="547"/>
        <v>0</v>
      </c>
      <c r="AI1224" s="47"/>
      <c r="AJ1224" s="41">
        <f t="shared" si="566"/>
        <v>0</v>
      </c>
      <c r="AK1224" s="39"/>
      <c r="AL1224" s="41">
        <f t="shared" si="548"/>
        <v>0</v>
      </c>
      <c r="AM1224" s="47"/>
      <c r="AN1224" s="41">
        <f t="shared" si="567"/>
        <v>0</v>
      </c>
      <c r="AO1224" s="39"/>
      <c r="AP1224" s="41">
        <f t="shared" si="549"/>
        <v>0</v>
      </c>
      <c r="AQ1224" s="47"/>
      <c r="AR1224" s="41">
        <f t="shared" si="568"/>
        <v>0</v>
      </c>
      <c r="AS1224" s="39"/>
      <c r="AT1224" s="41">
        <f t="shared" si="550"/>
        <v>0</v>
      </c>
      <c r="AU1224" s="47"/>
      <c r="AV1224" s="41">
        <f t="shared" si="569"/>
        <v>0</v>
      </c>
      <c r="AW1224" s="39"/>
      <c r="AX1224" s="41">
        <f t="shared" si="551"/>
        <v>0</v>
      </c>
      <c r="AY1224" s="47"/>
      <c r="AZ1224" s="41">
        <f t="shared" si="570"/>
        <v>0</v>
      </c>
      <c r="BA1224" s="39"/>
      <c r="BB1224" s="41">
        <f t="shared" si="552"/>
        <v>0</v>
      </c>
      <c r="BC1224" s="47"/>
      <c r="BD1224" s="41">
        <f t="shared" si="571"/>
        <v>0</v>
      </c>
      <c r="BE1224" s="39"/>
      <c r="BF1224" s="47"/>
    </row>
    <row r="1225" spans="1:58" ht="15.75" customHeight="1" x14ac:dyDescent="0.25">
      <c r="A1225" s="44">
        <v>2016</v>
      </c>
      <c r="B1225" s="39">
        <v>171875</v>
      </c>
      <c r="C1225" s="38" t="s">
        <v>148</v>
      </c>
      <c r="D1225" s="38" t="s">
        <v>116</v>
      </c>
      <c r="E1225" s="39"/>
      <c r="F1225" s="42">
        <f t="shared" si="553"/>
        <v>0</v>
      </c>
      <c r="G1225" s="47"/>
      <c r="H1225" s="42">
        <f t="shared" si="554"/>
        <v>0</v>
      </c>
      <c r="I1225" s="39"/>
      <c r="J1225" s="41">
        <f t="shared" si="555"/>
        <v>0</v>
      </c>
      <c r="K1225" s="47"/>
      <c r="L1225" s="41">
        <f t="shared" si="556"/>
        <v>0</v>
      </c>
      <c r="M1225" s="39"/>
      <c r="N1225" s="41">
        <f t="shared" si="557"/>
        <v>0</v>
      </c>
      <c r="O1225" s="47"/>
      <c r="P1225" s="41">
        <f t="shared" si="558"/>
        <v>0</v>
      </c>
      <c r="Q1225" s="39"/>
      <c r="R1225" s="41">
        <f t="shared" si="559"/>
        <v>0</v>
      </c>
      <c r="S1225" s="47"/>
      <c r="T1225" s="41">
        <f t="shared" si="560"/>
        <v>0</v>
      </c>
      <c r="U1225" s="39"/>
      <c r="V1225" s="41">
        <f t="shared" si="561"/>
        <v>0</v>
      </c>
      <c r="W1225" s="47"/>
      <c r="X1225" s="41">
        <f t="shared" si="562"/>
        <v>0</v>
      </c>
      <c r="Y1225" s="39"/>
      <c r="Z1225" s="41">
        <f t="shared" si="563"/>
        <v>0</v>
      </c>
      <c r="AA1225" s="47"/>
      <c r="AB1225" s="41">
        <f t="shared" si="564"/>
        <v>0</v>
      </c>
      <c r="AC1225" s="39"/>
      <c r="AD1225" s="41">
        <f t="shared" si="546"/>
        <v>0</v>
      </c>
      <c r="AE1225" s="47"/>
      <c r="AF1225" s="41">
        <f t="shared" si="565"/>
        <v>0</v>
      </c>
      <c r="AG1225" s="39"/>
      <c r="AH1225" s="41">
        <f t="shared" si="547"/>
        <v>0</v>
      </c>
      <c r="AI1225" s="47"/>
      <c r="AJ1225" s="41">
        <f t="shared" si="566"/>
        <v>0</v>
      </c>
      <c r="AK1225" s="39"/>
      <c r="AL1225" s="41">
        <f t="shared" si="548"/>
        <v>0</v>
      </c>
      <c r="AM1225" s="47"/>
      <c r="AN1225" s="41">
        <f t="shared" si="567"/>
        <v>0</v>
      </c>
      <c r="AO1225" s="39"/>
      <c r="AP1225" s="41">
        <f t="shared" si="549"/>
        <v>0</v>
      </c>
      <c r="AQ1225" s="47"/>
      <c r="AR1225" s="41">
        <f t="shared" si="568"/>
        <v>0</v>
      </c>
      <c r="AS1225" s="39"/>
      <c r="AT1225" s="41">
        <f t="shared" si="550"/>
        <v>0</v>
      </c>
      <c r="AU1225" s="47"/>
      <c r="AV1225" s="41">
        <f t="shared" si="569"/>
        <v>0</v>
      </c>
      <c r="AW1225" s="39"/>
      <c r="AX1225" s="41">
        <f t="shared" si="551"/>
        <v>0</v>
      </c>
      <c r="AY1225" s="47"/>
      <c r="AZ1225" s="41">
        <f t="shared" si="570"/>
        <v>0</v>
      </c>
      <c r="BA1225" s="39"/>
      <c r="BB1225" s="41">
        <f t="shared" si="552"/>
        <v>0</v>
      </c>
      <c r="BC1225" s="47"/>
      <c r="BD1225" s="41">
        <f t="shared" si="571"/>
        <v>0</v>
      </c>
      <c r="BE1225" s="39"/>
      <c r="BF1225" s="47"/>
    </row>
    <row r="1226" spans="1:58" ht="15.75" customHeight="1" x14ac:dyDescent="0.25">
      <c r="A1226" s="44">
        <v>2016</v>
      </c>
      <c r="B1226" s="39">
        <v>171880</v>
      </c>
      <c r="C1226" s="38" t="s">
        <v>145</v>
      </c>
      <c r="D1226" s="38" t="s">
        <v>117</v>
      </c>
      <c r="E1226" s="39"/>
      <c r="F1226" s="42">
        <f t="shared" si="553"/>
        <v>0</v>
      </c>
      <c r="G1226" s="47"/>
      <c r="H1226" s="42">
        <f t="shared" si="554"/>
        <v>0</v>
      </c>
      <c r="I1226" s="39"/>
      <c r="J1226" s="41">
        <f t="shared" si="555"/>
        <v>0</v>
      </c>
      <c r="K1226" s="47"/>
      <c r="L1226" s="41">
        <f t="shared" si="556"/>
        <v>0</v>
      </c>
      <c r="M1226" s="39"/>
      <c r="N1226" s="41">
        <f t="shared" si="557"/>
        <v>0</v>
      </c>
      <c r="O1226" s="47"/>
      <c r="P1226" s="41">
        <f t="shared" si="558"/>
        <v>0</v>
      </c>
      <c r="Q1226" s="39"/>
      <c r="R1226" s="41">
        <f t="shared" si="559"/>
        <v>0</v>
      </c>
      <c r="S1226" s="47"/>
      <c r="T1226" s="41">
        <f t="shared" si="560"/>
        <v>0</v>
      </c>
      <c r="U1226" s="39"/>
      <c r="V1226" s="41">
        <f t="shared" si="561"/>
        <v>0</v>
      </c>
      <c r="W1226" s="47"/>
      <c r="X1226" s="41">
        <f t="shared" si="562"/>
        <v>0</v>
      </c>
      <c r="Y1226" s="39"/>
      <c r="Z1226" s="41">
        <f t="shared" si="563"/>
        <v>0</v>
      </c>
      <c r="AA1226" s="47"/>
      <c r="AB1226" s="41">
        <f t="shared" si="564"/>
        <v>0</v>
      </c>
      <c r="AC1226" s="39"/>
      <c r="AD1226" s="41">
        <f t="shared" si="546"/>
        <v>0</v>
      </c>
      <c r="AE1226" s="47"/>
      <c r="AF1226" s="41">
        <f t="shared" si="565"/>
        <v>0</v>
      </c>
      <c r="AG1226" s="39"/>
      <c r="AH1226" s="41">
        <f t="shared" si="547"/>
        <v>0</v>
      </c>
      <c r="AI1226" s="47"/>
      <c r="AJ1226" s="41">
        <f t="shared" si="566"/>
        <v>0</v>
      </c>
      <c r="AK1226" s="39"/>
      <c r="AL1226" s="41">
        <f t="shared" si="548"/>
        <v>0</v>
      </c>
      <c r="AM1226" s="47"/>
      <c r="AN1226" s="41">
        <f t="shared" si="567"/>
        <v>0</v>
      </c>
      <c r="AO1226" s="39"/>
      <c r="AP1226" s="41">
        <f t="shared" si="549"/>
        <v>0</v>
      </c>
      <c r="AQ1226" s="47"/>
      <c r="AR1226" s="41">
        <f t="shared" si="568"/>
        <v>0</v>
      </c>
      <c r="AS1226" s="39"/>
      <c r="AT1226" s="41">
        <f t="shared" si="550"/>
        <v>0</v>
      </c>
      <c r="AU1226" s="47"/>
      <c r="AV1226" s="41">
        <f t="shared" si="569"/>
        <v>0</v>
      </c>
      <c r="AW1226" s="39"/>
      <c r="AX1226" s="41">
        <f t="shared" si="551"/>
        <v>0</v>
      </c>
      <c r="AY1226" s="47"/>
      <c r="AZ1226" s="41">
        <f t="shared" si="570"/>
        <v>0</v>
      </c>
      <c r="BA1226" s="39"/>
      <c r="BB1226" s="41">
        <f t="shared" si="552"/>
        <v>0</v>
      </c>
      <c r="BC1226" s="47"/>
      <c r="BD1226" s="41">
        <f t="shared" si="571"/>
        <v>0</v>
      </c>
      <c r="BE1226" s="39"/>
      <c r="BF1226" s="47"/>
    </row>
    <row r="1227" spans="1:58" ht="15.75" customHeight="1" x14ac:dyDescent="0.25">
      <c r="A1227" s="44">
        <v>2016</v>
      </c>
      <c r="B1227" s="39">
        <v>171884</v>
      </c>
      <c r="C1227" s="38" t="s">
        <v>146</v>
      </c>
      <c r="D1227" s="38" t="s">
        <v>118</v>
      </c>
      <c r="E1227" s="39"/>
      <c r="F1227" s="42">
        <f t="shared" si="553"/>
        <v>0</v>
      </c>
      <c r="G1227" s="47"/>
      <c r="H1227" s="42">
        <f t="shared" si="554"/>
        <v>0</v>
      </c>
      <c r="I1227" s="39"/>
      <c r="J1227" s="41">
        <f t="shared" si="555"/>
        <v>0</v>
      </c>
      <c r="K1227" s="47"/>
      <c r="L1227" s="41">
        <f t="shared" si="556"/>
        <v>0</v>
      </c>
      <c r="M1227" s="39"/>
      <c r="N1227" s="41">
        <f t="shared" si="557"/>
        <v>0</v>
      </c>
      <c r="O1227" s="47"/>
      <c r="P1227" s="41">
        <f t="shared" si="558"/>
        <v>0</v>
      </c>
      <c r="Q1227" s="39"/>
      <c r="R1227" s="41">
        <f t="shared" si="559"/>
        <v>0</v>
      </c>
      <c r="S1227" s="47"/>
      <c r="T1227" s="41">
        <f t="shared" si="560"/>
        <v>0</v>
      </c>
      <c r="U1227" s="39"/>
      <c r="V1227" s="41">
        <f t="shared" si="561"/>
        <v>0</v>
      </c>
      <c r="W1227" s="47"/>
      <c r="X1227" s="41">
        <f t="shared" si="562"/>
        <v>0</v>
      </c>
      <c r="Y1227" s="39"/>
      <c r="Z1227" s="41">
        <f t="shared" si="563"/>
        <v>0</v>
      </c>
      <c r="AA1227" s="47"/>
      <c r="AB1227" s="41">
        <f t="shared" si="564"/>
        <v>0</v>
      </c>
      <c r="AC1227" s="39"/>
      <c r="AD1227" s="41">
        <f t="shared" ref="AD1227:AD1255" si="572">IFERROR(AC1227/$BE1227,0)</f>
        <v>0</v>
      </c>
      <c r="AE1227" s="47"/>
      <c r="AF1227" s="41">
        <f t="shared" si="565"/>
        <v>0</v>
      </c>
      <c r="AG1227" s="39"/>
      <c r="AH1227" s="41">
        <f t="shared" ref="AH1227:AH1255" si="573">IFERROR(AG1227/$BE1227,0)</f>
        <v>0</v>
      </c>
      <c r="AI1227" s="47"/>
      <c r="AJ1227" s="41">
        <f t="shared" si="566"/>
        <v>0</v>
      </c>
      <c r="AK1227" s="39"/>
      <c r="AL1227" s="41">
        <f t="shared" ref="AL1227:AL1255" si="574">IFERROR(AK1227/$BE1227,0)</f>
        <v>0</v>
      </c>
      <c r="AM1227" s="47"/>
      <c r="AN1227" s="41">
        <f t="shared" si="567"/>
        <v>0</v>
      </c>
      <c r="AO1227" s="39"/>
      <c r="AP1227" s="41">
        <f t="shared" ref="AP1227:AP1255" si="575">IFERROR(AO1227/$BE1227,0)</f>
        <v>0</v>
      </c>
      <c r="AQ1227" s="47"/>
      <c r="AR1227" s="41">
        <f t="shared" si="568"/>
        <v>0</v>
      </c>
      <c r="AS1227" s="39"/>
      <c r="AT1227" s="41">
        <f t="shared" ref="AT1227:AT1255" si="576">IFERROR(AS1227/$BE1227,0)</f>
        <v>0</v>
      </c>
      <c r="AU1227" s="47"/>
      <c r="AV1227" s="41">
        <f t="shared" si="569"/>
        <v>0</v>
      </c>
      <c r="AW1227" s="39"/>
      <c r="AX1227" s="41">
        <f t="shared" ref="AX1227:AX1255" si="577">IFERROR(AW1227/$BE1227,0)</f>
        <v>0</v>
      </c>
      <c r="AY1227" s="47"/>
      <c r="AZ1227" s="41">
        <f t="shared" si="570"/>
        <v>0</v>
      </c>
      <c r="BA1227" s="39"/>
      <c r="BB1227" s="41">
        <f t="shared" ref="BB1227:BB1255" si="578">IFERROR(BA1227/$BE1227,0)</f>
        <v>0</v>
      </c>
      <c r="BC1227" s="47"/>
      <c r="BD1227" s="41">
        <f t="shared" si="571"/>
        <v>0</v>
      </c>
      <c r="BE1227" s="39"/>
      <c r="BF1227" s="47"/>
    </row>
    <row r="1228" spans="1:58" ht="15.75" customHeight="1" x14ac:dyDescent="0.25">
      <c r="A1228" s="44">
        <v>2016</v>
      </c>
      <c r="B1228" s="39">
        <v>171886</v>
      </c>
      <c r="C1228" s="38" t="s">
        <v>149</v>
      </c>
      <c r="D1228" s="38" t="s">
        <v>119</v>
      </c>
      <c r="E1228" s="39"/>
      <c r="F1228" s="42">
        <f t="shared" si="553"/>
        <v>0</v>
      </c>
      <c r="G1228" s="47"/>
      <c r="H1228" s="42">
        <f t="shared" si="554"/>
        <v>0</v>
      </c>
      <c r="I1228" s="39"/>
      <c r="J1228" s="41">
        <f t="shared" si="555"/>
        <v>0</v>
      </c>
      <c r="K1228" s="47"/>
      <c r="L1228" s="41">
        <f t="shared" si="556"/>
        <v>0</v>
      </c>
      <c r="M1228" s="39"/>
      <c r="N1228" s="41">
        <f t="shared" si="557"/>
        <v>0</v>
      </c>
      <c r="O1228" s="47"/>
      <c r="P1228" s="41">
        <f t="shared" si="558"/>
        <v>0</v>
      </c>
      <c r="Q1228" s="39"/>
      <c r="R1228" s="41">
        <f t="shared" si="559"/>
        <v>0</v>
      </c>
      <c r="S1228" s="47"/>
      <c r="T1228" s="41">
        <f t="shared" si="560"/>
        <v>0</v>
      </c>
      <c r="U1228" s="39"/>
      <c r="V1228" s="41">
        <f t="shared" si="561"/>
        <v>0</v>
      </c>
      <c r="W1228" s="47"/>
      <c r="X1228" s="41">
        <f t="shared" si="562"/>
        <v>0</v>
      </c>
      <c r="Y1228" s="39"/>
      <c r="Z1228" s="41">
        <f t="shared" si="563"/>
        <v>0</v>
      </c>
      <c r="AA1228" s="47"/>
      <c r="AB1228" s="41">
        <f t="shared" si="564"/>
        <v>0</v>
      </c>
      <c r="AC1228" s="39"/>
      <c r="AD1228" s="41">
        <f t="shared" si="572"/>
        <v>0</v>
      </c>
      <c r="AE1228" s="47"/>
      <c r="AF1228" s="41">
        <f t="shared" si="565"/>
        <v>0</v>
      </c>
      <c r="AG1228" s="39"/>
      <c r="AH1228" s="41">
        <f t="shared" si="573"/>
        <v>0</v>
      </c>
      <c r="AI1228" s="47"/>
      <c r="AJ1228" s="41">
        <f t="shared" si="566"/>
        <v>0</v>
      </c>
      <c r="AK1228" s="39"/>
      <c r="AL1228" s="41">
        <f t="shared" si="574"/>
        <v>0</v>
      </c>
      <c r="AM1228" s="47"/>
      <c r="AN1228" s="41">
        <f t="shared" si="567"/>
        <v>0</v>
      </c>
      <c r="AO1228" s="39"/>
      <c r="AP1228" s="41">
        <f t="shared" si="575"/>
        <v>0</v>
      </c>
      <c r="AQ1228" s="47"/>
      <c r="AR1228" s="41">
        <f t="shared" si="568"/>
        <v>0</v>
      </c>
      <c r="AS1228" s="39"/>
      <c r="AT1228" s="41">
        <f t="shared" si="576"/>
        <v>0</v>
      </c>
      <c r="AU1228" s="47"/>
      <c r="AV1228" s="41">
        <f t="shared" si="569"/>
        <v>0</v>
      </c>
      <c r="AW1228" s="39"/>
      <c r="AX1228" s="41">
        <f t="shared" si="577"/>
        <v>0</v>
      </c>
      <c r="AY1228" s="47"/>
      <c r="AZ1228" s="41">
        <f t="shared" si="570"/>
        <v>0</v>
      </c>
      <c r="BA1228" s="39"/>
      <c r="BB1228" s="41">
        <f t="shared" si="578"/>
        <v>0</v>
      </c>
      <c r="BC1228" s="47"/>
      <c r="BD1228" s="41">
        <f t="shared" si="571"/>
        <v>0</v>
      </c>
      <c r="BE1228" s="39"/>
      <c r="BF1228" s="47"/>
    </row>
    <row r="1229" spans="1:58" ht="15.75" customHeight="1" x14ac:dyDescent="0.25">
      <c r="A1229" s="44">
        <v>2016</v>
      </c>
      <c r="B1229" s="39">
        <v>171888</v>
      </c>
      <c r="C1229" s="38" t="s">
        <v>150</v>
      </c>
      <c r="D1229" s="38" t="s">
        <v>120</v>
      </c>
      <c r="E1229" s="39"/>
      <c r="F1229" s="42">
        <f t="shared" si="553"/>
        <v>0</v>
      </c>
      <c r="G1229" s="47"/>
      <c r="H1229" s="42">
        <f t="shared" si="554"/>
        <v>0</v>
      </c>
      <c r="I1229" s="39"/>
      <c r="J1229" s="41">
        <f t="shared" si="555"/>
        <v>0</v>
      </c>
      <c r="K1229" s="47"/>
      <c r="L1229" s="41">
        <f t="shared" si="556"/>
        <v>0</v>
      </c>
      <c r="M1229" s="39"/>
      <c r="N1229" s="41">
        <f t="shared" si="557"/>
        <v>0</v>
      </c>
      <c r="O1229" s="47"/>
      <c r="P1229" s="41">
        <f t="shared" si="558"/>
        <v>0</v>
      </c>
      <c r="Q1229" s="39"/>
      <c r="R1229" s="41">
        <f t="shared" si="559"/>
        <v>0</v>
      </c>
      <c r="S1229" s="47"/>
      <c r="T1229" s="41">
        <f t="shared" si="560"/>
        <v>0</v>
      </c>
      <c r="U1229" s="39"/>
      <c r="V1229" s="41">
        <f t="shared" si="561"/>
        <v>0</v>
      </c>
      <c r="W1229" s="47"/>
      <c r="X1229" s="41">
        <f t="shared" si="562"/>
        <v>0</v>
      </c>
      <c r="Y1229" s="39"/>
      <c r="Z1229" s="41">
        <f t="shared" si="563"/>
        <v>0</v>
      </c>
      <c r="AA1229" s="47"/>
      <c r="AB1229" s="41">
        <f t="shared" si="564"/>
        <v>0</v>
      </c>
      <c r="AC1229" s="39"/>
      <c r="AD1229" s="41">
        <f t="shared" si="572"/>
        <v>0</v>
      </c>
      <c r="AE1229" s="47"/>
      <c r="AF1229" s="41">
        <f t="shared" si="565"/>
        <v>0</v>
      </c>
      <c r="AG1229" s="39"/>
      <c r="AH1229" s="41">
        <f t="shared" si="573"/>
        <v>0</v>
      </c>
      <c r="AI1229" s="47"/>
      <c r="AJ1229" s="41">
        <f t="shared" si="566"/>
        <v>0</v>
      </c>
      <c r="AK1229" s="39"/>
      <c r="AL1229" s="41">
        <f t="shared" si="574"/>
        <v>0</v>
      </c>
      <c r="AM1229" s="47"/>
      <c r="AN1229" s="41">
        <f t="shared" si="567"/>
        <v>0</v>
      </c>
      <c r="AO1229" s="39"/>
      <c r="AP1229" s="41">
        <f t="shared" si="575"/>
        <v>0</v>
      </c>
      <c r="AQ1229" s="47"/>
      <c r="AR1229" s="41">
        <f t="shared" si="568"/>
        <v>0</v>
      </c>
      <c r="AS1229" s="39"/>
      <c r="AT1229" s="41">
        <f t="shared" si="576"/>
        <v>0</v>
      </c>
      <c r="AU1229" s="47"/>
      <c r="AV1229" s="41">
        <f t="shared" si="569"/>
        <v>0</v>
      </c>
      <c r="AW1229" s="39"/>
      <c r="AX1229" s="41">
        <f t="shared" si="577"/>
        <v>0</v>
      </c>
      <c r="AY1229" s="47"/>
      <c r="AZ1229" s="41">
        <f t="shared" si="570"/>
        <v>0</v>
      </c>
      <c r="BA1229" s="39"/>
      <c r="BB1229" s="41">
        <f t="shared" si="578"/>
        <v>0</v>
      </c>
      <c r="BC1229" s="47"/>
      <c r="BD1229" s="41">
        <f t="shared" si="571"/>
        <v>0</v>
      </c>
      <c r="BE1229" s="39"/>
      <c r="BF1229" s="47"/>
    </row>
    <row r="1230" spans="1:58" ht="15.75" customHeight="1" x14ac:dyDescent="0.25">
      <c r="A1230" s="44">
        <v>2016</v>
      </c>
      <c r="B1230" s="39">
        <v>171889</v>
      </c>
      <c r="C1230" s="38" t="s">
        <v>146</v>
      </c>
      <c r="D1230" s="38" t="s">
        <v>121</v>
      </c>
      <c r="E1230" s="39"/>
      <c r="F1230" s="42">
        <f t="shared" si="553"/>
        <v>0</v>
      </c>
      <c r="G1230" s="47"/>
      <c r="H1230" s="42">
        <f t="shared" si="554"/>
        <v>0</v>
      </c>
      <c r="I1230" s="39"/>
      <c r="J1230" s="41">
        <f t="shared" si="555"/>
        <v>0</v>
      </c>
      <c r="K1230" s="47"/>
      <c r="L1230" s="41">
        <f t="shared" si="556"/>
        <v>0</v>
      </c>
      <c r="M1230" s="39"/>
      <c r="N1230" s="41">
        <f t="shared" si="557"/>
        <v>0</v>
      </c>
      <c r="O1230" s="47"/>
      <c r="P1230" s="41">
        <f t="shared" si="558"/>
        <v>0</v>
      </c>
      <c r="Q1230" s="39"/>
      <c r="R1230" s="41">
        <f t="shared" si="559"/>
        <v>0</v>
      </c>
      <c r="S1230" s="47"/>
      <c r="T1230" s="41">
        <f t="shared" si="560"/>
        <v>0</v>
      </c>
      <c r="U1230" s="39"/>
      <c r="V1230" s="41">
        <f t="shared" si="561"/>
        <v>0</v>
      </c>
      <c r="W1230" s="47"/>
      <c r="X1230" s="41">
        <f t="shared" si="562"/>
        <v>0</v>
      </c>
      <c r="Y1230" s="39"/>
      <c r="Z1230" s="41">
        <f t="shared" si="563"/>
        <v>0</v>
      </c>
      <c r="AA1230" s="47"/>
      <c r="AB1230" s="41">
        <f t="shared" si="564"/>
        <v>0</v>
      </c>
      <c r="AC1230" s="39"/>
      <c r="AD1230" s="41">
        <f t="shared" si="572"/>
        <v>0</v>
      </c>
      <c r="AE1230" s="47"/>
      <c r="AF1230" s="41">
        <f t="shared" si="565"/>
        <v>0</v>
      </c>
      <c r="AG1230" s="39"/>
      <c r="AH1230" s="41">
        <f t="shared" si="573"/>
        <v>0</v>
      </c>
      <c r="AI1230" s="47"/>
      <c r="AJ1230" s="41">
        <f t="shared" si="566"/>
        <v>0</v>
      </c>
      <c r="AK1230" s="39"/>
      <c r="AL1230" s="41">
        <f t="shared" si="574"/>
        <v>0</v>
      </c>
      <c r="AM1230" s="47"/>
      <c r="AN1230" s="41">
        <f t="shared" si="567"/>
        <v>0</v>
      </c>
      <c r="AO1230" s="39"/>
      <c r="AP1230" s="41">
        <f t="shared" si="575"/>
        <v>0</v>
      </c>
      <c r="AQ1230" s="47"/>
      <c r="AR1230" s="41">
        <f t="shared" si="568"/>
        <v>0</v>
      </c>
      <c r="AS1230" s="39"/>
      <c r="AT1230" s="41">
        <f t="shared" si="576"/>
        <v>0</v>
      </c>
      <c r="AU1230" s="47"/>
      <c r="AV1230" s="41">
        <f t="shared" si="569"/>
        <v>0</v>
      </c>
      <c r="AW1230" s="39"/>
      <c r="AX1230" s="41">
        <f t="shared" si="577"/>
        <v>0</v>
      </c>
      <c r="AY1230" s="47"/>
      <c r="AZ1230" s="41">
        <f t="shared" si="570"/>
        <v>0</v>
      </c>
      <c r="BA1230" s="39"/>
      <c r="BB1230" s="41">
        <f t="shared" si="578"/>
        <v>0</v>
      </c>
      <c r="BC1230" s="47"/>
      <c r="BD1230" s="41">
        <f t="shared" si="571"/>
        <v>0</v>
      </c>
      <c r="BE1230" s="39"/>
      <c r="BF1230" s="47"/>
    </row>
    <row r="1231" spans="1:58" ht="15.75" customHeight="1" x14ac:dyDescent="0.25">
      <c r="A1231" s="44">
        <v>2016</v>
      </c>
      <c r="B1231" s="39">
        <v>171890</v>
      </c>
      <c r="C1231" s="38" t="s">
        <v>151</v>
      </c>
      <c r="D1231" s="38" t="s">
        <v>122</v>
      </c>
      <c r="E1231" s="39"/>
      <c r="F1231" s="42">
        <f t="shared" si="553"/>
        <v>0</v>
      </c>
      <c r="G1231" s="47"/>
      <c r="H1231" s="42">
        <f t="shared" si="554"/>
        <v>0</v>
      </c>
      <c r="I1231" s="39"/>
      <c r="J1231" s="41">
        <f t="shared" si="555"/>
        <v>0</v>
      </c>
      <c r="K1231" s="47"/>
      <c r="L1231" s="41">
        <f t="shared" si="556"/>
        <v>0</v>
      </c>
      <c r="M1231" s="39"/>
      <c r="N1231" s="41">
        <f t="shared" si="557"/>
        <v>0</v>
      </c>
      <c r="O1231" s="47"/>
      <c r="P1231" s="41">
        <f t="shared" si="558"/>
        <v>0</v>
      </c>
      <c r="Q1231" s="39"/>
      <c r="R1231" s="41">
        <f t="shared" si="559"/>
        <v>0</v>
      </c>
      <c r="S1231" s="47"/>
      <c r="T1231" s="41">
        <f t="shared" si="560"/>
        <v>0</v>
      </c>
      <c r="U1231" s="39"/>
      <c r="V1231" s="41">
        <f t="shared" si="561"/>
        <v>0</v>
      </c>
      <c r="W1231" s="47"/>
      <c r="X1231" s="41">
        <f t="shared" si="562"/>
        <v>0</v>
      </c>
      <c r="Y1231" s="39"/>
      <c r="Z1231" s="41">
        <f t="shared" si="563"/>
        <v>0</v>
      </c>
      <c r="AA1231" s="47"/>
      <c r="AB1231" s="41">
        <f t="shared" si="564"/>
        <v>0</v>
      </c>
      <c r="AC1231" s="39"/>
      <c r="AD1231" s="41">
        <f t="shared" si="572"/>
        <v>0</v>
      </c>
      <c r="AE1231" s="47"/>
      <c r="AF1231" s="41">
        <f t="shared" si="565"/>
        <v>0</v>
      </c>
      <c r="AG1231" s="39"/>
      <c r="AH1231" s="41">
        <f t="shared" si="573"/>
        <v>0</v>
      </c>
      <c r="AI1231" s="47"/>
      <c r="AJ1231" s="41">
        <f t="shared" si="566"/>
        <v>0</v>
      </c>
      <c r="AK1231" s="39"/>
      <c r="AL1231" s="41">
        <f t="shared" si="574"/>
        <v>0</v>
      </c>
      <c r="AM1231" s="47"/>
      <c r="AN1231" s="41">
        <f t="shared" si="567"/>
        <v>0</v>
      </c>
      <c r="AO1231" s="39"/>
      <c r="AP1231" s="41">
        <f t="shared" si="575"/>
        <v>0</v>
      </c>
      <c r="AQ1231" s="47"/>
      <c r="AR1231" s="41">
        <f t="shared" si="568"/>
        <v>0</v>
      </c>
      <c r="AS1231" s="39"/>
      <c r="AT1231" s="41">
        <f t="shared" si="576"/>
        <v>0</v>
      </c>
      <c r="AU1231" s="47"/>
      <c r="AV1231" s="41">
        <f t="shared" si="569"/>
        <v>0</v>
      </c>
      <c r="AW1231" s="39"/>
      <c r="AX1231" s="41">
        <f t="shared" si="577"/>
        <v>0</v>
      </c>
      <c r="AY1231" s="47"/>
      <c r="AZ1231" s="41">
        <f t="shared" si="570"/>
        <v>0</v>
      </c>
      <c r="BA1231" s="39"/>
      <c r="BB1231" s="41">
        <f t="shared" si="578"/>
        <v>0</v>
      </c>
      <c r="BC1231" s="47"/>
      <c r="BD1231" s="41">
        <f t="shared" si="571"/>
        <v>0</v>
      </c>
      <c r="BE1231" s="39"/>
      <c r="BF1231" s="47"/>
    </row>
    <row r="1232" spans="1:58" ht="15.75" customHeight="1" x14ac:dyDescent="0.25">
      <c r="A1232" s="44">
        <v>2016</v>
      </c>
      <c r="B1232" s="39">
        <v>171900</v>
      </c>
      <c r="C1232" s="38" t="s">
        <v>148</v>
      </c>
      <c r="D1232" s="38" t="s">
        <v>123</v>
      </c>
      <c r="E1232" s="39"/>
      <c r="F1232" s="42">
        <f t="shared" si="553"/>
        <v>0</v>
      </c>
      <c r="G1232" s="47"/>
      <c r="H1232" s="42">
        <f t="shared" si="554"/>
        <v>0</v>
      </c>
      <c r="I1232" s="39"/>
      <c r="J1232" s="41">
        <f t="shared" si="555"/>
        <v>0</v>
      </c>
      <c r="K1232" s="47"/>
      <c r="L1232" s="41">
        <f t="shared" si="556"/>
        <v>0</v>
      </c>
      <c r="M1232" s="39"/>
      <c r="N1232" s="41">
        <f t="shared" si="557"/>
        <v>0</v>
      </c>
      <c r="O1232" s="47"/>
      <c r="P1232" s="41">
        <f t="shared" si="558"/>
        <v>0</v>
      </c>
      <c r="Q1232" s="39"/>
      <c r="R1232" s="41">
        <f t="shared" si="559"/>
        <v>0</v>
      </c>
      <c r="S1232" s="47"/>
      <c r="T1232" s="41">
        <f t="shared" si="560"/>
        <v>0</v>
      </c>
      <c r="U1232" s="39"/>
      <c r="V1232" s="41">
        <f t="shared" si="561"/>
        <v>0</v>
      </c>
      <c r="W1232" s="47"/>
      <c r="X1232" s="41">
        <f t="shared" si="562"/>
        <v>0</v>
      </c>
      <c r="Y1232" s="39"/>
      <c r="Z1232" s="41">
        <f t="shared" si="563"/>
        <v>0</v>
      </c>
      <c r="AA1232" s="47"/>
      <c r="AB1232" s="41">
        <f t="shared" si="564"/>
        <v>0</v>
      </c>
      <c r="AC1232" s="39"/>
      <c r="AD1232" s="41">
        <f t="shared" si="572"/>
        <v>0</v>
      </c>
      <c r="AE1232" s="47"/>
      <c r="AF1232" s="41">
        <f t="shared" si="565"/>
        <v>0</v>
      </c>
      <c r="AG1232" s="39"/>
      <c r="AH1232" s="41">
        <f t="shared" si="573"/>
        <v>0</v>
      </c>
      <c r="AI1232" s="47"/>
      <c r="AJ1232" s="41">
        <f t="shared" si="566"/>
        <v>0</v>
      </c>
      <c r="AK1232" s="39"/>
      <c r="AL1232" s="41">
        <f t="shared" si="574"/>
        <v>0</v>
      </c>
      <c r="AM1232" s="47"/>
      <c r="AN1232" s="41">
        <f t="shared" si="567"/>
        <v>0</v>
      </c>
      <c r="AO1232" s="39"/>
      <c r="AP1232" s="41">
        <f t="shared" si="575"/>
        <v>0</v>
      </c>
      <c r="AQ1232" s="47"/>
      <c r="AR1232" s="41">
        <f t="shared" si="568"/>
        <v>0</v>
      </c>
      <c r="AS1232" s="39"/>
      <c r="AT1232" s="41">
        <f t="shared" si="576"/>
        <v>0</v>
      </c>
      <c r="AU1232" s="47"/>
      <c r="AV1232" s="41">
        <f t="shared" si="569"/>
        <v>0</v>
      </c>
      <c r="AW1232" s="39"/>
      <c r="AX1232" s="41">
        <f t="shared" si="577"/>
        <v>0</v>
      </c>
      <c r="AY1232" s="47"/>
      <c r="AZ1232" s="41">
        <f t="shared" si="570"/>
        <v>0</v>
      </c>
      <c r="BA1232" s="39"/>
      <c r="BB1232" s="41">
        <f t="shared" si="578"/>
        <v>0</v>
      </c>
      <c r="BC1232" s="47"/>
      <c r="BD1232" s="41">
        <f t="shared" si="571"/>
        <v>0</v>
      </c>
      <c r="BE1232" s="39"/>
      <c r="BF1232" s="47"/>
    </row>
    <row r="1233" spans="1:58" ht="15.75" customHeight="1" x14ac:dyDescent="0.25">
      <c r="A1233" s="44">
        <v>2016</v>
      </c>
      <c r="B1233" s="39">
        <v>172000</v>
      </c>
      <c r="C1233" s="38" t="s">
        <v>145</v>
      </c>
      <c r="D1233" s="38" t="s">
        <v>124</v>
      </c>
      <c r="E1233" s="39"/>
      <c r="F1233" s="42">
        <f t="shared" si="553"/>
        <v>0</v>
      </c>
      <c r="G1233" s="47"/>
      <c r="H1233" s="42">
        <f t="shared" si="554"/>
        <v>0</v>
      </c>
      <c r="I1233" s="39"/>
      <c r="J1233" s="41">
        <f t="shared" si="555"/>
        <v>0</v>
      </c>
      <c r="K1233" s="47"/>
      <c r="L1233" s="41">
        <f t="shared" si="556"/>
        <v>0</v>
      </c>
      <c r="M1233" s="39"/>
      <c r="N1233" s="41">
        <f t="shared" si="557"/>
        <v>0</v>
      </c>
      <c r="O1233" s="47"/>
      <c r="P1233" s="41">
        <f t="shared" si="558"/>
        <v>0</v>
      </c>
      <c r="Q1233" s="39"/>
      <c r="R1233" s="41">
        <f t="shared" si="559"/>
        <v>0</v>
      </c>
      <c r="S1233" s="47"/>
      <c r="T1233" s="41">
        <f t="shared" si="560"/>
        <v>0</v>
      </c>
      <c r="U1233" s="39"/>
      <c r="V1233" s="41">
        <f t="shared" si="561"/>
        <v>0</v>
      </c>
      <c r="W1233" s="47"/>
      <c r="X1233" s="41">
        <f t="shared" si="562"/>
        <v>0</v>
      </c>
      <c r="Y1233" s="39"/>
      <c r="Z1233" s="41">
        <f t="shared" si="563"/>
        <v>0</v>
      </c>
      <c r="AA1233" s="47"/>
      <c r="AB1233" s="41">
        <f t="shared" si="564"/>
        <v>0</v>
      </c>
      <c r="AC1233" s="39"/>
      <c r="AD1233" s="41">
        <f t="shared" si="572"/>
        <v>0</v>
      </c>
      <c r="AE1233" s="47"/>
      <c r="AF1233" s="41">
        <f t="shared" si="565"/>
        <v>0</v>
      </c>
      <c r="AG1233" s="39"/>
      <c r="AH1233" s="41">
        <f t="shared" si="573"/>
        <v>0</v>
      </c>
      <c r="AI1233" s="47"/>
      <c r="AJ1233" s="41">
        <f t="shared" si="566"/>
        <v>0</v>
      </c>
      <c r="AK1233" s="39"/>
      <c r="AL1233" s="41">
        <f t="shared" si="574"/>
        <v>0</v>
      </c>
      <c r="AM1233" s="47"/>
      <c r="AN1233" s="41">
        <f t="shared" si="567"/>
        <v>0</v>
      </c>
      <c r="AO1233" s="39"/>
      <c r="AP1233" s="41">
        <f t="shared" si="575"/>
        <v>0</v>
      </c>
      <c r="AQ1233" s="47"/>
      <c r="AR1233" s="41">
        <f t="shared" si="568"/>
        <v>0</v>
      </c>
      <c r="AS1233" s="39"/>
      <c r="AT1233" s="41">
        <f t="shared" si="576"/>
        <v>0</v>
      </c>
      <c r="AU1233" s="47"/>
      <c r="AV1233" s="41">
        <f t="shared" si="569"/>
        <v>0</v>
      </c>
      <c r="AW1233" s="39"/>
      <c r="AX1233" s="41">
        <f t="shared" si="577"/>
        <v>0</v>
      </c>
      <c r="AY1233" s="47"/>
      <c r="AZ1233" s="41">
        <f t="shared" si="570"/>
        <v>0</v>
      </c>
      <c r="BA1233" s="39"/>
      <c r="BB1233" s="41">
        <f t="shared" si="578"/>
        <v>0</v>
      </c>
      <c r="BC1233" s="47"/>
      <c r="BD1233" s="41">
        <f t="shared" si="571"/>
        <v>0</v>
      </c>
      <c r="BE1233" s="39"/>
      <c r="BF1233" s="47"/>
    </row>
    <row r="1234" spans="1:58" ht="15.75" customHeight="1" x14ac:dyDescent="0.25">
      <c r="A1234" s="44">
        <v>2016</v>
      </c>
      <c r="B1234" s="39">
        <v>172010</v>
      </c>
      <c r="C1234" s="38" t="s">
        <v>145</v>
      </c>
      <c r="D1234" s="38" t="s">
        <v>125</v>
      </c>
      <c r="E1234" s="39"/>
      <c r="F1234" s="42">
        <f t="shared" si="553"/>
        <v>0</v>
      </c>
      <c r="G1234" s="47"/>
      <c r="H1234" s="42">
        <f t="shared" si="554"/>
        <v>0</v>
      </c>
      <c r="I1234" s="39"/>
      <c r="J1234" s="41">
        <f t="shared" si="555"/>
        <v>0</v>
      </c>
      <c r="K1234" s="47"/>
      <c r="L1234" s="41">
        <f t="shared" si="556"/>
        <v>0</v>
      </c>
      <c r="M1234" s="39"/>
      <c r="N1234" s="41">
        <f t="shared" si="557"/>
        <v>0</v>
      </c>
      <c r="O1234" s="47"/>
      <c r="P1234" s="41">
        <f t="shared" si="558"/>
        <v>0</v>
      </c>
      <c r="Q1234" s="39"/>
      <c r="R1234" s="41">
        <f t="shared" si="559"/>
        <v>0</v>
      </c>
      <c r="S1234" s="47"/>
      <c r="T1234" s="41">
        <f t="shared" si="560"/>
        <v>0</v>
      </c>
      <c r="U1234" s="39"/>
      <c r="V1234" s="41">
        <f t="shared" si="561"/>
        <v>0</v>
      </c>
      <c r="W1234" s="47"/>
      <c r="X1234" s="41">
        <f t="shared" si="562"/>
        <v>0</v>
      </c>
      <c r="Y1234" s="39"/>
      <c r="Z1234" s="41">
        <f t="shared" si="563"/>
        <v>0</v>
      </c>
      <c r="AA1234" s="47"/>
      <c r="AB1234" s="41">
        <f t="shared" si="564"/>
        <v>0</v>
      </c>
      <c r="AC1234" s="39"/>
      <c r="AD1234" s="41">
        <f t="shared" si="572"/>
        <v>0</v>
      </c>
      <c r="AE1234" s="47"/>
      <c r="AF1234" s="41">
        <f t="shared" si="565"/>
        <v>0</v>
      </c>
      <c r="AG1234" s="39"/>
      <c r="AH1234" s="41">
        <f t="shared" si="573"/>
        <v>0</v>
      </c>
      <c r="AI1234" s="47"/>
      <c r="AJ1234" s="41">
        <f t="shared" si="566"/>
        <v>0</v>
      </c>
      <c r="AK1234" s="39"/>
      <c r="AL1234" s="41">
        <f t="shared" si="574"/>
        <v>0</v>
      </c>
      <c r="AM1234" s="47"/>
      <c r="AN1234" s="41">
        <f t="shared" si="567"/>
        <v>0</v>
      </c>
      <c r="AO1234" s="39"/>
      <c r="AP1234" s="41">
        <f t="shared" si="575"/>
        <v>0</v>
      </c>
      <c r="AQ1234" s="47"/>
      <c r="AR1234" s="41">
        <f t="shared" si="568"/>
        <v>0</v>
      </c>
      <c r="AS1234" s="39"/>
      <c r="AT1234" s="41">
        <f t="shared" si="576"/>
        <v>0</v>
      </c>
      <c r="AU1234" s="47"/>
      <c r="AV1234" s="41">
        <f t="shared" si="569"/>
        <v>0</v>
      </c>
      <c r="AW1234" s="39"/>
      <c r="AX1234" s="41">
        <f t="shared" si="577"/>
        <v>0</v>
      </c>
      <c r="AY1234" s="47"/>
      <c r="AZ1234" s="41">
        <f t="shared" si="570"/>
        <v>0</v>
      </c>
      <c r="BA1234" s="39"/>
      <c r="BB1234" s="41">
        <f t="shared" si="578"/>
        <v>0</v>
      </c>
      <c r="BC1234" s="47"/>
      <c r="BD1234" s="41">
        <f t="shared" si="571"/>
        <v>0</v>
      </c>
      <c r="BE1234" s="39"/>
      <c r="BF1234" s="47"/>
    </row>
    <row r="1235" spans="1:58" ht="15.75" customHeight="1" x14ac:dyDescent="0.25">
      <c r="A1235" s="44">
        <v>2016</v>
      </c>
      <c r="B1235" s="39">
        <v>172015</v>
      </c>
      <c r="C1235" s="38" t="s">
        <v>148</v>
      </c>
      <c r="D1235" s="38" t="s">
        <v>126</v>
      </c>
      <c r="E1235" s="39"/>
      <c r="F1235" s="42">
        <f t="shared" si="553"/>
        <v>0</v>
      </c>
      <c r="G1235" s="47"/>
      <c r="H1235" s="42">
        <f t="shared" si="554"/>
        <v>0</v>
      </c>
      <c r="I1235" s="39"/>
      <c r="J1235" s="41">
        <f t="shared" si="555"/>
        <v>0</v>
      </c>
      <c r="K1235" s="47"/>
      <c r="L1235" s="41">
        <f t="shared" si="556"/>
        <v>0</v>
      </c>
      <c r="M1235" s="39"/>
      <c r="N1235" s="41">
        <f t="shared" si="557"/>
        <v>0</v>
      </c>
      <c r="O1235" s="47"/>
      <c r="P1235" s="41">
        <f t="shared" si="558"/>
        <v>0</v>
      </c>
      <c r="Q1235" s="39"/>
      <c r="R1235" s="41">
        <f t="shared" si="559"/>
        <v>0</v>
      </c>
      <c r="S1235" s="47"/>
      <c r="T1235" s="41">
        <f t="shared" si="560"/>
        <v>0</v>
      </c>
      <c r="U1235" s="39"/>
      <c r="V1235" s="41">
        <f t="shared" si="561"/>
        <v>0</v>
      </c>
      <c r="W1235" s="47"/>
      <c r="X1235" s="41">
        <f t="shared" si="562"/>
        <v>0</v>
      </c>
      <c r="Y1235" s="39"/>
      <c r="Z1235" s="41">
        <f t="shared" si="563"/>
        <v>0</v>
      </c>
      <c r="AA1235" s="47"/>
      <c r="AB1235" s="41">
        <f t="shared" si="564"/>
        <v>0</v>
      </c>
      <c r="AC1235" s="39"/>
      <c r="AD1235" s="41">
        <f t="shared" si="572"/>
        <v>0</v>
      </c>
      <c r="AE1235" s="47"/>
      <c r="AF1235" s="41">
        <f t="shared" si="565"/>
        <v>0</v>
      </c>
      <c r="AG1235" s="39"/>
      <c r="AH1235" s="41">
        <f t="shared" si="573"/>
        <v>0</v>
      </c>
      <c r="AI1235" s="47"/>
      <c r="AJ1235" s="41">
        <f t="shared" si="566"/>
        <v>0</v>
      </c>
      <c r="AK1235" s="39"/>
      <c r="AL1235" s="41">
        <f t="shared" si="574"/>
        <v>0</v>
      </c>
      <c r="AM1235" s="47"/>
      <c r="AN1235" s="41">
        <f t="shared" si="567"/>
        <v>0</v>
      </c>
      <c r="AO1235" s="39"/>
      <c r="AP1235" s="41">
        <f t="shared" si="575"/>
        <v>0</v>
      </c>
      <c r="AQ1235" s="47"/>
      <c r="AR1235" s="41">
        <f t="shared" si="568"/>
        <v>0</v>
      </c>
      <c r="AS1235" s="39"/>
      <c r="AT1235" s="41">
        <f t="shared" si="576"/>
        <v>0</v>
      </c>
      <c r="AU1235" s="47"/>
      <c r="AV1235" s="41">
        <f t="shared" si="569"/>
        <v>0</v>
      </c>
      <c r="AW1235" s="39"/>
      <c r="AX1235" s="41">
        <f t="shared" si="577"/>
        <v>0</v>
      </c>
      <c r="AY1235" s="47"/>
      <c r="AZ1235" s="41">
        <f t="shared" si="570"/>
        <v>0</v>
      </c>
      <c r="BA1235" s="39"/>
      <c r="BB1235" s="41">
        <f t="shared" si="578"/>
        <v>0</v>
      </c>
      <c r="BC1235" s="47"/>
      <c r="BD1235" s="41">
        <f t="shared" si="571"/>
        <v>0</v>
      </c>
      <c r="BE1235" s="39"/>
      <c r="BF1235" s="47"/>
    </row>
    <row r="1236" spans="1:58" ht="15.75" customHeight="1" x14ac:dyDescent="0.25">
      <c r="A1236" s="44">
        <v>2016</v>
      </c>
      <c r="B1236" s="39">
        <v>172020</v>
      </c>
      <c r="C1236" s="38" t="s">
        <v>145</v>
      </c>
      <c r="D1236" s="38" t="s">
        <v>127</v>
      </c>
      <c r="E1236" s="39"/>
      <c r="F1236" s="42">
        <f t="shared" si="553"/>
        <v>0</v>
      </c>
      <c r="G1236" s="47"/>
      <c r="H1236" s="42">
        <f t="shared" si="554"/>
        <v>0</v>
      </c>
      <c r="I1236" s="39"/>
      <c r="J1236" s="41">
        <f t="shared" si="555"/>
        <v>0</v>
      </c>
      <c r="K1236" s="47"/>
      <c r="L1236" s="41">
        <f t="shared" si="556"/>
        <v>0</v>
      </c>
      <c r="M1236" s="39"/>
      <c r="N1236" s="41">
        <f t="shared" si="557"/>
        <v>0</v>
      </c>
      <c r="O1236" s="47"/>
      <c r="P1236" s="41">
        <f t="shared" si="558"/>
        <v>0</v>
      </c>
      <c r="Q1236" s="39"/>
      <c r="R1236" s="41">
        <f t="shared" si="559"/>
        <v>0</v>
      </c>
      <c r="S1236" s="47"/>
      <c r="T1236" s="41">
        <f t="shared" si="560"/>
        <v>0</v>
      </c>
      <c r="U1236" s="39"/>
      <c r="V1236" s="41">
        <f t="shared" si="561"/>
        <v>0</v>
      </c>
      <c r="W1236" s="47"/>
      <c r="X1236" s="41">
        <f t="shared" si="562"/>
        <v>0</v>
      </c>
      <c r="Y1236" s="39"/>
      <c r="Z1236" s="41">
        <f t="shared" si="563"/>
        <v>0</v>
      </c>
      <c r="AA1236" s="47"/>
      <c r="AB1236" s="41">
        <f t="shared" si="564"/>
        <v>0</v>
      </c>
      <c r="AC1236" s="39"/>
      <c r="AD1236" s="41">
        <f t="shared" si="572"/>
        <v>0</v>
      </c>
      <c r="AE1236" s="47"/>
      <c r="AF1236" s="41">
        <f t="shared" si="565"/>
        <v>0</v>
      </c>
      <c r="AG1236" s="39"/>
      <c r="AH1236" s="41">
        <f t="shared" si="573"/>
        <v>0</v>
      </c>
      <c r="AI1236" s="47"/>
      <c r="AJ1236" s="41">
        <f t="shared" si="566"/>
        <v>0</v>
      </c>
      <c r="AK1236" s="39"/>
      <c r="AL1236" s="41">
        <f t="shared" si="574"/>
        <v>0</v>
      </c>
      <c r="AM1236" s="47"/>
      <c r="AN1236" s="41">
        <f t="shared" si="567"/>
        <v>0</v>
      </c>
      <c r="AO1236" s="39"/>
      <c r="AP1236" s="41">
        <f t="shared" si="575"/>
        <v>0</v>
      </c>
      <c r="AQ1236" s="47"/>
      <c r="AR1236" s="41">
        <f t="shared" si="568"/>
        <v>0</v>
      </c>
      <c r="AS1236" s="39"/>
      <c r="AT1236" s="41">
        <f t="shared" si="576"/>
        <v>0</v>
      </c>
      <c r="AU1236" s="47"/>
      <c r="AV1236" s="41">
        <f t="shared" si="569"/>
        <v>0</v>
      </c>
      <c r="AW1236" s="39"/>
      <c r="AX1236" s="41">
        <f t="shared" si="577"/>
        <v>0</v>
      </c>
      <c r="AY1236" s="47"/>
      <c r="AZ1236" s="41">
        <f t="shared" si="570"/>
        <v>0</v>
      </c>
      <c r="BA1236" s="39"/>
      <c r="BB1236" s="41">
        <f t="shared" si="578"/>
        <v>0</v>
      </c>
      <c r="BC1236" s="47"/>
      <c r="BD1236" s="41">
        <f t="shared" si="571"/>
        <v>0</v>
      </c>
      <c r="BE1236" s="39"/>
      <c r="BF1236" s="47"/>
    </row>
    <row r="1237" spans="1:58" ht="15.75" customHeight="1" x14ac:dyDescent="0.25">
      <c r="A1237" s="44">
        <v>2016</v>
      </c>
      <c r="B1237" s="39">
        <v>172025</v>
      </c>
      <c r="C1237" s="38" t="s">
        <v>146</v>
      </c>
      <c r="D1237" s="38" t="s">
        <v>128</v>
      </c>
      <c r="E1237" s="39"/>
      <c r="F1237" s="42">
        <f t="shared" si="553"/>
        <v>0</v>
      </c>
      <c r="G1237" s="47"/>
      <c r="H1237" s="42">
        <f t="shared" si="554"/>
        <v>0</v>
      </c>
      <c r="I1237" s="39"/>
      <c r="J1237" s="41">
        <f t="shared" si="555"/>
        <v>0</v>
      </c>
      <c r="K1237" s="47"/>
      <c r="L1237" s="41">
        <f t="shared" si="556"/>
        <v>0</v>
      </c>
      <c r="M1237" s="39"/>
      <c r="N1237" s="41">
        <f t="shared" si="557"/>
        <v>0</v>
      </c>
      <c r="O1237" s="47"/>
      <c r="P1237" s="41">
        <f t="shared" si="558"/>
        <v>0</v>
      </c>
      <c r="Q1237" s="39"/>
      <c r="R1237" s="41">
        <f t="shared" si="559"/>
        <v>0</v>
      </c>
      <c r="S1237" s="47"/>
      <c r="T1237" s="41">
        <f t="shared" si="560"/>
        <v>0</v>
      </c>
      <c r="U1237" s="39"/>
      <c r="V1237" s="41">
        <f t="shared" si="561"/>
        <v>0</v>
      </c>
      <c r="W1237" s="47"/>
      <c r="X1237" s="41">
        <f t="shared" si="562"/>
        <v>0</v>
      </c>
      <c r="Y1237" s="39"/>
      <c r="Z1237" s="41">
        <f t="shared" si="563"/>
        <v>0</v>
      </c>
      <c r="AA1237" s="47"/>
      <c r="AB1237" s="41">
        <f t="shared" si="564"/>
        <v>0</v>
      </c>
      <c r="AC1237" s="39"/>
      <c r="AD1237" s="41">
        <f t="shared" si="572"/>
        <v>0</v>
      </c>
      <c r="AE1237" s="47"/>
      <c r="AF1237" s="41">
        <f t="shared" si="565"/>
        <v>0</v>
      </c>
      <c r="AG1237" s="39"/>
      <c r="AH1237" s="41">
        <f t="shared" si="573"/>
        <v>0</v>
      </c>
      <c r="AI1237" s="47"/>
      <c r="AJ1237" s="41">
        <f t="shared" si="566"/>
        <v>0</v>
      </c>
      <c r="AK1237" s="39"/>
      <c r="AL1237" s="41">
        <f t="shared" si="574"/>
        <v>0</v>
      </c>
      <c r="AM1237" s="47"/>
      <c r="AN1237" s="41">
        <f t="shared" si="567"/>
        <v>0</v>
      </c>
      <c r="AO1237" s="39"/>
      <c r="AP1237" s="41">
        <f t="shared" si="575"/>
        <v>0</v>
      </c>
      <c r="AQ1237" s="47"/>
      <c r="AR1237" s="41">
        <f t="shared" si="568"/>
        <v>0</v>
      </c>
      <c r="AS1237" s="39"/>
      <c r="AT1237" s="41">
        <f t="shared" si="576"/>
        <v>0</v>
      </c>
      <c r="AU1237" s="47"/>
      <c r="AV1237" s="41">
        <f t="shared" si="569"/>
        <v>0</v>
      </c>
      <c r="AW1237" s="39"/>
      <c r="AX1237" s="41">
        <f t="shared" si="577"/>
        <v>0</v>
      </c>
      <c r="AY1237" s="47"/>
      <c r="AZ1237" s="41">
        <f t="shared" si="570"/>
        <v>0</v>
      </c>
      <c r="BA1237" s="39"/>
      <c r="BB1237" s="41">
        <f t="shared" si="578"/>
        <v>0</v>
      </c>
      <c r="BC1237" s="47"/>
      <c r="BD1237" s="41">
        <f t="shared" si="571"/>
        <v>0</v>
      </c>
      <c r="BE1237" s="39"/>
      <c r="BF1237" s="47"/>
    </row>
    <row r="1238" spans="1:58" ht="15.75" customHeight="1" x14ac:dyDescent="0.25">
      <c r="A1238" s="44">
        <v>2016</v>
      </c>
      <c r="B1238" s="39">
        <v>172030</v>
      </c>
      <c r="C1238" s="38" t="s">
        <v>145</v>
      </c>
      <c r="D1238" s="38" t="s">
        <v>129</v>
      </c>
      <c r="E1238" s="39"/>
      <c r="F1238" s="42">
        <f t="shared" si="553"/>
        <v>0</v>
      </c>
      <c r="G1238" s="47"/>
      <c r="H1238" s="42">
        <f t="shared" si="554"/>
        <v>0</v>
      </c>
      <c r="I1238" s="39"/>
      <c r="J1238" s="41">
        <f t="shared" si="555"/>
        <v>0</v>
      </c>
      <c r="K1238" s="47"/>
      <c r="L1238" s="41">
        <f t="shared" si="556"/>
        <v>0</v>
      </c>
      <c r="M1238" s="39"/>
      <c r="N1238" s="41">
        <f t="shared" si="557"/>
        <v>0</v>
      </c>
      <c r="O1238" s="47"/>
      <c r="P1238" s="41">
        <f t="shared" si="558"/>
        <v>0</v>
      </c>
      <c r="Q1238" s="39"/>
      <c r="R1238" s="41">
        <f t="shared" si="559"/>
        <v>0</v>
      </c>
      <c r="S1238" s="47"/>
      <c r="T1238" s="41">
        <f t="shared" si="560"/>
        <v>0</v>
      </c>
      <c r="U1238" s="39"/>
      <c r="V1238" s="41">
        <f t="shared" si="561"/>
        <v>0</v>
      </c>
      <c r="W1238" s="47"/>
      <c r="X1238" s="41">
        <f t="shared" si="562"/>
        <v>0</v>
      </c>
      <c r="Y1238" s="39"/>
      <c r="Z1238" s="41">
        <f t="shared" si="563"/>
        <v>0</v>
      </c>
      <c r="AA1238" s="47"/>
      <c r="AB1238" s="41">
        <f t="shared" si="564"/>
        <v>0</v>
      </c>
      <c r="AC1238" s="39"/>
      <c r="AD1238" s="41">
        <f t="shared" si="572"/>
        <v>0</v>
      </c>
      <c r="AE1238" s="47"/>
      <c r="AF1238" s="41">
        <f t="shared" si="565"/>
        <v>0</v>
      </c>
      <c r="AG1238" s="39"/>
      <c r="AH1238" s="41">
        <f t="shared" si="573"/>
        <v>0</v>
      </c>
      <c r="AI1238" s="47"/>
      <c r="AJ1238" s="41">
        <f t="shared" si="566"/>
        <v>0</v>
      </c>
      <c r="AK1238" s="39"/>
      <c r="AL1238" s="41">
        <f t="shared" si="574"/>
        <v>0</v>
      </c>
      <c r="AM1238" s="47"/>
      <c r="AN1238" s="41">
        <f t="shared" si="567"/>
        <v>0</v>
      </c>
      <c r="AO1238" s="39"/>
      <c r="AP1238" s="41">
        <f t="shared" si="575"/>
        <v>0</v>
      </c>
      <c r="AQ1238" s="47"/>
      <c r="AR1238" s="41">
        <f t="shared" si="568"/>
        <v>0</v>
      </c>
      <c r="AS1238" s="39"/>
      <c r="AT1238" s="41">
        <f t="shared" si="576"/>
        <v>0</v>
      </c>
      <c r="AU1238" s="47"/>
      <c r="AV1238" s="41">
        <f t="shared" si="569"/>
        <v>0</v>
      </c>
      <c r="AW1238" s="39"/>
      <c r="AX1238" s="41">
        <f t="shared" si="577"/>
        <v>0</v>
      </c>
      <c r="AY1238" s="47"/>
      <c r="AZ1238" s="41">
        <f t="shared" si="570"/>
        <v>0</v>
      </c>
      <c r="BA1238" s="39"/>
      <c r="BB1238" s="41">
        <f t="shared" si="578"/>
        <v>0</v>
      </c>
      <c r="BC1238" s="47"/>
      <c r="BD1238" s="41">
        <f t="shared" si="571"/>
        <v>0</v>
      </c>
      <c r="BE1238" s="39"/>
      <c r="BF1238" s="47"/>
    </row>
    <row r="1239" spans="1:58" ht="15.75" customHeight="1" x14ac:dyDescent="0.25">
      <c r="A1239" s="44">
        <v>2016</v>
      </c>
      <c r="B1239" s="39">
        <v>172049</v>
      </c>
      <c r="C1239" s="38" t="s">
        <v>146</v>
      </c>
      <c r="D1239" s="38" t="s">
        <v>130</v>
      </c>
      <c r="E1239" s="39"/>
      <c r="F1239" s="42">
        <f t="shared" si="553"/>
        <v>0</v>
      </c>
      <c r="G1239" s="47"/>
      <c r="H1239" s="42">
        <f t="shared" si="554"/>
        <v>0</v>
      </c>
      <c r="I1239" s="39"/>
      <c r="J1239" s="41">
        <f t="shared" si="555"/>
        <v>0</v>
      </c>
      <c r="K1239" s="47"/>
      <c r="L1239" s="41">
        <f t="shared" si="556"/>
        <v>0</v>
      </c>
      <c r="M1239" s="39"/>
      <c r="N1239" s="41">
        <f t="shared" si="557"/>
        <v>0</v>
      </c>
      <c r="O1239" s="47"/>
      <c r="P1239" s="41">
        <f t="shared" si="558"/>
        <v>0</v>
      </c>
      <c r="Q1239" s="39"/>
      <c r="R1239" s="41">
        <f t="shared" si="559"/>
        <v>0</v>
      </c>
      <c r="S1239" s="47"/>
      <c r="T1239" s="41">
        <f t="shared" si="560"/>
        <v>0</v>
      </c>
      <c r="U1239" s="39"/>
      <c r="V1239" s="41">
        <f t="shared" si="561"/>
        <v>0</v>
      </c>
      <c r="W1239" s="47"/>
      <c r="X1239" s="41">
        <f t="shared" si="562"/>
        <v>0</v>
      </c>
      <c r="Y1239" s="39"/>
      <c r="Z1239" s="41">
        <f t="shared" si="563"/>
        <v>0</v>
      </c>
      <c r="AA1239" s="47"/>
      <c r="AB1239" s="41">
        <f t="shared" si="564"/>
        <v>0</v>
      </c>
      <c r="AC1239" s="39"/>
      <c r="AD1239" s="41">
        <f t="shared" si="572"/>
        <v>0</v>
      </c>
      <c r="AE1239" s="47"/>
      <c r="AF1239" s="41">
        <f t="shared" si="565"/>
        <v>0</v>
      </c>
      <c r="AG1239" s="39"/>
      <c r="AH1239" s="41">
        <f t="shared" si="573"/>
        <v>0</v>
      </c>
      <c r="AI1239" s="47"/>
      <c r="AJ1239" s="41">
        <f t="shared" si="566"/>
        <v>0</v>
      </c>
      <c r="AK1239" s="39"/>
      <c r="AL1239" s="41">
        <f t="shared" si="574"/>
        <v>0</v>
      </c>
      <c r="AM1239" s="47"/>
      <c r="AN1239" s="41">
        <f t="shared" si="567"/>
        <v>0</v>
      </c>
      <c r="AO1239" s="39"/>
      <c r="AP1239" s="41">
        <f t="shared" si="575"/>
        <v>0</v>
      </c>
      <c r="AQ1239" s="47"/>
      <c r="AR1239" s="41">
        <f t="shared" si="568"/>
        <v>0</v>
      </c>
      <c r="AS1239" s="39"/>
      <c r="AT1239" s="41">
        <f t="shared" si="576"/>
        <v>0</v>
      </c>
      <c r="AU1239" s="47"/>
      <c r="AV1239" s="41">
        <f t="shared" si="569"/>
        <v>0</v>
      </c>
      <c r="AW1239" s="39"/>
      <c r="AX1239" s="41">
        <f t="shared" si="577"/>
        <v>0</v>
      </c>
      <c r="AY1239" s="47"/>
      <c r="AZ1239" s="41">
        <f t="shared" si="570"/>
        <v>0</v>
      </c>
      <c r="BA1239" s="39"/>
      <c r="BB1239" s="41">
        <f t="shared" si="578"/>
        <v>0</v>
      </c>
      <c r="BC1239" s="47"/>
      <c r="BD1239" s="41">
        <f t="shared" si="571"/>
        <v>0</v>
      </c>
      <c r="BE1239" s="39"/>
      <c r="BF1239" s="47"/>
    </row>
    <row r="1240" spans="1:58" ht="15.75" customHeight="1" x14ac:dyDescent="0.25">
      <c r="A1240" s="44">
        <v>2016</v>
      </c>
      <c r="B1240" s="39">
        <v>172065</v>
      </c>
      <c r="C1240" s="38" t="s">
        <v>151</v>
      </c>
      <c r="D1240" s="38" t="s">
        <v>131</v>
      </c>
      <c r="E1240" s="39"/>
      <c r="F1240" s="42">
        <f t="shared" si="553"/>
        <v>0</v>
      </c>
      <c r="G1240" s="47"/>
      <c r="H1240" s="42">
        <f t="shared" si="554"/>
        <v>0</v>
      </c>
      <c r="I1240" s="39"/>
      <c r="J1240" s="41">
        <f t="shared" si="555"/>
        <v>0</v>
      </c>
      <c r="K1240" s="47"/>
      <c r="L1240" s="41">
        <f t="shared" si="556"/>
        <v>0</v>
      </c>
      <c r="M1240" s="39"/>
      <c r="N1240" s="41">
        <f t="shared" si="557"/>
        <v>0</v>
      </c>
      <c r="O1240" s="47"/>
      <c r="P1240" s="41">
        <f t="shared" si="558"/>
        <v>0</v>
      </c>
      <c r="Q1240" s="39"/>
      <c r="R1240" s="41">
        <f t="shared" si="559"/>
        <v>0</v>
      </c>
      <c r="S1240" s="47"/>
      <c r="T1240" s="41">
        <f t="shared" si="560"/>
        <v>0</v>
      </c>
      <c r="U1240" s="39"/>
      <c r="V1240" s="41">
        <f t="shared" si="561"/>
        <v>0</v>
      </c>
      <c r="W1240" s="47"/>
      <c r="X1240" s="41">
        <f t="shared" si="562"/>
        <v>0</v>
      </c>
      <c r="Y1240" s="39"/>
      <c r="Z1240" s="41">
        <f t="shared" si="563"/>
        <v>0</v>
      </c>
      <c r="AA1240" s="47"/>
      <c r="AB1240" s="41">
        <f t="shared" si="564"/>
        <v>0</v>
      </c>
      <c r="AC1240" s="39"/>
      <c r="AD1240" s="41">
        <f t="shared" si="572"/>
        <v>0</v>
      </c>
      <c r="AE1240" s="47"/>
      <c r="AF1240" s="41">
        <f t="shared" si="565"/>
        <v>0</v>
      </c>
      <c r="AG1240" s="39"/>
      <c r="AH1240" s="41">
        <f t="shared" si="573"/>
        <v>0</v>
      </c>
      <c r="AI1240" s="47"/>
      <c r="AJ1240" s="41">
        <f t="shared" si="566"/>
        <v>0</v>
      </c>
      <c r="AK1240" s="39"/>
      <c r="AL1240" s="41">
        <f t="shared" si="574"/>
        <v>0</v>
      </c>
      <c r="AM1240" s="47"/>
      <c r="AN1240" s="41">
        <f t="shared" si="567"/>
        <v>0</v>
      </c>
      <c r="AO1240" s="39"/>
      <c r="AP1240" s="41">
        <f t="shared" si="575"/>
        <v>0</v>
      </c>
      <c r="AQ1240" s="47"/>
      <c r="AR1240" s="41">
        <f t="shared" si="568"/>
        <v>0</v>
      </c>
      <c r="AS1240" s="39"/>
      <c r="AT1240" s="41">
        <f t="shared" si="576"/>
        <v>0</v>
      </c>
      <c r="AU1240" s="47"/>
      <c r="AV1240" s="41">
        <f t="shared" si="569"/>
        <v>0</v>
      </c>
      <c r="AW1240" s="39"/>
      <c r="AX1240" s="41">
        <f t="shared" si="577"/>
        <v>0</v>
      </c>
      <c r="AY1240" s="47"/>
      <c r="AZ1240" s="41">
        <f t="shared" si="570"/>
        <v>0</v>
      </c>
      <c r="BA1240" s="39"/>
      <c r="BB1240" s="41">
        <f t="shared" si="578"/>
        <v>0</v>
      </c>
      <c r="BC1240" s="47"/>
      <c r="BD1240" s="41">
        <f t="shared" si="571"/>
        <v>0</v>
      </c>
      <c r="BE1240" s="39"/>
      <c r="BF1240" s="47"/>
    </row>
    <row r="1241" spans="1:58" ht="15.75" customHeight="1" x14ac:dyDescent="0.25">
      <c r="A1241" s="44">
        <v>2016</v>
      </c>
      <c r="B1241" s="39">
        <v>172080</v>
      </c>
      <c r="C1241" s="38" t="s">
        <v>145</v>
      </c>
      <c r="D1241" s="38" t="s">
        <v>132</v>
      </c>
      <c r="E1241" s="39"/>
      <c r="F1241" s="42">
        <f t="shared" si="553"/>
        <v>0</v>
      </c>
      <c r="G1241" s="47"/>
      <c r="H1241" s="42">
        <f t="shared" si="554"/>
        <v>0</v>
      </c>
      <c r="I1241" s="39"/>
      <c r="J1241" s="41">
        <f t="shared" si="555"/>
        <v>0</v>
      </c>
      <c r="K1241" s="47"/>
      <c r="L1241" s="41">
        <f t="shared" si="556"/>
        <v>0</v>
      </c>
      <c r="M1241" s="39"/>
      <c r="N1241" s="41">
        <f t="shared" si="557"/>
        <v>0</v>
      </c>
      <c r="O1241" s="47"/>
      <c r="P1241" s="41">
        <f t="shared" si="558"/>
        <v>0</v>
      </c>
      <c r="Q1241" s="39"/>
      <c r="R1241" s="41">
        <f t="shared" si="559"/>
        <v>0</v>
      </c>
      <c r="S1241" s="47"/>
      <c r="T1241" s="41">
        <f t="shared" si="560"/>
        <v>0</v>
      </c>
      <c r="U1241" s="39"/>
      <c r="V1241" s="41">
        <f t="shared" si="561"/>
        <v>0</v>
      </c>
      <c r="W1241" s="47"/>
      <c r="X1241" s="41">
        <f t="shared" si="562"/>
        <v>0</v>
      </c>
      <c r="Y1241" s="39"/>
      <c r="Z1241" s="41">
        <f t="shared" si="563"/>
        <v>0</v>
      </c>
      <c r="AA1241" s="47"/>
      <c r="AB1241" s="41">
        <f t="shared" si="564"/>
        <v>0</v>
      </c>
      <c r="AC1241" s="39"/>
      <c r="AD1241" s="41">
        <f t="shared" si="572"/>
        <v>0</v>
      </c>
      <c r="AE1241" s="47"/>
      <c r="AF1241" s="41">
        <f t="shared" si="565"/>
        <v>0</v>
      </c>
      <c r="AG1241" s="39"/>
      <c r="AH1241" s="41">
        <f t="shared" si="573"/>
        <v>0</v>
      </c>
      <c r="AI1241" s="47"/>
      <c r="AJ1241" s="41">
        <f t="shared" si="566"/>
        <v>0</v>
      </c>
      <c r="AK1241" s="39"/>
      <c r="AL1241" s="41">
        <f t="shared" si="574"/>
        <v>0</v>
      </c>
      <c r="AM1241" s="47"/>
      <c r="AN1241" s="41">
        <f t="shared" si="567"/>
        <v>0</v>
      </c>
      <c r="AO1241" s="39"/>
      <c r="AP1241" s="41">
        <f t="shared" si="575"/>
        <v>0</v>
      </c>
      <c r="AQ1241" s="47"/>
      <c r="AR1241" s="41">
        <f t="shared" si="568"/>
        <v>0</v>
      </c>
      <c r="AS1241" s="39"/>
      <c r="AT1241" s="41">
        <f t="shared" si="576"/>
        <v>0</v>
      </c>
      <c r="AU1241" s="47"/>
      <c r="AV1241" s="41">
        <f t="shared" si="569"/>
        <v>0</v>
      </c>
      <c r="AW1241" s="39"/>
      <c r="AX1241" s="41">
        <f t="shared" si="577"/>
        <v>0</v>
      </c>
      <c r="AY1241" s="47"/>
      <c r="AZ1241" s="41">
        <f t="shared" si="570"/>
        <v>0</v>
      </c>
      <c r="BA1241" s="39"/>
      <c r="BB1241" s="41">
        <f t="shared" si="578"/>
        <v>0</v>
      </c>
      <c r="BC1241" s="47"/>
      <c r="BD1241" s="41">
        <f t="shared" si="571"/>
        <v>0</v>
      </c>
      <c r="BE1241" s="39"/>
      <c r="BF1241" s="47"/>
    </row>
    <row r="1242" spans="1:58" ht="15.75" customHeight="1" x14ac:dyDescent="0.25">
      <c r="A1242" s="44">
        <v>2016</v>
      </c>
      <c r="B1242" s="39">
        <v>172085</v>
      </c>
      <c r="C1242" s="38" t="s">
        <v>146</v>
      </c>
      <c r="D1242" s="38" t="s">
        <v>133</v>
      </c>
      <c r="E1242" s="39"/>
      <c r="F1242" s="42">
        <f t="shared" si="553"/>
        <v>0</v>
      </c>
      <c r="G1242" s="47"/>
      <c r="H1242" s="42">
        <f t="shared" si="554"/>
        <v>0</v>
      </c>
      <c r="I1242" s="39"/>
      <c r="J1242" s="41">
        <f t="shared" si="555"/>
        <v>0</v>
      </c>
      <c r="K1242" s="47"/>
      <c r="L1242" s="41">
        <f t="shared" si="556"/>
        <v>0</v>
      </c>
      <c r="M1242" s="39"/>
      <c r="N1242" s="41">
        <f t="shared" si="557"/>
        <v>0</v>
      </c>
      <c r="O1242" s="47"/>
      <c r="P1242" s="41">
        <f t="shared" si="558"/>
        <v>0</v>
      </c>
      <c r="Q1242" s="39"/>
      <c r="R1242" s="41">
        <f t="shared" si="559"/>
        <v>0</v>
      </c>
      <c r="S1242" s="47"/>
      <c r="T1242" s="41">
        <f t="shared" si="560"/>
        <v>0</v>
      </c>
      <c r="U1242" s="39"/>
      <c r="V1242" s="41">
        <f t="shared" si="561"/>
        <v>0</v>
      </c>
      <c r="W1242" s="47"/>
      <c r="X1242" s="41">
        <f t="shared" si="562"/>
        <v>0</v>
      </c>
      <c r="Y1242" s="39"/>
      <c r="Z1242" s="41">
        <f t="shared" si="563"/>
        <v>0</v>
      </c>
      <c r="AA1242" s="47"/>
      <c r="AB1242" s="41">
        <f t="shared" si="564"/>
        <v>0</v>
      </c>
      <c r="AC1242" s="39"/>
      <c r="AD1242" s="41">
        <f t="shared" si="572"/>
        <v>0</v>
      </c>
      <c r="AE1242" s="47"/>
      <c r="AF1242" s="41">
        <f t="shared" si="565"/>
        <v>0</v>
      </c>
      <c r="AG1242" s="39"/>
      <c r="AH1242" s="41">
        <f t="shared" si="573"/>
        <v>0</v>
      </c>
      <c r="AI1242" s="47"/>
      <c r="AJ1242" s="41">
        <f t="shared" si="566"/>
        <v>0</v>
      </c>
      <c r="AK1242" s="39"/>
      <c r="AL1242" s="41">
        <f t="shared" si="574"/>
        <v>0</v>
      </c>
      <c r="AM1242" s="47"/>
      <c r="AN1242" s="41">
        <f t="shared" si="567"/>
        <v>0</v>
      </c>
      <c r="AO1242" s="39"/>
      <c r="AP1242" s="41">
        <f t="shared" si="575"/>
        <v>0</v>
      </c>
      <c r="AQ1242" s="47"/>
      <c r="AR1242" s="41">
        <f t="shared" si="568"/>
        <v>0</v>
      </c>
      <c r="AS1242" s="39"/>
      <c r="AT1242" s="41">
        <f t="shared" si="576"/>
        <v>0</v>
      </c>
      <c r="AU1242" s="47"/>
      <c r="AV1242" s="41">
        <f t="shared" si="569"/>
        <v>0</v>
      </c>
      <c r="AW1242" s="39"/>
      <c r="AX1242" s="41">
        <f t="shared" si="577"/>
        <v>0</v>
      </c>
      <c r="AY1242" s="47"/>
      <c r="AZ1242" s="41">
        <f t="shared" si="570"/>
        <v>0</v>
      </c>
      <c r="BA1242" s="39"/>
      <c r="BB1242" s="41">
        <f t="shared" si="578"/>
        <v>0</v>
      </c>
      <c r="BC1242" s="47"/>
      <c r="BD1242" s="41">
        <f t="shared" si="571"/>
        <v>0</v>
      </c>
      <c r="BE1242" s="39"/>
      <c r="BF1242" s="47"/>
    </row>
    <row r="1243" spans="1:58" ht="15.75" customHeight="1" x14ac:dyDescent="0.25">
      <c r="A1243" s="44">
        <v>2016</v>
      </c>
      <c r="B1243" s="39">
        <v>170825</v>
      </c>
      <c r="C1243" s="38" t="s">
        <v>148</v>
      </c>
      <c r="D1243" s="38" t="s">
        <v>134</v>
      </c>
      <c r="E1243" s="39"/>
      <c r="F1243" s="42">
        <f t="shared" si="553"/>
        <v>0</v>
      </c>
      <c r="G1243" s="47"/>
      <c r="H1243" s="42">
        <f t="shared" si="554"/>
        <v>0</v>
      </c>
      <c r="I1243" s="39"/>
      <c r="J1243" s="41">
        <f t="shared" si="555"/>
        <v>0</v>
      </c>
      <c r="K1243" s="47"/>
      <c r="L1243" s="41">
        <f t="shared" si="556"/>
        <v>0</v>
      </c>
      <c r="M1243" s="39"/>
      <c r="N1243" s="41">
        <f t="shared" si="557"/>
        <v>0</v>
      </c>
      <c r="O1243" s="47"/>
      <c r="P1243" s="41">
        <f t="shared" si="558"/>
        <v>0</v>
      </c>
      <c r="Q1243" s="39"/>
      <c r="R1243" s="41">
        <f t="shared" si="559"/>
        <v>0</v>
      </c>
      <c r="S1243" s="47"/>
      <c r="T1243" s="41">
        <f t="shared" si="560"/>
        <v>0</v>
      </c>
      <c r="U1243" s="39"/>
      <c r="V1243" s="41">
        <f t="shared" si="561"/>
        <v>0</v>
      </c>
      <c r="W1243" s="47"/>
      <c r="X1243" s="41">
        <f t="shared" si="562"/>
        <v>0</v>
      </c>
      <c r="Y1243" s="39"/>
      <c r="Z1243" s="41">
        <f t="shared" si="563"/>
        <v>0</v>
      </c>
      <c r="AA1243" s="47"/>
      <c r="AB1243" s="41">
        <f t="shared" si="564"/>
        <v>0</v>
      </c>
      <c r="AC1243" s="39"/>
      <c r="AD1243" s="41">
        <f t="shared" si="572"/>
        <v>0</v>
      </c>
      <c r="AE1243" s="47"/>
      <c r="AF1243" s="41">
        <f t="shared" si="565"/>
        <v>0</v>
      </c>
      <c r="AG1243" s="39"/>
      <c r="AH1243" s="41">
        <f t="shared" si="573"/>
        <v>0</v>
      </c>
      <c r="AI1243" s="47"/>
      <c r="AJ1243" s="41">
        <f t="shared" si="566"/>
        <v>0</v>
      </c>
      <c r="AK1243" s="39"/>
      <c r="AL1243" s="41">
        <f t="shared" si="574"/>
        <v>0</v>
      </c>
      <c r="AM1243" s="47"/>
      <c r="AN1243" s="41">
        <f t="shared" si="567"/>
        <v>0</v>
      </c>
      <c r="AO1243" s="39"/>
      <c r="AP1243" s="41">
        <f t="shared" si="575"/>
        <v>0</v>
      </c>
      <c r="AQ1243" s="47"/>
      <c r="AR1243" s="41">
        <f t="shared" si="568"/>
        <v>0</v>
      </c>
      <c r="AS1243" s="39"/>
      <c r="AT1243" s="41">
        <f t="shared" si="576"/>
        <v>0</v>
      </c>
      <c r="AU1243" s="47"/>
      <c r="AV1243" s="41">
        <f t="shared" si="569"/>
        <v>0</v>
      </c>
      <c r="AW1243" s="39"/>
      <c r="AX1243" s="41">
        <f t="shared" si="577"/>
        <v>0</v>
      </c>
      <c r="AY1243" s="47"/>
      <c r="AZ1243" s="41">
        <f t="shared" si="570"/>
        <v>0</v>
      </c>
      <c r="BA1243" s="39"/>
      <c r="BB1243" s="41">
        <f t="shared" si="578"/>
        <v>0</v>
      </c>
      <c r="BC1243" s="47"/>
      <c r="BD1243" s="41">
        <f t="shared" si="571"/>
        <v>0</v>
      </c>
      <c r="BE1243" s="39"/>
      <c r="BF1243" s="47"/>
    </row>
    <row r="1244" spans="1:58" ht="15.75" customHeight="1" x14ac:dyDescent="0.25">
      <c r="A1244" s="44">
        <v>2016</v>
      </c>
      <c r="B1244" s="39">
        <v>172090</v>
      </c>
      <c r="C1244" s="38" t="s">
        <v>147</v>
      </c>
      <c r="D1244" s="38" t="s">
        <v>135</v>
      </c>
      <c r="E1244" s="39"/>
      <c r="F1244" s="42">
        <f t="shared" si="553"/>
        <v>0</v>
      </c>
      <c r="G1244" s="47"/>
      <c r="H1244" s="42">
        <f t="shared" si="554"/>
        <v>0</v>
      </c>
      <c r="I1244" s="39"/>
      <c r="J1244" s="41">
        <f t="shared" si="555"/>
        <v>0</v>
      </c>
      <c r="K1244" s="47"/>
      <c r="L1244" s="41">
        <f t="shared" si="556"/>
        <v>0</v>
      </c>
      <c r="M1244" s="39"/>
      <c r="N1244" s="41">
        <f t="shared" si="557"/>
        <v>0</v>
      </c>
      <c r="O1244" s="47"/>
      <c r="P1244" s="41">
        <f t="shared" si="558"/>
        <v>0</v>
      </c>
      <c r="Q1244" s="39"/>
      <c r="R1244" s="41">
        <f t="shared" si="559"/>
        <v>0</v>
      </c>
      <c r="S1244" s="47"/>
      <c r="T1244" s="41">
        <f t="shared" si="560"/>
        <v>0</v>
      </c>
      <c r="U1244" s="39"/>
      <c r="V1244" s="41">
        <f t="shared" si="561"/>
        <v>0</v>
      </c>
      <c r="W1244" s="47"/>
      <c r="X1244" s="41">
        <f t="shared" si="562"/>
        <v>0</v>
      </c>
      <c r="Y1244" s="39"/>
      <c r="Z1244" s="41">
        <f t="shared" si="563"/>
        <v>0</v>
      </c>
      <c r="AA1244" s="47"/>
      <c r="AB1244" s="41">
        <f t="shared" si="564"/>
        <v>0</v>
      </c>
      <c r="AC1244" s="39"/>
      <c r="AD1244" s="41">
        <f t="shared" si="572"/>
        <v>0</v>
      </c>
      <c r="AE1244" s="47"/>
      <c r="AF1244" s="41">
        <f t="shared" si="565"/>
        <v>0</v>
      </c>
      <c r="AG1244" s="39"/>
      <c r="AH1244" s="41">
        <f t="shared" si="573"/>
        <v>0</v>
      </c>
      <c r="AI1244" s="47"/>
      <c r="AJ1244" s="41">
        <f t="shared" si="566"/>
        <v>0</v>
      </c>
      <c r="AK1244" s="39"/>
      <c r="AL1244" s="41">
        <f t="shared" si="574"/>
        <v>0</v>
      </c>
      <c r="AM1244" s="47"/>
      <c r="AN1244" s="41">
        <f t="shared" si="567"/>
        <v>0</v>
      </c>
      <c r="AO1244" s="39"/>
      <c r="AP1244" s="41">
        <f t="shared" si="575"/>
        <v>0</v>
      </c>
      <c r="AQ1244" s="47"/>
      <c r="AR1244" s="41">
        <f t="shared" si="568"/>
        <v>0</v>
      </c>
      <c r="AS1244" s="39"/>
      <c r="AT1244" s="41">
        <f t="shared" si="576"/>
        <v>0</v>
      </c>
      <c r="AU1244" s="47"/>
      <c r="AV1244" s="41">
        <f t="shared" si="569"/>
        <v>0</v>
      </c>
      <c r="AW1244" s="39"/>
      <c r="AX1244" s="41">
        <f t="shared" si="577"/>
        <v>0</v>
      </c>
      <c r="AY1244" s="47"/>
      <c r="AZ1244" s="41">
        <f t="shared" si="570"/>
        <v>0</v>
      </c>
      <c r="BA1244" s="39"/>
      <c r="BB1244" s="41">
        <f t="shared" si="578"/>
        <v>0</v>
      </c>
      <c r="BC1244" s="47"/>
      <c r="BD1244" s="41">
        <f t="shared" si="571"/>
        <v>0</v>
      </c>
      <c r="BE1244" s="39"/>
      <c r="BF1244" s="47"/>
    </row>
    <row r="1245" spans="1:58" ht="15.75" customHeight="1" x14ac:dyDescent="0.25">
      <c r="A1245" s="44">
        <v>2016</v>
      </c>
      <c r="B1245" s="39">
        <v>172093</v>
      </c>
      <c r="C1245" s="38" t="s">
        <v>147</v>
      </c>
      <c r="D1245" s="38" t="s">
        <v>136</v>
      </c>
      <c r="E1245" s="39"/>
      <c r="F1245" s="42">
        <f t="shared" si="553"/>
        <v>0</v>
      </c>
      <c r="G1245" s="47"/>
      <c r="H1245" s="42">
        <f t="shared" si="554"/>
        <v>0</v>
      </c>
      <c r="I1245" s="39"/>
      <c r="J1245" s="41">
        <f t="shared" si="555"/>
        <v>0</v>
      </c>
      <c r="K1245" s="47"/>
      <c r="L1245" s="41">
        <f t="shared" si="556"/>
        <v>0</v>
      </c>
      <c r="M1245" s="39"/>
      <c r="N1245" s="41">
        <f t="shared" si="557"/>
        <v>0</v>
      </c>
      <c r="O1245" s="47"/>
      <c r="P1245" s="41">
        <f t="shared" si="558"/>
        <v>0</v>
      </c>
      <c r="Q1245" s="39"/>
      <c r="R1245" s="41">
        <f t="shared" si="559"/>
        <v>0</v>
      </c>
      <c r="S1245" s="47"/>
      <c r="T1245" s="41">
        <f t="shared" si="560"/>
        <v>0</v>
      </c>
      <c r="U1245" s="39"/>
      <c r="V1245" s="41">
        <f t="shared" si="561"/>
        <v>0</v>
      </c>
      <c r="W1245" s="47"/>
      <c r="X1245" s="41">
        <f t="shared" si="562"/>
        <v>0</v>
      </c>
      <c r="Y1245" s="39"/>
      <c r="Z1245" s="41">
        <f t="shared" si="563"/>
        <v>0</v>
      </c>
      <c r="AA1245" s="47"/>
      <c r="AB1245" s="41">
        <f t="shared" si="564"/>
        <v>0</v>
      </c>
      <c r="AC1245" s="39"/>
      <c r="AD1245" s="41">
        <f t="shared" si="572"/>
        <v>0</v>
      </c>
      <c r="AE1245" s="47"/>
      <c r="AF1245" s="41">
        <f t="shared" si="565"/>
        <v>0</v>
      </c>
      <c r="AG1245" s="39"/>
      <c r="AH1245" s="41">
        <f t="shared" si="573"/>
        <v>0</v>
      </c>
      <c r="AI1245" s="47"/>
      <c r="AJ1245" s="41">
        <f t="shared" si="566"/>
        <v>0</v>
      </c>
      <c r="AK1245" s="39"/>
      <c r="AL1245" s="41">
        <f t="shared" si="574"/>
        <v>0</v>
      </c>
      <c r="AM1245" s="47"/>
      <c r="AN1245" s="41">
        <f t="shared" si="567"/>
        <v>0</v>
      </c>
      <c r="AO1245" s="39"/>
      <c r="AP1245" s="41">
        <f t="shared" si="575"/>
        <v>0</v>
      </c>
      <c r="AQ1245" s="47"/>
      <c r="AR1245" s="41">
        <f t="shared" si="568"/>
        <v>0</v>
      </c>
      <c r="AS1245" s="39"/>
      <c r="AT1245" s="41">
        <f t="shared" si="576"/>
        <v>0</v>
      </c>
      <c r="AU1245" s="47"/>
      <c r="AV1245" s="41">
        <f t="shared" si="569"/>
        <v>0</v>
      </c>
      <c r="AW1245" s="39"/>
      <c r="AX1245" s="41">
        <f t="shared" si="577"/>
        <v>0</v>
      </c>
      <c r="AY1245" s="47"/>
      <c r="AZ1245" s="41">
        <f t="shared" si="570"/>
        <v>0</v>
      </c>
      <c r="BA1245" s="39"/>
      <c r="BB1245" s="41">
        <f t="shared" si="578"/>
        <v>0</v>
      </c>
      <c r="BC1245" s="47"/>
      <c r="BD1245" s="41">
        <f t="shared" si="571"/>
        <v>0</v>
      </c>
      <c r="BE1245" s="39"/>
      <c r="BF1245" s="47"/>
    </row>
    <row r="1246" spans="1:58" ht="15.75" customHeight="1" x14ac:dyDescent="0.25">
      <c r="A1246" s="44">
        <v>2016</v>
      </c>
      <c r="B1246" s="39">
        <v>172097</v>
      </c>
      <c r="C1246" s="38" t="s">
        <v>146</v>
      </c>
      <c r="D1246" s="38" t="s">
        <v>137</v>
      </c>
      <c r="E1246" s="39"/>
      <c r="F1246" s="42">
        <f t="shared" si="553"/>
        <v>0</v>
      </c>
      <c r="G1246" s="47"/>
      <c r="H1246" s="42">
        <f t="shared" si="554"/>
        <v>0</v>
      </c>
      <c r="I1246" s="39"/>
      <c r="J1246" s="41">
        <f t="shared" si="555"/>
        <v>0</v>
      </c>
      <c r="K1246" s="47"/>
      <c r="L1246" s="41">
        <f t="shared" si="556"/>
        <v>0</v>
      </c>
      <c r="M1246" s="39"/>
      <c r="N1246" s="41">
        <f t="shared" si="557"/>
        <v>0</v>
      </c>
      <c r="O1246" s="47"/>
      <c r="P1246" s="41">
        <f t="shared" si="558"/>
        <v>0</v>
      </c>
      <c r="Q1246" s="39"/>
      <c r="R1246" s="41">
        <f t="shared" si="559"/>
        <v>0</v>
      </c>
      <c r="S1246" s="47"/>
      <c r="T1246" s="41">
        <f t="shared" si="560"/>
        <v>0</v>
      </c>
      <c r="U1246" s="39"/>
      <c r="V1246" s="41">
        <f t="shared" si="561"/>
        <v>0</v>
      </c>
      <c r="W1246" s="47"/>
      <c r="X1246" s="41">
        <f t="shared" si="562"/>
        <v>0</v>
      </c>
      <c r="Y1246" s="39"/>
      <c r="Z1246" s="41">
        <f t="shared" si="563"/>
        <v>0</v>
      </c>
      <c r="AA1246" s="47"/>
      <c r="AB1246" s="41">
        <f t="shared" si="564"/>
        <v>0</v>
      </c>
      <c r="AC1246" s="39"/>
      <c r="AD1246" s="41">
        <f t="shared" si="572"/>
        <v>0</v>
      </c>
      <c r="AE1246" s="47"/>
      <c r="AF1246" s="41">
        <f t="shared" si="565"/>
        <v>0</v>
      </c>
      <c r="AG1246" s="39"/>
      <c r="AH1246" s="41">
        <f t="shared" si="573"/>
        <v>0</v>
      </c>
      <c r="AI1246" s="47"/>
      <c r="AJ1246" s="41">
        <f t="shared" si="566"/>
        <v>0</v>
      </c>
      <c r="AK1246" s="39"/>
      <c r="AL1246" s="41">
        <f t="shared" si="574"/>
        <v>0</v>
      </c>
      <c r="AM1246" s="47"/>
      <c r="AN1246" s="41">
        <f t="shared" si="567"/>
        <v>0</v>
      </c>
      <c r="AO1246" s="39"/>
      <c r="AP1246" s="41">
        <f t="shared" si="575"/>
        <v>0</v>
      </c>
      <c r="AQ1246" s="47"/>
      <c r="AR1246" s="41">
        <f t="shared" si="568"/>
        <v>0</v>
      </c>
      <c r="AS1246" s="39"/>
      <c r="AT1246" s="41">
        <f t="shared" si="576"/>
        <v>0</v>
      </c>
      <c r="AU1246" s="47"/>
      <c r="AV1246" s="41">
        <f t="shared" si="569"/>
        <v>0</v>
      </c>
      <c r="AW1246" s="39"/>
      <c r="AX1246" s="41">
        <f t="shared" si="577"/>
        <v>0</v>
      </c>
      <c r="AY1246" s="47"/>
      <c r="AZ1246" s="41">
        <f t="shared" si="570"/>
        <v>0</v>
      </c>
      <c r="BA1246" s="39"/>
      <c r="BB1246" s="41">
        <f t="shared" si="578"/>
        <v>0</v>
      </c>
      <c r="BC1246" s="47"/>
      <c r="BD1246" s="41">
        <f t="shared" si="571"/>
        <v>0</v>
      </c>
      <c r="BE1246" s="39"/>
      <c r="BF1246" s="47"/>
    </row>
    <row r="1247" spans="1:58" ht="15.75" customHeight="1" x14ac:dyDescent="0.25">
      <c r="A1247" s="44">
        <v>2016</v>
      </c>
      <c r="B1247" s="39">
        <v>172110</v>
      </c>
      <c r="C1247" s="38" t="s">
        <v>148</v>
      </c>
      <c r="D1247" s="38" t="s">
        <v>138</v>
      </c>
      <c r="E1247" s="39"/>
      <c r="F1247" s="42">
        <f t="shared" si="553"/>
        <v>0</v>
      </c>
      <c r="G1247" s="47"/>
      <c r="H1247" s="42">
        <f t="shared" si="554"/>
        <v>0</v>
      </c>
      <c r="I1247" s="39"/>
      <c r="J1247" s="41">
        <f t="shared" si="555"/>
        <v>0</v>
      </c>
      <c r="K1247" s="47"/>
      <c r="L1247" s="41">
        <f t="shared" si="556"/>
        <v>0</v>
      </c>
      <c r="M1247" s="39"/>
      <c r="N1247" s="41">
        <f t="shared" si="557"/>
        <v>0</v>
      </c>
      <c r="O1247" s="47"/>
      <c r="P1247" s="41">
        <f t="shared" si="558"/>
        <v>0</v>
      </c>
      <c r="Q1247" s="39"/>
      <c r="R1247" s="41">
        <f t="shared" si="559"/>
        <v>0</v>
      </c>
      <c r="S1247" s="47"/>
      <c r="T1247" s="41">
        <f t="shared" si="560"/>
        <v>0</v>
      </c>
      <c r="U1247" s="39"/>
      <c r="V1247" s="41">
        <f t="shared" si="561"/>
        <v>0</v>
      </c>
      <c r="W1247" s="47"/>
      <c r="X1247" s="41">
        <f t="shared" si="562"/>
        <v>0</v>
      </c>
      <c r="Y1247" s="39"/>
      <c r="Z1247" s="41">
        <f t="shared" si="563"/>
        <v>0</v>
      </c>
      <c r="AA1247" s="47"/>
      <c r="AB1247" s="41">
        <f t="shared" si="564"/>
        <v>0</v>
      </c>
      <c r="AC1247" s="39"/>
      <c r="AD1247" s="41">
        <f t="shared" si="572"/>
        <v>0</v>
      </c>
      <c r="AE1247" s="47"/>
      <c r="AF1247" s="41">
        <f t="shared" si="565"/>
        <v>0</v>
      </c>
      <c r="AG1247" s="39"/>
      <c r="AH1247" s="41">
        <f t="shared" si="573"/>
        <v>0</v>
      </c>
      <c r="AI1247" s="47"/>
      <c r="AJ1247" s="41">
        <f t="shared" si="566"/>
        <v>0</v>
      </c>
      <c r="AK1247" s="39"/>
      <c r="AL1247" s="41">
        <f t="shared" si="574"/>
        <v>0</v>
      </c>
      <c r="AM1247" s="47"/>
      <c r="AN1247" s="41">
        <f t="shared" si="567"/>
        <v>0</v>
      </c>
      <c r="AO1247" s="39"/>
      <c r="AP1247" s="41">
        <f t="shared" si="575"/>
        <v>0</v>
      </c>
      <c r="AQ1247" s="47"/>
      <c r="AR1247" s="41">
        <f t="shared" si="568"/>
        <v>0</v>
      </c>
      <c r="AS1247" s="39"/>
      <c r="AT1247" s="41">
        <f t="shared" si="576"/>
        <v>0</v>
      </c>
      <c r="AU1247" s="47"/>
      <c r="AV1247" s="41">
        <f t="shared" si="569"/>
        <v>0</v>
      </c>
      <c r="AW1247" s="39"/>
      <c r="AX1247" s="41">
        <f t="shared" si="577"/>
        <v>0</v>
      </c>
      <c r="AY1247" s="47"/>
      <c r="AZ1247" s="41">
        <f t="shared" si="570"/>
        <v>0</v>
      </c>
      <c r="BA1247" s="39"/>
      <c r="BB1247" s="41">
        <f t="shared" si="578"/>
        <v>0</v>
      </c>
      <c r="BC1247" s="47"/>
      <c r="BD1247" s="41">
        <f t="shared" si="571"/>
        <v>0</v>
      </c>
      <c r="BE1247" s="39"/>
      <c r="BF1247" s="47"/>
    </row>
    <row r="1248" spans="1:58" ht="15.75" customHeight="1" x14ac:dyDescent="0.25">
      <c r="A1248" s="44">
        <v>2016</v>
      </c>
      <c r="B1248" s="39">
        <v>172120</v>
      </c>
      <c r="C1248" s="38" t="s">
        <v>145</v>
      </c>
      <c r="D1248" s="38" t="s">
        <v>139</v>
      </c>
      <c r="E1248" s="39"/>
      <c r="F1248" s="42">
        <f t="shared" si="553"/>
        <v>0</v>
      </c>
      <c r="G1248" s="47"/>
      <c r="H1248" s="42">
        <f t="shared" si="554"/>
        <v>0</v>
      </c>
      <c r="I1248" s="39"/>
      <c r="J1248" s="41">
        <f t="shared" si="555"/>
        <v>0</v>
      </c>
      <c r="K1248" s="47"/>
      <c r="L1248" s="41">
        <f t="shared" si="556"/>
        <v>0</v>
      </c>
      <c r="M1248" s="39"/>
      <c r="N1248" s="41">
        <f t="shared" si="557"/>
        <v>0</v>
      </c>
      <c r="O1248" s="47"/>
      <c r="P1248" s="41">
        <f t="shared" si="558"/>
        <v>0</v>
      </c>
      <c r="Q1248" s="39"/>
      <c r="R1248" s="41">
        <f t="shared" si="559"/>
        <v>0</v>
      </c>
      <c r="S1248" s="47"/>
      <c r="T1248" s="41">
        <f t="shared" si="560"/>
        <v>0</v>
      </c>
      <c r="U1248" s="39"/>
      <c r="V1248" s="41">
        <f t="shared" si="561"/>
        <v>0</v>
      </c>
      <c r="W1248" s="47"/>
      <c r="X1248" s="41">
        <f t="shared" si="562"/>
        <v>0</v>
      </c>
      <c r="Y1248" s="39"/>
      <c r="Z1248" s="41">
        <f t="shared" si="563"/>
        <v>0</v>
      </c>
      <c r="AA1248" s="47"/>
      <c r="AB1248" s="41">
        <f t="shared" si="564"/>
        <v>0</v>
      </c>
      <c r="AC1248" s="39"/>
      <c r="AD1248" s="41">
        <f t="shared" si="572"/>
        <v>0</v>
      </c>
      <c r="AE1248" s="47"/>
      <c r="AF1248" s="41">
        <f t="shared" si="565"/>
        <v>0</v>
      </c>
      <c r="AG1248" s="39"/>
      <c r="AH1248" s="41">
        <f t="shared" si="573"/>
        <v>0</v>
      </c>
      <c r="AI1248" s="47"/>
      <c r="AJ1248" s="41">
        <f t="shared" si="566"/>
        <v>0</v>
      </c>
      <c r="AK1248" s="39"/>
      <c r="AL1248" s="41">
        <f t="shared" si="574"/>
        <v>0</v>
      </c>
      <c r="AM1248" s="47"/>
      <c r="AN1248" s="41">
        <f t="shared" si="567"/>
        <v>0</v>
      </c>
      <c r="AO1248" s="39"/>
      <c r="AP1248" s="41">
        <f t="shared" si="575"/>
        <v>0</v>
      </c>
      <c r="AQ1248" s="47"/>
      <c r="AR1248" s="41">
        <f t="shared" si="568"/>
        <v>0</v>
      </c>
      <c r="AS1248" s="39"/>
      <c r="AT1248" s="41">
        <f t="shared" si="576"/>
        <v>0</v>
      </c>
      <c r="AU1248" s="47"/>
      <c r="AV1248" s="41">
        <f t="shared" si="569"/>
        <v>0</v>
      </c>
      <c r="AW1248" s="39"/>
      <c r="AX1248" s="41">
        <f t="shared" si="577"/>
        <v>0</v>
      </c>
      <c r="AY1248" s="47"/>
      <c r="AZ1248" s="41">
        <f t="shared" si="570"/>
        <v>0</v>
      </c>
      <c r="BA1248" s="39"/>
      <c r="BB1248" s="41">
        <f t="shared" si="578"/>
        <v>0</v>
      </c>
      <c r="BC1248" s="47"/>
      <c r="BD1248" s="41">
        <f t="shared" si="571"/>
        <v>0</v>
      </c>
      <c r="BE1248" s="39"/>
      <c r="BF1248" s="47"/>
    </row>
    <row r="1249" spans="1:58" ht="15.75" customHeight="1" x14ac:dyDescent="0.25">
      <c r="A1249" s="44">
        <v>2016</v>
      </c>
      <c r="B1249" s="39">
        <v>172125</v>
      </c>
      <c r="C1249" s="38" t="s">
        <v>150</v>
      </c>
      <c r="D1249" s="38" t="s">
        <v>140</v>
      </c>
      <c r="E1249" s="39"/>
      <c r="F1249" s="42">
        <f t="shared" si="553"/>
        <v>0</v>
      </c>
      <c r="G1249" s="47"/>
      <c r="H1249" s="42">
        <f t="shared" si="554"/>
        <v>0</v>
      </c>
      <c r="I1249" s="39"/>
      <c r="J1249" s="41">
        <f t="shared" si="555"/>
        <v>0</v>
      </c>
      <c r="K1249" s="47"/>
      <c r="L1249" s="41">
        <f t="shared" si="556"/>
        <v>0</v>
      </c>
      <c r="M1249" s="39"/>
      <c r="N1249" s="41">
        <f t="shared" si="557"/>
        <v>0</v>
      </c>
      <c r="O1249" s="47"/>
      <c r="P1249" s="41">
        <f t="shared" si="558"/>
        <v>0</v>
      </c>
      <c r="Q1249" s="39"/>
      <c r="R1249" s="41">
        <f t="shared" si="559"/>
        <v>0</v>
      </c>
      <c r="S1249" s="47"/>
      <c r="T1249" s="41">
        <f t="shared" si="560"/>
        <v>0</v>
      </c>
      <c r="U1249" s="39"/>
      <c r="V1249" s="41">
        <f t="shared" si="561"/>
        <v>0</v>
      </c>
      <c r="W1249" s="47"/>
      <c r="X1249" s="41">
        <f t="shared" si="562"/>
        <v>0</v>
      </c>
      <c r="Y1249" s="39"/>
      <c r="Z1249" s="41">
        <f t="shared" si="563"/>
        <v>0</v>
      </c>
      <c r="AA1249" s="47"/>
      <c r="AB1249" s="41">
        <f t="shared" si="564"/>
        <v>0</v>
      </c>
      <c r="AC1249" s="39"/>
      <c r="AD1249" s="41">
        <f t="shared" si="572"/>
        <v>0</v>
      </c>
      <c r="AE1249" s="47"/>
      <c r="AF1249" s="41">
        <f t="shared" si="565"/>
        <v>0</v>
      </c>
      <c r="AG1249" s="39"/>
      <c r="AH1249" s="41">
        <f t="shared" si="573"/>
        <v>0</v>
      </c>
      <c r="AI1249" s="47"/>
      <c r="AJ1249" s="41">
        <f t="shared" si="566"/>
        <v>0</v>
      </c>
      <c r="AK1249" s="39"/>
      <c r="AL1249" s="41">
        <f t="shared" si="574"/>
        <v>0</v>
      </c>
      <c r="AM1249" s="47"/>
      <c r="AN1249" s="41">
        <f t="shared" si="567"/>
        <v>0</v>
      </c>
      <c r="AO1249" s="39"/>
      <c r="AP1249" s="41">
        <f t="shared" si="575"/>
        <v>0</v>
      </c>
      <c r="AQ1249" s="47"/>
      <c r="AR1249" s="41">
        <f t="shared" si="568"/>
        <v>0</v>
      </c>
      <c r="AS1249" s="39"/>
      <c r="AT1249" s="41">
        <f t="shared" si="576"/>
        <v>0</v>
      </c>
      <c r="AU1249" s="47"/>
      <c r="AV1249" s="41">
        <f t="shared" si="569"/>
        <v>0</v>
      </c>
      <c r="AW1249" s="39"/>
      <c r="AX1249" s="41">
        <f t="shared" si="577"/>
        <v>0</v>
      </c>
      <c r="AY1249" s="47"/>
      <c r="AZ1249" s="41">
        <f t="shared" si="570"/>
        <v>0</v>
      </c>
      <c r="BA1249" s="39"/>
      <c r="BB1249" s="41">
        <f t="shared" si="578"/>
        <v>0</v>
      </c>
      <c r="BC1249" s="47"/>
      <c r="BD1249" s="41">
        <f t="shared" si="571"/>
        <v>0</v>
      </c>
      <c r="BE1249" s="39"/>
      <c r="BF1249" s="47"/>
    </row>
    <row r="1250" spans="1:58" ht="15.75" customHeight="1" x14ac:dyDescent="0.25">
      <c r="A1250" s="44">
        <v>2016</v>
      </c>
      <c r="B1250" s="39">
        <v>172130</v>
      </c>
      <c r="C1250" s="38" t="s">
        <v>150</v>
      </c>
      <c r="D1250" s="38" t="s">
        <v>141</v>
      </c>
      <c r="E1250" s="39"/>
      <c r="F1250" s="42">
        <f t="shared" si="553"/>
        <v>0</v>
      </c>
      <c r="G1250" s="47"/>
      <c r="H1250" s="42">
        <f t="shared" si="554"/>
        <v>0</v>
      </c>
      <c r="I1250" s="39"/>
      <c r="J1250" s="41">
        <f t="shared" si="555"/>
        <v>0</v>
      </c>
      <c r="K1250" s="47"/>
      <c r="L1250" s="41">
        <f t="shared" si="556"/>
        <v>0</v>
      </c>
      <c r="M1250" s="39"/>
      <c r="N1250" s="41">
        <f t="shared" si="557"/>
        <v>0</v>
      </c>
      <c r="O1250" s="47"/>
      <c r="P1250" s="41">
        <f t="shared" si="558"/>
        <v>0</v>
      </c>
      <c r="Q1250" s="39"/>
      <c r="R1250" s="41">
        <f t="shared" si="559"/>
        <v>0</v>
      </c>
      <c r="S1250" s="47"/>
      <c r="T1250" s="41">
        <f t="shared" si="560"/>
        <v>0</v>
      </c>
      <c r="U1250" s="39"/>
      <c r="V1250" s="41">
        <f t="shared" si="561"/>
        <v>0</v>
      </c>
      <c r="W1250" s="47"/>
      <c r="X1250" s="41">
        <f t="shared" si="562"/>
        <v>0</v>
      </c>
      <c r="Y1250" s="39"/>
      <c r="Z1250" s="41">
        <f t="shared" si="563"/>
        <v>0</v>
      </c>
      <c r="AA1250" s="47"/>
      <c r="AB1250" s="41">
        <f t="shared" si="564"/>
        <v>0</v>
      </c>
      <c r="AC1250" s="39"/>
      <c r="AD1250" s="41">
        <f t="shared" si="572"/>
        <v>0</v>
      </c>
      <c r="AE1250" s="47"/>
      <c r="AF1250" s="41">
        <f t="shared" si="565"/>
        <v>0</v>
      </c>
      <c r="AG1250" s="39"/>
      <c r="AH1250" s="41">
        <f t="shared" si="573"/>
        <v>0</v>
      </c>
      <c r="AI1250" s="47"/>
      <c r="AJ1250" s="41">
        <f t="shared" si="566"/>
        <v>0</v>
      </c>
      <c r="AK1250" s="39"/>
      <c r="AL1250" s="41">
        <f t="shared" si="574"/>
        <v>0</v>
      </c>
      <c r="AM1250" s="47"/>
      <c r="AN1250" s="41">
        <f t="shared" si="567"/>
        <v>0</v>
      </c>
      <c r="AO1250" s="39"/>
      <c r="AP1250" s="41">
        <f t="shared" si="575"/>
        <v>0</v>
      </c>
      <c r="AQ1250" s="47"/>
      <c r="AR1250" s="41">
        <f t="shared" si="568"/>
        <v>0</v>
      </c>
      <c r="AS1250" s="39"/>
      <c r="AT1250" s="41">
        <f t="shared" si="576"/>
        <v>0</v>
      </c>
      <c r="AU1250" s="47"/>
      <c r="AV1250" s="41">
        <f t="shared" si="569"/>
        <v>0</v>
      </c>
      <c r="AW1250" s="39"/>
      <c r="AX1250" s="41">
        <f t="shared" si="577"/>
        <v>0</v>
      </c>
      <c r="AY1250" s="47"/>
      <c r="AZ1250" s="41">
        <f t="shared" si="570"/>
        <v>0</v>
      </c>
      <c r="BA1250" s="39"/>
      <c r="BB1250" s="41">
        <f t="shared" si="578"/>
        <v>0</v>
      </c>
      <c r="BC1250" s="47"/>
      <c r="BD1250" s="41">
        <f t="shared" si="571"/>
        <v>0</v>
      </c>
      <c r="BE1250" s="39"/>
      <c r="BF1250" s="47"/>
    </row>
    <row r="1251" spans="1:58" ht="15.75" customHeight="1" x14ac:dyDescent="0.25">
      <c r="A1251" s="44">
        <v>2016</v>
      </c>
      <c r="B1251" s="39">
        <v>172208</v>
      </c>
      <c r="C1251" s="38" t="s">
        <v>149</v>
      </c>
      <c r="D1251" s="38" t="s">
        <v>142</v>
      </c>
      <c r="E1251" s="39"/>
      <c r="F1251" s="42">
        <f t="shared" si="553"/>
        <v>0</v>
      </c>
      <c r="G1251" s="47"/>
      <c r="H1251" s="42">
        <f t="shared" si="554"/>
        <v>0</v>
      </c>
      <c r="I1251" s="39"/>
      <c r="J1251" s="41">
        <f t="shared" si="555"/>
        <v>0</v>
      </c>
      <c r="K1251" s="47"/>
      <c r="L1251" s="41">
        <f t="shared" si="556"/>
        <v>0</v>
      </c>
      <c r="M1251" s="39"/>
      <c r="N1251" s="41">
        <f t="shared" si="557"/>
        <v>0</v>
      </c>
      <c r="O1251" s="47"/>
      <c r="P1251" s="41">
        <f t="shared" si="558"/>
        <v>0</v>
      </c>
      <c r="Q1251" s="39"/>
      <c r="R1251" s="41">
        <f t="shared" si="559"/>
        <v>0</v>
      </c>
      <c r="S1251" s="47"/>
      <c r="T1251" s="41">
        <f t="shared" si="560"/>
        <v>0</v>
      </c>
      <c r="U1251" s="39"/>
      <c r="V1251" s="41">
        <f t="shared" si="561"/>
        <v>0</v>
      </c>
      <c r="W1251" s="47"/>
      <c r="X1251" s="41">
        <f t="shared" si="562"/>
        <v>0</v>
      </c>
      <c r="Y1251" s="39"/>
      <c r="Z1251" s="41">
        <f t="shared" si="563"/>
        <v>0</v>
      </c>
      <c r="AA1251" s="47"/>
      <c r="AB1251" s="41">
        <f t="shared" si="564"/>
        <v>0</v>
      </c>
      <c r="AC1251" s="39"/>
      <c r="AD1251" s="41">
        <f t="shared" si="572"/>
        <v>0</v>
      </c>
      <c r="AE1251" s="47"/>
      <c r="AF1251" s="41">
        <f t="shared" si="565"/>
        <v>0</v>
      </c>
      <c r="AG1251" s="39"/>
      <c r="AH1251" s="41">
        <f t="shared" si="573"/>
        <v>0</v>
      </c>
      <c r="AI1251" s="47"/>
      <c r="AJ1251" s="41">
        <f t="shared" si="566"/>
        <v>0</v>
      </c>
      <c r="AK1251" s="39"/>
      <c r="AL1251" s="41">
        <f t="shared" si="574"/>
        <v>0</v>
      </c>
      <c r="AM1251" s="47"/>
      <c r="AN1251" s="41">
        <f t="shared" si="567"/>
        <v>0</v>
      </c>
      <c r="AO1251" s="39"/>
      <c r="AP1251" s="41">
        <f t="shared" si="575"/>
        <v>0</v>
      </c>
      <c r="AQ1251" s="47"/>
      <c r="AR1251" s="41">
        <f t="shared" si="568"/>
        <v>0</v>
      </c>
      <c r="AS1251" s="39"/>
      <c r="AT1251" s="41">
        <f t="shared" si="576"/>
        <v>0</v>
      </c>
      <c r="AU1251" s="47"/>
      <c r="AV1251" s="41">
        <f t="shared" si="569"/>
        <v>0</v>
      </c>
      <c r="AW1251" s="39"/>
      <c r="AX1251" s="41">
        <f t="shared" si="577"/>
        <v>0</v>
      </c>
      <c r="AY1251" s="47"/>
      <c r="AZ1251" s="41">
        <f t="shared" si="570"/>
        <v>0</v>
      </c>
      <c r="BA1251" s="39"/>
      <c r="BB1251" s="41">
        <f t="shared" si="578"/>
        <v>0</v>
      </c>
      <c r="BC1251" s="47"/>
      <c r="BD1251" s="41">
        <f t="shared" si="571"/>
        <v>0</v>
      </c>
      <c r="BE1251" s="39"/>
      <c r="BF1251" s="47"/>
    </row>
    <row r="1252" spans="1:58" ht="15.75" customHeight="1" x14ac:dyDescent="0.25">
      <c r="A1252" s="44">
        <v>2016</v>
      </c>
      <c r="B1252" s="39">
        <v>172210</v>
      </c>
      <c r="C1252" s="38" t="s">
        <v>149</v>
      </c>
      <c r="D1252" s="38" t="s">
        <v>143</v>
      </c>
      <c r="E1252" s="39"/>
      <c r="F1252" s="42">
        <f t="shared" si="553"/>
        <v>0</v>
      </c>
      <c r="G1252" s="47"/>
      <c r="H1252" s="42">
        <f t="shared" si="554"/>
        <v>0</v>
      </c>
      <c r="I1252" s="39"/>
      <c r="J1252" s="41">
        <f t="shared" si="555"/>
        <v>0</v>
      </c>
      <c r="K1252" s="47"/>
      <c r="L1252" s="41">
        <f t="shared" si="556"/>
        <v>0</v>
      </c>
      <c r="M1252" s="39"/>
      <c r="N1252" s="41">
        <f t="shared" si="557"/>
        <v>0</v>
      </c>
      <c r="O1252" s="47"/>
      <c r="P1252" s="41">
        <f t="shared" si="558"/>
        <v>0</v>
      </c>
      <c r="Q1252" s="39"/>
      <c r="R1252" s="41">
        <f t="shared" si="559"/>
        <v>0</v>
      </c>
      <c r="S1252" s="47"/>
      <c r="T1252" s="41">
        <f t="shared" si="560"/>
        <v>0</v>
      </c>
      <c r="U1252" s="39"/>
      <c r="V1252" s="41">
        <f t="shared" si="561"/>
        <v>0</v>
      </c>
      <c r="W1252" s="47"/>
      <c r="X1252" s="41">
        <f t="shared" si="562"/>
        <v>0</v>
      </c>
      <c r="Y1252" s="39"/>
      <c r="Z1252" s="41">
        <f t="shared" si="563"/>
        <v>0</v>
      </c>
      <c r="AA1252" s="47"/>
      <c r="AB1252" s="41">
        <f t="shared" si="564"/>
        <v>0</v>
      </c>
      <c r="AC1252" s="39"/>
      <c r="AD1252" s="41">
        <f t="shared" si="572"/>
        <v>0</v>
      </c>
      <c r="AE1252" s="47"/>
      <c r="AF1252" s="41">
        <f t="shared" si="565"/>
        <v>0</v>
      </c>
      <c r="AG1252" s="39"/>
      <c r="AH1252" s="41">
        <f t="shared" si="573"/>
        <v>0</v>
      </c>
      <c r="AI1252" s="47"/>
      <c r="AJ1252" s="41">
        <f t="shared" si="566"/>
        <v>0</v>
      </c>
      <c r="AK1252" s="39"/>
      <c r="AL1252" s="41">
        <f t="shared" si="574"/>
        <v>0</v>
      </c>
      <c r="AM1252" s="47"/>
      <c r="AN1252" s="41">
        <f t="shared" si="567"/>
        <v>0</v>
      </c>
      <c r="AO1252" s="39"/>
      <c r="AP1252" s="41">
        <f t="shared" si="575"/>
        <v>0</v>
      </c>
      <c r="AQ1252" s="47"/>
      <c r="AR1252" s="41">
        <f t="shared" si="568"/>
        <v>0</v>
      </c>
      <c r="AS1252" s="39"/>
      <c r="AT1252" s="41">
        <f t="shared" si="576"/>
        <v>0</v>
      </c>
      <c r="AU1252" s="47"/>
      <c r="AV1252" s="41">
        <f t="shared" si="569"/>
        <v>0</v>
      </c>
      <c r="AW1252" s="39"/>
      <c r="AX1252" s="41">
        <f t="shared" si="577"/>
        <v>0</v>
      </c>
      <c r="AY1252" s="47"/>
      <c r="AZ1252" s="41">
        <f t="shared" si="570"/>
        <v>0</v>
      </c>
      <c r="BA1252" s="39"/>
      <c r="BB1252" s="41">
        <f t="shared" si="578"/>
        <v>0</v>
      </c>
      <c r="BC1252" s="47"/>
      <c r="BD1252" s="41">
        <f t="shared" si="571"/>
        <v>0</v>
      </c>
      <c r="BE1252" s="39"/>
      <c r="BF1252" s="47"/>
    </row>
    <row r="1253" spans="1:58" ht="15.75" customHeight="1" x14ac:dyDescent="0.25">
      <c r="A1253" s="44">
        <v>2015</v>
      </c>
      <c r="B1253" s="39">
        <v>170025</v>
      </c>
      <c r="C1253" s="38" t="s">
        <v>144</v>
      </c>
      <c r="D1253" s="38" t="s">
        <v>5</v>
      </c>
      <c r="E1253" s="39"/>
      <c r="F1253" s="42">
        <f t="shared" si="553"/>
        <v>0</v>
      </c>
      <c r="G1253" s="49"/>
      <c r="H1253" s="42">
        <f t="shared" si="554"/>
        <v>0</v>
      </c>
      <c r="I1253" s="39"/>
      <c r="J1253" s="41">
        <f t="shared" si="555"/>
        <v>0</v>
      </c>
      <c r="K1253" s="49"/>
      <c r="L1253" s="41">
        <f t="shared" si="556"/>
        <v>0</v>
      </c>
      <c r="M1253" s="39"/>
      <c r="N1253" s="41">
        <f t="shared" si="557"/>
        <v>0</v>
      </c>
      <c r="O1253" s="49"/>
      <c r="P1253" s="41">
        <f t="shared" si="558"/>
        <v>0</v>
      </c>
      <c r="Q1253" s="39"/>
      <c r="R1253" s="41">
        <f t="shared" si="559"/>
        <v>0</v>
      </c>
      <c r="S1253" s="49"/>
      <c r="T1253" s="41">
        <f t="shared" si="560"/>
        <v>0</v>
      </c>
      <c r="U1253" s="39"/>
      <c r="V1253" s="41">
        <f t="shared" si="561"/>
        <v>0</v>
      </c>
      <c r="W1253" s="49"/>
      <c r="X1253" s="41">
        <f t="shared" si="562"/>
        <v>0</v>
      </c>
      <c r="Y1253" s="39"/>
      <c r="Z1253" s="41">
        <f t="shared" si="563"/>
        <v>0</v>
      </c>
      <c r="AA1253" s="49"/>
      <c r="AB1253" s="41">
        <f t="shared" si="564"/>
        <v>0</v>
      </c>
      <c r="AC1253" s="39"/>
      <c r="AD1253" s="41">
        <f t="shared" si="572"/>
        <v>0</v>
      </c>
      <c r="AE1253" s="49"/>
      <c r="AF1253" s="41">
        <f t="shared" si="565"/>
        <v>0</v>
      </c>
      <c r="AG1253" s="39"/>
      <c r="AH1253" s="41">
        <f t="shared" si="573"/>
        <v>0</v>
      </c>
      <c r="AI1253" s="49"/>
      <c r="AJ1253" s="41">
        <f t="shared" si="566"/>
        <v>0</v>
      </c>
      <c r="AK1253" s="39"/>
      <c r="AL1253" s="41">
        <f t="shared" si="574"/>
        <v>0</v>
      </c>
      <c r="AM1253" s="49"/>
      <c r="AN1253" s="41">
        <f t="shared" si="567"/>
        <v>0</v>
      </c>
      <c r="AO1253" s="39"/>
      <c r="AP1253" s="41">
        <f t="shared" si="575"/>
        <v>0</v>
      </c>
      <c r="AQ1253" s="49"/>
      <c r="AR1253" s="41">
        <f t="shared" si="568"/>
        <v>0</v>
      </c>
      <c r="AS1253" s="39"/>
      <c r="AT1253" s="41">
        <f t="shared" si="576"/>
        <v>0</v>
      </c>
      <c r="AU1253" s="49"/>
      <c r="AV1253" s="41">
        <f t="shared" si="569"/>
        <v>0</v>
      </c>
      <c r="AW1253" s="39"/>
      <c r="AX1253" s="41">
        <f t="shared" si="577"/>
        <v>0</v>
      </c>
      <c r="AY1253" s="49"/>
      <c r="AZ1253" s="41">
        <f t="shared" si="570"/>
        <v>0</v>
      </c>
      <c r="BA1253" s="39"/>
      <c r="BB1253" s="41">
        <f t="shared" si="578"/>
        <v>0</v>
      </c>
      <c r="BC1253" s="49"/>
      <c r="BD1253" s="41">
        <f t="shared" si="571"/>
        <v>0</v>
      </c>
      <c r="BE1253" s="39"/>
      <c r="BF1253" s="49"/>
    </row>
    <row r="1254" spans="1:58" ht="15.75" customHeight="1" x14ac:dyDescent="0.25">
      <c r="A1254" s="44">
        <v>2015</v>
      </c>
      <c r="B1254" s="39">
        <v>170030</v>
      </c>
      <c r="C1254" s="38" t="s">
        <v>145</v>
      </c>
      <c r="D1254" s="38" t="s">
        <v>6</v>
      </c>
      <c r="E1254" s="39"/>
      <c r="F1254" s="42">
        <f t="shared" si="553"/>
        <v>0</v>
      </c>
      <c r="G1254" s="49"/>
      <c r="H1254" s="42">
        <f t="shared" si="554"/>
        <v>0</v>
      </c>
      <c r="I1254" s="39"/>
      <c r="J1254" s="41">
        <f t="shared" si="555"/>
        <v>0</v>
      </c>
      <c r="K1254" s="49"/>
      <c r="L1254" s="41">
        <f t="shared" si="556"/>
        <v>0</v>
      </c>
      <c r="M1254" s="39"/>
      <c r="N1254" s="41">
        <f t="shared" si="557"/>
        <v>0</v>
      </c>
      <c r="O1254" s="49"/>
      <c r="P1254" s="41">
        <f t="shared" si="558"/>
        <v>0</v>
      </c>
      <c r="Q1254" s="39"/>
      <c r="R1254" s="41">
        <f t="shared" si="559"/>
        <v>0</v>
      </c>
      <c r="S1254" s="49"/>
      <c r="T1254" s="41">
        <f t="shared" si="560"/>
        <v>0</v>
      </c>
      <c r="U1254" s="39"/>
      <c r="V1254" s="41">
        <f t="shared" si="561"/>
        <v>0</v>
      </c>
      <c r="W1254" s="49"/>
      <c r="X1254" s="41">
        <f t="shared" si="562"/>
        <v>0</v>
      </c>
      <c r="Y1254" s="39"/>
      <c r="Z1254" s="41">
        <f t="shared" si="563"/>
        <v>0</v>
      </c>
      <c r="AA1254" s="49"/>
      <c r="AB1254" s="41">
        <f t="shared" si="564"/>
        <v>0</v>
      </c>
      <c r="AC1254" s="39"/>
      <c r="AD1254" s="41">
        <f t="shared" si="572"/>
        <v>0</v>
      </c>
      <c r="AE1254" s="49"/>
      <c r="AF1254" s="41">
        <f t="shared" si="565"/>
        <v>0</v>
      </c>
      <c r="AG1254" s="39"/>
      <c r="AH1254" s="41">
        <f t="shared" si="573"/>
        <v>0</v>
      </c>
      <c r="AI1254" s="49"/>
      <c r="AJ1254" s="41">
        <f t="shared" si="566"/>
        <v>0</v>
      </c>
      <c r="AK1254" s="39"/>
      <c r="AL1254" s="41">
        <f t="shared" si="574"/>
        <v>0</v>
      </c>
      <c r="AM1254" s="49"/>
      <c r="AN1254" s="41">
        <f t="shared" si="567"/>
        <v>0</v>
      </c>
      <c r="AO1254" s="39"/>
      <c r="AP1254" s="41">
        <f t="shared" si="575"/>
        <v>0</v>
      </c>
      <c r="AQ1254" s="49"/>
      <c r="AR1254" s="41">
        <f t="shared" si="568"/>
        <v>0</v>
      </c>
      <c r="AS1254" s="39"/>
      <c r="AT1254" s="41">
        <f t="shared" si="576"/>
        <v>0</v>
      </c>
      <c r="AU1254" s="49"/>
      <c r="AV1254" s="41">
        <f t="shared" si="569"/>
        <v>0</v>
      </c>
      <c r="AW1254" s="39"/>
      <c r="AX1254" s="41">
        <f t="shared" si="577"/>
        <v>0</v>
      </c>
      <c r="AY1254" s="49"/>
      <c r="AZ1254" s="41">
        <f t="shared" si="570"/>
        <v>0</v>
      </c>
      <c r="BA1254" s="39"/>
      <c r="BB1254" s="41">
        <f t="shared" si="578"/>
        <v>0</v>
      </c>
      <c r="BC1254" s="49"/>
      <c r="BD1254" s="41">
        <f t="shared" si="571"/>
        <v>0</v>
      </c>
      <c r="BE1254" s="39"/>
      <c r="BF1254" s="49"/>
    </row>
    <row r="1255" spans="1:58" ht="15.75" customHeight="1" x14ac:dyDescent="0.25">
      <c r="A1255" s="44">
        <v>2015</v>
      </c>
      <c r="B1255" s="39">
        <v>170035</v>
      </c>
      <c r="C1255" s="38" t="s">
        <v>146</v>
      </c>
      <c r="D1255" s="38" t="s">
        <v>7</v>
      </c>
      <c r="E1255" s="39"/>
      <c r="F1255" s="42">
        <f t="shared" si="553"/>
        <v>0</v>
      </c>
      <c r="G1255" s="49"/>
      <c r="H1255" s="42">
        <f t="shared" si="554"/>
        <v>0</v>
      </c>
      <c r="I1255" s="39"/>
      <c r="J1255" s="41">
        <f t="shared" si="555"/>
        <v>0</v>
      </c>
      <c r="K1255" s="49"/>
      <c r="L1255" s="41">
        <f t="shared" si="556"/>
        <v>0</v>
      </c>
      <c r="M1255" s="39"/>
      <c r="N1255" s="41">
        <f t="shared" si="557"/>
        <v>0</v>
      </c>
      <c r="O1255" s="49"/>
      <c r="P1255" s="41">
        <f t="shared" si="558"/>
        <v>0</v>
      </c>
      <c r="Q1255" s="39"/>
      <c r="R1255" s="41">
        <f t="shared" si="559"/>
        <v>0</v>
      </c>
      <c r="S1255" s="49"/>
      <c r="T1255" s="41">
        <f t="shared" si="560"/>
        <v>0</v>
      </c>
      <c r="U1255" s="39"/>
      <c r="V1255" s="41">
        <f t="shared" si="561"/>
        <v>0</v>
      </c>
      <c r="W1255" s="49"/>
      <c r="X1255" s="41">
        <f t="shared" si="562"/>
        <v>0</v>
      </c>
      <c r="Y1255" s="39"/>
      <c r="Z1255" s="41">
        <f t="shared" si="563"/>
        <v>0</v>
      </c>
      <c r="AA1255" s="49"/>
      <c r="AB1255" s="41">
        <f t="shared" si="564"/>
        <v>0</v>
      </c>
      <c r="AC1255" s="39"/>
      <c r="AD1255" s="41">
        <f t="shared" si="572"/>
        <v>0</v>
      </c>
      <c r="AE1255" s="49"/>
      <c r="AF1255" s="41">
        <f t="shared" si="565"/>
        <v>0</v>
      </c>
      <c r="AG1255" s="39"/>
      <c r="AH1255" s="41">
        <f t="shared" si="573"/>
        <v>0</v>
      </c>
      <c r="AI1255" s="49"/>
      <c r="AJ1255" s="41">
        <f t="shared" si="566"/>
        <v>0</v>
      </c>
      <c r="AK1255" s="39"/>
      <c r="AL1255" s="41">
        <f t="shared" si="574"/>
        <v>0</v>
      </c>
      <c r="AM1255" s="49"/>
      <c r="AN1255" s="41">
        <f t="shared" si="567"/>
        <v>0</v>
      </c>
      <c r="AO1255" s="39"/>
      <c r="AP1255" s="41">
        <f t="shared" si="575"/>
        <v>0</v>
      </c>
      <c r="AQ1255" s="49"/>
      <c r="AR1255" s="41">
        <f t="shared" si="568"/>
        <v>0</v>
      </c>
      <c r="AS1255" s="39"/>
      <c r="AT1255" s="41">
        <f t="shared" si="576"/>
        <v>0</v>
      </c>
      <c r="AU1255" s="49"/>
      <c r="AV1255" s="41">
        <f t="shared" si="569"/>
        <v>0</v>
      </c>
      <c r="AW1255" s="39"/>
      <c r="AX1255" s="41">
        <f t="shared" si="577"/>
        <v>0</v>
      </c>
      <c r="AY1255" s="49"/>
      <c r="AZ1255" s="41">
        <f t="shared" si="570"/>
        <v>0</v>
      </c>
      <c r="BA1255" s="39"/>
      <c r="BB1255" s="41">
        <f t="shared" si="578"/>
        <v>0</v>
      </c>
      <c r="BC1255" s="49"/>
      <c r="BD1255" s="41">
        <f t="shared" si="571"/>
        <v>0</v>
      </c>
      <c r="BE1255" s="39"/>
      <c r="BF1255" s="49"/>
    </row>
    <row r="1256" spans="1:58" ht="15.75" customHeight="1" x14ac:dyDescent="0.25">
      <c r="A1256" s="44">
        <v>2015</v>
      </c>
      <c r="B1256" s="39">
        <v>170040</v>
      </c>
      <c r="C1256" s="38" t="s">
        <v>147</v>
      </c>
      <c r="D1256" s="38" t="s">
        <v>8</v>
      </c>
      <c r="E1256" s="39"/>
      <c r="F1256" s="42">
        <f t="shared" si="553"/>
        <v>0</v>
      </c>
      <c r="G1256" s="49"/>
      <c r="H1256" s="42">
        <f t="shared" si="554"/>
        <v>0</v>
      </c>
      <c r="I1256" s="39"/>
      <c r="J1256" s="41">
        <f t="shared" si="555"/>
        <v>0</v>
      </c>
      <c r="K1256" s="49"/>
      <c r="L1256" s="41">
        <f t="shared" si="556"/>
        <v>0</v>
      </c>
      <c r="M1256" s="39"/>
      <c r="N1256" s="41">
        <f t="shared" si="557"/>
        <v>0</v>
      </c>
      <c r="O1256" s="49"/>
      <c r="P1256" s="41">
        <f t="shared" si="558"/>
        <v>0</v>
      </c>
      <c r="Q1256" s="39"/>
      <c r="R1256" s="41">
        <f t="shared" si="559"/>
        <v>0</v>
      </c>
      <c r="S1256" s="49"/>
      <c r="T1256" s="41">
        <f t="shared" si="560"/>
        <v>0</v>
      </c>
      <c r="U1256" s="39"/>
      <c r="V1256" s="41">
        <f t="shared" si="561"/>
        <v>0</v>
      </c>
      <c r="W1256" s="49"/>
      <c r="X1256" s="41">
        <f t="shared" si="562"/>
        <v>0</v>
      </c>
      <c r="Y1256" s="39"/>
      <c r="Z1256" s="41">
        <f t="shared" si="563"/>
        <v>0</v>
      </c>
      <c r="AA1256" s="49"/>
      <c r="AB1256" s="41">
        <f t="shared" si="564"/>
        <v>0</v>
      </c>
      <c r="AC1256" s="39"/>
      <c r="AD1256" s="41">
        <f t="shared" ref="AD1256:AD1319" si="579">IFERROR(AC1256/$BE1256,0)</f>
        <v>0</v>
      </c>
      <c r="AE1256" s="49"/>
      <c r="AF1256" s="41">
        <f t="shared" si="565"/>
        <v>0</v>
      </c>
      <c r="AG1256" s="39"/>
      <c r="AH1256" s="41">
        <f t="shared" ref="AH1256:AH1319" si="580">IFERROR(AG1256/$BE1256,0)</f>
        <v>0</v>
      </c>
      <c r="AI1256" s="49"/>
      <c r="AJ1256" s="41">
        <f t="shared" si="566"/>
        <v>0</v>
      </c>
      <c r="AK1256" s="39"/>
      <c r="AL1256" s="41">
        <f t="shared" ref="AL1256:AL1319" si="581">IFERROR(AK1256/$BE1256,0)</f>
        <v>0</v>
      </c>
      <c r="AM1256" s="49"/>
      <c r="AN1256" s="41">
        <f t="shared" si="567"/>
        <v>0</v>
      </c>
      <c r="AO1256" s="39"/>
      <c r="AP1256" s="41">
        <f t="shared" ref="AP1256:AP1319" si="582">IFERROR(AO1256/$BE1256,0)</f>
        <v>0</v>
      </c>
      <c r="AQ1256" s="49"/>
      <c r="AR1256" s="41">
        <f t="shared" si="568"/>
        <v>0</v>
      </c>
      <c r="AS1256" s="39"/>
      <c r="AT1256" s="41">
        <f t="shared" ref="AT1256:AT1319" si="583">IFERROR(AS1256/$BE1256,0)</f>
        <v>0</v>
      </c>
      <c r="AU1256" s="49"/>
      <c r="AV1256" s="41">
        <f t="shared" si="569"/>
        <v>0</v>
      </c>
      <c r="AW1256" s="39"/>
      <c r="AX1256" s="41">
        <f t="shared" ref="AX1256:AX1319" si="584">IFERROR(AW1256/$BE1256,0)</f>
        <v>0</v>
      </c>
      <c r="AY1256" s="49"/>
      <c r="AZ1256" s="41">
        <f t="shared" si="570"/>
        <v>0</v>
      </c>
      <c r="BA1256" s="39"/>
      <c r="BB1256" s="41">
        <f t="shared" ref="BB1256:BB1319" si="585">IFERROR(BA1256/$BE1256,0)</f>
        <v>0</v>
      </c>
      <c r="BC1256" s="49"/>
      <c r="BD1256" s="41">
        <f t="shared" si="571"/>
        <v>0</v>
      </c>
      <c r="BE1256" s="39"/>
      <c r="BF1256" s="49"/>
    </row>
    <row r="1257" spans="1:58" ht="15.75" customHeight="1" x14ac:dyDescent="0.25">
      <c r="A1257" s="44">
        <v>2015</v>
      </c>
      <c r="B1257" s="39">
        <v>170070</v>
      </c>
      <c r="C1257" s="38" t="s">
        <v>146</v>
      </c>
      <c r="D1257" s="38" t="s">
        <v>9</v>
      </c>
      <c r="E1257" s="39"/>
      <c r="F1257" s="42">
        <f t="shared" si="553"/>
        <v>0</v>
      </c>
      <c r="G1257" s="49"/>
      <c r="H1257" s="42">
        <f t="shared" si="554"/>
        <v>0</v>
      </c>
      <c r="I1257" s="39"/>
      <c r="J1257" s="41">
        <f t="shared" si="555"/>
        <v>0</v>
      </c>
      <c r="K1257" s="49"/>
      <c r="L1257" s="41">
        <f t="shared" si="556"/>
        <v>0</v>
      </c>
      <c r="M1257" s="39"/>
      <c r="N1257" s="41">
        <f t="shared" si="557"/>
        <v>0</v>
      </c>
      <c r="O1257" s="49"/>
      <c r="P1257" s="41">
        <f t="shared" si="558"/>
        <v>0</v>
      </c>
      <c r="Q1257" s="39"/>
      <c r="R1257" s="41">
        <f t="shared" si="559"/>
        <v>0</v>
      </c>
      <c r="S1257" s="49"/>
      <c r="T1257" s="41">
        <f t="shared" si="560"/>
        <v>0</v>
      </c>
      <c r="U1257" s="39"/>
      <c r="V1257" s="41">
        <f t="shared" si="561"/>
        <v>0</v>
      </c>
      <c r="W1257" s="49"/>
      <c r="X1257" s="41">
        <f t="shared" si="562"/>
        <v>0</v>
      </c>
      <c r="Y1257" s="39"/>
      <c r="Z1257" s="41">
        <f t="shared" si="563"/>
        <v>0</v>
      </c>
      <c r="AA1257" s="49"/>
      <c r="AB1257" s="41">
        <f t="shared" si="564"/>
        <v>0</v>
      </c>
      <c r="AC1257" s="39"/>
      <c r="AD1257" s="41">
        <f t="shared" si="579"/>
        <v>0</v>
      </c>
      <c r="AE1257" s="49"/>
      <c r="AF1257" s="41">
        <f t="shared" si="565"/>
        <v>0</v>
      </c>
      <c r="AG1257" s="39"/>
      <c r="AH1257" s="41">
        <f t="shared" si="580"/>
        <v>0</v>
      </c>
      <c r="AI1257" s="49"/>
      <c r="AJ1257" s="41">
        <f t="shared" si="566"/>
        <v>0</v>
      </c>
      <c r="AK1257" s="39"/>
      <c r="AL1257" s="41">
        <f t="shared" si="581"/>
        <v>0</v>
      </c>
      <c r="AM1257" s="49"/>
      <c r="AN1257" s="41">
        <f t="shared" si="567"/>
        <v>0</v>
      </c>
      <c r="AO1257" s="39"/>
      <c r="AP1257" s="41">
        <f t="shared" si="582"/>
        <v>0</v>
      </c>
      <c r="AQ1257" s="49"/>
      <c r="AR1257" s="41">
        <f t="shared" si="568"/>
        <v>0</v>
      </c>
      <c r="AS1257" s="39"/>
      <c r="AT1257" s="41">
        <f t="shared" si="583"/>
        <v>0</v>
      </c>
      <c r="AU1257" s="49"/>
      <c r="AV1257" s="41">
        <f t="shared" si="569"/>
        <v>0</v>
      </c>
      <c r="AW1257" s="39"/>
      <c r="AX1257" s="41">
        <f t="shared" si="584"/>
        <v>0</v>
      </c>
      <c r="AY1257" s="49"/>
      <c r="AZ1257" s="41">
        <f t="shared" si="570"/>
        <v>0</v>
      </c>
      <c r="BA1257" s="39"/>
      <c r="BB1257" s="41">
        <f t="shared" si="585"/>
        <v>0</v>
      </c>
      <c r="BC1257" s="49"/>
      <c r="BD1257" s="41">
        <f t="shared" si="571"/>
        <v>0</v>
      </c>
      <c r="BE1257" s="39"/>
      <c r="BF1257" s="49"/>
    </row>
    <row r="1258" spans="1:58" ht="15.75" customHeight="1" x14ac:dyDescent="0.25">
      <c r="A1258" s="44">
        <v>2015</v>
      </c>
      <c r="B1258" s="39">
        <v>170100</v>
      </c>
      <c r="C1258" s="38" t="s">
        <v>145</v>
      </c>
      <c r="D1258" s="38" t="s">
        <v>10</v>
      </c>
      <c r="E1258" s="39"/>
      <c r="F1258" s="42">
        <f t="shared" si="553"/>
        <v>0</v>
      </c>
      <c r="G1258" s="49"/>
      <c r="H1258" s="42">
        <f t="shared" si="554"/>
        <v>0</v>
      </c>
      <c r="I1258" s="39"/>
      <c r="J1258" s="41">
        <f t="shared" si="555"/>
        <v>0</v>
      </c>
      <c r="K1258" s="49"/>
      <c r="L1258" s="41">
        <f t="shared" si="556"/>
        <v>0</v>
      </c>
      <c r="M1258" s="39"/>
      <c r="N1258" s="41">
        <f t="shared" si="557"/>
        <v>0</v>
      </c>
      <c r="O1258" s="49"/>
      <c r="P1258" s="41">
        <f t="shared" si="558"/>
        <v>0</v>
      </c>
      <c r="Q1258" s="39"/>
      <c r="R1258" s="41">
        <f t="shared" si="559"/>
        <v>0</v>
      </c>
      <c r="S1258" s="49"/>
      <c r="T1258" s="41">
        <f t="shared" si="560"/>
        <v>0</v>
      </c>
      <c r="U1258" s="39"/>
      <c r="V1258" s="41">
        <f t="shared" si="561"/>
        <v>0</v>
      </c>
      <c r="W1258" s="49"/>
      <c r="X1258" s="41">
        <f t="shared" si="562"/>
        <v>0</v>
      </c>
      <c r="Y1258" s="39"/>
      <c r="Z1258" s="41">
        <f t="shared" si="563"/>
        <v>0</v>
      </c>
      <c r="AA1258" s="49"/>
      <c r="AB1258" s="41">
        <f t="shared" si="564"/>
        <v>0</v>
      </c>
      <c r="AC1258" s="39"/>
      <c r="AD1258" s="41">
        <f t="shared" si="579"/>
        <v>0</v>
      </c>
      <c r="AE1258" s="49"/>
      <c r="AF1258" s="41">
        <f t="shared" si="565"/>
        <v>0</v>
      </c>
      <c r="AG1258" s="39"/>
      <c r="AH1258" s="41">
        <f t="shared" si="580"/>
        <v>0</v>
      </c>
      <c r="AI1258" s="49"/>
      <c r="AJ1258" s="41">
        <f t="shared" si="566"/>
        <v>0</v>
      </c>
      <c r="AK1258" s="39"/>
      <c r="AL1258" s="41">
        <f t="shared" si="581"/>
        <v>0</v>
      </c>
      <c r="AM1258" s="49"/>
      <c r="AN1258" s="41">
        <f t="shared" si="567"/>
        <v>0</v>
      </c>
      <c r="AO1258" s="39"/>
      <c r="AP1258" s="41">
        <f t="shared" si="582"/>
        <v>0</v>
      </c>
      <c r="AQ1258" s="49"/>
      <c r="AR1258" s="41">
        <f t="shared" si="568"/>
        <v>0</v>
      </c>
      <c r="AS1258" s="39"/>
      <c r="AT1258" s="41">
        <f t="shared" si="583"/>
        <v>0</v>
      </c>
      <c r="AU1258" s="49"/>
      <c r="AV1258" s="41">
        <f t="shared" si="569"/>
        <v>0</v>
      </c>
      <c r="AW1258" s="39"/>
      <c r="AX1258" s="41">
        <f t="shared" si="584"/>
        <v>0</v>
      </c>
      <c r="AY1258" s="49"/>
      <c r="AZ1258" s="41">
        <f t="shared" si="570"/>
        <v>0</v>
      </c>
      <c r="BA1258" s="39"/>
      <c r="BB1258" s="41">
        <f t="shared" si="585"/>
        <v>0</v>
      </c>
      <c r="BC1258" s="49"/>
      <c r="BD1258" s="41">
        <f t="shared" si="571"/>
        <v>0</v>
      </c>
      <c r="BE1258" s="39"/>
      <c r="BF1258" s="49"/>
    </row>
    <row r="1259" spans="1:58" ht="15.75" customHeight="1" x14ac:dyDescent="0.25">
      <c r="A1259" s="44">
        <v>2015</v>
      </c>
      <c r="B1259" s="39">
        <v>170105</v>
      </c>
      <c r="C1259" s="38" t="s">
        <v>145</v>
      </c>
      <c r="D1259" s="38" t="s">
        <v>11</v>
      </c>
      <c r="E1259" s="39"/>
      <c r="F1259" s="42">
        <f t="shared" si="553"/>
        <v>0</v>
      </c>
      <c r="G1259" s="49"/>
      <c r="H1259" s="42">
        <f t="shared" si="554"/>
        <v>0</v>
      </c>
      <c r="I1259" s="39"/>
      <c r="J1259" s="41">
        <f t="shared" si="555"/>
        <v>0</v>
      </c>
      <c r="K1259" s="49"/>
      <c r="L1259" s="41">
        <f t="shared" si="556"/>
        <v>0</v>
      </c>
      <c r="M1259" s="39"/>
      <c r="N1259" s="41">
        <f t="shared" si="557"/>
        <v>0</v>
      </c>
      <c r="O1259" s="49"/>
      <c r="P1259" s="41">
        <f t="shared" si="558"/>
        <v>0</v>
      </c>
      <c r="Q1259" s="39"/>
      <c r="R1259" s="41">
        <f t="shared" si="559"/>
        <v>0</v>
      </c>
      <c r="S1259" s="49"/>
      <c r="T1259" s="41">
        <f t="shared" si="560"/>
        <v>0</v>
      </c>
      <c r="U1259" s="39"/>
      <c r="V1259" s="41">
        <f t="shared" si="561"/>
        <v>0</v>
      </c>
      <c r="W1259" s="49"/>
      <c r="X1259" s="41">
        <f t="shared" si="562"/>
        <v>0</v>
      </c>
      <c r="Y1259" s="39"/>
      <c r="Z1259" s="41">
        <f t="shared" si="563"/>
        <v>0</v>
      </c>
      <c r="AA1259" s="49"/>
      <c r="AB1259" s="41">
        <f t="shared" si="564"/>
        <v>0</v>
      </c>
      <c r="AC1259" s="39"/>
      <c r="AD1259" s="41">
        <f t="shared" si="579"/>
        <v>0</v>
      </c>
      <c r="AE1259" s="49"/>
      <c r="AF1259" s="41">
        <f t="shared" si="565"/>
        <v>0</v>
      </c>
      <c r="AG1259" s="39"/>
      <c r="AH1259" s="41">
        <f t="shared" si="580"/>
        <v>0</v>
      </c>
      <c r="AI1259" s="49"/>
      <c r="AJ1259" s="41">
        <f t="shared" si="566"/>
        <v>0</v>
      </c>
      <c r="AK1259" s="39"/>
      <c r="AL1259" s="41">
        <f t="shared" si="581"/>
        <v>0</v>
      </c>
      <c r="AM1259" s="49"/>
      <c r="AN1259" s="41">
        <f t="shared" si="567"/>
        <v>0</v>
      </c>
      <c r="AO1259" s="39"/>
      <c r="AP1259" s="41">
        <f t="shared" si="582"/>
        <v>0</v>
      </c>
      <c r="AQ1259" s="49"/>
      <c r="AR1259" s="41">
        <f t="shared" si="568"/>
        <v>0</v>
      </c>
      <c r="AS1259" s="39"/>
      <c r="AT1259" s="41">
        <f t="shared" si="583"/>
        <v>0</v>
      </c>
      <c r="AU1259" s="49"/>
      <c r="AV1259" s="41">
        <f t="shared" si="569"/>
        <v>0</v>
      </c>
      <c r="AW1259" s="39"/>
      <c r="AX1259" s="41">
        <f t="shared" si="584"/>
        <v>0</v>
      </c>
      <c r="AY1259" s="49"/>
      <c r="AZ1259" s="41">
        <f t="shared" si="570"/>
        <v>0</v>
      </c>
      <c r="BA1259" s="39"/>
      <c r="BB1259" s="41">
        <f t="shared" si="585"/>
        <v>0</v>
      </c>
      <c r="BC1259" s="49"/>
      <c r="BD1259" s="41">
        <f t="shared" si="571"/>
        <v>0</v>
      </c>
      <c r="BE1259" s="39"/>
      <c r="BF1259" s="49"/>
    </row>
    <row r="1260" spans="1:58" ht="15.75" customHeight="1" x14ac:dyDescent="0.25">
      <c r="A1260" s="44">
        <v>2015</v>
      </c>
      <c r="B1260" s="39">
        <v>170110</v>
      </c>
      <c r="C1260" s="38" t="s">
        <v>148</v>
      </c>
      <c r="D1260" s="38" t="s">
        <v>12</v>
      </c>
      <c r="E1260" s="39"/>
      <c r="F1260" s="42">
        <f t="shared" si="553"/>
        <v>0</v>
      </c>
      <c r="G1260" s="49"/>
      <c r="H1260" s="42">
        <f t="shared" si="554"/>
        <v>0</v>
      </c>
      <c r="I1260" s="39"/>
      <c r="J1260" s="41">
        <f t="shared" si="555"/>
        <v>0</v>
      </c>
      <c r="K1260" s="49"/>
      <c r="L1260" s="41">
        <f t="shared" si="556"/>
        <v>0</v>
      </c>
      <c r="M1260" s="39"/>
      <c r="N1260" s="41">
        <f t="shared" si="557"/>
        <v>0</v>
      </c>
      <c r="O1260" s="49"/>
      <c r="P1260" s="41">
        <f t="shared" si="558"/>
        <v>0</v>
      </c>
      <c r="Q1260" s="39"/>
      <c r="R1260" s="41">
        <f t="shared" si="559"/>
        <v>0</v>
      </c>
      <c r="S1260" s="49"/>
      <c r="T1260" s="41">
        <f t="shared" si="560"/>
        <v>0</v>
      </c>
      <c r="U1260" s="39"/>
      <c r="V1260" s="41">
        <f t="shared" si="561"/>
        <v>0</v>
      </c>
      <c r="W1260" s="49"/>
      <c r="X1260" s="41">
        <f t="shared" si="562"/>
        <v>0</v>
      </c>
      <c r="Y1260" s="39"/>
      <c r="Z1260" s="41">
        <f t="shared" si="563"/>
        <v>0</v>
      </c>
      <c r="AA1260" s="49"/>
      <c r="AB1260" s="41">
        <f t="shared" si="564"/>
        <v>0</v>
      </c>
      <c r="AC1260" s="39"/>
      <c r="AD1260" s="41">
        <f t="shared" si="579"/>
        <v>0</v>
      </c>
      <c r="AE1260" s="49"/>
      <c r="AF1260" s="41">
        <f t="shared" si="565"/>
        <v>0</v>
      </c>
      <c r="AG1260" s="39"/>
      <c r="AH1260" s="41">
        <f t="shared" si="580"/>
        <v>0</v>
      </c>
      <c r="AI1260" s="49"/>
      <c r="AJ1260" s="41">
        <f t="shared" si="566"/>
        <v>0</v>
      </c>
      <c r="AK1260" s="39"/>
      <c r="AL1260" s="41">
        <f t="shared" si="581"/>
        <v>0</v>
      </c>
      <c r="AM1260" s="49"/>
      <c r="AN1260" s="41">
        <f t="shared" si="567"/>
        <v>0</v>
      </c>
      <c r="AO1260" s="39"/>
      <c r="AP1260" s="41">
        <f t="shared" si="582"/>
        <v>0</v>
      </c>
      <c r="AQ1260" s="49"/>
      <c r="AR1260" s="41">
        <f t="shared" si="568"/>
        <v>0</v>
      </c>
      <c r="AS1260" s="39"/>
      <c r="AT1260" s="41">
        <f t="shared" si="583"/>
        <v>0</v>
      </c>
      <c r="AU1260" s="49"/>
      <c r="AV1260" s="41">
        <f t="shared" si="569"/>
        <v>0</v>
      </c>
      <c r="AW1260" s="39"/>
      <c r="AX1260" s="41">
        <f t="shared" si="584"/>
        <v>0</v>
      </c>
      <c r="AY1260" s="49"/>
      <c r="AZ1260" s="41">
        <f t="shared" si="570"/>
        <v>0</v>
      </c>
      <c r="BA1260" s="39"/>
      <c r="BB1260" s="41">
        <f t="shared" si="585"/>
        <v>0</v>
      </c>
      <c r="BC1260" s="49"/>
      <c r="BD1260" s="41">
        <f t="shared" si="571"/>
        <v>0</v>
      </c>
      <c r="BE1260" s="39"/>
      <c r="BF1260" s="49"/>
    </row>
    <row r="1261" spans="1:58" ht="15.75" customHeight="1" x14ac:dyDescent="0.25">
      <c r="A1261" s="44">
        <v>2015</v>
      </c>
      <c r="B1261" s="39">
        <v>170130</v>
      </c>
      <c r="C1261" s="38" t="s">
        <v>149</v>
      </c>
      <c r="D1261" s="38" t="s">
        <v>13</v>
      </c>
      <c r="E1261" s="39"/>
      <c r="F1261" s="42">
        <f t="shared" si="553"/>
        <v>0</v>
      </c>
      <c r="G1261" s="49"/>
      <c r="H1261" s="42">
        <f t="shared" si="554"/>
        <v>0</v>
      </c>
      <c r="I1261" s="39"/>
      <c r="J1261" s="41">
        <f t="shared" si="555"/>
        <v>0</v>
      </c>
      <c r="K1261" s="49"/>
      <c r="L1261" s="41">
        <f t="shared" si="556"/>
        <v>0</v>
      </c>
      <c r="M1261" s="39"/>
      <c r="N1261" s="41">
        <f t="shared" si="557"/>
        <v>0</v>
      </c>
      <c r="O1261" s="49"/>
      <c r="P1261" s="41">
        <f t="shared" si="558"/>
        <v>0</v>
      </c>
      <c r="Q1261" s="39"/>
      <c r="R1261" s="41">
        <f t="shared" si="559"/>
        <v>0</v>
      </c>
      <c r="S1261" s="49"/>
      <c r="T1261" s="41">
        <f t="shared" si="560"/>
        <v>0</v>
      </c>
      <c r="U1261" s="39"/>
      <c r="V1261" s="41">
        <f t="shared" si="561"/>
        <v>0</v>
      </c>
      <c r="W1261" s="49"/>
      <c r="X1261" s="41">
        <f t="shared" si="562"/>
        <v>0</v>
      </c>
      <c r="Y1261" s="39"/>
      <c r="Z1261" s="41">
        <f t="shared" si="563"/>
        <v>0</v>
      </c>
      <c r="AA1261" s="49"/>
      <c r="AB1261" s="41">
        <f t="shared" si="564"/>
        <v>0</v>
      </c>
      <c r="AC1261" s="39"/>
      <c r="AD1261" s="41">
        <f t="shared" si="579"/>
        <v>0</v>
      </c>
      <c r="AE1261" s="49"/>
      <c r="AF1261" s="41">
        <f t="shared" si="565"/>
        <v>0</v>
      </c>
      <c r="AG1261" s="39"/>
      <c r="AH1261" s="41">
        <f t="shared" si="580"/>
        <v>0</v>
      </c>
      <c r="AI1261" s="49"/>
      <c r="AJ1261" s="41">
        <f t="shared" si="566"/>
        <v>0</v>
      </c>
      <c r="AK1261" s="39"/>
      <c r="AL1261" s="41">
        <f t="shared" si="581"/>
        <v>0</v>
      </c>
      <c r="AM1261" s="49"/>
      <c r="AN1261" s="41">
        <f t="shared" si="567"/>
        <v>0</v>
      </c>
      <c r="AO1261" s="39"/>
      <c r="AP1261" s="41">
        <f t="shared" si="582"/>
        <v>0</v>
      </c>
      <c r="AQ1261" s="49"/>
      <c r="AR1261" s="41">
        <f t="shared" si="568"/>
        <v>0</v>
      </c>
      <c r="AS1261" s="39"/>
      <c r="AT1261" s="41">
        <f t="shared" si="583"/>
        <v>0</v>
      </c>
      <c r="AU1261" s="49"/>
      <c r="AV1261" s="41">
        <f t="shared" si="569"/>
        <v>0</v>
      </c>
      <c r="AW1261" s="39"/>
      <c r="AX1261" s="41">
        <f t="shared" si="584"/>
        <v>0</v>
      </c>
      <c r="AY1261" s="49"/>
      <c r="AZ1261" s="41">
        <f t="shared" si="570"/>
        <v>0</v>
      </c>
      <c r="BA1261" s="39"/>
      <c r="BB1261" s="41">
        <f t="shared" si="585"/>
        <v>0</v>
      </c>
      <c r="BC1261" s="49"/>
      <c r="BD1261" s="41">
        <f t="shared" si="571"/>
        <v>0</v>
      </c>
      <c r="BE1261" s="39"/>
      <c r="BF1261" s="49"/>
    </row>
    <row r="1262" spans="1:58" ht="15.75" customHeight="1" x14ac:dyDescent="0.25">
      <c r="A1262" s="44">
        <v>2015</v>
      </c>
      <c r="B1262" s="39">
        <v>170190</v>
      </c>
      <c r="C1262" s="38" t="s">
        <v>144</v>
      </c>
      <c r="D1262" s="38" t="s">
        <v>14</v>
      </c>
      <c r="E1262" s="39"/>
      <c r="F1262" s="42">
        <f t="shared" si="553"/>
        <v>0</v>
      </c>
      <c r="G1262" s="49"/>
      <c r="H1262" s="42">
        <f t="shared" si="554"/>
        <v>0</v>
      </c>
      <c r="I1262" s="39"/>
      <c r="J1262" s="41">
        <f t="shared" si="555"/>
        <v>0</v>
      </c>
      <c r="K1262" s="49"/>
      <c r="L1262" s="41">
        <f t="shared" si="556"/>
        <v>0</v>
      </c>
      <c r="M1262" s="39"/>
      <c r="N1262" s="41">
        <f t="shared" si="557"/>
        <v>0</v>
      </c>
      <c r="O1262" s="49"/>
      <c r="P1262" s="41">
        <f t="shared" si="558"/>
        <v>0</v>
      </c>
      <c r="Q1262" s="39"/>
      <c r="R1262" s="41">
        <f t="shared" si="559"/>
        <v>0</v>
      </c>
      <c r="S1262" s="49"/>
      <c r="T1262" s="41">
        <f t="shared" si="560"/>
        <v>0</v>
      </c>
      <c r="U1262" s="39"/>
      <c r="V1262" s="41">
        <f t="shared" si="561"/>
        <v>0</v>
      </c>
      <c r="W1262" s="49"/>
      <c r="X1262" s="41">
        <f t="shared" si="562"/>
        <v>0</v>
      </c>
      <c r="Y1262" s="39"/>
      <c r="Z1262" s="41">
        <f t="shared" si="563"/>
        <v>0</v>
      </c>
      <c r="AA1262" s="49"/>
      <c r="AB1262" s="41">
        <f t="shared" si="564"/>
        <v>0</v>
      </c>
      <c r="AC1262" s="39"/>
      <c r="AD1262" s="41">
        <f t="shared" si="579"/>
        <v>0</v>
      </c>
      <c r="AE1262" s="49"/>
      <c r="AF1262" s="41">
        <f t="shared" si="565"/>
        <v>0</v>
      </c>
      <c r="AG1262" s="39"/>
      <c r="AH1262" s="41">
        <f t="shared" si="580"/>
        <v>0</v>
      </c>
      <c r="AI1262" s="49"/>
      <c r="AJ1262" s="41">
        <f t="shared" si="566"/>
        <v>0</v>
      </c>
      <c r="AK1262" s="39"/>
      <c r="AL1262" s="41">
        <f t="shared" si="581"/>
        <v>0</v>
      </c>
      <c r="AM1262" s="49"/>
      <c r="AN1262" s="41">
        <f t="shared" si="567"/>
        <v>0</v>
      </c>
      <c r="AO1262" s="39"/>
      <c r="AP1262" s="41">
        <f t="shared" si="582"/>
        <v>0</v>
      </c>
      <c r="AQ1262" s="49"/>
      <c r="AR1262" s="41">
        <f t="shared" si="568"/>
        <v>0</v>
      </c>
      <c r="AS1262" s="39"/>
      <c r="AT1262" s="41">
        <f t="shared" si="583"/>
        <v>0</v>
      </c>
      <c r="AU1262" s="49"/>
      <c r="AV1262" s="41">
        <f t="shared" si="569"/>
        <v>0</v>
      </c>
      <c r="AW1262" s="39"/>
      <c r="AX1262" s="41">
        <f t="shared" si="584"/>
        <v>0</v>
      </c>
      <c r="AY1262" s="49"/>
      <c r="AZ1262" s="41">
        <f t="shared" si="570"/>
        <v>0</v>
      </c>
      <c r="BA1262" s="39"/>
      <c r="BB1262" s="41">
        <f t="shared" si="585"/>
        <v>0</v>
      </c>
      <c r="BC1262" s="49"/>
      <c r="BD1262" s="41">
        <f t="shared" si="571"/>
        <v>0</v>
      </c>
      <c r="BE1262" s="39"/>
      <c r="BF1262" s="49"/>
    </row>
    <row r="1263" spans="1:58" ht="15.75" customHeight="1" x14ac:dyDescent="0.25">
      <c r="A1263" s="44">
        <v>2015</v>
      </c>
      <c r="B1263" s="39">
        <v>170200</v>
      </c>
      <c r="C1263" s="38" t="s">
        <v>146</v>
      </c>
      <c r="D1263" s="38" t="s">
        <v>15</v>
      </c>
      <c r="E1263" s="39"/>
      <c r="F1263" s="42">
        <f t="shared" si="553"/>
        <v>0</v>
      </c>
      <c r="G1263" s="49"/>
      <c r="H1263" s="42">
        <f t="shared" si="554"/>
        <v>0</v>
      </c>
      <c r="I1263" s="39"/>
      <c r="J1263" s="41">
        <f t="shared" si="555"/>
        <v>0</v>
      </c>
      <c r="K1263" s="49"/>
      <c r="L1263" s="41">
        <f t="shared" si="556"/>
        <v>0</v>
      </c>
      <c r="M1263" s="39"/>
      <c r="N1263" s="41">
        <f t="shared" si="557"/>
        <v>0</v>
      </c>
      <c r="O1263" s="49"/>
      <c r="P1263" s="41">
        <f t="shared" si="558"/>
        <v>0</v>
      </c>
      <c r="Q1263" s="39"/>
      <c r="R1263" s="41">
        <f t="shared" si="559"/>
        <v>0</v>
      </c>
      <c r="S1263" s="49"/>
      <c r="T1263" s="41">
        <f t="shared" si="560"/>
        <v>0</v>
      </c>
      <c r="U1263" s="39"/>
      <c r="V1263" s="41">
        <f t="shared" si="561"/>
        <v>0</v>
      </c>
      <c r="W1263" s="49"/>
      <c r="X1263" s="41">
        <f t="shared" si="562"/>
        <v>0</v>
      </c>
      <c r="Y1263" s="39"/>
      <c r="Z1263" s="41">
        <f t="shared" si="563"/>
        <v>0</v>
      </c>
      <c r="AA1263" s="49"/>
      <c r="AB1263" s="41">
        <f t="shared" si="564"/>
        <v>0</v>
      </c>
      <c r="AC1263" s="39"/>
      <c r="AD1263" s="41">
        <f t="shared" si="579"/>
        <v>0</v>
      </c>
      <c r="AE1263" s="49"/>
      <c r="AF1263" s="41">
        <f t="shared" si="565"/>
        <v>0</v>
      </c>
      <c r="AG1263" s="39"/>
      <c r="AH1263" s="41">
        <f t="shared" si="580"/>
        <v>0</v>
      </c>
      <c r="AI1263" s="49"/>
      <c r="AJ1263" s="41">
        <f t="shared" si="566"/>
        <v>0</v>
      </c>
      <c r="AK1263" s="39"/>
      <c r="AL1263" s="41">
        <f t="shared" si="581"/>
        <v>0</v>
      </c>
      <c r="AM1263" s="49"/>
      <c r="AN1263" s="41">
        <f t="shared" si="567"/>
        <v>0</v>
      </c>
      <c r="AO1263" s="39"/>
      <c r="AP1263" s="41">
        <f t="shared" si="582"/>
        <v>0</v>
      </c>
      <c r="AQ1263" s="49"/>
      <c r="AR1263" s="41">
        <f t="shared" si="568"/>
        <v>0</v>
      </c>
      <c r="AS1263" s="39"/>
      <c r="AT1263" s="41">
        <f t="shared" si="583"/>
        <v>0</v>
      </c>
      <c r="AU1263" s="49"/>
      <c r="AV1263" s="41">
        <f t="shared" si="569"/>
        <v>0</v>
      </c>
      <c r="AW1263" s="39"/>
      <c r="AX1263" s="41">
        <f t="shared" si="584"/>
        <v>0</v>
      </c>
      <c r="AY1263" s="49"/>
      <c r="AZ1263" s="41">
        <f t="shared" si="570"/>
        <v>0</v>
      </c>
      <c r="BA1263" s="39"/>
      <c r="BB1263" s="41">
        <f t="shared" si="585"/>
        <v>0</v>
      </c>
      <c r="BC1263" s="49"/>
      <c r="BD1263" s="41">
        <f t="shared" si="571"/>
        <v>0</v>
      </c>
      <c r="BE1263" s="39"/>
      <c r="BF1263" s="49"/>
    </row>
    <row r="1264" spans="1:58" ht="15.75" customHeight="1" x14ac:dyDescent="0.25">
      <c r="A1264" s="44">
        <v>2015</v>
      </c>
      <c r="B1264" s="39">
        <v>170210</v>
      </c>
      <c r="C1264" s="38" t="s">
        <v>149</v>
      </c>
      <c r="D1264" s="38" t="s">
        <v>16</v>
      </c>
      <c r="E1264" s="39"/>
      <c r="F1264" s="42">
        <f t="shared" si="553"/>
        <v>0</v>
      </c>
      <c r="G1264" s="49"/>
      <c r="H1264" s="42">
        <f t="shared" si="554"/>
        <v>0</v>
      </c>
      <c r="I1264" s="39"/>
      <c r="J1264" s="41">
        <f t="shared" si="555"/>
        <v>0</v>
      </c>
      <c r="K1264" s="49"/>
      <c r="L1264" s="41">
        <f t="shared" si="556"/>
        <v>0</v>
      </c>
      <c r="M1264" s="39"/>
      <c r="N1264" s="41">
        <f t="shared" si="557"/>
        <v>0</v>
      </c>
      <c r="O1264" s="50"/>
      <c r="P1264" s="41">
        <f t="shared" si="558"/>
        <v>0</v>
      </c>
      <c r="Q1264" s="39"/>
      <c r="R1264" s="41">
        <f t="shared" si="559"/>
        <v>0</v>
      </c>
      <c r="S1264" s="49"/>
      <c r="T1264" s="41">
        <f t="shared" si="560"/>
        <v>0</v>
      </c>
      <c r="U1264" s="39"/>
      <c r="V1264" s="41">
        <f t="shared" si="561"/>
        <v>0</v>
      </c>
      <c r="W1264" s="49"/>
      <c r="X1264" s="41">
        <f t="shared" si="562"/>
        <v>0</v>
      </c>
      <c r="Y1264" s="39"/>
      <c r="Z1264" s="41">
        <f t="shared" si="563"/>
        <v>0</v>
      </c>
      <c r="AA1264" s="49"/>
      <c r="AB1264" s="41">
        <f t="shared" si="564"/>
        <v>0</v>
      </c>
      <c r="AC1264" s="39"/>
      <c r="AD1264" s="41">
        <f t="shared" si="579"/>
        <v>0</v>
      </c>
      <c r="AE1264" s="50"/>
      <c r="AF1264" s="41">
        <f t="shared" si="565"/>
        <v>0</v>
      </c>
      <c r="AG1264" s="39"/>
      <c r="AH1264" s="41">
        <f t="shared" si="580"/>
        <v>0</v>
      </c>
      <c r="AI1264" s="49"/>
      <c r="AJ1264" s="41">
        <f t="shared" si="566"/>
        <v>0</v>
      </c>
      <c r="AK1264" s="39"/>
      <c r="AL1264" s="41">
        <f t="shared" si="581"/>
        <v>0</v>
      </c>
      <c r="AM1264" s="49"/>
      <c r="AN1264" s="41">
        <f t="shared" si="567"/>
        <v>0</v>
      </c>
      <c r="AO1264" s="39"/>
      <c r="AP1264" s="41">
        <f t="shared" si="582"/>
        <v>0</v>
      </c>
      <c r="AQ1264" s="50"/>
      <c r="AR1264" s="41">
        <f t="shared" si="568"/>
        <v>0</v>
      </c>
      <c r="AS1264" s="39"/>
      <c r="AT1264" s="41">
        <f t="shared" si="583"/>
        <v>0</v>
      </c>
      <c r="AU1264" s="49"/>
      <c r="AV1264" s="41">
        <f t="shared" si="569"/>
        <v>0</v>
      </c>
      <c r="AW1264" s="39"/>
      <c r="AX1264" s="41">
        <f t="shared" si="584"/>
        <v>0</v>
      </c>
      <c r="AY1264" s="49"/>
      <c r="AZ1264" s="41">
        <f t="shared" si="570"/>
        <v>0</v>
      </c>
      <c r="BA1264" s="39"/>
      <c r="BB1264" s="41">
        <f t="shared" si="585"/>
        <v>0</v>
      </c>
      <c r="BC1264" s="49"/>
      <c r="BD1264" s="41">
        <f t="shared" si="571"/>
        <v>0</v>
      </c>
      <c r="BE1264" s="39"/>
      <c r="BF1264" s="50"/>
    </row>
    <row r="1265" spans="1:58" ht="15.75" customHeight="1" x14ac:dyDescent="0.25">
      <c r="A1265" s="44">
        <v>2015</v>
      </c>
      <c r="B1265" s="39">
        <v>170215</v>
      </c>
      <c r="C1265" s="38" t="s">
        <v>149</v>
      </c>
      <c r="D1265" s="38" t="s">
        <v>17</v>
      </c>
      <c r="E1265" s="39"/>
      <c r="F1265" s="42">
        <f t="shared" si="553"/>
        <v>0</v>
      </c>
      <c r="G1265" s="49"/>
      <c r="H1265" s="42">
        <f t="shared" si="554"/>
        <v>0</v>
      </c>
      <c r="I1265" s="39"/>
      <c r="J1265" s="41">
        <f t="shared" si="555"/>
        <v>0</v>
      </c>
      <c r="K1265" s="49"/>
      <c r="L1265" s="41">
        <f t="shared" si="556"/>
        <v>0</v>
      </c>
      <c r="M1265" s="39"/>
      <c r="N1265" s="41">
        <f t="shared" si="557"/>
        <v>0</v>
      </c>
      <c r="O1265" s="49"/>
      <c r="P1265" s="41">
        <f t="shared" si="558"/>
        <v>0</v>
      </c>
      <c r="Q1265" s="39"/>
      <c r="R1265" s="41">
        <f t="shared" si="559"/>
        <v>0</v>
      </c>
      <c r="S1265" s="49"/>
      <c r="T1265" s="41">
        <f t="shared" si="560"/>
        <v>0</v>
      </c>
      <c r="U1265" s="39"/>
      <c r="V1265" s="41">
        <f t="shared" si="561"/>
        <v>0</v>
      </c>
      <c r="W1265" s="49"/>
      <c r="X1265" s="41">
        <f t="shared" si="562"/>
        <v>0</v>
      </c>
      <c r="Y1265" s="39"/>
      <c r="Z1265" s="41">
        <f t="shared" si="563"/>
        <v>0</v>
      </c>
      <c r="AA1265" s="49"/>
      <c r="AB1265" s="41">
        <f t="shared" si="564"/>
        <v>0</v>
      </c>
      <c r="AC1265" s="39"/>
      <c r="AD1265" s="41">
        <f t="shared" si="579"/>
        <v>0</v>
      </c>
      <c r="AE1265" s="49"/>
      <c r="AF1265" s="41">
        <f t="shared" si="565"/>
        <v>0</v>
      </c>
      <c r="AG1265" s="39"/>
      <c r="AH1265" s="41">
        <f t="shared" si="580"/>
        <v>0</v>
      </c>
      <c r="AI1265" s="49"/>
      <c r="AJ1265" s="41">
        <f t="shared" si="566"/>
        <v>0</v>
      </c>
      <c r="AK1265" s="39"/>
      <c r="AL1265" s="41">
        <f t="shared" si="581"/>
        <v>0</v>
      </c>
      <c r="AM1265" s="49"/>
      <c r="AN1265" s="41">
        <f t="shared" si="567"/>
        <v>0</v>
      </c>
      <c r="AO1265" s="39"/>
      <c r="AP1265" s="41">
        <f t="shared" si="582"/>
        <v>0</v>
      </c>
      <c r="AQ1265" s="49"/>
      <c r="AR1265" s="41">
        <f t="shared" si="568"/>
        <v>0</v>
      </c>
      <c r="AS1265" s="39"/>
      <c r="AT1265" s="41">
        <f t="shared" si="583"/>
        <v>0</v>
      </c>
      <c r="AU1265" s="49"/>
      <c r="AV1265" s="41">
        <f t="shared" si="569"/>
        <v>0</v>
      </c>
      <c r="AW1265" s="39"/>
      <c r="AX1265" s="41">
        <f t="shared" si="584"/>
        <v>0</v>
      </c>
      <c r="AY1265" s="49"/>
      <c r="AZ1265" s="41">
        <f t="shared" si="570"/>
        <v>0</v>
      </c>
      <c r="BA1265" s="39"/>
      <c r="BB1265" s="41">
        <f t="shared" si="585"/>
        <v>0</v>
      </c>
      <c r="BC1265" s="49"/>
      <c r="BD1265" s="41">
        <f t="shared" si="571"/>
        <v>0</v>
      </c>
      <c r="BE1265" s="39"/>
      <c r="BF1265" s="49"/>
    </row>
    <row r="1266" spans="1:58" ht="15.75" customHeight="1" x14ac:dyDescent="0.25">
      <c r="A1266" s="44">
        <v>2015</v>
      </c>
      <c r="B1266" s="39">
        <v>170220</v>
      </c>
      <c r="C1266" s="38" t="s">
        <v>145</v>
      </c>
      <c r="D1266" s="38" t="s">
        <v>18</v>
      </c>
      <c r="E1266" s="39"/>
      <c r="F1266" s="42">
        <f t="shared" si="553"/>
        <v>0</v>
      </c>
      <c r="G1266" s="49"/>
      <c r="H1266" s="42">
        <f t="shared" si="554"/>
        <v>0</v>
      </c>
      <c r="I1266" s="39"/>
      <c r="J1266" s="41">
        <f t="shared" si="555"/>
        <v>0</v>
      </c>
      <c r="K1266" s="49"/>
      <c r="L1266" s="41">
        <f t="shared" si="556"/>
        <v>0</v>
      </c>
      <c r="M1266" s="39"/>
      <c r="N1266" s="41">
        <f t="shared" si="557"/>
        <v>0</v>
      </c>
      <c r="O1266" s="50"/>
      <c r="P1266" s="41">
        <f t="shared" si="558"/>
        <v>0</v>
      </c>
      <c r="Q1266" s="39"/>
      <c r="R1266" s="41">
        <f t="shared" si="559"/>
        <v>0</v>
      </c>
      <c r="S1266" s="49"/>
      <c r="T1266" s="41">
        <f t="shared" si="560"/>
        <v>0</v>
      </c>
      <c r="U1266" s="39"/>
      <c r="V1266" s="41">
        <f t="shared" si="561"/>
        <v>0</v>
      </c>
      <c r="W1266" s="49"/>
      <c r="X1266" s="41">
        <f t="shared" si="562"/>
        <v>0</v>
      </c>
      <c r="Y1266" s="39"/>
      <c r="Z1266" s="41">
        <f t="shared" si="563"/>
        <v>0</v>
      </c>
      <c r="AA1266" s="49"/>
      <c r="AB1266" s="41">
        <f t="shared" si="564"/>
        <v>0</v>
      </c>
      <c r="AC1266" s="39"/>
      <c r="AD1266" s="41">
        <f t="shared" si="579"/>
        <v>0</v>
      </c>
      <c r="AE1266" s="50"/>
      <c r="AF1266" s="41">
        <f t="shared" si="565"/>
        <v>0</v>
      </c>
      <c r="AG1266" s="39"/>
      <c r="AH1266" s="41">
        <f t="shared" si="580"/>
        <v>0</v>
      </c>
      <c r="AI1266" s="49"/>
      <c r="AJ1266" s="41">
        <f t="shared" si="566"/>
        <v>0</v>
      </c>
      <c r="AK1266" s="39"/>
      <c r="AL1266" s="41">
        <f t="shared" si="581"/>
        <v>0</v>
      </c>
      <c r="AM1266" s="49"/>
      <c r="AN1266" s="41">
        <f t="shared" si="567"/>
        <v>0</v>
      </c>
      <c r="AO1266" s="39"/>
      <c r="AP1266" s="41">
        <f t="shared" si="582"/>
        <v>0</v>
      </c>
      <c r="AQ1266" s="49"/>
      <c r="AR1266" s="41">
        <f t="shared" si="568"/>
        <v>0</v>
      </c>
      <c r="AS1266" s="39"/>
      <c r="AT1266" s="41">
        <f t="shared" si="583"/>
        <v>0</v>
      </c>
      <c r="AU1266" s="49"/>
      <c r="AV1266" s="41">
        <f t="shared" si="569"/>
        <v>0</v>
      </c>
      <c r="AW1266" s="39"/>
      <c r="AX1266" s="41">
        <f t="shared" si="584"/>
        <v>0</v>
      </c>
      <c r="AY1266" s="49"/>
      <c r="AZ1266" s="41">
        <f t="shared" si="570"/>
        <v>0</v>
      </c>
      <c r="BA1266" s="39"/>
      <c r="BB1266" s="41">
        <f t="shared" si="585"/>
        <v>0</v>
      </c>
      <c r="BC1266" s="49"/>
      <c r="BD1266" s="41">
        <f t="shared" si="571"/>
        <v>0</v>
      </c>
      <c r="BE1266" s="39"/>
      <c r="BF1266" s="50"/>
    </row>
    <row r="1267" spans="1:58" ht="15.75" customHeight="1" x14ac:dyDescent="0.25">
      <c r="A1267" s="44">
        <v>2015</v>
      </c>
      <c r="B1267" s="39">
        <v>170230</v>
      </c>
      <c r="C1267" s="38" t="s">
        <v>150</v>
      </c>
      <c r="D1267" s="38" t="s">
        <v>19</v>
      </c>
      <c r="E1267" s="39"/>
      <c r="F1267" s="42">
        <f t="shared" si="553"/>
        <v>0</v>
      </c>
      <c r="G1267" s="49"/>
      <c r="H1267" s="42">
        <f t="shared" si="554"/>
        <v>0</v>
      </c>
      <c r="I1267" s="39"/>
      <c r="J1267" s="41">
        <f t="shared" si="555"/>
        <v>0</v>
      </c>
      <c r="K1267" s="49"/>
      <c r="L1267" s="41">
        <f t="shared" si="556"/>
        <v>0</v>
      </c>
      <c r="M1267" s="39"/>
      <c r="N1267" s="41">
        <f t="shared" si="557"/>
        <v>0</v>
      </c>
      <c r="O1267" s="49"/>
      <c r="P1267" s="41">
        <f t="shared" si="558"/>
        <v>0</v>
      </c>
      <c r="Q1267" s="39"/>
      <c r="R1267" s="41">
        <f t="shared" si="559"/>
        <v>0</v>
      </c>
      <c r="S1267" s="49"/>
      <c r="T1267" s="41">
        <f t="shared" si="560"/>
        <v>0</v>
      </c>
      <c r="U1267" s="39"/>
      <c r="V1267" s="41">
        <f t="shared" si="561"/>
        <v>0</v>
      </c>
      <c r="W1267" s="49"/>
      <c r="X1267" s="41">
        <f t="shared" si="562"/>
        <v>0</v>
      </c>
      <c r="Y1267" s="39"/>
      <c r="Z1267" s="41">
        <f t="shared" si="563"/>
        <v>0</v>
      </c>
      <c r="AA1267" s="49"/>
      <c r="AB1267" s="41">
        <f t="shared" si="564"/>
        <v>0</v>
      </c>
      <c r="AC1267" s="39"/>
      <c r="AD1267" s="41">
        <f t="shared" si="579"/>
        <v>0</v>
      </c>
      <c r="AE1267" s="49"/>
      <c r="AF1267" s="41">
        <f t="shared" si="565"/>
        <v>0</v>
      </c>
      <c r="AG1267" s="39"/>
      <c r="AH1267" s="41">
        <f t="shared" si="580"/>
        <v>0</v>
      </c>
      <c r="AI1267" s="49"/>
      <c r="AJ1267" s="41">
        <f t="shared" si="566"/>
        <v>0</v>
      </c>
      <c r="AK1267" s="39"/>
      <c r="AL1267" s="41">
        <f t="shared" si="581"/>
        <v>0</v>
      </c>
      <c r="AM1267" s="49"/>
      <c r="AN1267" s="41">
        <f t="shared" si="567"/>
        <v>0</v>
      </c>
      <c r="AO1267" s="39"/>
      <c r="AP1267" s="41">
        <f t="shared" si="582"/>
        <v>0</v>
      </c>
      <c r="AQ1267" s="49"/>
      <c r="AR1267" s="41">
        <f t="shared" si="568"/>
        <v>0</v>
      </c>
      <c r="AS1267" s="39"/>
      <c r="AT1267" s="41">
        <f t="shared" si="583"/>
        <v>0</v>
      </c>
      <c r="AU1267" s="49"/>
      <c r="AV1267" s="41">
        <f t="shared" si="569"/>
        <v>0</v>
      </c>
      <c r="AW1267" s="39"/>
      <c r="AX1267" s="41">
        <f t="shared" si="584"/>
        <v>0</v>
      </c>
      <c r="AY1267" s="49"/>
      <c r="AZ1267" s="41">
        <f t="shared" si="570"/>
        <v>0</v>
      </c>
      <c r="BA1267" s="39"/>
      <c r="BB1267" s="41">
        <f t="shared" si="585"/>
        <v>0</v>
      </c>
      <c r="BC1267" s="49"/>
      <c r="BD1267" s="41">
        <f t="shared" si="571"/>
        <v>0</v>
      </c>
      <c r="BE1267" s="39"/>
      <c r="BF1267" s="49"/>
    </row>
    <row r="1268" spans="1:58" ht="15.75" customHeight="1" x14ac:dyDescent="0.25">
      <c r="A1268" s="44">
        <v>2015</v>
      </c>
      <c r="B1268" s="39">
        <v>170240</v>
      </c>
      <c r="C1268" s="38" t="s">
        <v>147</v>
      </c>
      <c r="D1268" s="38" t="s">
        <v>20</v>
      </c>
      <c r="E1268" s="39"/>
      <c r="F1268" s="42">
        <f t="shared" si="553"/>
        <v>0</v>
      </c>
      <c r="G1268" s="49"/>
      <c r="H1268" s="42">
        <f t="shared" si="554"/>
        <v>0</v>
      </c>
      <c r="I1268" s="39"/>
      <c r="J1268" s="41">
        <f t="shared" si="555"/>
        <v>0</v>
      </c>
      <c r="K1268" s="49"/>
      <c r="L1268" s="41">
        <f t="shared" si="556"/>
        <v>0</v>
      </c>
      <c r="M1268" s="39"/>
      <c r="N1268" s="41">
        <f t="shared" si="557"/>
        <v>0</v>
      </c>
      <c r="O1268" s="49"/>
      <c r="P1268" s="41">
        <f t="shared" si="558"/>
        <v>0</v>
      </c>
      <c r="Q1268" s="39"/>
      <c r="R1268" s="41">
        <f t="shared" si="559"/>
        <v>0</v>
      </c>
      <c r="S1268" s="49"/>
      <c r="T1268" s="41">
        <f t="shared" si="560"/>
        <v>0</v>
      </c>
      <c r="U1268" s="39"/>
      <c r="V1268" s="41">
        <f t="shared" si="561"/>
        <v>0</v>
      </c>
      <c r="W1268" s="49"/>
      <c r="X1268" s="41">
        <f t="shared" si="562"/>
        <v>0</v>
      </c>
      <c r="Y1268" s="39"/>
      <c r="Z1268" s="41">
        <f t="shared" si="563"/>
        <v>0</v>
      </c>
      <c r="AA1268" s="49"/>
      <c r="AB1268" s="41">
        <f t="shared" si="564"/>
        <v>0</v>
      </c>
      <c r="AC1268" s="39"/>
      <c r="AD1268" s="41">
        <f t="shared" si="579"/>
        <v>0</v>
      </c>
      <c r="AE1268" s="49"/>
      <c r="AF1268" s="41">
        <f t="shared" si="565"/>
        <v>0</v>
      </c>
      <c r="AG1268" s="39"/>
      <c r="AH1268" s="41">
        <f t="shared" si="580"/>
        <v>0</v>
      </c>
      <c r="AI1268" s="49"/>
      <c r="AJ1268" s="41">
        <f t="shared" si="566"/>
        <v>0</v>
      </c>
      <c r="AK1268" s="39"/>
      <c r="AL1268" s="41">
        <f t="shared" si="581"/>
        <v>0</v>
      </c>
      <c r="AM1268" s="49"/>
      <c r="AN1268" s="41">
        <f t="shared" si="567"/>
        <v>0</v>
      </c>
      <c r="AO1268" s="39"/>
      <c r="AP1268" s="41">
        <f t="shared" si="582"/>
        <v>0</v>
      </c>
      <c r="AQ1268" s="49"/>
      <c r="AR1268" s="41">
        <f t="shared" si="568"/>
        <v>0</v>
      </c>
      <c r="AS1268" s="39"/>
      <c r="AT1268" s="41">
        <f t="shared" si="583"/>
        <v>0</v>
      </c>
      <c r="AU1268" s="49"/>
      <c r="AV1268" s="41">
        <f t="shared" si="569"/>
        <v>0</v>
      </c>
      <c r="AW1268" s="39"/>
      <c r="AX1268" s="41">
        <f t="shared" si="584"/>
        <v>0</v>
      </c>
      <c r="AY1268" s="49"/>
      <c r="AZ1268" s="41">
        <f t="shared" si="570"/>
        <v>0</v>
      </c>
      <c r="BA1268" s="39"/>
      <c r="BB1268" s="41">
        <f t="shared" si="585"/>
        <v>0</v>
      </c>
      <c r="BC1268" s="49"/>
      <c r="BD1268" s="41">
        <f t="shared" si="571"/>
        <v>0</v>
      </c>
      <c r="BE1268" s="39"/>
      <c r="BF1268" s="49"/>
    </row>
    <row r="1269" spans="1:58" ht="15.75" customHeight="1" x14ac:dyDescent="0.25">
      <c r="A1269" s="44">
        <v>2015</v>
      </c>
      <c r="B1269" s="39">
        <v>170255</v>
      </c>
      <c r="C1269" s="38" t="s">
        <v>145</v>
      </c>
      <c r="D1269" s="38" t="s">
        <v>21</v>
      </c>
      <c r="E1269" s="39"/>
      <c r="F1269" s="42">
        <f t="shared" si="553"/>
        <v>0</v>
      </c>
      <c r="G1269" s="49"/>
      <c r="H1269" s="42">
        <f t="shared" si="554"/>
        <v>0</v>
      </c>
      <c r="I1269" s="39"/>
      <c r="J1269" s="41">
        <f t="shared" si="555"/>
        <v>0</v>
      </c>
      <c r="K1269" s="49"/>
      <c r="L1269" s="41">
        <f t="shared" si="556"/>
        <v>0</v>
      </c>
      <c r="M1269" s="39"/>
      <c r="N1269" s="41">
        <f t="shared" si="557"/>
        <v>0</v>
      </c>
      <c r="O1269" s="49"/>
      <c r="P1269" s="41">
        <f t="shared" si="558"/>
        <v>0</v>
      </c>
      <c r="Q1269" s="39"/>
      <c r="R1269" s="41">
        <f t="shared" si="559"/>
        <v>0</v>
      </c>
      <c r="S1269" s="49"/>
      <c r="T1269" s="41">
        <f t="shared" si="560"/>
        <v>0</v>
      </c>
      <c r="U1269" s="39"/>
      <c r="V1269" s="41">
        <f t="shared" si="561"/>
        <v>0</v>
      </c>
      <c r="W1269" s="49"/>
      <c r="X1269" s="41">
        <f t="shared" si="562"/>
        <v>0</v>
      </c>
      <c r="Y1269" s="39"/>
      <c r="Z1269" s="41">
        <f t="shared" si="563"/>
        <v>0</v>
      </c>
      <c r="AA1269" s="49"/>
      <c r="AB1269" s="41">
        <f t="shared" si="564"/>
        <v>0</v>
      </c>
      <c r="AC1269" s="39"/>
      <c r="AD1269" s="41">
        <f t="shared" si="579"/>
        <v>0</v>
      </c>
      <c r="AE1269" s="49"/>
      <c r="AF1269" s="41">
        <f t="shared" si="565"/>
        <v>0</v>
      </c>
      <c r="AG1269" s="39"/>
      <c r="AH1269" s="41">
        <f t="shared" si="580"/>
        <v>0</v>
      </c>
      <c r="AI1269" s="49"/>
      <c r="AJ1269" s="41">
        <f t="shared" si="566"/>
        <v>0</v>
      </c>
      <c r="AK1269" s="39"/>
      <c r="AL1269" s="41">
        <f t="shared" si="581"/>
        <v>0</v>
      </c>
      <c r="AM1269" s="49"/>
      <c r="AN1269" s="41">
        <f t="shared" si="567"/>
        <v>0</v>
      </c>
      <c r="AO1269" s="39"/>
      <c r="AP1269" s="41">
        <f t="shared" si="582"/>
        <v>0</v>
      </c>
      <c r="AQ1269" s="49"/>
      <c r="AR1269" s="41">
        <f t="shared" si="568"/>
        <v>0</v>
      </c>
      <c r="AS1269" s="39"/>
      <c r="AT1269" s="41">
        <f t="shared" si="583"/>
        <v>0</v>
      </c>
      <c r="AU1269" s="49"/>
      <c r="AV1269" s="41">
        <f t="shared" si="569"/>
        <v>0</v>
      </c>
      <c r="AW1269" s="39"/>
      <c r="AX1269" s="41">
        <f t="shared" si="584"/>
        <v>0</v>
      </c>
      <c r="AY1269" s="49"/>
      <c r="AZ1269" s="41">
        <f t="shared" si="570"/>
        <v>0</v>
      </c>
      <c r="BA1269" s="39"/>
      <c r="BB1269" s="41">
        <f t="shared" si="585"/>
        <v>0</v>
      </c>
      <c r="BC1269" s="49"/>
      <c r="BD1269" s="41">
        <f t="shared" si="571"/>
        <v>0</v>
      </c>
      <c r="BE1269" s="39"/>
      <c r="BF1269" s="49"/>
    </row>
    <row r="1270" spans="1:58" ht="15.75" customHeight="1" x14ac:dyDescent="0.25">
      <c r="A1270" s="44">
        <v>2015</v>
      </c>
      <c r="B1270" s="39">
        <v>170270</v>
      </c>
      <c r="C1270" s="38" t="s">
        <v>147</v>
      </c>
      <c r="D1270" s="38" t="s">
        <v>22</v>
      </c>
      <c r="E1270" s="39"/>
      <c r="F1270" s="42">
        <f t="shared" si="553"/>
        <v>0</v>
      </c>
      <c r="G1270" s="49"/>
      <c r="H1270" s="42">
        <f t="shared" si="554"/>
        <v>0</v>
      </c>
      <c r="I1270" s="39"/>
      <c r="J1270" s="41">
        <f t="shared" si="555"/>
        <v>0</v>
      </c>
      <c r="K1270" s="49"/>
      <c r="L1270" s="41">
        <f t="shared" si="556"/>
        <v>0</v>
      </c>
      <c r="M1270" s="39"/>
      <c r="N1270" s="41">
        <f t="shared" si="557"/>
        <v>0</v>
      </c>
      <c r="O1270" s="49"/>
      <c r="P1270" s="41">
        <f t="shared" si="558"/>
        <v>0</v>
      </c>
      <c r="Q1270" s="39"/>
      <c r="R1270" s="41">
        <f t="shared" si="559"/>
        <v>0</v>
      </c>
      <c r="S1270" s="49"/>
      <c r="T1270" s="41">
        <f t="shared" si="560"/>
        <v>0</v>
      </c>
      <c r="U1270" s="39"/>
      <c r="V1270" s="41">
        <f t="shared" si="561"/>
        <v>0</v>
      </c>
      <c r="W1270" s="49"/>
      <c r="X1270" s="41">
        <f t="shared" si="562"/>
        <v>0</v>
      </c>
      <c r="Y1270" s="39"/>
      <c r="Z1270" s="41">
        <f t="shared" si="563"/>
        <v>0</v>
      </c>
      <c r="AA1270" s="49"/>
      <c r="AB1270" s="41">
        <f t="shared" si="564"/>
        <v>0</v>
      </c>
      <c r="AC1270" s="39"/>
      <c r="AD1270" s="41">
        <f t="shared" si="579"/>
        <v>0</v>
      </c>
      <c r="AE1270" s="49"/>
      <c r="AF1270" s="41">
        <f t="shared" si="565"/>
        <v>0</v>
      </c>
      <c r="AG1270" s="39"/>
      <c r="AH1270" s="41">
        <f t="shared" si="580"/>
        <v>0</v>
      </c>
      <c r="AI1270" s="49"/>
      <c r="AJ1270" s="41">
        <f t="shared" si="566"/>
        <v>0</v>
      </c>
      <c r="AK1270" s="39"/>
      <c r="AL1270" s="41">
        <f t="shared" si="581"/>
        <v>0</v>
      </c>
      <c r="AM1270" s="49"/>
      <c r="AN1270" s="41">
        <f t="shared" si="567"/>
        <v>0</v>
      </c>
      <c r="AO1270" s="39"/>
      <c r="AP1270" s="41">
        <f t="shared" si="582"/>
        <v>0</v>
      </c>
      <c r="AQ1270" s="49"/>
      <c r="AR1270" s="41">
        <f t="shared" si="568"/>
        <v>0</v>
      </c>
      <c r="AS1270" s="39"/>
      <c r="AT1270" s="41">
        <f t="shared" si="583"/>
        <v>0</v>
      </c>
      <c r="AU1270" s="49"/>
      <c r="AV1270" s="41">
        <f t="shared" si="569"/>
        <v>0</v>
      </c>
      <c r="AW1270" s="39"/>
      <c r="AX1270" s="41">
        <f t="shared" si="584"/>
        <v>0</v>
      </c>
      <c r="AY1270" s="49"/>
      <c r="AZ1270" s="41">
        <f t="shared" si="570"/>
        <v>0</v>
      </c>
      <c r="BA1270" s="39"/>
      <c r="BB1270" s="41">
        <f t="shared" si="585"/>
        <v>0</v>
      </c>
      <c r="BC1270" s="49"/>
      <c r="BD1270" s="41">
        <f t="shared" si="571"/>
        <v>0</v>
      </c>
      <c r="BE1270" s="39"/>
      <c r="BF1270" s="49"/>
    </row>
    <row r="1271" spans="1:58" ht="15.75" customHeight="1" x14ac:dyDescent="0.25">
      <c r="A1271" s="44">
        <v>2015</v>
      </c>
      <c r="B1271" s="39">
        <v>170290</v>
      </c>
      <c r="C1271" s="38" t="s">
        <v>145</v>
      </c>
      <c r="D1271" s="38" t="s">
        <v>23</v>
      </c>
      <c r="E1271" s="39"/>
      <c r="F1271" s="42">
        <f t="shared" si="553"/>
        <v>0</v>
      </c>
      <c r="G1271" s="49"/>
      <c r="H1271" s="42">
        <f t="shared" si="554"/>
        <v>0</v>
      </c>
      <c r="I1271" s="39"/>
      <c r="J1271" s="41">
        <f t="shared" si="555"/>
        <v>0</v>
      </c>
      <c r="K1271" s="49"/>
      <c r="L1271" s="41">
        <f t="shared" si="556"/>
        <v>0</v>
      </c>
      <c r="M1271" s="39"/>
      <c r="N1271" s="41">
        <f t="shared" si="557"/>
        <v>0</v>
      </c>
      <c r="O1271" s="49"/>
      <c r="P1271" s="41">
        <f t="shared" si="558"/>
        <v>0</v>
      </c>
      <c r="Q1271" s="39"/>
      <c r="R1271" s="41">
        <f t="shared" si="559"/>
        <v>0</v>
      </c>
      <c r="S1271" s="49"/>
      <c r="T1271" s="41">
        <f t="shared" si="560"/>
        <v>0</v>
      </c>
      <c r="U1271" s="39"/>
      <c r="V1271" s="41">
        <f t="shared" si="561"/>
        <v>0</v>
      </c>
      <c r="W1271" s="49"/>
      <c r="X1271" s="41">
        <f t="shared" si="562"/>
        <v>0</v>
      </c>
      <c r="Y1271" s="39"/>
      <c r="Z1271" s="41">
        <f t="shared" si="563"/>
        <v>0</v>
      </c>
      <c r="AA1271" s="49"/>
      <c r="AB1271" s="41">
        <f t="shared" si="564"/>
        <v>0</v>
      </c>
      <c r="AC1271" s="39"/>
      <c r="AD1271" s="41">
        <f t="shared" si="579"/>
        <v>0</v>
      </c>
      <c r="AE1271" s="49"/>
      <c r="AF1271" s="41">
        <f t="shared" si="565"/>
        <v>0</v>
      </c>
      <c r="AG1271" s="39"/>
      <c r="AH1271" s="41">
        <f t="shared" si="580"/>
        <v>0</v>
      </c>
      <c r="AI1271" s="49"/>
      <c r="AJ1271" s="41">
        <f t="shared" si="566"/>
        <v>0</v>
      </c>
      <c r="AK1271" s="39"/>
      <c r="AL1271" s="41">
        <f t="shared" si="581"/>
        <v>0</v>
      </c>
      <c r="AM1271" s="49"/>
      <c r="AN1271" s="41">
        <f t="shared" si="567"/>
        <v>0</v>
      </c>
      <c r="AO1271" s="39"/>
      <c r="AP1271" s="41">
        <f t="shared" si="582"/>
        <v>0</v>
      </c>
      <c r="AQ1271" s="49"/>
      <c r="AR1271" s="41">
        <f t="shared" si="568"/>
        <v>0</v>
      </c>
      <c r="AS1271" s="39"/>
      <c r="AT1271" s="41">
        <f t="shared" si="583"/>
        <v>0</v>
      </c>
      <c r="AU1271" s="49"/>
      <c r="AV1271" s="41">
        <f t="shared" si="569"/>
        <v>0</v>
      </c>
      <c r="AW1271" s="39"/>
      <c r="AX1271" s="41">
        <f t="shared" si="584"/>
        <v>0</v>
      </c>
      <c r="AY1271" s="49"/>
      <c r="AZ1271" s="41">
        <f t="shared" si="570"/>
        <v>0</v>
      </c>
      <c r="BA1271" s="39"/>
      <c r="BB1271" s="41">
        <f t="shared" si="585"/>
        <v>0</v>
      </c>
      <c r="BC1271" s="49"/>
      <c r="BD1271" s="41">
        <f t="shared" si="571"/>
        <v>0</v>
      </c>
      <c r="BE1271" s="39"/>
      <c r="BF1271" s="49"/>
    </row>
    <row r="1272" spans="1:58" ht="15.75" customHeight="1" x14ac:dyDescent="0.25">
      <c r="A1272" s="44">
        <v>2015</v>
      </c>
      <c r="B1272" s="39">
        <v>170300</v>
      </c>
      <c r="C1272" s="38" t="s">
        <v>149</v>
      </c>
      <c r="D1272" s="38" t="s">
        <v>24</v>
      </c>
      <c r="E1272" s="39"/>
      <c r="F1272" s="42">
        <f t="shared" si="553"/>
        <v>0</v>
      </c>
      <c r="G1272" s="49"/>
      <c r="H1272" s="42">
        <f t="shared" si="554"/>
        <v>0</v>
      </c>
      <c r="I1272" s="39"/>
      <c r="J1272" s="41">
        <f t="shared" si="555"/>
        <v>0</v>
      </c>
      <c r="K1272" s="49"/>
      <c r="L1272" s="41">
        <f t="shared" si="556"/>
        <v>0</v>
      </c>
      <c r="M1272" s="39"/>
      <c r="N1272" s="41">
        <f t="shared" si="557"/>
        <v>0</v>
      </c>
      <c r="O1272" s="49"/>
      <c r="P1272" s="41">
        <f t="shared" si="558"/>
        <v>0</v>
      </c>
      <c r="Q1272" s="39"/>
      <c r="R1272" s="41">
        <f t="shared" si="559"/>
        <v>0</v>
      </c>
      <c r="S1272" s="49"/>
      <c r="T1272" s="41">
        <f t="shared" si="560"/>
        <v>0</v>
      </c>
      <c r="U1272" s="39"/>
      <c r="V1272" s="41">
        <f t="shared" si="561"/>
        <v>0</v>
      </c>
      <c r="W1272" s="49"/>
      <c r="X1272" s="41">
        <f t="shared" si="562"/>
        <v>0</v>
      </c>
      <c r="Y1272" s="39"/>
      <c r="Z1272" s="41">
        <f t="shared" si="563"/>
        <v>0</v>
      </c>
      <c r="AA1272" s="49"/>
      <c r="AB1272" s="41">
        <f t="shared" si="564"/>
        <v>0</v>
      </c>
      <c r="AC1272" s="39"/>
      <c r="AD1272" s="41">
        <f t="shared" si="579"/>
        <v>0</v>
      </c>
      <c r="AE1272" s="49"/>
      <c r="AF1272" s="41">
        <f t="shared" si="565"/>
        <v>0</v>
      </c>
      <c r="AG1272" s="39"/>
      <c r="AH1272" s="41">
        <f t="shared" si="580"/>
        <v>0</v>
      </c>
      <c r="AI1272" s="49"/>
      <c r="AJ1272" s="41">
        <f t="shared" si="566"/>
        <v>0</v>
      </c>
      <c r="AK1272" s="39"/>
      <c r="AL1272" s="41">
        <f t="shared" si="581"/>
        <v>0</v>
      </c>
      <c r="AM1272" s="49"/>
      <c r="AN1272" s="41">
        <f t="shared" si="567"/>
        <v>0</v>
      </c>
      <c r="AO1272" s="39"/>
      <c r="AP1272" s="41">
        <f t="shared" si="582"/>
        <v>0</v>
      </c>
      <c r="AQ1272" s="49"/>
      <c r="AR1272" s="41">
        <f t="shared" si="568"/>
        <v>0</v>
      </c>
      <c r="AS1272" s="39"/>
      <c r="AT1272" s="41">
        <f t="shared" si="583"/>
        <v>0</v>
      </c>
      <c r="AU1272" s="49"/>
      <c r="AV1272" s="41">
        <f t="shared" si="569"/>
        <v>0</v>
      </c>
      <c r="AW1272" s="39"/>
      <c r="AX1272" s="41">
        <f t="shared" si="584"/>
        <v>0</v>
      </c>
      <c r="AY1272" s="49"/>
      <c r="AZ1272" s="41">
        <f t="shared" si="570"/>
        <v>0</v>
      </c>
      <c r="BA1272" s="39"/>
      <c r="BB1272" s="41">
        <f t="shared" si="585"/>
        <v>0</v>
      </c>
      <c r="BC1272" s="49"/>
      <c r="BD1272" s="41">
        <f t="shared" si="571"/>
        <v>0</v>
      </c>
      <c r="BE1272" s="39"/>
      <c r="BF1272" s="49"/>
    </row>
    <row r="1273" spans="1:58" ht="15.75" customHeight="1" x14ac:dyDescent="0.25">
      <c r="A1273" s="44">
        <v>2015</v>
      </c>
      <c r="B1273" s="39">
        <v>170305</v>
      </c>
      <c r="C1273" s="38" t="s">
        <v>150</v>
      </c>
      <c r="D1273" s="38" t="s">
        <v>25</v>
      </c>
      <c r="E1273" s="39"/>
      <c r="F1273" s="42">
        <f t="shared" si="553"/>
        <v>0</v>
      </c>
      <c r="G1273" s="49"/>
      <c r="H1273" s="42">
        <f t="shared" si="554"/>
        <v>0</v>
      </c>
      <c r="I1273" s="39"/>
      <c r="J1273" s="41">
        <f t="shared" si="555"/>
        <v>0</v>
      </c>
      <c r="K1273" s="49"/>
      <c r="L1273" s="41">
        <f t="shared" si="556"/>
        <v>0</v>
      </c>
      <c r="M1273" s="39"/>
      <c r="N1273" s="41">
        <f t="shared" si="557"/>
        <v>0</v>
      </c>
      <c r="O1273" s="49"/>
      <c r="P1273" s="41">
        <f t="shared" si="558"/>
        <v>0</v>
      </c>
      <c r="Q1273" s="39"/>
      <c r="R1273" s="41">
        <f t="shared" si="559"/>
        <v>0</v>
      </c>
      <c r="S1273" s="49"/>
      <c r="T1273" s="41">
        <f t="shared" si="560"/>
        <v>0</v>
      </c>
      <c r="U1273" s="39"/>
      <c r="V1273" s="41">
        <f t="shared" si="561"/>
        <v>0</v>
      </c>
      <c r="W1273" s="49"/>
      <c r="X1273" s="41">
        <f t="shared" si="562"/>
        <v>0</v>
      </c>
      <c r="Y1273" s="39"/>
      <c r="Z1273" s="41">
        <f t="shared" si="563"/>
        <v>0</v>
      </c>
      <c r="AA1273" s="49"/>
      <c r="AB1273" s="41">
        <f t="shared" si="564"/>
        <v>0</v>
      </c>
      <c r="AC1273" s="39"/>
      <c r="AD1273" s="41">
        <f t="shared" si="579"/>
        <v>0</v>
      </c>
      <c r="AE1273" s="49"/>
      <c r="AF1273" s="41">
        <f t="shared" si="565"/>
        <v>0</v>
      </c>
      <c r="AG1273" s="39"/>
      <c r="AH1273" s="41">
        <f t="shared" si="580"/>
        <v>0</v>
      </c>
      <c r="AI1273" s="49"/>
      <c r="AJ1273" s="41">
        <f t="shared" si="566"/>
        <v>0</v>
      </c>
      <c r="AK1273" s="39"/>
      <c r="AL1273" s="41">
        <f t="shared" si="581"/>
        <v>0</v>
      </c>
      <c r="AM1273" s="49"/>
      <c r="AN1273" s="41">
        <f t="shared" si="567"/>
        <v>0</v>
      </c>
      <c r="AO1273" s="39"/>
      <c r="AP1273" s="41">
        <f t="shared" si="582"/>
        <v>0</v>
      </c>
      <c r="AQ1273" s="49"/>
      <c r="AR1273" s="41">
        <f t="shared" si="568"/>
        <v>0</v>
      </c>
      <c r="AS1273" s="39"/>
      <c r="AT1273" s="41">
        <f t="shared" si="583"/>
        <v>0</v>
      </c>
      <c r="AU1273" s="49"/>
      <c r="AV1273" s="41">
        <f t="shared" si="569"/>
        <v>0</v>
      </c>
      <c r="AW1273" s="39"/>
      <c r="AX1273" s="41">
        <f t="shared" si="584"/>
        <v>0</v>
      </c>
      <c r="AY1273" s="49"/>
      <c r="AZ1273" s="41">
        <f t="shared" si="570"/>
        <v>0</v>
      </c>
      <c r="BA1273" s="39"/>
      <c r="BB1273" s="41">
        <f t="shared" si="585"/>
        <v>0</v>
      </c>
      <c r="BC1273" s="49"/>
      <c r="BD1273" s="41">
        <f t="shared" si="571"/>
        <v>0</v>
      </c>
      <c r="BE1273" s="39"/>
      <c r="BF1273" s="49"/>
    </row>
    <row r="1274" spans="1:58" ht="15.75" customHeight="1" x14ac:dyDescent="0.25">
      <c r="A1274" s="44">
        <v>2015</v>
      </c>
      <c r="B1274" s="39">
        <v>170307</v>
      </c>
      <c r="C1274" s="38" t="s">
        <v>149</v>
      </c>
      <c r="D1274" s="38" t="s">
        <v>26</v>
      </c>
      <c r="E1274" s="39"/>
      <c r="F1274" s="42">
        <f t="shared" si="553"/>
        <v>0</v>
      </c>
      <c r="G1274" s="49"/>
      <c r="H1274" s="42">
        <f t="shared" si="554"/>
        <v>0</v>
      </c>
      <c r="I1274" s="39"/>
      <c r="J1274" s="41">
        <f t="shared" si="555"/>
        <v>0</v>
      </c>
      <c r="K1274" s="49"/>
      <c r="L1274" s="41">
        <f t="shared" si="556"/>
        <v>0</v>
      </c>
      <c r="M1274" s="39"/>
      <c r="N1274" s="41">
        <f t="shared" si="557"/>
        <v>0</v>
      </c>
      <c r="O1274" s="49"/>
      <c r="P1274" s="41">
        <f t="shared" si="558"/>
        <v>0</v>
      </c>
      <c r="Q1274" s="39"/>
      <c r="R1274" s="41">
        <f t="shared" si="559"/>
        <v>0</v>
      </c>
      <c r="S1274" s="49"/>
      <c r="T1274" s="41">
        <f t="shared" si="560"/>
        <v>0</v>
      </c>
      <c r="U1274" s="39"/>
      <c r="V1274" s="41">
        <f t="shared" si="561"/>
        <v>0</v>
      </c>
      <c r="W1274" s="49"/>
      <c r="X1274" s="41">
        <f t="shared" si="562"/>
        <v>0</v>
      </c>
      <c r="Y1274" s="39"/>
      <c r="Z1274" s="41">
        <f t="shared" si="563"/>
        <v>0</v>
      </c>
      <c r="AA1274" s="49"/>
      <c r="AB1274" s="41">
        <f t="shared" si="564"/>
        <v>0</v>
      </c>
      <c r="AC1274" s="39"/>
      <c r="AD1274" s="41">
        <f t="shared" si="579"/>
        <v>0</v>
      </c>
      <c r="AE1274" s="49"/>
      <c r="AF1274" s="41">
        <f t="shared" si="565"/>
        <v>0</v>
      </c>
      <c r="AG1274" s="39"/>
      <c r="AH1274" s="41">
        <f t="shared" si="580"/>
        <v>0</v>
      </c>
      <c r="AI1274" s="49"/>
      <c r="AJ1274" s="41">
        <f t="shared" si="566"/>
        <v>0</v>
      </c>
      <c r="AK1274" s="39"/>
      <c r="AL1274" s="41">
        <f t="shared" si="581"/>
        <v>0</v>
      </c>
      <c r="AM1274" s="49"/>
      <c r="AN1274" s="41">
        <f t="shared" si="567"/>
        <v>0</v>
      </c>
      <c r="AO1274" s="39"/>
      <c r="AP1274" s="41">
        <f t="shared" si="582"/>
        <v>0</v>
      </c>
      <c r="AQ1274" s="49"/>
      <c r="AR1274" s="41">
        <f t="shared" si="568"/>
        <v>0</v>
      </c>
      <c r="AS1274" s="39"/>
      <c r="AT1274" s="41">
        <f t="shared" si="583"/>
        <v>0</v>
      </c>
      <c r="AU1274" s="49"/>
      <c r="AV1274" s="41">
        <f t="shared" si="569"/>
        <v>0</v>
      </c>
      <c r="AW1274" s="39"/>
      <c r="AX1274" s="41">
        <f t="shared" si="584"/>
        <v>0</v>
      </c>
      <c r="AY1274" s="49"/>
      <c r="AZ1274" s="41">
        <f t="shared" si="570"/>
        <v>0</v>
      </c>
      <c r="BA1274" s="39"/>
      <c r="BB1274" s="41">
        <f t="shared" si="585"/>
        <v>0</v>
      </c>
      <c r="BC1274" s="49"/>
      <c r="BD1274" s="41">
        <f t="shared" si="571"/>
        <v>0</v>
      </c>
      <c r="BE1274" s="39"/>
      <c r="BF1274" s="49"/>
    </row>
    <row r="1275" spans="1:58" ht="15.75" customHeight="1" x14ac:dyDescent="0.25">
      <c r="A1275" s="44">
        <v>2015</v>
      </c>
      <c r="B1275" s="39">
        <v>170310</v>
      </c>
      <c r="C1275" s="38" t="s">
        <v>144</v>
      </c>
      <c r="D1275" s="38" t="s">
        <v>27</v>
      </c>
      <c r="E1275" s="39"/>
      <c r="F1275" s="42">
        <f t="shared" si="553"/>
        <v>0</v>
      </c>
      <c r="G1275" s="49"/>
      <c r="H1275" s="42">
        <f t="shared" si="554"/>
        <v>0</v>
      </c>
      <c r="I1275" s="39"/>
      <c r="J1275" s="41">
        <f t="shared" si="555"/>
        <v>0</v>
      </c>
      <c r="K1275" s="49"/>
      <c r="L1275" s="41">
        <f t="shared" si="556"/>
        <v>0</v>
      </c>
      <c r="M1275" s="39"/>
      <c r="N1275" s="41">
        <f t="shared" si="557"/>
        <v>0</v>
      </c>
      <c r="O1275" s="49"/>
      <c r="P1275" s="41">
        <f t="shared" si="558"/>
        <v>0</v>
      </c>
      <c r="Q1275" s="39"/>
      <c r="R1275" s="41">
        <f t="shared" si="559"/>
        <v>0</v>
      </c>
      <c r="S1275" s="49"/>
      <c r="T1275" s="41">
        <f t="shared" si="560"/>
        <v>0</v>
      </c>
      <c r="U1275" s="39"/>
      <c r="V1275" s="41">
        <f t="shared" si="561"/>
        <v>0</v>
      </c>
      <c r="W1275" s="49"/>
      <c r="X1275" s="41">
        <f t="shared" si="562"/>
        <v>0</v>
      </c>
      <c r="Y1275" s="39"/>
      <c r="Z1275" s="41">
        <f t="shared" si="563"/>
        <v>0</v>
      </c>
      <c r="AA1275" s="49"/>
      <c r="AB1275" s="41">
        <f t="shared" si="564"/>
        <v>0</v>
      </c>
      <c r="AC1275" s="39"/>
      <c r="AD1275" s="41">
        <f t="shared" si="579"/>
        <v>0</v>
      </c>
      <c r="AE1275" s="49"/>
      <c r="AF1275" s="41">
        <f t="shared" si="565"/>
        <v>0</v>
      </c>
      <c r="AG1275" s="39"/>
      <c r="AH1275" s="41">
        <f t="shared" si="580"/>
        <v>0</v>
      </c>
      <c r="AI1275" s="49"/>
      <c r="AJ1275" s="41">
        <f t="shared" si="566"/>
        <v>0</v>
      </c>
      <c r="AK1275" s="39"/>
      <c r="AL1275" s="41">
        <f t="shared" si="581"/>
        <v>0</v>
      </c>
      <c r="AM1275" s="49"/>
      <c r="AN1275" s="41">
        <f t="shared" si="567"/>
        <v>0</v>
      </c>
      <c r="AO1275" s="39"/>
      <c r="AP1275" s="41">
        <f t="shared" si="582"/>
        <v>0</v>
      </c>
      <c r="AQ1275" s="49"/>
      <c r="AR1275" s="41">
        <f t="shared" si="568"/>
        <v>0</v>
      </c>
      <c r="AS1275" s="39"/>
      <c r="AT1275" s="41">
        <f t="shared" si="583"/>
        <v>0</v>
      </c>
      <c r="AU1275" s="49"/>
      <c r="AV1275" s="41">
        <f t="shared" si="569"/>
        <v>0</v>
      </c>
      <c r="AW1275" s="39"/>
      <c r="AX1275" s="41">
        <f t="shared" si="584"/>
        <v>0</v>
      </c>
      <c r="AY1275" s="49"/>
      <c r="AZ1275" s="41">
        <f t="shared" si="570"/>
        <v>0</v>
      </c>
      <c r="BA1275" s="39"/>
      <c r="BB1275" s="41">
        <f t="shared" si="585"/>
        <v>0</v>
      </c>
      <c r="BC1275" s="49"/>
      <c r="BD1275" s="41">
        <f t="shared" si="571"/>
        <v>0</v>
      </c>
      <c r="BE1275" s="39"/>
      <c r="BF1275" s="49"/>
    </row>
    <row r="1276" spans="1:58" ht="15.75" customHeight="1" x14ac:dyDescent="0.25">
      <c r="A1276" s="44">
        <v>2015</v>
      </c>
      <c r="B1276" s="39">
        <v>170320</v>
      </c>
      <c r="C1276" s="38" t="s">
        <v>150</v>
      </c>
      <c r="D1276" s="38" t="s">
        <v>28</v>
      </c>
      <c r="E1276" s="39"/>
      <c r="F1276" s="42">
        <f t="shared" si="553"/>
        <v>0</v>
      </c>
      <c r="G1276" s="49"/>
      <c r="H1276" s="42">
        <f t="shared" si="554"/>
        <v>0</v>
      </c>
      <c r="I1276" s="39"/>
      <c r="J1276" s="41">
        <f t="shared" si="555"/>
        <v>0</v>
      </c>
      <c r="K1276" s="49"/>
      <c r="L1276" s="41">
        <f t="shared" si="556"/>
        <v>0</v>
      </c>
      <c r="M1276" s="39"/>
      <c r="N1276" s="41">
        <f t="shared" si="557"/>
        <v>0</v>
      </c>
      <c r="O1276" s="49"/>
      <c r="P1276" s="41">
        <f t="shared" si="558"/>
        <v>0</v>
      </c>
      <c r="Q1276" s="39"/>
      <c r="R1276" s="41">
        <f t="shared" si="559"/>
        <v>0</v>
      </c>
      <c r="S1276" s="49"/>
      <c r="T1276" s="41">
        <f t="shared" si="560"/>
        <v>0</v>
      </c>
      <c r="U1276" s="39"/>
      <c r="V1276" s="41">
        <f t="shared" si="561"/>
        <v>0</v>
      </c>
      <c r="W1276" s="49"/>
      <c r="X1276" s="41">
        <f t="shared" si="562"/>
        <v>0</v>
      </c>
      <c r="Y1276" s="39"/>
      <c r="Z1276" s="41">
        <f t="shared" si="563"/>
        <v>0</v>
      </c>
      <c r="AA1276" s="49"/>
      <c r="AB1276" s="41">
        <f t="shared" si="564"/>
        <v>0</v>
      </c>
      <c r="AC1276" s="39"/>
      <c r="AD1276" s="41">
        <f t="shared" si="579"/>
        <v>0</v>
      </c>
      <c r="AE1276" s="49"/>
      <c r="AF1276" s="41">
        <f t="shared" si="565"/>
        <v>0</v>
      </c>
      <c r="AG1276" s="39"/>
      <c r="AH1276" s="41">
        <f t="shared" si="580"/>
        <v>0</v>
      </c>
      <c r="AI1276" s="49"/>
      <c r="AJ1276" s="41">
        <f t="shared" si="566"/>
        <v>0</v>
      </c>
      <c r="AK1276" s="39"/>
      <c r="AL1276" s="41">
        <f t="shared" si="581"/>
        <v>0</v>
      </c>
      <c r="AM1276" s="49"/>
      <c r="AN1276" s="41">
        <f t="shared" si="567"/>
        <v>0</v>
      </c>
      <c r="AO1276" s="39"/>
      <c r="AP1276" s="41">
        <f t="shared" si="582"/>
        <v>0</v>
      </c>
      <c r="AQ1276" s="49"/>
      <c r="AR1276" s="41">
        <f t="shared" si="568"/>
        <v>0</v>
      </c>
      <c r="AS1276" s="39"/>
      <c r="AT1276" s="41">
        <f t="shared" si="583"/>
        <v>0</v>
      </c>
      <c r="AU1276" s="49"/>
      <c r="AV1276" s="41">
        <f t="shared" si="569"/>
        <v>0</v>
      </c>
      <c r="AW1276" s="39"/>
      <c r="AX1276" s="41">
        <f t="shared" si="584"/>
        <v>0</v>
      </c>
      <c r="AY1276" s="49"/>
      <c r="AZ1276" s="41">
        <f t="shared" si="570"/>
        <v>0</v>
      </c>
      <c r="BA1276" s="39"/>
      <c r="BB1276" s="41">
        <f t="shared" si="585"/>
        <v>0</v>
      </c>
      <c r="BC1276" s="49"/>
      <c r="BD1276" s="41">
        <f t="shared" si="571"/>
        <v>0</v>
      </c>
      <c r="BE1276" s="39"/>
      <c r="BF1276" s="49"/>
    </row>
    <row r="1277" spans="1:58" ht="15.75" customHeight="1" x14ac:dyDescent="0.25">
      <c r="A1277" s="44">
        <v>2015</v>
      </c>
      <c r="B1277" s="39">
        <v>170330</v>
      </c>
      <c r="C1277" s="38" t="s">
        <v>150</v>
      </c>
      <c r="D1277" s="38" t="s">
        <v>29</v>
      </c>
      <c r="E1277" s="39"/>
      <c r="F1277" s="42">
        <f t="shared" si="553"/>
        <v>0</v>
      </c>
      <c r="G1277" s="49"/>
      <c r="H1277" s="42">
        <f t="shared" si="554"/>
        <v>0</v>
      </c>
      <c r="I1277" s="39"/>
      <c r="J1277" s="41">
        <f t="shared" si="555"/>
        <v>0</v>
      </c>
      <c r="K1277" s="49"/>
      <c r="L1277" s="41">
        <f t="shared" si="556"/>
        <v>0</v>
      </c>
      <c r="M1277" s="39"/>
      <c r="N1277" s="41">
        <f t="shared" si="557"/>
        <v>0</v>
      </c>
      <c r="O1277" s="49"/>
      <c r="P1277" s="41">
        <f t="shared" si="558"/>
        <v>0</v>
      </c>
      <c r="Q1277" s="39"/>
      <c r="R1277" s="41">
        <f t="shared" si="559"/>
        <v>0</v>
      </c>
      <c r="S1277" s="49"/>
      <c r="T1277" s="41">
        <f t="shared" si="560"/>
        <v>0</v>
      </c>
      <c r="U1277" s="39"/>
      <c r="V1277" s="41">
        <f t="shared" si="561"/>
        <v>0</v>
      </c>
      <c r="W1277" s="49"/>
      <c r="X1277" s="41">
        <f t="shared" si="562"/>
        <v>0</v>
      </c>
      <c r="Y1277" s="39"/>
      <c r="Z1277" s="41">
        <f t="shared" si="563"/>
        <v>0</v>
      </c>
      <c r="AA1277" s="49"/>
      <c r="AB1277" s="41">
        <f t="shared" si="564"/>
        <v>0</v>
      </c>
      <c r="AC1277" s="39"/>
      <c r="AD1277" s="41">
        <f t="shared" si="579"/>
        <v>0</v>
      </c>
      <c r="AE1277" s="49"/>
      <c r="AF1277" s="41">
        <f t="shared" si="565"/>
        <v>0</v>
      </c>
      <c r="AG1277" s="39"/>
      <c r="AH1277" s="41">
        <f t="shared" si="580"/>
        <v>0</v>
      </c>
      <c r="AI1277" s="49"/>
      <c r="AJ1277" s="41">
        <f t="shared" si="566"/>
        <v>0</v>
      </c>
      <c r="AK1277" s="39"/>
      <c r="AL1277" s="41">
        <f t="shared" si="581"/>
        <v>0</v>
      </c>
      <c r="AM1277" s="49"/>
      <c r="AN1277" s="41">
        <f t="shared" si="567"/>
        <v>0</v>
      </c>
      <c r="AO1277" s="39"/>
      <c r="AP1277" s="41">
        <f t="shared" si="582"/>
        <v>0</v>
      </c>
      <c r="AQ1277" s="49"/>
      <c r="AR1277" s="41">
        <f t="shared" si="568"/>
        <v>0</v>
      </c>
      <c r="AS1277" s="39"/>
      <c r="AT1277" s="41">
        <f t="shared" si="583"/>
        <v>0</v>
      </c>
      <c r="AU1277" s="49"/>
      <c r="AV1277" s="41">
        <f t="shared" si="569"/>
        <v>0</v>
      </c>
      <c r="AW1277" s="39"/>
      <c r="AX1277" s="41">
        <f t="shared" si="584"/>
        <v>0</v>
      </c>
      <c r="AY1277" s="49"/>
      <c r="AZ1277" s="41">
        <f t="shared" si="570"/>
        <v>0</v>
      </c>
      <c r="BA1277" s="39"/>
      <c r="BB1277" s="41">
        <f t="shared" si="585"/>
        <v>0</v>
      </c>
      <c r="BC1277" s="49"/>
      <c r="BD1277" s="41">
        <f t="shared" si="571"/>
        <v>0</v>
      </c>
      <c r="BE1277" s="39"/>
      <c r="BF1277" s="49"/>
    </row>
    <row r="1278" spans="1:58" ht="15.75" customHeight="1" x14ac:dyDescent="0.25">
      <c r="A1278" s="44">
        <v>2015</v>
      </c>
      <c r="B1278" s="39">
        <v>170360</v>
      </c>
      <c r="C1278" s="38" t="s">
        <v>150</v>
      </c>
      <c r="D1278" s="38" t="s">
        <v>30</v>
      </c>
      <c r="E1278" s="39"/>
      <c r="F1278" s="42">
        <f t="shared" si="553"/>
        <v>0</v>
      </c>
      <c r="G1278" s="49"/>
      <c r="H1278" s="42">
        <f t="shared" si="554"/>
        <v>0</v>
      </c>
      <c r="I1278" s="39"/>
      <c r="J1278" s="41">
        <f t="shared" si="555"/>
        <v>0</v>
      </c>
      <c r="K1278" s="49"/>
      <c r="L1278" s="41">
        <f t="shared" si="556"/>
        <v>0</v>
      </c>
      <c r="M1278" s="39"/>
      <c r="N1278" s="41">
        <f t="shared" si="557"/>
        <v>0</v>
      </c>
      <c r="O1278" s="49"/>
      <c r="P1278" s="41">
        <f t="shared" si="558"/>
        <v>0</v>
      </c>
      <c r="Q1278" s="39"/>
      <c r="R1278" s="41">
        <f t="shared" si="559"/>
        <v>0</v>
      </c>
      <c r="S1278" s="49"/>
      <c r="T1278" s="41">
        <f t="shared" si="560"/>
        <v>0</v>
      </c>
      <c r="U1278" s="39"/>
      <c r="V1278" s="41">
        <f t="shared" si="561"/>
        <v>0</v>
      </c>
      <c r="W1278" s="49"/>
      <c r="X1278" s="41">
        <f t="shared" si="562"/>
        <v>0</v>
      </c>
      <c r="Y1278" s="39"/>
      <c r="Z1278" s="41">
        <f t="shared" si="563"/>
        <v>0</v>
      </c>
      <c r="AA1278" s="49"/>
      <c r="AB1278" s="41">
        <f t="shared" si="564"/>
        <v>0</v>
      </c>
      <c r="AC1278" s="39"/>
      <c r="AD1278" s="41">
        <f t="shared" si="579"/>
        <v>0</v>
      </c>
      <c r="AE1278" s="49"/>
      <c r="AF1278" s="41">
        <f t="shared" si="565"/>
        <v>0</v>
      </c>
      <c r="AG1278" s="39"/>
      <c r="AH1278" s="41">
        <f t="shared" si="580"/>
        <v>0</v>
      </c>
      <c r="AI1278" s="49"/>
      <c r="AJ1278" s="41">
        <f t="shared" si="566"/>
        <v>0</v>
      </c>
      <c r="AK1278" s="39"/>
      <c r="AL1278" s="41">
        <f t="shared" si="581"/>
        <v>0</v>
      </c>
      <c r="AM1278" s="49"/>
      <c r="AN1278" s="41">
        <f t="shared" si="567"/>
        <v>0</v>
      </c>
      <c r="AO1278" s="39"/>
      <c r="AP1278" s="41">
        <f t="shared" si="582"/>
        <v>0</v>
      </c>
      <c r="AQ1278" s="49"/>
      <c r="AR1278" s="41">
        <f t="shared" si="568"/>
        <v>0</v>
      </c>
      <c r="AS1278" s="39"/>
      <c r="AT1278" s="41">
        <f t="shared" si="583"/>
        <v>0</v>
      </c>
      <c r="AU1278" s="49"/>
      <c r="AV1278" s="41">
        <f t="shared" si="569"/>
        <v>0</v>
      </c>
      <c r="AW1278" s="39"/>
      <c r="AX1278" s="41">
        <f t="shared" si="584"/>
        <v>0</v>
      </c>
      <c r="AY1278" s="49"/>
      <c r="AZ1278" s="41">
        <f t="shared" si="570"/>
        <v>0</v>
      </c>
      <c r="BA1278" s="39"/>
      <c r="BB1278" s="41">
        <f t="shared" si="585"/>
        <v>0</v>
      </c>
      <c r="BC1278" s="49"/>
      <c r="BD1278" s="41">
        <f t="shared" si="571"/>
        <v>0</v>
      </c>
      <c r="BE1278" s="39"/>
      <c r="BF1278" s="49"/>
    </row>
    <row r="1279" spans="1:58" ht="15.75" customHeight="1" x14ac:dyDescent="0.25">
      <c r="A1279" s="44">
        <v>2015</v>
      </c>
      <c r="B1279" s="39">
        <v>170370</v>
      </c>
      <c r="C1279" s="38" t="s">
        <v>151</v>
      </c>
      <c r="D1279" s="38" t="s">
        <v>31</v>
      </c>
      <c r="E1279" s="39"/>
      <c r="F1279" s="42">
        <f t="shared" si="553"/>
        <v>0</v>
      </c>
      <c r="G1279" s="49"/>
      <c r="H1279" s="42">
        <f t="shared" si="554"/>
        <v>0</v>
      </c>
      <c r="I1279" s="39"/>
      <c r="J1279" s="41">
        <f t="shared" si="555"/>
        <v>0</v>
      </c>
      <c r="K1279" s="49"/>
      <c r="L1279" s="41">
        <f t="shared" si="556"/>
        <v>0</v>
      </c>
      <c r="M1279" s="39"/>
      <c r="N1279" s="41">
        <f t="shared" si="557"/>
        <v>0</v>
      </c>
      <c r="O1279" s="49"/>
      <c r="P1279" s="41">
        <f t="shared" si="558"/>
        <v>0</v>
      </c>
      <c r="Q1279" s="39"/>
      <c r="R1279" s="41">
        <f t="shared" si="559"/>
        <v>0</v>
      </c>
      <c r="S1279" s="49"/>
      <c r="T1279" s="41">
        <f t="shared" si="560"/>
        <v>0</v>
      </c>
      <c r="U1279" s="39"/>
      <c r="V1279" s="41">
        <f t="shared" si="561"/>
        <v>0</v>
      </c>
      <c r="W1279" s="49"/>
      <c r="X1279" s="41">
        <f t="shared" si="562"/>
        <v>0</v>
      </c>
      <c r="Y1279" s="39"/>
      <c r="Z1279" s="41">
        <f t="shared" si="563"/>
        <v>0</v>
      </c>
      <c r="AA1279" s="49"/>
      <c r="AB1279" s="41">
        <f t="shared" si="564"/>
        <v>0</v>
      </c>
      <c r="AC1279" s="39"/>
      <c r="AD1279" s="41">
        <f t="shared" si="579"/>
        <v>0</v>
      </c>
      <c r="AE1279" s="49"/>
      <c r="AF1279" s="41">
        <f t="shared" si="565"/>
        <v>0</v>
      </c>
      <c r="AG1279" s="39"/>
      <c r="AH1279" s="41">
        <f t="shared" si="580"/>
        <v>0</v>
      </c>
      <c r="AI1279" s="49"/>
      <c r="AJ1279" s="41">
        <f t="shared" si="566"/>
        <v>0</v>
      </c>
      <c r="AK1279" s="39"/>
      <c r="AL1279" s="41">
        <f t="shared" si="581"/>
        <v>0</v>
      </c>
      <c r="AM1279" s="49"/>
      <c r="AN1279" s="41">
        <f t="shared" si="567"/>
        <v>0</v>
      </c>
      <c r="AO1279" s="39"/>
      <c r="AP1279" s="41">
        <f t="shared" si="582"/>
        <v>0</v>
      </c>
      <c r="AQ1279" s="49"/>
      <c r="AR1279" s="41">
        <f t="shared" si="568"/>
        <v>0</v>
      </c>
      <c r="AS1279" s="39"/>
      <c r="AT1279" s="41">
        <f t="shared" si="583"/>
        <v>0</v>
      </c>
      <c r="AU1279" s="49"/>
      <c r="AV1279" s="41">
        <f t="shared" si="569"/>
        <v>0</v>
      </c>
      <c r="AW1279" s="39"/>
      <c r="AX1279" s="41">
        <f t="shared" si="584"/>
        <v>0</v>
      </c>
      <c r="AY1279" s="49"/>
      <c r="AZ1279" s="41">
        <f t="shared" si="570"/>
        <v>0</v>
      </c>
      <c r="BA1279" s="39"/>
      <c r="BB1279" s="41">
        <f t="shared" si="585"/>
        <v>0</v>
      </c>
      <c r="BC1279" s="49"/>
      <c r="BD1279" s="41">
        <f t="shared" si="571"/>
        <v>0</v>
      </c>
      <c r="BE1279" s="39"/>
      <c r="BF1279" s="49"/>
    </row>
    <row r="1280" spans="1:58" ht="15.75" customHeight="1" x14ac:dyDescent="0.25">
      <c r="A1280" s="44">
        <v>2015</v>
      </c>
      <c r="B1280" s="39">
        <v>170380</v>
      </c>
      <c r="C1280" s="38" t="s">
        <v>145</v>
      </c>
      <c r="D1280" s="38" t="s">
        <v>32</v>
      </c>
      <c r="E1280" s="39"/>
      <c r="F1280" s="42">
        <f t="shared" si="553"/>
        <v>0</v>
      </c>
      <c r="G1280" s="49"/>
      <c r="H1280" s="42">
        <f t="shared" si="554"/>
        <v>0</v>
      </c>
      <c r="I1280" s="39"/>
      <c r="J1280" s="41">
        <f t="shared" si="555"/>
        <v>0</v>
      </c>
      <c r="K1280" s="49"/>
      <c r="L1280" s="41">
        <f t="shared" si="556"/>
        <v>0</v>
      </c>
      <c r="M1280" s="39"/>
      <c r="N1280" s="41">
        <f t="shared" si="557"/>
        <v>0</v>
      </c>
      <c r="O1280" s="49"/>
      <c r="P1280" s="41">
        <f t="shared" si="558"/>
        <v>0</v>
      </c>
      <c r="Q1280" s="39"/>
      <c r="R1280" s="41">
        <f t="shared" si="559"/>
        <v>0</v>
      </c>
      <c r="S1280" s="49"/>
      <c r="T1280" s="41">
        <f t="shared" si="560"/>
        <v>0</v>
      </c>
      <c r="U1280" s="39"/>
      <c r="V1280" s="41">
        <f t="shared" si="561"/>
        <v>0</v>
      </c>
      <c r="W1280" s="49"/>
      <c r="X1280" s="41">
        <f t="shared" si="562"/>
        <v>0</v>
      </c>
      <c r="Y1280" s="39"/>
      <c r="Z1280" s="41">
        <f t="shared" si="563"/>
        <v>0</v>
      </c>
      <c r="AA1280" s="49"/>
      <c r="AB1280" s="41">
        <f t="shared" si="564"/>
        <v>0</v>
      </c>
      <c r="AC1280" s="39"/>
      <c r="AD1280" s="41">
        <f t="shared" si="579"/>
        <v>0</v>
      </c>
      <c r="AE1280" s="49"/>
      <c r="AF1280" s="41">
        <f t="shared" si="565"/>
        <v>0</v>
      </c>
      <c r="AG1280" s="39"/>
      <c r="AH1280" s="41">
        <f t="shared" si="580"/>
        <v>0</v>
      </c>
      <c r="AI1280" s="49"/>
      <c r="AJ1280" s="41">
        <f t="shared" si="566"/>
        <v>0</v>
      </c>
      <c r="AK1280" s="39"/>
      <c r="AL1280" s="41">
        <f t="shared" si="581"/>
        <v>0</v>
      </c>
      <c r="AM1280" s="49"/>
      <c r="AN1280" s="41">
        <f t="shared" si="567"/>
        <v>0</v>
      </c>
      <c r="AO1280" s="39"/>
      <c r="AP1280" s="41">
        <f t="shared" si="582"/>
        <v>0</v>
      </c>
      <c r="AQ1280" s="49"/>
      <c r="AR1280" s="41">
        <f t="shared" si="568"/>
        <v>0</v>
      </c>
      <c r="AS1280" s="39"/>
      <c r="AT1280" s="41">
        <f t="shared" si="583"/>
        <v>0</v>
      </c>
      <c r="AU1280" s="49"/>
      <c r="AV1280" s="41">
        <f t="shared" si="569"/>
        <v>0</v>
      </c>
      <c r="AW1280" s="39"/>
      <c r="AX1280" s="41">
        <f t="shared" si="584"/>
        <v>0</v>
      </c>
      <c r="AY1280" s="49"/>
      <c r="AZ1280" s="41">
        <f t="shared" si="570"/>
        <v>0</v>
      </c>
      <c r="BA1280" s="39"/>
      <c r="BB1280" s="41">
        <f t="shared" si="585"/>
        <v>0</v>
      </c>
      <c r="BC1280" s="49"/>
      <c r="BD1280" s="41">
        <f t="shared" si="571"/>
        <v>0</v>
      </c>
      <c r="BE1280" s="39"/>
      <c r="BF1280" s="49"/>
    </row>
    <row r="1281" spans="1:58" ht="15.75" customHeight="1" x14ac:dyDescent="0.25">
      <c r="A1281" s="44">
        <v>2015</v>
      </c>
      <c r="B1281" s="39">
        <v>170382</v>
      </c>
      <c r="C1281" s="38" t="s">
        <v>145</v>
      </c>
      <c r="D1281" s="38" t="s">
        <v>33</v>
      </c>
      <c r="E1281" s="39"/>
      <c r="F1281" s="42">
        <f t="shared" si="553"/>
        <v>0</v>
      </c>
      <c r="G1281" s="49"/>
      <c r="H1281" s="42">
        <f t="shared" si="554"/>
        <v>0</v>
      </c>
      <c r="I1281" s="39"/>
      <c r="J1281" s="41">
        <f t="shared" si="555"/>
        <v>0</v>
      </c>
      <c r="K1281" s="49"/>
      <c r="L1281" s="41">
        <f t="shared" si="556"/>
        <v>0</v>
      </c>
      <c r="M1281" s="39"/>
      <c r="N1281" s="41">
        <f t="shared" si="557"/>
        <v>0</v>
      </c>
      <c r="O1281" s="49"/>
      <c r="P1281" s="41">
        <f t="shared" si="558"/>
        <v>0</v>
      </c>
      <c r="Q1281" s="39"/>
      <c r="R1281" s="41">
        <f t="shared" si="559"/>
        <v>0</v>
      </c>
      <c r="S1281" s="49"/>
      <c r="T1281" s="41">
        <f t="shared" si="560"/>
        <v>0</v>
      </c>
      <c r="U1281" s="39"/>
      <c r="V1281" s="41">
        <f t="shared" si="561"/>
        <v>0</v>
      </c>
      <c r="W1281" s="49"/>
      <c r="X1281" s="41">
        <f t="shared" si="562"/>
        <v>0</v>
      </c>
      <c r="Y1281" s="39"/>
      <c r="Z1281" s="41">
        <f t="shared" si="563"/>
        <v>0</v>
      </c>
      <c r="AA1281" s="49"/>
      <c r="AB1281" s="41">
        <f t="shared" si="564"/>
        <v>0</v>
      </c>
      <c r="AC1281" s="39"/>
      <c r="AD1281" s="41">
        <f t="shared" si="579"/>
        <v>0</v>
      </c>
      <c r="AE1281" s="49"/>
      <c r="AF1281" s="41">
        <f t="shared" si="565"/>
        <v>0</v>
      </c>
      <c r="AG1281" s="39"/>
      <c r="AH1281" s="41">
        <f t="shared" si="580"/>
        <v>0</v>
      </c>
      <c r="AI1281" s="49"/>
      <c r="AJ1281" s="41">
        <f t="shared" si="566"/>
        <v>0</v>
      </c>
      <c r="AK1281" s="39"/>
      <c r="AL1281" s="41">
        <f t="shared" si="581"/>
        <v>0</v>
      </c>
      <c r="AM1281" s="49"/>
      <c r="AN1281" s="41">
        <f t="shared" si="567"/>
        <v>0</v>
      </c>
      <c r="AO1281" s="39"/>
      <c r="AP1281" s="41">
        <f t="shared" si="582"/>
        <v>0</v>
      </c>
      <c r="AQ1281" s="49"/>
      <c r="AR1281" s="41">
        <f t="shared" si="568"/>
        <v>0</v>
      </c>
      <c r="AS1281" s="39"/>
      <c r="AT1281" s="41">
        <f t="shared" si="583"/>
        <v>0</v>
      </c>
      <c r="AU1281" s="49"/>
      <c r="AV1281" s="41">
        <f t="shared" si="569"/>
        <v>0</v>
      </c>
      <c r="AW1281" s="39"/>
      <c r="AX1281" s="41">
        <f t="shared" si="584"/>
        <v>0</v>
      </c>
      <c r="AY1281" s="49"/>
      <c r="AZ1281" s="41">
        <f t="shared" si="570"/>
        <v>0</v>
      </c>
      <c r="BA1281" s="39"/>
      <c r="BB1281" s="41">
        <f t="shared" si="585"/>
        <v>0</v>
      </c>
      <c r="BC1281" s="49"/>
      <c r="BD1281" s="41">
        <f t="shared" si="571"/>
        <v>0</v>
      </c>
      <c r="BE1281" s="39"/>
      <c r="BF1281" s="49"/>
    </row>
    <row r="1282" spans="1:58" ht="15.75" customHeight="1" x14ac:dyDescent="0.25">
      <c r="A1282" s="44">
        <v>2015</v>
      </c>
      <c r="B1282" s="39">
        <v>170384</v>
      </c>
      <c r="C1282" s="38" t="s">
        <v>149</v>
      </c>
      <c r="D1282" s="38" t="s">
        <v>34</v>
      </c>
      <c r="E1282" s="39"/>
      <c r="F1282" s="42">
        <f t="shared" ref="F1282:F1345" si="586">IFERROR(E1282/$BE1282,0)</f>
        <v>0</v>
      </c>
      <c r="G1282" s="49"/>
      <c r="H1282" s="42">
        <f t="shared" ref="H1282:H1345" si="587">IFERROR(G1282/$BF1282,0)</f>
        <v>0</v>
      </c>
      <c r="I1282" s="39"/>
      <c r="J1282" s="41">
        <f t="shared" ref="J1282:J1345" si="588">IFERROR(I1282/$BE1282,0)</f>
        <v>0</v>
      </c>
      <c r="K1282" s="49"/>
      <c r="L1282" s="41">
        <f t="shared" ref="L1282:L1345" si="589">IFERROR(K1282/$BF1282,0)</f>
        <v>0</v>
      </c>
      <c r="M1282" s="39"/>
      <c r="N1282" s="41">
        <f t="shared" ref="N1282:N1345" si="590">IFERROR(M1282/$BE1282,0)</f>
        <v>0</v>
      </c>
      <c r="O1282" s="49"/>
      <c r="P1282" s="41">
        <f t="shared" ref="P1282:P1345" si="591">IFERROR(O1282/$BF1282,0)</f>
        <v>0</v>
      </c>
      <c r="Q1282" s="39"/>
      <c r="R1282" s="41">
        <f t="shared" ref="R1282:R1345" si="592">IFERROR(Q1282/$BE1282,0)</f>
        <v>0</v>
      </c>
      <c r="S1282" s="49"/>
      <c r="T1282" s="41">
        <f t="shared" ref="T1282:T1345" si="593">IFERROR(S1282/$BF1282,0)</f>
        <v>0</v>
      </c>
      <c r="U1282" s="39"/>
      <c r="V1282" s="41">
        <f t="shared" ref="V1282:V1345" si="594">IFERROR(U1282/$BE1282,0)</f>
        <v>0</v>
      </c>
      <c r="W1282" s="49"/>
      <c r="X1282" s="41">
        <f t="shared" ref="X1282:X1345" si="595">IFERROR(W1282/$BF1282,0)</f>
        <v>0</v>
      </c>
      <c r="Y1282" s="39"/>
      <c r="Z1282" s="41">
        <f t="shared" ref="Z1282:Z1345" si="596">IFERROR(Y1282/$BE1282,0)</f>
        <v>0</v>
      </c>
      <c r="AA1282" s="49"/>
      <c r="AB1282" s="41">
        <f t="shared" ref="AB1282:AB1345" si="597">IFERROR(AA1282/$BF1282,0)</f>
        <v>0</v>
      </c>
      <c r="AC1282" s="39"/>
      <c r="AD1282" s="41">
        <f t="shared" si="579"/>
        <v>0</v>
      </c>
      <c r="AE1282" s="49"/>
      <c r="AF1282" s="41">
        <f t="shared" ref="AF1282:AF1345" si="598">IFERROR(AE1282/$BF1282,0)</f>
        <v>0</v>
      </c>
      <c r="AG1282" s="39"/>
      <c r="AH1282" s="41">
        <f t="shared" si="580"/>
        <v>0</v>
      </c>
      <c r="AI1282" s="49"/>
      <c r="AJ1282" s="41">
        <f t="shared" ref="AJ1282:AJ1345" si="599">IFERROR(AI1282/$BF1282,0)</f>
        <v>0</v>
      </c>
      <c r="AK1282" s="39"/>
      <c r="AL1282" s="41">
        <f t="shared" si="581"/>
        <v>0</v>
      </c>
      <c r="AM1282" s="49"/>
      <c r="AN1282" s="41">
        <f t="shared" ref="AN1282:AN1345" si="600">IFERROR(AM1282/$BF1282,0)</f>
        <v>0</v>
      </c>
      <c r="AO1282" s="39"/>
      <c r="AP1282" s="41">
        <f t="shared" si="582"/>
        <v>0</v>
      </c>
      <c r="AQ1282" s="49"/>
      <c r="AR1282" s="41">
        <f t="shared" ref="AR1282:AR1345" si="601">IFERROR(AQ1282/$BF1282,0)</f>
        <v>0</v>
      </c>
      <c r="AS1282" s="39"/>
      <c r="AT1282" s="41">
        <f t="shared" si="583"/>
        <v>0</v>
      </c>
      <c r="AU1282" s="49"/>
      <c r="AV1282" s="41">
        <f t="shared" ref="AV1282:AV1345" si="602">IFERROR(AU1282/$BF1282,0)</f>
        <v>0</v>
      </c>
      <c r="AW1282" s="39"/>
      <c r="AX1282" s="41">
        <f t="shared" si="584"/>
        <v>0</v>
      </c>
      <c r="AY1282" s="49"/>
      <c r="AZ1282" s="41">
        <f t="shared" ref="AZ1282:AZ1345" si="603">IFERROR(AY1282/$BF1282,0)</f>
        <v>0</v>
      </c>
      <c r="BA1282" s="39"/>
      <c r="BB1282" s="41">
        <f t="shared" si="585"/>
        <v>0</v>
      </c>
      <c r="BC1282" s="49"/>
      <c r="BD1282" s="41">
        <f t="shared" ref="BD1282:BD1345" si="604">IFERROR(BC1282/$BF1282,0)</f>
        <v>0</v>
      </c>
      <c r="BE1282" s="39"/>
      <c r="BF1282" s="49"/>
    </row>
    <row r="1283" spans="1:58" ht="15.75" customHeight="1" x14ac:dyDescent="0.25">
      <c r="A1283" s="44">
        <v>2015</v>
      </c>
      <c r="B1283" s="39">
        <v>170386</v>
      </c>
      <c r="C1283" s="38" t="s">
        <v>146</v>
      </c>
      <c r="D1283" s="38" t="s">
        <v>35</v>
      </c>
      <c r="E1283" s="39"/>
      <c r="F1283" s="42">
        <f t="shared" si="586"/>
        <v>0</v>
      </c>
      <c r="G1283" s="49"/>
      <c r="H1283" s="42">
        <f t="shared" si="587"/>
        <v>0</v>
      </c>
      <c r="I1283" s="39"/>
      <c r="J1283" s="41">
        <f t="shared" si="588"/>
        <v>0</v>
      </c>
      <c r="K1283" s="49"/>
      <c r="L1283" s="41">
        <f t="shared" si="589"/>
        <v>0</v>
      </c>
      <c r="M1283" s="39"/>
      <c r="N1283" s="41">
        <f t="shared" si="590"/>
        <v>0</v>
      </c>
      <c r="O1283" s="49"/>
      <c r="P1283" s="41">
        <f t="shared" si="591"/>
        <v>0</v>
      </c>
      <c r="Q1283" s="39"/>
      <c r="R1283" s="41">
        <f t="shared" si="592"/>
        <v>0</v>
      </c>
      <c r="S1283" s="49"/>
      <c r="T1283" s="41">
        <f t="shared" si="593"/>
        <v>0</v>
      </c>
      <c r="U1283" s="39"/>
      <c r="V1283" s="41">
        <f t="shared" si="594"/>
        <v>0</v>
      </c>
      <c r="W1283" s="49"/>
      <c r="X1283" s="41">
        <f t="shared" si="595"/>
        <v>0</v>
      </c>
      <c r="Y1283" s="39"/>
      <c r="Z1283" s="41">
        <f t="shared" si="596"/>
        <v>0</v>
      </c>
      <c r="AA1283" s="49"/>
      <c r="AB1283" s="41">
        <f t="shared" si="597"/>
        <v>0</v>
      </c>
      <c r="AC1283" s="39"/>
      <c r="AD1283" s="41">
        <f t="shared" si="579"/>
        <v>0</v>
      </c>
      <c r="AE1283" s="49"/>
      <c r="AF1283" s="41">
        <f t="shared" si="598"/>
        <v>0</v>
      </c>
      <c r="AG1283" s="39"/>
      <c r="AH1283" s="41">
        <f t="shared" si="580"/>
        <v>0</v>
      </c>
      <c r="AI1283" s="49"/>
      <c r="AJ1283" s="41">
        <f t="shared" si="599"/>
        <v>0</v>
      </c>
      <c r="AK1283" s="39"/>
      <c r="AL1283" s="41">
        <f t="shared" si="581"/>
        <v>0</v>
      </c>
      <c r="AM1283" s="49"/>
      <c r="AN1283" s="41">
        <f t="shared" si="600"/>
        <v>0</v>
      </c>
      <c r="AO1283" s="39"/>
      <c r="AP1283" s="41">
        <f t="shared" si="582"/>
        <v>0</v>
      </c>
      <c r="AQ1283" s="49"/>
      <c r="AR1283" s="41">
        <f t="shared" si="601"/>
        <v>0</v>
      </c>
      <c r="AS1283" s="39"/>
      <c r="AT1283" s="41">
        <f t="shared" si="583"/>
        <v>0</v>
      </c>
      <c r="AU1283" s="49"/>
      <c r="AV1283" s="41">
        <f t="shared" si="602"/>
        <v>0</v>
      </c>
      <c r="AW1283" s="39"/>
      <c r="AX1283" s="41">
        <f t="shared" si="584"/>
        <v>0</v>
      </c>
      <c r="AY1283" s="49"/>
      <c r="AZ1283" s="41">
        <f t="shared" si="603"/>
        <v>0</v>
      </c>
      <c r="BA1283" s="39"/>
      <c r="BB1283" s="41">
        <f t="shared" si="585"/>
        <v>0</v>
      </c>
      <c r="BC1283" s="49"/>
      <c r="BD1283" s="41">
        <f t="shared" si="604"/>
        <v>0</v>
      </c>
      <c r="BE1283" s="39"/>
      <c r="BF1283" s="49"/>
    </row>
    <row r="1284" spans="1:58" ht="15.75" customHeight="1" x14ac:dyDescent="0.25">
      <c r="A1284" s="44">
        <v>2015</v>
      </c>
      <c r="B1284" s="39">
        <v>170388</v>
      </c>
      <c r="C1284" s="38" t="s">
        <v>149</v>
      </c>
      <c r="D1284" s="38" t="s">
        <v>36</v>
      </c>
      <c r="E1284" s="39"/>
      <c r="F1284" s="42">
        <f t="shared" si="586"/>
        <v>0</v>
      </c>
      <c r="G1284" s="49"/>
      <c r="H1284" s="42">
        <f t="shared" si="587"/>
        <v>0</v>
      </c>
      <c r="I1284" s="39"/>
      <c r="J1284" s="41">
        <f t="shared" si="588"/>
        <v>0</v>
      </c>
      <c r="K1284" s="49"/>
      <c r="L1284" s="41">
        <f t="shared" si="589"/>
        <v>0</v>
      </c>
      <c r="M1284" s="39"/>
      <c r="N1284" s="41">
        <f t="shared" si="590"/>
        <v>0</v>
      </c>
      <c r="O1284" s="49"/>
      <c r="P1284" s="41">
        <f t="shared" si="591"/>
        <v>0</v>
      </c>
      <c r="Q1284" s="39"/>
      <c r="R1284" s="41">
        <f t="shared" si="592"/>
        <v>0</v>
      </c>
      <c r="S1284" s="49"/>
      <c r="T1284" s="41">
        <f t="shared" si="593"/>
        <v>0</v>
      </c>
      <c r="U1284" s="39"/>
      <c r="V1284" s="41">
        <f t="shared" si="594"/>
        <v>0</v>
      </c>
      <c r="W1284" s="49"/>
      <c r="X1284" s="41">
        <f t="shared" si="595"/>
        <v>0</v>
      </c>
      <c r="Y1284" s="39"/>
      <c r="Z1284" s="41">
        <f t="shared" si="596"/>
        <v>0</v>
      </c>
      <c r="AA1284" s="49"/>
      <c r="AB1284" s="41">
        <f t="shared" si="597"/>
        <v>0</v>
      </c>
      <c r="AC1284" s="39"/>
      <c r="AD1284" s="41">
        <f t="shared" si="579"/>
        <v>0</v>
      </c>
      <c r="AE1284" s="49"/>
      <c r="AF1284" s="41">
        <f t="shared" si="598"/>
        <v>0</v>
      </c>
      <c r="AG1284" s="39"/>
      <c r="AH1284" s="41">
        <f t="shared" si="580"/>
        <v>0</v>
      </c>
      <c r="AI1284" s="49"/>
      <c r="AJ1284" s="41">
        <f t="shared" si="599"/>
        <v>0</v>
      </c>
      <c r="AK1284" s="39"/>
      <c r="AL1284" s="41">
        <f t="shared" si="581"/>
        <v>0</v>
      </c>
      <c r="AM1284" s="49"/>
      <c r="AN1284" s="41">
        <f t="shared" si="600"/>
        <v>0</v>
      </c>
      <c r="AO1284" s="39"/>
      <c r="AP1284" s="41">
        <f t="shared" si="582"/>
        <v>0</v>
      </c>
      <c r="AQ1284" s="49"/>
      <c r="AR1284" s="41">
        <f t="shared" si="601"/>
        <v>0</v>
      </c>
      <c r="AS1284" s="39"/>
      <c r="AT1284" s="41">
        <f t="shared" si="583"/>
        <v>0</v>
      </c>
      <c r="AU1284" s="49"/>
      <c r="AV1284" s="41">
        <f t="shared" si="602"/>
        <v>0</v>
      </c>
      <c r="AW1284" s="39"/>
      <c r="AX1284" s="41">
        <f t="shared" si="584"/>
        <v>0</v>
      </c>
      <c r="AY1284" s="49"/>
      <c r="AZ1284" s="41">
        <f t="shared" si="603"/>
        <v>0</v>
      </c>
      <c r="BA1284" s="39"/>
      <c r="BB1284" s="41">
        <f t="shared" si="585"/>
        <v>0</v>
      </c>
      <c r="BC1284" s="49"/>
      <c r="BD1284" s="41">
        <f t="shared" si="604"/>
        <v>0</v>
      </c>
      <c r="BE1284" s="39"/>
      <c r="BF1284" s="49"/>
    </row>
    <row r="1285" spans="1:58" ht="15.75" customHeight="1" x14ac:dyDescent="0.25">
      <c r="A1285" s="44">
        <v>2015</v>
      </c>
      <c r="B1285" s="39">
        <v>170389</v>
      </c>
      <c r="C1285" s="38" t="s">
        <v>145</v>
      </c>
      <c r="D1285" s="38" t="s">
        <v>37</v>
      </c>
      <c r="E1285" s="39"/>
      <c r="F1285" s="42">
        <f t="shared" si="586"/>
        <v>0</v>
      </c>
      <c r="G1285" s="49"/>
      <c r="H1285" s="42">
        <f t="shared" si="587"/>
        <v>0</v>
      </c>
      <c r="I1285" s="39"/>
      <c r="J1285" s="41">
        <f t="shared" si="588"/>
        <v>0</v>
      </c>
      <c r="K1285" s="49"/>
      <c r="L1285" s="41">
        <f t="shared" si="589"/>
        <v>0</v>
      </c>
      <c r="M1285" s="39"/>
      <c r="N1285" s="41">
        <f t="shared" si="590"/>
        <v>0</v>
      </c>
      <c r="O1285" s="49"/>
      <c r="P1285" s="41">
        <f t="shared" si="591"/>
        <v>0</v>
      </c>
      <c r="Q1285" s="39"/>
      <c r="R1285" s="41">
        <f t="shared" si="592"/>
        <v>0</v>
      </c>
      <c r="S1285" s="49"/>
      <c r="T1285" s="41">
        <f t="shared" si="593"/>
        <v>0</v>
      </c>
      <c r="U1285" s="39"/>
      <c r="V1285" s="41">
        <f t="shared" si="594"/>
        <v>0</v>
      </c>
      <c r="W1285" s="49"/>
      <c r="X1285" s="41">
        <f t="shared" si="595"/>
        <v>0</v>
      </c>
      <c r="Y1285" s="39"/>
      <c r="Z1285" s="41">
        <f t="shared" si="596"/>
        <v>0</v>
      </c>
      <c r="AA1285" s="49"/>
      <c r="AB1285" s="41">
        <f t="shared" si="597"/>
        <v>0</v>
      </c>
      <c r="AC1285" s="39"/>
      <c r="AD1285" s="41">
        <f t="shared" si="579"/>
        <v>0</v>
      </c>
      <c r="AE1285" s="49"/>
      <c r="AF1285" s="41">
        <f t="shared" si="598"/>
        <v>0</v>
      </c>
      <c r="AG1285" s="39"/>
      <c r="AH1285" s="41">
        <f t="shared" si="580"/>
        <v>0</v>
      </c>
      <c r="AI1285" s="49"/>
      <c r="AJ1285" s="41">
        <f t="shared" si="599"/>
        <v>0</v>
      </c>
      <c r="AK1285" s="39"/>
      <c r="AL1285" s="41">
        <f t="shared" si="581"/>
        <v>0</v>
      </c>
      <c r="AM1285" s="49"/>
      <c r="AN1285" s="41">
        <f t="shared" si="600"/>
        <v>0</v>
      </c>
      <c r="AO1285" s="39"/>
      <c r="AP1285" s="41">
        <f t="shared" si="582"/>
        <v>0</v>
      </c>
      <c r="AQ1285" s="49"/>
      <c r="AR1285" s="41">
        <f t="shared" si="601"/>
        <v>0</v>
      </c>
      <c r="AS1285" s="39"/>
      <c r="AT1285" s="41">
        <f t="shared" si="583"/>
        <v>0</v>
      </c>
      <c r="AU1285" s="49"/>
      <c r="AV1285" s="41">
        <f t="shared" si="602"/>
        <v>0</v>
      </c>
      <c r="AW1285" s="39"/>
      <c r="AX1285" s="41">
        <f t="shared" si="584"/>
        <v>0</v>
      </c>
      <c r="AY1285" s="49"/>
      <c r="AZ1285" s="41">
        <f t="shared" si="603"/>
        <v>0</v>
      </c>
      <c r="BA1285" s="39"/>
      <c r="BB1285" s="41">
        <f t="shared" si="585"/>
        <v>0</v>
      </c>
      <c r="BC1285" s="49"/>
      <c r="BD1285" s="41">
        <f t="shared" si="604"/>
        <v>0</v>
      </c>
      <c r="BE1285" s="39"/>
      <c r="BF1285" s="49"/>
    </row>
    <row r="1286" spans="1:58" ht="15.75" customHeight="1" x14ac:dyDescent="0.25">
      <c r="A1286" s="44">
        <v>2015</v>
      </c>
      <c r="B1286" s="39">
        <v>170390</v>
      </c>
      <c r="C1286" s="38" t="s">
        <v>144</v>
      </c>
      <c r="D1286" s="38" t="s">
        <v>38</v>
      </c>
      <c r="E1286" s="39"/>
      <c r="F1286" s="42">
        <f t="shared" si="586"/>
        <v>0</v>
      </c>
      <c r="G1286" s="49"/>
      <c r="H1286" s="42">
        <f t="shared" si="587"/>
        <v>0</v>
      </c>
      <c r="I1286" s="39"/>
      <c r="J1286" s="41">
        <f t="shared" si="588"/>
        <v>0</v>
      </c>
      <c r="K1286" s="49"/>
      <c r="L1286" s="41">
        <f t="shared" si="589"/>
        <v>0</v>
      </c>
      <c r="M1286" s="39"/>
      <c r="N1286" s="41">
        <f t="shared" si="590"/>
        <v>0</v>
      </c>
      <c r="O1286" s="49"/>
      <c r="P1286" s="41">
        <f t="shared" si="591"/>
        <v>0</v>
      </c>
      <c r="Q1286" s="39"/>
      <c r="R1286" s="41">
        <f t="shared" si="592"/>
        <v>0</v>
      </c>
      <c r="S1286" s="49"/>
      <c r="T1286" s="41">
        <f t="shared" si="593"/>
        <v>0</v>
      </c>
      <c r="U1286" s="39"/>
      <c r="V1286" s="41">
        <f t="shared" si="594"/>
        <v>0</v>
      </c>
      <c r="W1286" s="49"/>
      <c r="X1286" s="41">
        <f t="shared" si="595"/>
        <v>0</v>
      </c>
      <c r="Y1286" s="39"/>
      <c r="Z1286" s="41">
        <f t="shared" si="596"/>
        <v>0</v>
      </c>
      <c r="AA1286" s="49"/>
      <c r="AB1286" s="41">
        <f t="shared" si="597"/>
        <v>0</v>
      </c>
      <c r="AC1286" s="39"/>
      <c r="AD1286" s="41">
        <f t="shared" si="579"/>
        <v>0</v>
      </c>
      <c r="AE1286" s="49"/>
      <c r="AF1286" s="41">
        <f t="shared" si="598"/>
        <v>0</v>
      </c>
      <c r="AG1286" s="39"/>
      <c r="AH1286" s="41">
        <f t="shared" si="580"/>
        <v>0</v>
      </c>
      <c r="AI1286" s="49"/>
      <c r="AJ1286" s="41">
        <f t="shared" si="599"/>
        <v>0</v>
      </c>
      <c r="AK1286" s="39"/>
      <c r="AL1286" s="41">
        <f t="shared" si="581"/>
        <v>0</v>
      </c>
      <c r="AM1286" s="49"/>
      <c r="AN1286" s="41">
        <f t="shared" si="600"/>
        <v>0</v>
      </c>
      <c r="AO1286" s="39"/>
      <c r="AP1286" s="41">
        <f t="shared" si="582"/>
        <v>0</v>
      </c>
      <c r="AQ1286" s="49"/>
      <c r="AR1286" s="41">
        <f t="shared" si="601"/>
        <v>0</v>
      </c>
      <c r="AS1286" s="39"/>
      <c r="AT1286" s="41">
        <f t="shared" si="583"/>
        <v>0</v>
      </c>
      <c r="AU1286" s="49"/>
      <c r="AV1286" s="41">
        <f t="shared" si="602"/>
        <v>0</v>
      </c>
      <c r="AW1286" s="39"/>
      <c r="AX1286" s="41">
        <f t="shared" si="584"/>
        <v>0</v>
      </c>
      <c r="AY1286" s="49"/>
      <c r="AZ1286" s="41">
        <f t="shared" si="603"/>
        <v>0</v>
      </c>
      <c r="BA1286" s="39"/>
      <c r="BB1286" s="41">
        <f t="shared" si="585"/>
        <v>0</v>
      </c>
      <c r="BC1286" s="49"/>
      <c r="BD1286" s="41">
        <f t="shared" si="604"/>
        <v>0</v>
      </c>
      <c r="BE1286" s="39"/>
      <c r="BF1286" s="49"/>
    </row>
    <row r="1287" spans="1:58" ht="15.75" customHeight="1" x14ac:dyDescent="0.25">
      <c r="A1287" s="44">
        <v>2015</v>
      </c>
      <c r="B1287" s="39">
        <v>170410</v>
      </c>
      <c r="C1287" s="38" t="s">
        <v>150</v>
      </c>
      <c r="D1287" s="38" t="s">
        <v>39</v>
      </c>
      <c r="E1287" s="39"/>
      <c r="F1287" s="42">
        <f t="shared" si="586"/>
        <v>0</v>
      </c>
      <c r="G1287" s="49"/>
      <c r="H1287" s="42">
        <f t="shared" si="587"/>
        <v>0</v>
      </c>
      <c r="I1287" s="39"/>
      <c r="J1287" s="41">
        <f t="shared" si="588"/>
        <v>0</v>
      </c>
      <c r="K1287" s="49"/>
      <c r="L1287" s="41">
        <f t="shared" si="589"/>
        <v>0</v>
      </c>
      <c r="M1287" s="39"/>
      <c r="N1287" s="41">
        <f t="shared" si="590"/>
        <v>0</v>
      </c>
      <c r="O1287" s="49"/>
      <c r="P1287" s="41">
        <f t="shared" si="591"/>
        <v>0</v>
      </c>
      <c r="Q1287" s="39"/>
      <c r="R1287" s="41">
        <f t="shared" si="592"/>
        <v>0</v>
      </c>
      <c r="S1287" s="49"/>
      <c r="T1287" s="41">
        <f t="shared" si="593"/>
        <v>0</v>
      </c>
      <c r="U1287" s="39"/>
      <c r="V1287" s="41">
        <f t="shared" si="594"/>
        <v>0</v>
      </c>
      <c r="W1287" s="49"/>
      <c r="X1287" s="41">
        <f t="shared" si="595"/>
        <v>0</v>
      </c>
      <c r="Y1287" s="39"/>
      <c r="Z1287" s="41">
        <f t="shared" si="596"/>
        <v>0</v>
      </c>
      <c r="AA1287" s="49"/>
      <c r="AB1287" s="41">
        <f t="shared" si="597"/>
        <v>0</v>
      </c>
      <c r="AC1287" s="39"/>
      <c r="AD1287" s="41">
        <f t="shared" si="579"/>
        <v>0</v>
      </c>
      <c r="AE1287" s="49"/>
      <c r="AF1287" s="41">
        <f t="shared" si="598"/>
        <v>0</v>
      </c>
      <c r="AG1287" s="39"/>
      <c r="AH1287" s="41">
        <f t="shared" si="580"/>
        <v>0</v>
      </c>
      <c r="AI1287" s="49"/>
      <c r="AJ1287" s="41">
        <f t="shared" si="599"/>
        <v>0</v>
      </c>
      <c r="AK1287" s="39"/>
      <c r="AL1287" s="41">
        <f t="shared" si="581"/>
        <v>0</v>
      </c>
      <c r="AM1287" s="49"/>
      <c r="AN1287" s="41">
        <f t="shared" si="600"/>
        <v>0</v>
      </c>
      <c r="AO1287" s="39"/>
      <c r="AP1287" s="41">
        <f t="shared" si="582"/>
        <v>0</v>
      </c>
      <c r="AQ1287" s="49"/>
      <c r="AR1287" s="41">
        <f t="shared" si="601"/>
        <v>0</v>
      </c>
      <c r="AS1287" s="39"/>
      <c r="AT1287" s="41">
        <f t="shared" si="583"/>
        <v>0</v>
      </c>
      <c r="AU1287" s="49"/>
      <c r="AV1287" s="41">
        <f t="shared" si="602"/>
        <v>0</v>
      </c>
      <c r="AW1287" s="39"/>
      <c r="AX1287" s="41">
        <f t="shared" si="584"/>
        <v>0</v>
      </c>
      <c r="AY1287" s="49"/>
      <c r="AZ1287" s="41">
        <f t="shared" si="603"/>
        <v>0</v>
      </c>
      <c r="BA1287" s="39"/>
      <c r="BB1287" s="41">
        <f t="shared" si="585"/>
        <v>0</v>
      </c>
      <c r="BC1287" s="49"/>
      <c r="BD1287" s="41">
        <f t="shared" si="604"/>
        <v>0</v>
      </c>
      <c r="BE1287" s="39"/>
      <c r="BF1287" s="49"/>
    </row>
    <row r="1288" spans="1:58" ht="15.75" customHeight="1" x14ac:dyDescent="0.25">
      <c r="A1288" s="44">
        <v>2015</v>
      </c>
      <c r="B1288" s="39">
        <v>170510</v>
      </c>
      <c r="C1288" s="38" t="s">
        <v>151</v>
      </c>
      <c r="D1288" s="38" t="s">
        <v>40</v>
      </c>
      <c r="E1288" s="39"/>
      <c r="F1288" s="42">
        <f t="shared" si="586"/>
        <v>0</v>
      </c>
      <c r="G1288" s="49"/>
      <c r="H1288" s="42">
        <f t="shared" si="587"/>
        <v>0</v>
      </c>
      <c r="I1288" s="39"/>
      <c r="J1288" s="41">
        <f t="shared" si="588"/>
        <v>0</v>
      </c>
      <c r="K1288" s="49"/>
      <c r="L1288" s="41">
        <f t="shared" si="589"/>
        <v>0</v>
      </c>
      <c r="M1288" s="39"/>
      <c r="N1288" s="41">
        <f t="shared" si="590"/>
        <v>0</v>
      </c>
      <c r="O1288" s="49"/>
      <c r="P1288" s="41">
        <f t="shared" si="591"/>
        <v>0</v>
      </c>
      <c r="Q1288" s="39"/>
      <c r="R1288" s="41">
        <f t="shared" si="592"/>
        <v>0</v>
      </c>
      <c r="S1288" s="49"/>
      <c r="T1288" s="41">
        <f t="shared" si="593"/>
        <v>0</v>
      </c>
      <c r="U1288" s="39"/>
      <c r="V1288" s="41">
        <f t="shared" si="594"/>
        <v>0</v>
      </c>
      <c r="W1288" s="49"/>
      <c r="X1288" s="41">
        <f t="shared" si="595"/>
        <v>0</v>
      </c>
      <c r="Y1288" s="39"/>
      <c r="Z1288" s="41">
        <f t="shared" si="596"/>
        <v>0</v>
      </c>
      <c r="AA1288" s="49"/>
      <c r="AB1288" s="41">
        <f t="shared" si="597"/>
        <v>0</v>
      </c>
      <c r="AC1288" s="39"/>
      <c r="AD1288" s="41">
        <f t="shared" si="579"/>
        <v>0</v>
      </c>
      <c r="AE1288" s="49"/>
      <c r="AF1288" s="41">
        <f t="shared" si="598"/>
        <v>0</v>
      </c>
      <c r="AG1288" s="39"/>
      <c r="AH1288" s="41">
        <f t="shared" si="580"/>
        <v>0</v>
      </c>
      <c r="AI1288" s="49"/>
      <c r="AJ1288" s="41">
        <f t="shared" si="599"/>
        <v>0</v>
      </c>
      <c r="AK1288" s="39"/>
      <c r="AL1288" s="41">
        <f t="shared" si="581"/>
        <v>0</v>
      </c>
      <c r="AM1288" s="49"/>
      <c r="AN1288" s="41">
        <f t="shared" si="600"/>
        <v>0</v>
      </c>
      <c r="AO1288" s="39"/>
      <c r="AP1288" s="41">
        <f t="shared" si="582"/>
        <v>0</v>
      </c>
      <c r="AQ1288" s="49"/>
      <c r="AR1288" s="41">
        <f t="shared" si="601"/>
        <v>0</v>
      </c>
      <c r="AS1288" s="39"/>
      <c r="AT1288" s="41">
        <f t="shared" si="583"/>
        <v>0</v>
      </c>
      <c r="AU1288" s="49"/>
      <c r="AV1288" s="41">
        <f t="shared" si="602"/>
        <v>0</v>
      </c>
      <c r="AW1288" s="39"/>
      <c r="AX1288" s="41">
        <f t="shared" si="584"/>
        <v>0</v>
      </c>
      <c r="AY1288" s="49"/>
      <c r="AZ1288" s="41">
        <f t="shared" si="603"/>
        <v>0</v>
      </c>
      <c r="BA1288" s="39"/>
      <c r="BB1288" s="41">
        <f t="shared" si="585"/>
        <v>0</v>
      </c>
      <c r="BC1288" s="49"/>
      <c r="BD1288" s="41">
        <f t="shared" si="604"/>
        <v>0</v>
      </c>
      <c r="BE1288" s="39"/>
      <c r="BF1288" s="49"/>
    </row>
    <row r="1289" spans="1:58" ht="15.75" customHeight="1" x14ac:dyDescent="0.25">
      <c r="A1289" s="44">
        <v>2015</v>
      </c>
      <c r="B1289" s="39">
        <v>170460</v>
      </c>
      <c r="C1289" s="38" t="s">
        <v>144</v>
      </c>
      <c r="D1289" s="38" t="s">
        <v>41</v>
      </c>
      <c r="E1289" s="39"/>
      <c r="F1289" s="42">
        <f t="shared" si="586"/>
        <v>0</v>
      </c>
      <c r="G1289" s="49"/>
      <c r="H1289" s="42">
        <f t="shared" si="587"/>
        <v>0</v>
      </c>
      <c r="I1289" s="39"/>
      <c r="J1289" s="41">
        <f t="shared" si="588"/>
        <v>0</v>
      </c>
      <c r="K1289" s="49"/>
      <c r="L1289" s="41">
        <f t="shared" si="589"/>
        <v>0</v>
      </c>
      <c r="M1289" s="39"/>
      <c r="N1289" s="41">
        <f t="shared" si="590"/>
        <v>0</v>
      </c>
      <c r="O1289" s="49"/>
      <c r="P1289" s="41">
        <f t="shared" si="591"/>
        <v>0</v>
      </c>
      <c r="Q1289" s="39"/>
      <c r="R1289" s="41">
        <f t="shared" si="592"/>
        <v>0</v>
      </c>
      <c r="S1289" s="49"/>
      <c r="T1289" s="41">
        <f t="shared" si="593"/>
        <v>0</v>
      </c>
      <c r="U1289" s="39"/>
      <c r="V1289" s="41">
        <f t="shared" si="594"/>
        <v>0</v>
      </c>
      <c r="W1289" s="49"/>
      <c r="X1289" s="41">
        <f t="shared" si="595"/>
        <v>0</v>
      </c>
      <c r="Y1289" s="39"/>
      <c r="Z1289" s="41">
        <f t="shared" si="596"/>
        <v>0</v>
      </c>
      <c r="AA1289" s="49"/>
      <c r="AB1289" s="41">
        <f t="shared" si="597"/>
        <v>0</v>
      </c>
      <c r="AC1289" s="39"/>
      <c r="AD1289" s="41">
        <f t="shared" si="579"/>
        <v>0</v>
      </c>
      <c r="AE1289" s="49"/>
      <c r="AF1289" s="41">
        <f t="shared" si="598"/>
        <v>0</v>
      </c>
      <c r="AG1289" s="39"/>
      <c r="AH1289" s="41">
        <f t="shared" si="580"/>
        <v>0</v>
      </c>
      <c r="AI1289" s="49"/>
      <c r="AJ1289" s="41">
        <f t="shared" si="599"/>
        <v>0</v>
      </c>
      <c r="AK1289" s="39"/>
      <c r="AL1289" s="41">
        <f t="shared" si="581"/>
        <v>0</v>
      </c>
      <c r="AM1289" s="49"/>
      <c r="AN1289" s="41">
        <f t="shared" si="600"/>
        <v>0</v>
      </c>
      <c r="AO1289" s="39"/>
      <c r="AP1289" s="41">
        <f t="shared" si="582"/>
        <v>0</v>
      </c>
      <c r="AQ1289" s="49"/>
      <c r="AR1289" s="41">
        <f t="shared" si="601"/>
        <v>0</v>
      </c>
      <c r="AS1289" s="39"/>
      <c r="AT1289" s="41">
        <f t="shared" si="583"/>
        <v>0</v>
      </c>
      <c r="AU1289" s="49"/>
      <c r="AV1289" s="41">
        <f t="shared" si="602"/>
        <v>0</v>
      </c>
      <c r="AW1289" s="39"/>
      <c r="AX1289" s="41">
        <f t="shared" si="584"/>
        <v>0</v>
      </c>
      <c r="AY1289" s="49"/>
      <c r="AZ1289" s="41">
        <f t="shared" si="603"/>
        <v>0</v>
      </c>
      <c r="BA1289" s="39"/>
      <c r="BB1289" s="41">
        <f t="shared" si="585"/>
        <v>0</v>
      </c>
      <c r="BC1289" s="49"/>
      <c r="BD1289" s="41">
        <f t="shared" si="604"/>
        <v>0</v>
      </c>
      <c r="BE1289" s="39"/>
      <c r="BF1289" s="49"/>
    </row>
    <row r="1290" spans="1:58" ht="15.75" customHeight="1" x14ac:dyDescent="0.25">
      <c r="A1290" s="44">
        <v>2015</v>
      </c>
      <c r="B1290" s="39">
        <v>170550</v>
      </c>
      <c r="C1290" s="38" t="s">
        <v>150</v>
      </c>
      <c r="D1290" s="38" t="s">
        <v>42</v>
      </c>
      <c r="E1290" s="39"/>
      <c r="F1290" s="42">
        <f t="shared" si="586"/>
        <v>0</v>
      </c>
      <c r="G1290" s="49"/>
      <c r="H1290" s="42">
        <f t="shared" si="587"/>
        <v>0</v>
      </c>
      <c r="I1290" s="39"/>
      <c r="J1290" s="41">
        <f t="shared" si="588"/>
        <v>0</v>
      </c>
      <c r="K1290" s="49"/>
      <c r="L1290" s="41">
        <f t="shared" si="589"/>
        <v>0</v>
      </c>
      <c r="M1290" s="39"/>
      <c r="N1290" s="41">
        <f t="shared" si="590"/>
        <v>0</v>
      </c>
      <c r="O1290" s="49"/>
      <c r="P1290" s="41">
        <f t="shared" si="591"/>
        <v>0</v>
      </c>
      <c r="Q1290" s="39"/>
      <c r="R1290" s="41">
        <f t="shared" si="592"/>
        <v>0</v>
      </c>
      <c r="S1290" s="49"/>
      <c r="T1290" s="41">
        <f t="shared" si="593"/>
        <v>0</v>
      </c>
      <c r="U1290" s="39"/>
      <c r="V1290" s="41">
        <f t="shared" si="594"/>
        <v>0</v>
      </c>
      <c r="W1290" s="49"/>
      <c r="X1290" s="41">
        <f t="shared" si="595"/>
        <v>0</v>
      </c>
      <c r="Y1290" s="39"/>
      <c r="Z1290" s="41">
        <f t="shared" si="596"/>
        <v>0</v>
      </c>
      <c r="AA1290" s="49"/>
      <c r="AB1290" s="41">
        <f t="shared" si="597"/>
        <v>0</v>
      </c>
      <c r="AC1290" s="39"/>
      <c r="AD1290" s="41">
        <f t="shared" si="579"/>
        <v>0</v>
      </c>
      <c r="AE1290" s="49"/>
      <c r="AF1290" s="41">
        <f t="shared" si="598"/>
        <v>0</v>
      </c>
      <c r="AG1290" s="39"/>
      <c r="AH1290" s="41">
        <f t="shared" si="580"/>
        <v>0</v>
      </c>
      <c r="AI1290" s="49"/>
      <c r="AJ1290" s="41">
        <f t="shared" si="599"/>
        <v>0</v>
      </c>
      <c r="AK1290" s="39"/>
      <c r="AL1290" s="41">
        <f t="shared" si="581"/>
        <v>0</v>
      </c>
      <c r="AM1290" s="49"/>
      <c r="AN1290" s="41">
        <f t="shared" si="600"/>
        <v>0</v>
      </c>
      <c r="AO1290" s="39"/>
      <c r="AP1290" s="41">
        <f t="shared" si="582"/>
        <v>0</v>
      </c>
      <c r="AQ1290" s="49"/>
      <c r="AR1290" s="41">
        <f t="shared" si="601"/>
        <v>0</v>
      </c>
      <c r="AS1290" s="39"/>
      <c r="AT1290" s="41">
        <f t="shared" si="583"/>
        <v>0</v>
      </c>
      <c r="AU1290" s="49"/>
      <c r="AV1290" s="41">
        <f t="shared" si="602"/>
        <v>0</v>
      </c>
      <c r="AW1290" s="39"/>
      <c r="AX1290" s="41">
        <f t="shared" si="584"/>
        <v>0</v>
      </c>
      <c r="AY1290" s="49"/>
      <c r="AZ1290" s="41">
        <f t="shared" si="603"/>
        <v>0</v>
      </c>
      <c r="BA1290" s="39"/>
      <c r="BB1290" s="41">
        <f t="shared" si="585"/>
        <v>0</v>
      </c>
      <c r="BC1290" s="49"/>
      <c r="BD1290" s="41">
        <f t="shared" si="604"/>
        <v>0</v>
      </c>
      <c r="BE1290" s="39"/>
      <c r="BF1290" s="49"/>
    </row>
    <row r="1291" spans="1:58" ht="15.75" customHeight="1" x14ac:dyDescent="0.25">
      <c r="A1291" s="44">
        <v>2015</v>
      </c>
      <c r="B1291" s="39">
        <v>171670</v>
      </c>
      <c r="C1291" s="38" t="s">
        <v>150</v>
      </c>
      <c r="D1291" s="38" t="s">
        <v>43</v>
      </c>
      <c r="E1291" s="39"/>
      <c r="F1291" s="42">
        <f t="shared" si="586"/>
        <v>0</v>
      </c>
      <c r="G1291" s="49"/>
      <c r="H1291" s="42">
        <f t="shared" si="587"/>
        <v>0</v>
      </c>
      <c r="I1291" s="39"/>
      <c r="J1291" s="41">
        <f t="shared" si="588"/>
        <v>0</v>
      </c>
      <c r="K1291" s="49"/>
      <c r="L1291" s="41">
        <f t="shared" si="589"/>
        <v>0</v>
      </c>
      <c r="M1291" s="39"/>
      <c r="N1291" s="41">
        <f t="shared" si="590"/>
        <v>0</v>
      </c>
      <c r="O1291" s="49"/>
      <c r="P1291" s="41">
        <f t="shared" si="591"/>
        <v>0</v>
      </c>
      <c r="Q1291" s="39"/>
      <c r="R1291" s="41">
        <f t="shared" si="592"/>
        <v>0</v>
      </c>
      <c r="S1291" s="49"/>
      <c r="T1291" s="41">
        <f t="shared" si="593"/>
        <v>0</v>
      </c>
      <c r="U1291" s="39"/>
      <c r="V1291" s="41">
        <f t="shared" si="594"/>
        <v>0</v>
      </c>
      <c r="W1291" s="49"/>
      <c r="X1291" s="41">
        <f t="shared" si="595"/>
        <v>0</v>
      </c>
      <c r="Y1291" s="39"/>
      <c r="Z1291" s="41">
        <f t="shared" si="596"/>
        <v>0</v>
      </c>
      <c r="AA1291" s="49"/>
      <c r="AB1291" s="41">
        <f t="shared" si="597"/>
        <v>0</v>
      </c>
      <c r="AC1291" s="39"/>
      <c r="AD1291" s="41">
        <f t="shared" si="579"/>
        <v>0</v>
      </c>
      <c r="AE1291" s="49"/>
      <c r="AF1291" s="41">
        <f t="shared" si="598"/>
        <v>0</v>
      </c>
      <c r="AG1291" s="39"/>
      <c r="AH1291" s="41">
        <f t="shared" si="580"/>
        <v>0</v>
      </c>
      <c r="AI1291" s="49"/>
      <c r="AJ1291" s="41">
        <f t="shared" si="599"/>
        <v>0</v>
      </c>
      <c r="AK1291" s="39"/>
      <c r="AL1291" s="41">
        <f t="shared" si="581"/>
        <v>0</v>
      </c>
      <c r="AM1291" s="49"/>
      <c r="AN1291" s="41">
        <f t="shared" si="600"/>
        <v>0</v>
      </c>
      <c r="AO1291" s="39"/>
      <c r="AP1291" s="41">
        <f t="shared" si="582"/>
        <v>0</v>
      </c>
      <c r="AQ1291" s="49"/>
      <c r="AR1291" s="41">
        <f t="shared" si="601"/>
        <v>0</v>
      </c>
      <c r="AS1291" s="39"/>
      <c r="AT1291" s="41">
        <f t="shared" si="583"/>
        <v>0</v>
      </c>
      <c r="AU1291" s="49"/>
      <c r="AV1291" s="41">
        <f t="shared" si="602"/>
        <v>0</v>
      </c>
      <c r="AW1291" s="39"/>
      <c r="AX1291" s="41">
        <f t="shared" si="584"/>
        <v>0</v>
      </c>
      <c r="AY1291" s="49"/>
      <c r="AZ1291" s="41">
        <f t="shared" si="603"/>
        <v>0</v>
      </c>
      <c r="BA1291" s="39"/>
      <c r="BB1291" s="41">
        <f t="shared" si="585"/>
        <v>0</v>
      </c>
      <c r="BC1291" s="49"/>
      <c r="BD1291" s="41">
        <f t="shared" si="604"/>
        <v>0</v>
      </c>
      <c r="BE1291" s="39"/>
      <c r="BF1291" s="49"/>
    </row>
    <row r="1292" spans="1:58" ht="15.75" customHeight="1" x14ac:dyDescent="0.25">
      <c r="A1292" s="44">
        <v>2015</v>
      </c>
      <c r="B1292" s="39">
        <v>170555</v>
      </c>
      <c r="C1292" s="38" t="s">
        <v>147</v>
      </c>
      <c r="D1292" s="38" t="s">
        <v>44</v>
      </c>
      <c r="E1292" s="39"/>
      <c r="F1292" s="42">
        <f t="shared" si="586"/>
        <v>0</v>
      </c>
      <c r="G1292" s="49"/>
      <c r="H1292" s="42">
        <f t="shared" si="587"/>
        <v>0</v>
      </c>
      <c r="I1292" s="39"/>
      <c r="J1292" s="41">
        <f t="shared" si="588"/>
        <v>0</v>
      </c>
      <c r="K1292" s="49"/>
      <c r="L1292" s="41">
        <f t="shared" si="589"/>
        <v>0</v>
      </c>
      <c r="M1292" s="39"/>
      <c r="N1292" s="41">
        <f t="shared" si="590"/>
        <v>0</v>
      </c>
      <c r="O1292" s="49"/>
      <c r="P1292" s="41">
        <f t="shared" si="591"/>
        <v>0</v>
      </c>
      <c r="Q1292" s="39"/>
      <c r="R1292" s="41">
        <f t="shared" si="592"/>
        <v>0</v>
      </c>
      <c r="S1292" s="49"/>
      <c r="T1292" s="41">
        <f t="shared" si="593"/>
        <v>0</v>
      </c>
      <c r="U1292" s="39"/>
      <c r="V1292" s="41">
        <f t="shared" si="594"/>
        <v>0</v>
      </c>
      <c r="W1292" s="49"/>
      <c r="X1292" s="41">
        <f t="shared" si="595"/>
        <v>0</v>
      </c>
      <c r="Y1292" s="39"/>
      <c r="Z1292" s="41">
        <f t="shared" si="596"/>
        <v>0</v>
      </c>
      <c r="AA1292" s="49"/>
      <c r="AB1292" s="41">
        <f t="shared" si="597"/>
        <v>0</v>
      </c>
      <c r="AC1292" s="39"/>
      <c r="AD1292" s="41">
        <f t="shared" si="579"/>
        <v>0</v>
      </c>
      <c r="AE1292" s="49"/>
      <c r="AF1292" s="41">
        <f t="shared" si="598"/>
        <v>0</v>
      </c>
      <c r="AG1292" s="39"/>
      <c r="AH1292" s="41">
        <f t="shared" si="580"/>
        <v>0</v>
      </c>
      <c r="AI1292" s="49"/>
      <c r="AJ1292" s="41">
        <f t="shared" si="599"/>
        <v>0</v>
      </c>
      <c r="AK1292" s="39"/>
      <c r="AL1292" s="41">
        <f t="shared" si="581"/>
        <v>0</v>
      </c>
      <c r="AM1292" s="49"/>
      <c r="AN1292" s="41">
        <f t="shared" si="600"/>
        <v>0</v>
      </c>
      <c r="AO1292" s="39"/>
      <c r="AP1292" s="41">
        <f t="shared" si="582"/>
        <v>0</v>
      </c>
      <c r="AQ1292" s="49"/>
      <c r="AR1292" s="41">
        <f t="shared" si="601"/>
        <v>0</v>
      </c>
      <c r="AS1292" s="39"/>
      <c r="AT1292" s="41">
        <f t="shared" si="583"/>
        <v>0</v>
      </c>
      <c r="AU1292" s="49"/>
      <c r="AV1292" s="41">
        <f t="shared" si="602"/>
        <v>0</v>
      </c>
      <c r="AW1292" s="39"/>
      <c r="AX1292" s="41">
        <f t="shared" si="584"/>
        <v>0</v>
      </c>
      <c r="AY1292" s="49"/>
      <c r="AZ1292" s="41">
        <f t="shared" si="603"/>
        <v>0</v>
      </c>
      <c r="BA1292" s="39"/>
      <c r="BB1292" s="41">
        <f t="shared" si="585"/>
        <v>0</v>
      </c>
      <c r="BC1292" s="49"/>
      <c r="BD1292" s="41">
        <f t="shared" si="604"/>
        <v>0</v>
      </c>
      <c r="BE1292" s="39"/>
      <c r="BF1292" s="49"/>
    </row>
    <row r="1293" spans="1:58" ht="15.75" customHeight="1" x14ac:dyDescent="0.25">
      <c r="A1293" s="44">
        <v>2015</v>
      </c>
      <c r="B1293" s="39">
        <v>170560</v>
      </c>
      <c r="C1293" s="38" t="s">
        <v>147</v>
      </c>
      <c r="D1293" s="38" t="s">
        <v>45</v>
      </c>
      <c r="E1293" s="39"/>
      <c r="F1293" s="42">
        <f t="shared" si="586"/>
        <v>0</v>
      </c>
      <c r="G1293" s="49"/>
      <c r="H1293" s="42">
        <f t="shared" si="587"/>
        <v>0</v>
      </c>
      <c r="I1293" s="39"/>
      <c r="J1293" s="41">
        <f t="shared" si="588"/>
        <v>0</v>
      </c>
      <c r="K1293" s="49"/>
      <c r="L1293" s="41">
        <f t="shared" si="589"/>
        <v>0</v>
      </c>
      <c r="M1293" s="39"/>
      <c r="N1293" s="41">
        <f t="shared" si="590"/>
        <v>0</v>
      </c>
      <c r="O1293" s="49"/>
      <c r="P1293" s="41">
        <f t="shared" si="591"/>
        <v>0</v>
      </c>
      <c r="Q1293" s="39"/>
      <c r="R1293" s="41">
        <f t="shared" si="592"/>
        <v>0</v>
      </c>
      <c r="S1293" s="49"/>
      <c r="T1293" s="41">
        <f t="shared" si="593"/>
        <v>0</v>
      </c>
      <c r="U1293" s="39"/>
      <c r="V1293" s="41">
        <f t="shared" si="594"/>
        <v>0</v>
      </c>
      <c r="W1293" s="49"/>
      <c r="X1293" s="41">
        <f t="shared" si="595"/>
        <v>0</v>
      </c>
      <c r="Y1293" s="39"/>
      <c r="Z1293" s="41">
        <f t="shared" si="596"/>
        <v>0</v>
      </c>
      <c r="AA1293" s="49"/>
      <c r="AB1293" s="41">
        <f t="shared" si="597"/>
        <v>0</v>
      </c>
      <c r="AC1293" s="39"/>
      <c r="AD1293" s="41">
        <f t="shared" si="579"/>
        <v>0</v>
      </c>
      <c r="AE1293" s="49"/>
      <c r="AF1293" s="41">
        <f t="shared" si="598"/>
        <v>0</v>
      </c>
      <c r="AG1293" s="39"/>
      <c r="AH1293" s="41">
        <f t="shared" si="580"/>
        <v>0</v>
      </c>
      <c r="AI1293" s="49"/>
      <c r="AJ1293" s="41">
        <f t="shared" si="599"/>
        <v>0</v>
      </c>
      <c r="AK1293" s="39"/>
      <c r="AL1293" s="41">
        <f t="shared" si="581"/>
        <v>0</v>
      </c>
      <c r="AM1293" s="49"/>
      <c r="AN1293" s="41">
        <f t="shared" si="600"/>
        <v>0</v>
      </c>
      <c r="AO1293" s="39"/>
      <c r="AP1293" s="41">
        <f t="shared" si="582"/>
        <v>0</v>
      </c>
      <c r="AQ1293" s="49"/>
      <c r="AR1293" s="41">
        <f t="shared" si="601"/>
        <v>0</v>
      </c>
      <c r="AS1293" s="39"/>
      <c r="AT1293" s="41">
        <f t="shared" si="583"/>
        <v>0</v>
      </c>
      <c r="AU1293" s="49"/>
      <c r="AV1293" s="41">
        <f t="shared" si="602"/>
        <v>0</v>
      </c>
      <c r="AW1293" s="39"/>
      <c r="AX1293" s="41">
        <f t="shared" si="584"/>
        <v>0</v>
      </c>
      <c r="AY1293" s="49"/>
      <c r="AZ1293" s="41">
        <f t="shared" si="603"/>
        <v>0</v>
      </c>
      <c r="BA1293" s="39"/>
      <c r="BB1293" s="41">
        <f t="shared" si="585"/>
        <v>0</v>
      </c>
      <c r="BC1293" s="49"/>
      <c r="BD1293" s="41">
        <f t="shared" si="604"/>
        <v>0</v>
      </c>
      <c r="BE1293" s="39"/>
      <c r="BF1293" s="49"/>
    </row>
    <row r="1294" spans="1:58" ht="15.75" customHeight="1" x14ac:dyDescent="0.25">
      <c r="A1294" s="44">
        <v>2015</v>
      </c>
      <c r="B1294" s="39">
        <v>170600</v>
      </c>
      <c r="C1294" s="38" t="s">
        <v>150</v>
      </c>
      <c r="D1294" s="38" t="s">
        <v>46</v>
      </c>
      <c r="E1294" s="39"/>
      <c r="F1294" s="42">
        <f t="shared" si="586"/>
        <v>0</v>
      </c>
      <c r="G1294" s="49"/>
      <c r="H1294" s="42">
        <f t="shared" si="587"/>
        <v>0</v>
      </c>
      <c r="I1294" s="39"/>
      <c r="J1294" s="41">
        <f t="shared" si="588"/>
        <v>0</v>
      </c>
      <c r="K1294" s="49"/>
      <c r="L1294" s="41">
        <f t="shared" si="589"/>
        <v>0</v>
      </c>
      <c r="M1294" s="39"/>
      <c r="N1294" s="41">
        <f t="shared" si="590"/>
        <v>0</v>
      </c>
      <c r="O1294" s="49"/>
      <c r="P1294" s="41">
        <f t="shared" si="591"/>
        <v>0</v>
      </c>
      <c r="Q1294" s="39"/>
      <c r="R1294" s="41">
        <f t="shared" si="592"/>
        <v>0</v>
      </c>
      <c r="S1294" s="49"/>
      <c r="T1294" s="41">
        <f t="shared" si="593"/>
        <v>0</v>
      </c>
      <c r="U1294" s="39"/>
      <c r="V1294" s="41">
        <f t="shared" si="594"/>
        <v>0</v>
      </c>
      <c r="W1294" s="49"/>
      <c r="X1294" s="41">
        <f t="shared" si="595"/>
        <v>0</v>
      </c>
      <c r="Y1294" s="39"/>
      <c r="Z1294" s="41">
        <f t="shared" si="596"/>
        <v>0</v>
      </c>
      <c r="AA1294" s="49"/>
      <c r="AB1294" s="41">
        <f t="shared" si="597"/>
        <v>0</v>
      </c>
      <c r="AC1294" s="39"/>
      <c r="AD1294" s="41">
        <f t="shared" si="579"/>
        <v>0</v>
      </c>
      <c r="AE1294" s="49"/>
      <c r="AF1294" s="41">
        <f t="shared" si="598"/>
        <v>0</v>
      </c>
      <c r="AG1294" s="39"/>
      <c r="AH1294" s="41">
        <f t="shared" si="580"/>
        <v>0</v>
      </c>
      <c r="AI1294" s="49"/>
      <c r="AJ1294" s="41">
        <f t="shared" si="599"/>
        <v>0</v>
      </c>
      <c r="AK1294" s="39"/>
      <c r="AL1294" s="41">
        <f t="shared" si="581"/>
        <v>0</v>
      </c>
      <c r="AM1294" s="49"/>
      <c r="AN1294" s="41">
        <f t="shared" si="600"/>
        <v>0</v>
      </c>
      <c r="AO1294" s="39"/>
      <c r="AP1294" s="41">
        <f t="shared" si="582"/>
        <v>0</v>
      </c>
      <c r="AQ1294" s="49"/>
      <c r="AR1294" s="41">
        <f t="shared" si="601"/>
        <v>0</v>
      </c>
      <c r="AS1294" s="39"/>
      <c r="AT1294" s="41">
        <f t="shared" si="583"/>
        <v>0</v>
      </c>
      <c r="AU1294" s="49"/>
      <c r="AV1294" s="41">
        <f t="shared" si="602"/>
        <v>0</v>
      </c>
      <c r="AW1294" s="39"/>
      <c r="AX1294" s="41">
        <f t="shared" si="584"/>
        <v>0</v>
      </c>
      <c r="AY1294" s="49"/>
      <c r="AZ1294" s="41">
        <f t="shared" si="603"/>
        <v>0</v>
      </c>
      <c r="BA1294" s="39"/>
      <c r="BB1294" s="41">
        <f t="shared" si="585"/>
        <v>0</v>
      </c>
      <c r="BC1294" s="49"/>
      <c r="BD1294" s="41">
        <f t="shared" si="604"/>
        <v>0</v>
      </c>
      <c r="BE1294" s="39"/>
      <c r="BF1294" s="49"/>
    </row>
    <row r="1295" spans="1:58" ht="15.75" customHeight="1" x14ac:dyDescent="0.25">
      <c r="A1295" s="44">
        <v>2015</v>
      </c>
      <c r="B1295" s="39">
        <v>170610</v>
      </c>
      <c r="C1295" s="38" t="s">
        <v>144</v>
      </c>
      <c r="D1295" s="38" t="s">
        <v>47</v>
      </c>
      <c r="E1295" s="39"/>
      <c r="F1295" s="42">
        <f t="shared" si="586"/>
        <v>0</v>
      </c>
      <c r="G1295" s="49"/>
      <c r="H1295" s="42">
        <f t="shared" si="587"/>
        <v>0</v>
      </c>
      <c r="I1295" s="39"/>
      <c r="J1295" s="41">
        <f t="shared" si="588"/>
        <v>0</v>
      </c>
      <c r="K1295" s="49"/>
      <c r="L1295" s="41">
        <f t="shared" si="589"/>
        <v>0</v>
      </c>
      <c r="M1295" s="39"/>
      <c r="N1295" s="41">
        <f t="shared" si="590"/>
        <v>0</v>
      </c>
      <c r="O1295" s="49"/>
      <c r="P1295" s="41">
        <f t="shared" si="591"/>
        <v>0</v>
      </c>
      <c r="Q1295" s="39"/>
      <c r="R1295" s="41">
        <f t="shared" si="592"/>
        <v>0</v>
      </c>
      <c r="S1295" s="49"/>
      <c r="T1295" s="41">
        <f t="shared" si="593"/>
        <v>0</v>
      </c>
      <c r="U1295" s="39"/>
      <c r="V1295" s="41">
        <f t="shared" si="594"/>
        <v>0</v>
      </c>
      <c r="W1295" s="49"/>
      <c r="X1295" s="41">
        <f t="shared" si="595"/>
        <v>0</v>
      </c>
      <c r="Y1295" s="39"/>
      <c r="Z1295" s="41">
        <f t="shared" si="596"/>
        <v>0</v>
      </c>
      <c r="AA1295" s="49"/>
      <c r="AB1295" s="41">
        <f t="shared" si="597"/>
        <v>0</v>
      </c>
      <c r="AC1295" s="39"/>
      <c r="AD1295" s="41">
        <f t="shared" si="579"/>
        <v>0</v>
      </c>
      <c r="AE1295" s="49"/>
      <c r="AF1295" s="41">
        <f t="shared" si="598"/>
        <v>0</v>
      </c>
      <c r="AG1295" s="39"/>
      <c r="AH1295" s="41">
        <f t="shared" si="580"/>
        <v>0</v>
      </c>
      <c r="AI1295" s="49"/>
      <c r="AJ1295" s="41">
        <f t="shared" si="599"/>
        <v>0</v>
      </c>
      <c r="AK1295" s="39"/>
      <c r="AL1295" s="41">
        <f t="shared" si="581"/>
        <v>0</v>
      </c>
      <c r="AM1295" s="49"/>
      <c r="AN1295" s="41">
        <f t="shared" si="600"/>
        <v>0</v>
      </c>
      <c r="AO1295" s="39"/>
      <c r="AP1295" s="41">
        <f t="shared" si="582"/>
        <v>0</v>
      </c>
      <c r="AQ1295" s="49"/>
      <c r="AR1295" s="41">
        <f t="shared" si="601"/>
        <v>0</v>
      </c>
      <c r="AS1295" s="39"/>
      <c r="AT1295" s="41">
        <f t="shared" si="583"/>
        <v>0</v>
      </c>
      <c r="AU1295" s="49"/>
      <c r="AV1295" s="41">
        <f t="shared" si="602"/>
        <v>0</v>
      </c>
      <c r="AW1295" s="39"/>
      <c r="AX1295" s="41">
        <f t="shared" si="584"/>
        <v>0</v>
      </c>
      <c r="AY1295" s="49"/>
      <c r="AZ1295" s="41">
        <f t="shared" si="603"/>
        <v>0</v>
      </c>
      <c r="BA1295" s="39"/>
      <c r="BB1295" s="41">
        <f t="shared" si="585"/>
        <v>0</v>
      </c>
      <c r="BC1295" s="49"/>
      <c r="BD1295" s="41">
        <f t="shared" si="604"/>
        <v>0</v>
      </c>
      <c r="BE1295" s="39"/>
      <c r="BF1295" s="49"/>
    </row>
    <row r="1296" spans="1:58" ht="15.75" customHeight="1" x14ac:dyDescent="0.25">
      <c r="A1296" s="44">
        <v>2015</v>
      </c>
      <c r="B1296" s="39">
        <v>170625</v>
      </c>
      <c r="C1296" s="38" t="s">
        <v>146</v>
      </c>
      <c r="D1296" s="38" t="s">
        <v>48</v>
      </c>
      <c r="E1296" s="39"/>
      <c r="F1296" s="42">
        <f t="shared" si="586"/>
        <v>0</v>
      </c>
      <c r="G1296" s="49"/>
      <c r="H1296" s="42">
        <f t="shared" si="587"/>
        <v>0</v>
      </c>
      <c r="I1296" s="39"/>
      <c r="J1296" s="41">
        <f t="shared" si="588"/>
        <v>0</v>
      </c>
      <c r="K1296" s="49"/>
      <c r="L1296" s="41">
        <f t="shared" si="589"/>
        <v>0</v>
      </c>
      <c r="M1296" s="39"/>
      <c r="N1296" s="41">
        <f t="shared" si="590"/>
        <v>0</v>
      </c>
      <c r="O1296" s="49"/>
      <c r="P1296" s="41">
        <f t="shared" si="591"/>
        <v>0</v>
      </c>
      <c r="Q1296" s="39"/>
      <c r="R1296" s="41">
        <f t="shared" si="592"/>
        <v>0</v>
      </c>
      <c r="S1296" s="49"/>
      <c r="T1296" s="41">
        <f t="shared" si="593"/>
        <v>0</v>
      </c>
      <c r="U1296" s="39"/>
      <c r="V1296" s="41">
        <f t="shared" si="594"/>
        <v>0</v>
      </c>
      <c r="W1296" s="49"/>
      <c r="X1296" s="41">
        <f t="shared" si="595"/>
        <v>0</v>
      </c>
      <c r="Y1296" s="39"/>
      <c r="Z1296" s="41">
        <f t="shared" si="596"/>
        <v>0</v>
      </c>
      <c r="AA1296" s="49"/>
      <c r="AB1296" s="41">
        <f t="shared" si="597"/>
        <v>0</v>
      </c>
      <c r="AC1296" s="39"/>
      <c r="AD1296" s="41">
        <f t="shared" si="579"/>
        <v>0</v>
      </c>
      <c r="AE1296" s="49"/>
      <c r="AF1296" s="41">
        <f t="shared" si="598"/>
        <v>0</v>
      </c>
      <c r="AG1296" s="39"/>
      <c r="AH1296" s="41">
        <f t="shared" si="580"/>
        <v>0</v>
      </c>
      <c r="AI1296" s="49"/>
      <c r="AJ1296" s="41">
        <f t="shared" si="599"/>
        <v>0</v>
      </c>
      <c r="AK1296" s="39"/>
      <c r="AL1296" s="41">
        <f t="shared" si="581"/>
        <v>0</v>
      </c>
      <c r="AM1296" s="49"/>
      <c r="AN1296" s="41">
        <f t="shared" si="600"/>
        <v>0</v>
      </c>
      <c r="AO1296" s="39"/>
      <c r="AP1296" s="41">
        <f t="shared" si="582"/>
        <v>0</v>
      </c>
      <c r="AQ1296" s="49"/>
      <c r="AR1296" s="41">
        <f t="shared" si="601"/>
        <v>0</v>
      </c>
      <c r="AS1296" s="39"/>
      <c r="AT1296" s="41">
        <f t="shared" si="583"/>
        <v>0</v>
      </c>
      <c r="AU1296" s="49"/>
      <c r="AV1296" s="41">
        <f t="shared" si="602"/>
        <v>0</v>
      </c>
      <c r="AW1296" s="39"/>
      <c r="AX1296" s="41">
        <f t="shared" si="584"/>
        <v>0</v>
      </c>
      <c r="AY1296" s="49"/>
      <c r="AZ1296" s="41">
        <f t="shared" si="603"/>
        <v>0</v>
      </c>
      <c r="BA1296" s="39"/>
      <c r="BB1296" s="41">
        <f t="shared" si="585"/>
        <v>0</v>
      </c>
      <c r="BC1296" s="49"/>
      <c r="BD1296" s="41">
        <f t="shared" si="604"/>
        <v>0</v>
      </c>
      <c r="BE1296" s="39"/>
      <c r="BF1296" s="49"/>
    </row>
    <row r="1297" spans="1:58" ht="15.75" customHeight="1" x14ac:dyDescent="0.25">
      <c r="A1297" s="44">
        <v>2015</v>
      </c>
      <c r="B1297" s="39">
        <v>170650</v>
      </c>
      <c r="C1297" s="38" t="s">
        <v>149</v>
      </c>
      <c r="D1297" s="38" t="s">
        <v>49</v>
      </c>
      <c r="E1297" s="39"/>
      <c r="F1297" s="42">
        <f t="shared" si="586"/>
        <v>0</v>
      </c>
      <c r="G1297" s="49"/>
      <c r="H1297" s="42">
        <f t="shared" si="587"/>
        <v>0</v>
      </c>
      <c r="I1297" s="39"/>
      <c r="J1297" s="41">
        <f t="shared" si="588"/>
        <v>0</v>
      </c>
      <c r="K1297" s="49"/>
      <c r="L1297" s="41">
        <f t="shared" si="589"/>
        <v>0</v>
      </c>
      <c r="M1297" s="39"/>
      <c r="N1297" s="41">
        <f t="shared" si="590"/>
        <v>0</v>
      </c>
      <c r="O1297" s="49"/>
      <c r="P1297" s="41">
        <f t="shared" si="591"/>
        <v>0</v>
      </c>
      <c r="Q1297" s="39"/>
      <c r="R1297" s="41">
        <f t="shared" si="592"/>
        <v>0</v>
      </c>
      <c r="S1297" s="49"/>
      <c r="T1297" s="41">
        <f t="shared" si="593"/>
        <v>0</v>
      </c>
      <c r="U1297" s="39"/>
      <c r="V1297" s="41">
        <f t="shared" si="594"/>
        <v>0</v>
      </c>
      <c r="W1297" s="49"/>
      <c r="X1297" s="41">
        <f t="shared" si="595"/>
        <v>0</v>
      </c>
      <c r="Y1297" s="39"/>
      <c r="Z1297" s="41">
        <f t="shared" si="596"/>
        <v>0</v>
      </c>
      <c r="AA1297" s="49"/>
      <c r="AB1297" s="41">
        <f t="shared" si="597"/>
        <v>0</v>
      </c>
      <c r="AC1297" s="39"/>
      <c r="AD1297" s="41">
        <f t="shared" si="579"/>
        <v>0</v>
      </c>
      <c r="AE1297" s="49"/>
      <c r="AF1297" s="41">
        <f t="shared" si="598"/>
        <v>0</v>
      </c>
      <c r="AG1297" s="39"/>
      <c r="AH1297" s="41">
        <f t="shared" si="580"/>
        <v>0</v>
      </c>
      <c r="AI1297" s="49"/>
      <c r="AJ1297" s="41">
        <f t="shared" si="599"/>
        <v>0</v>
      </c>
      <c r="AK1297" s="39"/>
      <c r="AL1297" s="41">
        <f t="shared" si="581"/>
        <v>0</v>
      </c>
      <c r="AM1297" s="49"/>
      <c r="AN1297" s="41">
        <f t="shared" si="600"/>
        <v>0</v>
      </c>
      <c r="AO1297" s="39"/>
      <c r="AP1297" s="41">
        <f t="shared" si="582"/>
        <v>0</v>
      </c>
      <c r="AQ1297" s="49"/>
      <c r="AR1297" s="41">
        <f t="shared" si="601"/>
        <v>0</v>
      </c>
      <c r="AS1297" s="39"/>
      <c r="AT1297" s="41">
        <f t="shared" si="583"/>
        <v>0</v>
      </c>
      <c r="AU1297" s="49"/>
      <c r="AV1297" s="41">
        <f t="shared" si="602"/>
        <v>0</v>
      </c>
      <c r="AW1297" s="39"/>
      <c r="AX1297" s="41">
        <f t="shared" si="584"/>
        <v>0</v>
      </c>
      <c r="AY1297" s="49"/>
      <c r="AZ1297" s="41">
        <f t="shared" si="603"/>
        <v>0</v>
      </c>
      <c r="BA1297" s="39"/>
      <c r="BB1297" s="41">
        <f t="shared" si="585"/>
        <v>0</v>
      </c>
      <c r="BC1297" s="49"/>
      <c r="BD1297" s="41">
        <f t="shared" si="604"/>
        <v>0</v>
      </c>
      <c r="BE1297" s="39"/>
      <c r="BF1297" s="49"/>
    </row>
    <row r="1298" spans="1:58" ht="15.75" customHeight="1" x14ac:dyDescent="0.25">
      <c r="A1298" s="44">
        <v>2015</v>
      </c>
      <c r="B1298" s="39">
        <v>170700</v>
      </c>
      <c r="C1298" s="38" t="s">
        <v>147</v>
      </c>
      <c r="D1298" s="38" t="s">
        <v>50</v>
      </c>
      <c r="E1298" s="39"/>
      <c r="F1298" s="42">
        <f t="shared" si="586"/>
        <v>0</v>
      </c>
      <c r="G1298" s="49"/>
      <c r="H1298" s="42">
        <f t="shared" si="587"/>
        <v>0</v>
      </c>
      <c r="I1298" s="39"/>
      <c r="J1298" s="41">
        <f t="shared" si="588"/>
        <v>0</v>
      </c>
      <c r="K1298" s="49"/>
      <c r="L1298" s="41">
        <f t="shared" si="589"/>
        <v>0</v>
      </c>
      <c r="M1298" s="39"/>
      <c r="N1298" s="41">
        <f t="shared" si="590"/>
        <v>0</v>
      </c>
      <c r="O1298" s="49"/>
      <c r="P1298" s="41">
        <f t="shared" si="591"/>
        <v>0</v>
      </c>
      <c r="Q1298" s="39"/>
      <c r="R1298" s="41">
        <f t="shared" si="592"/>
        <v>0</v>
      </c>
      <c r="S1298" s="49"/>
      <c r="T1298" s="41">
        <f t="shared" si="593"/>
        <v>0</v>
      </c>
      <c r="U1298" s="39"/>
      <c r="V1298" s="41">
        <f t="shared" si="594"/>
        <v>0</v>
      </c>
      <c r="W1298" s="49"/>
      <c r="X1298" s="41">
        <f t="shared" si="595"/>
        <v>0</v>
      </c>
      <c r="Y1298" s="39"/>
      <c r="Z1298" s="41">
        <f t="shared" si="596"/>
        <v>0</v>
      </c>
      <c r="AA1298" s="49"/>
      <c r="AB1298" s="41">
        <f t="shared" si="597"/>
        <v>0</v>
      </c>
      <c r="AC1298" s="39"/>
      <c r="AD1298" s="41">
        <f t="shared" si="579"/>
        <v>0</v>
      </c>
      <c r="AE1298" s="49"/>
      <c r="AF1298" s="41">
        <f t="shared" si="598"/>
        <v>0</v>
      </c>
      <c r="AG1298" s="39"/>
      <c r="AH1298" s="41">
        <f t="shared" si="580"/>
        <v>0</v>
      </c>
      <c r="AI1298" s="49"/>
      <c r="AJ1298" s="41">
        <f t="shared" si="599"/>
        <v>0</v>
      </c>
      <c r="AK1298" s="39"/>
      <c r="AL1298" s="41">
        <f t="shared" si="581"/>
        <v>0</v>
      </c>
      <c r="AM1298" s="49"/>
      <c r="AN1298" s="41">
        <f t="shared" si="600"/>
        <v>0</v>
      </c>
      <c r="AO1298" s="39"/>
      <c r="AP1298" s="41">
        <f t="shared" si="582"/>
        <v>0</v>
      </c>
      <c r="AQ1298" s="49"/>
      <c r="AR1298" s="41">
        <f t="shared" si="601"/>
        <v>0</v>
      </c>
      <c r="AS1298" s="39"/>
      <c r="AT1298" s="41">
        <f t="shared" si="583"/>
        <v>0</v>
      </c>
      <c r="AU1298" s="49"/>
      <c r="AV1298" s="41">
        <f t="shared" si="602"/>
        <v>0</v>
      </c>
      <c r="AW1298" s="39"/>
      <c r="AX1298" s="41">
        <f t="shared" si="584"/>
        <v>0</v>
      </c>
      <c r="AY1298" s="49"/>
      <c r="AZ1298" s="41">
        <f t="shared" si="603"/>
        <v>0</v>
      </c>
      <c r="BA1298" s="39"/>
      <c r="BB1298" s="41">
        <f t="shared" si="585"/>
        <v>0</v>
      </c>
      <c r="BC1298" s="49"/>
      <c r="BD1298" s="41">
        <f t="shared" si="604"/>
        <v>0</v>
      </c>
      <c r="BE1298" s="39"/>
      <c r="BF1298" s="49"/>
    </row>
    <row r="1299" spans="1:58" ht="15.75" customHeight="1" x14ac:dyDescent="0.25">
      <c r="A1299" s="44">
        <v>2015</v>
      </c>
      <c r="B1299" s="39">
        <v>170710</v>
      </c>
      <c r="C1299" s="38" t="s">
        <v>144</v>
      </c>
      <c r="D1299" s="38" t="s">
        <v>51</v>
      </c>
      <c r="E1299" s="39"/>
      <c r="F1299" s="42">
        <f t="shared" si="586"/>
        <v>0</v>
      </c>
      <c r="G1299" s="49"/>
      <c r="H1299" s="42">
        <f t="shared" si="587"/>
        <v>0</v>
      </c>
      <c r="I1299" s="39"/>
      <c r="J1299" s="41">
        <f t="shared" si="588"/>
        <v>0</v>
      </c>
      <c r="K1299" s="49"/>
      <c r="L1299" s="41">
        <f t="shared" si="589"/>
        <v>0</v>
      </c>
      <c r="M1299" s="39"/>
      <c r="N1299" s="41">
        <f t="shared" si="590"/>
        <v>0</v>
      </c>
      <c r="O1299" s="49"/>
      <c r="P1299" s="41">
        <f t="shared" si="591"/>
        <v>0</v>
      </c>
      <c r="Q1299" s="39"/>
      <c r="R1299" s="41">
        <f t="shared" si="592"/>
        <v>0</v>
      </c>
      <c r="S1299" s="49"/>
      <c r="T1299" s="41">
        <f t="shared" si="593"/>
        <v>0</v>
      </c>
      <c r="U1299" s="39"/>
      <c r="V1299" s="41">
        <f t="shared" si="594"/>
        <v>0</v>
      </c>
      <c r="W1299" s="49"/>
      <c r="X1299" s="41">
        <f t="shared" si="595"/>
        <v>0</v>
      </c>
      <c r="Y1299" s="39"/>
      <c r="Z1299" s="41">
        <f t="shared" si="596"/>
        <v>0</v>
      </c>
      <c r="AA1299" s="49"/>
      <c r="AB1299" s="41">
        <f t="shared" si="597"/>
        <v>0</v>
      </c>
      <c r="AC1299" s="39"/>
      <c r="AD1299" s="41">
        <f t="shared" si="579"/>
        <v>0</v>
      </c>
      <c r="AE1299" s="49"/>
      <c r="AF1299" s="41">
        <f t="shared" si="598"/>
        <v>0</v>
      </c>
      <c r="AG1299" s="39"/>
      <c r="AH1299" s="41">
        <f t="shared" si="580"/>
        <v>0</v>
      </c>
      <c r="AI1299" s="49"/>
      <c r="AJ1299" s="41">
        <f t="shared" si="599"/>
        <v>0</v>
      </c>
      <c r="AK1299" s="39"/>
      <c r="AL1299" s="41">
        <f t="shared" si="581"/>
        <v>0</v>
      </c>
      <c r="AM1299" s="49"/>
      <c r="AN1299" s="41">
        <f t="shared" si="600"/>
        <v>0</v>
      </c>
      <c r="AO1299" s="39"/>
      <c r="AP1299" s="41">
        <f t="shared" si="582"/>
        <v>0</v>
      </c>
      <c r="AQ1299" s="49"/>
      <c r="AR1299" s="41">
        <f t="shared" si="601"/>
        <v>0</v>
      </c>
      <c r="AS1299" s="39"/>
      <c r="AT1299" s="41">
        <f t="shared" si="583"/>
        <v>0</v>
      </c>
      <c r="AU1299" s="49"/>
      <c r="AV1299" s="41">
        <f t="shared" si="602"/>
        <v>0</v>
      </c>
      <c r="AW1299" s="39"/>
      <c r="AX1299" s="41">
        <f t="shared" si="584"/>
        <v>0</v>
      </c>
      <c r="AY1299" s="49"/>
      <c r="AZ1299" s="41">
        <f t="shared" si="603"/>
        <v>0</v>
      </c>
      <c r="BA1299" s="39"/>
      <c r="BB1299" s="41">
        <f t="shared" si="585"/>
        <v>0</v>
      </c>
      <c r="BC1299" s="49"/>
      <c r="BD1299" s="41">
        <f t="shared" si="604"/>
        <v>0</v>
      </c>
      <c r="BE1299" s="39"/>
      <c r="BF1299" s="49"/>
    </row>
    <row r="1300" spans="1:58" ht="15.75" customHeight="1" x14ac:dyDescent="0.25">
      <c r="A1300" s="44">
        <v>2015</v>
      </c>
      <c r="B1300" s="39">
        <v>170720</v>
      </c>
      <c r="C1300" s="38" t="s">
        <v>144</v>
      </c>
      <c r="D1300" s="38" t="s">
        <v>52</v>
      </c>
      <c r="E1300" s="39"/>
      <c r="F1300" s="42">
        <f t="shared" si="586"/>
        <v>0</v>
      </c>
      <c r="G1300" s="49"/>
      <c r="H1300" s="42">
        <f t="shared" si="587"/>
        <v>0</v>
      </c>
      <c r="I1300" s="39"/>
      <c r="J1300" s="41">
        <f t="shared" si="588"/>
        <v>0</v>
      </c>
      <c r="K1300" s="49"/>
      <c r="L1300" s="41">
        <f t="shared" si="589"/>
        <v>0</v>
      </c>
      <c r="M1300" s="39"/>
      <c r="N1300" s="41">
        <f t="shared" si="590"/>
        <v>0</v>
      </c>
      <c r="O1300" s="49"/>
      <c r="P1300" s="41">
        <f t="shared" si="591"/>
        <v>0</v>
      </c>
      <c r="Q1300" s="39"/>
      <c r="R1300" s="41">
        <f t="shared" si="592"/>
        <v>0</v>
      </c>
      <c r="S1300" s="49"/>
      <c r="T1300" s="41">
        <f t="shared" si="593"/>
        <v>0</v>
      </c>
      <c r="U1300" s="39"/>
      <c r="V1300" s="41">
        <f t="shared" si="594"/>
        <v>0</v>
      </c>
      <c r="W1300" s="49"/>
      <c r="X1300" s="41">
        <f t="shared" si="595"/>
        <v>0</v>
      </c>
      <c r="Y1300" s="39"/>
      <c r="Z1300" s="41">
        <f t="shared" si="596"/>
        <v>0</v>
      </c>
      <c r="AA1300" s="49"/>
      <c r="AB1300" s="41">
        <f t="shared" si="597"/>
        <v>0</v>
      </c>
      <c r="AC1300" s="39"/>
      <c r="AD1300" s="41">
        <f t="shared" si="579"/>
        <v>0</v>
      </c>
      <c r="AE1300" s="49"/>
      <c r="AF1300" s="41">
        <f t="shared" si="598"/>
        <v>0</v>
      </c>
      <c r="AG1300" s="39"/>
      <c r="AH1300" s="41">
        <f t="shared" si="580"/>
        <v>0</v>
      </c>
      <c r="AI1300" s="49"/>
      <c r="AJ1300" s="41">
        <f t="shared" si="599"/>
        <v>0</v>
      </c>
      <c r="AK1300" s="39"/>
      <c r="AL1300" s="41">
        <f t="shared" si="581"/>
        <v>0</v>
      </c>
      <c r="AM1300" s="49"/>
      <c r="AN1300" s="41">
        <f t="shared" si="600"/>
        <v>0</v>
      </c>
      <c r="AO1300" s="39"/>
      <c r="AP1300" s="41">
        <f t="shared" si="582"/>
        <v>0</v>
      </c>
      <c r="AQ1300" s="49"/>
      <c r="AR1300" s="41">
        <f t="shared" si="601"/>
        <v>0</v>
      </c>
      <c r="AS1300" s="39"/>
      <c r="AT1300" s="41">
        <f t="shared" si="583"/>
        <v>0</v>
      </c>
      <c r="AU1300" s="49"/>
      <c r="AV1300" s="41">
        <f t="shared" si="602"/>
        <v>0</v>
      </c>
      <c r="AW1300" s="39"/>
      <c r="AX1300" s="41">
        <f t="shared" si="584"/>
        <v>0</v>
      </c>
      <c r="AY1300" s="49"/>
      <c r="AZ1300" s="41">
        <f t="shared" si="603"/>
        <v>0</v>
      </c>
      <c r="BA1300" s="39"/>
      <c r="BB1300" s="41">
        <f t="shared" si="585"/>
        <v>0</v>
      </c>
      <c r="BC1300" s="49"/>
      <c r="BD1300" s="41">
        <f t="shared" si="604"/>
        <v>0</v>
      </c>
      <c r="BE1300" s="39"/>
      <c r="BF1300" s="49"/>
    </row>
    <row r="1301" spans="1:58" ht="15.75" customHeight="1" x14ac:dyDescent="0.25">
      <c r="A1301" s="44">
        <v>2015</v>
      </c>
      <c r="B1301" s="39">
        <v>170730</v>
      </c>
      <c r="C1301" s="38" t="s">
        <v>146</v>
      </c>
      <c r="D1301" s="38" t="s">
        <v>53</v>
      </c>
      <c r="E1301" s="39"/>
      <c r="F1301" s="42">
        <f t="shared" si="586"/>
        <v>0</v>
      </c>
      <c r="G1301" s="49"/>
      <c r="H1301" s="42">
        <f t="shared" si="587"/>
        <v>0</v>
      </c>
      <c r="I1301" s="39"/>
      <c r="J1301" s="41">
        <f t="shared" si="588"/>
        <v>0</v>
      </c>
      <c r="K1301" s="49"/>
      <c r="L1301" s="41">
        <f t="shared" si="589"/>
        <v>0</v>
      </c>
      <c r="M1301" s="39"/>
      <c r="N1301" s="41">
        <f t="shared" si="590"/>
        <v>0</v>
      </c>
      <c r="O1301" s="49"/>
      <c r="P1301" s="41">
        <f t="shared" si="591"/>
        <v>0</v>
      </c>
      <c r="Q1301" s="39"/>
      <c r="R1301" s="41">
        <f t="shared" si="592"/>
        <v>0</v>
      </c>
      <c r="S1301" s="49"/>
      <c r="T1301" s="41">
        <f t="shared" si="593"/>
        <v>0</v>
      </c>
      <c r="U1301" s="39"/>
      <c r="V1301" s="41">
        <f t="shared" si="594"/>
        <v>0</v>
      </c>
      <c r="W1301" s="49"/>
      <c r="X1301" s="41">
        <f t="shared" si="595"/>
        <v>0</v>
      </c>
      <c r="Y1301" s="39"/>
      <c r="Z1301" s="41">
        <f t="shared" si="596"/>
        <v>0</v>
      </c>
      <c r="AA1301" s="49"/>
      <c r="AB1301" s="41">
        <f t="shared" si="597"/>
        <v>0</v>
      </c>
      <c r="AC1301" s="39"/>
      <c r="AD1301" s="41">
        <f t="shared" si="579"/>
        <v>0</v>
      </c>
      <c r="AE1301" s="49"/>
      <c r="AF1301" s="41">
        <f t="shared" si="598"/>
        <v>0</v>
      </c>
      <c r="AG1301" s="39"/>
      <c r="AH1301" s="41">
        <f t="shared" si="580"/>
        <v>0</v>
      </c>
      <c r="AI1301" s="49"/>
      <c r="AJ1301" s="41">
        <f t="shared" si="599"/>
        <v>0</v>
      </c>
      <c r="AK1301" s="39"/>
      <c r="AL1301" s="41">
        <f t="shared" si="581"/>
        <v>0</v>
      </c>
      <c r="AM1301" s="49"/>
      <c r="AN1301" s="41">
        <f t="shared" si="600"/>
        <v>0</v>
      </c>
      <c r="AO1301" s="39"/>
      <c r="AP1301" s="41">
        <f t="shared" si="582"/>
        <v>0</v>
      </c>
      <c r="AQ1301" s="49"/>
      <c r="AR1301" s="41">
        <f t="shared" si="601"/>
        <v>0</v>
      </c>
      <c r="AS1301" s="39"/>
      <c r="AT1301" s="41">
        <f t="shared" si="583"/>
        <v>0</v>
      </c>
      <c r="AU1301" s="49"/>
      <c r="AV1301" s="41">
        <f t="shared" si="602"/>
        <v>0</v>
      </c>
      <c r="AW1301" s="39"/>
      <c r="AX1301" s="41">
        <f t="shared" si="584"/>
        <v>0</v>
      </c>
      <c r="AY1301" s="49"/>
      <c r="AZ1301" s="41">
        <f t="shared" si="603"/>
        <v>0</v>
      </c>
      <c r="BA1301" s="39"/>
      <c r="BB1301" s="41">
        <f t="shared" si="585"/>
        <v>0</v>
      </c>
      <c r="BC1301" s="49"/>
      <c r="BD1301" s="41">
        <f t="shared" si="604"/>
        <v>0</v>
      </c>
      <c r="BE1301" s="39"/>
      <c r="BF1301" s="49"/>
    </row>
    <row r="1302" spans="1:58" ht="15.75" customHeight="1" x14ac:dyDescent="0.25">
      <c r="A1302" s="44">
        <v>2015</v>
      </c>
      <c r="B1302" s="39">
        <v>170740</v>
      </c>
      <c r="C1302" s="38" t="s">
        <v>145</v>
      </c>
      <c r="D1302" s="38" t="s">
        <v>54</v>
      </c>
      <c r="E1302" s="39"/>
      <c r="F1302" s="42">
        <f t="shared" si="586"/>
        <v>0</v>
      </c>
      <c r="G1302" s="49"/>
      <c r="H1302" s="42">
        <f t="shared" si="587"/>
        <v>0</v>
      </c>
      <c r="I1302" s="39"/>
      <c r="J1302" s="41">
        <f t="shared" si="588"/>
        <v>0</v>
      </c>
      <c r="K1302" s="49"/>
      <c r="L1302" s="41">
        <f t="shared" si="589"/>
        <v>0</v>
      </c>
      <c r="M1302" s="39"/>
      <c r="N1302" s="41">
        <f t="shared" si="590"/>
        <v>0</v>
      </c>
      <c r="O1302" s="49"/>
      <c r="P1302" s="41">
        <f t="shared" si="591"/>
        <v>0</v>
      </c>
      <c r="Q1302" s="39"/>
      <c r="R1302" s="41">
        <f t="shared" si="592"/>
        <v>0</v>
      </c>
      <c r="S1302" s="49"/>
      <c r="T1302" s="41">
        <f t="shared" si="593"/>
        <v>0</v>
      </c>
      <c r="U1302" s="39"/>
      <c r="V1302" s="41">
        <f t="shared" si="594"/>
        <v>0</v>
      </c>
      <c r="W1302" s="49"/>
      <c r="X1302" s="41">
        <f t="shared" si="595"/>
        <v>0</v>
      </c>
      <c r="Y1302" s="39"/>
      <c r="Z1302" s="41">
        <f t="shared" si="596"/>
        <v>0</v>
      </c>
      <c r="AA1302" s="49"/>
      <c r="AB1302" s="41">
        <f t="shared" si="597"/>
        <v>0</v>
      </c>
      <c r="AC1302" s="39"/>
      <c r="AD1302" s="41">
        <f t="shared" si="579"/>
        <v>0</v>
      </c>
      <c r="AE1302" s="49"/>
      <c r="AF1302" s="41">
        <f t="shared" si="598"/>
        <v>0</v>
      </c>
      <c r="AG1302" s="39"/>
      <c r="AH1302" s="41">
        <f t="shared" si="580"/>
        <v>0</v>
      </c>
      <c r="AI1302" s="49"/>
      <c r="AJ1302" s="41">
        <f t="shared" si="599"/>
        <v>0</v>
      </c>
      <c r="AK1302" s="39"/>
      <c r="AL1302" s="41">
        <f t="shared" si="581"/>
        <v>0</v>
      </c>
      <c r="AM1302" s="49"/>
      <c r="AN1302" s="41">
        <f t="shared" si="600"/>
        <v>0</v>
      </c>
      <c r="AO1302" s="39"/>
      <c r="AP1302" s="41">
        <f t="shared" si="582"/>
        <v>0</v>
      </c>
      <c r="AQ1302" s="49"/>
      <c r="AR1302" s="41">
        <f t="shared" si="601"/>
        <v>0</v>
      </c>
      <c r="AS1302" s="39"/>
      <c r="AT1302" s="41">
        <f t="shared" si="583"/>
        <v>0</v>
      </c>
      <c r="AU1302" s="49"/>
      <c r="AV1302" s="41">
        <f t="shared" si="602"/>
        <v>0</v>
      </c>
      <c r="AW1302" s="39"/>
      <c r="AX1302" s="41">
        <f t="shared" si="584"/>
        <v>0</v>
      </c>
      <c r="AY1302" s="49"/>
      <c r="AZ1302" s="41">
        <f t="shared" si="603"/>
        <v>0</v>
      </c>
      <c r="BA1302" s="39"/>
      <c r="BB1302" s="41">
        <f t="shared" si="585"/>
        <v>0</v>
      </c>
      <c r="BC1302" s="49"/>
      <c r="BD1302" s="41">
        <f t="shared" si="604"/>
        <v>0</v>
      </c>
      <c r="BE1302" s="39"/>
      <c r="BF1302" s="49"/>
    </row>
    <row r="1303" spans="1:58" ht="15.75" customHeight="1" x14ac:dyDescent="0.25">
      <c r="A1303" s="44">
        <v>2015</v>
      </c>
      <c r="B1303" s="39">
        <v>170755</v>
      </c>
      <c r="C1303" s="38" t="s">
        <v>151</v>
      </c>
      <c r="D1303" s="38" t="s">
        <v>55</v>
      </c>
      <c r="E1303" s="39"/>
      <c r="F1303" s="42">
        <f t="shared" si="586"/>
        <v>0</v>
      </c>
      <c r="G1303" s="49"/>
      <c r="H1303" s="42">
        <f t="shared" si="587"/>
        <v>0</v>
      </c>
      <c r="I1303" s="39"/>
      <c r="J1303" s="41">
        <f t="shared" si="588"/>
        <v>0</v>
      </c>
      <c r="K1303" s="49"/>
      <c r="L1303" s="41">
        <f t="shared" si="589"/>
        <v>0</v>
      </c>
      <c r="M1303" s="39"/>
      <c r="N1303" s="41">
        <f t="shared" si="590"/>
        <v>0</v>
      </c>
      <c r="O1303" s="49"/>
      <c r="P1303" s="41">
        <f t="shared" si="591"/>
        <v>0</v>
      </c>
      <c r="Q1303" s="39"/>
      <c r="R1303" s="41">
        <f t="shared" si="592"/>
        <v>0</v>
      </c>
      <c r="S1303" s="49"/>
      <c r="T1303" s="41">
        <f t="shared" si="593"/>
        <v>0</v>
      </c>
      <c r="U1303" s="39"/>
      <c r="V1303" s="41">
        <f t="shared" si="594"/>
        <v>0</v>
      </c>
      <c r="W1303" s="49"/>
      <c r="X1303" s="41">
        <f t="shared" si="595"/>
        <v>0</v>
      </c>
      <c r="Y1303" s="39"/>
      <c r="Z1303" s="41">
        <f t="shared" si="596"/>
        <v>0</v>
      </c>
      <c r="AA1303" s="49"/>
      <c r="AB1303" s="41">
        <f t="shared" si="597"/>
        <v>0</v>
      </c>
      <c r="AC1303" s="39"/>
      <c r="AD1303" s="41">
        <f t="shared" si="579"/>
        <v>0</v>
      </c>
      <c r="AE1303" s="49"/>
      <c r="AF1303" s="41">
        <f t="shared" si="598"/>
        <v>0</v>
      </c>
      <c r="AG1303" s="39"/>
      <c r="AH1303" s="41">
        <f t="shared" si="580"/>
        <v>0</v>
      </c>
      <c r="AI1303" s="49"/>
      <c r="AJ1303" s="41">
        <f t="shared" si="599"/>
        <v>0</v>
      </c>
      <c r="AK1303" s="39"/>
      <c r="AL1303" s="41">
        <f t="shared" si="581"/>
        <v>0</v>
      </c>
      <c r="AM1303" s="49"/>
      <c r="AN1303" s="41">
        <f t="shared" si="600"/>
        <v>0</v>
      </c>
      <c r="AO1303" s="39"/>
      <c r="AP1303" s="41">
        <f t="shared" si="582"/>
        <v>0</v>
      </c>
      <c r="AQ1303" s="49"/>
      <c r="AR1303" s="41">
        <f t="shared" si="601"/>
        <v>0</v>
      </c>
      <c r="AS1303" s="39"/>
      <c r="AT1303" s="41">
        <f t="shared" si="583"/>
        <v>0</v>
      </c>
      <c r="AU1303" s="49"/>
      <c r="AV1303" s="41">
        <f t="shared" si="602"/>
        <v>0</v>
      </c>
      <c r="AW1303" s="39"/>
      <c r="AX1303" s="41">
        <f t="shared" si="584"/>
        <v>0</v>
      </c>
      <c r="AY1303" s="49"/>
      <c r="AZ1303" s="41">
        <f t="shared" si="603"/>
        <v>0</v>
      </c>
      <c r="BA1303" s="39"/>
      <c r="BB1303" s="41">
        <f t="shared" si="585"/>
        <v>0</v>
      </c>
      <c r="BC1303" s="49"/>
      <c r="BD1303" s="41">
        <f t="shared" si="604"/>
        <v>0</v>
      </c>
      <c r="BE1303" s="39"/>
      <c r="BF1303" s="49"/>
    </row>
    <row r="1304" spans="1:58" ht="15.75" customHeight="1" x14ac:dyDescent="0.25">
      <c r="A1304" s="44">
        <v>2015</v>
      </c>
      <c r="B1304" s="39">
        <v>170765</v>
      </c>
      <c r="C1304" s="38" t="s">
        <v>146</v>
      </c>
      <c r="D1304" s="38" t="s">
        <v>56</v>
      </c>
      <c r="E1304" s="39"/>
      <c r="F1304" s="42">
        <f t="shared" si="586"/>
        <v>0</v>
      </c>
      <c r="G1304" s="49"/>
      <c r="H1304" s="42">
        <f t="shared" si="587"/>
        <v>0</v>
      </c>
      <c r="I1304" s="39"/>
      <c r="J1304" s="41">
        <f t="shared" si="588"/>
        <v>0</v>
      </c>
      <c r="K1304" s="49"/>
      <c r="L1304" s="41">
        <f t="shared" si="589"/>
        <v>0</v>
      </c>
      <c r="M1304" s="39"/>
      <c r="N1304" s="41">
        <f t="shared" si="590"/>
        <v>0</v>
      </c>
      <c r="O1304" s="49"/>
      <c r="P1304" s="41">
        <f t="shared" si="591"/>
        <v>0</v>
      </c>
      <c r="Q1304" s="39"/>
      <c r="R1304" s="41">
        <f t="shared" si="592"/>
        <v>0</v>
      </c>
      <c r="S1304" s="49"/>
      <c r="T1304" s="41">
        <f t="shared" si="593"/>
        <v>0</v>
      </c>
      <c r="U1304" s="39"/>
      <c r="V1304" s="41">
        <f t="shared" si="594"/>
        <v>0</v>
      </c>
      <c r="W1304" s="49"/>
      <c r="X1304" s="41">
        <f t="shared" si="595"/>
        <v>0</v>
      </c>
      <c r="Y1304" s="39"/>
      <c r="Z1304" s="41">
        <f t="shared" si="596"/>
        <v>0</v>
      </c>
      <c r="AA1304" s="49"/>
      <c r="AB1304" s="41">
        <f t="shared" si="597"/>
        <v>0</v>
      </c>
      <c r="AC1304" s="39"/>
      <c r="AD1304" s="41">
        <f t="shared" si="579"/>
        <v>0</v>
      </c>
      <c r="AE1304" s="49"/>
      <c r="AF1304" s="41">
        <f t="shared" si="598"/>
        <v>0</v>
      </c>
      <c r="AG1304" s="39"/>
      <c r="AH1304" s="41">
        <f t="shared" si="580"/>
        <v>0</v>
      </c>
      <c r="AI1304" s="49"/>
      <c r="AJ1304" s="41">
        <f t="shared" si="599"/>
        <v>0</v>
      </c>
      <c r="AK1304" s="39"/>
      <c r="AL1304" s="41">
        <f t="shared" si="581"/>
        <v>0</v>
      </c>
      <c r="AM1304" s="49"/>
      <c r="AN1304" s="41">
        <f t="shared" si="600"/>
        <v>0</v>
      </c>
      <c r="AO1304" s="39"/>
      <c r="AP1304" s="41">
        <f t="shared" si="582"/>
        <v>0</v>
      </c>
      <c r="AQ1304" s="49"/>
      <c r="AR1304" s="41">
        <f t="shared" si="601"/>
        <v>0</v>
      </c>
      <c r="AS1304" s="39"/>
      <c r="AT1304" s="41">
        <f t="shared" si="583"/>
        <v>0</v>
      </c>
      <c r="AU1304" s="49"/>
      <c r="AV1304" s="41">
        <f t="shared" si="602"/>
        <v>0</v>
      </c>
      <c r="AW1304" s="39"/>
      <c r="AX1304" s="41">
        <f t="shared" si="584"/>
        <v>0</v>
      </c>
      <c r="AY1304" s="49"/>
      <c r="AZ1304" s="41">
        <f t="shared" si="603"/>
        <v>0</v>
      </c>
      <c r="BA1304" s="39"/>
      <c r="BB1304" s="41">
        <f t="shared" si="585"/>
        <v>0</v>
      </c>
      <c r="BC1304" s="49"/>
      <c r="BD1304" s="41">
        <f t="shared" si="604"/>
        <v>0</v>
      </c>
      <c r="BE1304" s="39"/>
      <c r="BF1304" s="49"/>
    </row>
    <row r="1305" spans="1:58" ht="15.75" customHeight="1" x14ac:dyDescent="0.25">
      <c r="A1305" s="44">
        <v>2015</v>
      </c>
      <c r="B1305" s="39">
        <v>170770</v>
      </c>
      <c r="C1305" s="38" t="s">
        <v>149</v>
      </c>
      <c r="D1305" s="38" t="s">
        <v>57</v>
      </c>
      <c r="E1305" s="39"/>
      <c r="F1305" s="42">
        <f t="shared" si="586"/>
        <v>0</v>
      </c>
      <c r="G1305" s="49"/>
      <c r="H1305" s="42">
        <f t="shared" si="587"/>
        <v>0</v>
      </c>
      <c r="I1305" s="39"/>
      <c r="J1305" s="41">
        <f t="shared" si="588"/>
        <v>0</v>
      </c>
      <c r="K1305" s="49"/>
      <c r="L1305" s="41">
        <f t="shared" si="589"/>
        <v>0</v>
      </c>
      <c r="M1305" s="39"/>
      <c r="N1305" s="41">
        <f t="shared" si="590"/>
        <v>0</v>
      </c>
      <c r="O1305" s="49"/>
      <c r="P1305" s="41">
        <f t="shared" si="591"/>
        <v>0</v>
      </c>
      <c r="Q1305" s="39"/>
      <c r="R1305" s="41">
        <f t="shared" si="592"/>
        <v>0</v>
      </c>
      <c r="S1305" s="49"/>
      <c r="T1305" s="41">
        <f t="shared" si="593"/>
        <v>0</v>
      </c>
      <c r="U1305" s="39"/>
      <c r="V1305" s="41">
        <f t="shared" si="594"/>
        <v>0</v>
      </c>
      <c r="W1305" s="49"/>
      <c r="X1305" s="41">
        <f t="shared" si="595"/>
        <v>0</v>
      </c>
      <c r="Y1305" s="39"/>
      <c r="Z1305" s="41">
        <f t="shared" si="596"/>
        <v>0</v>
      </c>
      <c r="AA1305" s="49"/>
      <c r="AB1305" s="41">
        <f t="shared" si="597"/>
        <v>0</v>
      </c>
      <c r="AC1305" s="39"/>
      <c r="AD1305" s="41">
        <f t="shared" si="579"/>
        <v>0</v>
      </c>
      <c r="AE1305" s="49"/>
      <c r="AF1305" s="41">
        <f t="shared" si="598"/>
        <v>0</v>
      </c>
      <c r="AG1305" s="39"/>
      <c r="AH1305" s="41">
        <f t="shared" si="580"/>
        <v>0</v>
      </c>
      <c r="AI1305" s="49"/>
      <c r="AJ1305" s="41">
        <f t="shared" si="599"/>
        <v>0</v>
      </c>
      <c r="AK1305" s="39"/>
      <c r="AL1305" s="41">
        <f t="shared" si="581"/>
        <v>0</v>
      </c>
      <c r="AM1305" s="49"/>
      <c r="AN1305" s="41">
        <f t="shared" si="600"/>
        <v>0</v>
      </c>
      <c r="AO1305" s="39"/>
      <c r="AP1305" s="41">
        <f t="shared" si="582"/>
        <v>0</v>
      </c>
      <c r="AQ1305" s="49"/>
      <c r="AR1305" s="41">
        <f t="shared" si="601"/>
        <v>0</v>
      </c>
      <c r="AS1305" s="39"/>
      <c r="AT1305" s="41">
        <f t="shared" si="583"/>
        <v>0</v>
      </c>
      <c r="AU1305" s="49"/>
      <c r="AV1305" s="41">
        <f t="shared" si="602"/>
        <v>0</v>
      </c>
      <c r="AW1305" s="39"/>
      <c r="AX1305" s="41">
        <f t="shared" si="584"/>
        <v>0</v>
      </c>
      <c r="AY1305" s="49"/>
      <c r="AZ1305" s="41">
        <f t="shared" si="603"/>
        <v>0</v>
      </c>
      <c r="BA1305" s="39"/>
      <c r="BB1305" s="41">
        <f t="shared" si="585"/>
        <v>0</v>
      </c>
      <c r="BC1305" s="49"/>
      <c r="BD1305" s="41">
        <f t="shared" si="604"/>
        <v>0</v>
      </c>
      <c r="BE1305" s="39"/>
      <c r="BF1305" s="49"/>
    </row>
    <row r="1306" spans="1:58" ht="15.75" customHeight="1" x14ac:dyDescent="0.25">
      <c r="A1306" s="44">
        <v>2015</v>
      </c>
      <c r="B1306" s="39">
        <v>170820</v>
      </c>
      <c r="C1306" s="38" t="s">
        <v>146</v>
      </c>
      <c r="D1306" s="38" t="s">
        <v>58</v>
      </c>
      <c r="E1306" s="39"/>
      <c r="F1306" s="42">
        <f t="shared" si="586"/>
        <v>0</v>
      </c>
      <c r="G1306" s="49"/>
      <c r="H1306" s="42">
        <f t="shared" si="587"/>
        <v>0</v>
      </c>
      <c r="I1306" s="39"/>
      <c r="J1306" s="41">
        <f t="shared" si="588"/>
        <v>0</v>
      </c>
      <c r="K1306" s="49"/>
      <c r="L1306" s="41">
        <f t="shared" si="589"/>
        <v>0</v>
      </c>
      <c r="M1306" s="39"/>
      <c r="N1306" s="41">
        <f t="shared" si="590"/>
        <v>0</v>
      </c>
      <c r="O1306" s="49"/>
      <c r="P1306" s="41">
        <f t="shared" si="591"/>
        <v>0</v>
      </c>
      <c r="Q1306" s="39"/>
      <c r="R1306" s="41">
        <f t="shared" si="592"/>
        <v>0</v>
      </c>
      <c r="S1306" s="49"/>
      <c r="T1306" s="41">
        <f t="shared" si="593"/>
        <v>0</v>
      </c>
      <c r="U1306" s="39"/>
      <c r="V1306" s="41">
        <f t="shared" si="594"/>
        <v>0</v>
      </c>
      <c r="W1306" s="49"/>
      <c r="X1306" s="41">
        <f t="shared" si="595"/>
        <v>0</v>
      </c>
      <c r="Y1306" s="39"/>
      <c r="Z1306" s="41">
        <f t="shared" si="596"/>
        <v>0</v>
      </c>
      <c r="AA1306" s="49"/>
      <c r="AB1306" s="41">
        <f t="shared" si="597"/>
        <v>0</v>
      </c>
      <c r="AC1306" s="39"/>
      <c r="AD1306" s="41">
        <f t="shared" si="579"/>
        <v>0</v>
      </c>
      <c r="AE1306" s="49"/>
      <c r="AF1306" s="41">
        <f t="shared" si="598"/>
        <v>0</v>
      </c>
      <c r="AG1306" s="39"/>
      <c r="AH1306" s="41">
        <f t="shared" si="580"/>
        <v>0</v>
      </c>
      <c r="AI1306" s="49"/>
      <c r="AJ1306" s="41">
        <f t="shared" si="599"/>
        <v>0</v>
      </c>
      <c r="AK1306" s="39"/>
      <c r="AL1306" s="41">
        <f t="shared" si="581"/>
        <v>0</v>
      </c>
      <c r="AM1306" s="49"/>
      <c r="AN1306" s="41">
        <f t="shared" si="600"/>
        <v>0</v>
      </c>
      <c r="AO1306" s="39"/>
      <c r="AP1306" s="41">
        <f t="shared" si="582"/>
        <v>0</v>
      </c>
      <c r="AQ1306" s="49"/>
      <c r="AR1306" s="41">
        <f t="shared" si="601"/>
        <v>0</v>
      </c>
      <c r="AS1306" s="39"/>
      <c r="AT1306" s="41">
        <f t="shared" si="583"/>
        <v>0</v>
      </c>
      <c r="AU1306" s="49"/>
      <c r="AV1306" s="41">
        <f t="shared" si="602"/>
        <v>0</v>
      </c>
      <c r="AW1306" s="39"/>
      <c r="AX1306" s="41">
        <f t="shared" si="584"/>
        <v>0</v>
      </c>
      <c r="AY1306" s="49"/>
      <c r="AZ1306" s="41">
        <f t="shared" si="603"/>
        <v>0</v>
      </c>
      <c r="BA1306" s="39"/>
      <c r="BB1306" s="41">
        <f t="shared" si="585"/>
        <v>0</v>
      </c>
      <c r="BC1306" s="49"/>
      <c r="BD1306" s="41">
        <f t="shared" si="604"/>
        <v>0</v>
      </c>
      <c r="BE1306" s="39"/>
      <c r="BF1306" s="49"/>
    </row>
    <row r="1307" spans="1:58" ht="15.75" customHeight="1" x14ac:dyDescent="0.25">
      <c r="A1307" s="44">
        <v>2015</v>
      </c>
      <c r="B1307" s="39">
        <v>170830</v>
      </c>
      <c r="C1307" s="38" t="s">
        <v>150</v>
      </c>
      <c r="D1307" s="38" t="s">
        <v>59</v>
      </c>
      <c r="E1307" s="39"/>
      <c r="F1307" s="42">
        <f t="shared" si="586"/>
        <v>0</v>
      </c>
      <c r="G1307" s="49"/>
      <c r="H1307" s="42">
        <f t="shared" si="587"/>
        <v>0</v>
      </c>
      <c r="I1307" s="39"/>
      <c r="J1307" s="41">
        <f t="shared" si="588"/>
        <v>0</v>
      </c>
      <c r="K1307" s="49"/>
      <c r="L1307" s="41">
        <f t="shared" si="589"/>
        <v>0</v>
      </c>
      <c r="M1307" s="39"/>
      <c r="N1307" s="41">
        <f t="shared" si="590"/>
        <v>0</v>
      </c>
      <c r="O1307" s="49"/>
      <c r="P1307" s="41">
        <f t="shared" si="591"/>
        <v>0</v>
      </c>
      <c r="Q1307" s="39"/>
      <c r="R1307" s="41">
        <f t="shared" si="592"/>
        <v>0</v>
      </c>
      <c r="S1307" s="49"/>
      <c r="T1307" s="41">
        <f t="shared" si="593"/>
        <v>0</v>
      </c>
      <c r="U1307" s="39"/>
      <c r="V1307" s="41">
        <f t="shared" si="594"/>
        <v>0</v>
      </c>
      <c r="W1307" s="49"/>
      <c r="X1307" s="41">
        <f t="shared" si="595"/>
        <v>0</v>
      </c>
      <c r="Y1307" s="39"/>
      <c r="Z1307" s="41">
        <f t="shared" si="596"/>
        <v>0</v>
      </c>
      <c r="AA1307" s="49"/>
      <c r="AB1307" s="41">
        <f t="shared" si="597"/>
        <v>0</v>
      </c>
      <c r="AC1307" s="39"/>
      <c r="AD1307" s="41">
        <f t="shared" si="579"/>
        <v>0</v>
      </c>
      <c r="AE1307" s="49"/>
      <c r="AF1307" s="41">
        <f t="shared" si="598"/>
        <v>0</v>
      </c>
      <c r="AG1307" s="39"/>
      <c r="AH1307" s="41">
        <f t="shared" si="580"/>
        <v>0</v>
      </c>
      <c r="AI1307" s="49"/>
      <c r="AJ1307" s="41">
        <f t="shared" si="599"/>
        <v>0</v>
      </c>
      <c r="AK1307" s="39"/>
      <c r="AL1307" s="41">
        <f t="shared" si="581"/>
        <v>0</v>
      </c>
      <c r="AM1307" s="49"/>
      <c r="AN1307" s="41">
        <f t="shared" si="600"/>
        <v>0</v>
      </c>
      <c r="AO1307" s="39"/>
      <c r="AP1307" s="41">
        <f t="shared" si="582"/>
        <v>0</v>
      </c>
      <c r="AQ1307" s="49"/>
      <c r="AR1307" s="41">
        <f t="shared" si="601"/>
        <v>0</v>
      </c>
      <c r="AS1307" s="39"/>
      <c r="AT1307" s="41">
        <f t="shared" si="583"/>
        <v>0</v>
      </c>
      <c r="AU1307" s="49"/>
      <c r="AV1307" s="41">
        <f t="shared" si="602"/>
        <v>0</v>
      </c>
      <c r="AW1307" s="39"/>
      <c r="AX1307" s="41">
        <f t="shared" si="584"/>
        <v>0</v>
      </c>
      <c r="AY1307" s="49"/>
      <c r="AZ1307" s="41">
        <f t="shared" si="603"/>
        <v>0</v>
      </c>
      <c r="BA1307" s="39"/>
      <c r="BB1307" s="41">
        <f t="shared" si="585"/>
        <v>0</v>
      </c>
      <c r="BC1307" s="49"/>
      <c r="BD1307" s="41">
        <f t="shared" si="604"/>
        <v>0</v>
      </c>
      <c r="BE1307" s="39"/>
      <c r="BF1307" s="49"/>
    </row>
    <row r="1308" spans="1:58" ht="15.75" customHeight="1" x14ac:dyDescent="0.25">
      <c r="A1308" s="44">
        <v>2015</v>
      </c>
      <c r="B1308" s="39">
        <v>170900</v>
      </c>
      <c r="C1308" s="38" t="s">
        <v>149</v>
      </c>
      <c r="D1308" s="38" t="s">
        <v>60</v>
      </c>
      <c r="E1308" s="39"/>
      <c r="F1308" s="42">
        <f t="shared" si="586"/>
        <v>0</v>
      </c>
      <c r="G1308" s="49"/>
      <c r="H1308" s="42">
        <f t="shared" si="587"/>
        <v>0</v>
      </c>
      <c r="I1308" s="39"/>
      <c r="J1308" s="41">
        <f t="shared" si="588"/>
        <v>0</v>
      </c>
      <c r="K1308" s="49"/>
      <c r="L1308" s="41">
        <f t="shared" si="589"/>
        <v>0</v>
      </c>
      <c r="M1308" s="39"/>
      <c r="N1308" s="41">
        <f t="shared" si="590"/>
        <v>0</v>
      </c>
      <c r="O1308" s="49"/>
      <c r="P1308" s="41">
        <f t="shared" si="591"/>
        <v>0</v>
      </c>
      <c r="Q1308" s="39"/>
      <c r="R1308" s="41">
        <f t="shared" si="592"/>
        <v>0</v>
      </c>
      <c r="S1308" s="49"/>
      <c r="T1308" s="41">
        <f t="shared" si="593"/>
        <v>0</v>
      </c>
      <c r="U1308" s="39"/>
      <c r="V1308" s="41">
        <f t="shared" si="594"/>
        <v>0</v>
      </c>
      <c r="W1308" s="49"/>
      <c r="X1308" s="41">
        <f t="shared" si="595"/>
        <v>0</v>
      </c>
      <c r="Y1308" s="39"/>
      <c r="Z1308" s="41">
        <f t="shared" si="596"/>
        <v>0</v>
      </c>
      <c r="AA1308" s="49"/>
      <c r="AB1308" s="41">
        <f t="shared" si="597"/>
        <v>0</v>
      </c>
      <c r="AC1308" s="39"/>
      <c r="AD1308" s="41">
        <f t="shared" si="579"/>
        <v>0</v>
      </c>
      <c r="AE1308" s="49"/>
      <c r="AF1308" s="41">
        <f t="shared" si="598"/>
        <v>0</v>
      </c>
      <c r="AG1308" s="39"/>
      <c r="AH1308" s="41">
        <f t="shared" si="580"/>
        <v>0</v>
      </c>
      <c r="AI1308" s="49"/>
      <c r="AJ1308" s="41">
        <f t="shared" si="599"/>
        <v>0</v>
      </c>
      <c r="AK1308" s="39"/>
      <c r="AL1308" s="41">
        <f t="shared" si="581"/>
        <v>0</v>
      </c>
      <c r="AM1308" s="49"/>
      <c r="AN1308" s="41">
        <f t="shared" si="600"/>
        <v>0</v>
      </c>
      <c r="AO1308" s="39"/>
      <c r="AP1308" s="41">
        <f t="shared" si="582"/>
        <v>0</v>
      </c>
      <c r="AQ1308" s="49"/>
      <c r="AR1308" s="41">
        <f t="shared" si="601"/>
        <v>0</v>
      </c>
      <c r="AS1308" s="39"/>
      <c r="AT1308" s="41">
        <f t="shared" si="583"/>
        <v>0</v>
      </c>
      <c r="AU1308" s="49"/>
      <c r="AV1308" s="41">
        <f t="shared" si="602"/>
        <v>0</v>
      </c>
      <c r="AW1308" s="39"/>
      <c r="AX1308" s="41">
        <f t="shared" si="584"/>
        <v>0</v>
      </c>
      <c r="AY1308" s="49"/>
      <c r="AZ1308" s="41">
        <f t="shared" si="603"/>
        <v>0</v>
      </c>
      <c r="BA1308" s="39"/>
      <c r="BB1308" s="41">
        <f t="shared" si="585"/>
        <v>0</v>
      </c>
      <c r="BC1308" s="49"/>
      <c r="BD1308" s="41">
        <f t="shared" si="604"/>
        <v>0</v>
      </c>
      <c r="BE1308" s="39"/>
      <c r="BF1308" s="49"/>
    </row>
    <row r="1309" spans="1:58" ht="15.75" customHeight="1" x14ac:dyDescent="0.25">
      <c r="A1309" s="44">
        <v>2015</v>
      </c>
      <c r="B1309" s="39">
        <v>170930</v>
      </c>
      <c r="C1309" s="38" t="s">
        <v>150</v>
      </c>
      <c r="D1309" s="38" t="s">
        <v>61</v>
      </c>
      <c r="E1309" s="39"/>
      <c r="F1309" s="42">
        <f t="shared" si="586"/>
        <v>0</v>
      </c>
      <c r="G1309" s="49"/>
      <c r="H1309" s="42">
        <f t="shared" si="587"/>
        <v>0</v>
      </c>
      <c r="I1309" s="39"/>
      <c r="J1309" s="41">
        <f t="shared" si="588"/>
        <v>0</v>
      </c>
      <c r="K1309" s="49"/>
      <c r="L1309" s="41">
        <f t="shared" si="589"/>
        <v>0</v>
      </c>
      <c r="M1309" s="39"/>
      <c r="N1309" s="41">
        <f t="shared" si="590"/>
        <v>0</v>
      </c>
      <c r="O1309" s="49"/>
      <c r="P1309" s="41">
        <f t="shared" si="591"/>
        <v>0</v>
      </c>
      <c r="Q1309" s="39"/>
      <c r="R1309" s="41">
        <f t="shared" si="592"/>
        <v>0</v>
      </c>
      <c r="S1309" s="49"/>
      <c r="T1309" s="41">
        <f t="shared" si="593"/>
        <v>0</v>
      </c>
      <c r="U1309" s="39"/>
      <c r="V1309" s="41">
        <f t="shared" si="594"/>
        <v>0</v>
      </c>
      <c r="W1309" s="49"/>
      <c r="X1309" s="41">
        <f t="shared" si="595"/>
        <v>0</v>
      </c>
      <c r="Y1309" s="39"/>
      <c r="Z1309" s="41">
        <f t="shared" si="596"/>
        <v>0</v>
      </c>
      <c r="AA1309" s="49"/>
      <c r="AB1309" s="41">
        <f t="shared" si="597"/>
        <v>0</v>
      </c>
      <c r="AC1309" s="39"/>
      <c r="AD1309" s="41">
        <f t="shared" si="579"/>
        <v>0</v>
      </c>
      <c r="AE1309" s="49"/>
      <c r="AF1309" s="41">
        <f t="shared" si="598"/>
        <v>0</v>
      </c>
      <c r="AG1309" s="39"/>
      <c r="AH1309" s="41">
        <f t="shared" si="580"/>
        <v>0</v>
      </c>
      <c r="AI1309" s="49"/>
      <c r="AJ1309" s="41">
        <f t="shared" si="599"/>
        <v>0</v>
      </c>
      <c r="AK1309" s="39"/>
      <c r="AL1309" s="41">
        <f t="shared" si="581"/>
        <v>0</v>
      </c>
      <c r="AM1309" s="49"/>
      <c r="AN1309" s="41">
        <f t="shared" si="600"/>
        <v>0</v>
      </c>
      <c r="AO1309" s="39"/>
      <c r="AP1309" s="41">
        <f t="shared" si="582"/>
        <v>0</v>
      </c>
      <c r="AQ1309" s="49"/>
      <c r="AR1309" s="41">
        <f t="shared" si="601"/>
        <v>0</v>
      </c>
      <c r="AS1309" s="39"/>
      <c r="AT1309" s="41">
        <f t="shared" si="583"/>
        <v>0</v>
      </c>
      <c r="AU1309" s="49"/>
      <c r="AV1309" s="41">
        <f t="shared" si="602"/>
        <v>0</v>
      </c>
      <c r="AW1309" s="39"/>
      <c r="AX1309" s="41">
        <f t="shared" si="584"/>
        <v>0</v>
      </c>
      <c r="AY1309" s="49"/>
      <c r="AZ1309" s="41">
        <f t="shared" si="603"/>
        <v>0</v>
      </c>
      <c r="BA1309" s="39"/>
      <c r="BB1309" s="41">
        <f t="shared" si="585"/>
        <v>0</v>
      </c>
      <c r="BC1309" s="49"/>
      <c r="BD1309" s="41">
        <f t="shared" si="604"/>
        <v>0</v>
      </c>
      <c r="BE1309" s="39"/>
      <c r="BF1309" s="49"/>
    </row>
    <row r="1310" spans="1:58" ht="15.75" customHeight="1" x14ac:dyDescent="0.25">
      <c r="A1310" s="44">
        <v>2015</v>
      </c>
      <c r="B1310" s="39">
        <v>170950</v>
      </c>
      <c r="C1310" s="38" t="s">
        <v>146</v>
      </c>
      <c r="D1310" s="38" t="s">
        <v>62</v>
      </c>
      <c r="E1310" s="39"/>
      <c r="F1310" s="42">
        <f t="shared" si="586"/>
        <v>0</v>
      </c>
      <c r="G1310" s="49"/>
      <c r="H1310" s="42">
        <f t="shared" si="587"/>
        <v>0</v>
      </c>
      <c r="I1310" s="39"/>
      <c r="J1310" s="41">
        <f t="shared" si="588"/>
        <v>0</v>
      </c>
      <c r="K1310" s="49"/>
      <c r="L1310" s="41">
        <f t="shared" si="589"/>
        <v>0</v>
      </c>
      <c r="M1310" s="39"/>
      <c r="N1310" s="41">
        <f t="shared" si="590"/>
        <v>0</v>
      </c>
      <c r="O1310" s="50"/>
      <c r="P1310" s="41">
        <f t="shared" si="591"/>
        <v>0</v>
      </c>
      <c r="Q1310" s="39"/>
      <c r="R1310" s="41">
        <f t="shared" si="592"/>
        <v>0</v>
      </c>
      <c r="S1310" s="49"/>
      <c r="T1310" s="41">
        <f t="shared" si="593"/>
        <v>0</v>
      </c>
      <c r="U1310" s="39"/>
      <c r="V1310" s="41">
        <f t="shared" si="594"/>
        <v>0</v>
      </c>
      <c r="W1310" s="49"/>
      <c r="X1310" s="41">
        <f t="shared" si="595"/>
        <v>0</v>
      </c>
      <c r="Y1310" s="39"/>
      <c r="Z1310" s="41">
        <f t="shared" si="596"/>
        <v>0</v>
      </c>
      <c r="AA1310" s="49"/>
      <c r="AB1310" s="41">
        <f t="shared" si="597"/>
        <v>0</v>
      </c>
      <c r="AC1310" s="39"/>
      <c r="AD1310" s="41">
        <f t="shared" si="579"/>
        <v>0</v>
      </c>
      <c r="AE1310" s="50"/>
      <c r="AF1310" s="41">
        <f t="shared" si="598"/>
        <v>0</v>
      </c>
      <c r="AG1310" s="39"/>
      <c r="AH1310" s="41">
        <f t="shared" si="580"/>
        <v>0</v>
      </c>
      <c r="AI1310" s="49"/>
      <c r="AJ1310" s="41">
        <f t="shared" si="599"/>
        <v>0</v>
      </c>
      <c r="AK1310" s="39"/>
      <c r="AL1310" s="41">
        <f t="shared" si="581"/>
        <v>0</v>
      </c>
      <c r="AM1310" s="49"/>
      <c r="AN1310" s="41">
        <f t="shared" si="600"/>
        <v>0</v>
      </c>
      <c r="AO1310" s="39"/>
      <c r="AP1310" s="41">
        <f t="shared" si="582"/>
        <v>0</v>
      </c>
      <c r="AQ1310" s="50"/>
      <c r="AR1310" s="41">
        <f t="shared" si="601"/>
        <v>0</v>
      </c>
      <c r="AS1310" s="39"/>
      <c r="AT1310" s="41">
        <f t="shared" si="583"/>
        <v>0</v>
      </c>
      <c r="AU1310" s="49"/>
      <c r="AV1310" s="41">
        <f t="shared" si="602"/>
        <v>0</v>
      </c>
      <c r="AW1310" s="39"/>
      <c r="AX1310" s="41">
        <f t="shared" si="584"/>
        <v>0</v>
      </c>
      <c r="AY1310" s="49"/>
      <c r="AZ1310" s="41">
        <f t="shared" si="603"/>
        <v>0</v>
      </c>
      <c r="BA1310" s="39"/>
      <c r="BB1310" s="41">
        <f t="shared" si="585"/>
        <v>0</v>
      </c>
      <c r="BC1310" s="49"/>
      <c r="BD1310" s="41">
        <f t="shared" si="604"/>
        <v>0</v>
      </c>
      <c r="BE1310" s="39"/>
      <c r="BF1310" s="50"/>
    </row>
    <row r="1311" spans="1:58" ht="15.75" customHeight="1" x14ac:dyDescent="0.25">
      <c r="A1311" s="44">
        <v>2015</v>
      </c>
      <c r="B1311" s="39">
        <v>170980</v>
      </c>
      <c r="C1311" s="38" t="s">
        <v>151</v>
      </c>
      <c r="D1311" s="38" t="s">
        <v>63</v>
      </c>
      <c r="E1311" s="39"/>
      <c r="F1311" s="42">
        <f t="shared" si="586"/>
        <v>0</v>
      </c>
      <c r="G1311" s="49"/>
      <c r="H1311" s="42">
        <f t="shared" si="587"/>
        <v>0</v>
      </c>
      <c r="I1311" s="39"/>
      <c r="J1311" s="41">
        <f t="shared" si="588"/>
        <v>0</v>
      </c>
      <c r="K1311" s="49"/>
      <c r="L1311" s="41">
        <f t="shared" si="589"/>
        <v>0</v>
      </c>
      <c r="M1311" s="39"/>
      <c r="N1311" s="41">
        <f t="shared" si="590"/>
        <v>0</v>
      </c>
      <c r="O1311" s="49"/>
      <c r="P1311" s="41">
        <f t="shared" si="591"/>
        <v>0</v>
      </c>
      <c r="Q1311" s="39"/>
      <c r="R1311" s="41">
        <f t="shared" si="592"/>
        <v>0</v>
      </c>
      <c r="S1311" s="49"/>
      <c r="T1311" s="41">
        <f t="shared" si="593"/>
        <v>0</v>
      </c>
      <c r="U1311" s="39"/>
      <c r="V1311" s="41">
        <f t="shared" si="594"/>
        <v>0</v>
      </c>
      <c r="W1311" s="49"/>
      <c r="X1311" s="41">
        <f t="shared" si="595"/>
        <v>0</v>
      </c>
      <c r="Y1311" s="39"/>
      <c r="Z1311" s="41">
        <f t="shared" si="596"/>
        <v>0</v>
      </c>
      <c r="AA1311" s="49"/>
      <c r="AB1311" s="41">
        <f t="shared" si="597"/>
        <v>0</v>
      </c>
      <c r="AC1311" s="39"/>
      <c r="AD1311" s="41">
        <f t="shared" si="579"/>
        <v>0</v>
      </c>
      <c r="AE1311" s="49"/>
      <c r="AF1311" s="41">
        <f t="shared" si="598"/>
        <v>0</v>
      </c>
      <c r="AG1311" s="39"/>
      <c r="AH1311" s="41">
        <f t="shared" si="580"/>
        <v>0</v>
      </c>
      <c r="AI1311" s="49"/>
      <c r="AJ1311" s="41">
        <f t="shared" si="599"/>
        <v>0</v>
      </c>
      <c r="AK1311" s="39"/>
      <c r="AL1311" s="41">
        <f t="shared" si="581"/>
        <v>0</v>
      </c>
      <c r="AM1311" s="49"/>
      <c r="AN1311" s="41">
        <f t="shared" si="600"/>
        <v>0</v>
      </c>
      <c r="AO1311" s="39"/>
      <c r="AP1311" s="41">
        <f t="shared" si="582"/>
        <v>0</v>
      </c>
      <c r="AQ1311" s="49"/>
      <c r="AR1311" s="41">
        <f t="shared" si="601"/>
        <v>0</v>
      </c>
      <c r="AS1311" s="39"/>
      <c r="AT1311" s="41">
        <f t="shared" si="583"/>
        <v>0</v>
      </c>
      <c r="AU1311" s="49"/>
      <c r="AV1311" s="41">
        <f t="shared" si="602"/>
        <v>0</v>
      </c>
      <c r="AW1311" s="39"/>
      <c r="AX1311" s="41">
        <f t="shared" si="584"/>
        <v>0</v>
      </c>
      <c r="AY1311" s="49"/>
      <c r="AZ1311" s="41">
        <f t="shared" si="603"/>
        <v>0</v>
      </c>
      <c r="BA1311" s="39"/>
      <c r="BB1311" s="41">
        <f t="shared" si="585"/>
        <v>0</v>
      </c>
      <c r="BC1311" s="49"/>
      <c r="BD1311" s="41">
        <f t="shared" si="604"/>
        <v>0</v>
      </c>
      <c r="BE1311" s="39"/>
      <c r="BF1311" s="49"/>
    </row>
    <row r="1312" spans="1:58" ht="15.75" customHeight="1" x14ac:dyDescent="0.25">
      <c r="A1312" s="44">
        <v>2015</v>
      </c>
      <c r="B1312" s="39">
        <v>171050</v>
      </c>
      <c r="C1312" s="38" t="s">
        <v>150</v>
      </c>
      <c r="D1312" s="38" t="s">
        <v>64</v>
      </c>
      <c r="E1312" s="39"/>
      <c r="F1312" s="42">
        <f t="shared" si="586"/>
        <v>0</v>
      </c>
      <c r="G1312" s="49"/>
      <c r="H1312" s="42">
        <f t="shared" si="587"/>
        <v>0</v>
      </c>
      <c r="I1312" s="39"/>
      <c r="J1312" s="41">
        <f t="shared" si="588"/>
        <v>0</v>
      </c>
      <c r="K1312" s="49"/>
      <c r="L1312" s="41">
        <f t="shared" si="589"/>
        <v>0</v>
      </c>
      <c r="M1312" s="39"/>
      <c r="N1312" s="41">
        <f t="shared" si="590"/>
        <v>0</v>
      </c>
      <c r="O1312" s="49"/>
      <c r="P1312" s="41">
        <f t="shared" si="591"/>
        <v>0</v>
      </c>
      <c r="Q1312" s="39"/>
      <c r="R1312" s="41">
        <f t="shared" si="592"/>
        <v>0</v>
      </c>
      <c r="S1312" s="49"/>
      <c r="T1312" s="41">
        <f t="shared" si="593"/>
        <v>0</v>
      </c>
      <c r="U1312" s="39"/>
      <c r="V1312" s="41">
        <f t="shared" si="594"/>
        <v>0</v>
      </c>
      <c r="W1312" s="49"/>
      <c r="X1312" s="41">
        <f t="shared" si="595"/>
        <v>0</v>
      </c>
      <c r="Y1312" s="39"/>
      <c r="Z1312" s="41">
        <f t="shared" si="596"/>
        <v>0</v>
      </c>
      <c r="AA1312" s="49"/>
      <c r="AB1312" s="41">
        <f t="shared" si="597"/>
        <v>0</v>
      </c>
      <c r="AC1312" s="39"/>
      <c r="AD1312" s="41">
        <f t="shared" si="579"/>
        <v>0</v>
      </c>
      <c r="AE1312" s="49"/>
      <c r="AF1312" s="41">
        <f t="shared" si="598"/>
        <v>0</v>
      </c>
      <c r="AG1312" s="39"/>
      <c r="AH1312" s="41">
        <f t="shared" si="580"/>
        <v>0</v>
      </c>
      <c r="AI1312" s="49"/>
      <c r="AJ1312" s="41">
        <f t="shared" si="599"/>
        <v>0</v>
      </c>
      <c r="AK1312" s="39"/>
      <c r="AL1312" s="41">
        <f t="shared" si="581"/>
        <v>0</v>
      </c>
      <c r="AM1312" s="49"/>
      <c r="AN1312" s="41">
        <f t="shared" si="600"/>
        <v>0</v>
      </c>
      <c r="AO1312" s="39"/>
      <c r="AP1312" s="41">
        <f t="shared" si="582"/>
        <v>0</v>
      </c>
      <c r="AQ1312" s="49"/>
      <c r="AR1312" s="41">
        <f t="shared" si="601"/>
        <v>0</v>
      </c>
      <c r="AS1312" s="39"/>
      <c r="AT1312" s="41">
        <f t="shared" si="583"/>
        <v>0</v>
      </c>
      <c r="AU1312" s="49"/>
      <c r="AV1312" s="41">
        <f t="shared" si="602"/>
        <v>0</v>
      </c>
      <c r="AW1312" s="39"/>
      <c r="AX1312" s="41">
        <f t="shared" si="584"/>
        <v>0</v>
      </c>
      <c r="AY1312" s="49"/>
      <c r="AZ1312" s="41">
        <f t="shared" si="603"/>
        <v>0</v>
      </c>
      <c r="BA1312" s="39"/>
      <c r="BB1312" s="41">
        <f t="shared" si="585"/>
        <v>0</v>
      </c>
      <c r="BC1312" s="49"/>
      <c r="BD1312" s="41">
        <f t="shared" si="604"/>
        <v>0</v>
      </c>
      <c r="BE1312" s="39"/>
      <c r="BF1312" s="49"/>
    </row>
    <row r="1313" spans="1:58" ht="15.75" customHeight="1" x14ac:dyDescent="0.25">
      <c r="A1313" s="44">
        <v>2015</v>
      </c>
      <c r="B1313" s="39">
        <v>171070</v>
      </c>
      <c r="C1313" s="38" t="s">
        <v>145</v>
      </c>
      <c r="D1313" s="38" t="s">
        <v>65</v>
      </c>
      <c r="E1313" s="39"/>
      <c r="F1313" s="42">
        <f t="shared" si="586"/>
        <v>0</v>
      </c>
      <c r="G1313" s="49"/>
      <c r="H1313" s="42">
        <f t="shared" si="587"/>
        <v>0</v>
      </c>
      <c r="I1313" s="39"/>
      <c r="J1313" s="41">
        <f t="shared" si="588"/>
        <v>0</v>
      </c>
      <c r="K1313" s="49"/>
      <c r="L1313" s="41">
        <f t="shared" si="589"/>
        <v>0</v>
      </c>
      <c r="M1313" s="39"/>
      <c r="N1313" s="41">
        <f t="shared" si="590"/>
        <v>0</v>
      </c>
      <c r="O1313" s="49"/>
      <c r="P1313" s="41">
        <f t="shared" si="591"/>
        <v>0</v>
      </c>
      <c r="Q1313" s="39"/>
      <c r="R1313" s="41">
        <f t="shared" si="592"/>
        <v>0</v>
      </c>
      <c r="S1313" s="49"/>
      <c r="T1313" s="41">
        <f t="shared" si="593"/>
        <v>0</v>
      </c>
      <c r="U1313" s="39"/>
      <c r="V1313" s="41">
        <f t="shared" si="594"/>
        <v>0</v>
      </c>
      <c r="W1313" s="49"/>
      <c r="X1313" s="41">
        <f t="shared" si="595"/>
        <v>0</v>
      </c>
      <c r="Y1313" s="39"/>
      <c r="Z1313" s="41">
        <f t="shared" si="596"/>
        <v>0</v>
      </c>
      <c r="AA1313" s="49"/>
      <c r="AB1313" s="41">
        <f t="shared" si="597"/>
        <v>0</v>
      </c>
      <c r="AC1313" s="39"/>
      <c r="AD1313" s="41">
        <f t="shared" si="579"/>
        <v>0</v>
      </c>
      <c r="AE1313" s="49"/>
      <c r="AF1313" s="41">
        <f t="shared" si="598"/>
        <v>0</v>
      </c>
      <c r="AG1313" s="39"/>
      <c r="AH1313" s="41">
        <f t="shared" si="580"/>
        <v>0</v>
      </c>
      <c r="AI1313" s="49"/>
      <c r="AJ1313" s="41">
        <f t="shared" si="599"/>
        <v>0</v>
      </c>
      <c r="AK1313" s="39"/>
      <c r="AL1313" s="41">
        <f t="shared" si="581"/>
        <v>0</v>
      </c>
      <c r="AM1313" s="49"/>
      <c r="AN1313" s="41">
        <f t="shared" si="600"/>
        <v>0</v>
      </c>
      <c r="AO1313" s="39"/>
      <c r="AP1313" s="41">
        <f t="shared" si="582"/>
        <v>0</v>
      </c>
      <c r="AQ1313" s="49"/>
      <c r="AR1313" s="41">
        <f t="shared" si="601"/>
        <v>0</v>
      </c>
      <c r="AS1313" s="39"/>
      <c r="AT1313" s="41">
        <f t="shared" si="583"/>
        <v>0</v>
      </c>
      <c r="AU1313" s="49"/>
      <c r="AV1313" s="41">
        <f t="shared" si="602"/>
        <v>0</v>
      </c>
      <c r="AW1313" s="39"/>
      <c r="AX1313" s="41">
        <f t="shared" si="584"/>
        <v>0</v>
      </c>
      <c r="AY1313" s="49"/>
      <c r="AZ1313" s="41">
        <f t="shared" si="603"/>
        <v>0</v>
      </c>
      <c r="BA1313" s="39"/>
      <c r="BB1313" s="41">
        <f t="shared" si="585"/>
        <v>0</v>
      </c>
      <c r="BC1313" s="49"/>
      <c r="BD1313" s="41">
        <f t="shared" si="604"/>
        <v>0</v>
      </c>
      <c r="BE1313" s="39"/>
      <c r="BF1313" s="49"/>
    </row>
    <row r="1314" spans="1:58" ht="15.75" customHeight="1" x14ac:dyDescent="0.25">
      <c r="A1314" s="44">
        <v>2015</v>
      </c>
      <c r="B1314" s="39">
        <v>171090</v>
      </c>
      <c r="C1314" s="38" t="s">
        <v>150</v>
      </c>
      <c r="D1314" s="38" t="s">
        <v>66</v>
      </c>
      <c r="E1314" s="39"/>
      <c r="F1314" s="42">
        <f t="shared" si="586"/>
        <v>0</v>
      </c>
      <c r="G1314" s="49"/>
      <c r="H1314" s="42">
        <f t="shared" si="587"/>
        <v>0</v>
      </c>
      <c r="I1314" s="39"/>
      <c r="J1314" s="41">
        <f t="shared" si="588"/>
        <v>0</v>
      </c>
      <c r="K1314" s="49"/>
      <c r="L1314" s="41">
        <f t="shared" si="589"/>
        <v>0</v>
      </c>
      <c r="M1314" s="39"/>
      <c r="N1314" s="41">
        <f t="shared" si="590"/>
        <v>0</v>
      </c>
      <c r="O1314" s="49"/>
      <c r="P1314" s="41">
        <f t="shared" si="591"/>
        <v>0</v>
      </c>
      <c r="Q1314" s="39"/>
      <c r="R1314" s="41">
        <f t="shared" si="592"/>
        <v>0</v>
      </c>
      <c r="S1314" s="49"/>
      <c r="T1314" s="41">
        <f t="shared" si="593"/>
        <v>0</v>
      </c>
      <c r="U1314" s="39"/>
      <c r="V1314" s="41">
        <f t="shared" si="594"/>
        <v>0</v>
      </c>
      <c r="W1314" s="49"/>
      <c r="X1314" s="41">
        <f t="shared" si="595"/>
        <v>0</v>
      </c>
      <c r="Y1314" s="39"/>
      <c r="Z1314" s="41">
        <f t="shared" si="596"/>
        <v>0</v>
      </c>
      <c r="AA1314" s="49"/>
      <c r="AB1314" s="41">
        <f t="shared" si="597"/>
        <v>0</v>
      </c>
      <c r="AC1314" s="39"/>
      <c r="AD1314" s="41">
        <f t="shared" si="579"/>
        <v>0</v>
      </c>
      <c r="AE1314" s="49"/>
      <c r="AF1314" s="41">
        <f t="shared" si="598"/>
        <v>0</v>
      </c>
      <c r="AG1314" s="39"/>
      <c r="AH1314" s="41">
        <f t="shared" si="580"/>
        <v>0</v>
      </c>
      <c r="AI1314" s="49"/>
      <c r="AJ1314" s="41">
        <f t="shared" si="599"/>
        <v>0</v>
      </c>
      <c r="AK1314" s="39"/>
      <c r="AL1314" s="41">
        <f t="shared" si="581"/>
        <v>0</v>
      </c>
      <c r="AM1314" s="49"/>
      <c r="AN1314" s="41">
        <f t="shared" si="600"/>
        <v>0</v>
      </c>
      <c r="AO1314" s="39"/>
      <c r="AP1314" s="41">
        <f t="shared" si="582"/>
        <v>0</v>
      </c>
      <c r="AQ1314" s="49"/>
      <c r="AR1314" s="41">
        <f t="shared" si="601"/>
        <v>0</v>
      </c>
      <c r="AS1314" s="39"/>
      <c r="AT1314" s="41">
        <f t="shared" si="583"/>
        <v>0</v>
      </c>
      <c r="AU1314" s="49"/>
      <c r="AV1314" s="41">
        <f t="shared" si="602"/>
        <v>0</v>
      </c>
      <c r="AW1314" s="39"/>
      <c r="AX1314" s="41">
        <f t="shared" si="584"/>
        <v>0</v>
      </c>
      <c r="AY1314" s="49"/>
      <c r="AZ1314" s="41">
        <f t="shared" si="603"/>
        <v>0</v>
      </c>
      <c r="BA1314" s="39"/>
      <c r="BB1314" s="41">
        <f t="shared" si="585"/>
        <v>0</v>
      </c>
      <c r="BC1314" s="49"/>
      <c r="BD1314" s="41">
        <f t="shared" si="604"/>
        <v>0</v>
      </c>
      <c r="BE1314" s="39"/>
      <c r="BF1314" s="49"/>
    </row>
    <row r="1315" spans="1:58" ht="15.75" customHeight="1" x14ac:dyDescent="0.25">
      <c r="A1315" s="44">
        <v>2015</v>
      </c>
      <c r="B1315" s="39">
        <v>171110</v>
      </c>
      <c r="C1315" s="38" t="s">
        <v>150</v>
      </c>
      <c r="D1315" s="38" t="s">
        <v>67</v>
      </c>
      <c r="E1315" s="39"/>
      <c r="F1315" s="42">
        <f t="shared" si="586"/>
        <v>0</v>
      </c>
      <c r="G1315" s="49"/>
      <c r="H1315" s="42">
        <f t="shared" si="587"/>
        <v>0</v>
      </c>
      <c r="I1315" s="39"/>
      <c r="J1315" s="41">
        <f t="shared" si="588"/>
        <v>0</v>
      </c>
      <c r="K1315" s="49"/>
      <c r="L1315" s="41">
        <f t="shared" si="589"/>
        <v>0</v>
      </c>
      <c r="M1315" s="39"/>
      <c r="N1315" s="41">
        <f t="shared" si="590"/>
        <v>0</v>
      </c>
      <c r="O1315" s="49"/>
      <c r="P1315" s="41">
        <f t="shared" si="591"/>
        <v>0</v>
      </c>
      <c r="Q1315" s="39"/>
      <c r="R1315" s="41">
        <f t="shared" si="592"/>
        <v>0</v>
      </c>
      <c r="S1315" s="49"/>
      <c r="T1315" s="41">
        <f t="shared" si="593"/>
        <v>0</v>
      </c>
      <c r="U1315" s="39"/>
      <c r="V1315" s="41">
        <f t="shared" si="594"/>
        <v>0</v>
      </c>
      <c r="W1315" s="49"/>
      <c r="X1315" s="41">
        <f t="shared" si="595"/>
        <v>0</v>
      </c>
      <c r="Y1315" s="39"/>
      <c r="Z1315" s="41">
        <f t="shared" si="596"/>
        <v>0</v>
      </c>
      <c r="AA1315" s="49"/>
      <c r="AB1315" s="41">
        <f t="shared" si="597"/>
        <v>0</v>
      </c>
      <c r="AC1315" s="39"/>
      <c r="AD1315" s="41">
        <f t="shared" si="579"/>
        <v>0</v>
      </c>
      <c r="AE1315" s="49"/>
      <c r="AF1315" s="41">
        <f t="shared" si="598"/>
        <v>0</v>
      </c>
      <c r="AG1315" s="39"/>
      <c r="AH1315" s="41">
        <f t="shared" si="580"/>
        <v>0</v>
      </c>
      <c r="AI1315" s="49"/>
      <c r="AJ1315" s="41">
        <f t="shared" si="599"/>
        <v>0</v>
      </c>
      <c r="AK1315" s="39"/>
      <c r="AL1315" s="41">
        <f t="shared" si="581"/>
        <v>0</v>
      </c>
      <c r="AM1315" s="49"/>
      <c r="AN1315" s="41">
        <f t="shared" si="600"/>
        <v>0</v>
      </c>
      <c r="AO1315" s="39"/>
      <c r="AP1315" s="41">
        <f t="shared" si="582"/>
        <v>0</v>
      </c>
      <c r="AQ1315" s="49"/>
      <c r="AR1315" s="41">
        <f t="shared" si="601"/>
        <v>0</v>
      </c>
      <c r="AS1315" s="39"/>
      <c r="AT1315" s="41">
        <f t="shared" si="583"/>
        <v>0</v>
      </c>
      <c r="AU1315" s="49"/>
      <c r="AV1315" s="41">
        <f t="shared" si="602"/>
        <v>0</v>
      </c>
      <c r="AW1315" s="39"/>
      <c r="AX1315" s="41">
        <f t="shared" si="584"/>
        <v>0</v>
      </c>
      <c r="AY1315" s="49"/>
      <c r="AZ1315" s="41">
        <f t="shared" si="603"/>
        <v>0</v>
      </c>
      <c r="BA1315" s="39"/>
      <c r="BB1315" s="41">
        <f t="shared" si="585"/>
        <v>0</v>
      </c>
      <c r="BC1315" s="49"/>
      <c r="BD1315" s="41">
        <f t="shared" si="604"/>
        <v>0</v>
      </c>
      <c r="BE1315" s="39"/>
      <c r="BF1315" s="49"/>
    </row>
    <row r="1316" spans="1:58" ht="15.75" customHeight="1" x14ac:dyDescent="0.25">
      <c r="A1316" s="44">
        <v>2015</v>
      </c>
      <c r="B1316" s="39">
        <v>171150</v>
      </c>
      <c r="C1316" s="38" t="s">
        <v>146</v>
      </c>
      <c r="D1316" s="38" t="s">
        <v>68</v>
      </c>
      <c r="E1316" s="39"/>
      <c r="F1316" s="42">
        <f t="shared" si="586"/>
        <v>0</v>
      </c>
      <c r="G1316" s="49"/>
      <c r="H1316" s="42">
        <f t="shared" si="587"/>
        <v>0</v>
      </c>
      <c r="I1316" s="39"/>
      <c r="J1316" s="41">
        <f t="shared" si="588"/>
        <v>0</v>
      </c>
      <c r="K1316" s="49"/>
      <c r="L1316" s="41">
        <f t="shared" si="589"/>
        <v>0</v>
      </c>
      <c r="M1316" s="39"/>
      <c r="N1316" s="41">
        <f t="shared" si="590"/>
        <v>0</v>
      </c>
      <c r="O1316" s="49"/>
      <c r="P1316" s="41">
        <f t="shared" si="591"/>
        <v>0</v>
      </c>
      <c r="Q1316" s="39"/>
      <c r="R1316" s="41">
        <f t="shared" si="592"/>
        <v>0</v>
      </c>
      <c r="S1316" s="49"/>
      <c r="T1316" s="41">
        <f t="shared" si="593"/>
        <v>0</v>
      </c>
      <c r="U1316" s="39"/>
      <c r="V1316" s="41">
        <f t="shared" si="594"/>
        <v>0</v>
      </c>
      <c r="W1316" s="49"/>
      <c r="X1316" s="41">
        <f t="shared" si="595"/>
        <v>0</v>
      </c>
      <c r="Y1316" s="39"/>
      <c r="Z1316" s="41">
        <f t="shared" si="596"/>
        <v>0</v>
      </c>
      <c r="AA1316" s="49"/>
      <c r="AB1316" s="41">
        <f t="shared" si="597"/>
        <v>0</v>
      </c>
      <c r="AC1316" s="39"/>
      <c r="AD1316" s="41">
        <f t="shared" si="579"/>
        <v>0</v>
      </c>
      <c r="AE1316" s="49"/>
      <c r="AF1316" s="41">
        <f t="shared" si="598"/>
        <v>0</v>
      </c>
      <c r="AG1316" s="39"/>
      <c r="AH1316" s="41">
        <f t="shared" si="580"/>
        <v>0</v>
      </c>
      <c r="AI1316" s="49"/>
      <c r="AJ1316" s="41">
        <f t="shared" si="599"/>
        <v>0</v>
      </c>
      <c r="AK1316" s="39"/>
      <c r="AL1316" s="41">
        <f t="shared" si="581"/>
        <v>0</v>
      </c>
      <c r="AM1316" s="49"/>
      <c r="AN1316" s="41">
        <f t="shared" si="600"/>
        <v>0</v>
      </c>
      <c r="AO1316" s="39"/>
      <c r="AP1316" s="41">
        <f t="shared" si="582"/>
        <v>0</v>
      </c>
      <c r="AQ1316" s="49"/>
      <c r="AR1316" s="41">
        <f t="shared" si="601"/>
        <v>0</v>
      </c>
      <c r="AS1316" s="39"/>
      <c r="AT1316" s="41">
        <f t="shared" si="583"/>
        <v>0</v>
      </c>
      <c r="AU1316" s="49"/>
      <c r="AV1316" s="41">
        <f t="shared" si="602"/>
        <v>0</v>
      </c>
      <c r="AW1316" s="39"/>
      <c r="AX1316" s="41">
        <f t="shared" si="584"/>
        <v>0</v>
      </c>
      <c r="AY1316" s="49"/>
      <c r="AZ1316" s="41">
        <f t="shared" si="603"/>
        <v>0</v>
      </c>
      <c r="BA1316" s="39"/>
      <c r="BB1316" s="41">
        <f t="shared" si="585"/>
        <v>0</v>
      </c>
      <c r="BC1316" s="49"/>
      <c r="BD1316" s="41">
        <f t="shared" si="604"/>
        <v>0</v>
      </c>
      <c r="BE1316" s="39"/>
      <c r="BF1316" s="49"/>
    </row>
    <row r="1317" spans="1:58" ht="15.75" customHeight="1" x14ac:dyDescent="0.25">
      <c r="A1317" s="44">
        <v>2015</v>
      </c>
      <c r="B1317" s="39">
        <v>171180</v>
      </c>
      <c r="C1317" s="38" t="s">
        <v>150</v>
      </c>
      <c r="D1317" s="38" t="s">
        <v>69</v>
      </c>
      <c r="E1317" s="39"/>
      <c r="F1317" s="42">
        <f t="shared" si="586"/>
        <v>0</v>
      </c>
      <c r="G1317" s="49"/>
      <c r="H1317" s="42">
        <f t="shared" si="587"/>
        <v>0</v>
      </c>
      <c r="I1317" s="39"/>
      <c r="J1317" s="41">
        <f t="shared" si="588"/>
        <v>0</v>
      </c>
      <c r="K1317" s="49"/>
      <c r="L1317" s="41">
        <f t="shared" si="589"/>
        <v>0</v>
      </c>
      <c r="M1317" s="39"/>
      <c r="N1317" s="41">
        <f t="shared" si="590"/>
        <v>0</v>
      </c>
      <c r="O1317" s="49"/>
      <c r="P1317" s="41">
        <f t="shared" si="591"/>
        <v>0</v>
      </c>
      <c r="Q1317" s="39"/>
      <c r="R1317" s="41">
        <f t="shared" si="592"/>
        <v>0</v>
      </c>
      <c r="S1317" s="49"/>
      <c r="T1317" s="41">
        <f t="shared" si="593"/>
        <v>0</v>
      </c>
      <c r="U1317" s="39"/>
      <c r="V1317" s="41">
        <f t="shared" si="594"/>
        <v>0</v>
      </c>
      <c r="W1317" s="49"/>
      <c r="X1317" s="41">
        <f t="shared" si="595"/>
        <v>0</v>
      </c>
      <c r="Y1317" s="39"/>
      <c r="Z1317" s="41">
        <f t="shared" si="596"/>
        <v>0</v>
      </c>
      <c r="AA1317" s="49"/>
      <c r="AB1317" s="41">
        <f t="shared" si="597"/>
        <v>0</v>
      </c>
      <c r="AC1317" s="39"/>
      <c r="AD1317" s="41">
        <f t="shared" si="579"/>
        <v>0</v>
      </c>
      <c r="AE1317" s="49"/>
      <c r="AF1317" s="41">
        <f t="shared" si="598"/>
        <v>0</v>
      </c>
      <c r="AG1317" s="39"/>
      <c r="AH1317" s="41">
        <f t="shared" si="580"/>
        <v>0</v>
      </c>
      <c r="AI1317" s="49"/>
      <c r="AJ1317" s="41">
        <f t="shared" si="599"/>
        <v>0</v>
      </c>
      <c r="AK1317" s="39"/>
      <c r="AL1317" s="41">
        <f t="shared" si="581"/>
        <v>0</v>
      </c>
      <c r="AM1317" s="49"/>
      <c r="AN1317" s="41">
        <f t="shared" si="600"/>
        <v>0</v>
      </c>
      <c r="AO1317" s="39"/>
      <c r="AP1317" s="41">
        <f t="shared" si="582"/>
        <v>0</v>
      </c>
      <c r="AQ1317" s="49"/>
      <c r="AR1317" s="41">
        <f t="shared" si="601"/>
        <v>0</v>
      </c>
      <c r="AS1317" s="39"/>
      <c r="AT1317" s="41">
        <f t="shared" si="583"/>
        <v>0</v>
      </c>
      <c r="AU1317" s="49"/>
      <c r="AV1317" s="41">
        <f t="shared" si="602"/>
        <v>0</v>
      </c>
      <c r="AW1317" s="39"/>
      <c r="AX1317" s="41">
        <f t="shared" si="584"/>
        <v>0</v>
      </c>
      <c r="AY1317" s="49"/>
      <c r="AZ1317" s="41">
        <f t="shared" si="603"/>
        <v>0</v>
      </c>
      <c r="BA1317" s="39"/>
      <c r="BB1317" s="41">
        <f t="shared" si="585"/>
        <v>0</v>
      </c>
      <c r="BC1317" s="49"/>
      <c r="BD1317" s="41">
        <f t="shared" si="604"/>
        <v>0</v>
      </c>
      <c r="BE1317" s="39"/>
      <c r="BF1317" s="49"/>
    </row>
    <row r="1318" spans="1:58" ht="15.75" customHeight="1" x14ac:dyDescent="0.25">
      <c r="A1318" s="44">
        <v>2015</v>
      </c>
      <c r="B1318" s="39">
        <v>171190</v>
      </c>
      <c r="C1318" s="38" t="s">
        <v>144</v>
      </c>
      <c r="D1318" s="38" t="s">
        <v>70</v>
      </c>
      <c r="E1318" s="39"/>
      <c r="F1318" s="42">
        <f t="shared" si="586"/>
        <v>0</v>
      </c>
      <c r="G1318" s="49"/>
      <c r="H1318" s="42">
        <f t="shared" si="587"/>
        <v>0</v>
      </c>
      <c r="I1318" s="39"/>
      <c r="J1318" s="41">
        <f t="shared" si="588"/>
        <v>0</v>
      </c>
      <c r="K1318" s="49"/>
      <c r="L1318" s="41">
        <f t="shared" si="589"/>
        <v>0</v>
      </c>
      <c r="M1318" s="39"/>
      <c r="N1318" s="41">
        <f t="shared" si="590"/>
        <v>0</v>
      </c>
      <c r="O1318" s="49"/>
      <c r="P1318" s="41">
        <f t="shared" si="591"/>
        <v>0</v>
      </c>
      <c r="Q1318" s="39"/>
      <c r="R1318" s="41">
        <f t="shared" si="592"/>
        <v>0</v>
      </c>
      <c r="S1318" s="49"/>
      <c r="T1318" s="41">
        <f t="shared" si="593"/>
        <v>0</v>
      </c>
      <c r="U1318" s="39"/>
      <c r="V1318" s="41">
        <f t="shared" si="594"/>
        <v>0</v>
      </c>
      <c r="W1318" s="49"/>
      <c r="X1318" s="41">
        <f t="shared" si="595"/>
        <v>0</v>
      </c>
      <c r="Y1318" s="39"/>
      <c r="Z1318" s="41">
        <f t="shared" si="596"/>
        <v>0</v>
      </c>
      <c r="AA1318" s="49"/>
      <c r="AB1318" s="41">
        <f t="shared" si="597"/>
        <v>0</v>
      </c>
      <c r="AC1318" s="39"/>
      <c r="AD1318" s="41">
        <f t="shared" si="579"/>
        <v>0</v>
      </c>
      <c r="AE1318" s="49"/>
      <c r="AF1318" s="41">
        <f t="shared" si="598"/>
        <v>0</v>
      </c>
      <c r="AG1318" s="39"/>
      <c r="AH1318" s="41">
        <f t="shared" si="580"/>
        <v>0</v>
      </c>
      <c r="AI1318" s="49"/>
      <c r="AJ1318" s="41">
        <f t="shared" si="599"/>
        <v>0</v>
      </c>
      <c r="AK1318" s="39"/>
      <c r="AL1318" s="41">
        <f t="shared" si="581"/>
        <v>0</v>
      </c>
      <c r="AM1318" s="49"/>
      <c r="AN1318" s="41">
        <f t="shared" si="600"/>
        <v>0</v>
      </c>
      <c r="AO1318" s="39"/>
      <c r="AP1318" s="41">
        <f t="shared" si="582"/>
        <v>0</v>
      </c>
      <c r="AQ1318" s="49"/>
      <c r="AR1318" s="41">
        <f t="shared" si="601"/>
        <v>0</v>
      </c>
      <c r="AS1318" s="39"/>
      <c r="AT1318" s="41">
        <f t="shared" si="583"/>
        <v>0</v>
      </c>
      <c r="AU1318" s="49"/>
      <c r="AV1318" s="41">
        <f t="shared" si="602"/>
        <v>0</v>
      </c>
      <c r="AW1318" s="39"/>
      <c r="AX1318" s="41">
        <f t="shared" si="584"/>
        <v>0</v>
      </c>
      <c r="AY1318" s="49"/>
      <c r="AZ1318" s="41">
        <f t="shared" si="603"/>
        <v>0</v>
      </c>
      <c r="BA1318" s="39"/>
      <c r="BB1318" s="41">
        <f t="shared" si="585"/>
        <v>0</v>
      </c>
      <c r="BC1318" s="49"/>
      <c r="BD1318" s="41">
        <f t="shared" si="604"/>
        <v>0</v>
      </c>
      <c r="BE1318" s="39"/>
      <c r="BF1318" s="49"/>
    </row>
    <row r="1319" spans="1:58" ht="15.75" customHeight="1" x14ac:dyDescent="0.25">
      <c r="A1319" s="44">
        <v>2015</v>
      </c>
      <c r="B1319" s="39">
        <v>171195</v>
      </c>
      <c r="C1319" s="38" t="s">
        <v>148</v>
      </c>
      <c r="D1319" s="38" t="s">
        <v>71</v>
      </c>
      <c r="E1319" s="39"/>
      <c r="F1319" s="42">
        <f t="shared" si="586"/>
        <v>0</v>
      </c>
      <c r="G1319" s="49"/>
      <c r="H1319" s="42">
        <f t="shared" si="587"/>
        <v>0</v>
      </c>
      <c r="I1319" s="39"/>
      <c r="J1319" s="41">
        <f t="shared" si="588"/>
        <v>0</v>
      </c>
      <c r="K1319" s="49"/>
      <c r="L1319" s="41">
        <f t="shared" si="589"/>
        <v>0</v>
      </c>
      <c r="M1319" s="39"/>
      <c r="N1319" s="41">
        <f t="shared" si="590"/>
        <v>0</v>
      </c>
      <c r="O1319" s="49"/>
      <c r="P1319" s="41">
        <f t="shared" si="591"/>
        <v>0</v>
      </c>
      <c r="Q1319" s="39"/>
      <c r="R1319" s="41">
        <f t="shared" si="592"/>
        <v>0</v>
      </c>
      <c r="S1319" s="49"/>
      <c r="T1319" s="41">
        <f t="shared" si="593"/>
        <v>0</v>
      </c>
      <c r="U1319" s="39"/>
      <c r="V1319" s="41">
        <f t="shared" si="594"/>
        <v>0</v>
      </c>
      <c r="W1319" s="49"/>
      <c r="X1319" s="41">
        <f t="shared" si="595"/>
        <v>0</v>
      </c>
      <c r="Y1319" s="39"/>
      <c r="Z1319" s="41">
        <f t="shared" si="596"/>
        <v>0</v>
      </c>
      <c r="AA1319" s="49"/>
      <c r="AB1319" s="41">
        <f t="shared" si="597"/>
        <v>0</v>
      </c>
      <c r="AC1319" s="39"/>
      <c r="AD1319" s="41">
        <f t="shared" si="579"/>
        <v>0</v>
      </c>
      <c r="AE1319" s="49"/>
      <c r="AF1319" s="41">
        <f t="shared" si="598"/>
        <v>0</v>
      </c>
      <c r="AG1319" s="39"/>
      <c r="AH1319" s="41">
        <f t="shared" si="580"/>
        <v>0</v>
      </c>
      <c r="AI1319" s="49"/>
      <c r="AJ1319" s="41">
        <f t="shared" si="599"/>
        <v>0</v>
      </c>
      <c r="AK1319" s="39"/>
      <c r="AL1319" s="41">
        <f t="shared" si="581"/>
        <v>0</v>
      </c>
      <c r="AM1319" s="49"/>
      <c r="AN1319" s="41">
        <f t="shared" si="600"/>
        <v>0</v>
      </c>
      <c r="AO1319" s="39"/>
      <c r="AP1319" s="41">
        <f t="shared" si="582"/>
        <v>0</v>
      </c>
      <c r="AQ1319" s="49"/>
      <c r="AR1319" s="41">
        <f t="shared" si="601"/>
        <v>0</v>
      </c>
      <c r="AS1319" s="39"/>
      <c r="AT1319" s="41">
        <f t="shared" si="583"/>
        <v>0</v>
      </c>
      <c r="AU1319" s="49"/>
      <c r="AV1319" s="41">
        <f t="shared" si="602"/>
        <v>0</v>
      </c>
      <c r="AW1319" s="39"/>
      <c r="AX1319" s="41">
        <f t="shared" si="584"/>
        <v>0</v>
      </c>
      <c r="AY1319" s="49"/>
      <c r="AZ1319" s="41">
        <f t="shared" si="603"/>
        <v>0</v>
      </c>
      <c r="BA1319" s="39"/>
      <c r="BB1319" s="41">
        <f t="shared" si="585"/>
        <v>0</v>
      </c>
      <c r="BC1319" s="49"/>
      <c r="BD1319" s="41">
        <f t="shared" si="604"/>
        <v>0</v>
      </c>
      <c r="BE1319" s="39"/>
      <c r="BF1319" s="49"/>
    </row>
    <row r="1320" spans="1:58" ht="15.75" customHeight="1" x14ac:dyDescent="0.25">
      <c r="A1320" s="44">
        <v>2015</v>
      </c>
      <c r="B1320" s="39">
        <v>171200</v>
      </c>
      <c r="C1320" s="38" t="s">
        <v>148</v>
      </c>
      <c r="D1320" s="38" t="s">
        <v>72</v>
      </c>
      <c r="E1320" s="39"/>
      <c r="F1320" s="42">
        <f t="shared" si="586"/>
        <v>0</v>
      </c>
      <c r="G1320" s="49"/>
      <c r="H1320" s="42">
        <f t="shared" si="587"/>
        <v>0</v>
      </c>
      <c r="I1320" s="39"/>
      <c r="J1320" s="41">
        <f t="shared" si="588"/>
        <v>0</v>
      </c>
      <c r="K1320" s="49"/>
      <c r="L1320" s="41">
        <f t="shared" si="589"/>
        <v>0</v>
      </c>
      <c r="M1320" s="39"/>
      <c r="N1320" s="41">
        <f t="shared" si="590"/>
        <v>0</v>
      </c>
      <c r="O1320" s="49"/>
      <c r="P1320" s="41">
        <f t="shared" si="591"/>
        <v>0</v>
      </c>
      <c r="Q1320" s="39"/>
      <c r="R1320" s="41">
        <f t="shared" si="592"/>
        <v>0</v>
      </c>
      <c r="S1320" s="49"/>
      <c r="T1320" s="41">
        <f t="shared" si="593"/>
        <v>0</v>
      </c>
      <c r="U1320" s="39"/>
      <c r="V1320" s="41">
        <f t="shared" si="594"/>
        <v>0</v>
      </c>
      <c r="W1320" s="49"/>
      <c r="X1320" s="41">
        <f t="shared" si="595"/>
        <v>0</v>
      </c>
      <c r="Y1320" s="39"/>
      <c r="Z1320" s="41">
        <f t="shared" si="596"/>
        <v>0</v>
      </c>
      <c r="AA1320" s="49"/>
      <c r="AB1320" s="41">
        <f t="shared" si="597"/>
        <v>0</v>
      </c>
      <c r="AC1320" s="39"/>
      <c r="AD1320" s="41">
        <f t="shared" ref="AD1320:AD1383" si="605">IFERROR(AC1320/$BE1320,0)</f>
        <v>0</v>
      </c>
      <c r="AE1320" s="49"/>
      <c r="AF1320" s="41">
        <f t="shared" si="598"/>
        <v>0</v>
      </c>
      <c r="AG1320" s="39"/>
      <c r="AH1320" s="41">
        <f t="shared" ref="AH1320:AH1383" si="606">IFERROR(AG1320/$BE1320,0)</f>
        <v>0</v>
      </c>
      <c r="AI1320" s="49"/>
      <c r="AJ1320" s="41">
        <f t="shared" si="599"/>
        <v>0</v>
      </c>
      <c r="AK1320" s="39"/>
      <c r="AL1320" s="41">
        <f t="shared" ref="AL1320:AL1383" si="607">IFERROR(AK1320/$BE1320,0)</f>
        <v>0</v>
      </c>
      <c r="AM1320" s="49"/>
      <c r="AN1320" s="41">
        <f t="shared" si="600"/>
        <v>0</v>
      </c>
      <c r="AO1320" s="39"/>
      <c r="AP1320" s="41">
        <f t="shared" ref="AP1320:AP1383" si="608">IFERROR(AO1320/$BE1320,0)</f>
        <v>0</v>
      </c>
      <c r="AQ1320" s="49"/>
      <c r="AR1320" s="41">
        <f t="shared" si="601"/>
        <v>0</v>
      </c>
      <c r="AS1320" s="39"/>
      <c r="AT1320" s="41">
        <f t="shared" ref="AT1320:AT1383" si="609">IFERROR(AS1320/$BE1320,0)</f>
        <v>0</v>
      </c>
      <c r="AU1320" s="49"/>
      <c r="AV1320" s="41">
        <f t="shared" si="602"/>
        <v>0</v>
      </c>
      <c r="AW1320" s="39"/>
      <c r="AX1320" s="41">
        <f t="shared" ref="AX1320:AX1383" si="610">IFERROR(AW1320/$BE1320,0)</f>
        <v>0</v>
      </c>
      <c r="AY1320" s="49"/>
      <c r="AZ1320" s="41">
        <f t="shared" si="603"/>
        <v>0</v>
      </c>
      <c r="BA1320" s="39"/>
      <c r="BB1320" s="41">
        <f t="shared" ref="BB1320:BB1383" si="611">IFERROR(BA1320/$BE1320,0)</f>
        <v>0</v>
      </c>
      <c r="BC1320" s="49"/>
      <c r="BD1320" s="41">
        <f t="shared" si="604"/>
        <v>0</v>
      </c>
      <c r="BE1320" s="39"/>
      <c r="BF1320" s="49"/>
    </row>
    <row r="1321" spans="1:58" ht="15.75" customHeight="1" x14ac:dyDescent="0.25">
      <c r="A1321" s="44">
        <v>2015</v>
      </c>
      <c r="B1321" s="39">
        <v>171215</v>
      </c>
      <c r="C1321" s="38" t="s">
        <v>147</v>
      </c>
      <c r="D1321" s="38" t="s">
        <v>73</v>
      </c>
      <c r="E1321" s="39"/>
      <c r="F1321" s="42">
        <f t="shared" si="586"/>
        <v>0</v>
      </c>
      <c r="G1321" s="49"/>
      <c r="H1321" s="42">
        <f t="shared" si="587"/>
        <v>0</v>
      </c>
      <c r="I1321" s="39"/>
      <c r="J1321" s="41">
        <f t="shared" si="588"/>
        <v>0</v>
      </c>
      <c r="K1321" s="49"/>
      <c r="L1321" s="41">
        <f t="shared" si="589"/>
        <v>0</v>
      </c>
      <c r="M1321" s="39"/>
      <c r="N1321" s="41">
        <f t="shared" si="590"/>
        <v>0</v>
      </c>
      <c r="O1321" s="49"/>
      <c r="P1321" s="41">
        <f t="shared" si="591"/>
        <v>0</v>
      </c>
      <c r="Q1321" s="39"/>
      <c r="R1321" s="41">
        <f t="shared" si="592"/>
        <v>0</v>
      </c>
      <c r="S1321" s="49"/>
      <c r="T1321" s="41">
        <f t="shared" si="593"/>
        <v>0</v>
      </c>
      <c r="U1321" s="39"/>
      <c r="V1321" s="41">
        <f t="shared" si="594"/>
        <v>0</v>
      </c>
      <c r="W1321" s="49"/>
      <c r="X1321" s="41">
        <f t="shared" si="595"/>
        <v>0</v>
      </c>
      <c r="Y1321" s="39"/>
      <c r="Z1321" s="41">
        <f t="shared" si="596"/>
        <v>0</v>
      </c>
      <c r="AA1321" s="49"/>
      <c r="AB1321" s="41">
        <f t="shared" si="597"/>
        <v>0</v>
      </c>
      <c r="AC1321" s="39"/>
      <c r="AD1321" s="41">
        <f t="shared" si="605"/>
        <v>0</v>
      </c>
      <c r="AE1321" s="49"/>
      <c r="AF1321" s="41">
        <f t="shared" si="598"/>
        <v>0</v>
      </c>
      <c r="AG1321" s="39"/>
      <c r="AH1321" s="41">
        <f t="shared" si="606"/>
        <v>0</v>
      </c>
      <c r="AI1321" s="49"/>
      <c r="AJ1321" s="41">
        <f t="shared" si="599"/>
        <v>0</v>
      </c>
      <c r="AK1321" s="39"/>
      <c r="AL1321" s="41">
        <f t="shared" si="607"/>
        <v>0</v>
      </c>
      <c r="AM1321" s="49"/>
      <c r="AN1321" s="41">
        <f t="shared" si="600"/>
        <v>0</v>
      </c>
      <c r="AO1321" s="39"/>
      <c r="AP1321" s="41">
        <f t="shared" si="608"/>
        <v>0</v>
      </c>
      <c r="AQ1321" s="49"/>
      <c r="AR1321" s="41">
        <f t="shared" si="601"/>
        <v>0</v>
      </c>
      <c r="AS1321" s="39"/>
      <c r="AT1321" s="41">
        <f t="shared" si="609"/>
        <v>0</v>
      </c>
      <c r="AU1321" s="49"/>
      <c r="AV1321" s="41">
        <f t="shared" si="602"/>
        <v>0</v>
      </c>
      <c r="AW1321" s="39"/>
      <c r="AX1321" s="41">
        <f t="shared" si="610"/>
        <v>0</v>
      </c>
      <c r="AY1321" s="49"/>
      <c r="AZ1321" s="41">
        <f t="shared" si="603"/>
        <v>0</v>
      </c>
      <c r="BA1321" s="39"/>
      <c r="BB1321" s="41">
        <f t="shared" si="611"/>
        <v>0</v>
      </c>
      <c r="BC1321" s="49"/>
      <c r="BD1321" s="41">
        <f t="shared" si="604"/>
        <v>0</v>
      </c>
      <c r="BE1321" s="39"/>
      <c r="BF1321" s="49"/>
    </row>
    <row r="1322" spans="1:58" ht="15.75" customHeight="1" x14ac:dyDescent="0.25">
      <c r="A1322" s="44">
        <v>2015</v>
      </c>
      <c r="B1322" s="39">
        <v>171240</v>
      </c>
      <c r="C1322" s="38" t="s">
        <v>148</v>
      </c>
      <c r="D1322" s="38" t="s">
        <v>74</v>
      </c>
      <c r="E1322" s="39"/>
      <c r="F1322" s="42">
        <f t="shared" si="586"/>
        <v>0</v>
      </c>
      <c r="G1322" s="49"/>
      <c r="H1322" s="42">
        <f t="shared" si="587"/>
        <v>0</v>
      </c>
      <c r="I1322" s="39"/>
      <c r="J1322" s="41">
        <f t="shared" si="588"/>
        <v>0</v>
      </c>
      <c r="K1322" s="49"/>
      <c r="L1322" s="41">
        <f t="shared" si="589"/>
        <v>0</v>
      </c>
      <c r="M1322" s="39"/>
      <c r="N1322" s="41">
        <f t="shared" si="590"/>
        <v>0</v>
      </c>
      <c r="O1322" s="49"/>
      <c r="P1322" s="41">
        <f t="shared" si="591"/>
        <v>0</v>
      </c>
      <c r="Q1322" s="39"/>
      <c r="R1322" s="41">
        <f t="shared" si="592"/>
        <v>0</v>
      </c>
      <c r="S1322" s="49"/>
      <c r="T1322" s="41">
        <f t="shared" si="593"/>
        <v>0</v>
      </c>
      <c r="U1322" s="39"/>
      <c r="V1322" s="41">
        <f t="shared" si="594"/>
        <v>0</v>
      </c>
      <c r="W1322" s="49"/>
      <c r="X1322" s="41">
        <f t="shared" si="595"/>
        <v>0</v>
      </c>
      <c r="Y1322" s="39"/>
      <c r="Z1322" s="41">
        <f t="shared" si="596"/>
        <v>0</v>
      </c>
      <c r="AA1322" s="49"/>
      <c r="AB1322" s="41">
        <f t="shared" si="597"/>
        <v>0</v>
      </c>
      <c r="AC1322" s="39"/>
      <c r="AD1322" s="41">
        <f t="shared" si="605"/>
        <v>0</v>
      </c>
      <c r="AE1322" s="49"/>
      <c r="AF1322" s="41">
        <f t="shared" si="598"/>
        <v>0</v>
      </c>
      <c r="AG1322" s="39"/>
      <c r="AH1322" s="41">
        <f t="shared" si="606"/>
        <v>0</v>
      </c>
      <c r="AI1322" s="49"/>
      <c r="AJ1322" s="41">
        <f t="shared" si="599"/>
        <v>0</v>
      </c>
      <c r="AK1322" s="39"/>
      <c r="AL1322" s="41">
        <f t="shared" si="607"/>
        <v>0</v>
      </c>
      <c r="AM1322" s="49"/>
      <c r="AN1322" s="41">
        <f t="shared" si="600"/>
        <v>0</v>
      </c>
      <c r="AO1322" s="39"/>
      <c r="AP1322" s="41">
        <f t="shared" si="608"/>
        <v>0</v>
      </c>
      <c r="AQ1322" s="49"/>
      <c r="AR1322" s="41">
        <f t="shared" si="601"/>
        <v>0</v>
      </c>
      <c r="AS1322" s="39"/>
      <c r="AT1322" s="41">
        <f t="shared" si="609"/>
        <v>0</v>
      </c>
      <c r="AU1322" s="49"/>
      <c r="AV1322" s="41">
        <f t="shared" si="602"/>
        <v>0</v>
      </c>
      <c r="AW1322" s="39"/>
      <c r="AX1322" s="41">
        <f t="shared" si="610"/>
        <v>0</v>
      </c>
      <c r="AY1322" s="49"/>
      <c r="AZ1322" s="41">
        <f t="shared" si="603"/>
        <v>0</v>
      </c>
      <c r="BA1322" s="39"/>
      <c r="BB1322" s="41">
        <f t="shared" si="611"/>
        <v>0</v>
      </c>
      <c r="BC1322" s="49"/>
      <c r="BD1322" s="41">
        <f t="shared" si="604"/>
        <v>0</v>
      </c>
      <c r="BE1322" s="39"/>
      <c r="BF1322" s="49"/>
    </row>
    <row r="1323" spans="1:58" ht="15.75" customHeight="1" x14ac:dyDescent="0.25">
      <c r="A1323" s="44">
        <v>2015</v>
      </c>
      <c r="B1323" s="39">
        <v>171245</v>
      </c>
      <c r="C1323" s="38" t="s">
        <v>145</v>
      </c>
      <c r="D1323" s="38" t="s">
        <v>75</v>
      </c>
      <c r="E1323" s="39"/>
      <c r="F1323" s="42">
        <f t="shared" si="586"/>
        <v>0</v>
      </c>
      <c r="G1323" s="49"/>
      <c r="H1323" s="42">
        <f t="shared" si="587"/>
        <v>0</v>
      </c>
      <c r="I1323" s="39"/>
      <c r="J1323" s="41">
        <f t="shared" si="588"/>
        <v>0</v>
      </c>
      <c r="K1323" s="49"/>
      <c r="L1323" s="41">
        <f t="shared" si="589"/>
        <v>0</v>
      </c>
      <c r="M1323" s="39"/>
      <c r="N1323" s="41">
        <f t="shared" si="590"/>
        <v>0</v>
      </c>
      <c r="O1323" s="49"/>
      <c r="P1323" s="41">
        <f t="shared" si="591"/>
        <v>0</v>
      </c>
      <c r="Q1323" s="39"/>
      <c r="R1323" s="41">
        <f t="shared" si="592"/>
        <v>0</v>
      </c>
      <c r="S1323" s="49"/>
      <c r="T1323" s="41">
        <f t="shared" si="593"/>
        <v>0</v>
      </c>
      <c r="U1323" s="39"/>
      <c r="V1323" s="41">
        <f t="shared" si="594"/>
        <v>0</v>
      </c>
      <c r="W1323" s="49"/>
      <c r="X1323" s="41">
        <f t="shared" si="595"/>
        <v>0</v>
      </c>
      <c r="Y1323" s="39"/>
      <c r="Z1323" s="41">
        <f t="shared" si="596"/>
        <v>0</v>
      </c>
      <c r="AA1323" s="49"/>
      <c r="AB1323" s="41">
        <f t="shared" si="597"/>
        <v>0</v>
      </c>
      <c r="AC1323" s="39"/>
      <c r="AD1323" s="41">
        <f t="shared" si="605"/>
        <v>0</v>
      </c>
      <c r="AE1323" s="49"/>
      <c r="AF1323" s="41">
        <f t="shared" si="598"/>
        <v>0</v>
      </c>
      <c r="AG1323" s="39"/>
      <c r="AH1323" s="41">
        <f t="shared" si="606"/>
        <v>0</v>
      </c>
      <c r="AI1323" s="49"/>
      <c r="AJ1323" s="41">
        <f t="shared" si="599"/>
        <v>0</v>
      </c>
      <c r="AK1323" s="39"/>
      <c r="AL1323" s="41">
        <f t="shared" si="607"/>
        <v>0</v>
      </c>
      <c r="AM1323" s="49"/>
      <c r="AN1323" s="41">
        <f t="shared" si="600"/>
        <v>0</v>
      </c>
      <c r="AO1323" s="39"/>
      <c r="AP1323" s="41">
        <f t="shared" si="608"/>
        <v>0</v>
      </c>
      <c r="AQ1323" s="49"/>
      <c r="AR1323" s="41">
        <f t="shared" si="601"/>
        <v>0</v>
      </c>
      <c r="AS1323" s="39"/>
      <c r="AT1323" s="41">
        <f t="shared" si="609"/>
        <v>0</v>
      </c>
      <c r="AU1323" s="49"/>
      <c r="AV1323" s="41">
        <f t="shared" si="602"/>
        <v>0</v>
      </c>
      <c r="AW1323" s="39"/>
      <c r="AX1323" s="41">
        <f t="shared" si="610"/>
        <v>0</v>
      </c>
      <c r="AY1323" s="49"/>
      <c r="AZ1323" s="41">
        <f t="shared" si="603"/>
        <v>0</v>
      </c>
      <c r="BA1323" s="39"/>
      <c r="BB1323" s="41">
        <f t="shared" si="611"/>
        <v>0</v>
      </c>
      <c r="BC1323" s="49"/>
      <c r="BD1323" s="41">
        <f t="shared" si="604"/>
        <v>0</v>
      </c>
      <c r="BE1323" s="39"/>
      <c r="BF1323" s="49"/>
    </row>
    <row r="1324" spans="1:58" ht="15.75" customHeight="1" x14ac:dyDescent="0.25">
      <c r="A1324" s="44">
        <v>2015</v>
      </c>
      <c r="B1324" s="39">
        <v>171250</v>
      </c>
      <c r="C1324" s="38" t="s">
        <v>144</v>
      </c>
      <c r="D1324" s="38" t="s">
        <v>76</v>
      </c>
      <c r="E1324" s="39"/>
      <c r="F1324" s="42">
        <f t="shared" si="586"/>
        <v>0</v>
      </c>
      <c r="G1324" s="49"/>
      <c r="H1324" s="42">
        <f t="shared" si="587"/>
        <v>0</v>
      </c>
      <c r="I1324" s="39"/>
      <c r="J1324" s="41">
        <f t="shared" si="588"/>
        <v>0</v>
      </c>
      <c r="K1324" s="49"/>
      <c r="L1324" s="41">
        <f t="shared" si="589"/>
        <v>0</v>
      </c>
      <c r="M1324" s="39"/>
      <c r="N1324" s="41">
        <f t="shared" si="590"/>
        <v>0</v>
      </c>
      <c r="O1324" s="49"/>
      <c r="P1324" s="41">
        <f t="shared" si="591"/>
        <v>0</v>
      </c>
      <c r="Q1324" s="39"/>
      <c r="R1324" s="41">
        <f t="shared" si="592"/>
        <v>0</v>
      </c>
      <c r="S1324" s="49"/>
      <c r="T1324" s="41">
        <f t="shared" si="593"/>
        <v>0</v>
      </c>
      <c r="U1324" s="39"/>
      <c r="V1324" s="41">
        <f t="shared" si="594"/>
        <v>0</v>
      </c>
      <c r="W1324" s="49"/>
      <c r="X1324" s="41">
        <f t="shared" si="595"/>
        <v>0</v>
      </c>
      <c r="Y1324" s="39"/>
      <c r="Z1324" s="41">
        <f t="shared" si="596"/>
        <v>0</v>
      </c>
      <c r="AA1324" s="49"/>
      <c r="AB1324" s="41">
        <f t="shared" si="597"/>
        <v>0</v>
      </c>
      <c r="AC1324" s="39"/>
      <c r="AD1324" s="41">
        <f t="shared" si="605"/>
        <v>0</v>
      </c>
      <c r="AE1324" s="49"/>
      <c r="AF1324" s="41">
        <f t="shared" si="598"/>
        <v>0</v>
      </c>
      <c r="AG1324" s="39"/>
      <c r="AH1324" s="41">
        <f t="shared" si="606"/>
        <v>0</v>
      </c>
      <c r="AI1324" s="49"/>
      <c r="AJ1324" s="41">
        <f t="shared" si="599"/>
        <v>0</v>
      </c>
      <c r="AK1324" s="39"/>
      <c r="AL1324" s="41">
        <f t="shared" si="607"/>
        <v>0</v>
      </c>
      <c r="AM1324" s="49"/>
      <c r="AN1324" s="41">
        <f t="shared" si="600"/>
        <v>0</v>
      </c>
      <c r="AO1324" s="39"/>
      <c r="AP1324" s="41">
        <f t="shared" si="608"/>
        <v>0</v>
      </c>
      <c r="AQ1324" s="49"/>
      <c r="AR1324" s="41">
        <f t="shared" si="601"/>
        <v>0</v>
      </c>
      <c r="AS1324" s="39"/>
      <c r="AT1324" s="41">
        <f t="shared" si="609"/>
        <v>0</v>
      </c>
      <c r="AU1324" s="49"/>
      <c r="AV1324" s="41">
        <f t="shared" si="602"/>
        <v>0</v>
      </c>
      <c r="AW1324" s="39"/>
      <c r="AX1324" s="41">
        <f t="shared" si="610"/>
        <v>0</v>
      </c>
      <c r="AY1324" s="49"/>
      <c r="AZ1324" s="41">
        <f t="shared" si="603"/>
        <v>0</v>
      </c>
      <c r="BA1324" s="39"/>
      <c r="BB1324" s="41">
        <f t="shared" si="611"/>
        <v>0</v>
      </c>
      <c r="BC1324" s="49"/>
      <c r="BD1324" s="41">
        <f t="shared" si="604"/>
        <v>0</v>
      </c>
      <c r="BE1324" s="39"/>
      <c r="BF1324" s="49"/>
    </row>
    <row r="1325" spans="1:58" ht="15.75" customHeight="1" x14ac:dyDescent="0.25">
      <c r="A1325" s="44">
        <v>2015</v>
      </c>
      <c r="B1325" s="39">
        <v>171270</v>
      </c>
      <c r="C1325" s="38" t="s">
        <v>151</v>
      </c>
      <c r="D1325" s="38" t="s">
        <v>77</v>
      </c>
      <c r="E1325" s="39"/>
      <c r="F1325" s="42">
        <f t="shared" si="586"/>
        <v>0</v>
      </c>
      <c r="G1325" s="49"/>
      <c r="H1325" s="42">
        <f t="shared" si="587"/>
        <v>0</v>
      </c>
      <c r="I1325" s="39"/>
      <c r="J1325" s="41">
        <f t="shared" si="588"/>
        <v>0</v>
      </c>
      <c r="K1325" s="49"/>
      <c r="L1325" s="41">
        <f t="shared" si="589"/>
        <v>0</v>
      </c>
      <c r="M1325" s="39"/>
      <c r="N1325" s="41">
        <f t="shared" si="590"/>
        <v>0</v>
      </c>
      <c r="O1325" s="49"/>
      <c r="P1325" s="41">
        <f t="shared" si="591"/>
        <v>0</v>
      </c>
      <c r="Q1325" s="39"/>
      <c r="R1325" s="41">
        <f t="shared" si="592"/>
        <v>0</v>
      </c>
      <c r="S1325" s="49"/>
      <c r="T1325" s="41">
        <f t="shared" si="593"/>
        <v>0</v>
      </c>
      <c r="U1325" s="39"/>
      <c r="V1325" s="41">
        <f t="shared" si="594"/>
        <v>0</v>
      </c>
      <c r="W1325" s="49"/>
      <c r="X1325" s="41">
        <f t="shared" si="595"/>
        <v>0</v>
      </c>
      <c r="Y1325" s="39"/>
      <c r="Z1325" s="41">
        <f t="shared" si="596"/>
        <v>0</v>
      </c>
      <c r="AA1325" s="49"/>
      <c r="AB1325" s="41">
        <f t="shared" si="597"/>
        <v>0</v>
      </c>
      <c r="AC1325" s="39"/>
      <c r="AD1325" s="41">
        <f t="shared" si="605"/>
        <v>0</v>
      </c>
      <c r="AE1325" s="49"/>
      <c r="AF1325" s="41">
        <f t="shared" si="598"/>
        <v>0</v>
      </c>
      <c r="AG1325" s="39"/>
      <c r="AH1325" s="41">
        <f t="shared" si="606"/>
        <v>0</v>
      </c>
      <c r="AI1325" s="49"/>
      <c r="AJ1325" s="41">
        <f t="shared" si="599"/>
        <v>0</v>
      </c>
      <c r="AK1325" s="39"/>
      <c r="AL1325" s="41">
        <f t="shared" si="607"/>
        <v>0</v>
      </c>
      <c r="AM1325" s="49"/>
      <c r="AN1325" s="41">
        <f t="shared" si="600"/>
        <v>0</v>
      </c>
      <c r="AO1325" s="39"/>
      <c r="AP1325" s="41">
        <f t="shared" si="608"/>
        <v>0</v>
      </c>
      <c r="AQ1325" s="49"/>
      <c r="AR1325" s="41">
        <f t="shared" si="601"/>
        <v>0</v>
      </c>
      <c r="AS1325" s="39"/>
      <c r="AT1325" s="41">
        <f t="shared" si="609"/>
        <v>0</v>
      </c>
      <c r="AU1325" s="49"/>
      <c r="AV1325" s="41">
        <f t="shared" si="602"/>
        <v>0</v>
      </c>
      <c r="AW1325" s="39"/>
      <c r="AX1325" s="41">
        <f t="shared" si="610"/>
        <v>0</v>
      </c>
      <c r="AY1325" s="49"/>
      <c r="AZ1325" s="41">
        <f t="shared" si="603"/>
        <v>0</v>
      </c>
      <c r="BA1325" s="39"/>
      <c r="BB1325" s="41">
        <f t="shared" si="611"/>
        <v>0</v>
      </c>
      <c r="BC1325" s="49"/>
      <c r="BD1325" s="41">
        <f t="shared" si="604"/>
        <v>0</v>
      </c>
      <c r="BE1325" s="39"/>
      <c r="BF1325" s="49"/>
    </row>
    <row r="1326" spans="1:58" ht="15.75" customHeight="1" x14ac:dyDescent="0.25">
      <c r="A1326" s="44">
        <v>2015</v>
      </c>
      <c r="B1326" s="39">
        <v>171280</v>
      </c>
      <c r="C1326" s="38" t="s">
        <v>145</v>
      </c>
      <c r="D1326" s="38" t="s">
        <v>78</v>
      </c>
      <c r="E1326" s="39"/>
      <c r="F1326" s="42">
        <f t="shared" si="586"/>
        <v>0</v>
      </c>
      <c r="G1326" s="49"/>
      <c r="H1326" s="42">
        <f t="shared" si="587"/>
        <v>0</v>
      </c>
      <c r="I1326" s="39"/>
      <c r="J1326" s="41">
        <f t="shared" si="588"/>
        <v>0</v>
      </c>
      <c r="K1326" s="49"/>
      <c r="L1326" s="41">
        <f t="shared" si="589"/>
        <v>0</v>
      </c>
      <c r="M1326" s="39"/>
      <c r="N1326" s="41">
        <f t="shared" si="590"/>
        <v>0</v>
      </c>
      <c r="O1326" s="49"/>
      <c r="P1326" s="41">
        <f t="shared" si="591"/>
        <v>0</v>
      </c>
      <c r="Q1326" s="39"/>
      <c r="R1326" s="41">
        <f t="shared" si="592"/>
        <v>0</v>
      </c>
      <c r="S1326" s="49"/>
      <c r="T1326" s="41">
        <f t="shared" si="593"/>
        <v>0</v>
      </c>
      <c r="U1326" s="39"/>
      <c r="V1326" s="41">
        <f t="shared" si="594"/>
        <v>0</v>
      </c>
      <c r="W1326" s="49"/>
      <c r="X1326" s="41">
        <f t="shared" si="595"/>
        <v>0</v>
      </c>
      <c r="Y1326" s="39"/>
      <c r="Z1326" s="41">
        <f t="shared" si="596"/>
        <v>0</v>
      </c>
      <c r="AA1326" s="49"/>
      <c r="AB1326" s="41">
        <f t="shared" si="597"/>
        <v>0</v>
      </c>
      <c r="AC1326" s="39"/>
      <c r="AD1326" s="41">
        <f t="shared" si="605"/>
        <v>0</v>
      </c>
      <c r="AE1326" s="49"/>
      <c r="AF1326" s="41">
        <f t="shared" si="598"/>
        <v>0</v>
      </c>
      <c r="AG1326" s="39"/>
      <c r="AH1326" s="41">
        <f t="shared" si="606"/>
        <v>0</v>
      </c>
      <c r="AI1326" s="49"/>
      <c r="AJ1326" s="41">
        <f t="shared" si="599"/>
        <v>0</v>
      </c>
      <c r="AK1326" s="39"/>
      <c r="AL1326" s="41">
        <f t="shared" si="607"/>
        <v>0</v>
      </c>
      <c r="AM1326" s="49"/>
      <c r="AN1326" s="41">
        <f t="shared" si="600"/>
        <v>0</v>
      </c>
      <c r="AO1326" s="39"/>
      <c r="AP1326" s="41">
        <f t="shared" si="608"/>
        <v>0</v>
      </c>
      <c r="AQ1326" s="49"/>
      <c r="AR1326" s="41">
        <f t="shared" si="601"/>
        <v>0</v>
      </c>
      <c r="AS1326" s="39"/>
      <c r="AT1326" s="41">
        <f t="shared" si="609"/>
        <v>0</v>
      </c>
      <c r="AU1326" s="49"/>
      <c r="AV1326" s="41">
        <f t="shared" si="602"/>
        <v>0</v>
      </c>
      <c r="AW1326" s="39"/>
      <c r="AX1326" s="41">
        <f t="shared" si="610"/>
        <v>0</v>
      </c>
      <c r="AY1326" s="49"/>
      <c r="AZ1326" s="41">
        <f t="shared" si="603"/>
        <v>0</v>
      </c>
      <c r="BA1326" s="39"/>
      <c r="BB1326" s="41">
        <f t="shared" si="611"/>
        <v>0</v>
      </c>
      <c r="BC1326" s="49"/>
      <c r="BD1326" s="41">
        <f t="shared" si="604"/>
        <v>0</v>
      </c>
      <c r="BE1326" s="39"/>
      <c r="BF1326" s="49"/>
    </row>
    <row r="1327" spans="1:58" ht="15.75" customHeight="1" x14ac:dyDescent="0.25">
      <c r="A1327" s="44">
        <v>2015</v>
      </c>
      <c r="B1327" s="39">
        <v>171320</v>
      </c>
      <c r="C1327" s="38" t="s">
        <v>148</v>
      </c>
      <c r="D1327" s="38" t="s">
        <v>79</v>
      </c>
      <c r="E1327" s="39"/>
      <c r="F1327" s="42">
        <f t="shared" si="586"/>
        <v>0</v>
      </c>
      <c r="G1327" s="49"/>
      <c r="H1327" s="42">
        <f t="shared" si="587"/>
        <v>0</v>
      </c>
      <c r="I1327" s="39"/>
      <c r="J1327" s="41">
        <f t="shared" si="588"/>
        <v>0</v>
      </c>
      <c r="K1327" s="49"/>
      <c r="L1327" s="41">
        <f t="shared" si="589"/>
        <v>0</v>
      </c>
      <c r="M1327" s="39"/>
      <c r="N1327" s="41">
        <f t="shared" si="590"/>
        <v>0</v>
      </c>
      <c r="O1327" s="49"/>
      <c r="P1327" s="41">
        <f t="shared" si="591"/>
        <v>0</v>
      </c>
      <c r="Q1327" s="39"/>
      <c r="R1327" s="41">
        <f t="shared" si="592"/>
        <v>0</v>
      </c>
      <c r="S1327" s="49"/>
      <c r="T1327" s="41">
        <f t="shared" si="593"/>
        <v>0</v>
      </c>
      <c r="U1327" s="39"/>
      <c r="V1327" s="41">
        <f t="shared" si="594"/>
        <v>0</v>
      </c>
      <c r="W1327" s="49"/>
      <c r="X1327" s="41">
        <f t="shared" si="595"/>
        <v>0</v>
      </c>
      <c r="Y1327" s="39"/>
      <c r="Z1327" s="41">
        <f t="shared" si="596"/>
        <v>0</v>
      </c>
      <c r="AA1327" s="49"/>
      <c r="AB1327" s="41">
        <f t="shared" si="597"/>
        <v>0</v>
      </c>
      <c r="AC1327" s="39"/>
      <c r="AD1327" s="41">
        <f t="shared" si="605"/>
        <v>0</v>
      </c>
      <c r="AE1327" s="49"/>
      <c r="AF1327" s="41">
        <f t="shared" si="598"/>
        <v>0</v>
      </c>
      <c r="AG1327" s="39"/>
      <c r="AH1327" s="41">
        <f t="shared" si="606"/>
        <v>0</v>
      </c>
      <c r="AI1327" s="49"/>
      <c r="AJ1327" s="41">
        <f t="shared" si="599"/>
        <v>0</v>
      </c>
      <c r="AK1327" s="39"/>
      <c r="AL1327" s="41">
        <f t="shared" si="607"/>
        <v>0</v>
      </c>
      <c r="AM1327" s="49"/>
      <c r="AN1327" s="41">
        <f t="shared" si="600"/>
        <v>0</v>
      </c>
      <c r="AO1327" s="39"/>
      <c r="AP1327" s="41">
        <f t="shared" si="608"/>
        <v>0</v>
      </c>
      <c r="AQ1327" s="49"/>
      <c r="AR1327" s="41">
        <f t="shared" si="601"/>
        <v>0</v>
      </c>
      <c r="AS1327" s="39"/>
      <c r="AT1327" s="41">
        <f t="shared" si="609"/>
        <v>0</v>
      </c>
      <c r="AU1327" s="49"/>
      <c r="AV1327" s="41">
        <f t="shared" si="602"/>
        <v>0</v>
      </c>
      <c r="AW1327" s="39"/>
      <c r="AX1327" s="41">
        <f t="shared" si="610"/>
        <v>0</v>
      </c>
      <c r="AY1327" s="49"/>
      <c r="AZ1327" s="41">
        <f t="shared" si="603"/>
        <v>0</v>
      </c>
      <c r="BA1327" s="39"/>
      <c r="BB1327" s="41">
        <f t="shared" si="611"/>
        <v>0</v>
      </c>
      <c r="BC1327" s="49"/>
      <c r="BD1327" s="41">
        <f t="shared" si="604"/>
        <v>0</v>
      </c>
      <c r="BE1327" s="39"/>
      <c r="BF1327" s="49"/>
    </row>
    <row r="1328" spans="1:58" ht="15.75" customHeight="1" x14ac:dyDescent="0.25">
      <c r="A1328" s="44">
        <v>2015</v>
      </c>
      <c r="B1328" s="39">
        <v>171330</v>
      </c>
      <c r="C1328" s="38" t="s">
        <v>148</v>
      </c>
      <c r="D1328" s="38" t="s">
        <v>80</v>
      </c>
      <c r="E1328" s="39"/>
      <c r="F1328" s="42">
        <f t="shared" si="586"/>
        <v>0</v>
      </c>
      <c r="G1328" s="49"/>
      <c r="H1328" s="42">
        <f t="shared" si="587"/>
        <v>0</v>
      </c>
      <c r="I1328" s="39"/>
      <c r="J1328" s="41">
        <f t="shared" si="588"/>
        <v>0</v>
      </c>
      <c r="K1328" s="49"/>
      <c r="L1328" s="41">
        <f t="shared" si="589"/>
        <v>0</v>
      </c>
      <c r="M1328" s="39"/>
      <c r="N1328" s="41">
        <f t="shared" si="590"/>
        <v>0</v>
      </c>
      <c r="O1328" s="49"/>
      <c r="P1328" s="41">
        <f t="shared" si="591"/>
        <v>0</v>
      </c>
      <c r="Q1328" s="39"/>
      <c r="R1328" s="41">
        <f t="shared" si="592"/>
        <v>0</v>
      </c>
      <c r="S1328" s="49"/>
      <c r="T1328" s="41">
        <f t="shared" si="593"/>
        <v>0</v>
      </c>
      <c r="U1328" s="39"/>
      <c r="V1328" s="41">
        <f t="shared" si="594"/>
        <v>0</v>
      </c>
      <c r="W1328" s="49"/>
      <c r="X1328" s="41">
        <f t="shared" si="595"/>
        <v>0</v>
      </c>
      <c r="Y1328" s="39"/>
      <c r="Z1328" s="41">
        <f t="shared" si="596"/>
        <v>0</v>
      </c>
      <c r="AA1328" s="49"/>
      <c r="AB1328" s="41">
        <f t="shared" si="597"/>
        <v>0</v>
      </c>
      <c r="AC1328" s="39"/>
      <c r="AD1328" s="41">
        <f t="shared" si="605"/>
        <v>0</v>
      </c>
      <c r="AE1328" s="49"/>
      <c r="AF1328" s="41">
        <f t="shared" si="598"/>
        <v>0</v>
      </c>
      <c r="AG1328" s="39"/>
      <c r="AH1328" s="41">
        <f t="shared" si="606"/>
        <v>0</v>
      </c>
      <c r="AI1328" s="49"/>
      <c r="AJ1328" s="41">
        <f t="shared" si="599"/>
        <v>0</v>
      </c>
      <c r="AK1328" s="39"/>
      <c r="AL1328" s="41">
        <f t="shared" si="607"/>
        <v>0</v>
      </c>
      <c r="AM1328" s="49"/>
      <c r="AN1328" s="41">
        <f t="shared" si="600"/>
        <v>0</v>
      </c>
      <c r="AO1328" s="39"/>
      <c r="AP1328" s="41">
        <f t="shared" si="608"/>
        <v>0</v>
      </c>
      <c r="AQ1328" s="49"/>
      <c r="AR1328" s="41">
        <f t="shared" si="601"/>
        <v>0</v>
      </c>
      <c r="AS1328" s="39"/>
      <c r="AT1328" s="41">
        <f t="shared" si="609"/>
        <v>0</v>
      </c>
      <c r="AU1328" s="49"/>
      <c r="AV1328" s="41">
        <f t="shared" si="602"/>
        <v>0</v>
      </c>
      <c r="AW1328" s="39"/>
      <c r="AX1328" s="41">
        <f t="shared" si="610"/>
        <v>0</v>
      </c>
      <c r="AY1328" s="49"/>
      <c r="AZ1328" s="41">
        <f t="shared" si="603"/>
        <v>0</v>
      </c>
      <c r="BA1328" s="39"/>
      <c r="BB1328" s="41">
        <f t="shared" si="611"/>
        <v>0</v>
      </c>
      <c r="BC1328" s="49"/>
      <c r="BD1328" s="41">
        <f t="shared" si="604"/>
        <v>0</v>
      </c>
      <c r="BE1328" s="39"/>
      <c r="BF1328" s="49"/>
    </row>
    <row r="1329" spans="1:58" ht="15.75" customHeight="1" x14ac:dyDescent="0.25">
      <c r="A1329" s="44">
        <v>2015</v>
      </c>
      <c r="B1329" s="39">
        <v>171360</v>
      </c>
      <c r="C1329" s="38" t="s">
        <v>151</v>
      </c>
      <c r="D1329" s="38" t="s">
        <v>81</v>
      </c>
      <c r="E1329" s="39"/>
      <c r="F1329" s="42">
        <f t="shared" si="586"/>
        <v>0</v>
      </c>
      <c r="G1329" s="49"/>
      <c r="H1329" s="42">
        <f t="shared" si="587"/>
        <v>0</v>
      </c>
      <c r="I1329" s="39"/>
      <c r="J1329" s="41">
        <f t="shared" si="588"/>
        <v>0</v>
      </c>
      <c r="K1329" s="49"/>
      <c r="L1329" s="41">
        <f t="shared" si="589"/>
        <v>0</v>
      </c>
      <c r="M1329" s="39"/>
      <c r="N1329" s="41">
        <f t="shared" si="590"/>
        <v>0</v>
      </c>
      <c r="O1329" s="49"/>
      <c r="P1329" s="41">
        <f t="shared" si="591"/>
        <v>0</v>
      </c>
      <c r="Q1329" s="39"/>
      <c r="R1329" s="41">
        <f t="shared" si="592"/>
        <v>0</v>
      </c>
      <c r="S1329" s="49"/>
      <c r="T1329" s="41">
        <f t="shared" si="593"/>
        <v>0</v>
      </c>
      <c r="U1329" s="39"/>
      <c r="V1329" s="41">
        <f t="shared" si="594"/>
        <v>0</v>
      </c>
      <c r="W1329" s="49"/>
      <c r="X1329" s="41">
        <f t="shared" si="595"/>
        <v>0</v>
      </c>
      <c r="Y1329" s="39"/>
      <c r="Z1329" s="41">
        <f t="shared" si="596"/>
        <v>0</v>
      </c>
      <c r="AA1329" s="49"/>
      <c r="AB1329" s="41">
        <f t="shared" si="597"/>
        <v>0</v>
      </c>
      <c r="AC1329" s="39"/>
      <c r="AD1329" s="41">
        <f t="shared" si="605"/>
        <v>0</v>
      </c>
      <c r="AE1329" s="49"/>
      <c r="AF1329" s="41">
        <f t="shared" si="598"/>
        <v>0</v>
      </c>
      <c r="AG1329" s="39"/>
      <c r="AH1329" s="41">
        <f t="shared" si="606"/>
        <v>0</v>
      </c>
      <c r="AI1329" s="49"/>
      <c r="AJ1329" s="41">
        <f t="shared" si="599"/>
        <v>0</v>
      </c>
      <c r="AK1329" s="39"/>
      <c r="AL1329" s="41">
        <f t="shared" si="607"/>
        <v>0</v>
      </c>
      <c r="AM1329" s="49"/>
      <c r="AN1329" s="41">
        <f t="shared" si="600"/>
        <v>0</v>
      </c>
      <c r="AO1329" s="39"/>
      <c r="AP1329" s="41">
        <f t="shared" si="608"/>
        <v>0</v>
      </c>
      <c r="AQ1329" s="49"/>
      <c r="AR1329" s="41">
        <f t="shared" si="601"/>
        <v>0</v>
      </c>
      <c r="AS1329" s="39"/>
      <c r="AT1329" s="41">
        <f t="shared" si="609"/>
        <v>0</v>
      </c>
      <c r="AU1329" s="49"/>
      <c r="AV1329" s="41">
        <f t="shared" si="602"/>
        <v>0</v>
      </c>
      <c r="AW1329" s="39"/>
      <c r="AX1329" s="41">
        <f t="shared" si="610"/>
        <v>0</v>
      </c>
      <c r="AY1329" s="49"/>
      <c r="AZ1329" s="41">
        <f t="shared" si="603"/>
        <v>0</v>
      </c>
      <c r="BA1329" s="39"/>
      <c r="BB1329" s="41">
        <f t="shared" si="611"/>
        <v>0</v>
      </c>
      <c r="BC1329" s="49"/>
      <c r="BD1329" s="41">
        <f t="shared" si="604"/>
        <v>0</v>
      </c>
      <c r="BE1329" s="39"/>
      <c r="BF1329" s="49"/>
    </row>
    <row r="1330" spans="1:58" ht="15.75" customHeight="1" x14ac:dyDescent="0.25">
      <c r="A1330" s="44">
        <v>2015</v>
      </c>
      <c r="B1330" s="39">
        <v>171370</v>
      </c>
      <c r="C1330" s="38" t="s">
        <v>144</v>
      </c>
      <c r="D1330" s="38" t="s">
        <v>82</v>
      </c>
      <c r="E1330" s="39"/>
      <c r="F1330" s="42">
        <f t="shared" si="586"/>
        <v>0</v>
      </c>
      <c r="G1330" s="49"/>
      <c r="H1330" s="42">
        <f t="shared" si="587"/>
        <v>0</v>
      </c>
      <c r="I1330" s="39"/>
      <c r="J1330" s="41">
        <f t="shared" si="588"/>
        <v>0</v>
      </c>
      <c r="K1330" s="49"/>
      <c r="L1330" s="41">
        <f t="shared" si="589"/>
        <v>0</v>
      </c>
      <c r="M1330" s="39"/>
      <c r="N1330" s="41">
        <f t="shared" si="590"/>
        <v>0</v>
      </c>
      <c r="O1330" s="49"/>
      <c r="P1330" s="41">
        <f t="shared" si="591"/>
        <v>0</v>
      </c>
      <c r="Q1330" s="39"/>
      <c r="R1330" s="41">
        <f t="shared" si="592"/>
        <v>0</v>
      </c>
      <c r="S1330" s="49"/>
      <c r="T1330" s="41">
        <f t="shared" si="593"/>
        <v>0</v>
      </c>
      <c r="U1330" s="39"/>
      <c r="V1330" s="41">
        <f t="shared" si="594"/>
        <v>0</v>
      </c>
      <c r="W1330" s="49"/>
      <c r="X1330" s="41">
        <f t="shared" si="595"/>
        <v>0</v>
      </c>
      <c r="Y1330" s="39"/>
      <c r="Z1330" s="41">
        <f t="shared" si="596"/>
        <v>0</v>
      </c>
      <c r="AA1330" s="49"/>
      <c r="AB1330" s="41">
        <f t="shared" si="597"/>
        <v>0</v>
      </c>
      <c r="AC1330" s="39"/>
      <c r="AD1330" s="41">
        <f t="shared" si="605"/>
        <v>0</v>
      </c>
      <c r="AE1330" s="49"/>
      <c r="AF1330" s="41">
        <f t="shared" si="598"/>
        <v>0</v>
      </c>
      <c r="AG1330" s="39"/>
      <c r="AH1330" s="41">
        <f t="shared" si="606"/>
        <v>0</v>
      </c>
      <c r="AI1330" s="49"/>
      <c r="AJ1330" s="41">
        <f t="shared" si="599"/>
        <v>0</v>
      </c>
      <c r="AK1330" s="39"/>
      <c r="AL1330" s="41">
        <f t="shared" si="607"/>
        <v>0</v>
      </c>
      <c r="AM1330" s="49"/>
      <c r="AN1330" s="41">
        <f t="shared" si="600"/>
        <v>0</v>
      </c>
      <c r="AO1330" s="39"/>
      <c r="AP1330" s="41">
        <f t="shared" si="608"/>
        <v>0</v>
      </c>
      <c r="AQ1330" s="49"/>
      <c r="AR1330" s="41">
        <f t="shared" si="601"/>
        <v>0</v>
      </c>
      <c r="AS1330" s="39"/>
      <c r="AT1330" s="41">
        <f t="shared" si="609"/>
        <v>0</v>
      </c>
      <c r="AU1330" s="49"/>
      <c r="AV1330" s="41">
        <f t="shared" si="602"/>
        <v>0</v>
      </c>
      <c r="AW1330" s="39"/>
      <c r="AX1330" s="41">
        <f t="shared" si="610"/>
        <v>0</v>
      </c>
      <c r="AY1330" s="49"/>
      <c r="AZ1330" s="41">
        <f t="shared" si="603"/>
        <v>0</v>
      </c>
      <c r="BA1330" s="39"/>
      <c r="BB1330" s="41">
        <f t="shared" si="611"/>
        <v>0</v>
      </c>
      <c r="BC1330" s="49"/>
      <c r="BD1330" s="41">
        <f t="shared" si="604"/>
        <v>0</v>
      </c>
      <c r="BE1330" s="39"/>
      <c r="BF1330" s="49"/>
    </row>
    <row r="1331" spans="1:58" ht="15.75" customHeight="1" x14ac:dyDescent="0.25">
      <c r="A1331" s="44">
        <v>2015</v>
      </c>
      <c r="B1331" s="39">
        <v>171395</v>
      </c>
      <c r="C1331" s="38" t="s">
        <v>149</v>
      </c>
      <c r="D1331" s="38" t="s">
        <v>83</v>
      </c>
      <c r="E1331" s="39"/>
      <c r="F1331" s="42">
        <f t="shared" si="586"/>
        <v>0</v>
      </c>
      <c r="G1331" s="49"/>
      <c r="H1331" s="42">
        <f t="shared" si="587"/>
        <v>0</v>
      </c>
      <c r="I1331" s="39"/>
      <c r="J1331" s="41">
        <f t="shared" si="588"/>
        <v>0</v>
      </c>
      <c r="K1331" s="49"/>
      <c r="L1331" s="41">
        <f t="shared" si="589"/>
        <v>0</v>
      </c>
      <c r="M1331" s="39"/>
      <c r="N1331" s="41">
        <f t="shared" si="590"/>
        <v>0</v>
      </c>
      <c r="O1331" s="49"/>
      <c r="P1331" s="41">
        <f t="shared" si="591"/>
        <v>0</v>
      </c>
      <c r="Q1331" s="39"/>
      <c r="R1331" s="41">
        <f t="shared" si="592"/>
        <v>0</v>
      </c>
      <c r="S1331" s="49"/>
      <c r="T1331" s="41">
        <f t="shared" si="593"/>
        <v>0</v>
      </c>
      <c r="U1331" s="39"/>
      <c r="V1331" s="41">
        <f t="shared" si="594"/>
        <v>0</v>
      </c>
      <c r="W1331" s="49"/>
      <c r="X1331" s="41">
        <f t="shared" si="595"/>
        <v>0</v>
      </c>
      <c r="Y1331" s="39"/>
      <c r="Z1331" s="41">
        <f t="shared" si="596"/>
        <v>0</v>
      </c>
      <c r="AA1331" s="49"/>
      <c r="AB1331" s="41">
        <f t="shared" si="597"/>
        <v>0</v>
      </c>
      <c r="AC1331" s="39"/>
      <c r="AD1331" s="41">
        <f t="shared" si="605"/>
        <v>0</v>
      </c>
      <c r="AE1331" s="49"/>
      <c r="AF1331" s="41">
        <f t="shared" si="598"/>
        <v>0</v>
      </c>
      <c r="AG1331" s="39"/>
      <c r="AH1331" s="41">
        <f t="shared" si="606"/>
        <v>0</v>
      </c>
      <c r="AI1331" s="49"/>
      <c r="AJ1331" s="41">
        <f t="shared" si="599"/>
        <v>0</v>
      </c>
      <c r="AK1331" s="39"/>
      <c r="AL1331" s="41">
        <f t="shared" si="607"/>
        <v>0</v>
      </c>
      <c r="AM1331" s="49"/>
      <c r="AN1331" s="41">
        <f t="shared" si="600"/>
        <v>0</v>
      </c>
      <c r="AO1331" s="39"/>
      <c r="AP1331" s="41">
        <f t="shared" si="608"/>
        <v>0</v>
      </c>
      <c r="AQ1331" s="49"/>
      <c r="AR1331" s="41">
        <f t="shared" si="601"/>
        <v>0</v>
      </c>
      <c r="AS1331" s="39"/>
      <c r="AT1331" s="41">
        <f t="shared" si="609"/>
        <v>0</v>
      </c>
      <c r="AU1331" s="49"/>
      <c r="AV1331" s="41">
        <f t="shared" si="602"/>
        <v>0</v>
      </c>
      <c r="AW1331" s="39"/>
      <c r="AX1331" s="41">
        <f t="shared" si="610"/>
        <v>0</v>
      </c>
      <c r="AY1331" s="49"/>
      <c r="AZ1331" s="41">
        <f t="shared" si="603"/>
        <v>0</v>
      </c>
      <c r="BA1331" s="39"/>
      <c r="BB1331" s="41">
        <f t="shared" si="611"/>
        <v>0</v>
      </c>
      <c r="BC1331" s="49"/>
      <c r="BD1331" s="41">
        <f t="shared" si="604"/>
        <v>0</v>
      </c>
      <c r="BE1331" s="39"/>
      <c r="BF1331" s="49"/>
    </row>
    <row r="1332" spans="1:58" ht="15.75" customHeight="1" x14ac:dyDescent="0.25">
      <c r="A1332" s="44">
        <v>2015</v>
      </c>
      <c r="B1332" s="39">
        <v>171420</v>
      </c>
      <c r="C1332" s="38" t="s">
        <v>151</v>
      </c>
      <c r="D1332" s="38" t="s">
        <v>84</v>
      </c>
      <c r="E1332" s="39"/>
      <c r="F1332" s="42">
        <f t="shared" si="586"/>
        <v>0</v>
      </c>
      <c r="G1332" s="49"/>
      <c r="H1332" s="42">
        <f t="shared" si="587"/>
        <v>0</v>
      </c>
      <c r="I1332" s="39"/>
      <c r="J1332" s="41">
        <f t="shared" si="588"/>
        <v>0</v>
      </c>
      <c r="K1332" s="49"/>
      <c r="L1332" s="41">
        <f t="shared" si="589"/>
        <v>0</v>
      </c>
      <c r="M1332" s="39"/>
      <c r="N1332" s="41">
        <f t="shared" si="590"/>
        <v>0</v>
      </c>
      <c r="O1332" s="49"/>
      <c r="P1332" s="41">
        <f t="shared" si="591"/>
        <v>0</v>
      </c>
      <c r="Q1332" s="39"/>
      <c r="R1332" s="41">
        <f t="shared" si="592"/>
        <v>0</v>
      </c>
      <c r="S1332" s="49"/>
      <c r="T1332" s="41">
        <f t="shared" si="593"/>
        <v>0</v>
      </c>
      <c r="U1332" s="39"/>
      <c r="V1332" s="41">
        <f t="shared" si="594"/>
        <v>0</v>
      </c>
      <c r="W1332" s="49"/>
      <c r="X1332" s="41">
        <f t="shared" si="595"/>
        <v>0</v>
      </c>
      <c r="Y1332" s="39"/>
      <c r="Z1332" s="41">
        <f t="shared" si="596"/>
        <v>0</v>
      </c>
      <c r="AA1332" s="49"/>
      <c r="AB1332" s="41">
        <f t="shared" si="597"/>
        <v>0</v>
      </c>
      <c r="AC1332" s="39"/>
      <c r="AD1332" s="41">
        <f t="shared" si="605"/>
        <v>0</v>
      </c>
      <c r="AE1332" s="49"/>
      <c r="AF1332" s="41">
        <f t="shared" si="598"/>
        <v>0</v>
      </c>
      <c r="AG1332" s="39"/>
      <c r="AH1332" s="41">
        <f t="shared" si="606"/>
        <v>0</v>
      </c>
      <c r="AI1332" s="49"/>
      <c r="AJ1332" s="41">
        <f t="shared" si="599"/>
        <v>0</v>
      </c>
      <c r="AK1332" s="39"/>
      <c r="AL1332" s="41">
        <f t="shared" si="607"/>
        <v>0</v>
      </c>
      <c r="AM1332" s="49"/>
      <c r="AN1332" s="41">
        <f t="shared" si="600"/>
        <v>0</v>
      </c>
      <c r="AO1332" s="39"/>
      <c r="AP1332" s="41">
        <f t="shared" si="608"/>
        <v>0</v>
      </c>
      <c r="AQ1332" s="49"/>
      <c r="AR1332" s="41">
        <f t="shared" si="601"/>
        <v>0</v>
      </c>
      <c r="AS1332" s="39"/>
      <c r="AT1332" s="41">
        <f t="shared" si="609"/>
        <v>0</v>
      </c>
      <c r="AU1332" s="49"/>
      <c r="AV1332" s="41">
        <f t="shared" si="602"/>
        <v>0</v>
      </c>
      <c r="AW1332" s="39"/>
      <c r="AX1332" s="41">
        <f t="shared" si="610"/>
        <v>0</v>
      </c>
      <c r="AY1332" s="49"/>
      <c r="AZ1332" s="41">
        <f t="shared" si="603"/>
        <v>0</v>
      </c>
      <c r="BA1332" s="39"/>
      <c r="BB1332" s="41">
        <f t="shared" si="611"/>
        <v>0</v>
      </c>
      <c r="BC1332" s="49"/>
      <c r="BD1332" s="41">
        <f t="shared" si="604"/>
        <v>0</v>
      </c>
      <c r="BE1332" s="39"/>
      <c r="BF1332" s="49"/>
    </row>
    <row r="1333" spans="1:58" ht="15.75" customHeight="1" x14ac:dyDescent="0.25">
      <c r="A1333" s="44">
        <v>2015</v>
      </c>
      <c r="B1333" s="39">
        <v>171430</v>
      </c>
      <c r="C1333" s="38" t="s">
        <v>145</v>
      </c>
      <c r="D1333" s="38" t="s">
        <v>85</v>
      </c>
      <c r="E1333" s="39"/>
      <c r="F1333" s="42">
        <f t="shared" si="586"/>
        <v>0</v>
      </c>
      <c r="G1333" s="49"/>
      <c r="H1333" s="42">
        <f t="shared" si="587"/>
        <v>0</v>
      </c>
      <c r="I1333" s="39"/>
      <c r="J1333" s="41">
        <f t="shared" si="588"/>
        <v>0</v>
      </c>
      <c r="K1333" s="49"/>
      <c r="L1333" s="41">
        <f t="shared" si="589"/>
        <v>0</v>
      </c>
      <c r="M1333" s="39"/>
      <c r="N1333" s="41">
        <f t="shared" si="590"/>
        <v>0</v>
      </c>
      <c r="O1333" s="49"/>
      <c r="P1333" s="41">
        <f t="shared" si="591"/>
        <v>0</v>
      </c>
      <c r="Q1333" s="39"/>
      <c r="R1333" s="41">
        <f t="shared" si="592"/>
        <v>0</v>
      </c>
      <c r="S1333" s="49"/>
      <c r="T1333" s="41">
        <f t="shared" si="593"/>
        <v>0</v>
      </c>
      <c r="U1333" s="39"/>
      <c r="V1333" s="41">
        <f t="shared" si="594"/>
        <v>0</v>
      </c>
      <c r="W1333" s="49"/>
      <c r="X1333" s="41">
        <f t="shared" si="595"/>
        <v>0</v>
      </c>
      <c r="Y1333" s="39"/>
      <c r="Z1333" s="41">
        <f t="shared" si="596"/>
        <v>0</v>
      </c>
      <c r="AA1333" s="49"/>
      <c r="AB1333" s="41">
        <f t="shared" si="597"/>
        <v>0</v>
      </c>
      <c r="AC1333" s="39"/>
      <c r="AD1333" s="41">
        <f t="shared" si="605"/>
        <v>0</v>
      </c>
      <c r="AE1333" s="49"/>
      <c r="AF1333" s="41">
        <f t="shared" si="598"/>
        <v>0</v>
      </c>
      <c r="AG1333" s="39"/>
      <c r="AH1333" s="41">
        <f t="shared" si="606"/>
        <v>0</v>
      </c>
      <c r="AI1333" s="49"/>
      <c r="AJ1333" s="41">
        <f t="shared" si="599"/>
        <v>0</v>
      </c>
      <c r="AK1333" s="39"/>
      <c r="AL1333" s="41">
        <f t="shared" si="607"/>
        <v>0</v>
      </c>
      <c r="AM1333" s="49"/>
      <c r="AN1333" s="41">
        <f t="shared" si="600"/>
        <v>0</v>
      </c>
      <c r="AO1333" s="39"/>
      <c r="AP1333" s="41">
        <f t="shared" si="608"/>
        <v>0</v>
      </c>
      <c r="AQ1333" s="49"/>
      <c r="AR1333" s="41">
        <f t="shared" si="601"/>
        <v>0</v>
      </c>
      <c r="AS1333" s="39"/>
      <c r="AT1333" s="41">
        <f t="shared" si="609"/>
        <v>0</v>
      </c>
      <c r="AU1333" s="49"/>
      <c r="AV1333" s="41">
        <f t="shared" si="602"/>
        <v>0</v>
      </c>
      <c r="AW1333" s="39"/>
      <c r="AX1333" s="41">
        <f t="shared" si="610"/>
        <v>0</v>
      </c>
      <c r="AY1333" s="49"/>
      <c r="AZ1333" s="41">
        <f t="shared" si="603"/>
        <v>0</v>
      </c>
      <c r="BA1333" s="39"/>
      <c r="BB1333" s="41">
        <f t="shared" si="611"/>
        <v>0</v>
      </c>
      <c r="BC1333" s="49"/>
      <c r="BD1333" s="41">
        <f t="shared" si="604"/>
        <v>0</v>
      </c>
      <c r="BE1333" s="39"/>
      <c r="BF1333" s="49"/>
    </row>
    <row r="1334" spans="1:58" ht="15.75" customHeight="1" x14ac:dyDescent="0.25">
      <c r="A1334" s="44">
        <v>2015</v>
      </c>
      <c r="B1334" s="39">
        <v>171488</v>
      </c>
      <c r="C1334" s="38" t="s">
        <v>149</v>
      </c>
      <c r="D1334" s="38" t="s">
        <v>86</v>
      </c>
      <c r="E1334" s="39"/>
      <c r="F1334" s="42">
        <f t="shared" si="586"/>
        <v>0</v>
      </c>
      <c r="G1334" s="49"/>
      <c r="H1334" s="42">
        <f t="shared" si="587"/>
        <v>0</v>
      </c>
      <c r="I1334" s="39"/>
      <c r="J1334" s="41">
        <f t="shared" si="588"/>
        <v>0</v>
      </c>
      <c r="K1334" s="49"/>
      <c r="L1334" s="41">
        <f t="shared" si="589"/>
        <v>0</v>
      </c>
      <c r="M1334" s="39"/>
      <c r="N1334" s="41">
        <f t="shared" si="590"/>
        <v>0</v>
      </c>
      <c r="O1334" s="49"/>
      <c r="P1334" s="41">
        <f t="shared" si="591"/>
        <v>0</v>
      </c>
      <c r="Q1334" s="39"/>
      <c r="R1334" s="41">
        <f t="shared" si="592"/>
        <v>0</v>
      </c>
      <c r="S1334" s="49"/>
      <c r="T1334" s="41">
        <f t="shared" si="593"/>
        <v>0</v>
      </c>
      <c r="U1334" s="39"/>
      <c r="V1334" s="41">
        <f t="shared" si="594"/>
        <v>0</v>
      </c>
      <c r="W1334" s="49"/>
      <c r="X1334" s="41">
        <f t="shared" si="595"/>
        <v>0</v>
      </c>
      <c r="Y1334" s="39"/>
      <c r="Z1334" s="41">
        <f t="shared" si="596"/>
        <v>0</v>
      </c>
      <c r="AA1334" s="49"/>
      <c r="AB1334" s="41">
        <f t="shared" si="597"/>
        <v>0</v>
      </c>
      <c r="AC1334" s="39"/>
      <c r="AD1334" s="41">
        <f t="shared" si="605"/>
        <v>0</v>
      </c>
      <c r="AE1334" s="49"/>
      <c r="AF1334" s="41">
        <f t="shared" si="598"/>
        <v>0</v>
      </c>
      <c r="AG1334" s="39"/>
      <c r="AH1334" s="41">
        <f t="shared" si="606"/>
        <v>0</v>
      </c>
      <c r="AI1334" s="49"/>
      <c r="AJ1334" s="41">
        <f t="shared" si="599"/>
        <v>0</v>
      </c>
      <c r="AK1334" s="39"/>
      <c r="AL1334" s="41">
        <f t="shared" si="607"/>
        <v>0</v>
      </c>
      <c r="AM1334" s="49"/>
      <c r="AN1334" s="41">
        <f t="shared" si="600"/>
        <v>0</v>
      </c>
      <c r="AO1334" s="39"/>
      <c r="AP1334" s="41">
        <f t="shared" si="608"/>
        <v>0</v>
      </c>
      <c r="AQ1334" s="49"/>
      <c r="AR1334" s="41">
        <f t="shared" si="601"/>
        <v>0</v>
      </c>
      <c r="AS1334" s="39"/>
      <c r="AT1334" s="41">
        <f t="shared" si="609"/>
        <v>0</v>
      </c>
      <c r="AU1334" s="49"/>
      <c r="AV1334" s="41">
        <f t="shared" si="602"/>
        <v>0</v>
      </c>
      <c r="AW1334" s="39"/>
      <c r="AX1334" s="41">
        <f t="shared" si="610"/>
        <v>0</v>
      </c>
      <c r="AY1334" s="49"/>
      <c r="AZ1334" s="41">
        <f t="shared" si="603"/>
        <v>0</v>
      </c>
      <c r="BA1334" s="39"/>
      <c r="BB1334" s="41">
        <f t="shared" si="611"/>
        <v>0</v>
      </c>
      <c r="BC1334" s="49"/>
      <c r="BD1334" s="41">
        <f t="shared" si="604"/>
        <v>0</v>
      </c>
      <c r="BE1334" s="39"/>
      <c r="BF1334" s="49"/>
    </row>
    <row r="1335" spans="1:58" ht="15.75" customHeight="1" x14ac:dyDescent="0.25">
      <c r="A1335" s="44">
        <v>2015</v>
      </c>
      <c r="B1335" s="39">
        <v>171500</v>
      </c>
      <c r="C1335" s="38" t="s">
        <v>144</v>
      </c>
      <c r="D1335" s="38" t="s">
        <v>87</v>
      </c>
      <c r="E1335" s="39"/>
      <c r="F1335" s="42">
        <f t="shared" si="586"/>
        <v>0</v>
      </c>
      <c r="G1335" s="49"/>
      <c r="H1335" s="42">
        <f t="shared" si="587"/>
        <v>0</v>
      </c>
      <c r="I1335" s="39"/>
      <c r="J1335" s="41">
        <f t="shared" si="588"/>
        <v>0</v>
      </c>
      <c r="K1335" s="49"/>
      <c r="L1335" s="41">
        <f t="shared" si="589"/>
        <v>0</v>
      </c>
      <c r="M1335" s="39"/>
      <c r="N1335" s="41">
        <f t="shared" si="590"/>
        <v>0</v>
      </c>
      <c r="O1335" s="49"/>
      <c r="P1335" s="41">
        <f t="shared" si="591"/>
        <v>0</v>
      </c>
      <c r="Q1335" s="39"/>
      <c r="R1335" s="41">
        <f t="shared" si="592"/>
        <v>0</v>
      </c>
      <c r="S1335" s="49"/>
      <c r="T1335" s="41">
        <f t="shared" si="593"/>
        <v>0</v>
      </c>
      <c r="U1335" s="39"/>
      <c r="V1335" s="41">
        <f t="shared" si="594"/>
        <v>0</v>
      </c>
      <c r="W1335" s="49"/>
      <c r="X1335" s="41">
        <f t="shared" si="595"/>
        <v>0</v>
      </c>
      <c r="Y1335" s="39"/>
      <c r="Z1335" s="41">
        <f t="shared" si="596"/>
        <v>0</v>
      </c>
      <c r="AA1335" s="49"/>
      <c r="AB1335" s="41">
        <f t="shared" si="597"/>
        <v>0</v>
      </c>
      <c r="AC1335" s="39"/>
      <c r="AD1335" s="41">
        <f t="shared" si="605"/>
        <v>0</v>
      </c>
      <c r="AE1335" s="49"/>
      <c r="AF1335" s="41">
        <f t="shared" si="598"/>
        <v>0</v>
      </c>
      <c r="AG1335" s="39"/>
      <c r="AH1335" s="41">
        <f t="shared" si="606"/>
        <v>0</v>
      </c>
      <c r="AI1335" s="49"/>
      <c r="AJ1335" s="41">
        <f t="shared" si="599"/>
        <v>0</v>
      </c>
      <c r="AK1335" s="39"/>
      <c r="AL1335" s="41">
        <f t="shared" si="607"/>
        <v>0</v>
      </c>
      <c r="AM1335" s="49"/>
      <c r="AN1335" s="41">
        <f t="shared" si="600"/>
        <v>0</v>
      </c>
      <c r="AO1335" s="39"/>
      <c r="AP1335" s="41">
        <f t="shared" si="608"/>
        <v>0</v>
      </c>
      <c r="AQ1335" s="49"/>
      <c r="AR1335" s="41">
        <f t="shared" si="601"/>
        <v>0</v>
      </c>
      <c r="AS1335" s="39"/>
      <c r="AT1335" s="41">
        <f t="shared" si="609"/>
        <v>0</v>
      </c>
      <c r="AU1335" s="49"/>
      <c r="AV1335" s="41">
        <f t="shared" si="602"/>
        <v>0</v>
      </c>
      <c r="AW1335" s="39"/>
      <c r="AX1335" s="41">
        <f t="shared" si="610"/>
        <v>0</v>
      </c>
      <c r="AY1335" s="49"/>
      <c r="AZ1335" s="41">
        <f t="shared" si="603"/>
        <v>0</v>
      </c>
      <c r="BA1335" s="39"/>
      <c r="BB1335" s="41">
        <f t="shared" si="611"/>
        <v>0</v>
      </c>
      <c r="BC1335" s="49"/>
      <c r="BD1335" s="41">
        <f t="shared" si="604"/>
        <v>0</v>
      </c>
      <c r="BE1335" s="39"/>
      <c r="BF1335" s="49"/>
    </row>
    <row r="1336" spans="1:58" ht="15.75" customHeight="1" x14ac:dyDescent="0.25">
      <c r="A1336" s="44">
        <v>2015</v>
      </c>
      <c r="B1336" s="39">
        <v>171510</v>
      </c>
      <c r="C1336" s="38" t="s">
        <v>148</v>
      </c>
      <c r="D1336" s="38" t="s">
        <v>88</v>
      </c>
      <c r="E1336" s="39"/>
      <c r="F1336" s="42">
        <f t="shared" si="586"/>
        <v>0</v>
      </c>
      <c r="G1336" s="49"/>
      <c r="H1336" s="42">
        <f t="shared" si="587"/>
        <v>0</v>
      </c>
      <c r="I1336" s="39"/>
      <c r="J1336" s="41">
        <f t="shared" si="588"/>
        <v>0</v>
      </c>
      <c r="K1336" s="49"/>
      <c r="L1336" s="41">
        <f t="shared" si="589"/>
        <v>0</v>
      </c>
      <c r="M1336" s="39"/>
      <c r="N1336" s="41">
        <f t="shared" si="590"/>
        <v>0</v>
      </c>
      <c r="O1336" s="49"/>
      <c r="P1336" s="41">
        <f t="shared" si="591"/>
        <v>0</v>
      </c>
      <c r="Q1336" s="39"/>
      <c r="R1336" s="41">
        <f t="shared" si="592"/>
        <v>0</v>
      </c>
      <c r="S1336" s="49"/>
      <c r="T1336" s="41">
        <f t="shared" si="593"/>
        <v>0</v>
      </c>
      <c r="U1336" s="39"/>
      <c r="V1336" s="41">
        <f t="shared" si="594"/>
        <v>0</v>
      </c>
      <c r="W1336" s="49"/>
      <c r="X1336" s="41">
        <f t="shared" si="595"/>
        <v>0</v>
      </c>
      <c r="Y1336" s="39"/>
      <c r="Z1336" s="41">
        <f t="shared" si="596"/>
        <v>0</v>
      </c>
      <c r="AA1336" s="49"/>
      <c r="AB1336" s="41">
        <f t="shared" si="597"/>
        <v>0</v>
      </c>
      <c r="AC1336" s="39"/>
      <c r="AD1336" s="41">
        <f t="shared" si="605"/>
        <v>0</v>
      </c>
      <c r="AE1336" s="49"/>
      <c r="AF1336" s="41">
        <f t="shared" si="598"/>
        <v>0</v>
      </c>
      <c r="AG1336" s="39"/>
      <c r="AH1336" s="41">
        <f t="shared" si="606"/>
        <v>0</v>
      </c>
      <c r="AI1336" s="49"/>
      <c r="AJ1336" s="41">
        <f t="shared" si="599"/>
        <v>0</v>
      </c>
      <c r="AK1336" s="39"/>
      <c r="AL1336" s="41">
        <f t="shared" si="607"/>
        <v>0</v>
      </c>
      <c r="AM1336" s="49"/>
      <c r="AN1336" s="41">
        <f t="shared" si="600"/>
        <v>0</v>
      </c>
      <c r="AO1336" s="39"/>
      <c r="AP1336" s="41">
        <f t="shared" si="608"/>
        <v>0</v>
      </c>
      <c r="AQ1336" s="49"/>
      <c r="AR1336" s="41">
        <f t="shared" si="601"/>
        <v>0</v>
      </c>
      <c r="AS1336" s="39"/>
      <c r="AT1336" s="41">
        <f t="shared" si="609"/>
        <v>0</v>
      </c>
      <c r="AU1336" s="49"/>
      <c r="AV1336" s="41">
        <f t="shared" si="602"/>
        <v>0</v>
      </c>
      <c r="AW1336" s="39"/>
      <c r="AX1336" s="41">
        <f t="shared" si="610"/>
        <v>0</v>
      </c>
      <c r="AY1336" s="49"/>
      <c r="AZ1336" s="41">
        <f t="shared" si="603"/>
        <v>0</v>
      </c>
      <c r="BA1336" s="39"/>
      <c r="BB1336" s="41">
        <f t="shared" si="611"/>
        <v>0</v>
      </c>
      <c r="BC1336" s="49"/>
      <c r="BD1336" s="41">
        <f t="shared" si="604"/>
        <v>0</v>
      </c>
      <c r="BE1336" s="39"/>
      <c r="BF1336" s="49"/>
    </row>
    <row r="1337" spans="1:58" ht="15.75" customHeight="1" x14ac:dyDescent="0.25">
      <c r="A1337" s="44">
        <v>2015</v>
      </c>
      <c r="B1337" s="39">
        <v>171515</v>
      </c>
      <c r="C1337" s="38" t="s">
        <v>147</v>
      </c>
      <c r="D1337" s="38" t="s">
        <v>89</v>
      </c>
      <c r="E1337" s="39"/>
      <c r="F1337" s="42">
        <f t="shared" si="586"/>
        <v>0</v>
      </c>
      <c r="G1337" s="49"/>
      <c r="H1337" s="42">
        <f t="shared" si="587"/>
        <v>0</v>
      </c>
      <c r="I1337" s="39"/>
      <c r="J1337" s="41">
        <f t="shared" si="588"/>
        <v>0</v>
      </c>
      <c r="K1337" s="49"/>
      <c r="L1337" s="41">
        <f t="shared" si="589"/>
        <v>0</v>
      </c>
      <c r="M1337" s="39"/>
      <c r="N1337" s="41">
        <f t="shared" si="590"/>
        <v>0</v>
      </c>
      <c r="O1337" s="49"/>
      <c r="P1337" s="41">
        <f t="shared" si="591"/>
        <v>0</v>
      </c>
      <c r="Q1337" s="39"/>
      <c r="R1337" s="41">
        <f t="shared" si="592"/>
        <v>0</v>
      </c>
      <c r="S1337" s="49"/>
      <c r="T1337" s="41">
        <f t="shared" si="593"/>
        <v>0</v>
      </c>
      <c r="U1337" s="39"/>
      <c r="V1337" s="41">
        <f t="shared" si="594"/>
        <v>0</v>
      </c>
      <c r="W1337" s="49"/>
      <c r="X1337" s="41">
        <f t="shared" si="595"/>
        <v>0</v>
      </c>
      <c r="Y1337" s="39"/>
      <c r="Z1337" s="41">
        <f t="shared" si="596"/>
        <v>0</v>
      </c>
      <c r="AA1337" s="49"/>
      <c r="AB1337" s="41">
        <f t="shared" si="597"/>
        <v>0</v>
      </c>
      <c r="AC1337" s="39"/>
      <c r="AD1337" s="41">
        <f t="shared" si="605"/>
        <v>0</v>
      </c>
      <c r="AE1337" s="49"/>
      <c r="AF1337" s="41">
        <f t="shared" si="598"/>
        <v>0</v>
      </c>
      <c r="AG1337" s="39"/>
      <c r="AH1337" s="41">
        <f t="shared" si="606"/>
        <v>0</v>
      </c>
      <c r="AI1337" s="49"/>
      <c r="AJ1337" s="41">
        <f t="shared" si="599"/>
        <v>0</v>
      </c>
      <c r="AK1337" s="39"/>
      <c r="AL1337" s="41">
        <f t="shared" si="607"/>
        <v>0</v>
      </c>
      <c r="AM1337" s="49"/>
      <c r="AN1337" s="41">
        <f t="shared" si="600"/>
        <v>0</v>
      </c>
      <c r="AO1337" s="39"/>
      <c r="AP1337" s="41">
        <f t="shared" si="608"/>
        <v>0</v>
      </c>
      <c r="AQ1337" s="49"/>
      <c r="AR1337" s="41">
        <f t="shared" si="601"/>
        <v>0</v>
      </c>
      <c r="AS1337" s="39"/>
      <c r="AT1337" s="41">
        <f t="shared" si="609"/>
        <v>0</v>
      </c>
      <c r="AU1337" s="49"/>
      <c r="AV1337" s="41">
        <f t="shared" si="602"/>
        <v>0</v>
      </c>
      <c r="AW1337" s="39"/>
      <c r="AX1337" s="41">
        <f t="shared" si="610"/>
        <v>0</v>
      </c>
      <c r="AY1337" s="49"/>
      <c r="AZ1337" s="41">
        <f t="shared" si="603"/>
        <v>0</v>
      </c>
      <c r="BA1337" s="39"/>
      <c r="BB1337" s="41">
        <f t="shared" si="611"/>
        <v>0</v>
      </c>
      <c r="BC1337" s="49"/>
      <c r="BD1337" s="41">
        <f t="shared" si="604"/>
        <v>0</v>
      </c>
      <c r="BE1337" s="39"/>
      <c r="BF1337" s="49"/>
    </row>
    <row r="1338" spans="1:58" ht="15.75" customHeight="1" x14ac:dyDescent="0.25">
      <c r="A1338" s="44">
        <v>2015</v>
      </c>
      <c r="B1338" s="39">
        <v>171525</v>
      </c>
      <c r="C1338" s="38" t="s">
        <v>147</v>
      </c>
      <c r="D1338" s="38" t="s">
        <v>90</v>
      </c>
      <c r="E1338" s="39"/>
      <c r="F1338" s="42">
        <f t="shared" si="586"/>
        <v>0</v>
      </c>
      <c r="G1338" s="49"/>
      <c r="H1338" s="42">
        <f t="shared" si="587"/>
        <v>0</v>
      </c>
      <c r="I1338" s="39"/>
      <c r="J1338" s="41">
        <f t="shared" si="588"/>
        <v>0</v>
      </c>
      <c r="K1338" s="49"/>
      <c r="L1338" s="41">
        <f t="shared" si="589"/>
        <v>0</v>
      </c>
      <c r="M1338" s="39"/>
      <c r="N1338" s="41">
        <f t="shared" si="590"/>
        <v>0</v>
      </c>
      <c r="O1338" s="49"/>
      <c r="P1338" s="41">
        <f t="shared" si="591"/>
        <v>0</v>
      </c>
      <c r="Q1338" s="39"/>
      <c r="R1338" s="41">
        <f t="shared" si="592"/>
        <v>0</v>
      </c>
      <c r="S1338" s="49"/>
      <c r="T1338" s="41">
        <f t="shared" si="593"/>
        <v>0</v>
      </c>
      <c r="U1338" s="39"/>
      <c r="V1338" s="41">
        <f t="shared" si="594"/>
        <v>0</v>
      </c>
      <c r="W1338" s="49"/>
      <c r="X1338" s="41">
        <f t="shared" si="595"/>
        <v>0</v>
      </c>
      <c r="Y1338" s="39"/>
      <c r="Z1338" s="41">
        <f t="shared" si="596"/>
        <v>0</v>
      </c>
      <c r="AA1338" s="49"/>
      <c r="AB1338" s="41">
        <f t="shared" si="597"/>
        <v>0</v>
      </c>
      <c r="AC1338" s="39"/>
      <c r="AD1338" s="41">
        <f t="shared" si="605"/>
        <v>0</v>
      </c>
      <c r="AE1338" s="49"/>
      <c r="AF1338" s="41">
        <f t="shared" si="598"/>
        <v>0</v>
      </c>
      <c r="AG1338" s="39"/>
      <c r="AH1338" s="41">
        <f t="shared" si="606"/>
        <v>0</v>
      </c>
      <c r="AI1338" s="49"/>
      <c r="AJ1338" s="41">
        <f t="shared" si="599"/>
        <v>0</v>
      </c>
      <c r="AK1338" s="39"/>
      <c r="AL1338" s="41">
        <f t="shared" si="607"/>
        <v>0</v>
      </c>
      <c r="AM1338" s="49"/>
      <c r="AN1338" s="41">
        <f t="shared" si="600"/>
        <v>0</v>
      </c>
      <c r="AO1338" s="39"/>
      <c r="AP1338" s="41">
        <f t="shared" si="608"/>
        <v>0</v>
      </c>
      <c r="AQ1338" s="49"/>
      <c r="AR1338" s="41">
        <f t="shared" si="601"/>
        <v>0</v>
      </c>
      <c r="AS1338" s="39"/>
      <c r="AT1338" s="41">
        <f t="shared" si="609"/>
        <v>0</v>
      </c>
      <c r="AU1338" s="49"/>
      <c r="AV1338" s="41">
        <f t="shared" si="602"/>
        <v>0</v>
      </c>
      <c r="AW1338" s="39"/>
      <c r="AX1338" s="41">
        <f t="shared" si="610"/>
        <v>0</v>
      </c>
      <c r="AY1338" s="49"/>
      <c r="AZ1338" s="41">
        <f t="shared" si="603"/>
        <v>0</v>
      </c>
      <c r="BA1338" s="39"/>
      <c r="BB1338" s="41">
        <f t="shared" si="611"/>
        <v>0</v>
      </c>
      <c r="BC1338" s="49"/>
      <c r="BD1338" s="41">
        <f t="shared" si="604"/>
        <v>0</v>
      </c>
      <c r="BE1338" s="39"/>
      <c r="BF1338" s="49"/>
    </row>
    <row r="1339" spans="1:58" ht="15.75" customHeight="1" x14ac:dyDescent="0.25">
      <c r="A1339" s="44">
        <v>2015</v>
      </c>
      <c r="B1339" s="39">
        <v>171550</v>
      </c>
      <c r="C1339" s="38" t="s">
        <v>151</v>
      </c>
      <c r="D1339" s="38" t="s">
        <v>91</v>
      </c>
      <c r="E1339" s="39"/>
      <c r="F1339" s="42">
        <f t="shared" si="586"/>
        <v>0</v>
      </c>
      <c r="G1339" s="49"/>
      <c r="H1339" s="42">
        <f t="shared" si="587"/>
        <v>0</v>
      </c>
      <c r="I1339" s="39"/>
      <c r="J1339" s="41">
        <f t="shared" si="588"/>
        <v>0</v>
      </c>
      <c r="K1339" s="49"/>
      <c r="L1339" s="41">
        <f t="shared" si="589"/>
        <v>0</v>
      </c>
      <c r="M1339" s="39"/>
      <c r="N1339" s="41">
        <f t="shared" si="590"/>
        <v>0</v>
      </c>
      <c r="O1339" s="49"/>
      <c r="P1339" s="41">
        <f t="shared" si="591"/>
        <v>0</v>
      </c>
      <c r="Q1339" s="39"/>
      <c r="R1339" s="41">
        <f t="shared" si="592"/>
        <v>0</v>
      </c>
      <c r="S1339" s="49"/>
      <c r="T1339" s="41">
        <f t="shared" si="593"/>
        <v>0</v>
      </c>
      <c r="U1339" s="39"/>
      <c r="V1339" s="41">
        <f t="shared" si="594"/>
        <v>0</v>
      </c>
      <c r="W1339" s="49"/>
      <c r="X1339" s="41">
        <f t="shared" si="595"/>
        <v>0</v>
      </c>
      <c r="Y1339" s="39"/>
      <c r="Z1339" s="41">
        <f t="shared" si="596"/>
        <v>0</v>
      </c>
      <c r="AA1339" s="49"/>
      <c r="AB1339" s="41">
        <f t="shared" si="597"/>
        <v>0</v>
      </c>
      <c r="AC1339" s="39"/>
      <c r="AD1339" s="41">
        <f t="shared" si="605"/>
        <v>0</v>
      </c>
      <c r="AE1339" s="49"/>
      <c r="AF1339" s="41">
        <f t="shared" si="598"/>
        <v>0</v>
      </c>
      <c r="AG1339" s="39"/>
      <c r="AH1339" s="41">
        <f t="shared" si="606"/>
        <v>0</v>
      </c>
      <c r="AI1339" s="49"/>
      <c r="AJ1339" s="41">
        <f t="shared" si="599"/>
        <v>0</v>
      </c>
      <c r="AK1339" s="39"/>
      <c r="AL1339" s="41">
        <f t="shared" si="607"/>
        <v>0</v>
      </c>
      <c r="AM1339" s="49"/>
      <c r="AN1339" s="41">
        <f t="shared" si="600"/>
        <v>0</v>
      </c>
      <c r="AO1339" s="39"/>
      <c r="AP1339" s="41">
        <f t="shared" si="608"/>
        <v>0</v>
      </c>
      <c r="AQ1339" s="49"/>
      <c r="AR1339" s="41">
        <f t="shared" si="601"/>
        <v>0</v>
      </c>
      <c r="AS1339" s="39"/>
      <c r="AT1339" s="41">
        <f t="shared" si="609"/>
        <v>0</v>
      </c>
      <c r="AU1339" s="49"/>
      <c r="AV1339" s="41">
        <f t="shared" si="602"/>
        <v>0</v>
      </c>
      <c r="AW1339" s="39"/>
      <c r="AX1339" s="41">
        <f t="shared" si="610"/>
        <v>0</v>
      </c>
      <c r="AY1339" s="49"/>
      <c r="AZ1339" s="41">
        <f t="shared" si="603"/>
        <v>0</v>
      </c>
      <c r="BA1339" s="39"/>
      <c r="BB1339" s="41">
        <f t="shared" si="611"/>
        <v>0</v>
      </c>
      <c r="BC1339" s="49"/>
      <c r="BD1339" s="41">
        <f t="shared" si="604"/>
        <v>0</v>
      </c>
      <c r="BE1339" s="39"/>
      <c r="BF1339" s="49"/>
    </row>
    <row r="1340" spans="1:58" ht="15.75" customHeight="1" x14ac:dyDescent="0.25">
      <c r="A1340" s="44">
        <v>2015</v>
      </c>
      <c r="B1340" s="39">
        <v>172100</v>
      </c>
      <c r="C1340" s="38" t="s">
        <v>148</v>
      </c>
      <c r="D1340" s="38" t="s">
        <v>92</v>
      </c>
      <c r="E1340" s="39"/>
      <c r="F1340" s="42">
        <f t="shared" si="586"/>
        <v>0</v>
      </c>
      <c r="G1340" s="49"/>
      <c r="H1340" s="42">
        <f t="shared" si="587"/>
        <v>0</v>
      </c>
      <c r="I1340" s="39"/>
      <c r="J1340" s="41">
        <f t="shared" si="588"/>
        <v>0</v>
      </c>
      <c r="K1340" s="49"/>
      <c r="L1340" s="41">
        <f t="shared" si="589"/>
        <v>0</v>
      </c>
      <c r="M1340" s="39"/>
      <c r="N1340" s="41">
        <f t="shared" si="590"/>
        <v>0</v>
      </c>
      <c r="O1340" s="50"/>
      <c r="P1340" s="41">
        <f t="shared" si="591"/>
        <v>0</v>
      </c>
      <c r="Q1340" s="39"/>
      <c r="R1340" s="41">
        <f t="shared" si="592"/>
        <v>0</v>
      </c>
      <c r="S1340" s="49"/>
      <c r="T1340" s="41">
        <f t="shared" si="593"/>
        <v>0</v>
      </c>
      <c r="U1340" s="39"/>
      <c r="V1340" s="41">
        <f t="shared" si="594"/>
        <v>0</v>
      </c>
      <c r="W1340" s="49"/>
      <c r="X1340" s="41">
        <f t="shared" si="595"/>
        <v>0</v>
      </c>
      <c r="Y1340" s="39"/>
      <c r="Z1340" s="41">
        <f t="shared" si="596"/>
        <v>0</v>
      </c>
      <c r="AA1340" s="49"/>
      <c r="AB1340" s="41">
        <f t="shared" si="597"/>
        <v>0</v>
      </c>
      <c r="AC1340" s="39"/>
      <c r="AD1340" s="41">
        <f t="shared" si="605"/>
        <v>0</v>
      </c>
      <c r="AE1340" s="50"/>
      <c r="AF1340" s="41">
        <f t="shared" si="598"/>
        <v>0</v>
      </c>
      <c r="AG1340" s="39"/>
      <c r="AH1340" s="41">
        <f t="shared" si="606"/>
        <v>0</v>
      </c>
      <c r="AI1340" s="49"/>
      <c r="AJ1340" s="41">
        <f t="shared" si="599"/>
        <v>0</v>
      </c>
      <c r="AK1340" s="39"/>
      <c r="AL1340" s="41">
        <f t="shared" si="607"/>
        <v>0</v>
      </c>
      <c r="AM1340" s="49"/>
      <c r="AN1340" s="41">
        <f t="shared" si="600"/>
        <v>0</v>
      </c>
      <c r="AO1340" s="39"/>
      <c r="AP1340" s="41">
        <f t="shared" si="608"/>
        <v>0</v>
      </c>
      <c r="AQ1340" s="50"/>
      <c r="AR1340" s="41">
        <f t="shared" si="601"/>
        <v>0</v>
      </c>
      <c r="AS1340" s="39"/>
      <c r="AT1340" s="41">
        <f t="shared" si="609"/>
        <v>0</v>
      </c>
      <c r="AU1340" s="49"/>
      <c r="AV1340" s="41">
        <f t="shared" si="602"/>
        <v>0</v>
      </c>
      <c r="AW1340" s="39"/>
      <c r="AX1340" s="41">
        <f t="shared" si="610"/>
        <v>0</v>
      </c>
      <c r="AY1340" s="49"/>
      <c r="AZ1340" s="41">
        <f t="shared" si="603"/>
        <v>0</v>
      </c>
      <c r="BA1340" s="39"/>
      <c r="BB1340" s="41">
        <f t="shared" si="611"/>
        <v>0</v>
      </c>
      <c r="BC1340" s="49"/>
      <c r="BD1340" s="41">
        <f t="shared" si="604"/>
        <v>0</v>
      </c>
      <c r="BE1340" s="39"/>
      <c r="BF1340" s="50"/>
    </row>
    <row r="1341" spans="1:58" ht="15.75" customHeight="1" x14ac:dyDescent="0.25">
      <c r="A1341" s="44">
        <v>2015</v>
      </c>
      <c r="B1341" s="39">
        <v>171570</v>
      </c>
      <c r="C1341" s="38" t="s">
        <v>150</v>
      </c>
      <c r="D1341" s="38" t="s">
        <v>93</v>
      </c>
      <c r="E1341" s="39"/>
      <c r="F1341" s="42">
        <f t="shared" si="586"/>
        <v>0</v>
      </c>
      <c r="G1341" s="49"/>
      <c r="H1341" s="42">
        <f t="shared" si="587"/>
        <v>0</v>
      </c>
      <c r="I1341" s="39"/>
      <c r="J1341" s="41">
        <f t="shared" si="588"/>
        <v>0</v>
      </c>
      <c r="K1341" s="49"/>
      <c r="L1341" s="41">
        <f t="shared" si="589"/>
        <v>0</v>
      </c>
      <c r="M1341" s="39"/>
      <c r="N1341" s="41">
        <f t="shared" si="590"/>
        <v>0</v>
      </c>
      <c r="O1341" s="49"/>
      <c r="P1341" s="41">
        <f t="shared" si="591"/>
        <v>0</v>
      </c>
      <c r="Q1341" s="39"/>
      <c r="R1341" s="41">
        <f t="shared" si="592"/>
        <v>0</v>
      </c>
      <c r="S1341" s="49"/>
      <c r="T1341" s="41">
        <f t="shared" si="593"/>
        <v>0</v>
      </c>
      <c r="U1341" s="39"/>
      <c r="V1341" s="41">
        <f t="shared" si="594"/>
        <v>0</v>
      </c>
      <c r="W1341" s="49"/>
      <c r="X1341" s="41">
        <f t="shared" si="595"/>
        <v>0</v>
      </c>
      <c r="Y1341" s="39"/>
      <c r="Z1341" s="41">
        <f t="shared" si="596"/>
        <v>0</v>
      </c>
      <c r="AA1341" s="49"/>
      <c r="AB1341" s="41">
        <f t="shared" si="597"/>
        <v>0</v>
      </c>
      <c r="AC1341" s="39"/>
      <c r="AD1341" s="41">
        <f t="shared" si="605"/>
        <v>0</v>
      </c>
      <c r="AE1341" s="49"/>
      <c r="AF1341" s="41">
        <f t="shared" si="598"/>
        <v>0</v>
      </c>
      <c r="AG1341" s="39"/>
      <c r="AH1341" s="41">
        <f t="shared" si="606"/>
        <v>0</v>
      </c>
      <c r="AI1341" s="49"/>
      <c r="AJ1341" s="41">
        <f t="shared" si="599"/>
        <v>0</v>
      </c>
      <c r="AK1341" s="39"/>
      <c r="AL1341" s="41">
        <f t="shared" si="607"/>
        <v>0</v>
      </c>
      <c r="AM1341" s="49"/>
      <c r="AN1341" s="41">
        <f t="shared" si="600"/>
        <v>0</v>
      </c>
      <c r="AO1341" s="39"/>
      <c r="AP1341" s="41">
        <f t="shared" si="608"/>
        <v>0</v>
      </c>
      <c r="AQ1341" s="49"/>
      <c r="AR1341" s="41">
        <f t="shared" si="601"/>
        <v>0</v>
      </c>
      <c r="AS1341" s="39"/>
      <c r="AT1341" s="41">
        <f t="shared" si="609"/>
        <v>0</v>
      </c>
      <c r="AU1341" s="49"/>
      <c r="AV1341" s="41">
        <f t="shared" si="602"/>
        <v>0</v>
      </c>
      <c r="AW1341" s="39"/>
      <c r="AX1341" s="41">
        <f t="shared" si="610"/>
        <v>0</v>
      </c>
      <c r="AY1341" s="49"/>
      <c r="AZ1341" s="41">
        <f t="shared" si="603"/>
        <v>0</v>
      </c>
      <c r="BA1341" s="39"/>
      <c r="BB1341" s="41">
        <f t="shared" si="611"/>
        <v>0</v>
      </c>
      <c r="BC1341" s="49"/>
      <c r="BD1341" s="41">
        <f t="shared" si="604"/>
        <v>0</v>
      </c>
      <c r="BE1341" s="39"/>
      <c r="BF1341" s="49"/>
    </row>
    <row r="1342" spans="1:58" ht="15.75" customHeight="1" x14ac:dyDescent="0.25">
      <c r="A1342" s="44">
        <v>2015</v>
      </c>
      <c r="B1342" s="39">
        <v>171380</v>
      </c>
      <c r="C1342" s="38" t="s">
        <v>145</v>
      </c>
      <c r="D1342" s="38" t="s">
        <v>94</v>
      </c>
      <c r="E1342" s="39"/>
      <c r="F1342" s="42">
        <f t="shared" si="586"/>
        <v>0</v>
      </c>
      <c r="G1342" s="49"/>
      <c r="H1342" s="42">
        <f t="shared" si="587"/>
        <v>0</v>
      </c>
      <c r="I1342" s="39"/>
      <c r="J1342" s="41">
        <f t="shared" si="588"/>
        <v>0</v>
      </c>
      <c r="K1342" s="49"/>
      <c r="L1342" s="41">
        <f t="shared" si="589"/>
        <v>0</v>
      </c>
      <c r="M1342" s="39"/>
      <c r="N1342" s="41">
        <f t="shared" si="590"/>
        <v>0</v>
      </c>
      <c r="O1342" s="49"/>
      <c r="P1342" s="41">
        <f t="shared" si="591"/>
        <v>0</v>
      </c>
      <c r="Q1342" s="39"/>
      <c r="R1342" s="41">
        <f t="shared" si="592"/>
        <v>0</v>
      </c>
      <c r="S1342" s="49"/>
      <c r="T1342" s="41">
        <f t="shared" si="593"/>
        <v>0</v>
      </c>
      <c r="U1342" s="39"/>
      <c r="V1342" s="41">
        <f t="shared" si="594"/>
        <v>0</v>
      </c>
      <c r="W1342" s="49"/>
      <c r="X1342" s="41">
        <f t="shared" si="595"/>
        <v>0</v>
      </c>
      <c r="Y1342" s="39"/>
      <c r="Z1342" s="41">
        <f t="shared" si="596"/>
        <v>0</v>
      </c>
      <c r="AA1342" s="49"/>
      <c r="AB1342" s="41">
        <f t="shared" si="597"/>
        <v>0</v>
      </c>
      <c r="AC1342" s="39"/>
      <c r="AD1342" s="41">
        <f t="shared" si="605"/>
        <v>0</v>
      </c>
      <c r="AE1342" s="49"/>
      <c r="AF1342" s="41">
        <f t="shared" si="598"/>
        <v>0</v>
      </c>
      <c r="AG1342" s="39"/>
      <c r="AH1342" s="41">
        <f t="shared" si="606"/>
        <v>0</v>
      </c>
      <c r="AI1342" s="49"/>
      <c r="AJ1342" s="41">
        <f t="shared" si="599"/>
        <v>0</v>
      </c>
      <c r="AK1342" s="39"/>
      <c r="AL1342" s="41">
        <f t="shared" si="607"/>
        <v>0</v>
      </c>
      <c r="AM1342" s="49"/>
      <c r="AN1342" s="41">
        <f t="shared" si="600"/>
        <v>0</v>
      </c>
      <c r="AO1342" s="39"/>
      <c r="AP1342" s="41">
        <f t="shared" si="608"/>
        <v>0</v>
      </c>
      <c r="AQ1342" s="49"/>
      <c r="AR1342" s="41">
        <f t="shared" si="601"/>
        <v>0</v>
      </c>
      <c r="AS1342" s="39"/>
      <c r="AT1342" s="41">
        <f t="shared" si="609"/>
        <v>0</v>
      </c>
      <c r="AU1342" s="49"/>
      <c r="AV1342" s="41">
        <f t="shared" si="602"/>
        <v>0</v>
      </c>
      <c r="AW1342" s="39"/>
      <c r="AX1342" s="41">
        <f t="shared" si="610"/>
        <v>0</v>
      </c>
      <c r="AY1342" s="49"/>
      <c r="AZ1342" s="41">
        <f t="shared" si="603"/>
        <v>0</v>
      </c>
      <c r="BA1342" s="39"/>
      <c r="BB1342" s="41">
        <f t="shared" si="611"/>
        <v>0</v>
      </c>
      <c r="BC1342" s="49"/>
      <c r="BD1342" s="41">
        <f t="shared" si="604"/>
        <v>0</v>
      </c>
      <c r="BE1342" s="39"/>
      <c r="BF1342" s="49"/>
    </row>
    <row r="1343" spans="1:58" ht="15.75" customHeight="1" x14ac:dyDescent="0.25">
      <c r="A1343" s="44">
        <v>2015</v>
      </c>
      <c r="B1343" s="39">
        <v>171575</v>
      </c>
      <c r="C1343" s="38" t="s">
        <v>146</v>
      </c>
      <c r="D1343" s="38" t="s">
        <v>95</v>
      </c>
      <c r="E1343" s="39"/>
      <c r="F1343" s="42">
        <f t="shared" si="586"/>
        <v>0</v>
      </c>
      <c r="G1343" s="49"/>
      <c r="H1343" s="42">
        <f t="shared" si="587"/>
        <v>0</v>
      </c>
      <c r="I1343" s="39"/>
      <c r="J1343" s="41">
        <f t="shared" si="588"/>
        <v>0</v>
      </c>
      <c r="K1343" s="49"/>
      <c r="L1343" s="41">
        <f t="shared" si="589"/>
        <v>0</v>
      </c>
      <c r="M1343" s="39"/>
      <c r="N1343" s="41">
        <f t="shared" si="590"/>
        <v>0</v>
      </c>
      <c r="O1343" s="49"/>
      <c r="P1343" s="41">
        <f t="shared" si="591"/>
        <v>0</v>
      </c>
      <c r="Q1343" s="39"/>
      <c r="R1343" s="41">
        <f t="shared" si="592"/>
        <v>0</v>
      </c>
      <c r="S1343" s="49"/>
      <c r="T1343" s="41">
        <f t="shared" si="593"/>
        <v>0</v>
      </c>
      <c r="U1343" s="39"/>
      <c r="V1343" s="41">
        <f t="shared" si="594"/>
        <v>0</v>
      </c>
      <c r="W1343" s="49"/>
      <c r="X1343" s="41">
        <f t="shared" si="595"/>
        <v>0</v>
      </c>
      <c r="Y1343" s="39"/>
      <c r="Z1343" s="41">
        <f t="shared" si="596"/>
        <v>0</v>
      </c>
      <c r="AA1343" s="49"/>
      <c r="AB1343" s="41">
        <f t="shared" si="597"/>
        <v>0</v>
      </c>
      <c r="AC1343" s="39"/>
      <c r="AD1343" s="41">
        <f t="shared" si="605"/>
        <v>0</v>
      </c>
      <c r="AE1343" s="49"/>
      <c r="AF1343" s="41">
        <f t="shared" si="598"/>
        <v>0</v>
      </c>
      <c r="AG1343" s="39"/>
      <c r="AH1343" s="41">
        <f t="shared" si="606"/>
        <v>0</v>
      </c>
      <c r="AI1343" s="49"/>
      <c r="AJ1343" s="41">
        <f t="shared" si="599"/>
        <v>0</v>
      </c>
      <c r="AK1343" s="39"/>
      <c r="AL1343" s="41">
        <f t="shared" si="607"/>
        <v>0</v>
      </c>
      <c r="AM1343" s="49"/>
      <c r="AN1343" s="41">
        <f t="shared" si="600"/>
        <v>0</v>
      </c>
      <c r="AO1343" s="39"/>
      <c r="AP1343" s="41">
        <f t="shared" si="608"/>
        <v>0</v>
      </c>
      <c r="AQ1343" s="49"/>
      <c r="AR1343" s="41">
        <f t="shared" si="601"/>
        <v>0</v>
      </c>
      <c r="AS1343" s="39"/>
      <c r="AT1343" s="41">
        <f t="shared" si="609"/>
        <v>0</v>
      </c>
      <c r="AU1343" s="49"/>
      <c r="AV1343" s="41">
        <f t="shared" si="602"/>
        <v>0</v>
      </c>
      <c r="AW1343" s="39"/>
      <c r="AX1343" s="41">
        <f t="shared" si="610"/>
        <v>0</v>
      </c>
      <c r="AY1343" s="49"/>
      <c r="AZ1343" s="41">
        <f t="shared" si="603"/>
        <v>0</v>
      </c>
      <c r="BA1343" s="39"/>
      <c r="BB1343" s="41">
        <f t="shared" si="611"/>
        <v>0</v>
      </c>
      <c r="BC1343" s="49"/>
      <c r="BD1343" s="41">
        <f t="shared" si="604"/>
        <v>0</v>
      </c>
      <c r="BE1343" s="39"/>
      <c r="BF1343" s="49"/>
    </row>
    <row r="1344" spans="1:58" ht="15.75" customHeight="1" x14ac:dyDescent="0.25">
      <c r="A1344" s="44">
        <v>2015</v>
      </c>
      <c r="B1344" s="39">
        <v>171610</v>
      </c>
      <c r="C1344" s="38" t="s">
        <v>144</v>
      </c>
      <c r="D1344" s="38" t="s">
        <v>96</v>
      </c>
      <c r="E1344" s="39"/>
      <c r="F1344" s="42">
        <f t="shared" si="586"/>
        <v>0</v>
      </c>
      <c r="G1344" s="49"/>
      <c r="H1344" s="42">
        <f t="shared" si="587"/>
        <v>0</v>
      </c>
      <c r="I1344" s="39"/>
      <c r="J1344" s="41">
        <f t="shared" si="588"/>
        <v>0</v>
      </c>
      <c r="K1344" s="49"/>
      <c r="L1344" s="41">
        <f t="shared" si="589"/>
        <v>0</v>
      </c>
      <c r="M1344" s="39"/>
      <c r="N1344" s="41">
        <f t="shared" si="590"/>
        <v>0</v>
      </c>
      <c r="O1344" s="49"/>
      <c r="P1344" s="41">
        <f t="shared" si="591"/>
        <v>0</v>
      </c>
      <c r="Q1344" s="39"/>
      <c r="R1344" s="41">
        <f t="shared" si="592"/>
        <v>0</v>
      </c>
      <c r="S1344" s="49"/>
      <c r="T1344" s="41">
        <f t="shared" si="593"/>
        <v>0</v>
      </c>
      <c r="U1344" s="39"/>
      <c r="V1344" s="41">
        <f t="shared" si="594"/>
        <v>0</v>
      </c>
      <c r="W1344" s="49"/>
      <c r="X1344" s="41">
        <f t="shared" si="595"/>
        <v>0</v>
      </c>
      <c r="Y1344" s="39"/>
      <c r="Z1344" s="41">
        <f t="shared" si="596"/>
        <v>0</v>
      </c>
      <c r="AA1344" s="49"/>
      <c r="AB1344" s="41">
        <f t="shared" si="597"/>
        <v>0</v>
      </c>
      <c r="AC1344" s="39"/>
      <c r="AD1344" s="41">
        <f t="shared" si="605"/>
        <v>0</v>
      </c>
      <c r="AE1344" s="49"/>
      <c r="AF1344" s="41">
        <f t="shared" si="598"/>
        <v>0</v>
      </c>
      <c r="AG1344" s="39"/>
      <c r="AH1344" s="41">
        <f t="shared" si="606"/>
        <v>0</v>
      </c>
      <c r="AI1344" s="49"/>
      <c r="AJ1344" s="41">
        <f t="shared" si="599"/>
        <v>0</v>
      </c>
      <c r="AK1344" s="39"/>
      <c r="AL1344" s="41">
        <f t="shared" si="607"/>
        <v>0</v>
      </c>
      <c r="AM1344" s="49"/>
      <c r="AN1344" s="41">
        <f t="shared" si="600"/>
        <v>0</v>
      </c>
      <c r="AO1344" s="39"/>
      <c r="AP1344" s="41">
        <f t="shared" si="608"/>
        <v>0</v>
      </c>
      <c r="AQ1344" s="49"/>
      <c r="AR1344" s="41">
        <f t="shared" si="601"/>
        <v>0</v>
      </c>
      <c r="AS1344" s="39"/>
      <c r="AT1344" s="41">
        <f t="shared" si="609"/>
        <v>0</v>
      </c>
      <c r="AU1344" s="49"/>
      <c r="AV1344" s="41">
        <f t="shared" si="602"/>
        <v>0</v>
      </c>
      <c r="AW1344" s="39"/>
      <c r="AX1344" s="41">
        <f t="shared" si="610"/>
        <v>0</v>
      </c>
      <c r="AY1344" s="49"/>
      <c r="AZ1344" s="41">
        <f t="shared" si="603"/>
        <v>0</v>
      </c>
      <c r="BA1344" s="39"/>
      <c r="BB1344" s="41">
        <f t="shared" si="611"/>
        <v>0</v>
      </c>
      <c r="BC1344" s="49"/>
      <c r="BD1344" s="41">
        <f t="shared" si="604"/>
        <v>0</v>
      </c>
      <c r="BE1344" s="39"/>
      <c r="BF1344" s="49"/>
    </row>
    <row r="1345" spans="1:58" ht="15.75" customHeight="1" x14ac:dyDescent="0.25">
      <c r="A1345" s="44">
        <v>2015</v>
      </c>
      <c r="B1345" s="39">
        <v>171620</v>
      </c>
      <c r="C1345" s="38" t="s">
        <v>147</v>
      </c>
      <c r="D1345" s="38" t="s">
        <v>97</v>
      </c>
      <c r="E1345" s="39"/>
      <c r="F1345" s="42">
        <f t="shared" si="586"/>
        <v>0</v>
      </c>
      <c r="G1345" s="49"/>
      <c r="H1345" s="42">
        <f t="shared" si="587"/>
        <v>0</v>
      </c>
      <c r="I1345" s="39"/>
      <c r="J1345" s="41">
        <f t="shared" si="588"/>
        <v>0</v>
      </c>
      <c r="K1345" s="49"/>
      <c r="L1345" s="41">
        <f t="shared" si="589"/>
        <v>0</v>
      </c>
      <c r="M1345" s="39"/>
      <c r="N1345" s="41">
        <f t="shared" si="590"/>
        <v>0</v>
      </c>
      <c r="O1345" s="49"/>
      <c r="P1345" s="41">
        <f t="shared" si="591"/>
        <v>0</v>
      </c>
      <c r="Q1345" s="39"/>
      <c r="R1345" s="41">
        <f t="shared" si="592"/>
        <v>0</v>
      </c>
      <c r="S1345" s="49"/>
      <c r="T1345" s="41">
        <f t="shared" si="593"/>
        <v>0</v>
      </c>
      <c r="U1345" s="39"/>
      <c r="V1345" s="41">
        <f t="shared" si="594"/>
        <v>0</v>
      </c>
      <c r="W1345" s="49"/>
      <c r="X1345" s="41">
        <f t="shared" si="595"/>
        <v>0</v>
      </c>
      <c r="Y1345" s="39"/>
      <c r="Z1345" s="41">
        <f t="shared" si="596"/>
        <v>0</v>
      </c>
      <c r="AA1345" s="49"/>
      <c r="AB1345" s="41">
        <f t="shared" si="597"/>
        <v>0</v>
      </c>
      <c r="AC1345" s="39"/>
      <c r="AD1345" s="41">
        <f t="shared" si="605"/>
        <v>0</v>
      </c>
      <c r="AE1345" s="49"/>
      <c r="AF1345" s="41">
        <f t="shared" si="598"/>
        <v>0</v>
      </c>
      <c r="AG1345" s="39"/>
      <c r="AH1345" s="41">
        <f t="shared" si="606"/>
        <v>0</v>
      </c>
      <c r="AI1345" s="49"/>
      <c r="AJ1345" s="41">
        <f t="shared" si="599"/>
        <v>0</v>
      </c>
      <c r="AK1345" s="39"/>
      <c r="AL1345" s="41">
        <f t="shared" si="607"/>
        <v>0</v>
      </c>
      <c r="AM1345" s="49"/>
      <c r="AN1345" s="41">
        <f t="shared" si="600"/>
        <v>0</v>
      </c>
      <c r="AO1345" s="39"/>
      <c r="AP1345" s="41">
        <f t="shared" si="608"/>
        <v>0</v>
      </c>
      <c r="AQ1345" s="49"/>
      <c r="AR1345" s="41">
        <f t="shared" si="601"/>
        <v>0</v>
      </c>
      <c r="AS1345" s="39"/>
      <c r="AT1345" s="41">
        <f t="shared" si="609"/>
        <v>0</v>
      </c>
      <c r="AU1345" s="49"/>
      <c r="AV1345" s="41">
        <f t="shared" si="602"/>
        <v>0</v>
      </c>
      <c r="AW1345" s="39"/>
      <c r="AX1345" s="41">
        <f t="shared" si="610"/>
        <v>0</v>
      </c>
      <c r="AY1345" s="49"/>
      <c r="AZ1345" s="41">
        <f t="shared" si="603"/>
        <v>0</v>
      </c>
      <c r="BA1345" s="39"/>
      <c r="BB1345" s="41">
        <f t="shared" si="611"/>
        <v>0</v>
      </c>
      <c r="BC1345" s="49"/>
      <c r="BD1345" s="41">
        <f t="shared" si="604"/>
        <v>0</v>
      </c>
      <c r="BE1345" s="39"/>
      <c r="BF1345" s="49"/>
    </row>
    <row r="1346" spans="1:58" ht="15.75" customHeight="1" x14ac:dyDescent="0.25">
      <c r="A1346" s="44">
        <v>2015</v>
      </c>
      <c r="B1346" s="39">
        <v>171630</v>
      </c>
      <c r="C1346" s="38" t="s">
        <v>149</v>
      </c>
      <c r="D1346" s="38" t="s">
        <v>98</v>
      </c>
      <c r="E1346" s="39"/>
      <c r="F1346" s="42">
        <f t="shared" ref="F1346:F1391" si="612">IFERROR(E1346/$BE1346,0)</f>
        <v>0</v>
      </c>
      <c r="G1346" s="49"/>
      <c r="H1346" s="42">
        <f t="shared" ref="H1346:H1391" si="613">IFERROR(G1346/$BF1346,0)</f>
        <v>0</v>
      </c>
      <c r="I1346" s="39"/>
      <c r="J1346" s="41">
        <f t="shared" ref="J1346:J1391" si="614">IFERROR(I1346/$BE1346,0)</f>
        <v>0</v>
      </c>
      <c r="K1346" s="49"/>
      <c r="L1346" s="41">
        <f t="shared" ref="L1346:L1391" si="615">IFERROR(K1346/$BF1346,0)</f>
        <v>0</v>
      </c>
      <c r="M1346" s="39"/>
      <c r="N1346" s="41">
        <f t="shared" ref="N1346:N1391" si="616">IFERROR(M1346/$BE1346,0)</f>
        <v>0</v>
      </c>
      <c r="O1346" s="49"/>
      <c r="P1346" s="41">
        <f t="shared" ref="P1346:P1391" si="617">IFERROR(O1346/$BF1346,0)</f>
        <v>0</v>
      </c>
      <c r="Q1346" s="39"/>
      <c r="R1346" s="41">
        <f t="shared" ref="R1346:R1391" si="618">IFERROR(Q1346/$BE1346,0)</f>
        <v>0</v>
      </c>
      <c r="S1346" s="49"/>
      <c r="T1346" s="41">
        <f t="shared" ref="T1346:T1391" si="619">IFERROR(S1346/$BF1346,0)</f>
        <v>0</v>
      </c>
      <c r="U1346" s="39"/>
      <c r="V1346" s="41">
        <f t="shared" ref="V1346:V1391" si="620">IFERROR(U1346/$BE1346,0)</f>
        <v>0</v>
      </c>
      <c r="W1346" s="49"/>
      <c r="X1346" s="41">
        <f t="shared" ref="X1346:X1391" si="621">IFERROR(W1346/$BF1346,0)</f>
        <v>0</v>
      </c>
      <c r="Y1346" s="39"/>
      <c r="Z1346" s="41">
        <f t="shared" ref="Z1346:Z1391" si="622">IFERROR(Y1346/$BE1346,0)</f>
        <v>0</v>
      </c>
      <c r="AA1346" s="49"/>
      <c r="AB1346" s="41">
        <f t="shared" ref="AB1346:AB1391" si="623">IFERROR(AA1346/$BF1346,0)</f>
        <v>0</v>
      </c>
      <c r="AC1346" s="39"/>
      <c r="AD1346" s="41">
        <f t="shared" si="605"/>
        <v>0</v>
      </c>
      <c r="AE1346" s="49"/>
      <c r="AF1346" s="41">
        <f t="shared" ref="AF1346:AF1391" si="624">IFERROR(AE1346/$BF1346,0)</f>
        <v>0</v>
      </c>
      <c r="AG1346" s="39"/>
      <c r="AH1346" s="41">
        <f t="shared" si="606"/>
        <v>0</v>
      </c>
      <c r="AI1346" s="49"/>
      <c r="AJ1346" s="41">
        <f t="shared" ref="AJ1346:AJ1391" si="625">IFERROR(AI1346/$BF1346,0)</f>
        <v>0</v>
      </c>
      <c r="AK1346" s="39"/>
      <c r="AL1346" s="41">
        <f t="shared" si="607"/>
        <v>0</v>
      </c>
      <c r="AM1346" s="49"/>
      <c r="AN1346" s="41">
        <f t="shared" ref="AN1346:AN1391" si="626">IFERROR(AM1346/$BF1346,0)</f>
        <v>0</v>
      </c>
      <c r="AO1346" s="39"/>
      <c r="AP1346" s="41">
        <f t="shared" si="608"/>
        <v>0</v>
      </c>
      <c r="AQ1346" s="49"/>
      <c r="AR1346" s="41">
        <f t="shared" ref="AR1346:AR1391" si="627">IFERROR(AQ1346/$BF1346,0)</f>
        <v>0</v>
      </c>
      <c r="AS1346" s="39"/>
      <c r="AT1346" s="41">
        <f t="shared" si="609"/>
        <v>0</v>
      </c>
      <c r="AU1346" s="49"/>
      <c r="AV1346" s="41">
        <f t="shared" ref="AV1346:AV1391" si="628">IFERROR(AU1346/$BF1346,0)</f>
        <v>0</v>
      </c>
      <c r="AW1346" s="39"/>
      <c r="AX1346" s="41">
        <f t="shared" si="610"/>
        <v>0</v>
      </c>
      <c r="AY1346" s="49"/>
      <c r="AZ1346" s="41">
        <f t="shared" ref="AZ1346:AZ1391" si="629">IFERROR(AY1346/$BF1346,0)</f>
        <v>0</v>
      </c>
      <c r="BA1346" s="39"/>
      <c r="BB1346" s="41">
        <f t="shared" si="611"/>
        <v>0</v>
      </c>
      <c r="BC1346" s="49"/>
      <c r="BD1346" s="41">
        <f t="shared" ref="BD1346:BD1391" si="630">IFERROR(BC1346/$BF1346,0)</f>
        <v>0</v>
      </c>
      <c r="BE1346" s="39"/>
      <c r="BF1346" s="49"/>
    </row>
    <row r="1347" spans="1:58" ht="15.75" customHeight="1" x14ac:dyDescent="0.25">
      <c r="A1347" s="44">
        <v>2015</v>
      </c>
      <c r="B1347" s="39">
        <v>171650</v>
      </c>
      <c r="C1347" s="38" t="s">
        <v>150</v>
      </c>
      <c r="D1347" s="38" t="s">
        <v>99</v>
      </c>
      <c r="E1347" s="39"/>
      <c r="F1347" s="42">
        <f t="shared" si="612"/>
        <v>0</v>
      </c>
      <c r="G1347" s="49"/>
      <c r="H1347" s="42">
        <f t="shared" si="613"/>
        <v>0</v>
      </c>
      <c r="I1347" s="39"/>
      <c r="J1347" s="41">
        <f t="shared" si="614"/>
        <v>0</v>
      </c>
      <c r="K1347" s="49"/>
      <c r="L1347" s="41">
        <f t="shared" si="615"/>
        <v>0</v>
      </c>
      <c r="M1347" s="39"/>
      <c r="N1347" s="41">
        <f t="shared" si="616"/>
        <v>0</v>
      </c>
      <c r="O1347" s="49"/>
      <c r="P1347" s="41">
        <f t="shared" si="617"/>
        <v>0</v>
      </c>
      <c r="Q1347" s="39"/>
      <c r="R1347" s="41">
        <f t="shared" si="618"/>
        <v>0</v>
      </c>
      <c r="S1347" s="49"/>
      <c r="T1347" s="41">
        <f t="shared" si="619"/>
        <v>0</v>
      </c>
      <c r="U1347" s="39"/>
      <c r="V1347" s="41">
        <f t="shared" si="620"/>
        <v>0</v>
      </c>
      <c r="W1347" s="49"/>
      <c r="X1347" s="41">
        <f t="shared" si="621"/>
        <v>0</v>
      </c>
      <c r="Y1347" s="39"/>
      <c r="Z1347" s="41">
        <f t="shared" si="622"/>
        <v>0</v>
      </c>
      <c r="AA1347" s="49"/>
      <c r="AB1347" s="41">
        <f t="shared" si="623"/>
        <v>0</v>
      </c>
      <c r="AC1347" s="39"/>
      <c r="AD1347" s="41">
        <f t="shared" si="605"/>
        <v>0</v>
      </c>
      <c r="AE1347" s="49"/>
      <c r="AF1347" s="41">
        <f t="shared" si="624"/>
        <v>0</v>
      </c>
      <c r="AG1347" s="39"/>
      <c r="AH1347" s="41">
        <f t="shared" si="606"/>
        <v>0</v>
      </c>
      <c r="AI1347" s="49"/>
      <c r="AJ1347" s="41">
        <f t="shared" si="625"/>
        <v>0</v>
      </c>
      <c r="AK1347" s="39"/>
      <c r="AL1347" s="41">
        <f t="shared" si="607"/>
        <v>0</v>
      </c>
      <c r="AM1347" s="49"/>
      <c r="AN1347" s="41">
        <f t="shared" si="626"/>
        <v>0</v>
      </c>
      <c r="AO1347" s="39"/>
      <c r="AP1347" s="41">
        <f t="shared" si="608"/>
        <v>0</v>
      </c>
      <c r="AQ1347" s="49"/>
      <c r="AR1347" s="41">
        <f t="shared" si="627"/>
        <v>0</v>
      </c>
      <c r="AS1347" s="39"/>
      <c r="AT1347" s="41">
        <f t="shared" si="609"/>
        <v>0</v>
      </c>
      <c r="AU1347" s="49"/>
      <c r="AV1347" s="41">
        <f t="shared" si="628"/>
        <v>0</v>
      </c>
      <c r="AW1347" s="39"/>
      <c r="AX1347" s="41">
        <f t="shared" si="610"/>
        <v>0</v>
      </c>
      <c r="AY1347" s="49"/>
      <c r="AZ1347" s="41">
        <f t="shared" si="629"/>
        <v>0</v>
      </c>
      <c r="BA1347" s="39"/>
      <c r="BB1347" s="41">
        <f t="shared" si="611"/>
        <v>0</v>
      </c>
      <c r="BC1347" s="49"/>
      <c r="BD1347" s="41">
        <f t="shared" si="630"/>
        <v>0</v>
      </c>
      <c r="BE1347" s="39"/>
      <c r="BF1347" s="49"/>
    </row>
    <row r="1348" spans="1:58" ht="15.75" customHeight="1" x14ac:dyDescent="0.25">
      <c r="A1348" s="44">
        <v>2015</v>
      </c>
      <c r="B1348" s="39">
        <v>171660</v>
      </c>
      <c r="C1348" s="38" t="s">
        <v>146</v>
      </c>
      <c r="D1348" s="38" t="s">
        <v>100</v>
      </c>
      <c r="E1348" s="39"/>
      <c r="F1348" s="42">
        <f t="shared" si="612"/>
        <v>0</v>
      </c>
      <c r="G1348" s="49"/>
      <c r="H1348" s="42">
        <f t="shared" si="613"/>
        <v>0</v>
      </c>
      <c r="I1348" s="39"/>
      <c r="J1348" s="41">
        <f t="shared" si="614"/>
        <v>0</v>
      </c>
      <c r="K1348" s="49"/>
      <c r="L1348" s="41">
        <f t="shared" si="615"/>
        <v>0</v>
      </c>
      <c r="M1348" s="39"/>
      <c r="N1348" s="41">
        <f t="shared" si="616"/>
        <v>0</v>
      </c>
      <c r="O1348" s="49"/>
      <c r="P1348" s="41">
        <f t="shared" si="617"/>
        <v>0</v>
      </c>
      <c r="Q1348" s="39"/>
      <c r="R1348" s="41">
        <f t="shared" si="618"/>
        <v>0</v>
      </c>
      <c r="S1348" s="49"/>
      <c r="T1348" s="41">
        <f t="shared" si="619"/>
        <v>0</v>
      </c>
      <c r="U1348" s="39"/>
      <c r="V1348" s="41">
        <f t="shared" si="620"/>
        <v>0</v>
      </c>
      <c r="W1348" s="49"/>
      <c r="X1348" s="41">
        <f t="shared" si="621"/>
        <v>0</v>
      </c>
      <c r="Y1348" s="39"/>
      <c r="Z1348" s="41">
        <f t="shared" si="622"/>
        <v>0</v>
      </c>
      <c r="AA1348" s="49"/>
      <c r="AB1348" s="41">
        <f t="shared" si="623"/>
        <v>0</v>
      </c>
      <c r="AC1348" s="39"/>
      <c r="AD1348" s="41">
        <f t="shared" si="605"/>
        <v>0</v>
      </c>
      <c r="AE1348" s="49"/>
      <c r="AF1348" s="41">
        <f t="shared" si="624"/>
        <v>0</v>
      </c>
      <c r="AG1348" s="39"/>
      <c r="AH1348" s="41">
        <f t="shared" si="606"/>
        <v>0</v>
      </c>
      <c r="AI1348" s="49"/>
      <c r="AJ1348" s="41">
        <f t="shared" si="625"/>
        <v>0</v>
      </c>
      <c r="AK1348" s="39"/>
      <c r="AL1348" s="41">
        <f t="shared" si="607"/>
        <v>0</v>
      </c>
      <c r="AM1348" s="49"/>
      <c r="AN1348" s="41">
        <f t="shared" si="626"/>
        <v>0</v>
      </c>
      <c r="AO1348" s="39"/>
      <c r="AP1348" s="41">
        <f t="shared" si="608"/>
        <v>0</v>
      </c>
      <c r="AQ1348" s="49"/>
      <c r="AR1348" s="41">
        <f t="shared" si="627"/>
        <v>0</v>
      </c>
      <c r="AS1348" s="39"/>
      <c r="AT1348" s="41">
        <f t="shared" si="609"/>
        <v>0</v>
      </c>
      <c r="AU1348" s="49"/>
      <c r="AV1348" s="41">
        <f t="shared" si="628"/>
        <v>0</v>
      </c>
      <c r="AW1348" s="39"/>
      <c r="AX1348" s="41">
        <f t="shared" si="610"/>
        <v>0</v>
      </c>
      <c r="AY1348" s="49"/>
      <c r="AZ1348" s="41">
        <f t="shared" si="629"/>
        <v>0</v>
      </c>
      <c r="BA1348" s="39"/>
      <c r="BB1348" s="41">
        <f t="shared" si="611"/>
        <v>0</v>
      </c>
      <c r="BC1348" s="49"/>
      <c r="BD1348" s="41">
        <f t="shared" si="630"/>
        <v>0</v>
      </c>
      <c r="BE1348" s="39"/>
      <c r="BF1348" s="49"/>
    </row>
    <row r="1349" spans="1:58" ht="15.75" customHeight="1" x14ac:dyDescent="0.25">
      <c r="A1349" s="44">
        <v>2015</v>
      </c>
      <c r="B1349" s="39">
        <v>171665</v>
      </c>
      <c r="C1349" s="38" t="s">
        <v>150</v>
      </c>
      <c r="D1349" s="38" t="s">
        <v>101</v>
      </c>
      <c r="E1349" s="39"/>
      <c r="F1349" s="42">
        <f t="shared" si="612"/>
        <v>0</v>
      </c>
      <c r="G1349" s="49"/>
      <c r="H1349" s="42">
        <f t="shared" si="613"/>
        <v>0</v>
      </c>
      <c r="I1349" s="39"/>
      <c r="J1349" s="41">
        <f t="shared" si="614"/>
        <v>0</v>
      </c>
      <c r="K1349" s="49"/>
      <c r="L1349" s="41">
        <f t="shared" si="615"/>
        <v>0</v>
      </c>
      <c r="M1349" s="39"/>
      <c r="N1349" s="41">
        <f t="shared" si="616"/>
        <v>0</v>
      </c>
      <c r="O1349" s="49"/>
      <c r="P1349" s="41">
        <f t="shared" si="617"/>
        <v>0</v>
      </c>
      <c r="Q1349" s="39"/>
      <c r="R1349" s="41">
        <f t="shared" si="618"/>
        <v>0</v>
      </c>
      <c r="S1349" s="49"/>
      <c r="T1349" s="41">
        <f t="shared" si="619"/>
        <v>0</v>
      </c>
      <c r="U1349" s="39"/>
      <c r="V1349" s="41">
        <f t="shared" si="620"/>
        <v>0</v>
      </c>
      <c r="W1349" s="49"/>
      <c r="X1349" s="41">
        <f t="shared" si="621"/>
        <v>0</v>
      </c>
      <c r="Y1349" s="39"/>
      <c r="Z1349" s="41">
        <f t="shared" si="622"/>
        <v>0</v>
      </c>
      <c r="AA1349" s="49"/>
      <c r="AB1349" s="41">
        <f t="shared" si="623"/>
        <v>0</v>
      </c>
      <c r="AC1349" s="39"/>
      <c r="AD1349" s="41">
        <f t="shared" si="605"/>
        <v>0</v>
      </c>
      <c r="AE1349" s="49"/>
      <c r="AF1349" s="41">
        <f t="shared" si="624"/>
        <v>0</v>
      </c>
      <c r="AG1349" s="39"/>
      <c r="AH1349" s="41">
        <f t="shared" si="606"/>
        <v>0</v>
      </c>
      <c r="AI1349" s="49"/>
      <c r="AJ1349" s="41">
        <f t="shared" si="625"/>
        <v>0</v>
      </c>
      <c r="AK1349" s="39"/>
      <c r="AL1349" s="41">
        <f t="shared" si="607"/>
        <v>0</v>
      </c>
      <c r="AM1349" s="49"/>
      <c r="AN1349" s="41">
        <f t="shared" si="626"/>
        <v>0</v>
      </c>
      <c r="AO1349" s="39"/>
      <c r="AP1349" s="41">
        <f t="shared" si="608"/>
        <v>0</v>
      </c>
      <c r="AQ1349" s="49"/>
      <c r="AR1349" s="41">
        <f t="shared" si="627"/>
        <v>0</v>
      </c>
      <c r="AS1349" s="39"/>
      <c r="AT1349" s="41">
        <f t="shared" si="609"/>
        <v>0</v>
      </c>
      <c r="AU1349" s="49"/>
      <c r="AV1349" s="41">
        <f t="shared" si="628"/>
        <v>0</v>
      </c>
      <c r="AW1349" s="39"/>
      <c r="AX1349" s="41">
        <f t="shared" si="610"/>
        <v>0</v>
      </c>
      <c r="AY1349" s="49"/>
      <c r="AZ1349" s="41">
        <f t="shared" si="629"/>
        <v>0</v>
      </c>
      <c r="BA1349" s="39"/>
      <c r="BB1349" s="41">
        <f t="shared" si="611"/>
        <v>0</v>
      </c>
      <c r="BC1349" s="49"/>
      <c r="BD1349" s="41">
        <f t="shared" si="630"/>
        <v>0</v>
      </c>
      <c r="BE1349" s="39"/>
      <c r="BF1349" s="49"/>
    </row>
    <row r="1350" spans="1:58" ht="15.75" customHeight="1" x14ac:dyDescent="0.25">
      <c r="A1350" s="44">
        <v>2015</v>
      </c>
      <c r="B1350" s="39">
        <v>171700</v>
      </c>
      <c r="C1350" s="38" t="s">
        <v>151</v>
      </c>
      <c r="D1350" s="38" t="s">
        <v>102</v>
      </c>
      <c r="E1350" s="39"/>
      <c r="F1350" s="42">
        <f t="shared" si="612"/>
        <v>0</v>
      </c>
      <c r="G1350" s="49"/>
      <c r="H1350" s="42">
        <f t="shared" si="613"/>
        <v>0</v>
      </c>
      <c r="I1350" s="39"/>
      <c r="J1350" s="41">
        <f t="shared" si="614"/>
        <v>0</v>
      </c>
      <c r="K1350" s="49"/>
      <c r="L1350" s="41">
        <f t="shared" si="615"/>
        <v>0</v>
      </c>
      <c r="M1350" s="39"/>
      <c r="N1350" s="41">
        <f t="shared" si="616"/>
        <v>0</v>
      </c>
      <c r="O1350" s="49"/>
      <c r="P1350" s="41">
        <f t="shared" si="617"/>
        <v>0</v>
      </c>
      <c r="Q1350" s="39"/>
      <c r="R1350" s="41">
        <f t="shared" si="618"/>
        <v>0</v>
      </c>
      <c r="S1350" s="49"/>
      <c r="T1350" s="41">
        <f t="shared" si="619"/>
        <v>0</v>
      </c>
      <c r="U1350" s="39"/>
      <c r="V1350" s="41">
        <f t="shared" si="620"/>
        <v>0</v>
      </c>
      <c r="W1350" s="49"/>
      <c r="X1350" s="41">
        <f t="shared" si="621"/>
        <v>0</v>
      </c>
      <c r="Y1350" s="39"/>
      <c r="Z1350" s="41">
        <f t="shared" si="622"/>
        <v>0</v>
      </c>
      <c r="AA1350" s="49"/>
      <c r="AB1350" s="41">
        <f t="shared" si="623"/>
        <v>0</v>
      </c>
      <c r="AC1350" s="39"/>
      <c r="AD1350" s="41">
        <f t="shared" si="605"/>
        <v>0</v>
      </c>
      <c r="AE1350" s="49"/>
      <c r="AF1350" s="41">
        <f t="shared" si="624"/>
        <v>0</v>
      </c>
      <c r="AG1350" s="39"/>
      <c r="AH1350" s="41">
        <f t="shared" si="606"/>
        <v>0</v>
      </c>
      <c r="AI1350" s="49"/>
      <c r="AJ1350" s="41">
        <f t="shared" si="625"/>
        <v>0</v>
      </c>
      <c r="AK1350" s="39"/>
      <c r="AL1350" s="41">
        <f t="shared" si="607"/>
        <v>0</v>
      </c>
      <c r="AM1350" s="49"/>
      <c r="AN1350" s="41">
        <f t="shared" si="626"/>
        <v>0</v>
      </c>
      <c r="AO1350" s="39"/>
      <c r="AP1350" s="41">
        <f t="shared" si="608"/>
        <v>0</v>
      </c>
      <c r="AQ1350" s="49"/>
      <c r="AR1350" s="41">
        <f t="shared" si="627"/>
        <v>0</v>
      </c>
      <c r="AS1350" s="39"/>
      <c r="AT1350" s="41">
        <f t="shared" si="609"/>
        <v>0</v>
      </c>
      <c r="AU1350" s="49"/>
      <c r="AV1350" s="41">
        <f t="shared" si="628"/>
        <v>0</v>
      </c>
      <c r="AW1350" s="39"/>
      <c r="AX1350" s="41">
        <f t="shared" si="610"/>
        <v>0</v>
      </c>
      <c r="AY1350" s="49"/>
      <c r="AZ1350" s="41">
        <f t="shared" si="629"/>
        <v>0</v>
      </c>
      <c r="BA1350" s="39"/>
      <c r="BB1350" s="41">
        <f t="shared" si="611"/>
        <v>0</v>
      </c>
      <c r="BC1350" s="49"/>
      <c r="BD1350" s="41">
        <f t="shared" si="630"/>
        <v>0</v>
      </c>
      <c r="BE1350" s="39"/>
      <c r="BF1350" s="49"/>
    </row>
    <row r="1351" spans="1:58" ht="15.75" customHeight="1" x14ac:dyDescent="0.25">
      <c r="A1351" s="44">
        <v>2015</v>
      </c>
      <c r="B1351" s="39">
        <v>171720</v>
      </c>
      <c r="C1351" s="38" t="s">
        <v>149</v>
      </c>
      <c r="D1351" s="38" t="s">
        <v>103</v>
      </c>
      <c r="E1351" s="39"/>
      <c r="F1351" s="42">
        <f t="shared" si="612"/>
        <v>0</v>
      </c>
      <c r="G1351" s="49"/>
      <c r="H1351" s="42">
        <f t="shared" si="613"/>
        <v>0</v>
      </c>
      <c r="I1351" s="39"/>
      <c r="J1351" s="41">
        <f t="shared" si="614"/>
        <v>0</v>
      </c>
      <c r="K1351" s="49"/>
      <c r="L1351" s="41">
        <f t="shared" si="615"/>
        <v>0</v>
      </c>
      <c r="M1351" s="39"/>
      <c r="N1351" s="41">
        <f t="shared" si="616"/>
        <v>0</v>
      </c>
      <c r="O1351" s="49"/>
      <c r="P1351" s="41">
        <f t="shared" si="617"/>
        <v>0</v>
      </c>
      <c r="Q1351" s="39"/>
      <c r="R1351" s="41">
        <f t="shared" si="618"/>
        <v>0</v>
      </c>
      <c r="S1351" s="49"/>
      <c r="T1351" s="41">
        <f t="shared" si="619"/>
        <v>0</v>
      </c>
      <c r="U1351" s="39"/>
      <c r="V1351" s="41">
        <f t="shared" si="620"/>
        <v>0</v>
      </c>
      <c r="W1351" s="49"/>
      <c r="X1351" s="41">
        <f t="shared" si="621"/>
        <v>0</v>
      </c>
      <c r="Y1351" s="39"/>
      <c r="Z1351" s="41">
        <f t="shared" si="622"/>
        <v>0</v>
      </c>
      <c r="AA1351" s="49"/>
      <c r="AB1351" s="41">
        <f t="shared" si="623"/>
        <v>0</v>
      </c>
      <c r="AC1351" s="39"/>
      <c r="AD1351" s="41">
        <f t="shared" si="605"/>
        <v>0</v>
      </c>
      <c r="AE1351" s="49"/>
      <c r="AF1351" s="41">
        <f t="shared" si="624"/>
        <v>0</v>
      </c>
      <c r="AG1351" s="39"/>
      <c r="AH1351" s="41">
        <f t="shared" si="606"/>
        <v>0</v>
      </c>
      <c r="AI1351" s="49"/>
      <c r="AJ1351" s="41">
        <f t="shared" si="625"/>
        <v>0</v>
      </c>
      <c r="AK1351" s="39"/>
      <c r="AL1351" s="41">
        <f t="shared" si="607"/>
        <v>0</v>
      </c>
      <c r="AM1351" s="49"/>
      <c r="AN1351" s="41">
        <f t="shared" si="626"/>
        <v>0</v>
      </c>
      <c r="AO1351" s="39"/>
      <c r="AP1351" s="41">
        <f t="shared" si="608"/>
        <v>0</v>
      </c>
      <c r="AQ1351" s="49"/>
      <c r="AR1351" s="41">
        <f t="shared" si="627"/>
        <v>0</v>
      </c>
      <c r="AS1351" s="39"/>
      <c r="AT1351" s="41">
        <f t="shared" si="609"/>
        <v>0</v>
      </c>
      <c r="AU1351" s="49"/>
      <c r="AV1351" s="41">
        <f t="shared" si="628"/>
        <v>0</v>
      </c>
      <c r="AW1351" s="39"/>
      <c r="AX1351" s="41">
        <f t="shared" si="610"/>
        <v>0</v>
      </c>
      <c r="AY1351" s="49"/>
      <c r="AZ1351" s="41">
        <f t="shared" si="629"/>
        <v>0</v>
      </c>
      <c r="BA1351" s="39"/>
      <c r="BB1351" s="41">
        <f t="shared" si="611"/>
        <v>0</v>
      </c>
      <c r="BC1351" s="49"/>
      <c r="BD1351" s="41">
        <f t="shared" si="630"/>
        <v>0</v>
      </c>
      <c r="BE1351" s="39"/>
      <c r="BF1351" s="49"/>
    </row>
    <row r="1352" spans="1:58" ht="15.75" customHeight="1" x14ac:dyDescent="0.25">
      <c r="A1352" s="44">
        <v>2015</v>
      </c>
      <c r="B1352" s="39">
        <v>171750</v>
      </c>
      <c r="C1352" s="38" t="s">
        <v>144</v>
      </c>
      <c r="D1352" s="38" t="s">
        <v>104</v>
      </c>
      <c r="E1352" s="39"/>
      <c r="F1352" s="42">
        <f t="shared" si="612"/>
        <v>0</v>
      </c>
      <c r="G1352" s="49"/>
      <c r="H1352" s="42">
        <f t="shared" si="613"/>
        <v>0</v>
      </c>
      <c r="I1352" s="39"/>
      <c r="J1352" s="41">
        <f t="shared" si="614"/>
        <v>0</v>
      </c>
      <c r="K1352" s="49"/>
      <c r="L1352" s="41">
        <f t="shared" si="615"/>
        <v>0</v>
      </c>
      <c r="M1352" s="39"/>
      <c r="N1352" s="41">
        <f t="shared" si="616"/>
        <v>0</v>
      </c>
      <c r="O1352" s="49"/>
      <c r="P1352" s="41">
        <f t="shared" si="617"/>
        <v>0</v>
      </c>
      <c r="Q1352" s="39"/>
      <c r="R1352" s="41">
        <f t="shared" si="618"/>
        <v>0</v>
      </c>
      <c r="S1352" s="49"/>
      <c r="T1352" s="41">
        <f t="shared" si="619"/>
        <v>0</v>
      </c>
      <c r="U1352" s="39"/>
      <c r="V1352" s="41">
        <f t="shared" si="620"/>
        <v>0</v>
      </c>
      <c r="W1352" s="49"/>
      <c r="X1352" s="41">
        <f t="shared" si="621"/>
        <v>0</v>
      </c>
      <c r="Y1352" s="39"/>
      <c r="Z1352" s="41">
        <f t="shared" si="622"/>
        <v>0</v>
      </c>
      <c r="AA1352" s="49"/>
      <c r="AB1352" s="41">
        <f t="shared" si="623"/>
        <v>0</v>
      </c>
      <c r="AC1352" s="39"/>
      <c r="AD1352" s="41">
        <f t="shared" si="605"/>
        <v>0</v>
      </c>
      <c r="AE1352" s="49"/>
      <c r="AF1352" s="41">
        <f t="shared" si="624"/>
        <v>0</v>
      </c>
      <c r="AG1352" s="39"/>
      <c r="AH1352" s="41">
        <f t="shared" si="606"/>
        <v>0</v>
      </c>
      <c r="AI1352" s="49"/>
      <c r="AJ1352" s="41">
        <f t="shared" si="625"/>
        <v>0</v>
      </c>
      <c r="AK1352" s="39"/>
      <c r="AL1352" s="41">
        <f t="shared" si="607"/>
        <v>0</v>
      </c>
      <c r="AM1352" s="49"/>
      <c r="AN1352" s="41">
        <f t="shared" si="626"/>
        <v>0</v>
      </c>
      <c r="AO1352" s="39"/>
      <c r="AP1352" s="41">
        <f t="shared" si="608"/>
        <v>0</v>
      </c>
      <c r="AQ1352" s="49"/>
      <c r="AR1352" s="41">
        <f t="shared" si="627"/>
        <v>0</v>
      </c>
      <c r="AS1352" s="39"/>
      <c r="AT1352" s="41">
        <f t="shared" si="609"/>
        <v>0</v>
      </c>
      <c r="AU1352" s="49"/>
      <c r="AV1352" s="41">
        <f t="shared" si="628"/>
        <v>0</v>
      </c>
      <c r="AW1352" s="39"/>
      <c r="AX1352" s="41">
        <f t="shared" si="610"/>
        <v>0</v>
      </c>
      <c r="AY1352" s="49"/>
      <c r="AZ1352" s="41">
        <f t="shared" si="629"/>
        <v>0</v>
      </c>
      <c r="BA1352" s="39"/>
      <c r="BB1352" s="41">
        <f t="shared" si="611"/>
        <v>0</v>
      </c>
      <c r="BC1352" s="49"/>
      <c r="BD1352" s="41">
        <f t="shared" si="630"/>
        <v>0</v>
      </c>
      <c r="BE1352" s="39"/>
      <c r="BF1352" s="49"/>
    </row>
    <row r="1353" spans="1:58" ht="15.75" customHeight="1" x14ac:dyDescent="0.25">
      <c r="A1353" s="44">
        <v>2015</v>
      </c>
      <c r="B1353" s="39">
        <v>171780</v>
      </c>
      <c r="C1353" s="38" t="s">
        <v>147</v>
      </c>
      <c r="D1353" s="38" t="s">
        <v>105</v>
      </c>
      <c r="E1353" s="39"/>
      <c r="F1353" s="42">
        <f t="shared" si="612"/>
        <v>0</v>
      </c>
      <c r="G1353" s="49"/>
      <c r="H1353" s="42">
        <f t="shared" si="613"/>
        <v>0</v>
      </c>
      <c r="I1353" s="39"/>
      <c r="J1353" s="41">
        <f t="shared" si="614"/>
        <v>0</v>
      </c>
      <c r="K1353" s="49"/>
      <c r="L1353" s="41">
        <f t="shared" si="615"/>
        <v>0</v>
      </c>
      <c r="M1353" s="39"/>
      <c r="N1353" s="41">
        <f t="shared" si="616"/>
        <v>0</v>
      </c>
      <c r="O1353" s="49"/>
      <c r="P1353" s="41">
        <f t="shared" si="617"/>
        <v>0</v>
      </c>
      <c r="Q1353" s="39"/>
      <c r="R1353" s="41">
        <f t="shared" si="618"/>
        <v>0</v>
      </c>
      <c r="S1353" s="49"/>
      <c r="T1353" s="41">
        <f t="shared" si="619"/>
        <v>0</v>
      </c>
      <c r="U1353" s="39"/>
      <c r="V1353" s="41">
        <f t="shared" si="620"/>
        <v>0</v>
      </c>
      <c r="W1353" s="49"/>
      <c r="X1353" s="41">
        <f t="shared" si="621"/>
        <v>0</v>
      </c>
      <c r="Y1353" s="39"/>
      <c r="Z1353" s="41">
        <f t="shared" si="622"/>
        <v>0</v>
      </c>
      <c r="AA1353" s="49"/>
      <c r="AB1353" s="41">
        <f t="shared" si="623"/>
        <v>0</v>
      </c>
      <c r="AC1353" s="39"/>
      <c r="AD1353" s="41">
        <f t="shared" si="605"/>
        <v>0</v>
      </c>
      <c r="AE1353" s="49"/>
      <c r="AF1353" s="41">
        <f t="shared" si="624"/>
        <v>0</v>
      </c>
      <c r="AG1353" s="39"/>
      <c r="AH1353" s="41">
        <f t="shared" si="606"/>
        <v>0</v>
      </c>
      <c r="AI1353" s="49"/>
      <c r="AJ1353" s="41">
        <f t="shared" si="625"/>
        <v>0</v>
      </c>
      <c r="AK1353" s="39"/>
      <c r="AL1353" s="41">
        <f t="shared" si="607"/>
        <v>0</v>
      </c>
      <c r="AM1353" s="49"/>
      <c r="AN1353" s="41">
        <f t="shared" si="626"/>
        <v>0</v>
      </c>
      <c r="AO1353" s="39"/>
      <c r="AP1353" s="41">
        <f t="shared" si="608"/>
        <v>0</v>
      </c>
      <c r="AQ1353" s="49"/>
      <c r="AR1353" s="41">
        <f t="shared" si="627"/>
        <v>0</v>
      </c>
      <c r="AS1353" s="39"/>
      <c r="AT1353" s="41">
        <f t="shared" si="609"/>
        <v>0</v>
      </c>
      <c r="AU1353" s="49"/>
      <c r="AV1353" s="41">
        <f t="shared" si="628"/>
        <v>0</v>
      </c>
      <c r="AW1353" s="39"/>
      <c r="AX1353" s="41">
        <f t="shared" si="610"/>
        <v>0</v>
      </c>
      <c r="AY1353" s="49"/>
      <c r="AZ1353" s="41">
        <f t="shared" si="629"/>
        <v>0</v>
      </c>
      <c r="BA1353" s="39"/>
      <c r="BB1353" s="41">
        <f t="shared" si="611"/>
        <v>0</v>
      </c>
      <c r="BC1353" s="49"/>
      <c r="BD1353" s="41">
        <f t="shared" si="630"/>
        <v>0</v>
      </c>
      <c r="BE1353" s="39"/>
      <c r="BF1353" s="49"/>
    </row>
    <row r="1354" spans="1:58" ht="15.75" customHeight="1" x14ac:dyDescent="0.25">
      <c r="A1354" s="44">
        <v>2015</v>
      </c>
      <c r="B1354" s="39">
        <v>171790</v>
      </c>
      <c r="C1354" s="38" t="s">
        <v>151</v>
      </c>
      <c r="D1354" s="38" t="s">
        <v>106</v>
      </c>
      <c r="E1354" s="39"/>
      <c r="F1354" s="42">
        <f t="shared" si="612"/>
        <v>0</v>
      </c>
      <c r="G1354" s="49"/>
      <c r="H1354" s="42">
        <f t="shared" si="613"/>
        <v>0</v>
      </c>
      <c r="I1354" s="39"/>
      <c r="J1354" s="41">
        <f t="shared" si="614"/>
        <v>0</v>
      </c>
      <c r="K1354" s="49"/>
      <c r="L1354" s="41">
        <f t="shared" si="615"/>
        <v>0</v>
      </c>
      <c r="M1354" s="39"/>
      <c r="N1354" s="41">
        <f t="shared" si="616"/>
        <v>0</v>
      </c>
      <c r="O1354" s="49"/>
      <c r="P1354" s="41">
        <f t="shared" si="617"/>
        <v>0</v>
      </c>
      <c r="Q1354" s="39"/>
      <c r="R1354" s="41">
        <f t="shared" si="618"/>
        <v>0</v>
      </c>
      <c r="S1354" s="49"/>
      <c r="T1354" s="41">
        <f t="shared" si="619"/>
        <v>0</v>
      </c>
      <c r="U1354" s="39"/>
      <c r="V1354" s="41">
        <f t="shared" si="620"/>
        <v>0</v>
      </c>
      <c r="W1354" s="49"/>
      <c r="X1354" s="41">
        <f t="shared" si="621"/>
        <v>0</v>
      </c>
      <c r="Y1354" s="39"/>
      <c r="Z1354" s="41">
        <f t="shared" si="622"/>
        <v>0</v>
      </c>
      <c r="AA1354" s="49"/>
      <c r="AB1354" s="41">
        <f t="shared" si="623"/>
        <v>0</v>
      </c>
      <c r="AC1354" s="39"/>
      <c r="AD1354" s="41">
        <f t="shared" si="605"/>
        <v>0</v>
      </c>
      <c r="AE1354" s="49"/>
      <c r="AF1354" s="41">
        <f t="shared" si="624"/>
        <v>0</v>
      </c>
      <c r="AG1354" s="39"/>
      <c r="AH1354" s="41">
        <f t="shared" si="606"/>
        <v>0</v>
      </c>
      <c r="AI1354" s="49"/>
      <c r="AJ1354" s="41">
        <f t="shared" si="625"/>
        <v>0</v>
      </c>
      <c r="AK1354" s="39"/>
      <c r="AL1354" s="41">
        <f t="shared" si="607"/>
        <v>0</v>
      </c>
      <c r="AM1354" s="49"/>
      <c r="AN1354" s="41">
        <f t="shared" si="626"/>
        <v>0</v>
      </c>
      <c r="AO1354" s="39"/>
      <c r="AP1354" s="41">
        <f t="shared" si="608"/>
        <v>0</v>
      </c>
      <c r="AQ1354" s="49"/>
      <c r="AR1354" s="41">
        <f t="shared" si="627"/>
        <v>0</v>
      </c>
      <c r="AS1354" s="39"/>
      <c r="AT1354" s="41">
        <f t="shared" si="609"/>
        <v>0</v>
      </c>
      <c r="AU1354" s="49"/>
      <c r="AV1354" s="41">
        <f t="shared" si="628"/>
        <v>0</v>
      </c>
      <c r="AW1354" s="39"/>
      <c r="AX1354" s="41">
        <f t="shared" si="610"/>
        <v>0</v>
      </c>
      <c r="AY1354" s="49"/>
      <c r="AZ1354" s="41">
        <f t="shared" si="629"/>
        <v>0</v>
      </c>
      <c r="BA1354" s="39"/>
      <c r="BB1354" s="41">
        <f t="shared" si="611"/>
        <v>0</v>
      </c>
      <c r="BC1354" s="49"/>
      <c r="BD1354" s="41">
        <f t="shared" si="630"/>
        <v>0</v>
      </c>
      <c r="BE1354" s="39"/>
      <c r="BF1354" s="49"/>
    </row>
    <row r="1355" spans="1:58" ht="15.75" customHeight="1" x14ac:dyDescent="0.25">
      <c r="A1355" s="44">
        <v>2015</v>
      </c>
      <c r="B1355" s="39">
        <v>171800</v>
      </c>
      <c r="C1355" s="38" t="s">
        <v>147</v>
      </c>
      <c r="D1355" s="38" t="s">
        <v>107</v>
      </c>
      <c r="E1355" s="39"/>
      <c r="F1355" s="42">
        <f t="shared" si="612"/>
        <v>0</v>
      </c>
      <c r="G1355" s="49"/>
      <c r="H1355" s="42">
        <f t="shared" si="613"/>
        <v>0</v>
      </c>
      <c r="I1355" s="39"/>
      <c r="J1355" s="41">
        <f t="shared" si="614"/>
        <v>0</v>
      </c>
      <c r="K1355" s="49"/>
      <c r="L1355" s="41">
        <f t="shared" si="615"/>
        <v>0</v>
      </c>
      <c r="M1355" s="39"/>
      <c r="N1355" s="41">
        <f t="shared" si="616"/>
        <v>0</v>
      </c>
      <c r="O1355" s="49"/>
      <c r="P1355" s="41">
        <f t="shared" si="617"/>
        <v>0</v>
      </c>
      <c r="Q1355" s="39"/>
      <c r="R1355" s="41">
        <f t="shared" si="618"/>
        <v>0</v>
      </c>
      <c r="S1355" s="49"/>
      <c r="T1355" s="41">
        <f t="shared" si="619"/>
        <v>0</v>
      </c>
      <c r="U1355" s="39"/>
      <c r="V1355" s="41">
        <f t="shared" si="620"/>
        <v>0</v>
      </c>
      <c r="W1355" s="49"/>
      <c r="X1355" s="41">
        <f t="shared" si="621"/>
        <v>0</v>
      </c>
      <c r="Y1355" s="39"/>
      <c r="Z1355" s="41">
        <f t="shared" si="622"/>
        <v>0</v>
      </c>
      <c r="AA1355" s="49"/>
      <c r="AB1355" s="41">
        <f t="shared" si="623"/>
        <v>0</v>
      </c>
      <c r="AC1355" s="39"/>
      <c r="AD1355" s="41">
        <f t="shared" si="605"/>
        <v>0</v>
      </c>
      <c r="AE1355" s="49"/>
      <c r="AF1355" s="41">
        <f t="shared" si="624"/>
        <v>0</v>
      </c>
      <c r="AG1355" s="39"/>
      <c r="AH1355" s="41">
        <f t="shared" si="606"/>
        <v>0</v>
      </c>
      <c r="AI1355" s="49"/>
      <c r="AJ1355" s="41">
        <f t="shared" si="625"/>
        <v>0</v>
      </c>
      <c r="AK1355" s="39"/>
      <c r="AL1355" s="41">
        <f t="shared" si="607"/>
        <v>0</v>
      </c>
      <c r="AM1355" s="49"/>
      <c r="AN1355" s="41">
        <f t="shared" si="626"/>
        <v>0</v>
      </c>
      <c r="AO1355" s="39"/>
      <c r="AP1355" s="41">
        <f t="shared" si="608"/>
        <v>0</v>
      </c>
      <c r="AQ1355" s="49"/>
      <c r="AR1355" s="41">
        <f t="shared" si="627"/>
        <v>0</v>
      </c>
      <c r="AS1355" s="39"/>
      <c r="AT1355" s="41">
        <f t="shared" si="609"/>
        <v>0</v>
      </c>
      <c r="AU1355" s="49"/>
      <c r="AV1355" s="41">
        <f t="shared" si="628"/>
        <v>0</v>
      </c>
      <c r="AW1355" s="39"/>
      <c r="AX1355" s="41">
        <f t="shared" si="610"/>
        <v>0</v>
      </c>
      <c r="AY1355" s="49"/>
      <c r="AZ1355" s="41">
        <f t="shared" si="629"/>
        <v>0</v>
      </c>
      <c r="BA1355" s="39"/>
      <c r="BB1355" s="41">
        <f t="shared" si="611"/>
        <v>0</v>
      </c>
      <c r="BC1355" s="49"/>
      <c r="BD1355" s="41">
        <f t="shared" si="630"/>
        <v>0</v>
      </c>
      <c r="BE1355" s="39"/>
      <c r="BF1355" s="49"/>
    </row>
    <row r="1356" spans="1:58" ht="15.75" customHeight="1" x14ac:dyDescent="0.25">
      <c r="A1356" s="44">
        <v>2015</v>
      </c>
      <c r="B1356" s="39">
        <v>171820</v>
      </c>
      <c r="C1356" s="38" t="s">
        <v>151</v>
      </c>
      <c r="D1356" s="38" t="s">
        <v>108</v>
      </c>
      <c r="E1356" s="39"/>
      <c r="F1356" s="42">
        <f t="shared" si="612"/>
        <v>0</v>
      </c>
      <c r="G1356" s="49"/>
      <c r="H1356" s="42">
        <f t="shared" si="613"/>
        <v>0</v>
      </c>
      <c r="I1356" s="39"/>
      <c r="J1356" s="41">
        <f t="shared" si="614"/>
        <v>0</v>
      </c>
      <c r="K1356" s="49"/>
      <c r="L1356" s="41">
        <f t="shared" si="615"/>
        <v>0</v>
      </c>
      <c r="M1356" s="39"/>
      <c r="N1356" s="41">
        <f t="shared" si="616"/>
        <v>0</v>
      </c>
      <c r="O1356" s="49"/>
      <c r="P1356" s="41">
        <f t="shared" si="617"/>
        <v>0</v>
      </c>
      <c r="Q1356" s="39"/>
      <c r="R1356" s="41">
        <f t="shared" si="618"/>
        <v>0</v>
      </c>
      <c r="S1356" s="49"/>
      <c r="T1356" s="41">
        <f t="shared" si="619"/>
        <v>0</v>
      </c>
      <c r="U1356" s="39"/>
      <c r="V1356" s="41">
        <f t="shared" si="620"/>
        <v>0</v>
      </c>
      <c r="W1356" s="49"/>
      <c r="X1356" s="41">
        <f t="shared" si="621"/>
        <v>0</v>
      </c>
      <c r="Y1356" s="39"/>
      <c r="Z1356" s="41">
        <f t="shared" si="622"/>
        <v>0</v>
      </c>
      <c r="AA1356" s="49"/>
      <c r="AB1356" s="41">
        <f t="shared" si="623"/>
        <v>0</v>
      </c>
      <c r="AC1356" s="39"/>
      <c r="AD1356" s="41">
        <f t="shared" si="605"/>
        <v>0</v>
      </c>
      <c r="AE1356" s="49"/>
      <c r="AF1356" s="41">
        <f t="shared" si="624"/>
        <v>0</v>
      </c>
      <c r="AG1356" s="39"/>
      <c r="AH1356" s="41">
        <f t="shared" si="606"/>
        <v>0</v>
      </c>
      <c r="AI1356" s="49"/>
      <c r="AJ1356" s="41">
        <f t="shared" si="625"/>
        <v>0</v>
      </c>
      <c r="AK1356" s="39"/>
      <c r="AL1356" s="41">
        <f t="shared" si="607"/>
        <v>0</v>
      </c>
      <c r="AM1356" s="49"/>
      <c r="AN1356" s="41">
        <f t="shared" si="626"/>
        <v>0</v>
      </c>
      <c r="AO1356" s="39"/>
      <c r="AP1356" s="41">
        <f t="shared" si="608"/>
        <v>0</v>
      </c>
      <c r="AQ1356" s="49"/>
      <c r="AR1356" s="41">
        <f t="shared" si="627"/>
        <v>0</v>
      </c>
      <c r="AS1356" s="39"/>
      <c r="AT1356" s="41">
        <f t="shared" si="609"/>
        <v>0</v>
      </c>
      <c r="AU1356" s="49"/>
      <c r="AV1356" s="41">
        <f t="shared" si="628"/>
        <v>0</v>
      </c>
      <c r="AW1356" s="39"/>
      <c r="AX1356" s="41">
        <f t="shared" si="610"/>
        <v>0</v>
      </c>
      <c r="AY1356" s="49"/>
      <c r="AZ1356" s="41">
        <f t="shared" si="629"/>
        <v>0</v>
      </c>
      <c r="BA1356" s="39"/>
      <c r="BB1356" s="41">
        <f t="shared" si="611"/>
        <v>0</v>
      </c>
      <c r="BC1356" s="49"/>
      <c r="BD1356" s="41">
        <f t="shared" si="630"/>
        <v>0</v>
      </c>
      <c r="BE1356" s="39"/>
      <c r="BF1356" s="50"/>
    </row>
    <row r="1357" spans="1:58" ht="15.75" customHeight="1" x14ac:dyDescent="0.25">
      <c r="A1357" s="44">
        <v>2015</v>
      </c>
      <c r="B1357" s="39">
        <v>171830</v>
      </c>
      <c r="C1357" s="38" t="s">
        <v>145</v>
      </c>
      <c r="D1357" s="38" t="s">
        <v>109</v>
      </c>
      <c r="E1357" s="39"/>
      <c r="F1357" s="42">
        <f t="shared" si="612"/>
        <v>0</v>
      </c>
      <c r="G1357" s="49"/>
      <c r="H1357" s="42">
        <f t="shared" si="613"/>
        <v>0</v>
      </c>
      <c r="I1357" s="39"/>
      <c r="J1357" s="41">
        <f t="shared" si="614"/>
        <v>0</v>
      </c>
      <c r="K1357" s="49"/>
      <c r="L1357" s="41">
        <f t="shared" si="615"/>
        <v>0</v>
      </c>
      <c r="M1357" s="39"/>
      <c r="N1357" s="41">
        <f t="shared" si="616"/>
        <v>0</v>
      </c>
      <c r="O1357" s="49"/>
      <c r="P1357" s="41">
        <f t="shared" si="617"/>
        <v>0</v>
      </c>
      <c r="Q1357" s="39"/>
      <c r="R1357" s="41">
        <f t="shared" si="618"/>
        <v>0</v>
      </c>
      <c r="S1357" s="49"/>
      <c r="T1357" s="41">
        <f t="shared" si="619"/>
        <v>0</v>
      </c>
      <c r="U1357" s="39"/>
      <c r="V1357" s="41">
        <f t="shared" si="620"/>
        <v>0</v>
      </c>
      <c r="W1357" s="49"/>
      <c r="X1357" s="41">
        <f t="shared" si="621"/>
        <v>0</v>
      </c>
      <c r="Y1357" s="39"/>
      <c r="Z1357" s="41">
        <f t="shared" si="622"/>
        <v>0</v>
      </c>
      <c r="AA1357" s="49"/>
      <c r="AB1357" s="41">
        <f t="shared" si="623"/>
        <v>0</v>
      </c>
      <c r="AC1357" s="39"/>
      <c r="AD1357" s="41">
        <f t="shared" si="605"/>
        <v>0</v>
      </c>
      <c r="AE1357" s="49"/>
      <c r="AF1357" s="41">
        <f t="shared" si="624"/>
        <v>0</v>
      </c>
      <c r="AG1357" s="39"/>
      <c r="AH1357" s="41">
        <f t="shared" si="606"/>
        <v>0</v>
      </c>
      <c r="AI1357" s="49"/>
      <c r="AJ1357" s="41">
        <f t="shared" si="625"/>
        <v>0</v>
      </c>
      <c r="AK1357" s="39"/>
      <c r="AL1357" s="41">
        <f t="shared" si="607"/>
        <v>0</v>
      </c>
      <c r="AM1357" s="49"/>
      <c r="AN1357" s="41">
        <f t="shared" si="626"/>
        <v>0</v>
      </c>
      <c r="AO1357" s="39"/>
      <c r="AP1357" s="41">
        <f t="shared" si="608"/>
        <v>0</v>
      </c>
      <c r="AQ1357" s="49"/>
      <c r="AR1357" s="41">
        <f t="shared" si="627"/>
        <v>0</v>
      </c>
      <c r="AS1357" s="39"/>
      <c r="AT1357" s="41">
        <f t="shared" si="609"/>
        <v>0</v>
      </c>
      <c r="AU1357" s="49"/>
      <c r="AV1357" s="41">
        <f t="shared" si="628"/>
        <v>0</v>
      </c>
      <c r="AW1357" s="39"/>
      <c r="AX1357" s="41">
        <f t="shared" si="610"/>
        <v>0</v>
      </c>
      <c r="AY1357" s="49"/>
      <c r="AZ1357" s="41">
        <f t="shared" si="629"/>
        <v>0</v>
      </c>
      <c r="BA1357" s="39"/>
      <c r="BB1357" s="41">
        <f t="shared" si="611"/>
        <v>0</v>
      </c>
      <c r="BC1357" s="49"/>
      <c r="BD1357" s="41">
        <f t="shared" si="630"/>
        <v>0</v>
      </c>
      <c r="BE1357" s="39"/>
      <c r="BF1357" s="49"/>
    </row>
    <row r="1358" spans="1:58" ht="15.75" customHeight="1" x14ac:dyDescent="0.25">
      <c r="A1358" s="44">
        <v>2015</v>
      </c>
      <c r="B1358" s="39">
        <v>171840</v>
      </c>
      <c r="C1358" s="38" t="s">
        <v>150</v>
      </c>
      <c r="D1358" s="38" t="s">
        <v>110</v>
      </c>
      <c r="E1358" s="39"/>
      <c r="F1358" s="42">
        <f t="shared" si="612"/>
        <v>0</v>
      </c>
      <c r="G1358" s="49"/>
      <c r="H1358" s="42">
        <f t="shared" si="613"/>
        <v>0</v>
      </c>
      <c r="I1358" s="39"/>
      <c r="J1358" s="41">
        <f t="shared" si="614"/>
        <v>0</v>
      </c>
      <c r="K1358" s="49"/>
      <c r="L1358" s="41">
        <f t="shared" si="615"/>
        <v>0</v>
      </c>
      <c r="M1358" s="39"/>
      <c r="N1358" s="41">
        <f t="shared" si="616"/>
        <v>0</v>
      </c>
      <c r="O1358" s="49"/>
      <c r="P1358" s="41">
        <f t="shared" si="617"/>
        <v>0</v>
      </c>
      <c r="Q1358" s="39"/>
      <c r="R1358" s="41">
        <f t="shared" si="618"/>
        <v>0</v>
      </c>
      <c r="S1358" s="49"/>
      <c r="T1358" s="41">
        <f t="shared" si="619"/>
        <v>0</v>
      </c>
      <c r="U1358" s="39"/>
      <c r="V1358" s="41">
        <f t="shared" si="620"/>
        <v>0</v>
      </c>
      <c r="W1358" s="49"/>
      <c r="X1358" s="41">
        <f t="shared" si="621"/>
        <v>0</v>
      </c>
      <c r="Y1358" s="39"/>
      <c r="Z1358" s="41">
        <f t="shared" si="622"/>
        <v>0</v>
      </c>
      <c r="AA1358" s="49"/>
      <c r="AB1358" s="41">
        <f t="shared" si="623"/>
        <v>0</v>
      </c>
      <c r="AC1358" s="39"/>
      <c r="AD1358" s="41">
        <f t="shared" si="605"/>
        <v>0</v>
      </c>
      <c r="AE1358" s="49"/>
      <c r="AF1358" s="41">
        <f t="shared" si="624"/>
        <v>0</v>
      </c>
      <c r="AG1358" s="39"/>
      <c r="AH1358" s="41">
        <f t="shared" si="606"/>
        <v>0</v>
      </c>
      <c r="AI1358" s="49"/>
      <c r="AJ1358" s="41">
        <f t="shared" si="625"/>
        <v>0</v>
      </c>
      <c r="AK1358" s="39"/>
      <c r="AL1358" s="41">
        <f t="shared" si="607"/>
        <v>0</v>
      </c>
      <c r="AM1358" s="49"/>
      <c r="AN1358" s="41">
        <f t="shared" si="626"/>
        <v>0</v>
      </c>
      <c r="AO1358" s="39"/>
      <c r="AP1358" s="41">
        <f t="shared" si="608"/>
        <v>0</v>
      </c>
      <c r="AQ1358" s="49"/>
      <c r="AR1358" s="41">
        <f t="shared" si="627"/>
        <v>0</v>
      </c>
      <c r="AS1358" s="39"/>
      <c r="AT1358" s="41">
        <f t="shared" si="609"/>
        <v>0</v>
      </c>
      <c r="AU1358" s="49"/>
      <c r="AV1358" s="41">
        <f t="shared" si="628"/>
        <v>0</v>
      </c>
      <c r="AW1358" s="39"/>
      <c r="AX1358" s="41">
        <f t="shared" si="610"/>
        <v>0</v>
      </c>
      <c r="AY1358" s="49"/>
      <c r="AZ1358" s="41">
        <f t="shared" si="629"/>
        <v>0</v>
      </c>
      <c r="BA1358" s="39"/>
      <c r="BB1358" s="41">
        <f t="shared" si="611"/>
        <v>0</v>
      </c>
      <c r="BC1358" s="49"/>
      <c r="BD1358" s="41">
        <f t="shared" si="630"/>
        <v>0</v>
      </c>
      <c r="BE1358" s="39"/>
      <c r="BF1358" s="49"/>
    </row>
    <row r="1359" spans="1:58" ht="15.75" customHeight="1" x14ac:dyDescent="0.25">
      <c r="A1359" s="44">
        <v>2015</v>
      </c>
      <c r="B1359" s="39">
        <v>171845</v>
      </c>
      <c r="C1359" s="38" t="s">
        <v>144</v>
      </c>
      <c r="D1359" s="38" t="s">
        <v>111</v>
      </c>
      <c r="E1359" s="39"/>
      <c r="F1359" s="42">
        <f t="shared" si="612"/>
        <v>0</v>
      </c>
      <c r="G1359" s="49"/>
      <c r="H1359" s="42">
        <f t="shared" si="613"/>
        <v>0</v>
      </c>
      <c r="I1359" s="39"/>
      <c r="J1359" s="41">
        <f t="shared" si="614"/>
        <v>0</v>
      </c>
      <c r="K1359" s="49"/>
      <c r="L1359" s="41">
        <f t="shared" si="615"/>
        <v>0</v>
      </c>
      <c r="M1359" s="39"/>
      <c r="N1359" s="41">
        <f t="shared" si="616"/>
        <v>0</v>
      </c>
      <c r="O1359" s="49"/>
      <c r="P1359" s="41">
        <f t="shared" si="617"/>
        <v>0</v>
      </c>
      <c r="Q1359" s="39"/>
      <c r="R1359" s="41">
        <f t="shared" si="618"/>
        <v>0</v>
      </c>
      <c r="S1359" s="49"/>
      <c r="T1359" s="41">
        <f t="shared" si="619"/>
        <v>0</v>
      </c>
      <c r="U1359" s="39"/>
      <c r="V1359" s="41">
        <f t="shared" si="620"/>
        <v>0</v>
      </c>
      <c r="W1359" s="49"/>
      <c r="X1359" s="41">
        <f t="shared" si="621"/>
        <v>0</v>
      </c>
      <c r="Y1359" s="39"/>
      <c r="Z1359" s="41">
        <f t="shared" si="622"/>
        <v>0</v>
      </c>
      <c r="AA1359" s="49"/>
      <c r="AB1359" s="41">
        <f t="shared" si="623"/>
        <v>0</v>
      </c>
      <c r="AC1359" s="39"/>
      <c r="AD1359" s="41">
        <f t="shared" si="605"/>
        <v>0</v>
      </c>
      <c r="AE1359" s="49"/>
      <c r="AF1359" s="41">
        <f t="shared" si="624"/>
        <v>0</v>
      </c>
      <c r="AG1359" s="39"/>
      <c r="AH1359" s="41">
        <f t="shared" si="606"/>
        <v>0</v>
      </c>
      <c r="AI1359" s="49"/>
      <c r="AJ1359" s="41">
        <f t="shared" si="625"/>
        <v>0</v>
      </c>
      <c r="AK1359" s="39"/>
      <c r="AL1359" s="41">
        <f t="shared" si="607"/>
        <v>0</v>
      </c>
      <c r="AM1359" s="49"/>
      <c r="AN1359" s="41">
        <f t="shared" si="626"/>
        <v>0</v>
      </c>
      <c r="AO1359" s="39"/>
      <c r="AP1359" s="41">
        <f t="shared" si="608"/>
        <v>0</v>
      </c>
      <c r="AQ1359" s="49"/>
      <c r="AR1359" s="41">
        <f t="shared" si="627"/>
        <v>0</v>
      </c>
      <c r="AS1359" s="39"/>
      <c r="AT1359" s="41">
        <f t="shared" si="609"/>
        <v>0</v>
      </c>
      <c r="AU1359" s="49"/>
      <c r="AV1359" s="41">
        <f t="shared" si="628"/>
        <v>0</v>
      </c>
      <c r="AW1359" s="39"/>
      <c r="AX1359" s="41">
        <f t="shared" si="610"/>
        <v>0</v>
      </c>
      <c r="AY1359" s="49"/>
      <c r="AZ1359" s="41">
        <f t="shared" si="629"/>
        <v>0</v>
      </c>
      <c r="BA1359" s="39"/>
      <c r="BB1359" s="41">
        <f t="shared" si="611"/>
        <v>0</v>
      </c>
      <c r="BC1359" s="49"/>
      <c r="BD1359" s="41">
        <f t="shared" si="630"/>
        <v>0</v>
      </c>
      <c r="BE1359" s="39"/>
      <c r="BF1359" s="49"/>
    </row>
    <row r="1360" spans="1:58" ht="15.75" customHeight="1" x14ac:dyDescent="0.25">
      <c r="A1360" s="44">
        <v>2015</v>
      </c>
      <c r="B1360" s="39">
        <v>171850</v>
      </c>
      <c r="C1360" s="38" t="s">
        <v>150</v>
      </c>
      <c r="D1360" s="38" t="s">
        <v>112</v>
      </c>
      <c r="E1360" s="39"/>
      <c r="F1360" s="42">
        <f t="shared" si="612"/>
        <v>0</v>
      </c>
      <c r="G1360" s="49"/>
      <c r="H1360" s="42">
        <f t="shared" si="613"/>
        <v>0</v>
      </c>
      <c r="I1360" s="39"/>
      <c r="J1360" s="41">
        <f t="shared" si="614"/>
        <v>0</v>
      </c>
      <c r="K1360" s="49"/>
      <c r="L1360" s="41">
        <f t="shared" si="615"/>
        <v>0</v>
      </c>
      <c r="M1360" s="39"/>
      <c r="N1360" s="41">
        <f t="shared" si="616"/>
        <v>0</v>
      </c>
      <c r="O1360" s="49"/>
      <c r="P1360" s="41">
        <f t="shared" si="617"/>
        <v>0</v>
      </c>
      <c r="Q1360" s="39"/>
      <c r="R1360" s="41">
        <f t="shared" si="618"/>
        <v>0</v>
      </c>
      <c r="S1360" s="49"/>
      <c r="T1360" s="41">
        <f t="shared" si="619"/>
        <v>0</v>
      </c>
      <c r="U1360" s="39"/>
      <c r="V1360" s="41">
        <f t="shared" si="620"/>
        <v>0</v>
      </c>
      <c r="W1360" s="49"/>
      <c r="X1360" s="41">
        <f t="shared" si="621"/>
        <v>0</v>
      </c>
      <c r="Y1360" s="39"/>
      <c r="Z1360" s="41">
        <f t="shared" si="622"/>
        <v>0</v>
      </c>
      <c r="AA1360" s="49"/>
      <c r="AB1360" s="41">
        <f t="shared" si="623"/>
        <v>0</v>
      </c>
      <c r="AC1360" s="39"/>
      <c r="AD1360" s="41">
        <f t="shared" si="605"/>
        <v>0</v>
      </c>
      <c r="AE1360" s="49"/>
      <c r="AF1360" s="41">
        <f t="shared" si="624"/>
        <v>0</v>
      </c>
      <c r="AG1360" s="39"/>
      <c r="AH1360" s="41">
        <f t="shared" si="606"/>
        <v>0</v>
      </c>
      <c r="AI1360" s="49"/>
      <c r="AJ1360" s="41">
        <f t="shared" si="625"/>
        <v>0</v>
      </c>
      <c r="AK1360" s="39"/>
      <c r="AL1360" s="41">
        <f t="shared" si="607"/>
        <v>0</v>
      </c>
      <c r="AM1360" s="49"/>
      <c r="AN1360" s="41">
        <f t="shared" si="626"/>
        <v>0</v>
      </c>
      <c r="AO1360" s="39"/>
      <c r="AP1360" s="41">
        <f t="shared" si="608"/>
        <v>0</v>
      </c>
      <c r="AQ1360" s="49"/>
      <c r="AR1360" s="41">
        <f t="shared" si="627"/>
        <v>0</v>
      </c>
      <c r="AS1360" s="39"/>
      <c r="AT1360" s="41">
        <f t="shared" si="609"/>
        <v>0</v>
      </c>
      <c r="AU1360" s="49"/>
      <c r="AV1360" s="41">
        <f t="shared" si="628"/>
        <v>0</v>
      </c>
      <c r="AW1360" s="39"/>
      <c r="AX1360" s="41">
        <f t="shared" si="610"/>
        <v>0</v>
      </c>
      <c r="AY1360" s="49"/>
      <c r="AZ1360" s="41">
        <f t="shared" si="629"/>
        <v>0</v>
      </c>
      <c r="BA1360" s="39"/>
      <c r="BB1360" s="41">
        <f t="shared" si="611"/>
        <v>0</v>
      </c>
      <c r="BC1360" s="49"/>
      <c r="BD1360" s="41">
        <f t="shared" si="630"/>
        <v>0</v>
      </c>
      <c r="BE1360" s="39"/>
      <c r="BF1360" s="49"/>
    </row>
    <row r="1361" spans="1:58" ht="15.75" customHeight="1" x14ac:dyDescent="0.25">
      <c r="A1361" s="44">
        <v>2015</v>
      </c>
      <c r="B1361" s="39">
        <v>171855</v>
      </c>
      <c r="C1361" s="38" t="s">
        <v>145</v>
      </c>
      <c r="D1361" s="38" t="s">
        <v>113</v>
      </c>
      <c r="E1361" s="39"/>
      <c r="F1361" s="42">
        <f t="shared" si="612"/>
        <v>0</v>
      </c>
      <c r="G1361" s="49"/>
      <c r="H1361" s="42">
        <f t="shared" si="613"/>
        <v>0</v>
      </c>
      <c r="I1361" s="39"/>
      <c r="J1361" s="41">
        <f t="shared" si="614"/>
        <v>0</v>
      </c>
      <c r="K1361" s="49"/>
      <c r="L1361" s="41">
        <f t="shared" si="615"/>
        <v>0</v>
      </c>
      <c r="M1361" s="39"/>
      <c r="N1361" s="41">
        <f t="shared" si="616"/>
        <v>0</v>
      </c>
      <c r="O1361" s="49"/>
      <c r="P1361" s="41">
        <f t="shared" si="617"/>
        <v>0</v>
      </c>
      <c r="Q1361" s="39"/>
      <c r="R1361" s="41">
        <f t="shared" si="618"/>
        <v>0</v>
      </c>
      <c r="S1361" s="49"/>
      <c r="T1361" s="41">
        <f t="shared" si="619"/>
        <v>0</v>
      </c>
      <c r="U1361" s="39"/>
      <c r="V1361" s="41">
        <f t="shared" si="620"/>
        <v>0</v>
      </c>
      <c r="W1361" s="49"/>
      <c r="X1361" s="41">
        <f t="shared" si="621"/>
        <v>0</v>
      </c>
      <c r="Y1361" s="39"/>
      <c r="Z1361" s="41">
        <f t="shared" si="622"/>
        <v>0</v>
      </c>
      <c r="AA1361" s="49"/>
      <c r="AB1361" s="41">
        <f t="shared" si="623"/>
        <v>0</v>
      </c>
      <c r="AC1361" s="39"/>
      <c r="AD1361" s="41">
        <f t="shared" si="605"/>
        <v>0</v>
      </c>
      <c r="AE1361" s="49"/>
      <c r="AF1361" s="41">
        <f t="shared" si="624"/>
        <v>0</v>
      </c>
      <c r="AG1361" s="39"/>
      <c r="AH1361" s="41">
        <f t="shared" si="606"/>
        <v>0</v>
      </c>
      <c r="AI1361" s="49"/>
      <c r="AJ1361" s="41">
        <f t="shared" si="625"/>
        <v>0</v>
      </c>
      <c r="AK1361" s="39"/>
      <c r="AL1361" s="41">
        <f t="shared" si="607"/>
        <v>0</v>
      </c>
      <c r="AM1361" s="49"/>
      <c r="AN1361" s="41">
        <f t="shared" si="626"/>
        <v>0</v>
      </c>
      <c r="AO1361" s="39"/>
      <c r="AP1361" s="41">
        <f t="shared" si="608"/>
        <v>0</v>
      </c>
      <c r="AQ1361" s="49"/>
      <c r="AR1361" s="41">
        <f t="shared" si="627"/>
        <v>0</v>
      </c>
      <c r="AS1361" s="39"/>
      <c r="AT1361" s="41">
        <f t="shared" si="609"/>
        <v>0</v>
      </c>
      <c r="AU1361" s="49"/>
      <c r="AV1361" s="41">
        <f t="shared" si="628"/>
        <v>0</v>
      </c>
      <c r="AW1361" s="39"/>
      <c r="AX1361" s="41">
        <f t="shared" si="610"/>
        <v>0</v>
      </c>
      <c r="AY1361" s="49"/>
      <c r="AZ1361" s="41">
        <f t="shared" si="629"/>
        <v>0</v>
      </c>
      <c r="BA1361" s="39"/>
      <c r="BB1361" s="41">
        <f t="shared" si="611"/>
        <v>0</v>
      </c>
      <c r="BC1361" s="49"/>
      <c r="BD1361" s="41">
        <f t="shared" si="630"/>
        <v>0</v>
      </c>
      <c r="BE1361" s="39"/>
      <c r="BF1361" s="49"/>
    </row>
    <row r="1362" spans="1:58" ht="15.75" customHeight="1" x14ac:dyDescent="0.25">
      <c r="A1362" s="44">
        <v>2015</v>
      </c>
      <c r="B1362" s="39">
        <v>171865</v>
      </c>
      <c r="C1362" s="38" t="s">
        <v>147</v>
      </c>
      <c r="D1362" s="38" t="s">
        <v>114</v>
      </c>
      <c r="E1362" s="39"/>
      <c r="F1362" s="42">
        <f t="shared" si="612"/>
        <v>0</v>
      </c>
      <c r="G1362" s="49"/>
      <c r="H1362" s="42">
        <f t="shared" si="613"/>
        <v>0</v>
      </c>
      <c r="I1362" s="39"/>
      <c r="J1362" s="41">
        <f t="shared" si="614"/>
        <v>0</v>
      </c>
      <c r="K1362" s="49"/>
      <c r="L1362" s="41">
        <f t="shared" si="615"/>
        <v>0</v>
      </c>
      <c r="M1362" s="39"/>
      <c r="N1362" s="41">
        <f t="shared" si="616"/>
        <v>0</v>
      </c>
      <c r="O1362" s="49"/>
      <c r="P1362" s="41">
        <f t="shared" si="617"/>
        <v>0</v>
      </c>
      <c r="Q1362" s="39"/>
      <c r="R1362" s="41">
        <f t="shared" si="618"/>
        <v>0</v>
      </c>
      <c r="S1362" s="49"/>
      <c r="T1362" s="41">
        <f t="shared" si="619"/>
        <v>0</v>
      </c>
      <c r="U1362" s="39"/>
      <c r="V1362" s="41">
        <f t="shared" si="620"/>
        <v>0</v>
      </c>
      <c r="W1362" s="49"/>
      <c r="X1362" s="41">
        <f t="shared" si="621"/>
        <v>0</v>
      </c>
      <c r="Y1362" s="39"/>
      <c r="Z1362" s="41">
        <f t="shared" si="622"/>
        <v>0</v>
      </c>
      <c r="AA1362" s="49"/>
      <c r="AB1362" s="41">
        <f t="shared" si="623"/>
        <v>0</v>
      </c>
      <c r="AC1362" s="39"/>
      <c r="AD1362" s="41">
        <f t="shared" si="605"/>
        <v>0</v>
      </c>
      <c r="AE1362" s="49"/>
      <c r="AF1362" s="41">
        <f t="shared" si="624"/>
        <v>0</v>
      </c>
      <c r="AG1362" s="39"/>
      <c r="AH1362" s="41">
        <f t="shared" si="606"/>
        <v>0</v>
      </c>
      <c r="AI1362" s="49"/>
      <c r="AJ1362" s="41">
        <f t="shared" si="625"/>
        <v>0</v>
      </c>
      <c r="AK1362" s="39"/>
      <c r="AL1362" s="41">
        <f t="shared" si="607"/>
        <v>0</v>
      </c>
      <c r="AM1362" s="49"/>
      <c r="AN1362" s="41">
        <f t="shared" si="626"/>
        <v>0</v>
      </c>
      <c r="AO1362" s="39"/>
      <c r="AP1362" s="41">
        <f t="shared" si="608"/>
        <v>0</v>
      </c>
      <c r="AQ1362" s="49"/>
      <c r="AR1362" s="41">
        <f t="shared" si="627"/>
        <v>0</v>
      </c>
      <c r="AS1362" s="39"/>
      <c r="AT1362" s="41">
        <f t="shared" si="609"/>
        <v>0</v>
      </c>
      <c r="AU1362" s="49"/>
      <c r="AV1362" s="41">
        <f t="shared" si="628"/>
        <v>0</v>
      </c>
      <c r="AW1362" s="39"/>
      <c r="AX1362" s="41">
        <f t="shared" si="610"/>
        <v>0</v>
      </c>
      <c r="AY1362" s="49"/>
      <c r="AZ1362" s="41">
        <f t="shared" si="629"/>
        <v>0</v>
      </c>
      <c r="BA1362" s="39"/>
      <c r="BB1362" s="41">
        <f t="shared" si="611"/>
        <v>0</v>
      </c>
      <c r="BC1362" s="49"/>
      <c r="BD1362" s="41">
        <f t="shared" si="630"/>
        <v>0</v>
      </c>
      <c r="BE1362" s="39"/>
      <c r="BF1362" s="49"/>
    </row>
    <row r="1363" spans="1:58" ht="15.75" customHeight="1" x14ac:dyDescent="0.25">
      <c r="A1363" s="44">
        <v>2015</v>
      </c>
      <c r="B1363" s="39">
        <v>171870</v>
      </c>
      <c r="C1363" s="38" t="s">
        <v>148</v>
      </c>
      <c r="D1363" s="38" t="s">
        <v>115</v>
      </c>
      <c r="E1363" s="39"/>
      <c r="F1363" s="42">
        <f t="shared" si="612"/>
        <v>0</v>
      </c>
      <c r="G1363" s="49"/>
      <c r="H1363" s="42">
        <f t="shared" si="613"/>
        <v>0</v>
      </c>
      <c r="I1363" s="39"/>
      <c r="J1363" s="41">
        <f t="shared" si="614"/>
        <v>0</v>
      </c>
      <c r="K1363" s="49"/>
      <c r="L1363" s="41">
        <f t="shared" si="615"/>
        <v>0</v>
      </c>
      <c r="M1363" s="39"/>
      <c r="N1363" s="41">
        <f t="shared" si="616"/>
        <v>0</v>
      </c>
      <c r="O1363" s="49"/>
      <c r="P1363" s="41">
        <f t="shared" si="617"/>
        <v>0</v>
      </c>
      <c r="Q1363" s="39"/>
      <c r="R1363" s="41">
        <f t="shared" si="618"/>
        <v>0</v>
      </c>
      <c r="S1363" s="49"/>
      <c r="T1363" s="41">
        <f t="shared" si="619"/>
        <v>0</v>
      </c>
      <c r="U1363" s="39"/>
      <c r="V1363" s="41">
        <f t="shared" si="620"/>
        <v>0</v>
      </c>
      <c r="W1363" s="49"/>
      <c r="X1363" s="41">
        <f t="shared" si="621"/>
        <v>0</v>
      </c>
      <c r="Y1363" s="39"/>
      <c r="Z1363" s="41">
        <f t="shared" si="622"/>
        <v>0</v>
      </c>
      <c r="AA1363" s="49"/>
      <c r="AB1363" s="41">
        <f t="shared" si="623"/>
        <v>0</v>
      </c>
      <c r="AC1363" s="39"/>
      <c r="AD1363" s="41">
        <f t="shared" si="605"/>
        <v>0</v>
      </c>
      <c r="AE1363" s="49"/>
      <c r="AF1363" s="41">
        <f t="shared" si="624"/>
        <v>0</v>
      </c>
      <c r="AG1363" s="39"/>
      <c r="AH1363" s="41">
        <f t="shared" si="606"/>
        <v>0</v>
      </c>
      <c r="AI1363" s="49"/>
      <c r="AJ1363" s="41">
        <f t="shared" si="625"/>
        <v>0</v>
      </c>
      <c r="AK1363" s="39"/>
      <c r="AL1363" s="41">
        <f t="shared" si="607"/>
        <v>0</v>
      </c>
      <c r="AM1363" s="49"/>
      <c r="AN1363" s="41">
        <f t="shared" si="626"/>
        <v>0</v>
      </c>
      <c r="AO1363" s="39"/>
      <c r="AP1363" s="41">
        <f t="shared" si="608"/>
        <v>0</v>
      </c>
      <c r="AQ1363" s="49"/>
      <c r="AR1363" s="41">
        <f t="shared" si="627"/>
        <v>0</v>
      </c>
      <c r="AS1363" s="39"/>
      <c r="AT1363" s="41">
        <f t="shared" si="609"/>
        <v>0</v>
      </c>
      <c r="AU1363" s="49"/>
      <c r="AV1363" s="41">
        <f t="shared" si="628"/>
        <v>0</v>
      </c>
      <c r="AW1363" s="39"/>
      <c r="AX1363" s="41">
        <f t="shared" si="610"/>
        <v>0</v>
      </c>
      <c r="AY1363" s="49"/>
      <c r="AZ1363" s="41">
        <f t="shared" si="629"/>
        <v>0</v>
      </c>
      <c r="BA1363" s="39"/>
      <c r="BB1363" s="41">
        <f t="shared" si="611"/>
        <v>0</v>
      </c>
      <c r="BC1363" s="49"/>
      <c r="BD1363" s="41">
        <f t="shared" si="630"/>
        <v>0</v>
      </c>
      <c r="BE1363" s="39"/>
      <c r="BF1363" s="49"/>
    </row>
    <row r="1364" spans="1:58" ht="15.75" customHeight="1" x14ac:dyDescent="0.25">
      <c r="A1364" s="44">
        <v>2015</v>
      </c>
      <c r="B1364" s="39">
        <v>171875</v>
      </c>
      <c r="C1364" s="38" t="s">
        <v>148</v>
      </c>
      <c r="D1364" s="38" t="s">
        <v>116</v>
      </c>
      <c r="E1364" s="39"/>
      <c r="F1364" s="42">
        <f t="shared" si="612"/>
        <v>0</v>
      </c>
      <c r="G1364" s="49"/>
      <c r="H1364" s="42">
        <f t="shared" si="613"/>
        <v>0</v>
      </c>
      <c r="I1364" s="39"/>
      <c r="J1364" s="41">
        <f t="shared" si="614"/>
        <v>0</v>
      </c>
      <c r="K1364" s="49"/>
      <c r="L1364" s="41">
        <f t="shared" si="615"/>
        <v>0</v>
      </c>
      <c r="M1364" s="39"/>
      <c r="N1364" s="41">
        <f t="shared" si="616"/>
        <v>0</v>
      </c>
      <c r="O1364" s="49"/>
      <c r="P1364" s="41">
        <f t="shared" si="617"/>
        <v>0</v>
      </c>
      <c r="Q1364" s="39"/>
      <c r="R1364" s="41">
        <f t="shared" si="618"/>
        <v>0</v>
      </c>
      <c r="S1364" s="49"/>
      <c r="T1364" s="41">
        <f t="shared" si="619"/>
        <v>0</v>
      </c>
      <c r="U1364" s="39"/>
      <c r="V1364" s="41">
        <f t="shared" si="620"/>
        <v>0</v>
      </c>
      <c r="W1364" s="49"/>
      <c r="X1364" s="41">
        <f t="shared" si="621"/>
        <v>0</v>
      </c>
      <c r="Y1364" s="39"/>
      <c r="Z1364" s="41">
        <f t="shared" si="622"/>
        <v>0</v>
      </c>
      <c r="AA1364" s="49"/>
      <c r="AB1364" s="41">
        <f t="shared" si="623"/>
        <v>0</v>
      </c>
      <c r="AC1364" s="39"/>
      <c r="AD1364" s="41">
        <f t="shared" si="605"/>
        <v>0</v>
      </c>
      <c r="AE1364" s="49"/>
      <c r="AF1364" s="41">
        <f t="shared" si="624"/>
        <v>0</v>
      </c>
      <c r="AG1364" s="39"/>
      <c r="AH1364" s="41">
        <f t="shared" si="606"/>
        <v>0</v>
      </c>
      <c r="AI1364" s="49"/>
      <c r="AJ1364" s="41">
        <f t="shared" si="625"/>
        <v>0</v>
      </c>
      <c r="AK1364" s="39"/>
      <c r="AL1364" s="41">
        <f t="shared" si="607"/>
        <v>0</v>
      </c>
      <c r="AM1364" s="49"/>
      <c r="AN1364" s="41">
        <f t="shared" si="626"/>
        <v>0</v>
      </c>
      <c r="AO1364" s="39"/>
      <c r="AP1364" s="41">
        <f t="shared" si="608"/>
        <v>0</v>
      </c>
      <c r="AQ1364" s="49"/>
      <c r="AR1364" s="41">
        <f t="shared" si="627"/>
        <v>0</v>
      </c>
      <c r="AS1364" s="39"/>
      <c r="AT1364" s="41">
        <f t="shared" si="609"/>
        <v>0</v>
      </c>
      <c r="AU1364" s="49"/>
      <c r="AV1364" s="41">
        <f t="shared" si="628"/>
        <v>0</v>
      </c>
      <c r="AW1364" s="39"/>
      <c r="AX1364" s="41">
        <f t="shared" si="610"/>
        <v>0</v>
      </c>
      <c r="AY1364" s="49"/>
      <c r="AZ1364" s="41">
        <f t="shared" si="629"/>
        <v>0</v>
      </c>
      <c r="BA1364" s="39"/>
      <c r="BB1364" s="41">
        <f t="shared" si="611"/>
        <v>0</v>
      </c>
      <c r="BC1364" s="49"/>
      <c r="BD1364" s="41">
        <f t="shared" si="630"/>
        <v>0</v>
      </c>
      <c r="BE1364" s="39"/>
      <c r="BF1364" s="49"/>
    </row>
    <row r="1365" spans="1:58" ht="15.75" customHeight="1" x14ac:dyDescent="0.25">
      <c r="A1365" s="44">
        <v>2015</v>
      </c>
      <c r="B1365" s="39">
        <v>171880</v>
      </c>
      <c r="C1365" s="38" t="s">
        <v>145</v>
      </c>
      <c r="D1365" s="38" t="s">
        <v>117</v>
      </c>
      <c r="E1365" s="39"/>
      <c r="F1365" s="42">
        <f t="shared" si="612"/>
        <v>0</v>
      </c>
      <c r="G1365" s="49"/>
      <c r="H1365" s="42">
        <f t="shared" si="613"/>
        <v>0</v>
      </c>
      <c r="I1365" s="39"/>
      <c r="J1365" s="41">
        <f t="shared" si="614"/>
        <v>0</v>
      </c>
      <c r="K1365" s="49"/>
      <c r="L1365" s="41">
        <f t="shared" si="615"/>
        <v>0</v>
      </c>
      <c r="M1365" s="39"/>
      <c r="N1365" s="41">
        <f t="shared" si="616"/>
        <v>0</v>
      </c>
      <c r="O1365" s="49"/>
      <c r="P1365" s="41">
        <f t="shared" si="617"/>
        <v>0</v>
      </c>
      <c r="Q1365" s="39"/>
      <c r="R1365" s="41">
        <f t="shared" si="618"/>
        <v>0</v>
      </c>
      <c r="S1365" s="49"/>
      <c r="T1365" s="41">
        <f t="shared" si="619"/>
        <v>0</v>
      </c>
      <c r="U1365" s="39"/>
      <c r="V1365" s="41">
        <f t="shared" si="620"/>
        <v>0</v>
      </c>
      <c r="W1365" s="49"/>
      <c r="X1365" s="41">
        <f t="shared" si="621"/>
        <v>0</v>
      </c>
      <c r="Y1365" s="39"/>
      <c r="Z1365" s="41">
        <f t="shared" si="622"/>
        <v>0</v>
      </c>
      <c r="AA1365" s="49"/>
      <c r="AB1365" s="41">
        <f t="shared" si="623"/>
        <v>0</v>
      </c>
      <c r="AC1365" s="39"/>
      <c r="AD1365" s="41">
        <f t="shared" si="605"/>
        <v>0</v>
      </c>
      <c r="AE1365" s="49"/>
      <c r="AF1365" s="41">
        <f t="shared" si="624"/>
        <v>0</v>
      </c>
      <c r="AG1365" s="39"/>
      <c r="AH1365" s="41">
        <f t="shared" si="606"/>
        <v>0</v>
      </c>
      <c r="AI1365" s="49"/>
      <c r="AJ1365" s="41">
        <f t="shared" si="625"/>
        <v>0</v>
      </c>
      <c r="AK1365" s="39"/>
      <c r="AL1365" s="41">
        <f t="shared" si="607"/>
        <v>0</v>
      </c>
      <c r="AM1365" s="49"/>
      <c r="AN1365" s="41">
        <f t="shared" si="626"/>
        <v>0</v>
      </c>
      <c r="AO1365" s="39"/>
      <c r="AP1365" s="41">
        <f t="shared" si="608"/>
        <v>0</v>
      </c>
      <c r="AQ1365" s="49"/>
      <c r="AR1365" s="41">
        <f t="shared" si="627"/>
        <v>0</v>
      </c>
      <c r="AS1365" s="39"/>
      <c r="AT1365" s="41">
        <f t="shared" si="609"/>
        <v>0</v>
      </c>
      <c r="AU1365" s="49"/>
      <c r="AV1365" s="41">
        <f t="shared" si="628"/>
        <v>0</v>
      </c>
      <c r="AW1365" s="39"/>
      <c r="AX1365" s="41">
        <f t="shared" si="610"/>
        <v>0</v>
      </c>
      <c r="AY1365" s="49"/>
      <c r="AZ1365" s="41">
        <f t="shared" si="629"/>
        <v>0</v>
      </c>
      <c r="BA1365" s="39"/>
      <c r="BB1365" s="41">
        <f t="shared" si="611"/>
        <v>0</v>
      </c>
      <c r="BC1365" s="49"/>
      <c r="BD1365" s="41">
        <f t="shared" si="630"/>
        <v>0</v>
      </c>
      <c r="BE1365" s="39"/>
      <c r="BF1365" s="49"/>
    </row>
    <row r="1366" spans="1:58" ht="15.75" customHeight="1" x14ac:dyDescent="0.25">
      <c r="A1366" s="44">
        <v>2015</v>
      </c>
      <c r="B1366" s="39">
        <v>171884</v>
      </c>
      <c r="C1366" s="38" t="s">
        <v>146</v>
      </c>
      <c r="D1366" s="38" t="s">
        <v>118</v>
      </c>
      <c r="E1366" s="39"/>
      <c r="F1366" s="42">
        <f t="shared" si="612"/>
        <v>0</v>
      </c>
      <c r="G1366" s="49"/>
      <c r="H1366" s="42">
        <f t="shared" si="613"/>
        <v>0</v>
      </c>
      <c r="I1366" s="39"/>
      <c r="J1366" s="41">
        <f t="shared" si="614"/>
        <v>0</v>
      </c>
      <c r="K1366" s="49"/>
      <c r="L1366" s="41">
        <f t="shared" si="615"/>
        <v>0</v>
      </c>
      <c r="M1366" s="39"/>
      <c r="N1366" s="41">
        <f t="shared" si="616"/>
        <v>0</v>
      </c>
      <c r="O1366" s="49"/>
      <c r="P1366" s="41">
        <f t="shared" si="617"/>
        <v>0</v>
      </c>
      <c r="Q1366" s="39"/>
      <c r="R1366" s="41">
        <f t="shared" si="618"/>
        <v>0</v>
      </c>
      <c r="S1366" s="49"/>
      <c r="T1366" s="41">
        <f t="shared" si="619"/>
        <v>0</v>
      </c>
      <c r="U1366" s="39"/>
      <c r="V1366" s="41">
        <f t="shared" si="620"/>
        <v>0</v>
      </c>
      <c r="W1366" s="49"/>
      <c r="X1366" s="41">
        <f t="shared" si="621"/>
        <v>0</v>
      </c>
      <c r="Y1366" s="39"/>
      <c r="Z1366" s="41">
        <f t="shared" si="622"/>
        <v>0</v>
      </c>
      <c r="AA1366" s="49"/>
      <c r="AB1366" s="41">
        <f t="shared" si="623"/>
        <v>0</v>
      </c>
      <c r="AC1366" s="39"/>
      <c r="AD1366" s="41">
        <f t="shared" si="605"/>
        <v>0</v>
      </c>
      <c r="AE1366" s="49"/>
      <c r="AF1366" s="41">
        <f t="shared" si="624"/>
        <v>0</v>
      </c>
      <c r="AG1366" s="39"/>
      <c r="AH1366" s="41">
        <f t="shared" si="606"/>
        <v>0</v>
      </c>
      <c r="AI1366" s="49"/>
      <c r="AJ1366" s="41">
        <f t="shared" si="625"/>
        <v>0</v>
      </c>
      <c r="AK1366" s="39"/>
      <c r="AL1366" s="41">
        <f t="shared" si="607"/>
        <v>0</v>
      </c>
      <c r="AM1366" s="49"/>
      <c r="AN1366" s="41">
        <f t="shared" si="626"/>
        <v>0</v>
      </c>
      <c r="AO1366" s="39"/>
      <c r="AP1366" s="41">
        <f t="shared" si="608"/>
        <v>0</v>
      </c>
      <c r="AQ1366" s="49"/>
      <c r="AR1366" s="41">
        <f t="shared" si="627"/>
        <v>0</v>
      </c>
      <c r="AS1366" s="39"/>
      <c r="AT1366" s="41">
        <f t="shared" si="609"/>
        <v>0</v>
      </c>
      <c r="AU1366" s="49"/>
      <c r="AV1366" s="41">
        <f t="shared" si="628"/>
        <v>0</v>
      </c>
      <c r="AW1366" s="39"/>
      <c r="AX1366" s="41">
        <f t="shared" si="610"/>
        <v>0</v>
      </c>
      <c r="AY1366" s="49"/>
      <c r="AZ1366" s="41">
        <f t="shared" si="629"/>
        <v>0</v>
      </c>
      <c r="BA1366" s="39"/>
      <c r="BB1366" s="41">
        <f t="shared" si="611"/>
        <v>0</v>
      </c>
      <c r="BC1366" s="49"/>
      <c r="BD1366" s="41">
        <f t="shared" si="630"/>
        <v>0</v>
      </c>
      <c r="BE1366" s="39"/>
      <c r="BF1366" s="49"/>
    </row>
    <row r="1367" spans="1:58" ht="15.75" customHeight="1" x14ac:dyDescent="0.25">
      <c r="A1367" s="44">
        <v>2015</v>
      </c>
      <c r="B1367" s="39">
        <v>171886</v>
      </c>
      <c r="C1367" s="38" t="s">
        <v>149</v>
      </c>
      <c r="D1367" s="38" t="s">
        <v>119</v>
      </c>
      <c r="E1367" s="39"/>
      <c r="F1367" s="42">
        <f t="shared" si="612"/>
        <v>0</v>
      </c>
      <c r="G1367" s="49"/>
      <c r="H1367" s="42">
        <f t="shared" si="613"/>
        <v>0</v>
      </c>
      <c r="I1367" s="39"/>
      <c r="J1367" s="41">
        <f t="shared" si="614"/>
        <v>0</v>
      </c>
      <c r="K1367" s="49"/>
      <c r="L1367" s="41">
        <f t="shared" si="615"/>
        <v>0</v>
      </c>
      <c r="M1367" s="39"/>
      <c r="N1367" s="41">
        <f t="shared" si="616"/>
        <v>0</v>
      </c>
      <c r="O1367" s="49"/>
      <c r="P1367" s="41">
        <f t="shared" si="617"/>
        <v>0</v>
      </c>
      <c r="Q1367" s="39"/>
      <c r="R1367" s="41">
        <f t="shared" si="618"/>
        <v>0</v>
      </c>
      <c r="S1367" s="49"/>
      <c r="T1367" s="41">
        <f t="shared" si="619"/>
        <v>0</v>
      </c>
      <c r="U1367" s="39"/>
      <c r="V1367" s="41">
        <f t="shared" si="620"/>
        <v>0</v>
      </c>
      <c r="W1367" s="49"/>
      <c r="X1367" s="41">
        <f t="shared" si="621"/>
        <v>0</v>
      </c>
      <c r="Y1367" s="39"/>
      <c r="Z1367" s="41">
        <f t="shared" si="622"/>
        <v>0</v>
      </c>
      <c r="AA1367" s="49"/>
      <c r="AB1367" s="41">
        <f t="shared" si="623"/>
        <v>0</v>
      </c>
      <c r="AC1367" s="39"/>
      <c r="AD1367" s="41">
        <f t="shared" si="605"/>
        <v>0</v>
      </c>
      <c r="AE1367" s="49"/>
      <c r="AF1367" s="41">
        <f t="shared" si="624"/>
        <v>0</v>
      </c>
      <c r="AG1367" s="39"/>
      <c r="AH1367" s="41">
        <f t="shared" si="606"/>
        <v>0</v>
      </c>
      <c r="AI1367" s="49"/>
      <c r="AJ1367" s="41">
        <f t="shared" si="625"/>
        <v>0</v>
      </c>
      <c r="AK1367" s="39"/>
      <c r="AL1367" s="41">
        <f t="shared" si="607"/>
        <v>0</v>
      </c>
      <c r="AM1367" s="49"/>
      <c r="AN1367" s="41">
        <f t="shared" si="626"/>
        <v>0</v>
      </c>
      <c r="AO1367" s="39"/>
      <c r="AP1367" s="41">
        <f t="shared" si="608"/>
        <v>0</v>
      </c>
      <c r="AQ1367" s="49"/>
      <c r="AR1367" s="41">
        <f t="shared" si="627"/>
        <v>0</v>
      </c>
      <c r="AS1367" s="39"/>
      <c r="AT1367" s="41">
        <f t="shared" si="609"/>
        <v>0</v>
      </c>
      <c r="AU1367" s="49"/>
      <c r="AV1367" s="41">
        <f t="shared" si="628"/>
        <v>0</v>
      </c>
      <c r="AW1367" s="39"/>
      <c r="AX1367" s="41">
        <f t="shared" si="610"/>
        <v>0</v>
      </c>
      <c r="AY1367" s="49"/>
      <c r="AZ1367" s="41">
        <f t="shared" si="629"/>
        <v>0</v>
      </c>
      <c r="BA1367" s="39"/>
      <c r="BB1367" s="41">
        <f t="shared" si="611"/>
        <v>0</v>
      </c>
      <c r="BC1367" s="49"/>
      <c r="BD1367" s="41">
        <f t="shared" si="630"/>
        <v>0</v>
      </c>
      <c r="BE1367" s="39"/>
      <c r="BF1367" s="49"/>
    </row>
    <row r="1368" spans="1:58" ht="15.75" customHeight="1" x14ac:dyDescent="0.25">
      <c r="A1368" s="44">
        <v>2015</v>
      </c>
      <c r="B1368" s="39">
        <v>171888</v>
      </c>
      <c r="C1368" s="38" t="s">
        <v>150</v>
      </c>
      <c r="D1368" s="38" t="s">
        <v>120</v>
      </c>
      <c r="E1368" s="39"/>
      <c r="F1368" s="42">
        <f t="shared" si="612"/>
        <v>0</v>
      </c>
      <c r="G1368" s="49"/>
      <c r="H1368" s="42">
        <f t="shared" si="613"/>
        <v>0</v>
      </c>
      <c r="I1368" s="39"/>
      <c r="J1368" s="41">
        <f t="shared" si="614"/>
        <v>0</v>
      </c>
      <c r="K1368" s="49"/>
      <c r="L1368" s="41">
        <f t="shared" si="615"/>
        <v>0</v>
      </c>
      <c r="M1368" s="39"/>
      <c r="N1368" s="41">
        <f t="shared" si="616"/>
        <v>0</v>
      </c>
      <c r="O1368" s="49"/>
      <c r="P1368" s="41">
        <f t="shared" si="617"/>
        <v>0</v>
      </c>
      <c r="Q1368" s="39"/>
      <c r="R1368" s="41">
        <f t="shared" si="618"/>
        <v>0</v>
      </c>
      <c r="S1368" s="49"/>
      <c r="T1368" s="41">
        <f t="shared" si="619"/>
        <v>0</v>
      </c>
      <c r="U1368" s="39"/>
      <c r="V1368" s="41">
        <f t="shared" si="620"/>
        <v>0</v>
      </c>
      <c r="W1368" s="49"/>
      <c r="X1368" s="41">
        <f t="shared" si="621"/>
        <v>0</v>
      </c>
      <c r="Y1368" s="39"/>
      <c r="Z1368" s="41">
        <f t="shared" si="622"/>
        <v>0</v>
      </c>
      <c r="AA1368" s="49"/>
      <c r="AB1368" s="41">
        <f t="shared" si="623"/>
        <v>0</v>
      </c>
      <c r="AC1368" s="39"/>
      <c r="AD1368" s="41">
        <f t="shared" si="605"/>
        <v>0</v>
      </c>
      <c r="AE1368" s="49"/>
      <c r="AF1368" s="41">
        <f t="shared" si="624"/>
        <v>0</v>
      </c>
      <c r="AG1368" s="39"/>
      <c r="AH1368" s="41">
        <f t="shared" si="606"/>
        <v>0</v>
      </c>
      <c r="AI1368" s="49"/>
      <c r="AJ1368" s="41">
        <f t="shared" si="625"/>
        <v>0</v>
      </c>
      <c r="AK1368" s="39"/>
      <c r="AL1368" s="41">
        <f t="shared" si="607"/>
        <v>0</v>
      </c>
      <c r="AM1368" s="49"/>
      <c r="AN1368" s="41">
        <f t="shared" si="626"/>
        <v>0</v>
      </c>
      <c r="AO1368" s="39"/>
      <c r="AP1368" s="41">
        <f t="shared" si="608"/>
        <v>0</v>
      </c>
      <c r="AQ1368" s="49"/>
      <c r="AR1368" s="41">
        <f t="shared" si="627"/>
        <v>0</v>
      </c>
      <c r="AS1368" s="39"/>
      <c r="AT1368" s="41">
        <f t="shared" si="609"/>
        <v>0</v>
      </c>
      <c r="AU1368" s="49"/>
      <c r="AV1368" s="41">
        <f t="shared" si="628"/>
        <v>0</v>
      </c>
      <c r="AW1368" s="39"/>
      <c r="AX1368" s="41">
        <f t="shared" si="610"/>
        <v>0</v>
      </c>
      <c r="AY1368" s="49"/>
      <c r="AZ1368" s="41">
        <f t="shared" si="629"/>
        <v>0</v>
      </c>
      <c r="BA1368" s="39"/>
      <c r="BB1368" s="41">
        <f t="shared" si="611"/>
        <v>0</v>
      </c>
      <c r="BC1368" s="49"/>
      <c r="BD1368" s="41">
        <f t="shared" si="630"/>
        <v>0</v>
      </c>
      <c r="BE1368" s="39"/>
      <c r="BF1368" s="49"/>
    </row>
    <row r="1369" spans="1:58" ht="15.75" customHeight="1" x14ac:dyDescent="0.25">
      <c r="A1369" s="44">
        <v>2015</v>
      </c>
      <c r="B1369" s="39">
        <v>171889</v>
      </c>
      <c r="C1369" s="38" t="s">
        <v>146</v>
      </c>
      <c r="D1369" s="38" t="s">
        <v>121</v>
      </c>
      <c r="E1369" s="39"/>
      <c r="F1369" s="42">
        <f t="shared" si="612"/>
        <v>0</v>
      </c>
      <c r="G1369" s="49"/>
      <c r="H1369" s="42">
        <f t="shared" si="613"/>
        <v>0</v>
      </c>
      <c r="I1369" s="39"/>
      <c r="J1369" s="41">
        <f t="shared" si="614"/>
        <v>0</v>
      </c>
      <c r="K1369" s="49"/>
      <c r="L1369" s="41">
        <f t="shared" si="615"/>
        <v>0</v>
      </c>
      <c r="M1369" s="39"/>
      <c r="N1369" s="41">
        <f t="shared" si="616"/>
        <v>0</v>
      </c>
      <c r="O1369" s="49"/>
      <c r="P1369" s="41">
        <f t="shared" si="617"/>
        <v>0</v>
      </c>
      <c r="Q1369" s="39"/>
      <c r="R1369" s="41">
        <f t="shared" si="618"/>
        <v>0</v>
      </c>
      <c r="S1369" s="49"/>
      <c r="T1369" s="41">
        <f t="shared" si="619"/>
        <v>0</v>
      </c>
      <c r="U1369" s="39"/>
      <c r="V1369" s="41">
        <f t="shared" si="620"/>
        <v>0</v>
      </c>
      <c r="W1369" s="49"/>
      <c r="X1369" s="41">
        <f t="shared" si="621"/>
        <v>0</v>
      </c>
      <c r="Y1369" s="39"/>
      <c r="Z1369" s="41">
        <f t="shared" si="622"/>
        <v>0</v>
      </c>
      <c r="AA1369" s="49"/>
      <c r="AB1369" s="41">
        <f t="shared" si="623"/>
        <v>0</v>
      </c>
      <c r="AC1369" s="39"/>
      <c r="AD1369" s="41">
        <f t="shared" si="605"/>
        <v>0</v>
      </c>
      <c r="AE1369" s="49"/>
      <c r="AF1369" s="41">
        <f t="shared" si="624"/>
        <v>0</v>
      </c>
      <c r="AG1369" s="39"/>
      <c r="AH1369" s="41">
        <f t="shared" si="606"/>
        <v>0</v>
      </c>
      <c r="AI1369" s="49"/>
      <c r="AJ1369" s="41">
        <f t="shared" si="625"/>
        <v>0</v>
      </c>
      <c r="AK1369" s="39"/>
      <c r="AL1369" s="41">
        <f t="shared" si="607"/>
        <v>0</v>
      </c>
      <c r="AM1369" s="49"/>
      <c r="AN1369" s="41">
        <f t="shared" si="626"/>
        <v>0</v>
      </c>
      <c r="AO1369" s="39"/>
      <c r="AP1369" s="41">
        <f t="shared" si="608"/>
        <v>0</v>
      </c>
      <c r="AQ1369" s="49"/>
      <c r="AR1369" s="41">
        <f t="shared" si="627"/>
        <v>0</v>
      </c>
      <c r="AS1369" s="39"/>
      <c r="AT1369" s="41">
        <f t="shared" si="609"/>
        <v>0</v>
      </c>
      <c r="AU1369" s="49"/>
      <c r="AV1369" s="41">
        <f t="shared" si="628"/>
        <v>0</v>
      </c>
      <c r="AW1369" s="39"/>
      <c r="AX1369" s="41">
        <f t="shared" si="610"/>
        <v>0</v>
      </c>
      <c r="AY1369" s="49"/>
      <c r="AZ1369" s="41">
        <f t="shared" si="629"/>
        <v>0</v>
      </c>
      <c r="BA1369" s="39"/>
      <c r="BB1369" s="41">
        <f t="shared" si="611"/>
        <v>0</v>
      </c>
      <c r="BC1369" s="49"/>
      <c r="BD1369" s="41">
        <f t="shared" si="630"/>
        <v>0</v>
      </c>
      <c r="BE1369" s="39"/>
      <c r="BF1369" s="49"/>
    </row>
    <row r="1370" spans="1:58" ht="15.75" customHeight="1" x14ac:dyDescent="0.25">
      <c r="A1370" s="44">
        <v>2015</v>
      </c>
      <c r="B1370" s="39">
        <v>171890</v>
      </c>
      <c r="C1370" s="38" t="s">
        <v>151</v>
      </c>
      <c r="D1370" s="38" t="s">
        <v>122</v>
      </c>
      <c r="E1370" s="39"/>
      <c r="F1370" s="42">
        <f t="shared" si="612"/>
        <v>0</v>
      </c>
      <c r="G1370" s="49"/>
      <c r="H1370" s="42">
        <f t="shared" si="613"/>
        <v>0</v>
      </c>
      <c r="I1370" s="39"/>
      <c r="J1370" s="41">
        <f t="shared" si="614"/>
        <v>0</v>
      </c>
      <c r="K1370" s="49"/>
      <c r="L1370" s="41">
        <f t="shared" si="615"/>
        <v>0</v>
      </c>
      <c r="M1370" s="39"/>
      <c r="N1370" s="41">
        <f t="shared" si="616"/>
        <v>0</v>
      </c>
      <c r="O1370" s="49"/>
      <c r="P1370" s="41">
        <f t="shared" si="617"/>
        <v>0</v>
      </c>
      <c r="Q1370" s="39"/>
      <c r="R1370" s="41">
        <f t="shared" si="618"/>
        <v>0</v>
      </c>
      <c r="S1370" s="49"/>
      <c r="T1370" s="41">
        <f t="shared" si="619"/>
        <v>0</v>
      </c>
      <c r="U1370" s="39"/>
      <c r="V1370" s="41">
        <f t="shared" si="620"/>
        <v>0</v>
      </c>
      <c r="W1370" s="49"/>
      <c r="X1370" s="41">
        <f t="shared" si="621"/>
        <v>0</v>
      </c>
      <c r="Y1370" s="39"/>
      <c r="Z1370" s="41">
        <f t="shared" si="622"/>
        <v>0</v>
      </c>
      <c r="AA1370" s="49"/>
      <c r="AB1370" s="41">
        <f t="shared" si="623"/>
        <v>0</v>
      </c>
      <c r="AC1370" s="39"/>
      <c r="AD1370" s="41">
        <f t="shared" si="605"/>
        <v>0</v>
      </c>
      <c r="AE1370" s="49"/>
      <c r="AF1370" s="41">
        <f t="shared" si="624"/>
        <v>0</v>
      </c>
      <c r="AG1370" s="39"/>
      <c r="AH1370" s="41">
        <f t="shared" si="606"/>
        <v>0</v>
      </c>
      <c r="AI1370" s="49"/>
      <c r="AJ1370" s="41">
        <f t="shared" si="625"/>
        <v>0</v>
      </c>
      <c r="AK1370" s="39"/>
      <c r="AL1370" s="41">
        <f t="shared" si="607"/>
        <v>0</v>
      </c>
      <c r="AM1370" s="49"/>
      <c r="AN1370" s="41">
        <f t="shared" si="626"/>
        <v>0</v>
      </c>
      <c r="AO1370" s="39"/>
      <c r="AP1370" s="41">
        <f t="shared" si="608"/>
        <v>0</v>
      </c>
      <c r="AQ1370" s="49"/>
      <c r="AR1370" s="41">
        <f t="shared" si="627"/>
        <v>0</v>
      </c>
      <c r="AS1370" s="39"/>
      <c r="AT1370" s="41">
        <f t="shared" si="609"/>
        <v>0</v>
      </c>
      <c r="AU1370" s="49"/>
      <c r="AV1370" s="41">
        <f t="shared" si="628"/>
        <v>0</v>
      </c>
      <c r="AW1370" s="39"/>
      <c r="AX1370" s="41">
        <f t="shared" si="610"/>
        <v>0</v>
      </c>
      <c r="AY1370" s="49"/>
      <c r="AZ1370" s="41">
        <f t="shared" si="629"/>
        <v>0</v>
      </c>
      <c r="BA1370" s="39"/>
      <c r="BB1370" s="41">
        <f t="shared" si="611"/>
        <v>0</v>
      </c>
      <c r="BC1370" s="49"/>
      <c r="BD1370" s="41">
        <f t="shared" si="630"/>
        <v>0</v>
      </c>
      <c r="BE1370" s="39"/>
      <c r="BF1370" s="49"/>
    </row>
    <row r="1371" spans="1:58" ht="15.75" customHeight="1" x14ac:dyDescent="0.25">
      <c r="A1371" s="44">
        <v>2015</v>
      </c>
      <c r="B1371" s="39">
        <v>171900</v>
      </c>
      <c r="C1371" s="38" t="s">
        <v>148</v>
      </c>
      <c r="D1371" s="38" t="s">
        <v>123</v>
      </c>
      <c r="E1371" s="39"/>
      <c r="F1371" s="42">
        <f t="shared" si="612"/>
        <v>0</v>
      </c>
      <c r="G1371" s="49"/>
      <c r="H1371" s="42">
        <f t="shared" si="613"/>
        <v>0</v>
      </c>
      <c r="I1371" s="39"/>
      <c r="J1371" s="41">
        <f t="shared" si="614"/>
        <v>0</v>
      </c>
      <c r="K1371" s="49"/>
      <c r="L1371" s="41">
        <f t="shared" si="615"/>
        <v>0</v>
      </c>
      <c r="M1371" s="39"/>
      <c r="N1371" s="41">
        <f t="shared" si="616"/>
        <v>0</v>
      </c>
      <c r="O1371" s="49"/>
      <c r="P1371" s="41">
        <f t="shared" si="617"/>
        <v>0</v>
      </c>
      <c r="Q1371" s="39"/>
      <c r="R1371" s="41">
        <f t="shared" si="618"/>
        <v>0</v>
      </c>
      <c r="S1371" s="49"/>
      <c r="T1371" s="41">
        <f t="shared" si="619"/>
        <v>0</v>
      </c>
      <c r="U1371" s="39"/>
      <c r="V1371" s="41">
        <f t="shared" si="620"/>
        <v>0</v>
      </c>
      <c r="W1371" s="49"/>
      <c r="X1371" s="41">
        <f t="shared" si="621"/>
        <v>0</v>
      </c>
      <c r="Y1371" s="39"/>
      <c r="Z1371" s="41">
        <f t="shared" si="622"/>
        <v>0</v>
      </c>
      <c r="AA1371" s="49"/>
      <c r="AB1371" s="41">
        <f t="shared" si="623"/>
        <v>0</v>
      </c>
      <c r="AC1371" s="39"/>
      <c r="AD1371" s="41">
        <f t="shared" si="605"/>
        <v>0</v>
      </c>
      <c r="AE1371" s="49"/>
      <c r="AF1371" s="41">
        <f t="shared" si="624"/>
        <v>0</v>
      </c>
      <c r="AG1371" s="39"/>
      <c r="AH1371" s="41">
        <f t="shared" si="606"/>
        <v>0</v>
      </c>
      <c r="AI1371" s="49"/>
      <c r="AJ1371" s="41">
        <f t="shared" si="625"/>
        <v>0</v>
      </c>
      <c r="AK1371" s="39"/>
      <c r="AL1371" s="41">
        <f t="shared" si="607"/>
        <v>0</v>
      </c>
      <c r="AM1371" s="49"/>
      <c r="AN1371" s="41">
        <f t="shared" si="626"/>
        <v>0</v>
      </c>
      <c r="AO1371" s="39"/>
      <c r="AP1371" s="41">
        <f t="shared" si="608"/>
        <v>0</v>
      </c>
      <c r="AQ1371" s="49"/>
      <c r="AR1371" s="41">
        <f t="shared" si="627"/>
        <v>0</v>
      </c>
      <c r="AS1371" s="39"/>
      <c r="AT1371" s="41">
        <f t="shared" si="609"/>
        <v>0</v>
      </c>
      <c r="AU1371" s="49"/>
      <c r="AV1371" s="41">
        <f t="shared" si="628"/>
        <v>0</v>
      </c>
      <c r="AW1371" s="39"/>
      <c r="AX1371" s="41">
        <f t="shared" si="610"/>
        <v>0</v>
      </c>
      <c r="AY1371" s="49"/>
      <c r="AZ1371" s="41">
        <f t="shared" si="629"/>
        <v>0</v>
      </c>
      <c r="BA1371" s="39"/>
      <c r="BB1371" s="41">
        <f t="shared" si="611"/>
        <v>0</v>
      </c>
      <c r="BC1371" s="49"/>
      <c r="BD1371" s="41">
        <f t="shared" si="630"/>
        <v>0</v>
      </c>
      <c r="BE1371" s="39"/>
      <c r="BF1371" s="49"/>
    </row>
    <row r="1372" spans="1:58" ht="15.75" customHeight="1" x14ac:dyDescent="0.25">
      <c r="A1372" s="44">
        <v>2015</v>
      </c>
      <c r="B1372" s="39">
        <v>172000</v>
      </c>
      <c r="C1372" s="38" t="s">
        <v>145</v>
      </c>
      <c r="D1372" s="38" t="s">
        <v>124</v>
      </c>
      <c r="E1372" s="39"/>
      <c r="F1372" s="42">
        <f t="shared" si="612"/>
        <v>0</v>
      </c>
      <c r="G1372" s="49"/>
      <c r="H1372" s="42">
        <f t="shared" si="613"/>
        <v>0</v>
      </c>
      <c r="I1372" s="39"/>
      <c r="J1372" s="41">
        <f t="shared" si="614"/>
        <v>0</v>
      </c>
      <c r="K1372" s="49"/>
      <c r="L1372" s="41">
        <f t="shared" si="615"/>
        <v>0</v>
      </c>
      <c r="M1372" s="39"/>
      <c r="N1372" s="41">
        <f t="shared" si="616"/>
        <v>0</v>
      </c>
      <c r="O1372" s="49"/>
      <c r="P1372" s="41">
        <f t="shared" si="617"/>
        <v>0</v>
      </c>
      <c r="Q1372" s="39"/>
      <c r="R1372" s="41">
        <f t="shared" si="618"/>
        <v>0</v>
      </c>
      <c r="S1372" s="49"/>
      <c r="T1372" s="41">
        <f t="shared" si="619"/>
        <v>0</v>
      </c>
      <c r="U1372" s="39"/>
      <c r="V1372" s="41">
        <f t="shared" si="620"/>
        <v>0</v>
      </c>
      <c r="W1372" s="49"/>
      <c r="X1372" s="41">
        <f t="shared" si="621"/>
        <v>0</v>
      </c>
      <c r="Y1372" s="39"/>
      <c r="Z1372" s="41">
        <f t="shared" si="622"/>
        <v>0</v>
      </c>
      <c r="AA1372" s="49"/>
      <c r="AB1372" s="41">
        <f t="shared" si="623"/>
        <v>0</v>
      </c>
      <c r="AC1372" s="39"/>
      <c r="AD1372" s="41">
        <f t="shared" si="605"/>
        <v>0</v>
      </c>
      <c r="AE1372" s="49"/>
      <c r="AF1372" s="41">
        <f t="shared" si="624"/>
        <v>0</v>
      </c>
      <c r="AG1372" s="39"/>
      <c r="AH1372" s="41">
        <f t="shared" si="606"/>
        <v>0</v>
      </c>
      <c r="AI1372" s="49"/>
      <c r="AJ1372" s="41">
        <f t="shared" si="625"/>
        <v>0</v>
      </c>
      <c r="AK1372" s="39"/>
      <c r="AL1372" s="41">
        <f t="shared" si="607"/>
        <v>0</v>
      </c>
      <c r="AM1372" s="49"/>
      <c r="AN1372" s="41">
        <f t="shared" si="626"/>
        <v>0</v>
      </c>
      <c r="AO1372" s="39"/>
      <c r="AP1372" s="41">
        <f t="shared" si="608"/>
        <v>0</v>
      </c>
      <c r="AQ1372" s="49"/>
      <c r="AR1372" s="41">
        <f t="shared" si="627"/>
        <v>0</v>
      </c>
      <c r="AS1372" s="39"/>
      <c r="AT1372" s="41">
        <f t="shared" si="609"/>
        <v>0</v>
      </c>
      <c r="AU1372" s="49"/>
      <c r="AV1372" s="41">
        <f t="shared" si="628"/>
        <v>0</v>
      </c>
      <c r="AW1372" s="39"/>
      <c r="AX1372" s="41">
        <f t="shared" si="610"/>
        <v>0</v>
      </c>
      <c r="AY1372" s="49"/>
      <c r="AZ1372" s="41">
        <f t="shared" si="629"/>
        <v>0</v>
      </c>
      <c r="BA1372" s="39"/>
      <c r="BB1372" s="41">
        <f t="shared" si="611"/>
        <v>0</v>
      </c>
      <c r="BC1372" s="49"/>
      <c r="BD1372" s="41">
        <f t="shared" si="630"/>
        <v>0</v>
      </c>
      <c r="BE1372" s="39"/>
      <c r="BF1372" s="49"/>
    </row>
    <row r="1373" spans="1:58" ht="15.75" customHeight="1" x14ac:dyDescent="0.25">
      <c r="A1373" s="44">
        <v>2015</v>
      </c>
      <c r="B1373" s="39">
        <v>172010</v>
      </c>
      <c r="C1373" s="38" t="s">
        <v>145</v>
      </c>
      <c r="D1373" s="38" t="s">
        <v>125</v>
      </c>
      <c r="E1373" s="39"/>
      <c r="F1373" s="42">
        <f t="shared" si="612"/>
        <v>0</v>
      </c>
      <c r="G1373" s="49"/>
      <c r="H1373" s="42">
        <f t="shared" si="613"/>
        <v>0</v>
      </c>
      <c r="I1373" s="39"/>
      <c r="J1373" s="41">
        <f t="shared" si="614"/>
        <v>0</v>
      </c>
      <c r="K1373" s="49"/>
      <c r="L1373" s="41">
        <f t="shared" si="615"/>
        <v>0</v>
      </c>
      <c r="M1373" s="39"/>
      <c r="N1373" s="41">
        <f t="shared" si="616"/>
        <v>0</v>
      </c>
      <c r="O1373" s="49"/>
      <c r="P1373" s="41">
        <f t="shared" si="617"/>
        <v>0</v>
      </c>
      <c r="Q1373" s="39"/>
      <c r="R1373" s="41">
        <f t="shared" si="618"/>
        <v>0</v>
      </c>
      <c r="S1373" s="49"/>
      <c r="T1373" s="41">
        <f t="shared" si="619"/>
        <v>0</v>
      </c>
      <c r="U1373" s="39"/>
      <c r="V1373" s="41">
        <f t="shared" si="620"/>
        <v>0</v>
      </c>
      <c r="W1373" s="49"/>
      <c r="X1373" s="41">
        <f t="shared" si="621"/>
        <v>0</v>
      </c>
      <c r="Y1373" s="39"/>
      <c r="Z1373" s="41">
        <f t="shared" si="622"/>
        <v>0</v>
      </c>
      <c r="AA1373" s="49"/>
      <c r="AB1373" s="41">
        <f t="shared" si="623"/>
        <v>0</v>
      </c>
      <c r="AC1373" s="39"/>
      <c r="AD1373" s="41">
        <f t="shared" si="605"/>
        <v>0</v>
      </c>
      <c r="AE1373" s="49"/>
      <c r="AF1373" s="41">
        <f t="shared" si="624"/>
        <v>0</v>
      </c>
      <c r="AG1373" s="39"/>
      <c r="AH1373" s="41">
        <f t="shared" si="606"/>
        <v>0</v>
      </c>
      <c r="AI1373" s="49"/>
      <c r="AJ1373" s="41">
        <f t="shared" si="625"/>
        <v>0</v>
      </c>
      <c r="AK1373" s="39"/>
      <c r="AL1373" s="41">
        <f t="shared" si="607"/>
        <v>0</v>
      </c>
      <c r="AM1373" s="49"/>
      <c r="AN1373" s="41">
        <f t="shared" si="626"/>
        <v>0</v>
      </c>
      <c r="AO1373" s="39"/>
      <c r="AP1373" s="41">
        <f t="shared" si="608"/>
        <v>0</v>
      </c>
      <c r="AQ1373" s="49"/>
      <c r="AR1373" s="41">
        <f t="shared" si="627"/>
        <v>0</v>
      </c>
      <c r="AS1373" s="39"/>
      <c r="AT1373" s="41">
        <f t="shared" si="609"/>
        <v>0</v>
      </c>
      <c r="AU1373" s="49"/>
      <c r="AV1373" s="41">
        <f t="shared" si="628"/>
        <v>0</v>
      </c>
      <c r="AW1373" s="39"/>
      <c r="AX1373" s="41">
        <f t="shared" si="610"/>
        <v>0</v>
      </c>
      <c r="AY1373" s="49"/>
      <c r="AZ1373" s="41">
        <f t="shared" si="629"/>
        <v>0</v>
      </c>
      <c r="BA1373" s="39"/>
      <c r="BB1373" s="41">
        <f t="shared" si="611"/>
        <v>0</v>
      </c>
      <c r="BC1373" s="49"/>
      <c r="BD1373" s="41">
        <f t="shared" si="630"/>
        <v>0</v>
      </c>
      <c r="BE1373" s="39"/>
      <c r="BF1373" s="49"/>
    </row>
    <row r="1374" spans="1:58" ht="15.75" customHeight="1" x14ac:dyDescent="0.25">
      <c r="A1374" s="44">
        <v>2015</v>
      </c>
      <c r="B1374" s="39">
        <v>172015</v>
      </c>
      <c r="C1374" s="38" t="s">
        <v>148</v>
      </c>
      <c r="D1374" s="38" t="s">
        <v>126</v>
      </c>
      <c r="E1374" s="39"/>
      <c r="F1374" s="42">
        <f t="shared" si="612"/>
        <v>0</v>
      </c>
      <c r="G1374" s="49"/>
      <c r="H1374" s="42">
        <f t="shared" si="613"/>
        <v>0</v>
      </c>
      <c r="I1374" s="39"/>
      <c r="J1374" s="41">
        <f t="shared" si="614"/>
        <v>0</v>
      </c>
      <c r="K1374" s="49"/>
      <c r="L1374" s="41">
        <f t="shared" si="615"/>
        <v>0</v>
      </c>
      <c r="M1374" s="39"/>
      <c r="N1374" s="41">
        <f t="shared" si="616"/>
        <v>0</v>
      </c>
      <c r="O1374" s="49"/>
      <c r="P1374" s="41">
        <f t="shared" si="617"/>
        <v>0</v>
      </c>
      <c r="Q1374" s="39"/>
      <c r="R1374" s="41">
        <f t="shared" si="618"/>
        <v>0</v>
      </c>
      <c r="S1374" s="49"/>
      <c r="T1374" s="41">
        <f t="shared" si="619"/>
        <v>0</v>
      </c>
      <c r="U1374" s="39"/>
      <c r="V1374" s="41">
        <f t="shared" si="620"/>
        <v>0</v>
      </c>
      <c r="W1374" s="49"/>
      <c r="X1374" s="41">
        <f t="shared" si="621"/>
        <v>0</v>
      </c>
      <c r="Y1374" s="39"/>
      <c r="Z1374" s="41">
        <f t="shared" si="622"/>
        <v>0</v>
      </c>
      <c r="AA1374" s="49"/>
      <c r="AB1374" s="41">
        <f t="shared" si="623"/>
        <v>0</v>
      </c>
      <c r="AC1374" s="39"/>
      <c r="AD1374" s="41">
        <f t="shared" si="605"/>
        <v>0</v>
      </c>
      <c r="AE1374" s="49"/>
      <c r="AF1374" s="41">
        <f t="shared" si="624"/>
        <v>0</v>
      </c>
      <c r="AG1374" s="39"/>
      <c r="AH1374" s="41">
        <f t="shared" si="606"/>
        <v>0</v>
      </c>
      <c r="AI1374" s="49"/>
      <c r="AJ1374" s="41">
        <f t="shared" si="625"/>
        <v>0</v>
      </c>
      <c r="AK1374" s="39"/>
      <c r="AL1374" s="41">
        <f t="shared" si="607"/>
        <v>0</v>
      </c>
      <c r="AM1374" s="49"/>
      <c r="AN1374" s="41">
        <f t="shared" si="626"/>
        <v>0</v>
      </c>
      <c r="AO1374" s="39"/>
      <c r="AP1374" s="41">
        <f t="shared" si="608"/>
        <v>0</v>
      </c>
      <c r="AQ1374" s="49"/>
      <c r="AR1374" s="41">
        <f t="shared" si="627"/>
        <v>0</v>
      </c>
      <c r="AS1374" s="39"/>
      <c r="AT1374" s="41">
        <f t="shared" si="609"/>
        <v>0</v>
      </c>
      <c r="AU1374" s="49"/>
      <c r="AV1374" s="41">
        <f t="shared" si="628"/>
        <v>0</v>
      </c>
      <c r="AW1374" s="39"/>
      <c r="AX1374" s="41">
        <f t="shared" si="610"/>
        <v>0</v>
      </c>
      <c r="AY1374" s="49"/>
      <c r="AZ1374" s="41">
        <f t="shared" si="629"/>
        <v>0</v>
      </c>
      <c r="BA1374" s="39"/>
      <c r="BB1374" s="41">
        <f t="shared" si="611"/>
        <v>0</v>
      </c>
      <c r="BC1374" s="49"/>
      <c r="BD1374" s="41">
        <f t="shared" si="630"/>
        <v>0</v>
      </c>
      <c r="BE1374" s="39"/>
      <c r="BF1374" s="49"/>
    </row>
    <row r="1375" spans="1:58" ht="15.75" customHeight="1" x14ac:dyDescent="0.25">
      <c r="A1375" s="44">
        <v>2015</v>
      </c>
      <c r="B1375" s="39">
        <v>172020</v>
      </c>
      <c r="C1375" s="38" t="s">
        <v>145</v>
      </c>
      <c r="D1375" s="38" t="s">
        <v>127</v>
      </c>
      <c r="E1375" s="39"/>
      <c r="F1375" s="42">
        <f t="shared" si="612"/>
        <v>0</v>
      </c>
      <c r="G1375" s="49"/>
      <c r="H1375" s="42">
        <f t="shared" si="613"/>
        <v>0</v>
      </c>
      <c r="I1375" s="39"/>
      <c r="J1375" s="41">
        <f t="shared" si="614"/>
        <v>0</v>
      </c>
      <c r="K1375" s="49"/>
      <c r="L1375" s="41">
        <f t="shared" si="615"/>
        <v>0</v>
      </c>
      <c r="M1375" s="39"/>
      <c r="N1375" s="41">
        <f t="shared" si="616"/>
        <v>0</v>
      </c>
      <c r="O1375" s="49"/>
      <c r="P1375" s="41">
        <f t="shared" si="617"/>
        <v>0</v>
      </c>
      <c r="Q1375" s="39"/>
      <c r="R1375" s="41">
        <f t="shared" si="618"/>
        <v>0</v>
      </c>
      <c r="S1375" s="49"/>
      <c r="T1375" s="41">
        <f t="shared" si="619"/>
        <v>0</v>
      </c>
      <c r="U1375" s="39"/>
      <c r="V1375" s="41">
        <f t="shared" si="620"/>
        <v>0</v>
      </c>
      <c r="W1375" s="49"/>
      <c r="X1375" s="41">
        <f t="shared" si="621"/>
        <v>0</v>
      </c>
      <c r="Y1375" s="39"/>
      <c r="Z1375" s="41">
        <f t="shared" si="622"/>
        <v>0</v>
      </c>
      <c r="AA1375" s="49"/>
      <c r="AB1375" s="41">
        <f t="shared" si="623"/>
        <v>0</v>
      </c>
      <c r="AC1375" s="39"/>
      <c r="AD1375" s="41">
        <f t="shared" si="605"/>
        <v>0</v>
      </c>
      <c r="AE1375" s="49"/>
      <c r="AF1375" s="41">
        <f t="shared" si="624"/>
        <v>0</v>
      </c>
      <c r="AG1375" s="39"/>
      <c r="AH1375" s="41">
        <f t="shared" si="606"/>
        <v>0</v>
      </c>
      <c r="AI1375" s="49"/>
      <c r="AJ1375" s="41">
        <f t="shared" si="625"/>
        <v>0</v>
      </c>
      <c r="AK1375" s="39"/>
      <c r="AL1375" s="41">
        <f t="shared" si="607"/>
        <v>0</v>
      </c>
      <c r="AM1375" s="49"/>
      <c r="AN1375" s="41">
        <f t="shared" si="626"/>
        <v>0</v>
      </c>
      <c r="AO1375" s="39"/>
      <c r="AP1375" s="41">
        <f t="shared" si="608"/>
        <v>0</v>
      </c>
      <c r="AQ1375" s="49"/>
      <c r="AR1375" s="41">
        <f t="shared" si="627"/>
        <v>0</v>
      </c>
      <c r="AS1375" s="39"/>
      <c r="AT1375" s="41">
        <f t="shared" si="609"/>
        <v>0</v>
      </c>
      <c r="AU1375" s="49"/>
      <c r="AV1375" s="41">
        <f t="shared" si="628"/>
        <v>0</v>
      </c>
      <c r="AW1375" s="39"/>
      <c r="AX1375" s="41">
        <f t="shared" si="610"/>
        <v>0</v>
      </c>
      <c r="AY1375" s="49"/>
      <c r="AZ1375" s="41">
        <f t="shared" si="629"/>
        <v>0</v>
      </c>
      <c r="BA1375" s="39"/>
      <c r="BB1375" s="41">
        <f t="shared" si="611"/>
        <v>0</v>
      </c>
      <c r="BC1375" s="49"/>
      <c r="BD1375" s="41">
        <f t="shared" si="630"/>
        <v>0</v>
      </c>
      <c r="BE1375" s="39"/>
      <c r="BF1375" s="49"/>
    </row>
    <row r="1376" spans="1:58" ht="15.75" customHeight="1" x14ac:dyDescent="0.25">
      <c r="A1376" s="44">
        <v>2015</v>
      </c>
      <c r="B1376" s="39">
        <v>172025</v>
      </c>
      <c r="C1376" s="38" t="s">
        <v>146</v>
      </c>
      <c r="D1376" s="38" t="s">
        <v>128</v>
      </c>
      <c r="E1376" s="39"/>
      <c r="F1376" s="42">
        <f t="shared" si="612"/>
        <v>0</v>
      </c>
      <c r="G1376" s="49"/>
      <c r="H1376" s="42">
        <f t="shared" si="613"/>
        <v>0</v>
      </c>
      <c r="I1376" s="39"/>
      <c r="J1376" s="41">
        <f t="shared" si="614"/>
        <v>0</v>
      </c>
      <c r="K1376" s="49"/>
      <c r="L1376" s="41">
        <f t="shared" si="615"/>
        <v>0</v>
      </c>
      <c r="M1376" s="39"/>
      <c r="N1376" s="41">
        <f t="shared" si="616"/>
        <v>0</v>
      </c>
      <c r="O1376" s="49"/>
      <c r="P1376" s="41">
        <f t="shared" si="617"/>
        <v>0</v>
      </c>
      <c r="Q1376" s="39"/>
      <c r="R1376" s="41">
        <f t="shared" si="618"/>
        <v>0</v>
      </c>
      <c r="S1376" s="49"/>
      <c r="T1376" s="41">
        <f t="shared" si="619"/>
        <v>0</v>
      </c>
      <c r="U1376" s="39"/>
      <c r="V1376" s="41">
        <f t="shared" si="620"/>
        <v>0</v>
      </c>
      <c r="W1376" s="49"/>
      <c r="X1376" s="41">
        <f t="shared" si="621"/>
        <v>0</v>
      </c>
      <c r="Y1376" s="39"/>
      <c r="Z1376" s="41">
        <f t="shared" si="622"/>
        <v>0</v>
      </c>
      <c r="AA1376" s="49"/>
      <c r="AB1376" s="41">
        <f t="shared" si="623"/>
        <v>0</v>
      </c>
      <c r="AC1376" s="39"/>
      <c r="AD1376" s="41">
        <f t="shared" si="605"/>
        <v>0</v>
      </c>
      <c r="AE1376" s="49"/>
      <c r="AF1376" s="41">
        <f t="shared" si="624"/>
        <v>0</v>
      </c>
      <c r="AG1376" s="39"/>
      <c r="AH1376" s="41">
        <f t="shared" si="606"/>
        <v>0</v>
      </c>
      <c r="AI1376" s="49"/>
      <c r="AJ1376" s="41">
        <f t="shared" si="625"/>
        <v>0</v>
      </c>
      <c r="AK1376" s="39"/>
      <c r="AL1376" s="41">
        <f t="shared" si="607"/>
        <v>0</v>
      </c>
      <c r="AM1376" s="49"/>
      <c r="AN1376" s="41">
        <f t="shared" si="626"/>
        <v>0</v>
      </c>
      <c r="AO1376" s="39"/>
      <c r="AP1376" s="41">
        <f t="shared" si="608"/>
        <v>0</v>
      </c>
      <c r="AQ1376" s="49"/>
      <c r="AR1376" s="41">
        <f t="shared" si="627"/>
        <v>0</v>
      </c>
      <c r="AS1376" s="39"/>
      <c r="AT1376" s="41">
        <f t="shared" si="609"/>
        <v>0</v>
      </c>
      <c r="AU1376" s="49"/>
      <c r="AV1376" s="41">
        <f t="shared" si="628"/>
        <v>0</v>
      </c>
      <c r="AW1376" s="39"/>
      <c r="AX1376" s="41">
        <f t="shared" si="610"/>
        <v>0</v>
      </c>
      <c r="AY1376" s="49"/>
      <c r="AZ1376" s="41">
        <f t="shared" si="629"/>
        <v>0</v>
      </c>
      <c r="BA1376" s="39"/>
      <c r="BB1376" s="41">
        <f t="shared" si="611"/>
        <v>0</v>
      </c>
      <c r="BC1376" s="49"/>
      <c r="BD1376" s="41">
        <f t="shared" si="630"/>
        <v>0</v>
      </c>
      <c r="BE1376" s="39"/>
      <c r="BF1376" s="49"/>
    </row>
    <row r="1377" spans="1:58" ht="15.75" customHeight="1" x14ac:dyDescent="0.25">
      <c r="A1377" s="44">
        <v>2015</v>
      </c>
      <c r="B1377" s="39">
        <v>172030</v>
      </c>
      <c r="C1377" s="38" t="s">
        <v>145</v>
      </c>
      <c r="D1377" s="38" t="s">
        <v>129</v>
      </c>
      <c r="E1377" s="39"/>
      <c r="F1377" s="42">
        <f t="shared" si="612"/>
        <v>0</v>
      </c>
      <c r="G1377" s="49"/>
      <c r="H1377" s="42">
        <f t="shared" si="613"/>
        <v>0</v>
      </c>
      <c r="I1377" s="39"/>
      <c r="J1377" s="41">
        <f t="shared" si="614"/>
        <v>0</v>
      </c>
      <c r="K1377" s="49"/>
      <c r="L1377" s="41">
        <f t="shared" si="615"/>
        <v>0</v>
      </c>
      <c r="M1377" s="39"/>
      <c r="N1377" s="41">
        <f t="shared" si="616"/>
        <v>0</v>
      </c>
      <c r="O1377" s="49"/>
      <c r="P1377" s="41">
        <f t="shared" si="617"/>
        <v>0</v>
      </c>
      <c r="Q1377" s="39"/>
      <c r="R1377" s="41">
        <f t="shared" si="618"/>
        <v>0</v>
      </c>
      <c r="S1377" s="49"/>
      <c r="T1377" s="41">
        <f t="shared" si="619"/>
        <v>0</v>
      </c>
      <c r="U1377" s="39"/>
      <c r="V1377" s="41">
        <f t="shared" si="620"/>
        <v>0</v>
      </c>
      <c r="W1377" s="49"/>
      <c r="X1377" s="41">
        <f t="shared" si="621"/>
        <v>0</v>
      </c>
      <c r="Y1377" s="39"/>
      <c r="Z1377" s="41">
        <f t="shared" si="622"/>
        <v>0</v>
      </c>
      <c r="AA1377" s="49"/>
      <c r="AB1377" s="41">
        <f t="shared" si="623"/>
        <v>0</v>
      </c>
      <c r="AC1377" s="39"/>
      <c r="AD1377" s="41">
        <f t="shared" si="605"/>
        <v>0</v>
      </c>
      <c r="AE1377" s="49"/>
      <c r="AF1377" s="41">
        <f t="shared" si="624"/>
        <v>0</v>
      </c>
      <c r="AG1377" s="39"/>
      <c r="AH1377" s="41">
        <f t="shared" si="606"/>
        <v>0</v>
      </c>
      <c r="AI1377" s="49"/>
      <c r="AJ1377" s="41">
        <f t="shared" si="625"/>
        <v>0</v>
      </c>
      <c r="AK1377" s="39"/>
      <c r="AL1377" s="41">
        <f t="shared" si="607"/>
        <v>0</v>
      </c>
      <c r="AM1377" s="49"/>
      <c r="AN1377" s="41">
        <f t="shared" si="626"/>
        <v>0</v>
      </c>
      <c r="AO1377" s="39"/>
      <c r="AP1377" s="41">
        <f t="shared" si="608"/>
        <v>0</v>
      </c>
      <c r="AQ1377" s="49"/>
      <c r="AR1377" s="41">
        <f t="shared" si="627"/>
        <v>0</v>
      </c>
      <c r="AS1377" s="39"/>
      <c r="AT1377" s="41">
        <f t="shared" si="609"/>
        <v>0</v>
      </c>
      <c r="AU1377" s="49"/>
      <c r="AV1377" s="41">
        <f t="shared" si="628"/>
        <v>0</v>
      </c>
      <c r="AW1377" s="39"/>
      <c r="AX1377" s="41">
        <f t="shared" si="610"/>
        <v>0</v>
      </c>
      <c r="AY1377" s="49"/>
      <c r="AZ1377" s="41">
        <f t="shared" si="629"/>
        <v>0</v>
      </c>
      <c r="BA1377" s="39"/>
      <c r="BB1377" s="41">
        <f t="shared" si="611"/>
        <v>0</v>
      </c>
      <c r="BC1377" s="49"/>
      <c r="BD1377" s="41">
        <f t="shared" si="630"/>
        <v>0</v>
      </c>
      <c r="BE1377" s="39"/>
      <c r="BF1377" s="49"/>
    </row>
    <row r="1378" spans="1:58" ht="15.75" customHeight="1" x14ac:dyDescent="0.25">
      <c r="A1378" s="44">
        <v>2015</v>
      </c>
      <c r="B1378" s="39">
        <v>172049</v>
      </c>
      <c r="C1378" s="38" t="s">
        <v>146</v>
      </c>
      <c r="D1378" s="38" t="s">
        <v>130</v>
      </c>
      <c r="E1378" s="39"/>
      <c r="F1378" s="42">
        <f t="shared" si="612"/>
        <v>0</v>
      </c>
      <c r="G1378" s="49"/>
      <c r="H1378" s="42">
        <f t="shared" si="613"/>
        <v>0</v>
      </c>
      <c r="I1378" s="39"/>
      <c r="J1378" s="41">
        <f t="shared" si="614"/>
        <v>0</v>
      </c>
      <c r="K1378" s="49"/>
      <c r="L1378" s="41">
        <f t="shared" si="615"/>
        <v>0</v>
      </c>
      <c r="M1378" s="39"/>
      <c r="N1378" s="41">
        <f t="shared" si="616"/>
        <v>0</v>
      </c>
      <c r="O1378" s="49"/>
      <c r="P1378" s="41">
        <f t="shared" si="617"/>
        <v>0</v>
      </c>
      <c r="Q1378" s="39"/>
      <c r="R1378" s="41">
        <f t="shared" si="618"/>
        <v>0</v>
      </c>
      <c r="S1378" s="49"/>
      <c r="T1378" s="41">
        <f t="shared" si="619"/>
        <v>0</v>
      </c>
      <c r="U1378" s="39"/>
      <c r="V1378" s="41">
        <f t="shared" si="620"/>
        <v>0</v>
      </c>
      <c r="W1378" s="49"/>
      <c r="X1378" s="41">
        <f t="shared" si="621"/>
        <v>0</v>
      </c>
      <c r="Y1378" s="39"/>
      <c r="Z1378" s="41">
        <f t="shared" si="622"/>
        <v>0</v>
      </c>
      <c r="AA1378" s="49"/>
      <c r="AB1378" s="41">
        <f t="shared" si="623"/>
        <v>0</v>
      </c>
      <c r="AC1378" s="39"/>
      <c r="AD1378" s="41">
        <f t="shared" si="605"/>
        <v>0</v>
      </c>
      <c r="AE1378" s="49"/>
      <c r="AF1378" s="41">
        <f t="shared" si="624"/>
        <v>0</v>
      </c>
      <c r="AG1378" s="39"/>
      <c r="AH1378" s="41">
        <f t="shared" si="606"/>
        <v>0</v>
      </c>
      <c r="AI1378" s="49"/>
      <c r="AJ1378" s="41">
        <f t="shared" si="625"/>
        <v>0</v>
      </c>
      <c r="AK1378" s="39"/>
      <c r="AL1378" s="41">
        <f t="shared" si="607"/>
        <v>0</v>
      </c>
      <c r="AM1378" s="49"/>
      <c r="AN1378" s="41">
        <f t="shared" si="626"/>
        <v>0</v>
      </c>
      <c r="AO1378" s="39"/>
      <c r="AP1378" s="41">
        <f t="shared" si="608"/>
        <v>0</v>
      </c>
      <c r="AQ1378" s="49"/>
      <c r="AR1378" s="41">
        <f t="shared" si="627"/>
        <v>0</v>
      </c>
      <c r="AS1378" s="39"/>
      <c r="AT1378" s="41">
        <f t="shared" si="609"/>
        <v>0</v>
      </c>
      <c r="AU1378" s="49"/>
      <c r="AV1378" s="41">
        <f t="shared" si="628"/>
        <v>0</v>
      </c>
      <c r="AW1378" s="39"/>
      <c r="AX1378" s="41">
        <f t="shared" si="610"/>
        <v>0</v>
      </c>
      <c r="AY1378" s="49"/>
      <c r="AZ1378" s="41">
        <f t="shared" si="629"/>
        <v>0</v>
      </c>
      <c r="BA1378" s="39"/>
      <c r="BB1378" s="41">
        <f t="shared" si="611"/>
        <v>0</v>
      </c>
      <c r="BC1378" s="49"/>
      <c r="BD1378" s="41">
        <f t="shared" si="630"/>
        <v>0</v>
      </c>
      <c r="BE1378" s="39"/>
      <c r="BF1378" s="49"/>
    </row>
    <row r="1379" spans="1:58" ht="15.75" customHeight="1" x14ac:dyDescent="0.25">
      <c r="A1379" s="44">
        <v>2015</v>
      </c>
      <c r="B1379" s="39">
        <v>172065</v>
      </c>
      <c r="C1379" s="38" t="s">
        <v>151</v>
      </c>
      <c r="D1379" s="38" t="s">
        <v>131</v>
      </c>
      <c r="E1379" s="39"/>
      <c r="F1379" s="42">
        <f t="shared" si="612"/>
        <v>0</v>
      </c>
      <c r="G1379" s="49"/>
      <c r="H1379" s="42">
        <f t="shared" si="613"/>
        <v>0</v>
      </c>
      <c r="I1379" s="39"/>
      <c r="J1379" s="41">
        <f t="shared" si="614"/>
        <v>0</v>
      </c>
      <c r="K1379" s="49"/>
      <c r="L1379" s="41">
        <f t="shared" si="615"/>
        <v>0</v>
      </c>
      <c r="M1379" s="39"/>
      <c r="N1379" s="41">
        <f t="shared" si="616"/>
        <v>0</v>
      </c>
      <c r="O1379" s="49"/>
      <c r="P1379" s="41">
        <f t="shared" si="617"/>
        <v>0</v>
      </c>
      <c r="Q1379" s="39"/>
      <c r="R1379" s="41">
        <f t="shared" si="618"/>
        <v>0</v>
      </c>
      <c r="S1379" s="49"/>
      <c r="T1379" s="41">
        <f t="shared" si="619"/>
        <v>0</v>
      </c>
      <c r="U1379" s="39"/>
      <c r="V1379" s="41">
        <f t="shared" si="620"/>
        <v>0</v>
      </c>
      <c r="W1379" s="49"/>
      <c r="X1379" s="41">
        <f t="shared" si="621"/>
        <v>0</v>
      </c>
      <c r="Y1379" s="39"/>
      <c r="Z1379" s="41">
        <f t="shared" si="622"/>
        <v>0</v>
      </c>
      <c r="AA1379" s="49"/>
      <c r="AB1379" s="41">
        <f t="shared" si="623"/>
        <v>0</v>
      </c>
      <c r="AC1379" s="39"/>
      <c r="AD1379" s="41">
        <f t="shared" si="605"/>
        <v>0</v>
      </c>
      <c r="AE1379" s="49"/>
      <c r="AF1379" s="41">
        <f t="shared" si="624"/>
        <v>0</v>
      </c>
      <c r="AG1379" s="39"/>
      <c r="AH1379" s="41">
        <f t="shared" si="606"/>
        <v>0</v>
      </c>
      <c r="AI1379" s="49"/>
      <c r="AJ1379" s="41">
        <f t="shared" si="625"/>
        <v>0</v>
      </c>
      <c r="AK1379" s="39"/>
      <c r="AL1379" s="41">
        <f t="shared" si="607"/>
        <v>0</v>
      </c>
      <c r="AM1379" s="49"/>
      <c r="AN1379" s="41">
        <f t="shared" si="626"/>
        <v>0</v>
      </c>
      <c r="AO1379" s="39"/>
      <c r="AP1379" s="41">
        <f t="shared" si="608"/>
        <v>0</v>
      </c>
      <c r="AQ1379" s="49"/>
      <c r="AR1379" s="41">
        <f t="shared" si="627"/>
        <v>0</v>
      </c>
      <c r="AS1379" s="39"/>
      <c r="AT1379" s="41">
        <f t="shared" si="609"/>
        <v>0</v>
      </c>
      <c r="AU1379" s="49"/>
      <c r="AV1379" s="41">
        <f t="shared" si="628"/>
        <v>0</v>
      </c>
      <c r="AW1379" s="39"/>
      <c r="AX1379" s="41">
        <f t="shared" si="610"/>
        <v>0</v>
      </c>
      <c r="AY1379" s="49"/>
      <c r="AZ1379" s="41">
        <f t="shared" si="629"/>
        <v>0</v>
      </c>
      <c r="BA1379" s="39"/>
      <c r="BB1379" s="41">
        <f t="shared" si="611"/>
        <v>0</v>
      </c>
      <c r="BC1379" s="49"/>
      <c r="BD1379" s="41">
        <f t="shared" si="630"/>
        <v>0</v>
      </c>
      <c r="BE1379" s="39"/>
      <c r="BF1379" s="49"/>
    </row>
    <row r="1380" spans="1:58" ht="15.75" customHeight="1" x14ac:dyDescent="0.25">
      <c r="A1380" s="44">
        <v>2015</v>
      </c>
      <c r="B1380" s="39">
        <v>172080</v>
      </c>
      <c r="C1380" s="38" t="s">
        <v>145</v>
      </c>
      <c r="D1380" s="38" t="s">
        <v>132</v>
      </c>
      <c r="E1380" s="39"/>
      <c r="F1380" s="42">
        <f t="shared" si="612"/>
        <v>0</v>
      </c>
      <c r="G1380" s="49"/>
      <c r="H1380" s="42">
        <f t="shared" si="613"/>
        <v>0</v>
      </c>
      <c r="I1380" s="39"/>
      <c r="J1380" s="41">
        <f t="shared" si="614"/>
        <v>0</v>
      </c>
      <c r="K1380" s="49"/>
      <c r="L1380" s="41">
        <f t="shared" si="615"/>
        <v>0</v>
      </c>
      <c r="M1380" s="39"/>
      <c r="N1380" s="41">
        <f t="shared" si="616"/>
        <v>0</v>
      </c>
      <c r="O1380" s="49"/>
      <c r="P1380" s="41">
        <f t="shared" si="617"/>
        <v>0</v>
      </c>
      <c r="Q1380" s="39"/>
      <c r="R1380" s="41">
        <f t="shared" si="618"/>
        <v>0</v>
      </c>
      <c r="S1380" s="49"/>
      <c r="T1380" s="41">
        <f t="shared" si="619"/>
        <v>0</v>
      </c>
      <c r="U1380" s="39"/>
      <c r="V1380" s="41">
        <f t="shared" si="620"/>
        <v>0</v>
      </c>
      <c r="W1380" s="49"/>
      <c r="X1380" s="41">
        <f t="shared" si="621"/>
        <v>0</v>
      </c>
      <c r="Y1380" s="39"/>
      <c r="Z1380" s="41">
        <f t="shared" si="622"/>
        <v>0</v>
      </c>
      <c r="AA1380" s="49"/>
      <c r="AB1380" s="41">
        <f t="shared" si="623"/>
        <v>0</v>
      </c>
      <c r="AC1380" s="39"/>
      <c r="AD1380" s="41">
        <f t="shared" si="605"/>
        <v>0</v>
      </c>
      <c r="AE1380" s="49"/>
      <c r="AF1380" s="41">
        <f t="shared" si="624"/>
        <v>0</v>
      </c>
      <c r="AG1380" s="39"/>
      <c r="AH1380" s="41">
        <f t="shared" si="606"/>
        <v>0</v>
      </c>
      <c r="AI1380" s="49"/>
      <c r="AJ1380" s="41">
        <f t="shared" si="625"/>
        <v>0</v>
      </c>
      <c r="AK1380" s="39"/>
      <c r="AL1380" s="41">
        <f t="shared" si="607"/>
        <v>0</v>
      </c>
      <c r="AM1380" s="49"/>
      <c r="AN1380" s="41">
        <f t="shared" si="626"/>
        <v>0</v>
      </c>
      <c r="AO1380" s="39"/>
      <c r="AP1380" s="41">
        <f t="shared" si="608"/>
        <v>0</v>
      </c>
      <c r="AQ1380" s="49"/>
      <c r="AR1380" s="41">
        <f t="shared" si="627"/>
        <v>0</v>
      </c>
      <c r="AS1380" s="39"/>
      <c r="AT1380" s="41">
        <f t="shared" si="609"/>
        <v>0</v>
      </c>
      <c r="AU1380" s="49"/>
      <c r="AV1380" s="41">
        <f t="shared" si="628"/>
        <v>0</v>
      </c>
      <c r="AW1380" s="39"/>
      <c r="AX1380" s="41">
        <f t="shared" si="610"/>
        <v>0</v>
      </c>
      <c r="AY1380" s="49"/>
      <c r="AZ1380" s="41">
        <f t="shared" si="629"/>
        <v>0</v>
      </c>
      <c r="BA1380" s="39"/>
      <c r="BB1380" s="41">
        <f t="shared" si="611"/>
        <v>0</v>
      </c>
      <c r="BC1380" s="49"/>
      <c r="BD1380" s="41">
        <f t="shared" si="630"/>
        <v>0</v>
      </c>
      <c r="BE1380" s="39"/>
      <c r="BF1380" s="49"/>
    </row>
    <row r="1381" spans="1:58" ht="15.75" customHeight="1" x14ac:dyDescent="0.25">
      <c r="A1381" s="44">
        <v>2015</v>
      </c>
      <c r="B1381" s="39">
        <v>172085</v>
      </c>
      <c r="C1381" s="38" t="s">
        <v>146</v>
      </c>
      <c r="D1381" s="38" t="s">
        <v>133</v>
      </c>
      <c r="E1381" s="39"/>
      <c r="F1381" s="42">
        <f t="shared" si="612"/>
        <v>0</v>
      </c>
      <c r="G1381" s="49"/>
      <c r="H1381" s="42">
        <f t="shared" si="613"/>
        <v>0</v>
      </c>
      <c r="I1381" s="39"/>
      <c r="J1381" s="41">
        <f t="shared" si="614"/>
        <v>0</v>
      </c>
      <c r="K1381" s="49"/>
      <c r="L1381" s="41">
        <f t="shared" si="615"/>
        <v>0</v>
      </c>
      <c r="M1381" s="39"/>
      <c r="N1381" s="41">
        <f t="shared" si="616"/>
        <v>0</v>
      </c>
      <c r="O1381" s="49"/>
      <c r="P1381" s="41">
        <f t="shared" si="617"/>
        <v>0</v>
      </c>
      <c r="Q1381" s="39"/>
      <c r="R1381" s="41">
        <f t="shared" si="618"/>
        <v>0</v>
      </c>
      <c r="S1381" s="49"/>
      <c r="T1381" s="41">
        <f t="shared" si="619"/>
        <v>0</v>
      </c>
      <c r="U1381" s="39"/>
      <c r="V1381" s="41">
        <f t="shared" si="620"/>
        <v>0</v>
      </c>
      <c r="W1381" s="49"/>
      <c r="X1381" s="41">
        <f t="shared" si="621"/>
        <v>0</v>
      </c>
      <c r="Y1381" s="39"/>
      <c r="Z1381" s="41">
        <f t="shared" si="622"/>
        <v>0</v>
      </c>
      <c r="AA1381" s="49"/>
      <c r="AB1381" s="41">
        <f t="shared" si="623"/>
        <v>0</v>
      </c>
      <c r="AC1381" s="39"/>
      <c r="AD1381" s="41">
        <f t="shared" si="605"/>
        <v>0</v>
      </c>
      <c r="AE1381" s="49"/>
      <c r="AF1381" s="41">
        <f t="shared" si="624"/>
        <v>0</v>
      </c>
      <c r="AG1381" s="39"/>
      <c r="AH1381" s="41">
        <f t="shared" si="606"/>
        <v>0</v>
      </c>
      <c r="AI1381" s="49"/>
      <c r="AJ1381" s="41">
        <f t="shared" si="625"/>
        <v>0</v>
      </c>
      <c r="AK1381" s="39"/>
      <c r="AL1381" s="41">
        <f t="shared" si="607"/>
        <v>0</v>
      </c>
      <c r="AM1381" s="49"/>
      <c r="AN1381" s="41">
        <f t="shared" si="626"/>
        <v>0</v>
      </c>
      <c r="AO1381" s="39"/>
      <c r="AP1381" s="41">
        <f t="shared" si="608"/>
        <v>0</v>
      </c>
      <c r="AQ1381" s="49"/>
      <c r="AR1381" s="41">
        <f t="shared" si="627"/>
        <v>0</v>
      </c>
      <c r="AS1381" s="39"/>
      <c r="AT1381" s="41">
        <f t="shared" si="609"/>
        <v>0</v>
      </c>
      <c r="AU1381" s="49"/>
      <c r="AV1381" s="41">
        <f t="shared" si="628"/>
        <v>0</v>
      </c>
      <c r="AW1381" s="39"/>
      <c r="AX1381" s="41">
        <f t="shared" si="610"/>
        <v>0</v>
      </c>
      <c r="AY1381" s="49"/>
      <c r="AZ1381" s="41">
        <f t="shared" si="629"/>
        <v>0</v>
      </c>
      <c r="BA1381" s="39"/>
      <c r="BB1381" s="41">
        <f t="shared" si="611"/>
        <v>0</v>
      </c>
      <c r="BC1381" s="49"/>
      <c r="BD1381" s="41">
        <f t="shared" si="630"/>
        <v>0</v>
      </c>
      <c r="BE1381" s="39"/>
      <c r="BF1381" s="49"/>
    </row>
    <row r="1382" spans="1:58" ht="15.75" customHeight="1" x14ac:dyDescent="0.25">
      <c r="A1382" s="44">
        <v>2015</v>
      </c>
      <c r="B1382" s="39">
        <v>170825</v>
      </c>
      <c r="C1382" s="38" t="s">
        <v>148</v>
      </c>
      <c r="D1382" s="38" t="s">
        <v>134</v>
      </c>
      <c r="E1382" s="39"/>
      <c r="F1382" s="42">
        <f t="shared" si="612"/>
        <v>0</v>
      </c>
      <c r="G1382" s="49"/>
      <c r="H1382" s="42">
        <f t="shared" si="613"/>
        <v>0</v>
      </c>
      <c r="I1382" s="39"/>
      <c r="J1382" s="41">
        <f t="shared" si="614"/>
        <v>0</v>
      </c>
      <c r="K1382" s="49"/>
      <c r="L1382" s="41">
        <f t="shared" si="615"/>
        <v>0</v>
      </c>
      <c r="M1382" s="39"/>
      <c r="N1382" s="41">
        <f t="shared" si="616"/>
        <v>0</v>
      </c>
      <c r="O1382" s="49"/>
      <c r="P1382" s="41">
        <f t="shared" si="617"/>
        <v>0</v>
      </c>
      <c r="Q1382" s="39"/>
      <c r="R1382" s="41">
        <f t="shared" si="618"/>
        <v>0</v>
      </c>
      <c r="S1382" s="49"/>
      <c r="T1382" s="41">
        <f t="shared" si="619"/>
        <v>0</v>
      </c>
      <c r="U1382" s="39"/>
      <c r="V1382" s="41">
        <f t="shared" si="620"/>
        <v>0</v>
      </c>
      <c r="W1382" s="49"/>
      <c r="X1382" s="41">
        <f t="shared" si="621"/>
        <v>0</v>
      </c>
      <c r="Y1382" s="39"/>
      <c r="Z1382" s="41">
        <f t="shared" si="622"/>
        <v>0</v>
      </c>
      <c r="AA1382" s="49"/>
      <c r="AB1382" s="41">
        <f t="shared" si="623"/>
        <v>0</v>
      </c>
      <c r="AC1382" s="39"/>
      <c r="AD1382" s="41">
        <f t="shared" si="605"/>
        <v>0</v>
      </c>
      <c r="AE1382" s="49"/>
      <c r="AF1382" s="41">
        <f t="shared" si="624"/>
        <v>0</v>
      </c>
      <c r="AG1382" s="39"/>
      <c r="AH1382" s="41">
        <f t="shared" si="606"/>
        <v>0</v>
      </c>
      <c r="AI1382" s="49"/>
      <c r="AJ1382" s="41">
        <f t="shared" si="625"/>
        <v>0</v>
      </c>
      <c r="AK1382" s="39"/>
      <c r="AL1382" s="41">
        <f t="shared" si="607"/>
        <v>0</v>
      </c>
      <c r="AM1382" s="49"/>
      <c r="AN1382" s="41">
        <f t="shared" si="626"/>
        <v>0</v>
      </c>
      <c r="AO1382" s="39"/>
      <c r="AP1382" s="41">
        <f t="shared" si="608"/>
        <v>0</v>
      </c>
      <c r="AQ1382" s="49"/>
      <c r="AR1382" s="41">
        <f t="shared" si="627"/>
        <v>0</v>
      </c>
      <c r="AS1382" s="39"/>
      <c r="AT1382" s="41">
        <f t="shared" si="609"/>
        <v>0</v>
      </c>
      <c r="AU1382" s="49"/>
      <c r="AV1382" s="41">
        <f t="shared" si="628"/>
        <v>0</v>
      </c>
      <c r="AW1382" s="39"/>
      <c r="AX1382" s="41">
        <f t="shared" si="610"/>
        <v>0</v>
      </c>
      <c r="AY1382" s="49"/>
      <c r="AZ1382" s="41">
        <f t="shared" si="629"/>
        <v>0</v>
      </c>
      <c r="BA1382" s="39"/>
      <c r="BB1382" s="41">
        <f t="shared" si="611"/>
        <v>0</v>
      </c>
      <c r="BC1382" s="49"/>
      <c r="BD1382" s="41">
        <f t="shared" si="630"/>
        <v>0</v>
      </c>
      <c r="BE1382" s="39"/>
      <c r="BF1382" s="49"/>
    </row>
    <row r="1383" spans="1:58" ht="15.75" customHeight="1" x14ac:dyDescent="0.25">
      <c r="A1383" s="44">
        <v>2015</v>
      </c>
      <c r="B1383" s="39">
        <v>172090</v>
      </c>
      <c r="C1383" s="38" t="s">
        <v>147</v>
      </c>
      <c r="D1383" s="38" t="s">
        <v>135</v>
      </c>
      <c r="E1383" s="39"/>
      <c r="F1383" s="42">
        <f t="shared" si="612"/>
        <v>0</v>
      </c>
      <c r="G1383" s="49"/>
      <c r="H1383" s="42">
        <f t="shared" si="613"/>
        <v>0</v>
      </c>
      <c r="I1383" s="39"/>
      <c r="J1383" s="41">
        <f t="shared" si="614"/>
        <v>0</v>
      </c>
      <c r="K1383" s="49"/>
      <c r="L1383" s="41">
        <f t="shared" si="615"/>
        <v>0</v>
      </c>
      <c r="M1383" s="39"/>
      <c r="N1383" s="41">
        <f t="shared" si="616"/>
        <v>0</v>
      </c>
      <c r="O1383" s="49"/>
      <c r="P1383" s="41">
        <f t="shared" si="617"/>
        <v>0</v>
      </c>
      <c r="Q1383" s="39"/>
      <c r="R1383" s="41">
        <f t="shared" si="618"/>
        <v>0</v>
      </c>
      <c r="S1383" s="49"/>
      <c r="T1383" s="41">
        <f t="shared" si="619"/>
        <v>0</v>
      </c>
      <c r="U1383" s="39"/>
      <c r="V1383" s="41">
        <f t="shared" si="620"/>
        <v>0</v>
      </c>
      <c r="W1383" s="49"/>
      <c r="X1383" s="41">
        <f t="shared" si="621"/>
        <v>0</v>
      </c>
      <c r="Y1383" s="39"/>
      <c r="Z1383" s="41">
        <f t="shared" si="622"/>
        <v>0</v>
      </c>
      <c r="AA1383" s="49"/>
      <c r="AB1383" s="41">
        <f t="shared" si="623"/>
        <v>0</v>
      </c>
      <c r="AC1383" s="39"/>
      <c r="AD1383" s="41">
        <f t="shared" si="605"/>
        <v>0</v>
      </c>
      <c r="AE1383" s="49"/>
      <c r="AF1383" s="41">
        <f t="shared" si="624"/>
        <v>0</v>
      </c>
      <c r="AG1383" s="39"/>
      <c r="AH1383" s="41">
        <f t="shared" si="606"/>
        <v>0</v>
      </c>
      <c r="AI1383" s="49"/>
      <c r="AJ1383" s="41">
        <f t="shared" si="625"/>
        <v>0</v>
      </c>
      <c r="AK1383" s="39"/>
      <c r="AL1383" s="41">
        <f t="shared" si="607"/>
        <v>0</v>
      </c>
      <c r="AM1383" s="49"/>
      <c r="AN1383" s="41">
        <f t="shared" si="626"/>
        <v>0</v>
      </c>
      <c r="AO1383" s="39"/>
      <c r="AP1383" s="41">
        <f t="shared" si="608"/>
        <v>0</v>
      </c>
      <c r="AQ1383" s="49"/>
      <c r="AR1383" s="41">
        <f t="shared" si="627"/>
        <v>0</v>
      </c>
      <c r="AS1383" s="39"/>
      <c r="AT1383" s="41">
        <f t="shared" si="609"/>
        <v>0</v>
      </c>
      <c r="AU1383" s="49"/>
      <c r="AV1383" s="41">
        <f t="shared" si="628"/>
        <v>0</v>
      </c>
      <c r="AW1383" s="39"/>
      <c r="AX1383" s="41">
        <f t="shared" si="610"/>
        <v>0</v>
      </c>
      <c r="AY1383" s="49"/>
      <c r="AZ1383" s="41">
        <f t="shared" si="629"/>
        <v>0</v>
      </c>
      <c r="BA1383" s="39"/>
      <c r="BB1383" s="41">
        <f t="shared" si="611"/>
        <v>0</v>
      </c>
      <c r="BC1383" s="49"/>
      <c r="BD1383" s="41">
        <f t="shared" si="630"/>
        <v>0</v>
      </c>
      <c r="BE1383" s="39"/>
      <c r="BF1383" s="49"/>
    </row>
    <row r="1384" spans="1:58" ht="15.75" customHeight="1" x14ac:dyDescent="0.25">
      <c r="A1384" s="44">
        <v>2015</v>
      </c>
      <c r="B1384" s="39">
        <v>172093</v>
      </c>
      <c r="C1384" s="38" t="s">
        <v>147</v>
      </c>
      <c r="D1384" s="38" t="s">
        <v>136</v>
      </c>
      <c r="E1384" s="39"/>
      <c r="F1384" s="42">
        <f t="shared" si="612"/>
        <v>0</v>
      </c>
      <c r="G1384" s="49"/>
      <c r="H1384" s="42">
        <f t="shared" si="613"/>
        <v>0</v>
      </c>
      <c r="I1384" s="39"/>
      <c r="J1384" s="41">
        <f t="shared" si="614"/>
        <v>0</v>
      </c>
      <c r="K1384" s="49"/>
      <c r="L1384" s="41">
        <f t="shared" si="615"/>
        <v>0</v>
      </c>
      <c r="M1384" s="39"/>
      <c r="N1384" s="41">
        <f t="shared" si="616"/>
        <v>0</v>
      </c>
      <c r="O1384" s="49"/>
      <c r="P1384" s="41">
        <f t="shared" si="617"/>
        <v>0</v>
      </c>
      <c r="Q1384" s="39"/>
      <c r="R1384" s="41">
        <f t="shared" si="618"/>
        <v>0</v>
      </c>
      <c r="S1384" s="49"/>
      <c r="T1384" s="41">
        <f t="shared" si="619"/>
        <v>0</v>
      </c>
      <c r="U1384" s="39"/>
      <c r="V1384" s="41">
        <f t="shared" si="620"/>
        <v>0</v>
      </c>
      <c r="W1384" s="49"/>
      <c r="X1384" s="41">
        <f t="shared" si="621"/>
        <v>0</v>
      </c>
      <c r="Y1384" s="39"/>
      <c r="Z1384" s="41">
        <f t="shared" si="622"/>
        <v>0</v>
      </c>
      <c r="AA1384" s="49"/>
      <c r="AB1384" s="41">
        <f t="shared" si="623"/>
        <v>0</v>
      </c>
      <c r="AC1384" s="39"/>
      <c r="AD1384" s="41">
        <f t="shared" ref="AD1384:AD1391" si="631">IFERROR(AC1384/$BE1384,0)</f>
        <v>0</v>
      </c>
      <c r="AE1384" s="49"/>
      <c r="AF1384" s="41">
        <f t="shared" si="624"/>
        <v>0</v>
      </c>
      <c r="AG1384" s="39"/>
      <c r="AH1384" s="41">
        <f t="shared" ref="AH1384:AH1391" si="632">IFERROR(AG1384/$BE1384,0)</f>
        <v>0</v>
      </c>
      <c r="AI1384" s="49"/>
      <c r="AJ1384" s="41">
        <f t="shared" si="625"/>
        <v>0</v>
      </c>
      <c r="AK1384" s="39"/>
      <c r="AL1384" s="41">
        <f t="shared" ref="AL1384:AL1391" si="633">IFERROR(AK1384/$BE1384,0)</f>
        <v>0</v>
      </c>
      <c r="AM1384" s="49"/>
      <c r="AN1384" s="41">
        <f t="shared" si="626"/>
        <v>0</v>
      </c>
      <c r="AO1384" s="39"/>
      <c r="AP1384" s="41">
        <f t="shared" ref="AP1384:AP1391" si="634">IFERROR(AO1384/$BE1384,0)</f>
        <v>0</v>
      </c>
      <c r="AQ1384" s="49"/>
      <c r="AR1384" s="41">
        <f t="shared" si="627"/>
        <v>0</v>
      </c>
      <c r="AS1384" s="39"/>
      <c r="AT1384" s="41">
        <f t="shared" ref="AT1384:AT1391" si="635">IFERROR(AS1384/$BE1384,0)</f>
        <v>0</v>
      </c>
      <c r="AU1384" s="49"/>
      <c r="AV1384" s="41">
        <f t="shared" si="628"/>
        <v>0</v>
      </c>
      <c r="AW1384" s="39"/>
      <c r="AX1384" s="41">
        <f t="shared" ref="AX1384:AX1391" si="636">IFERROR(AW1384/$BE1384,0)</f>
        <v>0</v>
      </c>
      <c r="AY1384" s="49"/>
      <c r="AZ1384" s="41">
        <f t="shared" si="629"/>
        <v>0</v>
      </c>
      <c r="BA1384" s="39"/>
      <c r="BB1384" s="41">
        <f t="shared" ref="BB1384:BB1391" si="637">IFERROR(BA1384/$BE1384,0)</f>
        <v>0</v>
      </c>
      <c r="BC1384" s="49"/>
      <c r="BD1384" s="41">
        <f t="shared" si="630"/>
        <v>0</v>
      </c>
      <c r="BE1384" s="39"/>
      <c r="BF1384" s="49"/>
    </row>
    <row r="1385" spans="1:58" ht="15.75" customHeight="1" x14ac:dyDescent="0.25">
      <c r="A1385" s="44">
        <v>2015</v>
      </c>
      <c r="B1385" s="39">
        <v>172097</v>
      </c>
      <c r="C1385" s="38" t="s">
        <v>146</v>
      </c>
      <c r="D1385" s="38" t="s">
        <v>137</v>
      </c>
      <c r="E1385" s="39"/>
      <c r="F1385" s="42">
        <f t="shared" si="612"/>
        <v>0</v>
      </c>
      <c r="G1385" s="49"/>
      <c r="H1385" s="42">
        <f t="shared" si="613"/>
        <v>0</v>
      </c>
      <c r="I1385" s="39"/>
      <c r="J1385" s="41">
        <f t="shared" si="614"/>
        <v>0</v>
      </c>
      <c r="K1385" s="49"/>
      <c r="L1385" s="41">
        <f t="shared" si="615"/>
        <v>0</v>
      </c>
      <c r="M1385" s="39"/>
      <c r="N1385" s="41">
        <f t="shared" si="616"/>
        <v>0</v>
      </c>
      <c r="O1385" s="49"/>
      <c r="P1385" s="41">
        <f t="shared" si="617"/>
        <v>0</v>
      </c>
      <c r="Q1385" s="39"/>
      <c r="R1385" s="41">
        <f t="shared" si="618"/>
        <v>0</v>
      </c>
      <c r="S1385" s="49"/>
      <c r="T1385" s="41">
        <f t="shared" si="619"/>
        <v>0</v>
      </c>
      <c r="U1385" s="39"/>
      <c r="V1385" s="41">
        <f t="shared" si="620"/>
        <v>0</v>
      </c>
      <c r="W1385" s="49"/>
      <c r="X1385" s="41">
        <f t="shared" si="621"/>
        <v>0</v>
      </c>
      <c r="Y1385" s="39"/>
      <c r="Z1385" s="41">
        <f t="shared" si="622"/>
        <v>0</v>
      </c>
      <c r="AA1385" s="49"/>
      <c r="AB1385" s="41">
        <f t="shared" si="623"/>
        <v>0</v>
      </c>
      <c r="AC1385" s="39"/>
      <c r="AD1385" s="41">
        <f t="shared" si="631"/>
        <v>0</v>
      </c>
      <c r="AE1385" s="49"/>
      <c r="AF1385" s="41">
        <f t="shared" si="624"/>
        <v>0</v>
      </c>
      <c r="AG1385" s="39"/>
      <c r="AH1385" s="41">
        <f t="shared" si="632"/>
        <v>0</v>
      </c>
      <c r="AI1385" s="49"/>
      <c r="AJ1385" s="41">
        <f t="shared" si="625"/>
        <v>0</v>
      </c>
      <c r="AK1385" s="39"/>
      <c r="AL1385" s="41">
        <f t="shared" si="633"/>
        <v>0</v>
      </c>
      <c r="AM1385" s="49"/>
      <c r="AN1385" s="41">
        <f t="shared" si="626"/>
        <v>0</v>
      </c>
      <c r="AO1385" s="39"/>
      <c r="AP1385" s="41">
        <f t="shared" si="634"/>
        <v>0</v>
      </c>
      <c r="AQ1385" s="49"/>
      <c r="AR1385" s="41">
        <f t="shared" si="627"/>
        <v>0</v>
      </c>
      <c r="AS1385" s="39"/>
      <c r="AT1385" s="41">
        <f t="shared" si="635"/>
        <v>0</v>
      </c>
      <c r="AU1385" s="49"/>
      <c r="AV1385" s="41">
        <f t="shared" si="628"/>
        <v>0</v>
      </c>
      <c r="AW1385" s="39"/>
      <c r="AX1385" s="41">
        <f t="shared" si="636"/>
        <v>0</v>
      </c>
      <c r="AY1385" s="49"/>
      <c r="AZ1385" s="41">
        <f t="shared" si="629"/>
        <v>0</v>
      </c>
      <c r="BA1385" s="39"/>
      <c r="BB1385" s="41">
        <f t="shared" si="637"/>
        <v>0</v>
      </c>
      <c r="BC1385" s="49"/>
      <c r="BD1385" s="41">
        <f t="shared" si="630"/>
        <v>0</v>
      </c>
      <c r="BE1385" s="39"/>
      <c r="BF1385" s="49"/>
    </row>
    <row r="1386" spans="1:58" ht="15.75" customHeight="1" x14ac:dyDescent="0.25">
      <c r="A1386" s="44">
        <v>2015</v>
      </c>
      <c r="B1386" s="39">
        <v>172110</v>
      </c>
      <c r="C1386" s="38" t="s">
        <v>148</v>
      </c>
      <c r="D1386" s="38" t="s">
        <v>138</v>
      </c>
      <c r="E1386" s="39"/>
      <c r="F1386" s="42">
        <f t="shared" si="612"/>
        <v>0</v>
      </c>
      <c r="G1386" s="49"/>
      <c r="H1386" s="42">
        <f t="shared" si="613"/>
        <v>0</v>
      </c>
      <c r="I1386" s="39"/>
      <c r="J1386" s="41">
        <f t="shared" si="614"/>
        <v>0</v>
      </c>
      <c r="K1386" s="49"/>
      <c r="L1386" s="41">
        <f t="shared" si="615"/>
        <v>0</v>
      </c>
      <c r="M1386" s="39"/>
      <c r="N1386" s="41">
        <f t="shared" si="616"/>
        <v>0</v>
      </c>
      <c r="O1386" s="49"/>
      <c r="P1386" s="41">
        <f t="shared" si="617"/>
        <v>0</v>
      </c>
      <c r="Q1386" s="39"/>
      <c r="R1386" s="41">
        <f t="shared" si="618"/>
        <v>0</v>
      </c>
      <c r="S1386" s="49"/>
      <c r="T1386" s="41">
        <f t="shared" si="619"/>
        <v>0</v>
      </c>
      <c r="U1386" s="39"/>
      <c r="V1386" s="41">
        <f t="shared" si="620"/>
        <v>0</v>
      </c>
      <c r="W1386" s="49"/>
      <c r="X1386" s="41">
        <f t="shared" si="621"/>
        <v>0</v>
      </c>
      <c r="Y1386" s="39"/>
      <c r="Z1386" s="41">
        <f t="shared" si="622"/>
        <v>0</v>
      </c>
      <c r="AA1386" s="49"/>
      <c r="AB1386" s="41">
        <f t="shared" si="623"/>
        <v>0</v>
      </c>
      <c r="AC1386" s="39"/>
      <c r="AD1386" s="41">
        <f t="shared" si="631"/>
        <v>0</v>
      </c>
      <c r="AE1386" s="49"/>
      <c r="AF1386" s="41">
        <f t="shared" si="624"/>
        <v>0</v>
      </c>
      <c r="AG1386" s="39"/>
      <c r="AH1386" s="41">
        <f t="shared" si="632"/>
        <v>0</v>
      </c>
      <c r="AI1386" s="49"/>
      <c r="AJ1386" s="41">
        <f t="shared" si="625"/>
        <v>0</v>
      </c>
      <c r="AK1386" s="39"/>
      <c r="AL1386" s="41">
        <f t="shared" si="633"/>
        <v>0</v>
      </c>
      <c r="AM1386" s="49"/>
      <c r="AN1386" s="41">
        <f t="shared" si="626"/>
        <v>0</v>
      </c>
      <c r="AO1386" s="39"/>
      <c r="AP1386" s="41">
        <f t="shared" si="634"/>
        <v>0</v>
      </c>
      <c r="AQ1386" s="49"/>
      <c r="AR1386" s="41">
        <f t="shared" si="627"/>
        <v>0</v>
      </c>
      <c r="AS1386" s="39"/>
      <c r="AT1386" s="41">
        <f t="shared" si="635"/>
        <v>0</v>
      </c>
      <c r="AU1386" s="49"/>
      <c r="AV1386" s="41">
        <f t="shared" si="628"/>
        <v>0</v>
      </c>
      <c r="AW1386" s="39"/>
      <c r="AX1386" s="41">
        <f t="shared" si="636"/>
        <v>0</v>
      </c>
      <c r="AY1386" s="49"/>
      <c r="AZ1386" s="41">
        <f t="shared" si="629"/>
        <v>0</v>
      </c>
      <c r="BA1386" s="39"/>
      <c r="BB1386" s="41">
        <f t="shared" si="637"/>
        <v>0</v>
      </c>
      <c r="BC1386" s="49"/>
      <c r="BD1386" s="41">
        <f t="shared" si="630"/>
        <v>0</v>
      </c>
      <c r="BE1386" s="39"/>
      <c r="BF1386" s="49"/>
    </row>
    <row r="1387" spans="1:58" ht="15.75" customHeight="1" x14ac:dyDescent="0.25">
      <c r="A1387" s="44">
        <v>2015</v>
      </c>
      <c r="B1387" s="39">
        <v>172120</v>
      </c>
      <c r="C1387" s="38" t="s">
        <v>145</v>
      </c>
      <c r="D1387" s="38" t="s">
        <v>139</v>
      </c>
      <c r="E1387" s="39"/>
      <c r="F1387" s="42">
        <f t="shared" si="612"/>
        <v>0</v>
      </c>
      <c r="G1387" s="49"/>
      <c r="H1387" s="42">
        <f t="shared" si="613"/>
        <v>0</v>
      </c>
      <c r="I1387" s="39"/>
      <c r="J1387" s="41">
        <f t="shared" si="614"/>
        <v>0</v>
      </c>
      <c r="K1387" s="49"/>
      <c r="L1387" s="41">
        <f t="shared" si="615"/>
        <v>0</v>
      </c>
      <c r="M1387" s="39"/>
      <c r="N1387" s="41">
        <f t="shared" si="616"/>
        <v>0</v>
      </c>
      <c r="O1387" s="49"/>
      <c r="P1387" s="41">
        <f t="shared" si="617"/>
        <v>0</v>
      </c>
      <c r="Q1387" s="39"/>
      <c r="R1387" s="41">
        <f t="shared" si="618"/>
        <v>0</v>
      </c>
      <c r="S1387" s="49"/>
      <c r="T1387" s="41">
        <f t="shared" si="619"/>
        <v>0</v>
      </c>
      <c r="U1387" s="39"/>
      <c r="V1387" s="41">
        <f t="shared" si="620"/>
        <v>0</v>
      </c>
      <c r="W1387" s="49"/>
      <c r="X1387" s="41">
        <f t="shared" si="621"/>
        <v>0</v>
      </c>
      <c r="Y1387" s="39"/>
      <c r="Z1387" s="41">
        <f t="shared" si="622"/>
        <v>0</v>
      </c>
      <c r="AA1387" s="49"/>
      <c r="AB1387" s="41">
        <f t="shared" si="623"/>
        <v>0</v>
      </c>
      <c r="AC1387" s="39"/>
      <c r="AD1387" s="41">
        <f t="shared" si="631"/>
        <v>0</v>
      </c>
      <c r="AE1387" s="49"/>
      <c r="AF1387" s="41">
        <f t="shared" si="624"/>
        <v>0</v>
      </c>
      <c r="AG1387" s="39"/>
      <c r="AH1387" s="41">
        <f t="shared" si="632"/>
        <v>0</v>
      </c>
      <c r="AI1387" s="49"/>
      <c r="AJ1387" s="41">
        <f t="shared" si="625"/>
        <v>0</v>
      </c>
      <c r="AK1387" s="39"/>
      <c r="AL1387" s="41">
        <f t="shared" si="633"/>
        <v>0</v>
      </c>
      <c r="AM1387" s="49"/>
      <c r="AN1387" s="41">
        <f t="shared" si="626"/>
        <v>0</v>
      </c>
      <c r="AO1387" s="39"/>
      <c r="AP1387" s="41">
        <f t="shared" si="634"/>
        <v>0</v>
      </c>
      <c r="AQ1387" s="49"/>
      <c r="AR1387" s="41">
        <f t="shared" si="627"/>
        <v>0</v>
      </c>
      <c r="AS1387" s="39"/>
      <c r="AT1387" s="41">
        <f t="shared" si="635"/>
        <v>0</v>
      </c>
      <c r="AU1387" s="49"/>
      <c r="AV1387" s="41">
        <f t="shared" si="628"/>
        <v>0</v>
      </c>
      <c r="AW1387" s="39"/>
      <c r="AX1387" s="41">
        <f t="shared" si="636"/>
        <v>0</v>
      </c>
      <c r="AY1387" s="49"/>
      <c r="AZ1387" s="41">
        <f t="shared" si="629"/>
        <v>0</v>
      </c>
      <c r="BA1387" s="39"/>
      <c r="BB1387" s="41">
        <f t="shared" si="637"/>
        <v>0</v>
      </c>
      <c r="BC1387" s="49"/>
      <c r="BD1387" s="41">
        <f t="shared" si="630"/>
        <v>0</v>
      </c>
      <c r="BE1387" s="39"/>
      <c r="BF1387" s="49"/>
    </row>
    <row r="1388" spans="1:58" ht="15.75" customHeight="1" x14ac:dyDescent="0.25">
      <c r="A1388" s="44">
        <v>2015</v>
      </c>
      <c r="B1388" s="39">
        <v>172125</v>
      </c>
      <c r="C1388" s="38" t="s">
        <v>150</v>
      </c>
      <c r="D1388" s="38" t="s">
        <v>140</v>
      </c>
      <c r="E1388" s="39"/>
      <c r="F1388" s="42">
        <f t="shared" si="612"/>
        <v>0</v>
      </c>
      <c r="G1388" s="49"/>
      <c r="H1388" s="42">
        <f t="shared" si="613"/>
        <v>0</v>
      </c>
      <c r="I1388" s="39"/>
      <c r="J1388" s="41">
        <f t="shared" si="614"/>
        <v>0</v>
      </c>
      <c r="K1388" s="49"/>
      <c r="L1388" s="41">
        <f t="shared" si="615"/>
        <v>0</v>
      </c>
      <c r="M1388" s="39"/>
      <c r="N1388" s="41">
        <f t="shared" si="616"/>
        <v>0</v>
      </c>
      <c r="O1388" s="49"/>
      <c r="P1388" s="41">
        <f t="shared" si="617"/>
        <v>0</v>
      </c>
      <c r="Q1388" s="39"/>
      <c r="R1388" s="41">
        <f t="shared" si="618"/>
        <v>0</v>
      </c>
      <c r="S1388" s="49"/>
      <c r="T1388" s="41">
        <f t="shared" si="619"/>
        <v>0</v>
      </c>
      <c r="U1388" s="39"/>
      <c r="V1388" s="41">
        <f t="shared" si="620"/>
        <v>0</v>
      </c>
      <c r="W1388" s="49"/>
      <c r="X1388" s="41">
        <f t="shared" si="621"/>
        <v>0</v>
      </c>
      <c r="Y1388" s="39"/>
      <c r="Z1388" s="41">
        <f t="shared" si="622"/>
        <v>0</v>
      </c>
      <c r="AA1388" s="49"/>
      <c r="AB1388" s="41">
        <f t="shared" si="623"/>
        <v>0</v>
      </c>
      <c r="AC1388" s="39"/>
      <c r="AD1388" s="41">
        <f t="shared" si="631"/>
        <v>0</v>
      </c>
      <c r="AE1388" s="49"/>
      <c r="AF1388" s="41">
        <f t="shared" si="624"/>
        <v>0</v>
      </c>
      <c r="AG1388" s="39"/>
      <c r="AH1388" s="41">
        <f t="shared" si="632"/>
        <v>0</v>
      </c>
      <c r="AI1388" s="49"/>
      <c r="AJ1388" s="41">
        <f t="shared" si="625"/>
        <v>0</v>
      </c>
      <c r="AK1388" s="39"/>
      <c r="AL1388" s="41">
        <f t="shared" si="633"/>
        <v>0</v>
      </c>
      <c r="AM1388" s="49"/>
      <c r="AN1388" s="41">
        <f t="shared" si="626"/>
        <v>0</v>
      </c>
      <c r="AO1388" s="39"/>
      <c r="AP1388" s="41">
        <f t="shared" si="634"/>
        <v>0</v>
      </c>
      <c r="AQ1388" s="49"/>
      <c r="AR1388" s="41">
        <f t="shared" si="627"/>
        <v>0</v>
      </c>
      <c r="AS1388" s="39"/>
      <c r="AT1388" s="41">
        <f t="shared" si="635"/>
        <v>0</v>
      </c>
      <c r="AU1388" s="49"/>
      <c r="AV1388" s="41">
        <f t="shared" si="628"/>
        <v>0</v>
      </c>
      <c r="AW1388" s="39"/>
      <c r="AX1388" s="41">
        <f t="shared" si="636"/>
        <v>0</v>
      </c>
      <c r="AY1388" s="49"/>
      <c r="AZ1388" s="41">
        <f t="shared" si="629"/>
        <v>0</v>
      </c>
      <c r="BA1388" s="39"/>
      <c r="BB1388" s="41">
        <f t="shared" si="637"/>
        <v>0</v>
      </c>
      <c r="BC1388" s="49"/>
      <c r="BD1388" s="41">
        <f t="shared" si="630"/>
        <v>0</v>
      </c>
      <c r="BE1388" s="39"/>
      <c r="BF1388" s="49"/>
    </row>
    <row r="1389" spans="1:58" ht="15.75" customHeight="1" x14ac:dyDescent="0.25">
      <c r="A1389" s="44">
        <v>2015</v>
      </c>
      <c r="B1389" s="39">
        <v>172130</v>
      </c>
      <c r="C1389" s="38" t="s">
        <v>150</v>
      </c>
      <c r="D1389" s="38" t="s">
        <v>141</v>
      </c>
      <c r="E1389" s="39"/>
      <c r="F1389" s="42">
        <f t="shared" si="612"/>
        <v>0</v>
      </c>
      <c r="G1389" s="49"/>
      <c r="H1389" s="42">
        <f t="shared" si="613"/>
        <v>0</v>
      </c>
      <c r="I1389" s="39"/>
      <c r="J1389" s="41">
        <f t="shared" si="614"/>
        <v>0</v>
      </c>
      <c r="K1389" s="49"/>
      <c r="L1389" s="41">
        <f t="shared" si="615"/>
        <v>0</v>
      </c>
      <c r="M1389" s="39"/>
      <c r="N1389" s="41">
        <f t="shared" si="616"/>
        <v>0</v>
      </c>
      <c r="O1389" s="49"/>
      <c r="P1389" s="41">
        <f t="shared" si="617"/>
        <v>0</v>
      </c>
      <c r="Q1389" s="39"/>
      <c r="R1389" s="41">
        <f t="shared" si="618"/>
        <v>0</v>
      </c>
      <c r="S1389" s="49"/>
      <c r="T1389" s="41">
        <f t="shared" si="619"/>
        <v>0</v>
      </c>
      <c r="U1389" s="39"/>
      <c r="V1389" s="41">
        <f t="shared" si="620"/>
        <v>0</v>
      </c>
      <c r="W1389" s="49"/>
      <c r="X1389" s="41">
        <f t="shared" si="621"/>
        <v>0</v>
      </c>
      <c r="Y1389" s="39"/>
      <c r="Z1389" s="41">
        <f t="shared" si="622"/>
        <v>0</v>
      </c>
      <c r="AA1389" s="49"/>
      <c r="AB1389" s="41">
        <f t="shared" si="623"/>
        <v>0</v>
      </c>
      <c r="AC1389" s="39"/>
      <c r="AD1389" s="41">
        <f t="shared" si="631"/>
        <v>0</v>
      </c>
      <c r="AE1389" s="49"/>
      <c r="AF1389" s="41">
        <f t="shared" si="624"/>
        <v>0</v>
      </c>
      <c r="AG1389" s="39"/>
      <c r="AH1389" s="41">
        <f t="shared" si="632"/>
        <v>0</v>
      </c>
      <c r="AI1389" s="49"/>
      <c r="AJ1389" s="41">
        <f t="shared" si="625"/>
        <v>0</v>
      </c>
      <c r="AK1389" s="39"/>
      <c r="AL1389" s="41">
        <f t="shared" si="633"/>
        <v>0</v>
      </c>
      <c r="AM1389" s="49"/>
      <c r="AN1389" s="41">
        <f t="shared" si="626"/>
        <v>0</v>
      </c>
      <c r="AO1389" s="39"/>
      <c r="AP1389" s="41">
        <f t="shared" si="634"/>
        <v>0</v>
      </c>
      <c r="AQ1389" s="49"/>
      <c r="AR1389" s="41">
        <f t="shared" si="627"/>
        <v>0</v>
      </c>
      <c r="AS1389" s="39"/>
      <c r="AT1389" s="41">
        <f t="shared" si="635"/>
        <v>0</v>
      </c>
      <c r="AU1389" s="49"/>
      <c r="AV1389" s="41">
        <f t="shared" si="628"/>
        <v>0</v>
      </c>
      <c r="AW1389" s="39"/>
      <c r="AX1389" s="41">
        <f t="shared" si="636"/>
        <v>0</v>
      </c>
      <c r="AY1389" s="49"/>
      <c r="AZ1389" s="41">
        <f t="shared" si="629"/>
        <v>0</v>
      </c>
      <c r="BA1389" s="39"/>
      <c r="BB1389" s="41">
        <f t="shared" si="637"/>
        <v>0</v>
      </c>
      <c r="BC1389" s="49"/>
      <c r="BD1389" s="41">
        <f t="shared" si="630"/>
        <v>0</v>
      </c>
      <c r="BE1389" s="39"/>
      <c r="BF1389" s="49"/>
    </row>
    <row r="1390" spans="1:58" ht="15.75" customHeight="1" x14ac:dyDescent="0.25">
      <c r="A1390" s="44">
        <v>2015</v>
      </c>
      <c r="B1390" s="39">
        <v>172208</v>
      </c>
      <c r="C1390" s="38" t="s">
        <v>149</v>
      </c>
      <c r="D1390" s="38" t="s">
        <v>142</v>
      </c>
      <c r="E1390" s="39"/>
      <c r="F1390" s="42">
        <f t="shared" si="612"/>
        <v>0</v>
      </c>
      <c r="G1390" s="49"/>
      <c r="H1390" s="42">
        <f t="shared" si="613"/>
        <v>0</v>
      </c>
      <c r="I1390" s="39"/>
      <c r="J1390" s="41">
        <f t="shared" si="614"/>
        <v>0</v>
      </c>
      <c r="K1390" s="49"/>
      <c r="L1390" s="41">
        <f t="shared" si="615"/>
        <v>0</v>
      </c>
      <c r="M1390" s="39"/>
      <c r="N1390" s="41">
        <f t="shared" si="616"/>
        <v>0</v>
      </c>
      <c r="O1390" s="49"/>
      <c r="P1390" s="41">
        <f t="shared" si="617"/>
        <v>0</v>
      </c>
      <c r="Q1390" s="39"/>
      <c r="R1390" s="41">
        <f t="shared" si="618"/>
        <v>0</v>
      </c>
      <c r="S1390" s="49"/>
      <c r="T1390" s="41">
        <f t="shared" si="619"/>
        <v>0</v>
      </c>
      <c r="U1390" s="39"/>
      <c r="V1390" s="41">
        <f t="shared" si="620"/>
        <v>0</v>
      </c>
      <c r="W1390" s="49"/>
      <c r="X1390" s="41">
        <f t="shared" si="621"/>
        <v>0</v>
      </c>
      <c r="Y1390" s="39"/>
      <c r="Z1390" s="41">
        <f t="shared" si="622"/>
        <v>0</v>
      </c>
      <c r="AA1390" s="49"/>
      <c r="AB1390" s="41">
        <f t="shared" si="623"/>
        <v>0</v>
      </c>
      <c r="AC1390" s="39"/>
      <c r="AD1390" s="41">
        <f t="shared" si="631"/>
        <v>0</v>
      </c>
      <c r="AE1390" s="49"/>
      <c r="AF1390" s="41">
        <f t="shared" si="624"/>
        <v>0</v>
      </c>
      <c r="AG1390" s="39"/>
      <c r="AH1390" s="41">
        <f t="shared" si="632"/>
        <v>0</v>
      </c>
      <c r="AI1390" s="49"/>
      <c r="AJ1390" s="41">
        <f t="shared" si="625"/>
        <v>0</v>
      </c>
      <c r="AK1390" s="39"/>
      <c r="AL1390" s="41">
        <f t="shared" si="633"/>
        <v>0</v>
      </c>
      <c r="AM1390" s="49"/>
      <c r="AN1390" s="41">
        <f t="shared" si="626"/>
        <v>0</v>
      </c>
      <c r="AO1390" s="39"/>
      <c r="AP1390" s="41">
        <f t="shared" si="634"/>
        <v>0</v>
      </c>
      <c r="AQ1390" s="49"/>
      <c r="AR1390" s="41">
        <f t="shared" si="627"/>
        <v>0</v>
      </c>
      <c r="AS1390" s="39"/>
      <c r="AT1390" s="41">
        <f t="shared" si="635"/>
        <v>0</v>
      </c>
      <c r="AU1390" s="49"/>
      <c r="AV1390" s="41">
        <f t="shared" si="628"/>
        <v>0</v>
      </c>
      <c r="AW1390" s="39"/>
      <c r="AX1390" s="41">
        <f t="shared" si="636"/>
        <v>0</v>
      </c>
      <c r="AY1390" s="49"/>
      <c r="AZ1390" s="41">
        <f t="shared" si="629"/>
        <v>0</v>
      </c>
      <c r="BA1390" s="39"/>
      <c r="BB1390" s="41">
        <f t="shared" si="637"/>
        <v>0</v>
      </c>
      <c r="BC1390" s="49"/>
      <c r="BD1390" s="41">
        <f t="shared" si="630"/>
        <v>0</v>
      </c>
      <c r="BE1390" s="39"/>
      <c r="BF1390" s="49"/>
    </row>
    <row r="1391" spans="1:58" ht="15.75" customHeight="1" x14ac:dyDescent="0.25">
      <c r="A1391" s="44">
        <v>2015</v>
      </c>
      <c r="B1391" s="39">
        <v>172210</v>
      </c>
      <c r="C1391" s="38" t="s">
        <v>149</v>
      </c>
      <c r="D1391" s="38" t="s">
        <v>143</v>
      </c>
      <c r="E1391" s="39"/>
      <c r="F1391" s="42">
        <f t="shared" si="612"/>
        <v>0</v>
      </c>
      <c r="G1391" s="49"/>
      <c r="H1391" s="42">
        <f t="shared" si="613"/>
        <v>0</v>
      </c>
      <c r="I1391" s="39"/>
      <c r="J1391" s="41">
        <f t="shared" si="614"/>
        <v>0</v>
      </c>
      <c r="K1391" s="49"/>
      <c r="L1391" s="41">
        <f t="shared" si="615"/>
        <v>0</v>
      </c>
      <c r="M1391" s="39"/>
      <c r="N1391" s="41">
        <f t="shared" si="616"/>
        <v>0</v>
      </c>
      <c r="O1391" s="49"/>
      <c r="P1391" s="41">
        <f t="shared" si="617"/>
        <v>0</v>
      </c>
      <c r="Q1391" s="39"/>
      <c r="R1391" s="41">
        <f t="shared" si="618"/>
        <v>0</v>
      </c>
      <c r="S1391" s="49"/>
      <c r="T1391" s="41">
        <f t="shared" si="619"/>
        <v>0</v>
      </c>
      <c r="U1391" s="39"/>
      <c r="V1391" s="41">
        <f t="shared" si="620"/>
        <v>0</v>
      </c>
      <c r="W1391" s="49"/>
      <c r="X1391" s="41">
        <f t="shared" si="621"/>
        <v>0</v>
      </c>
      <c r="Y1391" s="39"/>
      <c r="Z1391" s="41">
        <f t="shared" si="622"/>
        <v>0</v>
      </c>
      <c r="AA1391" s="49"/>
      <c r="AB1391" s="41">
        <f t="shared" si="623"/>
        <v>0</v>
      </c>
      <c r="AC1391" s="39"/>
      <c r="AD1391" s="41">
        <f t="shared" si="631"/>
        <v>0</v>
      </c>
      <c r="AE1391" s="49"/>
      <c r="AF1391" s="41">
        <f t="shared" si="624"/>
        <v>0</v>
      </c>
      <c r="AG1391" s="39"/>
      <c r="AH1391" s="41">
        <f t="shared" si="632"/>
        <v>0</v>
      </c>
      <c r="AI1391" s="49"/>
      <c r="AJ1391" s="41">
        <f t="shared" si="625"/>
        <v>0</v>
      </c>
      <c r="AK1391" s="39"/>
      <c r="AL1391" s="41">
        <f t="shared" si="633"/>
        <v>0</v>
      </c>
      <c r="AM1391" s="49"/>
      <c r="AN1391" s="41">
        <f t="shared" si="626"/>
        <v>0</v>
      </c>
      <c r="AO1391" s="39"/>
      <c r="AP1391" s="41">
        <f t="shared" si="634"/>
        <v>0</v>
      </c>
      <c r="AQ1391" s="49"/>
      <c r="AR1391" s="41">
        <f t="shared" si="627"/>
        <v>0</v>
      </c>
      <c r="AS1391" s="39"/>
      <c r="AT1391" s="41">
        <f t="shared" si="635"/>
        <v>0</v>
      </c>
      <c r="AU1391" s="49"/>
      <c r="AV1391" s="41">
        <f t="shared" si="628"/>
        <v>0</v>
      </c>
      <c r="AW1391" s="39"/>
      <c r="AX1391" s="41">
        <f t="shared" si="636"/>
        <v>0</v>
      </c>
      <c r="AY1391" s="49"/>
      <c r="AZ1391" s="41">
        <f t="shared" si="629"/>
        <v>0</v>
      </c>
      <c r="BA1391" s="39"/>
      <c r="BB1391" s="41">
        <f t="shared" si="637"/>
        <v>0</v>
      </c>
      <c r="BC1391" s="49"/>
      <c r="BD1391" s="41">
        <f t="shared" si="630"/>
        <v>0</v>
      </c>
      <c r="BE1391" s="39"/>
      <c r="BF1391" s="49"/>
    </row>
    <row r="1392" spans="1:58" ht="15.75" customHeight="1" x14ac:dyDescent="0.25">
      <c r="A1392" s="9"/>
      <c r="C1392" s="52"/>
      <c r="D1392" s="52"/>
    </row>
    <row r="1393" spans="1:4" ht="15.75" customHeight="1" x14ac:dyDescent="0.25">
      <c r="A1393" s="9"/>
      <c r="C1393" s="52"/>
      <c r="D1393" s="52"/>
    </row>
    <row r="1394" spans="1:4" ht="15.75" customHeight="1" x14ac:dyDescent="0.25">
      <c r="A1394" s="9"/>
      <c r="C1394" s="52"/>
      <c r="D1394" s="52"/>
    </row>
    <row r="1395" spans="1:4" ht="15.75" customHeight="1" x14ac:dyDescent="0.25">
      <c r="A1395" s="9"/>
      <c r="C1395" s="52"/>
      <c r="D1395" s="52"/>
    </row>
    <row r="1396" spans="1:4" ht="15.75" customHeight="1" x14ac:dyDescent="0.25">
      <c r="A1396" s="9"/>
      <c r="C1396" s="52"/>
      <c r="D1396" s="52"/>
    </row>
    <row r="1397" spans="1:4" ht="15.75" customHeight="1" x14ac:dyDescent="0.25">
      <c r="A1397" s="9"/>
      <c r="C1397" s="52"/>
      <c r="D1397" s="52"/>
    </row>
    <row r="1398" spans="1:4" ht="15.75" customHeight="1" x14ac:dyDescent="0.25">
      <c r="A1398" s="9"/>
      <c r="C1398" s="52"/>
      <c r="D1398" s="52"/>
    </row>
    <row r="1399" spans="1:4" ht="15.75" customHeight="1" x14ac:dyDescent="0.25">
      <c r="A1399" s="9"/>
      <c r="C1399" s="52"/>
      <c r="D1399" s="52"/>
    </row>
    <row r="1400" spans="1:4" ht="15.75" customHeight="1" x14ac:dyDescent="0.25">
      <c r="A1400" s="9"/>
      <c r="C1400" s="52"/>
      <c r="D1400" s="52"/>
    </row>
    <row r="1401" spans="1:4" ht="15.75" customHeight="1" x14ac:dyDescent="0.25">
      <c r="A1401" s="9"/>
      <c r="C1401" s="52"/>
      <c r="D1401" s="52"/>
    </row>
    <row r="1402" spans="1:4" ht="15.75" customHeight="1" x14ac:dyDescent="0.25">
      <c r="A1402" s="9"/>
      <c r="C1402" s="52"/>
      <c r="D1402" s="52"/>
    </row>
    <row r="1403" spans="1:4" ht="15.75" customHeight="1" x14ac:dyDescent="0.25">
      <c r="A1403" s="9"/>
      <c r="C1403" s="52"/>
      <c r="D1403" s="52"/>
    </row>
    <row r="1404" spans="1:4" ht="15.75" customHeight="1" x14ac:dyDescent="0.25">
      <c r="A1404" s="9"/>
      <c r="C1404" s="52"/>
      <c r="D1404" s="52"/>
    </row>
    <row r="1405" spans="1:4" ht="15.75" customHeight="1" x14ac:dyDescent="0.25">
      <c r="A1405" s="9"/>
      <c r="C1405" s="52"/>
      <c r="D1405" s="52"/>
    </row>
    <row r="1406" spans="1:4" ht="15.75" customHeight="1" x14ac:dyDescent="0.25">
      <c r="A1406" s="9"/>
      <c r="C1406" s="52"/>
      <c r="D1406" s="52"/>
    </row>
    <row r="1407" spans="1:4" ht="15.75" customHeight="1" x14ac:dyDescent="0.25">
      <c r="A1407" s="9"/>
      <c r="C1407" s="52"/>
      <c r="D1407" s="52"/>
    </row>
    <row r="1408" spans="1:4" ht="15.75" customHeight="1" x14ac:dyDescent="0.25">
      <c r="A1408" s="9"/>
      <c r="C1408" s="52"/>
      <c r="D1408" s="52"/>
    </row>
    <row r="1409" spans="1:4" ht="15.75" customHeight="1" x14ac:dyDescent="0.25">
      <c r="A1409" s="9"/>
      <c r="C1409" s="52"/>
      <c r="D1409" s="52"/>
    </row>
    <row r="1410" spans="1:4" ht="15.75" customHeight="1" x14ac:dyDescent="0.25">
      <c r="A1410" s="9"/>
      <c r="C1410" s="52"/>
      <c r="D1410" s="52"/>
    </row>
    <row r="1411" spans="1:4" ht="15.75" customHeight="1" x14ac:dyDescent="0.25">
      <c r="A1411" s="9"/>
      <c r="C1411" s="52"/>
      <c r="D1411" s="52"/>
    </row>
    <row r="1412" spans="1:4" ht="15.75" customHeight="1" x14ac:dyDescent="0.25">
      <c r="A1412" s="9"/>
      <c r="C1412" s="52"/>
      <c r="D1412" s="52"/>
    </row>
    <row r="1413" spans="1:4" ht="15.75" customHeight="1" x14ac:dyDescent="0.25">
      <c r="A1413" s="9"/>
      <c r="C1413" s="52"/>
      <c r="D1413" s="52"/>
    </row>
    <row r="1414" spans="1:4" ht="15.75" customHeight="1" x14ac:dyDescent="0.25">
      <c r="A1414" s="9"/>
      <c r="C1414" s="52"/>
      <c r="D1414" s="52"/>
    </row>
    <row r="1415" spans="1:4" ht="15.75" customHeight="1" x14ac:dyDescent="0.25">
      <c r="A1415" s="9"/>
      <c r="C1415" s="52"/>
      <c r="D1415" s="52"/>
    </row>
    <row r="1416" spans="1:4" ht="15.75" customHeight="1" x14ac:dyDescent="0.25">
      <c r="A1416" s="9"/>
      <c r="C1416" s="52"/>
      <c r="D1416" s="52"/>
    </row>
    <row r="1417" spans="1:4" ht="15.75" customHeight="1" x14ac:dyDescent="0.25">
      <c r="A1417" s="9"/>
      <c r="C1417" s="52"/>
      <c r="D1417" s="52"/>
    </row>
    <row r="1418" spans="1:4" ht="15.75" customHeight="1" x14ac:dyDescent="0.25">
      <c r="A1418" s="9"/>
      <c r="C1418" s="52"/>
      <c r="D1418" s="52"/>
    </row>
    <row r="1419" spans="1:4" ht="15.75" customHeight="1" x14ac:dyDescent="0.25">
      <c r="A1419" s="9"/>
      <c r="C1419" s="52"/>
      <c r="D1419" s="52"/>
    </row>
    <row r="1420" spans="1:4" ht="15.75" customHeight="1" x14ac:dyDescent="0.25">
      <c r="A1420" s="9"/>
      <c r="C1420" s="52"/>
      <c r="D1420" s="52"/>
    </row>
    <row r="1421" spans="1:4" ht="15.75" customHeight="1" x14ac:dyDescent="0.25">
      <c r="A1421" s="9"/>
      <c r="C1421" s="52"/>
      <c r="D1421" s="52"/>
    </row>
    <row r="1422" spans="1:4" ht="15.75" customHeight="1" x14ac:dyDescent="0.25">
      <c r="A1422" s="9"/>
      <c r="C1422" s="52"/>
      <c r="D1422" s="52"/>
    </row>
    <row r="1423" spans="1:4" ht="15.75" customHeight="1" x14ac:dyDescent="0.25">
      <c r="A1423" s="9"/>
      <c r="C1423" s="52"/>
      <c r="D1423" s="52"/>
    </row>
    <row r="1424" spans="1:4" ht="15.75" customHeight="1" x14ac:dyDescent="0.25">
      <c r="A1424" s="9"/>
      <c r="C1424" s="52"/>
      <c r="D1424" s="52"/>
    </row>
    <row r="1425" spans="1:4" ht="15.75" customHeight="1" x14ac:dyDescent="0.25">
      <c r="A1425" s="9"/>
      <c r="C1425" s="52"/>
      <c r="D1425" s="52"/>
    </row>
    <row r="1426" spans="1:4" ht="15.75" customHeight="1" x14ac:dyDescent="0.25">
      <c r="A1426" s="9"/>
      <c r="C1426" s="52"/>
      <c r="D1426" s="52"/>
    </row>
    <row r="1427" spans="1:4" ht="15.75" customHeight="1" x14ac:dyDescent="0.25">
      <c r="A1427" s="9"/>
      <c r="C1427" s="52"/>
      <c r="D1427" s="52"/>
    </row>
    <row r="1428" spans="1:4" ht="15.75" customHeight="1" x14ac:dyDescent="0.25">
      <c r="A1428" s="9"/>
      <c r="C1428" s="52"/>
      <c r="D1428" s="52"/>
    </row>
    <row r="1429" spans="1:4" ht="15.75" customHeight="1" x14ac:dyDescent="0.25">
      <c r="A1429" s="9"/>
      <c r="C1429" s="52"/>
      <c r="D1429" s="52"/>
    </row>
    <row r="1430" spans="1:4" ht="15.75" customHeight="1" x14ac:dyDescent="0.25">
      <c r="A1430" s="9"/>
      <c r="C1430" s="52"/>
      <c r="D1430" s="52"/>
    </row>
    <row r="1431" spans="1:4" ht="15.75" customHeight="1" x14ac:dyDescent="0.25">
      <c r="A1431" s="9"/>
      <c r="C1431" s="52"/>
      <c r="D1431" s="52"/>
    </row>
    <row r="1432" spans="1:4" ht="15.75" customHeight="1" x14ac:dyDescent="0.25">
      <c r="A1432" s="9"/>
      <c r="C1432" s="52"/>
      <c r="D1432" s="52"/>
    </row>
    <row r="1433" spans="1:4" ht="15.75" customHeight="1" x14ac:dyDescent="0.25">
      <c r="A1433" s="9"/>
      <c r="C1433" s="52"/>
      <c r="D1433" s="52"/>
    </row>
    <row r="1434" spans="1:4" ht="15.75" customHeight="1" x14ac:dyDescent="0.25">
      <c r="A1434" s="9"/>
      <c r="C1434" s="52"/>
      <c r="D1434" s="52"/>
    </row>
    <row r="1435" spans="1:4" ht="15.75" customHeight="1" x14ac:dyDescent="0.25">
      <c r="A1435" s="9"/>
      <c r="C1435" s="52"/>
      <c r="D1435" s="52"/>
    </row>
    <row r="1436" spans="1:4" ht="15.75" customHeight="1" x14ac:dyDescent="0.25">
      <c r="A1436" s="9"/>
      <c r="C1436" s="52"/>
      <c r="D1436" s="52"/>
    </row>
    <row r="1437" spans="1:4" ht="15.75" customHeight="1" x14ac:dyDescent="0.25">
      <c r="A1437" s="9"/>
      <c r="C1437" s="52"/>
      <c r="D1437" s="52"/>
    </row>
    <row r="1438" spans="1:4" ht="15.75" customHeight="1" x14ac:dyDescent="0.25">
      <c r="A1438" s="9"/>
      <c r="C1438" s="52"/>
      <c r="D1438" s="52"/>
    </row>
    <row r="1439" spans="1:4" ht="15.75" customHeight="1" x14ac:dyDescent="0.25">
      <c r="A1439" s="9"/>
      <c r="C1439" s="52"/>
      <c r="D1439" s="52"/>
    </row>
    <row r="1440" spans="1:4" ht="15.75" customHeight="1" x14ac:dyDescent="0.25">
      <c r="A1440" s="9"/>
      <c r="C1440" s="52"/>
      <c r="D1440" s="52"/>
    </row>
    <row r="1441" spans="1:4" ht="15.75" customHeight="1" x14ac:dyDescent="0.25">
      <c r="A1441" s="9"/>
      <c r="C1441" s="52"/>
      <c r="D1441" s="52"/>
    </row>
    <row r="1442" spans="1:4" ht="15.75" customHeight="1" x14ac:dyDescent="0.25">
      <c r="A1442" s="9"/>
      <c r="C1442" s="52"/>
      <c r="D1442" s="52"/>
    </row>
    <row r="1443" spans="1:4" ht="15.75" customHeight="1" x14ac:dyDescent="0.25">
      <c r="A1443" s="9"/>
      <c r="C1443" s="52"/>
      <c r="D1443" s="52"/>
    </row>
    <row r="1444" spans="1:4" ht="15.75" customHeight="1" x14ac:dyDescent="0.25">
      <c r="A1444" s="9"/>
      <c r="C1444" s="52"/>
      <c r="D1444" s="52"/>
    </row>
    <row r="1445" spans="1:4" ht="15.75" customHeight="1" x14ac:dyDescent="0.25">
      <c r="A1445" s="9"/>
      <c r="C1445" s="52"/>
      <c r="D1445" s="52"/>
    </row>
    <row r="1446" spans="1:4" ht="15.75" customHeight="1" x14ac:dyDescent="0.25">
      <c r="A1446" s="9"/>
      <c r="C1446" s="52"/>
      <c r="D1446" s="52"/>
    </row>
    <row r="1447" spans="1:4" ht="15.75" customHeight="1" x14ac:dyDescent="0.25">
      <c r="A1447" s="9"/>
      <c r="C1447" s="52"/>
      <c r="D1447" s="52"/>
    </row>
    <row r="1448" spans="1:4" ht="15.75" customHeight="1" x14ac:dyDescent="0.25">
      <c r="A1448" s="9"/>
      <c r="C1448" s="52"/>
      <c r="D1448" s="52"/>
    </row>
    <row r="1449" spans="1:4" ht="15.75" customHeight="1" x14ac:dyDescent="0.25">
      <c r="A1449" s="9"/>
      <c r="C1449" s="52"/>
      <c r="D1449" s="52"/>
    </row>
    <row r="1450" spans="1:4" ht="15.75" customHeight="1" x14ac:dyDescent="0.25">
      <c r="A1450" s="9"/>
      <c r="C1450" s="52"/>
      <c r="D1450" s="52"/>
    </row>
    <row r="1451" spans="1:4" ht="15.75" customHeight="1" x14ac:dyDescent="0.25">
      <c r="A1451" s="9"/>
      <c r="C1451" s="52"/>
      <c r="D1451" s="52"/>
    </row>
    <row r="1452" spans="1:4" ht="15.75" customHeight="1" x14ac:dyDescent="0.25">
      <c r="A1452" s="9"/>
      <c r="C1452" s="52"/>
      <c r="D1452" s="52"/>
    </row>
    <row r="1453" spans="1:4" ht="15.75" customHeight="1" x14ac:dyDescent="0.25">
      <c r="A1453" s="9"/>
      <c r="C1453" s="52"/>
      <c r="D1453" s="52"/>
    </row>
    <row r="1454" spans="1:4" ht="15.75" customHeight="1" x14ac:dyDescent="0.25">
      <c r="A1454" s="9"/>
      <c r="C1454" s="52"/>
      <c r="D1454" s="52"/>
    </row>
    <row r="1455" spans="1:4" ht="15.75" customHeight="1" x14ac:dyDescent="0.25">
      <c r="A1455" s="9"/>
      <c r="C1455" s="52"/>
      <c r="D1455" s="52"/>
    </row>
    <row r="1456" spans="1:4" ht="15.75" customHeight="1" x14ac:dyDescent="0.25">
      <c r="A1456" s="9"/>
      <c r="C1456" s="52"/>
      <c r="D1456" s="52"/>
    </row>
    <row r="1457" spans="1:4" ht="15.75" customHeight="1" x14ac:dyDescent="0.25">
      <c r="A1457" s="9"/>
      <c r="C1457" s="52"/>
      <c r="D1457" s="52"/>
    </row>
    <row r="1458" spans="1:4" ht="15.75" customHeight="1" x14ac:dyDescent="0.25">
      <c r="A1458" s="9"/>
      <c r="C1458" s="52"/>
      <c r="D1458" s="52"/>
    </row>
    <row r="1459" spans="1:4" ht="15.75" customHeight="1" x14ac:dyDescent="0.25">
      <c r="A1459" s="9"/>
      <c r="C1459" s="52"/>
      <c r="D1459" s="52"/>
    </row>
    <row r="1460" spans="1:4" ht="15.75" customHeight="1" x14ac:dyDescent="0.25">
      <c r="A1460" s="9"/>
      <c r="C1460" s="52"/>
      <c r="D1460" s="52"/>
    </row>
    <row r="1461" spans="1:4" ht="15.75" customHeight="1" x14ac:dyDescent="0.25">
      <c r="A1461" s="9"/>
      <c r="C1461" s="52"/>
      <c r="D1461" s="52"/>
    </row>
    <row r="1462" spans="1:4" ht="15.75" customHeight="1" x14ac:dyDescent="0.25">
      <c r="A1462" s="9"/>
      <c r="C1462" s="52"/>
      <c r="D1462" s="52"/>
    </row>
    <row r="1463" spans="1:4" ht="15.75" customHeight="1" x14ac:dyDescent="0.25">
      <c r="A1463" s="9"/>
      <c r="C1463" s="52"/>
      <c r="D1463" s="52"/>
    </row>
    <row r="1464" spans="1:4" ht="15.75" customHeight="1" x14ac:dyDescent="0.25">
      <c r="A1464" s="9"/>
      <c r="C1464" s="52"/>
      <c r="D1464" s="52"/>
    </row>
    <row r="1465" spans="1:4" ht="15.75" customHeight="1" x14ac:dyDescent="0.25">
      <c r="A1465" s="9"/>
      <c r="C1465" s="52"/>
      <c r="D1465" s="52"/>
    </row>
    <row r="1466" spans="1:4" ht="15.75" customHeight="1" x14ac:dyDescent="0.25">
      <c r="A1466" s="9"/>
      <c r="C1466" s="52"/>
      <c r="D1466" s="52"/>
    </row>
    <row r="1467" spans="1:4" ht="15.75" customHeight="1" x14ac:dyDescent="0.25">
      <c r="A1467" s="9"/>
      <c r="C1467" s="52"/>
      <c r="D1467" s="52"/>
    </row>
    <row r="1468" spans="1:4" ht="15.75" customHeight="1" x14ac:dyDescent="0.25">
      <c r="A1468" s="9"/>
      <c r="C1468" s="52"/>
      <c r="D1468" s="52"/>
    </row>
    <row r="1469" spans="1:4" ht="15.75" customHeight="1" x14ac:dyDescent="0.25">
      <c r="A1469" s="9"/>
      <c r="C1469" s="52"/>
      <c r="D1469" s="52"/>
    </row>
    <row r="1470" spans="1:4" ht="15.75" customHeight="1" x14ac:dyDescent="0.25">
      <c r="A1470" s="9"/>
      <c r="C1470" s="52"/>
      <c r="D1470" s="52"/>
    </row>
    <row r="1471" spans="1:4" ht="15.75" customHeight="1" x14ac:dyDescent="0.25">
      <c r="A1471" s="9"/>
      <c r="C1471" s="52"/>
      <c r="D1471" s="52"/>
    </row>
    <row r="1472" spans="1:4" ht="15.75" customHeight="1" x14ac:dyDescent="0.25">
      <c r="A1472" s="9"/>
      <c r="C1472" s="52"/>
      <c r="D1472" s="52"/>
    </row>
    <row r="1473" spans="1:4" ht="15.75" customHeight="1" x14ac:dyDescent="0.25">
      <c r="A1473" s="9"/>
      <c r="C1473" s="52"/>
      <c r="D1473" s="52"/>
    </row>
    <row r="1474" spans="1:4" ht="15.75" customHeight="1" x14ac:dyDescent="0.25">
      <c r="A1474" s="9"/>
      <c r="C1474" s="52"/>
      <c r="D1474" s="52"/>
    </row>
    <row r="1475" spans="1:4" ht="15.75" customHeight="1" x14ac:dyDescent="0.25">
      <c r="A1475" s="9"/>
      <c r="C1475" s="52"/>
      <c r="D1475" s="52"/>
    </row>
    <row r="1476" spans="1:4" ht="15.75" customHeight="1" x14ac:dyDescent="0.25">
      <c r="A1476" s="9"/>
      <c r="C1476" s="52"/>
      <c r="D1476" s="52"/>
    </row>
    <row r="1477" spans="1:4" ht="15.75" customHeight="1" x14ac:dyDescent="0.25">
      <c r="A1477" s="9"/>
      <c r="C1477" s="52"/>
      <c r="D1477" s="52"/>
    </row>
    <row r="1478" spans="1:4" ht="15.75" customHeight="1" x14ac:dyDescent="0.25">
      <c r="A1478" s="9"/>
      <c r="C1478" s="52"/>
      <c r="D1478" s="52"/>
    </row>
    <row r="1479" spans="1:4" ht="15.75" customHeight="1" x14ac:dyDescent="0.25">
      <c r="A1479" s="9"/>
      <c r="C1479" s="52"/>
      <c r="D1479" s="52"/>
    </row>
    <row r="1480" spans="1:4" ht="15.75" customHeight="1" x14ac:dyDescent="0.25">
      <c r="A1480" s="9"/>
      <c r="C1480" s="52"/>
      <c r="D1480" s="52"/>
    </row>
    <row r="1481" spans="1:4" ht="15.75" customHeight="1" x14ac:dyDescent="0.25">
      <c r="A1481" s="9"/>
      <c r="C1481" s="52"/>
      <c r="D1481" s="52"/>
    </row>
    <row r="1482" spans="1:4" ht="15.75" customHeight="1" x14ac:dyDescent="0.25">
      <c r="A1482" s="9"/>
      <c r="C1482" s="52"/>
      <c r="D1482" s="52"/>
    </row>
    <row r="1483" spans="1:4" ht="15.75" customHeight="1" x14ac:dyDescent="0.25">
      <c r="A1483" s="9"/>
      <c r="C1483" s="52"/>
      <c r="D1483" s="52"/>
    </row>
    <row r="1484" spans="1:4" ht="15.75" customHeight="1" x14ac:dyDescent="0.25">
      <c r="A1484" s="9"/>
      <c r="C1484" s="52"/>
      <c r="D1484" s="52"/>
    </row>
    <row r="1485" spans="1:4" ht="15.75" customHeight="1" x14ac:dyDescent="0.25">
      <c r="A1485" s="9"/>
      <c r="C1485" s="52"/>
      <c r="D1485" s="52"/>
    </row>
    <row r="1486" spans="1:4" ht="15.75" customHeight="1" x14ac:dyDescent="0.25">
      <c r="A1486" s="9"/>
      <c r="C1486" s="52"/>
      <c r="D1486" s="52"/>
    </row>
    <row r="1487" spans="1:4" ht="15.75" customHeight="1" x14ac:dyDescent="0.25">
      <c r="A1487" s="9"/>
      <c r="C1487" s="52"/>
      <c r="D1487" s="52"/>
    </row>
    <row r="1488" spans="1:4" ht="15.75" customHeight="1" x14ac:dyDescent="0.25">
      <c r="A1488" s="9"/>
      <c r="C1488" s="52"/>
      <c r="D1488" s="52"/>
    </row>
    <row r="1489" spans="1:4" ht="15.75" customHeight="1" x14ac:dyDescent="0.25">
      <c r="A1489" s="9"/>
      <c r="C1489" s="52"/>
      <c r="D1489" s="52"/>
    </row>
    <row r="1490" spans="1:4" ht="15.75" customHeight="1" x14ac:dyDescent="0.25">
      <c r="A1490" s="9"/>
      <c r="C1490" s="52"/>
      <c r="D1490" s="52"/>
    </row>
    <row r="1491" spans="1:4" ht="15.75" customHeight="1" x14ac:dyDescent="0.25">
      <c r="A1491" s="9"/>
      <c r="C1491" s="52"/>
      <c r="D1491" s="52"/>
    </row>
    <row r="1492" spans="1:4" ht="15.75" customHeight="1" x14ac:dyDescent="0.25">
      <c r="A1492" s="9"/>
      <c r="C1492" s="52"/>
      <c r="D1492" s="52"/>
    </row>
    <row r="1493" spans="1:4" ht="15.75" customHeight="1" x14ac:dyDescent="0.25">
      <c r="A1493" s="9"/>
      <c r="C1493" s="52"/>
      <c r="D1493" s="52"/>
    </row>
    <row r="1494" spans="1:4" ht="15.75" customHeight="1" x14ac:dyDescent="0.25">
      <c r="A1494" s="9"/>
      <c r="C1494" s="52"/>
      <c r="D1494" s="52"/>
    </row>
    <row r="1495" spans="1:4" ht="15.75" customHeight="1" x14ac:dyDescent="0.25">
      <c r="A1495" s="9"/>
      <c r="C1495" s="52"/>
      <c r="D1495" s="52"/>
    </row>
    <row r="1496" spans="1:4" ht="15.75" customHeight="1" x14ac:dyDescent="0.25">
      <c r="A1496" s="9"/>
      <c r="C1496" s="52"/>
      <c r="D1496" s="52"/>
    </row>
    <row r="1497" spans="1:4" ht="15.75" customHeight="1" x14ac:dyDescent="0.25">
      <c r="A1497" s="9"/>
      <c r="C1497" s="52"/>
      <c r="D1497" s="52"/>
    </row>
    <row r="1498" spans="1:4" ht="15.75" customHeight="1" x14ac:dyDescent="0.25">
      <c r="A1498" s="9"/>
      <c r="C1498" s="52"/>
      <c r="D1498" s="52"/>
    </row>
    <row r="1499" spans="1:4" ht="15.75" customHeight="1" x14ac:dyDescent="0.25">
      <c r="A1499" s="9"/>
      <c r="C1499" s="52"/>
      <c r="D1499" s="52"/>
    </row>
    <row r="1500" spans="1:4" ht="15.75" customHeight="1" x14ac:dyDescent="0.25">
      <c r="A1500" s="9"/>
      <c r="C1500" s="52"/>
      <c r="D1500" s="52"/>
    </row>
    <row r="1501" spans="1:4" ht="15.75" customHeight="1" x14ac:dyDescent="0.25">
      <c r="A1501" s="9"/>
      <c r="C1501" s="52"/>
      <c r="D1501" s="52"/>
    </row>
    <row r="1502" spans="1:4" ht="15.75" customHeight="1" x14ac:dyDescent="0.25">
      <c r="A1502" s="9"/>
      <c r="C1502" s="52"/>
      <c r="D1502" s="52"/>
    </row>
    <row r="1503" spans="1:4" ht="15.75" customHeight="1" x14ac:dyDescent="0.25">
      <c r="A1503" s="9"/>
      <c r="C1503" s="52"/>
      <c r="D1503" s="52"/>
    </row>
    <row r="1504" spans="1:4" ht="15.75" customHeight="1" x14ac:dyDescent="0.25">
      <c r="A1504" s="9"/>
      <c r="C1504" s="52"/>
      <c r="D1504" s="52"/>
    </row>
    <row r="1505" spans="1:4" ht="15.75" customHeight="1" x14ac:dyDescent="0.25">
      <c r="A1505" s="9"/>
      <c r="C1505" s="52"/>
      <c r="D1505" s="52"/>
    </row>
    <row r="1506" spans="1:4" ht="15.75" customHeight="1" x14ac:dyDescent="0.25">
      <c r="A1506" s="9"/>
      <c r="C1506" s="52"/>
      <c r="D1506" s="52"/>
    </row>
    <row r="1507" spans="1:4" ht="15.75" customHeight="1" x14ac:dyDescent="0.25">
      <c r="A1507" s="9"/>
      <c r="C1507" s="52"/>
      <c r="D1507" s="52"/>
    </row>
    <row r="1508" spans="1:4" ht="15.75" customHeight="1" x14ac:dyDescent="0.25">
      <c r="A1508" s="9"/>
      <c r="C1508" s="52"/>
      <c r="D1508" s="52"/>
    </row>
    <row r="1509" spans="1:4" ht="15.75" customHeight="1" x14ac:dyDescent="0.25">
      <c r="A1509" s="9"/>
      <c r="C1509" s="52"/>
      <c r="D1509" s="52"/>
    </row>
    <row r="1510" spans="1:4" ht="15.75" customHeight="1" x14ac:dyDescent="0.25">
      <c r="A1510" s="9"/>
      <c r="C1510" s="52"/>
      <c r="D1510" s="52"/>
    </row>
    <row r="1511" spans="1:4" ht="15.75" customHeight="1" x14ac:dyDescent="0.25">
      <c r="A1511" s="9"/>
      <c r="C1511" s="52"/>
      <c r="D1511" s="52"/>
    </row>
    <row r="1512" spans="1:4" ht="15.75" customHeight="1" x14ac:dyDescent="0.25">
      <c r="A1512" s="9"/>
      <c r="C1512" s="52"/>
      <c r="D1512" s="52"/>
    </row>
    <row r="1513" spans="1:4" ht="15.75" customHeight="1" x14ac:dyDescent="0.25">
      <c r="A1513" s="9"/>
      <c r="C1513" s="52"/>
      <c r="D1513" s="52"/>
    </row>
    <row r="1514" spans="1:4" ht="15.75" customHeight="1" x14ac:dyDescent="0.25">
      <c r="A1514" s="9"/>
      <c r="C1514" s="52"/>
      <c r="D1514" s="52"/>
    </row>
    <row r="1515" spans="1:4" ht="15.75" customHeight="1" x14ac:dyDescent="0.25">
      <c r="A1515" s="9"/>
      <c r="C1515" s="52"/>
      <c r="D1515" s="52"/>
    </row>
    <row r="1516" spans="1:4" ht="15.75" customHeight="1" x14ac:dyDescent="0.25">
      <c r="A1516" s="9"/>
      <c r="C1516" s="52"/>
      <c r="D1516" s="52"/>
    </row>
    <row r="1517" spans="1:4" ht="15.75" customHeight="1" x14ac:dyDescent="0.25">
      <c r="A1517" s="9"/>
      <c r="C1517" s="52"/>
      <c r="D1517" s="52"/>
    </row>
    <row r="1518" spans="1:4" ht="15.75" customHeight="1" x14ac:dyDescent="0.25">
      <c r="A1518" s="9"/>
      <c r="C1518" s="52"/>
      <c r="D1518" s="52"/>
    </row>
    <row r="1519" spans="1:4" ht="15.75" customHeight="1" x14ac:dyDescent="0.25">
      <c r="A1519" s="9"/>
      <c r="C1519" s="52"/>
      <c r="D1519" s="52"/>
    </row>
    <row r="1520" spans="1:4" ht="15.75" customHeight="1" x14ac:dyDescent="0.25">
      <c r="A1520" s="9"/>
      <c r="C1520" s="52"/>
      <c r="D1520" s="52"/>
    </row>
    <row r="1521" spans="1:4" ht="15.75" customHeight="1" x14ac:dyDescent="0.25">
      <c r="A1521" s="9"/>
      <c r="C1521" s="52"/>
      <c r="D1521" s="52"/>
    </row>
    <row r="1522" spans="1:4" ht="15.75" customHeight="1" x14ac:dyDescent="0.25">
      <c r="A1522" s="9"/>
      <c r="C1522" s="52"/>
      <c r="D1522" s="52"/>
    </row>
    <row r="1523" spans="1:4" ht="15.75" customHeight="1" x14ac:dyDescent="0.25">
      <c r="A1523" s="9"/>
      <c r="C1523" s="52"/>
      <c r="D1523" s="52"/>
    </row>
    <row r="1524" spans="1:4" ht="15.75" customHeight="1" x14ac:dyDescent="0.25">
      <c r="A1524" s="9"/>
      <c r="C1524" s="52"/>
      <c r="D1524" s="52"/>
    </row>
    <row r="1525" spans="1:4" ht="15.75" customHeight="1" x14ac:dyDescent="0.25">
      <c r="A1525" s="9"/>
      <c r="C1525" s="52"/>
      <c r="D1525" s="52"/>
    </row>
    <row r="1526" spans="1:4" ht="15.75" customHeight="1" x14ac:dyDescent="0.25">
      <c r="A1526" s="9"/>
      <c r="C1526" s="52"/>
      <c r="D1526" s="52"/>
    </row>
    <row r="1527" spans="1:4" ht="15.75" customHeight="1" x14ac:dyDescent="0.25">
      <c r="A1527" s="9"/>
      <c r="C1527" s="52"/>
      <c r="D1527" s="52"/>
    </row>
    <row r="1528" spans="1:4" ht="15.75" customHeight="1" x14ac:dyDescent="0.25">
      <c r="A1528" s="9"/>
      <c r="C1528" s="52"/>
      <c r="D1528" s="52"/>
    </row>
    <row r="1529" spans="1:4" ht="15.75" customHeight="1" x14ac:dyDescent="0.25">
      <c r="A1529" s="9"/>
      <c r="C1529" s="52"/>
      <c r="D1529" s="52"/>
    </row>
    <row r="1530" spans="1:4" ht="15.75" customHeight="1" x14ac:dyDescent="0.25">
      <c r="A1530" s="9"/>
      <c r="C1530" s="52"/>
      <c r="D1530" s="52"/>
    </row>
    <row r="1531" spans="1:4" ht="15.75" customHeight="1" x14ac:dyDescent="0.25">
      <c r="A1531" s="9"/>
      <c r="C1531" s="52"/>
      <c r="D1531" s="52"/>
    </row>
    <row r="1532" spans="1:4" ht="15.75" customHeight="1" x14ac:dyDescent="0.25">
      <c r="A1532" s="9"/>
      <c r="C1532" s="52"/>
      <c r="D1532" s="52"/>
    </row>
    <row r="1533" spans="1:4" ht="15.75" customHeight="1" x14ac:dyDescent="0.25">
      <c r="A1533" s="9"/>
      <c r="C1533" s="52"/>
      <c r="D1533" s="52"/>
    </row>
    <row r="1534" spans="1:4" ht="15.75" customHeight="1" x14ac:dyDescent="0.25">
      <c r="A1534" s="9"/>
      <c r="C1534" s="52"/>
      <c r="D1534" s="52"/>
    </row>
    <row r="1535" spans="1:4" ht="15.75" customHeight="1" x14ac:dyDescent="0.25">
      <c r="A1535" s="9"/>
      <c r="C1535" s="52"/>
      <c r="D1535" s="52"/>
    </row>
    <row r="1536" spans="1:4" ht="15.75" customHeight="1" x14ac:dyDescent="0.25">
      <c r="A1536" s="9"/>
      <c r="C1536" s="52"/>
      <c r="D1536" s="52"/>
    </row>
    <row r="1537" spans="1:4" ht="15.75" customHeight="1" x14ac:dyDescent="0.25">
      <c r="A1537" s="9"/>
      <c r="C1537" s="52"/>
      <c r="D1537" s="52"/>
    </row>
    <row r="1538" spans="1:4" ht="15.75" customHeight="1" x14ac:dyDescent="0.25">
      <c r="A1538" s="9"/>
      <c r="C1538" s="52"/>
      <c r="D1538" s="52"/>
    </row>
    <row r="1539" spans="1:4" ht="15.75" customHeight="1" x14ac:dyDescent="0.25">
      <c r="A1539" s="9"/>
      <c r="C1539" s="52"/>
      <c r="D1539" s="52"/>
    </row>
    <row r="1540" spans="1:4" ht="15.75" customHeight="1" x14ac:dyDescent="0.25">
      <c r="A1540" s="9"/>
      <c r="C1540" s="52"/>
      <c r="D1540" s="52"/>
    </row>
    <row r="1541" spans="1:4" ht="15.75" customHeight="1" x14ac:dyDescent="0.25">
      <c r="A1541" s="9"/>
      <c r="C1541" s="52"/>
      <c r="D1541" s="52"/>
    </row>
    <row r="1542" spans="1:4" ht="15.75" customHeight="1" x14ac:dyDescent="0.25">
      <c r="A1542" s="9"/>
      <c r="C1542" s="52"/>
      <c r="D1542" s="52"/>
    </row>
    <row r="1543" spans="1:4" ht="15.75" customHeight="1" x14ac:dyDescent="0.25">
      <c r="A1543" s="9"/>
      <c r="C1543" s="52"/>
      <c r="D1543" s="52"/>
    </row>
    <row r="1544" spans="1:4" ht="15.75" customHeight="1" x14ac:dyDescent="0.25">
      <c r="A1544" s="9"/>
      <c r="C1544" s="52"/>
      <c r="D1544" s="52"/>
    </row>
    <row r="1545" spans="1:4" ht="15.75" customHeight="1" x14ac:dyDescent="0.25">
      <c r="A1545" s="9"/>
      <c r="C1545" s="52"/>
      <c r="D1545" s="52"/>
    </row>
    <row r="1546" spans="1:4" ht="15.75" customHeight="1" x14ac:dyDescent="0.25">
      <c r="A1546" s="9"/>
      <c r="C1546" s="52"/>
      <c r="D1546" s="52"/>
    </row>
    <row r="1547" spans="1:4" ht="15.75" customHeight="1" x14ac:dyDescent="0.25">
      <c r="A1547" s="9"/>
      <c r="C1547" s="52"/>
      <c r="D1547" s="52"/>
    </row>
    <row r="1548" spans="1:4" ht="15.75" customHeight="1" x14ac:dyDescent="0.25">
      <c r="A1548" s="9"/>
      <c r="C1548" s="52"/>
      <c r="D1548" s="52"/>
    </row>
    <row r="1549" spans="1:4" ht="15.75" customHeight="1" x14ac:dyDescent="0.25">
      <c r="A1549" s="9"/>
      <c r="C1549" s="52"/>
      <c r="D1549" s="52"/>
    </row>
    <row r="1550" spans="1:4" ht="15.75" customHeight="1" x14ac:dyDescent="0.25">
      <c r="A1550" s="9"/>
      <c r="C1550" s="52"/>
      <c r="D1550" s="52"/>
    </row>
    <row r="1551" spans="1:4" ht="15.75" customHeight="1" x14ac:dyDescent="0.25">
      <c r="A1551" s="9"/>
      <c r="C1551" s="52"/>
      <c r="D1551" s="52"/>
    </row>
    <row r="1552" spans="1:4" ht="15.75" customHeight="1" x14ac:dyDescent="0.25">
      <c r="A1552" s="9"/>
      <c r="C1552" s="52"/>
      <c r="D1552" s="52"/>
    </row>
    <row r="1553" spans="1:4" ht="15.75" customHeight="1" x14ac:dyDescent="0.25">
      <c r="A1553" s="9"/>
      <c r="C1553" s="52"/>
      <c r="D1553" s="52"/>
    </row>
    <row r="1554" spans="1:4" ht="15.75" customHeight="1" x14ac:dyDescent="0.25">
      <c r="A1554" s="9"/>
      <c r="C1554" s="52"/>
      <c r="D1554" s="52"/>
    </row>
    <row r="1555" spans="1:4" ht="15.75" customHeight="1" x14ac:dyDescent="0.25">
      <c r="A1555" s="9"/>
      <c r="C1555" s="52"/>
      <c r="D1555" s="52"/>
    </row>
    <row r="1556" spans="1:4" ht="15.75" customHeight="1" x14ac:dyDescent="0.25">
      <c r="A1556" s="9"/>
      <c r="C1556" s="52"/>
      <c r="D1556" s="52"/>
    </row>
    <row r="1557" spans="1:4" ht="15.75" customHeight="1" x14ac:dyDescent="0.25">
      <c r="A1557" s="9"/>
      <c r="C1557" s="52"/>
      <c r="D1557" s="52"/>
    </row>
    <row r="1558" spans="1:4" ht="15.75" customHeight="1" x14ac:dyDescent="0.25">
      <c r="A1558" s="9"/>
      <c r="C1558" s="52"/>
      <c r="D1558" s="52"/>
    </row>
    <row r="1559" spans="1:4" ht="15.75" customHeight="1" x14ac:dyDescent="0.25">
      <c r="A1559" s="9"/>
      <c r="C1559" s="52"/>
      <c r="D1559" s="52"/>
    </row>
    <row r="1560" spans="1:4" ht="15.75" customHeight="1" x14ac:dyDescent="0.25">
      <c r="A1560" s="9"/>
      <c r="C1560" s="52"/>
      <c r="D1560" s="52"/>
    </row>
    <row r="1561" spans="1:4" ht="15.75" customHeight="1" x14ac:dyDescent="0.25">
      <c r="A1561" s="9"/>
      <c r="C1561" s="52"/>
      <c r="D1561" s="52"/>
    </row>
    <row r="1562" spans="1:4" ht="15.75" customHeight="1" x14ac:dyDescent="0.25">
      <c r="A1562" s="9"/>
      <c r="C1562" s="52"/>
      <c r="D1562" s="52"/>
    </row>
    <row r="1563" spans="1:4" ht="15.75" customHeight="1" x14ac:dyDescent="0.25">
      <c r="A1563" s="9"/>
      <c r="C1563" s="52"/>
      <c r="D1563" s="52"/>
    </row>
    <row r="1564" spans="1:4" ht="15.75" customHeight="1" x14ac:dyDescent="0.25">
      <c r="A1564" s="9"/>
      <c r="C1564" s="52"/>
      <c r="D1564" s="52"/>
    </row>
    <row r="1565" spans="1:4" ht="15.75" customHeight="1" x14ac:dyDescent="0.25">
      <c r="A1565" s="9"/>
      <c r="C1565" s="52"/>
      <c r="D1565" s="52"/>
    </row>
    <row r="1566" spans="1:4" ht="15.75" customHeight="1" x14ac:dyDescent="0.25">
      <c r="A1566" s="9"/>
      <c r="C1566" s="52"/>
      <c r="D1566" s="52"/>
    </row>
    <row r="1567" spans="1:4" ht="15.75" customHeight="1" x14ac:dyDescent="0.25">
      <c r="A1567" s="9"/>
      <c r="C1567" s="52"/>
      <c r="D1567" s="52"/>
    </row>
    <row r="1568" spans="1:4" ht="15.75" customHeight="1" x14ac:dyDescent="0.25">
      <c r="A1568" s="9"/>
      <c r="C1568" s="52"/>
      <c r="D1568" s="52"/>
    </row>
    <row r="1569" spans="1:4" ht="15.75" customHeight="1" x14ac:dyDescent="0.25">
      <c r="A1569" s="9"/>
      <c r="C1569" s="52"/>
      <c r="D1569" s="52"/>
    </row>
    <row r="1570" spans="1:4" ht="15.75" customHeight="1" x14ac:dyDescent="0.25">
      <c r="A1570" s="9"/>
      <c r="C1570" s="52"/>
      <c r="D1570" s="52"/>
    </row>
    <row r="1571" spans="1:4" ht="15.75" customHeight="1" x14ac:dyDescent="0.25">
      <c r="A1571" s="9"/>
      <c r="C1571" s="52"/>
      <c r="D1571" s="52"/>
    </row>
    <row r="1572" spans="1:4" ht="15.75" customHeight="1" x14ac:dyDescent="0.25">
      <c r="A1572" s="9"/>
      <c r="C1572" s="52"/>
      <c r="D1572" s="52"/>
    </row>
    <row r="1573" spans="1:4" ht="15.75" customHeight="1" x14ac:dyDescent="0.25">
      <c r="A1573" s="9"/>
      <c r="C1573" s="52"/>
      <c r="D1573" s="52"/>
    </row>
    <row r="1574" spans="1:4" ht="15.75" customHeight="1" x14ac:dyDescent="0.25">
      <c r="A1574" s="9"/>
      <c r="C1574" s="52"/>
      <c r="D1574" s="52"/>
    </row>
    <row r="1575" spans="1:4" ht="15.75" customHeight="1" x14ac:dyDescent="0.25">
      <c r="A1575" s="9"/>
      <c r="C1575" s="52"/>
      <c r="D1575" s="52"/>
    </row>
    <row r="1576" spans="1:4" ht="15.75" customHeight="1" x14ac:dyDescent="0.25">
      <c r="A1576" s="9"/>
      <c r="C1576" s="52"/>
      <c r="D1576" s="52"/>
    </row>
    <row r="1577" spans="1:4" ht="15.75" customHeight="1" x14ac:dyDescent="0.25">
      <c r="A1577" s="9"/>
      <c r="C1577" s="52"/>
      <c r="D1577" s="52"/>
    </row>
    <row r="1578" spans="1:4" ht="15.75" customHeight="1" x14ac:dyDescent="0.25">
      <c r="A1578" s="9"/>
      <c r="C1578" s="52"/>
      <c r="D1578" s="52"/>
    </row>
    <row r="1579" spans="1:4" ht="15.75" customHeight="1" x14ac:dyDescent="0.25">
      <c r="A1579" s="9"/>
      <c r="C1579" s="52"/>
      <c r="D1579" s="52"/>
    </row>
    <row r="1580" spans="1:4" ht="15.75" customHeight="1" x14ac:dyDescent="0.25">
      <c r="A1580" s="9"/>
      <c r="C1580" s="52"/>
      <c r="D1580" s="52"/>
    </row>
    <row r="1581" spans="1:4" ht="15.75" customHeight="1" x14ac:dyDescent="0.25">
      <c r="A1581" s="9"/>
      <c r="C1581" s="52"/>
      <c r="D1581" s="52"/>
    </row>
    <row r="1582" spans="1:4" ht="15.75" customHeight="1" x14ac:dyDescent="0.25">
      <c r="A1582" s="9"/>
      <c r="C1582" s="52"/>
      <c r="D1582" s="52"/>
    </row>
    <row r="1583" spans="1:4" ht="15.75" customHeight="1" x14ac:dyDescent="0.25">
      <c r="A1583" s="9"/>
      <c r="C1583" s="52"/>
      <c r="D1583" s="52"/>
    </row>
    <row r="1584" spans="1:4" ht="15.75" customHeight="1" x14ac:dyDescent="0.25">
      <c r="A1584" s="9"/>
      <c r="C1584" s="52"/>
      <c r="D1584" s="52"/>
    </row>
    <row r="1585" spans="1:4" ht="15.75" customHeight="1" x14ac:dyDescent="0.25">
      <c r="A1585" s="9"/>
      <c r="C1585" s="52"/>
      <c r="D1585" s="52"/>
    </row>
    <row r="1586" spans="1:4" ht="15.75" customHeight="1" x14ac:dyDescent="0.25">
      <c r="A1586" s="9"/>
      <c r="C1586" s="52"/>
      <c r="D1586" s="52"/>
    </row>
    <row r="1587" spans="1:4" ht="15.75" customHeight="1" x14ac:dyDescent="0.25">
      <c r="A1587" s="9"/>
      <c r="C1587" s="52"/>
      <c r="D1587" s="52"/>
    </row>
    <row r="1588" spans="1:4" ht="15.75" customHeight="1" x14ac:dyDescent="0.25">
      <c r="A1588" s="9"/>
      <c r="C1588" s="52"/>
      <c r="D1588" s="52"/>
    </row>
    <row r="1589" spans="1:4" ht="15.75" customHeight="1" x14ac:dyDescent="0.25">
      <c r="A1589" s="9"/>
      <c r="C1589" s="52"/>
      <c r="D1589" s="52"/>
    </row>
    <row r="1590" spans="1:4" ht="15.75" customHeight="1" x14ac:dyDescent="0.25">
      <c r="A1590" s="9"/>
      <c r="C1590" s="52"/>
      <c r="D1590" s="52"/>
    </row>
    <row r="1591" spans="1:4" ht="15.75" customHeight="1" x14ac:dyDescent="0.25">
      <c r="A1591" s="9"/>
      <c r="C1591" s="52"/>
      <c r="D1591" s="52"/>
    </row>
    <row r="1592" spans="1:4" ht="15.75" customHeight="1" x14ac:dyDescent="0.25">
      <c r="A1592" s="9"/>
      <c r="C1592" s="52"/>
      <c r="D1592" s="52"/>
    </row>
    <row r="1593" spans="1:4" ht="15.75" customHeight="1" x14ac:dyDescent="0.25">
      <c r="A1593" s="9"/>
      <c r="C1593" s="52"/>
      <c r="D1593" s="52"/>
    </row>
    <row r="1594" spans="1:4" ht="15.75" customHeight="1" x14ac:dyDescent="0.25">
      <c r="A1594" s="9"/>
      <c r="C1594" s="52"/>
      <c r="D1594" s="52"/>
    </row>
    <row r="1595" spans="1:4" ht="15.75" customHeight="1" x14ac:dyDescent="0.25">
      <c r="A1595" s="9"/>
      <c r="C1595" s="52"/>
      <c r="D1595" s="52"/>
    </row>
    <row r="1596" spans="1:4" ht="15.75" customHeight="1" x14ac:dyDescent="0.25">
      <c r="A1596" s="9"/>
      <c r="C1596" s="52"/>
      <c r="D1596" s="52"/>
    </row>
    <row r="1597" spans="1:4" ht="15.75" customHeight="1" x14ac:dyDescent="0.25">
      <c r="A1597" s="9"/>
      <c r="C1597" s="52"/>
      <c r="D1597" s="52"/>
    </row>
    <row r="1598" spans="1:4" ht="15.75" customHeight="1" x14ac:dyDescent="0.25">
      <c r="A1598" s="9"/>
      <c r="C1598" s="52"/>
      <c r="D1598" s="52"/>
    </row>
    <row r="1599" spans="1:4" ht="15.75" customHeight="1" x14ac:dyDescent="0.25">
      <c r="A1599" s="9"/>
      <c r="C1599" s="52"/>
      <c r="D1599" s="52"/>
    </row>
    <row r="1600" spans="1:4" ht="15.75" customHeight="1" x14ac:dyDescent="0.25">
      <c r="A1600" s="9"/>
      <c r="C1600" s="52"/>
      <c r="D1600" s="52"/>
    </row>
    <row r="1601" spans="1:4" ht="15.75" customHeight="1" x14ac:dyDescent="0.25">
      <c r="A1601" s="9"/>
      <c r="C1601" s="52"/>
      <c r="D1601" s="52"/>
    </row>
    <row r="1602" spans="1:4" ht="15.75" customHeight="1" x14ac:dyDescent="0.25">
      <c r="A1602" s="9"/>
      <c r="C1602" s="52"/>
      <c r="D1602" s="52"/>
    </row>
    <row r="1603" spans="1:4" ht="15.75" customHeight="1" x14ac:dyDescent="0.25">
      <c r="A1603" s="9"/>
      <c r="C1603" s="52"/>
      <c r="D1603" s="52"/>
    </row>
    <row r="1604" spans="1:4" ht="15.75" customHeight="1" x14ac:dyDescent="0.25">
      <c r="A1604" s="9"/>
      <c r="C1604" s="52"/>
      <c r="D1604" s="52"/>
    </row>
    <row r="1605" spans="1:4" ht="15.75" customHeight="1" x14ac:dyDescent="0.25">
      <c r="A1605" s="9"/>
      <c r="C1605" s="52"/>
      <c r="D1605" s="52"/>
    </row>
    <row r="1606" spans="1:4" ht="15.75" customHeight="1" x14ac:dyDescent="0.25">
      <c r="A1606" s="9"/>
      <c r="C1606" s="52"/>
      <c r="D1606" s="52"/>
    </row>
    <row r="1607" spans="1:4" ht="15.75" customHeight="1" x14ac:dyDescent="0.25">
      <c r="A1607" s="9"/>
      <c r="C1607" s="52"/>
      <c r="D1607" s="52"/>
    </row>
    <row r="1608" spans="1:4" ht="15.75" customHeight="1" x14ac:dyDescent="0.25">
      <c r="A1608" s="9"/>
      <c r="C1608" s="52"/>
      <c r="D1608" s="52"/>
    </row>
    <row r="1609" spans="1:4" ht="15.75" customHeight="1" x14ac:dyDescent="0.25">
      <c r="A1609" s="9"/>
      <c r="C1609" s="52"/>
      <c r="D1609" s="52"/>
    </row>
    <row r="1610" spans="1:4" ht="15.75" customHeight="1" x14ac:dyDescent="0.25">
      <c r="A1610" s="9"/>
      <c r="C1610" s="52"/>
      <c r="D1610" s="52"/>
    </row>
    <row r="1611" spans="1:4" ht="15.75" customHeight="1" x14ac:dyDescent="0.25">
      <c r="A1611" s="9"/>
      <c r="C1611" s="52"/>
      <c r="D1611" s="52"/>
    </row>
    <row r="1612" spans="1:4" ht="15.75" customHeight="1" x14ac:dyDescent="0.25">
      <c r="A1612" s="9"/>
      <c r="C1612" s="52"/>
      <c r="D1612" s="52"/>
    </row>
    <row r="1613" spans="1:4" ht="15.75" customHeight="1" x14ac:dyDescent="0.25">
      <c r="A1613" s="9"/>
      <c r="C1613" s="52"/>
      <c r="D1613" s="52"/>
    </row>
    <row r="1614" spans="1:4" ht="15.75" customHeight="1" x14ac:dyDescent="0.25">
      <c r="A1614" s="9"/>
      <c r="C1614" s="52"/>
      <c r="D1614" s="52"/>
    </row>
    <row r="1615" spans="1:4" ht="15.75" customHeight="1" x14ac:dyDescent="0.25">
      <c r="A1615" s="9"/>
      <c r="C1615" s="52"/>
      <c r="D1615" s="52"/>
    </row>
    <row r="1616" spans="1:4" ht="15.75" customHeight="1" x14ac:dyDescent="0.25">
      <c r="A1616" s="9"/>
      <c r="C1616" s="52"/>
      <c r="D1616" s="52"/>
    </row>
    <row r="1617" spans="1:4" ht="15.75" customHeight="1" x14ac:dyDescent="0.25">
      <c r="A1617" s="9"/>
      <c r="C1617" s="52"/>
      <c r="D1617" s="52"/>
    </row>
    <row r="1618" spans="1:4" ht="15.75" customHeight="1" x14ac:dyDescent="0.25">
      <c r="A1618" s="9"/>
      <c r="C1618" s="52"/>
      <c r="D1618" s="52"/>
    </row>
    <row r="1619" spans="1:4" ht="15.75" customHeight="1" x14ac:dyDescent="0.25">
      <c r="A1619" s="9"/>
      <c r="C1619" s="52"/>
      <c r="D1619" s="52"/>
    </row>
    <row r="1620" spans="1:4" ht="15.75" customHeight="1" x14ac:dyDescent="0.25">
      <c r="A1620" s="9"/>
      <c r="C1620" s="52"/>
      <c r="D1620" s="52"/>
    </row>
    <row r="1621" spans="1:4" ht="15.75" customHeight="1" x14ac:dyDescent="0.25">
      <c r="A1621" s="9"/>
      <c r="C1621" s="52"/>
      <c r="D1621" s="52"/>
    </row>
    <row r="1622" spans="1:4" ht="15.75" customHeight="1" x14ac:dyDescent="0.25">
      <c r="A1622" s="9"/>
      <c r="C1622" s="52"/>
      <c r="D1622" s="52"/>
    </row>
    <row r="1623" spans="1:4" ht="15.75" customHeight="1" x14ac:dyDescent="0.25">
      <c r="A1623" s="9"/>
      <c r="C1623" s="52"/>
      <c r="D1623" s="52"/>
    </row>
    <row r="1624" spans="1:4" ht="15.75" customHeight="1" x14ac:dyDescent="0.25">
      <c r="A1624" s="9"/>
      <c r="C1624" s="52"/>
      <c r="D1624" s="52"/>
    </row>
    <row r="1625" spans="1:4" ht="15.75" customHeight="1" x14ac:dyDescent="0.25">
      <c r="A1625" s="9"/>
      <c r="C1625" s="52"/>
      <c r="D1625" s="52"/>
    </row>
    <row r="1626" spans="1:4" ht="15.75" customHeight="1" x14ac:dyDescent="0.25">
      <c r="A1626" s="9"/>
      <c r="C1626" s="52"/>
      <c r="D1626" s="52"/>
    </row>
    <row r="1627" spans="1:4" ht="15.75" customHeight="1" x14ac:dyDescent="0.25">
      <c r="A1627" s="9"/>
      <c r="C1627" s="52"/>
      <c r="D1627" s="52"/>
    </row>
    <row r="1628" spans="1:4" ht="15.75" customHeight="1" x14ac:dyDescent="0.25">
      <c r="A1628" s="9"/>
      <c r="C1628" s="52"/>
      <c r="D1628" s="52"/>
    </row>
    <row r="1629" spans="1:4" ht="15.75" customHeight="1" x14ac:dyDescent="0.25">
      <c r="A1629" s="9"/>
      <c r="C1629" s="52"/>
      <c r="D1629" s="52"/>
    </row>
    <row r="1630" spans="1:4" ht="15.75" customHeight="1" x14ac:dyDescent="0.25">
      <c r="A1630" s="9"/>
      <c r="C1630" s="52"/>
      <c r="D1630" s="52"/>
    </row>
    <row r="1631" spans="1:4" ht="15.75" customHeight="1" x14ac:dyDescent="0.25">
      <c r="A1631" s="9"/>
      <c r="C1631" s="52"/>
      <c r="D1631" s="52"/>
    </row>
    <row r="1632" spans="1:4" ht="15.75" customHeight="1" x14ac:dyDescent="0.25">
      <c r="A1632" s="9"/>
      <c r="C1632" s="52"/>
      <c r="D1632" s="52"/>
    </row>
    <row r="1633" spans="1:4" ht="15.75" customHeight="1" x14ac:dyDescent="0.25">
      <c r="A1633" s="9"/>
      <c r="C1633" s="52"/>
      <c r="D1633" s="52"/>
    </row>
    <row r="1634" spans="1:4" ht="15.75" customHeight="1" x14ac:dyDescent="0.25">
      <c r="A1634" s="9"/>
      <c r="C1634" s="52"/>
      <c r="D1634" s="52"/>
    </row>
    <row r="1635" spans="1:4" ht="15.75" customHeight="1" x14ac:dyDescent="0.25">
      <c r="A1635" s="9"/>
      <c r="C1635" s="52"/>
      <c r="D1635" s="52"/>
    </row>
    <row r="1636" spans="1:4" ht="15.75" customHeight="1" x14ac:dyDescent="0.25">
      <c r="A1636" s="9"/>
      <c r="C1636" s="52"/>
      <c r="D1636" s="52"/>
    </row>
    <row r="1637" spans="1:4" ht="15.75" customHeight="1" x14ac:dyDescent="0.25">
      <c r="A1637" s="9"/>
      <c r="C1637" s="52"/>
      <c r="D1637" s="52"/>
    </row>
    <row r="1638" spans="1:4" ht="15.75" customHeight="1" x14ac:dyDescent="0.25">
      <c r="A1638" s="9"/>
      <c r="C1638" s="52"/>
      <c r="D1638" s="52"/>
    </row>
    <row r="1639" spans="1:4" ht="15.75" customHeight="1" x14ac:dyDescent="0.25">
      <c r="A1639" s="9"/>
      <c r="C1639" s="52"/>
      <c r="D1639" s="52"/>
    </row>
    <row r="1640" spans="1:4" ht="15.75" customHeight="1" x14ac:dyDescent="0.25">
      <c r="A1640" s="9"/>
      <c r="C1640" s="52"/>
      <c r="D1640" s="52"/>
    </row>
    <row r="1641" spans="1:4" ht="15.75" customHeight="1" x14ac:dyDescent="0.25">
      <c r="A1641" s="9"/>
      <c r="C1641" s="52"/>
      <c r="D1641" s="52"/>
    </row>
    <row r="1642" spans="1:4" ht="15.75" customHeight="1" x14ac:dyDescent="0.25">
      <c r="A1642" s="9"/>
      <c r="C1642" s="52"/>
      <c r="D1642" s="52"/>
    </row>
    <row r="1643" spans="1:4" ht="15.75" customHeight="1" x14ac:dyDescent="0.25">
      <c r="A1643" s="9"/>
      <c r="C1643" s="52"/>
      <c r="D1643" s="52"/>
    </row>
    <row r="1644" spans="1:4" ht="15.75" customHeight="1" x14ac:dyDescent="0.25">
      <c r="A1644" s="9"/>
      <c r="C1644" s="52"/>
      <c r="D1644" s="52"/>
    </row>
    <row r="1645" spans="1:4" ht="15.75" customHeight="1" x14ac:dyDescent="0.25">
      <c r="A1645" s="9"/>
      <c r="C1645" s="52"/>
      <c r="D1645" s="52"/>
    </row>
    <row r="1646" spans="1:4" ht="15.75" customHeight="1" x14ac:dyDescent="0.25">
      <c r="A1646" s="9"/>
      <c r="C1646" s="52"/>
      <c r="D1646" s="52"/>
    </row>
    <row r="1647" spans="1:4" ht="15.75" customHeight="1" x14ac:dyDescent="0.25">
      <c r="A1647" s="9"/>
      <c r="C1647" s="52"/>
      <c r="D1647" s="52"/>
    </row>
    <row r="1648" spans="1:4" ht="15.75" customHeight="1" x14ac:dyDescent="0.25">
      <c r="A1648" s="9"/>
      <c r="C1648" s="52"/>
      <c r="D1648" s="52"/>
    </row>
    <row r="1649" spans="1:4" ht="15.75" customHeight="1" x14ac:dyDescent="0.25">
      <c r="A1649" s="9"/>
      <c r="C1649" s="52"/>
      <c r="D1649" s="52"/>
    </row>
    <row r="1650" spans="1:4" ht="15.75" customHeight="1" x14ac:dyDescent="0.25">
      <c r="A1650" s="9"/>
      <c r="C1650" s="52"/>
      <c r="D1650" s="52"/>
    </row>
    <row r="1651" spans="1:4" ht="15.75" customHeight="1" x14ac:dyDescent="0.25">
      <c r="A1651" s="9"/>
      <c r="C1651" s="52"/>
      <c r="D1651" s="52"/>
    </row>
    <row r="1652" spans="1:4" ht="15.75" customHeight="1" x14ac:dyDescent="0.25">
      <c r="A1652" s="9"/>
      <c r="C1652" s="52"/>
      <c r="D1652" s="52"/>
    </row>
    <row r="1653" spans="1:4" ht="15.75" customHeight="1" x14ac:dyDescent="0.25">
      <c r="A1653" s="9"/>
      <c r="C1653" s="52"/>
      <c r="D1653" s="52"/>
    </row>
    <row r="1654" spans="1:4" ht="15.75" customHeight="1" x14ac:dyDescent="0.25">
      <c r="A1654" s="9"/>
      <c r="C1654" s="52"/>
      <c r="D1654" s="52"/>
    </row>
    <row r="1655" spans="1:4" ht="15.75" customHeight="1" x14ac:dyDescent="0.25">
      <c r="A1655" s="9"/>
      <c r="C1655" s="52"/>
      <c r="D1655" s="52"/>
    </row>
    <row r="1656" spans="1:4" ht="15.75" customHeight="1" x14ac:dyDescent="0.25">
      <c r="A1656" s="9"/>
      <c r="C1656" s="52"/>
      <c r="D1656" s="52"/>
    </row>
    <row r="1657" spans="1:4" ht="15.75" customHeight="1" x14ac:dyDescent="0.25">
      <c r="A1657" s="9"/>
      <c r="C1657" s="52"/>
      <c r="D1657" s="52"/>
    </row>
    <row r="1658" spans="1:4" ht="15.75" customHeight="1" x14ac:dyDescent="0.25">
      <c r="A1658" s="9"/>
      <c r="C1658" s="52"/>
      <c r="D1658" s="52"/>
    </row>
    <row r="1659" spans="1:4" ht="15.75" customHeight="1" x14ac:dyDescent="0.25">
      <c r="A1659" s="9"/>
      <c r="C1659" s="52"/>
      <c r="D1659" s="52"/>
    </row>
    <row r="1660" spans="1:4" ht="15.75" customHeight="1" x14ac:dyDescent="0.25">
      <c r="A1660" s="9"/>
      <c r="C1660" s="52"/>
      <c r="D1660" s="52"/>
    </row>
    <row r="1661" spans="1:4" ht="15.75" customHeight="1" x14ac:dyDescent="0.25">
      <c r="A1661" s="9"/>
      <c r="C1661" s="52"/>
      <c r="D1661" s="52"/>
    </row>
    <row r="1662" spans="1:4" ht="15.75" customHeight="1" x14ac:dyDescent="0.25">
      <c r="A1662" s="9"/>
      <c r="C1662" s="52"/>
      <c r="D1662" s="52"/>
    </row>
    <row r="1663" spans="1:4" ht="15.75" customHeight="1" x14ac:dyDescent="0.25">
      <c r="A1663" s="9"/>
      <c r="C1663" s="52"/>
      <c r="D1663" s="52"/>
    </row>
    <row r="1664" spans="1:4" ht="15.75" customHeight="1" x14ac:dyDescent="0.25">
      <c r="A1664" s="9"/>
      <c r="C1664" s="52"/>
      <c r="D1664" s="52"/>
    </row>
    <row r="1665" spans="1:4" ht="15.75" customHeight="1" x14ac:dyDescent="0.25">
      <c r="A1665" s="9"/>
      <c r="C1665" s="52"/>
      <c r="D1665" s="52"/>
    </row>
    <row r="1666" spans="1:4" ht="15.75" customHeight="1" x14ac:dyDescent="0.25">
      <c r="A1666" s="9"/>
      <c r="C1666" s="52"/>
      <c r="D1666" s="52"/>
    </row>
    <row r="1667" spans="1:4" ht="15.75" customHeight="1" x14ac:dyDescent="0.25">
      <c r="A1667" s="9"/>
      <c r="C1667" s="52"/>
      <c r="D1667" s="52"/>
    </row>
    <row r="1668" spans="1:4" ht="15.75" customHeight="1" x14ac:dyDescent="0.25">
      <c r="A1668" s="9"/>
      <c r="C1668" s="52"/>
      <c r="D1668" s="52"/>
    </row>
    <row r="1669" spans="1:4" ht="15.75" customHeight="1" x14ac:dyDescent="0.25">
      <c r="A1669" s="9"/>
      <c r="C1669" s="52"/>
      <c r="D1669" s="52"/>
    </row>
    <row r="1670" spans="1:4" ht="15.75" customHeight="1" x14ac:dyDescent="0.25">
      <c r="A1670" s="9"/>
      <c r="C1670" s="52"/>
      <c r="D1670" s="52"/>
    </row>
    <row r="1671" spans="1:4" ht="15.75" customHeight="1" x14ac:dyDescent="0.25">
      <c r="A1671" s="9"/>
      <c r="C1671" s="52"/>
      <c r="D1671" s="52"/>
    </row>
    <row r="1672" spans="1:4" ht="15.75" customHeight="1" x14ac:dyDescent="0.25">
      <c r="A1672" s="9"/>
      <c r="C1672" s="52"/>
      <c r="D1672" s="52"/>
    </row>
    <row r="1673" spans="1:4" ht="15.75" customHeight="1" x14ac:dyDescent="0.25">
      <c r="A1673" s="9"/>
      <c r="C1673" s="52"/>
      <c r="D1673" s="52"/>
    </row>
    <row r="1674" spans="1:4" ht="15.75" customHeight="1" x14ac:dyDescent="0.25">
      <c r="A1674" s="9"/>
      <c r="C1674" s="52"/>
      <c r="D1674" s="52"/>
    </row>
    <row r="1675" spans="1:4" ht="15.75" customHeight="1" x14ac:dyDescent="0.25">
      <c r="A1675" s="9"/>
      <c r="C1675" s="52"/>
      <c r="D1675" s="52"/>
    </row>
    <row r="1676" spans="1:4" ht="15.75" customHeight="1" x14ac:dyDescent="0.25">
      <c r="A1676" s="9"/>
      <c r="C1676" s="52"/>
      <c r="D1676" s="52"/>
    </row>
    <row r="1677" spans="1:4" ht="15.75" customHeight="1" x14ac:dyDescent="0.25">
      <c r="A1677" s="9"/>
      <c r="C1677" s="52"/>
      <c r="D1677" s="52"/>
    </row>
    <row r="1678" spans="1:4" ht="15.75" customHeight="1" x14ac:dyDescent="0.25">
      <c r="A1678" s="9"/>
      <c r="C1678" s="52"/>
      <c r="D1678" s="52"/>
    </row>
    <row r="1679" spans="1:4" ht="15.75" customHeight="1" x14ac:dyDescent="0.25">
      <c r="A1679" s="9"/>
      <c r="C1679" s="52"/>
      <c r="D1679" s="52"/>
    </row>
    <row r="1680" spans="1:4" ht="15.75" customHeight="1" x14ac:dyDescent="0.25">
      <c r="A1680" s="9"/>
      <c r="C1680" s="52"/>
      <c r="D1680" s="52"/>
    </row>
    <row r="1681" spans="1:4" ht="15.75" customHeight="1" x14ac:dyDescent="0.25">
      <c r="A1681" s="9"/>
      <c r="C1681" s="52"/>
      <c r="D1681" s="52"/>
    </row>
    <row r="1682" spans="1:4" ht="15.75" customHeight="1" x14ac:dyDescent="0.25">
      <c r="A1682" s="9"/>
      <c r="C1682" s="52"/>
      <c r="D1682" s="52"/>
    </row>
    <row r="1683" spans="1:4" ht="15.75" customHeight="1" x14ac:dyDescent="0.25">
      <c r="A1683" s="9"/>
      <c r="C1683" s="52"/>
      <c r="D1683" s="52"/>
    </row>
    <row r="1684" spans="1:4" ht="15.75" customHeight="1" x14ac:dyDescent="0.25">
      <c r="A1684" s="9"/>
      <c r="C1684" s="52"/>
      <c r="D1684" s="52"/>
    </row>
    <row r="1685" spans="1:4" ht="15.75" customHeight="1" x14ac:dyDescent="0.25">
      <c r="A1685" s="9"/>
      <c r="C1685" s="52"/>
      <c r="D1685" s="52"/>
    </row>
    <row r="1686" spans="1:4" ht="15.75" customHeight="1" x14ac:dyDescent="0.25">
      <c r="A1686" s="9"/>
      <c r="C1686" s="52"/>
      <c r="D1686" s="52"/>
    </row>
    <row r="1687" spans="1:4" ht="15.75" customHeight="1" x14ac:dyDescent="0.25">
      <c r="A1687" s="9"/>
      <c r="C1687" s="52"/>
      <c r="D1687" s="52"/>
    </row>
    <row r="1688" spans="1:4" ht="15.75" customHeight="1" x14ac:dyDescent="0.25">
      <c r="A1688" s="9"/>
      <c r="C1688" s="52"/>
      <c r="D1688" s="52"/>
    </row>
    <row r="1689" spans="1:4" ht="15.75" customHeight="1" x14ac:dyDescent="0.25">
      <c r="A1689" s="9"/>
      <c r="C1689" s="52"/>
      <c r="D1689" s="52"/>
    </row>
    <row r="1690" spans="1:4" ht="15.75" customHeight="1" x14ac:dyDescent="0.25">
      <c r="A1690" s="9"/>
      <c r="C1690" s="52"/>
      <c r="D1690" s="52"/>
    </row>
    <row r="1691" spans="1:4" ht="15.75" customHeight="1" x14ac:dyDescent="0.25">
      <c r="A1691" s="9"/>
      <c r="C1691" s="52"/>
      <c r="D1691" s="52"/>
    </row>
    <row r="1692" spans="1:4" ht="15.75" customHeight="1" x14ac:dyDescent="0.25">
      <c r="A1692" s="9"/>
      <c r="C1692" s="52"/>
      <c r="D1692" s="52"/>
    </row>
    <row r="1693" spans="1:4" ht="15.75" customHeight="1" x14ac:dyDescent="0.25">
      <c r="A1693" s="9"/>
      <c r="C1693" s="52"/>
      <c r="D1693" s="52"/>
    </row>
    <row r="1694" spans="1:4" ht="15.75" customHeight="1" x14ac:dyDescent="0.25">
      <c r="A1694" s="9"/>
      <c r="C1694" s="52"/>
      <c r="D1694" s="52"/>
    </row>
    <row r="1695" spans="1:4" ht="15.75" customHeight="1" x14ac:dyDescent="0.25">
      <c r="A1695" s="9"/>
      <c r="C1695" s="52"/>
      <c r="D1695" s="52"/>
    </row>
    <row r="1696" spans="1:4" ht="15.75" customHeight="1" x14ac:dyDescent="0.25">
      <c r="A1696" s="9"/>
      <c r="C1696" s="52"/>
      <c r="D1696" s="52"/>
    </row>
    <row r="1697" spans="1:4" ht="15.75" customHeight="1" x14ac:dyDescent="0.25">
      <c r="A1697" s="9"/>
      <c r="C1697" s="52"/>
      <c r="D1697" s="52"/>
    </row>
    <row r="1698" spans="1:4" ht="15.75" customHeight="1" x14ac:dyDescent="0.25">
      <c r="A1698" s="9"/>
      <c r="C1698" s="52"/>
      <c r="D1698" s="52"/>
    </row>
    <row r="1699" spans="1:4" ht="15.75" customHeight="1" x14ac:dyDescent="0.25">
      <c r="A1699" s="9"/>
      <c r="C1699" s="52"/>
      <c r="D1699" s="52"/>
    </row>
    <row r="1700" spans="1:4" ht="15.75" customHeight="1" x14ac:dyDescent="0.25">
      <c r="A1700" s="9"/>
      <c r="C1700" s="52"/>
      <c r="D1700" s="52"/>
    </row>
    <row r="1701" spans="1:4" ht="15.75" customHeight="1" x14ac:dyDescent="0.25">
      <c r="A1701" s="9"/>
      <c r="C1701" s="52"/>
      <c r="D1701" s="52"/>
    </row>
    <row r="1702" spans="1:4" ht="15.75" customHeight="1" x14ac:dyDescent="0.25">
      <c r="A1702" s="9"/>
      <c r="C1702" s="52"/>
      <c r="D1702" s="52"/>
    </row>
    <row r="1703" spans="1:4" ht="15.75" customHeight="1" x14ac:dyDescent="0.25">
      <c r="A1703" s="9"/>
      <c r="C1703" s="52"/>
      <c r="D1703" s="52"/>
    </row>
    <row r="1704" spans="1:4" ht="15.75" customHeight="1" x14ac:dyDescent="0.25">
      <c r="A1704" s="9"/>
      <c r="C1704" s="52"/>
      <c r="D1704" s="52"/>
    </row>
    <row r="1705" spans="1:4" ht="15.75" customHeight="1" x14ac:dyDescent="0.25">
      <c r="A1705" s="9"/>
      <c r="C1705" s="52"/>
      <c r="D1705" s="52"/>
    </row>
    <row r="1706" spans="1:4" ht="15.75" customHeight="1" x14ac:dyDescent="0.25">
      <c r="A1706" s="9"/>
      <c r="C1706" s="52"/>
      <c r="D1706" s="52"/>
    </row>
    <row r="1707" spans="1:4" ht="15.75" customHeight="1" x14ac:dyDescent="0.25">
      <c r="A1707" s="9"/>
      <c r="C1707" s="52"/>
      <c r="D1707" s="52"/>
    </row>
    <row r="1708" spans="1:4" ht="15.75" customHeight="1" x14ac:dyDescent="0.25">
      <c r="A1708" s="9"/>
      <c r="C1708" s="52"/>
      <c r="D1708" s="52"/>
    </row>
    <row r="1709" spans="1:4" ht="15.75" customHeight="1" x14ac:dyDescent="0.25">
      <c r="A1709" s="9"/>
      <c r="C1709" s="52"/>
      <c r="D1709" s="52"/>
    </row>
    <row r="1710" spans="1:4" ht="15.75" customHeight="1" x14ac:dyDescent="0.25">
      <c r="A1710" s="9"/>
      <c r="C1710" s="52"/>
      <c r="D1710" s="52"/>
    </row>
    <row r="1711" spans="1:4" ht="15.75" customHeight="1" x14ac:dyDescent="0.25">
      <c r="A1711" s="9"/>
      <c r="C1711" s="52"/>
      <c r="D1711" s="52"/>
    </row>
    <row r="1712" spans="1:4" ht="15.75" customHeight="1" x14ac:dyDescent="0.25">
      <c r="A1712" s="9"/>
      <c r="C1712" s="52"/>
      <c r="D1712" s="52"/>
    </row>
    <row r="1713" spans="1:4" ht="15.75" customHeight="1" x14ac:dyDescent="0.25">
      <c r="A1713" s="9"/>
      <c r="C1713" s="52"/>
      <c r="D1713" s="52"/>
    </row>
    <row r="1714" spans="1:4" ht="15.75" customHeight="1" x14ac:dyDescent="0.25">
      <c r="A1714" s="9"/>
      <c r="C1714" s="52"/>
      <c r="D1714" s="52"/>
    </row>
    <row r="1715" spans="1:4" ht="15.75" customHeight="1" x14ac:dyDescent="0.25">
      <c r="A1715" s="9"/>
      <c r="C1715" s="52"/>
      <c r="D1715" s="52"/>
    </row>
    <row r="1716" spans="1:4" ht="15.75" customHeight="1" x14ac:dyDescent="0.25">
      <c r="A1716" s="9"/>
      <c r="C1716" s="52"/>
      <c r="D1716" s="52"/>
    </row>
    <row r="1717" spans="1:4" ht="15.75" customHeight="1" x14ac:dyDescent="0.25">
      <c r="A1717" s="9"/>
      <c r="C1717" s="52"/>
      <c r="D1717" s="52"/>
    </row>
    <row r="1718" spans="1:4" ht="15.75" customHeight="1" x14ac:dyDescent="0.25">
      <c r="A1718" s="9"/>
      <c r="C1718" s="52"/>
      <c r="D1718" s="52"/>
    </row>
    <row r="1719" spans="1:4" ht="15.75" customHeight="1" x14ac:dyDescent="0.25">
      <c r="A1719" s="9"/>
      <c r="C1719" s="52"/>
      <c r="D1719" s="52"/>
    </row>
    <row r="1720" spans="1:4" ht="15.75" customHeight="1" x14ac:dyDescent="0.25">
      <c r="A1720" s="9"/>
      <c r="C1720" s="52"/>
      <c r="D1720" s="52"/>
    </row>
    <row r="1721" spans="1:4" ht="15.75" customHeight="1" x14ac:dyDescent="0.25">
      <c r="A1721" s="9"/>
      <c r="C1721" s="52"/>
      <c r="D1721" s="52"/>
    </row>
    <row r="1722" spans="1:4" ht="15.75" customHeight="1" x14ac:dyDescent="0.25">
      <c r="A1722" s="9"/>
      <c r="C1722" s="52"/>
      <c r="D1722" s="52"/>
    </row>
    <row r="1723" spans="1:4" ht="15.75" customHeight="1" x14ac:dyDescent="0.25">
      <c r="A1723" s="9"/>
      <c r="C1723" s="52"/>
      <c r="D1723" s="52"/>
    </row>
    <row r="1724" spans="1:4" ht="15.75" customHeight="1" x14ac:dyDescent="0.25">
      <c r="A1724" s="9"/>
      <c r="C1724" s="52"/>
      <c r="D1724" s="52"/>
    </row>
    <row r="1725" spans="1:4" ht="15.75" customHeight="1" x14ac:dyDescent="0.25">
      <c r="A1725" s="9"/>
      <c r="C1725" s="52"/>
      <c r="D1725" s="52"/>
    </row>
    <row r="1726" spans="1:4" ht="15.75" customHeight="1" x14ac:dyDescent="0.25">
      <c r="A1726" s="9"/>
      <c r="C1726" s="52"/>
      <c r="D1726" s="52"/>
    </row>
    <row r="1727" spans="1:4" ht="15.75" customHeight="1" x14ac:dyDescent="0.25">
      <c r="A1727" s="9"/>
      <c r="C1727" s="52"/>
      <c r="D1727" s="52"/>
    </row>
    <row r="1728" spans="1:4" ht="15.75" customHeight="1" x14ac:dyDescent="0.25">
      <c r="A1728" s="9"/>
      <c r="C1728" s="52"/>
      <c r="D1728" s="52"/>
    </row>
    <row r="1729" spans="1:4" ht="15.75" customHeight="1" x14ac:dyDescent="0.25">
      <c r="A1729" s="9"/>
      <c r="C1729" s="52"/>
      <c r="D1729" s="52"/>
    </row>
    <row r="1730" spans="1:4" ht="15.75" customHeight="1" x14ac:dyDescent="0.25">
      <c r="A1730" s="9"/>
      <c r="C1730" s="52"/>
      <c r="D1730" s="52"/>
    </row>
    <row r="1731" spans="1:4" ht="15.75" customHeight="1" x14ac:dyDescent="0.25">
      <c r="A1731" s="9"/>
      <c r="C1731" s="52"/>
      <c r="D1731" s="52"/>
    </row>
    <row r="1732" spans="1:4" ht="15.75" customHeight="1" x14ac:dyDescent="0.25">
      <c r="A1732" s="9"/>
      <c r="C1732" s="52"/>
      <c r="D1732" s="52"/>
    </row>
    <row r="1733" spans="1:4" ht="15.75" customHeight="1" x14ac:dyDescent="0.25">
      <c r="A1733" s="9"/>
      <c r="C1733" s="52"/>
      <c r="D1733" s="52"/>
    </row>
    <row r="1734" spans="1:4" ht="15.75" customHeight="1" x14ac:dyDescent="0.25">
      <c r="A1734" s="9"/>
      <c r="C1734" s="52"/>
      <c r="D1734" s="52"/>
    </row>
    <row r="1735" spans="1:4" ht="15.75" customHeight="1" x14ac:dyDescent="0.25">
      <c r="A1735" s="9"/>
      <c r="C1735" s="52"/>
      <c r="D1735" s="52"/>
    </row>
    <row r="1736" spans="1:4" ht="15.75" customHeight="1" x14ac:dyDescent="0.25">
      <c r="A1736" s="9"/>
      <c r="C1736" s="52"/>
      <c r="D1736" s="52"/>
    </row>
    <row r="1737" spans="1:4" ht="15.75" customHeight="1" x14ac:dyDescent="0.25">
      <c r="A1737" s="9"/>
      <c r="C1737" s="52"/>
      <c r="D1737" s="52"/>
    </row>
    <row r="1738" spans="1:4" ht="15.75" customHeight="1" x14ac:dyDescent="0.25">
      <c r="A1738" s="9"/>
      <c r="C1738" s="52"/>
      <c r="D1738" s="52"/>
    </row>
    <row r="1739" spans="1:4" ht="15.75" customHeight="1" x14ac:dyDescent="0.25">
      <c r="A1739" s="9"/>
      <c r="C1739" s="52"/>
      <c r="D1739" s="52"/>
    </row>
    <row r="1740" spans="1:4" ht="15.75" customHeight="1" x14ac:dyDescent="0.25">
      <c r="A1740" s="9"/>
      <c r="C1740" s="52"/>
      <c r="D1740" s="52"/>
    </row>
    <row r="1741" spans="1:4" ht="15.75" customHeight="1" x14ac:dyDescent="0.25">
      <c r="A1741" s="9"/>
      <c r="C1741" s="52"/>
      <c r="D1741" s="52"/>
    </row>
    <row r="1742" spans="1:4" ht="15.75" customHeight="1" x14ac:dyDescent="0.25">
      <c r="A1742" s="9"/>
      <c r="C1742" s="52"/>
      <c r="D1742" s="52"/>
    </row>
    <row r="1743" spans="1:4" ht="15.75" customHeight="1" x14ac:dyDescent="0.25">
      <c r="A1743" s="9"/>
      <c r="C1743" s="52"/>
      <c r="D1743" s="52"/>
    </row>
    <row r="1744" spans="1:4" ht="15.75" customHeight="1" x14ac:dyDescent="0.25">
      <c r="A1744" s="9"/>
      <c r="C1744" s="52"/>
      <c r="D1744" s="52"/>
    </row>
    <row r="1745" spans="1:4" ht="15.75" customHeight="1" x14ac:dyDescent="0.25">
      <c r="A1745" s="9"/>
      <c r="C1745" s="52"/>
      <c r="D1745" s="52"/>
    </row>
    <row r="1746" spans="1:4" ht="15.75" customHeight="1" x14ac:dyDescent="0.25">
      <c r="A1746" s="9"/>
      <c r="C1746" s="52"/>
      <c r="D1746" s="52"/>
    </row>
    <row r="1747" spans="1:4" ht="15.75" customHeight="1" x14ac:dyDescent="0.25">
      <c r="A1747" s="9"/>
      <c r="C1747" s="52"/>
      <c r="D1747" s="52"/>
    </row>
    <row r="1748" spans="1:4" ht="15.75" customHeight="1" x14ac:dyDescent="0.25">
      <c r="A1748" s="9"/>
      <c r="C1748" s="52"/>
      <c r="D1748" s="52"/>
    </row>
    <row r="1749" spans="1:4" ht="15.75" customHeight="1" x14ac:dyDescent="0.25">
      <c r="A1749" s="9"/>
      <c r="C1749" s="52"/>
      <c r="D1749" s="52"/>
    </row>
    <row r="1750" spans="1:4" ht="15.75" customHeight="1" x14ac:dyDescent="0.25">
      <c r="A1750" s="9"/>
      <c r="C1750" s="52"/>
      <c r="D1750" s="52"/>
    </row>
    <row r="1751" spans="1:4" ht="15.75" customHeight="1" x14ac:dyDescent="0.25">
      <c r="A1751" s="9"/>
      <c r="C1751" s="52"/>
      <c r="D1751" s="52"/>
    </row>
    <row r="1752" spans="1:4" ht="15.75" customHeight="1" x14ac:dyDescent="0.25">
      <c r="A1752" s="9"/>
      <c r="C1752" s="52"/>
      <c r="D1752" s="52"/>
    </row>
    <row r="1753" spans="1:4" ht="15.75" customHeight="1" x14ac:dyDescent="0.25">
      <c r="A1753" s="9"/>
      <c r="C1753" s="52"/>
      <c r="D1753" s="52"/>
    </row>
    <row r="1754" spans="1:4" ht="15.75" customHeight="1" x14ac:dyDescent="0.25">
      <c r="A1754" s="9"/>
      <c r="C1754" s="52"/>
      <c r="D1754" s="52"/>
    </row>
    <row r="1755" spans="1:4" ht="15.75" customHeight="1" x14ac:dyDescent="0.25">
      <c r="A1755" s="9"/>
      <c r="C1755" s="52"/>
      <c r="D1755" s="52"/>
    </row>
    <row r="1756" spans="1:4" ht="15.75" customHeight="1" x14ac:dyDescent="0.25">
      <c r="A1756" s="9"/>
      <c r="C1756" s="52"/>
      <c r="D1756" s="52"/>
    </row>
    <row r="1757" spans="1:4" ht="15.75" customHeight="1" x14ac:dyDescent="0.25">
      <c r="A1757" s="9"/>
      <c r="C1757" s="52"/>
      <c r="D1757" s="52"/>
    </row>
    <row r="1758" spans="1:4" ht="15.75" customHeight="1" x14ac:dyDescent="0.25">
      <c r="A1758" s="9"/>
      <c r="C1758" s="52"/>
      <c r="D1758" s="52"/>
    </row>
    <row r="1759" spans="1:4" ht="15.75" customHeight="1" x14ac:dyDescent="0.25">
      <c r="A1759" s="9"/>
      <c r="C1759" s="52"/>
      <c r="D1759" s="52"/>
    </row>
    <row r="1760" spans="1:4" ht="15.75" customHeight="1" x14ac:dyDescent="0.25">
      <c r="A1760" s="9"/>
      <c r="C1760" s="52"/>
      <c r="D1760" s="52"/>
    </row>
    <row r="1761" spans="1:4" ht="15.75" customHeight="1" x14ac:dyDescent="0.25">
      <c r="A1761" s="9"/>
      <c r="C1761" s="52"/>
      <c r="D1761" s="52"/>
    </row>
    <row r="1762" spans="1:4" ht="15.75" customHeight="1" x14ac:dyDescent="0.25">
      <c r="A1762" s="9"/>
      <c r="C1762" s="52"/>
      <c r="D1762" s="52"/>
    </row>
    <row r="1763" spans="1:4" ht="15.75" customHeight="1" x14ac:dyDescent="0.25">
      <c r="A1763" s="9"/>
      <c r="C1763" s="52"/>
      <c r="D1763" s="52"/>
    </row>
    <row r="1764" spans="1:4" ht="15.75" customHeight="1" x14ac:dyDescent="0.25">
      <c r="A1764" s="9"/>
      <c r="C1764" s="52"/>
      <c r="D1764" s="52"/>
    </row>
    <row r="1765" spans="1:4" ht="15.75" customHeight="1" x14ac:dyDescent="0.25">
      <c r="A1765" s="9"/>
      <c r="C1765" s="52"/>
      <c r="D1765" s="52"/>
    </row>
    <row r="1766" spans="1:4" ht="15.75" customHeight="1" x14ac:dyDescent="0.25">
      <c r="A1766" s="9"/>
      <c r="C1766" s="52"/>
      <c r="D1766" s="52"/>
    </row>
    <row r="1767" spans="1:4" ht="15.75" customHeight="1" x14ac:dyDescent="0.25">
      <c r="A1767" s="9"/>
      <c r="C1767" s="52"/>
      <c r="D1767" s="52"/>
    </row>
    <row r="1768" spans="1:4" ht="15.75" customHeight="1" x14ac:dyDescent="0.25">
      <c r="A1768" s="9"/>
      <c r="C1768" s="52"/>
      <c r="D1768" s="52"/>
    </row>
    <row r="1769" spans="1:4" ht="15.75" customHeight="1" x14ac:dyDescent="0.25">
      <c r="A1769" s="9"/>
      <c r="C1769" s="52"/>
      <c r="D1769" s="52"/>
    </row>
    <row r="1770" spans="1:4" ht="15.75" customHeight="1" x14ac:dyDescent="0.25">
      <c r="A1770" s="9"/>
      <c r="C1770" s="52"/>
      <c r="D1770" s="52"/>
    </row>
    <row r="1771" spans="1:4" ht="15.75" customHeight="1" x14ac:dyDescent="0.25">
      <c r="A1771" s="9"/>
      <c r="C1771" s="52"/>
      <c r="D1771" s="52"/>
    </row>
    <row r="1772" spans="1:4" ht="15.75" customHeight="1" x14ac:dyDescent="0.25">
      <c r="A1772" s="9"/>
      <c r="C1772" s="52"/>
      <c r="D1772" s="52"/>
    </row>
    <row r="1773" spans="1:4" ht="15.75" customHeight="1" x14ac:dyDescent="0.25">
      <c r="A1773" s="9"/>
      <c r="C1773" s="52"/>
      <c r="D1773" s="52"/>
    </row>
    <row r="1774" spans="1:4" ht="15.75" customHeight="1" x14ac:dyDescent="0.25">
      <c r="A1774" s="9"/>
      <c r="C1774" s="52"/>
      <c r="D1774" s="52"/>
    </row>
    <row r="1775" spans="1:4" ht="15.75" customHeight="1" x14ac:dyDescent="0.25">
      <c r="A1775" s="9"/>
      <c r="C1775" s="52"/>
      <c r="D1775" s="52"/>
    </row>
    <row r="1776" spans="1:4" ht="15.75" customHeight="1" x14ac:dyDescent="0.25">
      <c r="A1776" s="9"/>
      <c r="C1776" s="52"/>
      <c r="D1776" s="52"/>
    </row>
    <row r="1777" spans="1:4" ht="15.75" customHeight="1" x14ac:dyDescent="0.25">
      <c r="A1777" s="9"/>
      <c r="C1777" s="52"/>
      <c r="D1777" s="52"/>
    </row>
    <row r="1778" spans="1:4" ht="15.75" customHeight="1" x14ac:dyDescent="0.25">
      <c r="A1778" s="9"/>
      <c r="C1778" s="52"/>
      <c r="D1778" s="52"/>
    </row>
    <row r="1779" spans="1:4" ht="15.75" customHeight="1" x14ac:dyDescent="0.25">
      <c r="A1779" s="9"/>
      <c r="C1779" s="52"/>
      <c r="D1779" s="52"/>
    </row>
    <row r="1780" spans="1:4" ht="15.75" customHeight="1" x14ac:dyDescent="0.25">
      <c r="A1780" s="9"/>
      <c r="C1780" s="52"/>
      <c r="D1780" s="52"/>
    </row>
    <row r="1781" spans="1:4" ht="15.75" customHeight="1" x14ac:dyDescent="0.25">
      <c r="A1781" s="9"/>
      <c r="C1781" s="52"/>
      <c r="D1781" s="52"/>
    </row>
    <row r="1782" spans="1:4" ht="15.75" customHeight="1" x14ac:dyDescent="0.25">
      <c r="A1782" s="9"/>
      <c r="C1782" s="52"/>
      <c r="D1782" s="52"/>
    </row>
    <row r="1783" spans="1:4" ht="15.75" customHeight="1" x14ac:dyDescent="0.25">
      <c r="A1783" s="9"/>
      <c r="C1783" s="52"/>
      <c r="D1783" s="52"/>
    </row>
    <row r="1784" spans="1:4" ht="15.75" customHeight="1" x14ac:dyDescent="0.25">
      <c r="A1784" s="9"/>
      <c r="C1784" s="52"/>
      <c r="D1784" s="52"/>
    </row>
    <row r="1785" spans="1:4" ht="15.75" customHeight="1" x14ac:dyDescent="0.25">
      <c r="A1785" s="9"/>
      <c r="C1785" s="52"/>
      <c r="D1785" s="52"/>
    </row>
    <row r="1786" spans="1:4" ht="15.75" customHeight="1" x14ac:dyDescent="0.25">
      <c r="A1786" s="9"/>
      <c r="C1786" s="52"/>
      <c r="D1786" s="52"/>
    </row>
    <row r="1787" spans="1:4" ht="15.75" customHeight="1" x14ac:dyDescent="0.25">
      <c r="A1787" s="9"/>
      <c r="C1787" s="52"/>
      <c r="D1787" s="52"/>
    </row>
    <row r="1788" spans="1:4" ht="15.75" customHeight="1" x14ac:dyDescent="0.25">
      <c r="A1788" s="9"/>
      <c r="C1788" s="52"/>
      <c r="D1788" s="52"/>
    </row>
    <row r="1789" spans="1:4" ht="15.75" customHeight="1" x14ac:dyDescent="0.25">
      <c r="A1789" s="9"/>
      <c r="C1789" s="52"/>
      <c r="D1789" s="52"/>
    </row>
    <row r="1790" spans="1:4" ht="15.75" customHeight="1" x14ac:dyDescent="0.25">
      <c r="A1790" s="9"/>
      <c r="C1790" s="52"/>
      <c r="D1790" s="52"/>
    </row>
    <row r="1791" spans="1:4" ht="15.75" customHeight="1" x14ac:dyDescent="0.25">
      <c r="A1791" s="9"/>
      <c r="C1791" s="52"/>
      <c r="D1791" s="52"/>
    </row>
    <row r="1792" spans="1:4" ht="15.75" customHeight="1" x14ac:dyDescent="0.25">
      <c r="A1792" s="9"/>
      <c r="C1792" s="52"/>
      <c r="D1792" s="52"/>
    </row>
    <row r="1793" spans="1:4" ht="15.75" customHeight="1" x14ac:dyDescent="0.25">
      <c r="A1793" s="9"/>
      <c r="C1793" s="52"/>
      <c r="D1793" s="52"/>
    </row>
    <row r="1794" spans="1:4" ht="15.75" customHeight="1" x14ac:dyDescent="0.25">
      <c r="A1794" s="9"/>
      <c r="C1794" s="52"/>
      <c r="D1794" s="52"/>
    </row>
    <row r="1795" spans="1:4" ht="15.75" customHeight="1" x14ac:dyDescent="0.25">
      <c r="A1795" s="9"/>
      <c r="C1795" s="52"/>
      <c r="D1795" s="52"/>
    </row>
    <row r="1796" spans="1:4" ht="15.75" customHeight="1" x14ac:dyDescent="0.25">
      <c r="A1796" s="9"/>
      <c r="C1796" s="52"/>
      <c r="D1796" s="52"/>
    </row>
    <row r="1797" spans="1:4" ht="15.75" customHeight="1" x14ac:dyDescent="0.25">
      <c r="A1797" s="9"/>
      <c r="C1797" s="52"/>
      <c r="D1797" s="52"/>
    </row>
    <row r="1798" spans="1:4" ht="15.75" customHeight="1" x14ac:dyDescent="0.25">
      <c r="A1798" s="9"/>
      <c r="C1798" s="52"/>
      <c r="D1798" s="52"/>
    </row>
    <row r="1799" spans="1:4" ht="15.75" customHeight="1" x14ac:dyDescent="0.25">
      <c r="A1799" s="9"/>
      <c r="C1799" s="52"/>
      <c r="D1799" s="52"/>
    </row>
    <row r="1800" spans="1:4" ht="15.75" customHeight="1" x14ac:dyDescent="0.25">
      <c r="A1800" s="9"/>
      <c r="C1800" s="52"/>
      <c r="D1800" s="52"/>
    </row>
    <row r="1801" spans="1:4" ht="15.75" customHeight="1" x14ac:dyDescent="0.25">
      <c r="A1801" s="9"/>
      <c r="C1801" s="52"/>
      <c r="D1801" s="52"/>
    </row>
    <row r="1802" spans="1:4" ht="15.75" customHeight="1" x14ac:dyDescent="0.25">
      <c r="A1802" s="9"/>
      <c r="C1802" s="52"/>
      <c r="D1802" s="52"/>
    </row>
    <row r="1803" spans="1:4" ht="15.75" customHeight="1" x14ac:dyDescent="0.25">
      <c r="A1803" s="9"/>
      <c r="C1803" s="52"/>
      <c r="D1803" s="52"/>
    </row>
    <row r="1804" spans="1:4" ht="15.75" customHeight="1" x14ac:dyDescent="0.25">
      <c r="A1804" s="9"/>
      <c r="C1804" s="52"/>
      <c r="D1804" s="52"/>
    </row>
    <row r="1805" spans="1:4" ht="15.75" customHeight="1" x14ac:dyDescent="0.25">
      <c r="A1805" s="9"/>
      <c r="C1805" s="52"/>
      <c r="D1805" s="52"/>
    </row>
    <row r="1806" spans="1:4" ht="15.75" customHeight="1" x14ac:dyDescent="0.25">
      <c r="A1806" s="9"/>
      <c r="C1806" s="52"/>
      <c r="D1806" s="52"/>
    </row>
    <row r="1807" spans="1:4" ht="15.75" customHeight="1" x14ac:dyDescent="0.25">
      <c r="A1807" s="9"/>
      <c r="C1807" s="52"/>
      <c r="D1807" s="52"/>
    </row>
    <row r="1808" spans="1:4" ht="15.75" customHeight="1" x14ac:dyDescent="0.25">
      <c r="A1808" s="9"/>
      <c r="C1808" s="52"/>
      <c r="D1808" s="52"/>
    </row>
    <row r="1809" spans="1:4" ht="15.75" customHeight="1" x14ac:dyDescent="0.25">
      <c r="A1809" s="9"/>
      <c r="C1809" s="52"/>
      <c r="D1809" s="52"/>
    </row>
    <row r="1810" spans="1:4" ht="15.75" customHeight="1" x14ac:dyDescent="0.25">
      <c r="A1810" s="9"/>
      <c r="C1810" s="52"/>
      <c r="D1810" s="52"/>
    </row>
    <row r="1811" spans="1:4" ht="15.75" customHeight="1" x14ac:dyDescent="0.25">
      <c r="A1811" s="9"/>
      <c r="C1811" s="52"/>
      <c r="D1811" s="52"/>
    </row>
    <row r="1812" spans="1:4" ht="15.75" customHeight="1" x14ac:dyDescent="0.25">
      <c r="A1812" s="9"/>
      <c r="C1812" s="52"/>
      <c r="D1812" s="52"/>
    </row>
    <row r="1813" spans="1:4" ht="15.75" customHeight="1" x14ac:dyDescent="0.25">
      <c r="A1813" s="9"/>
      <c r="C1813" s="52"/>
      <c r="D1813" s="52"/>
    </row>
    <row r="1814" spans="1:4" ht="15.75" customHeight="1" x14ac:dyDescent="0.25">
      <c r="A1814" s="9"/>
      <c r="C1814" s="52"/>
      <c r="D1814" s="52"/>
    </row>
    <row r="1815" spans="1:4" ht="15.75" customHeight="1" x14ac:dyDescent="0.25">
      <c r="A1815" s="9"/>
      <c r="C1815" s="52"/>
      <c r="D1815" s="52"/>
    </row>
    <row r="1816" spans="1:4" ht="15.75" customHeight="1" x14ac:dyDescent="0.25">
      <c r="A1816" s="9"/>
      <c r="C1816" s="52"/>
      <c r="D1816" s="52"/>
    </row>
    <row r="1817" spans="1:4" ht="15.75" customHeight="1" x14ac:dyDescent="0.25">
      <c r="A1817" s="9"/>
      <c r="C1817" s="52"/>
      <c r="D1817" s="52"/>
    </row>
    <row r="1818" spans="1:4" ht="15.75" customHeight="1" x14ac:dyDescent="0.25">
      <c r="A1818" s="9"/>
      <c r="C1818" s="52"/>
      <c r="D1818" s="52"/>
    </row>
    <row r="1819" spans="1:4" ht="15.75" customHeight="1" x14ac:dyDescent="0.25">
      <c r="A1819" s="9"/>
      <c r="C1819" s="52"/>
      <c r="D1819" s="52"/>
    </row>
    <row r="1820" spans="1:4" ht="15.75" customHeight="1" x14ac:dyDescent="0.25">
      <c r="A1820" s="9"/>
      <c r="C1820" s="52"/>
      <c r="D1820" s="52"/>
    </row>
    <row r="1821" spans="1:4" ht="15.75" customHeight="1" x14ac:dyDescent="0.25">
      <c r="A1821" s="9"/>
      <c r="C1821" s="52"/>
      <c r="D1821" s="52"/>
    </row>
    <row r="1822" spans="1:4" ht="15.75" customHeight="1" x14ac:dyDescent="0.25">
      <c r="A1822" s="9"/>
      <c r="C1822" s="52"/>
      <c r="D1822" s="52"/>
    </row>
    <row r="1823" spans="1:4" ht="15.75" customHeight="1" x14ac:dyDescent="0.25">
      <c r="A1823" s="9"/>
      <c r="C1823" s="52"/>
      <c r="D1823" s="52"/>
    </row>
    <row r="1824" spans="1:4" ht="15.75" customHeight="1" x14ac:dyDescent="0.25">
      <c r="A1824" s="9"/>
      <c r="C1824" s="52"/>
      <c r="D1824" s="52"/>
    </row>
    <row r="1825" spans="1:4" ht="15.75" customHeight="1" x14ac:dyDescent="0.25">
      <c r="A1825" s="9"/>
      <c r="C1825" s="52"/>
      <c r="D1825" s="52"/>
    </row>
    <row r="1826" spans="1:4" ht="15.75" customHeight="1" x14ac:dyDescent="0.25">
      <c r="A1826" s="9"/>
      <c r="C1826" s="52"/>
      <c r="D1826" s="52"/>
    </row>
    <row r="1827" spans="1:4" ht="15.75" customHeight="1" x14ac:dyDescent="0.25">
      <c r="A1827" s="9"/>
      <c r="C1827" s="52"/>
      <c r="D1827" s="52"/>
    </row>
    <row r="1828" spans="1:4" ht="15.75" customHeight="1" x14ac:dyDescent="0.25">
      <c r="A1828" s="9"/>
      <c r="C1828" s="52"/>
      <c r="D1828" s="52"/>
    </row>
    <row r="1829" spans="1:4" ht="15.75" customHeight="1" x14ac:dyDescent="0.25">
      <c r="A1829" s="9"/>
      <c r="C1829" s="52"/>
      <c r="D1829" s="52"/>
    </row>
    <row r="1830" spans="1:4" ht="15.75" customHeight="1" x14ac:dyDescent="0.25">
      <c r="A1830" s="9"/>
      <c r="C1830" s="52"/>
      <c r="D1830" s="52"/>
    </row>
    <row r="1831" spans="1:4" ht="15.75" customHeight="1" x14ac:dyDescent="0.25">
      <c r="A1831" s="9"/>
      <c r="C1831" s="52"/>
      <c r="D1831" s="52"/>
    </row>
    <row r="1832" spans="1:4" ht="15.75" customHeight="1" x14ac:dyDescent="0.25">
      <c r="A1832" s="9"/>
      <c r="C1832" s="52"/>
      <c r="D1832" s="52"/>
    </row>
    <row r="1833" spans="1:4" ht="15.75" customHeight="1" x14ac:dyDescent="0.25">
      <c r="A1833" s="9"/>
      <c r="C1833" s="52"/>
      <c r="D1833" s="52"/>
    </row>
    <row r="1834" spans="1:4" ht="15.75" customHeight="1" x14ac:dyDescent="0.25">
      <c r="A1834" s="9"/>
      <c r="C1834" s="52"/>
      <c r="D1834" s="52"/>
    </row>
    <row r="1835" spans="1:4" ht="15.75" customHeight="1" x14ac:dyDescent="0.25">
      <c r="A1835" s="9"/>
      <c r="C1835" s="52"/>
      <c r="D1835" s="52"/>
    </row>
    <row r="1836" spans="1:4" ht="15.75" customHeight="1" x14ac:dyDescent="0.25">
      <c r="A1836" s="9"/>
      <c r="C1836" s="52"/>
      <c r="D1836" s="52"/>
    </row>
    <row r="1837" spans="1:4" ht="15.75" customHeight="1" x14ac:dyDescent="0.25">
      <c r="A1837" s="9"/>
      <c r="C1837" s="52"/>
      <c r="D1837" s="52"/>
    </row>
    <row r="1838" spans="1:4" ht="15.75" customHeight="1" x14ac:dyDescent="0.25">
      <c r="A1838" s="9"/>
      <c r="C1838" s="52"/>
      <c r="D1838" s="52"/>
    </row>
    <row r="1839" spans="1:4" ht="15.75" customHeight="1" x14ac:dyDescent="0.25">
      <c r="A1839" s="9"/>
      <c r="C1839" s="52"/>
      <c r="D1839" s="52"/>
    </row>
    <row r="1840" spans="1:4" ht="15.75" customHeight="1" x14ac:dyDescent="0.25">
      <c r="A1840" s="9"/>
      <c r="C1840" s="52"/>
      <c r="D1840" s="52"/>
    </row>
    <row r="1841" spans="1:4" ht="15.75" customHeight="1" x14ac:dyDescent="0.25">
      <c r="A1841" s="9"/>
      <c r="C1841" s="52"/>
      <c r="D1841" s="52"/>
    </row>
    <row r="1842" spans="1:4" ht="15.75" customHeight="1" x14ac:dyDescent="0.25">
      <c r="A1842" s="9"/>
      <c r="C1842" s="52"/>
      <c r="D1842" s="52"/>
    </row>
    <row r="1843" spans="1:4" ht="15.75" customHeight="1" x14ac:dyDescent="0.25">
      <c r="A1843" s="9"/>
      <c r="C1843" s="52"/>
      <c r="D1843" s="52"/>
    </row>
    <row r="1844" spans="1:4" ht="15.75" customHeight="1" x14ac:dyDescent="0.25">
      <c r="A1844" s="9"/>
      <c r="C1844" s="52"/>
      <c r="D1844" s="52"/>
    </row>
    <row r="1845" spans="1:4" ht="15.75" customHeight="1" x14ac:dyDescent="0.25">
      <c r="A1845" s="9"/>
      <c r="C1845" s="52"/>
      <c r="D1845" s="52"/>
    </row>
    <row r="1846" spans="1:4" ht="15.75" customHeight="1" x14ac:dyDescent="0.25">
      <c r="A1846" s="9"/>
      <c r="C1846" s="52"/>
      <c r="D1846" s="52"/>
    </row>
    <row r="1847" spans="1:4" ht="15.75" customHeight="1" x14ac:dyDescent="0.25">
      <c r="A1847" s="9"/>
      <c r="C1847" s="52"/>
      <c r="D1847" s="52"/>
    </row>
    <row r="1848" spans="1:4" ht="15.75" customHeight="1" x14ac:dyDescent="0.25">
      <c r="A1848" s="9"/>
      <c r="C1848" s="52"/>
      <c r="D1848" s="52"/>
    </row>
    <row r="1849" spans="1:4" ht="15.75" customHeight="1" x14ac:dyDescent="0.25">
      <c r="A1849" s="9"/>
      <c r="C1849" s="52"/>
      <c r="D1849" s="52"/>
    </row>
    <row r="1850" spans="1:4" ht="15.75" customHeight="1" x14ac:dyDescent="0.25">
      <c r="A1850" s="9"/>
      <c r="C1850" s="52"/>
      <c r="D1850" s="52"/>
    </row>
    <row r="1851" spans="1:4" ht="15.75" customHeight="1" x14ac:dyDescent="0.25">
      <c r="A1851" s="9"/>
      <c r="C1851" s="52"/>
      <c r="D1851" s="52"/>
    </row>
    <row r="1852" spans="1:4" ht="15.75" customHeight="1" x14ac:dyDescent="0.25">
      <c r="A1852" s="9"/>
      <c r="C1852" s="52"/>
      <c r="D1852" s="52"/>
    </row>
    <row r="1853" spans="1:4" ht="15.75" customHeight="1" x14ac:dyDescent="0.25">
      <c r="A1853" s="9"/>
      <c r="C1853" s="52"/>
      <c r="D1853" s="52"/>
    </row>
    <row r="1854" spans="1:4" ht="15.75" customHeight="1" x14ac:dyDescent="0.25">
      <c r="A1854" s="9"/>
      <c r="C1854" s="52"/>
      <c r="D1854" s="52"/>
    </row>
    <row r="1855" spans="1:4" ht="15.75" customHeight="1" x14ac:dyDescent="0.25">
      <c r="A1855" s="9"/>
      <c r="C1855" s="52"/>
      <c r="D1855" s="52"/>
    </row>
    <row r="1856" spans="1:4" ht="15.75" customHeight="1" x14ac:dyDescent="0.25">
      <c r="A1856" s="9"/>
      <c r="C1856" s="52"/>
      <c r="D1856" s="52"/>
    </row>
    <row r="1857" spans="1:4" ht="15.75" customHeight="1" x14ac:dyDescent="0.25">
      <c r="A1857" s="9"/>
      <c r="C1857" s="52"/>
      <c r="D1857" s="52"/>
    </row>
    <row r="1858" spans="1:4" ht="15.75" customHeight="1" x14ac:dyDescent="0.25">
      <c r="A1858" s="9"/>
      <c r="C1858" s="52"/>
      <c r="D1858" s="52"/>
    </row>
    <row r="1859" spans="1:4" ht="15.75" customHeight="1" x14ac:dyDescent="0.25">
      <c r="A1859" s="9"/>
      <c r="C1859" s="52"/>
      <c r="D1859" s="52"/>
    </row>
    <row r="1860" spans="1:4" ht="15.75" customHeight="1" x14ac:dyDescent="0.25">
      <c r="A1860" s="9"/>
      <c r="C1860" s="52"/>
      <c r="D1860" s="52"/>
    </row>
    <row r="1861" spans="1:4" ht="15.75" customHeight="1" x14ac:dyDescent="0.25">
      <c r="A1861" s="9"/>
      <c r="C1861" s="52"/>
      <c r="D1861" s="52"/>
    </row>
    <row r="1862" spans="1:4" ht="15.75" customHeight="1" x14ac:dyDescent="0.25">
      <c r="A1862" s="9"/>
      <c r="C1862" s="52"/>
      <c r="D1862" s="52"/>
    </row>
    <row r="1863" spans="1:4" ht="15.75" customHeight="1" x14ac:dyDescent="0.25">
      <c r="A1863" s="9"/>
      <c r="C1863" s="52"/>
      <c r="D1863" s="52"/>
    </row>
    <row r="1864" spans="1:4" ht="15.75" customHeight="1" x14ac:dyDescent="0.25">
      <c r="A1864" s="9"/>
      <c r="C1864" s="52"/>
      <c r="D1864" s="52"/>
    </row>
    <row r="1865" spans="1:4" ht="15.75" customHeight="1" x14ac:dyDescent="0.25">
      <c r="A1865" s="9"/>
      <c r="C1865" s="52"/>
      <c r="D1865" s="52"/>
    </row>
    <row r="1866" spans="1:4" ht="15.75" customHeight="1" x14ac:dyDescent="0.25">
      <c r="A1866" s="9"/>
      <c r="C1866" s="52"/>
      <c r="D1866" s="52"/>
    </row>
    <row r="1867" spans="1:4" ht="15.75" customHeight="1" x14ac:dyDescent="0.25">
      <c r="A1867" s="9"/>
      <c r="C1867" s="52"/>
      <c r="D1867" s="52"/>
    </row>
    <row r="1868" spans="1:4" ht="15.75" customHeight="1" x14ac:dyDescent="0.25">
      <c r="A1868" s="9"/>
      <c r="C1868" s="52"/>
      <c r="D1868" s="52"/>
    </row>
    <row r="1869" spans="1:4" ht="15.75" customHeight="1" x14ac:dyDescent="0.25">
      <c r="A1869" s="9"/>
      <c r="C1869" s="52"/>
      <c r="D1869" s="52"/>
    </row>
    <row r="1870" spans="1:4" ht="15.75" customHeight="1" x14ac:dyDescent="0.25">
      <c r="A1870" s="9"/>
      <c r="C1870" s="52"/>
      <c r="D1870" s="52"/>
    </row>
    <row r="1871" spans="1:4" ht="15.75" customHeight="1" x14ac:dyDescent="0.25">
      <c r="A1871" s="9"/>
      <c r="C1871" s="52"/>
      <c r="D1871" s="52"/>
    </row>
    <row r="1872" spans="1:4" ht="15.75" customHeight="1" x14ac:dyDescent="0.25">
      <c r="A1872" s="9"/>
      <c r="C1872" s="52"/>
      <c r="D1872" s="52"/>
    </row>
    <row r="1873" spans="1:4" ht="15.75" customHeight="1" x14ac:dyDescent="0.25">
      <c r="A1873" s="9"/>
      <c r="C1873" s="52"/>
      <c r="D1873" s="52"/>
    </row>
    <row r="1874" spans="1:4" ht="15.75" customHeight="1" x14ac:dyDescent="0.25">
      <c r="A1874" s="9"/>
      <c r="C1874" s="52"/>
      <c r="D1874" s="52"/>
    </row>
    <row r="1875" spans="1:4" ht="15.75" customHeight="1" x14ac:dyDescent="0.25">
      <c r="A1875" s="9"/>
      <c r="C1875" s="52"/>
      <c r="D1875" s="52"/>
    </row>
    <row r="1876" spans="1:4" ht="15.75" customHeight="1" x14ac:dyDescent="0.25">
      <c r="A1876" s="9"/>
      <c r="C1876" s="52"/>
      <c r="D1876" s="52"/>
    </row>
    <row r="1877" spans="1:4" ht="15.75" customHeight="1" x14ac:dyDescent="0.25">
      <c r="A1877" s="9"/>
      <c r="C1877" s="52"/>
      <c r="D1877" s="52"/>
    </row>
    <row r="1878" spans="1:4" ht="15.75" customHeight="1" x14ac:dyDescent="0.25">
      <c r="A1878" s="9"/>
      <c r="C1878" s="52"/>
      <c r="D1878" s="52"/>
    </row>
    <row r="1879" spans="1:4" ht="15.75" customHeight="1" x14ac:dyDescent="0.25">
      <c r="A1879" s="9"/>
      <c r="C1879" s="52"/>
      <c r="D1879" s="52"/>
    </row>
    <row r="1880" spans="1:4" ht="15.75" customHeight="1" x14ac:dyDescent="0.25">
      <c r="A1880" s="9"/>
      <c r="C1880" s="52"/>
      <c r="D1880" s="52"/>
    </row>
    <row r="1881" spans="1:4" ht="15.75" customHeight="1" x14ac:dyDescent="0.25">
      <c r="A1881" s="9"/>
      <c r="C1881" s="52"/>
      <c r="D1881" s="52"/>
    </row>
    <row r="1882" spans="1:4" ht="15.75" customHeight="1" x14ac:dyDescent="0.25">
      <c r="A1882" s="9"/>
      <c r="C1882" s="52"/>
      <c r="D1882" s="52"/>
    </row>
    <row r="1883" spans="1:4" ht="15.75" customHeight="1" x14ac:dyDescent="0.25">
      <c r="A1883" s="9"/>
      <c r="C1883" s="52"/>
      <c r="D1883" s="52"/>
    </row>
    <row r="1884" spans="1:4" ht="15.75" customHeight="1" x14ac:dyDescent="0.25">
      <c r="A1884" s="9"/>
      <c r="C1884" s="52"/>
      <c r="D1884" s="52"/>
    </row>
    <row r="1885" spans="1:4" ht="15.75" customHeight="1" x14ac:dyDescent="0.25">
      <c r="A1885" s="9"/>
      <c r="C1885" s="52"/>
      <c r="D1885" s="52"/>
    </row>
    <row r="1886" spans="1:4" ht="15.75" customHeight="1" x14ac:dyDescent="0.25">
      <c r="A1886" s="9"/>
      <c r="C1886" s="52"/>
      <c r="D1886" s="52"/>
    </row>
    <row r="1887" spans="1:4" ht="15.75" customHeight="1" x14ac:dyDescent="0.25">
      <c r="A1887" s="9"/>
      <c r="C1887" s="52"/>
      <c r="D1887" s="52"/>
    </row>
    <row r="1888" spans="1:4" ht="15.75" customHeight="1" x14ac:dyDescent="0.25">
      <c r="A1888" s="9"/>
      <c r="C1888" s="52"/>
      <c r="D1888" s="52"/>
    </row>
    <row r="1889" spans="1:4" ht="15.75" customHeight="1" x14ac:dyDescent="0.25">
      <c r="A1889" s="9"/>
      <c r="C1889" s="52"/>
      <c r="D1889" s="52"/>
    </row>
    <row r="1890" spans="1:4" ht="15.75" customHeight="1" x14ac:dyDescent="0.25">
      <c r="A1890" s="9"/>
      <c r="C1890" s="52"/>
      <c r="D1890" s="52"/>
    </row>
    <row r="1891" spans="1:4" ht="15.75" customHeight="1" x14ac:dyDescent="0.25">
      <c r="A1891" s="9"/>
      <c r="C1891" s="52"/>
      <c r="D1891" s="52"/>
    </row>
    <row r="1892" spans="1:4" ht="15.75" customHeight="1" x14ac:dyDescent="0.25">
      <c r="A1892" s="9"/>
      <c r="C1892" s="52"/>
      <c r="D1892" s="52"/>
    </row>
    <row r="1893" spans="1:4" ht="15.75" customHeight="1" x14ac:dyDescent="0.25">
      <c r="A1893" s="9"/>
      <c r="C1893" s="52"/>
      <c r="D1893" s="52"/>
    </row>
    <row r="1894" spans="1:4" ht="15.75" customHeight="1" x14ac:dyDescent="0.25">
      <c r="A1894" s="9"/>
      <c r="C1894" s="52"/>
      <c r="D1894" s="52"/>
    </row>
    <row r="1895" spans="1:4" ht="15.75" customHeight="1" x14ac:dyDescent="0.25">
      <c r="A1895" s="9"/>
      <c r="C1895" s="52"/>
      <c r="D1895" s="52"/>
    </row>
    <row r="1896" spans="1:4" ht="15.75" customHeight="1" x14ac:dyDescent="0.25">
      <c r="A1896" s="9"/>
      <c r="C1896" s="52"/>
      <c r="D1896" s="52"/>
    </row>
    <row r="1897" spans="1:4" ht="15.75" customHeight="1" x14ac:dyDescent="0.25">
      <c r="A1897" s="9"/>
      <c r="C1897" s="52"/>
      <c r="D1897" s="52"/>
    </row>
    <row r="1898" spans="1:4" ht="15.75" customHeight="1" x14ac:dyDescent="0.25">
      <c r="A1898" s="9"/>
      <c r="C1898" s="52"/>
      <c r="D1898" s="52"/>
    </row>
    <row r="1899" spans="1:4" ht="15.75" customHeight="1" x14ac:dyDescent="0.25">
      <c r="A1899" s="9"/>
      <c r="C1899" s="52"/>
      <c r="D1899" s="52"/>
    </row>
    <row r="1900" spans="1:4" ht="15.75" customHeight="1" x14ac:dyDescent="0.25">
      <c r="A1900" s="9"/>
      <c r="C1900" s="52"/>
      <c r="D1900" s="52"/>
    </row>
    <row r="1901" spans="1:4" ht="15.75" customHeight="1" x14ac:dyDescent="0.25">
      <c r="A1901" s="9"/>
      <c r="C1901" s="52"/>
      <c r="D1901" s="52"/>
    </row>
    <row r="1902" spans="1:4" ht="15.75" customHeight="1" x14ac:dyDescent="0.25">
      <c r="A1902" s="9"/>
      <c r="C1902" s="52"/>
      <c r="D1902" s="52"/>
    </row>
    <row r="1903" spans="1:4" ht="15.75" customHeight="1" x14ac:dyDescent="0.25">
      <c r="A1903" s="9"/>
      <c r="C1903" s="52"/>
      <c r="D1903" s="52"/>
    </row>
    <row r="1904" spans="1:4" ht="15.75" customHeight="1" x14ac:dyDescent="0.25">
      <c r="A1904" s="9"/>
      <c r="C1904" s="52"/>
      <c r="D1904" s="52"/>
    </row>
    <row r="1905" spans="1:4" ht="15.75" customHeight="1" x14ac:dyDescent="0.25">
      <c r="A1905" s="9"/>
      <c r="C1905" s="52"/>
      <c r="D1905" s="52"/>
    </row>
    <row r="1906" spans="1:4" ht="15.75" customHeight="1" x14ac:dyDescent="0.25">
      <c r="A1906" s="9"/>
      <c r="C1906" s="52"/>
      <c r="D1906" s="52"/>
    </row>
    <row r="1907" spans="1:4" ht="15.75" customHeight="1" x14ac:dyDescent="0.25">
      <c r="A1907" s="9"/>
      <c r="C1907" s="52"/>
      <c r="D1907" s="52"/>
    </row>
    <row r="1908" spans="1:4" ht="15.75" customHeight="1" x14ac:dyDescent="0.25">
      <c r="A1908" s="9"/>
      <c r="C1908" s="52"/>
      <c r="D1908" s="52"/>
    </row>
    <row r="1909" spans="1:4" ht="15.75" customHeight="1" x14ac:dyDescent="0.25">
      <c r="A1909" s="9"/>
      <c r="C1909" s="52"/>
      <c r="D1909" s="52"/>
    </row>
    <row r="1910" spans="1:4" ht="15.75" customHeight="1" x14ac:dyDescent="0.25">
      <c r="A1910" s="9"/>
      <c r="C1910" s="52"/>
      <c r="D1910" s="52"/>
    </row>
    <row r="1911" spans="1:4" ht="15.75" customHeight="1" x14ac:dyDescent="0.25">
      <c r="A1911" s="9"/>
      <c r="C1911" s="52"/>
      <c r="D1911" s="52"/>
    </row>
    <row r="1912" spans="1:4" ht="15.75" customHeight="1" x14ac:dyDescent="0.25">
      <c r="A1912" s="9"/>
      <c r="C1912" s="52"/>
      <c r="D1912" s="52"/>
    </row>
    <row r="1913" spans="1:4" ht="15.75" customHeight="1" x14ac:dyDescent="0.25">
      <c r="A1913" s="9"/>
      <c r="C1913" s="52"/>
      <c r="D1913" s="52"/>
    </row>
    <row r="1914" spans="1:4" ht="15.75" customHeight="1" x14ac:dyDescent="0.25">
      <c r="A1914" s="9"/>
      <c r="C1914" s="52"/>
      <c r="D1914" s="52"/>
    </row>
    <row r="1915" spans="1:4" ht="15.75" customHeight="1" x14ac:dyDescent="0.25">
      <c r="A1915" s="9"/>
      <c r="C1915" s="52"/>
      <c r="D1915" s="52"/>
    </row>
    <row r="1916" spans="1:4" ht="15.75" customHeight="1" x14ac:dyDescent="0.25">
      <c r="A1916" s="9"/>
      <c r="C1916" s="52"/>
      <c r="D1916" s="52"/>
    </row>
    <row r="1917" spans="1:4" ht="15.75" customHeight="1" x14ac:dyDescent="0.25">
      <c r="A1917" s="9"/>
      <c r="C1917" s="52"/>
      <c r="D1917" s="52"/>
    </row>
    <row r="1918" spans="1:4" ht="15.75" customHeight="1" x14ac:dyDescent="0.25">
      <c r="A1918" s="9"/>
      <c r="C1918" s="52"/>
      <c r="D1918" s="52"/>
    </row>
    <row r="1919" spans="1:4" ht="15.75" customHeight="1" x14ac:dyDescent="0.25">
      <c r="A1919" s="9"/>
      <c r="C1919" s="52"/>
      <c r="D1919" s="52"/>
    </row>
    <row r="1920" spans="1:4" ht="15.75" customHeight="1" x14ac:dyDescent="0.25">
      <c r="A1920" s="9"/>
      <c r="C1920" s="52"/>
      <c r="D1920" s="52"/>
    </row>
    <row r="1921" spans="1:4" ht="15.75" customHeight="1" x14ac:dyDescent="0.25">
      <c r="A1921" s="9"/>
      <c r="C1921" s="52"/>
      <c r="D1921" s="52"/>
    </row>
    <row r="1922" spans="1:4" ht="15.75" customHeight="1" x14ac:dyDescent="0.25">
      <c r="A1922" s="9"/>
      <c r="C1922" s="52"/>
      <c r="D1922" s="52"/>
    </row>
    <row r="1923" spans="1:4" ht="15.75" customHeight="1" x14ac:dyDescent="0.25">
      <c r="A1923" s="9"/>
      <c r="C1923" s="52"/>
      <c r="D1923" s="52"/>
    </row>
    <row r="1924" spans="1:4" ht="15.75" customHeight="1" x14ac:dyDescent="0.25">
      <c r="A1924" s="9"/>
      <c r="C1924" s="52"/>
      <c r="D1924" s="52"/>
    </row>
    <row r="1925" spans="1:4" ht="15.75" customHeight="1" x14ac:dyDescent="0.25">
      <c r="A1925" s="9"/>
      <c r="C1925" s="52"/>
      <c r="D1925" s="52"/>
    </row>
    <row r="1926" spans="1:4" ht="15.75" customHeight="1" x14ac:dyDescent="0.25">
      <c r="A1926" s="9"/>
      <c r="C1926" s="52"/>
      <c r="D1926" s="52"/>
    </row>
    <row r="1927" spans="1:4" ht="15.75" customHeight="1" x14ac:dyDescent="0.25">
      <c r="A1927" s="9"/>
      <c r="C1927" s="52"/>
      <c r="D1927" s="52"/>
    </row>
    <row r="1928" spans="1:4" ht="15.75" customHeight="1" x14ac:dyDescent="0.25">
      <c r="A1928" s="9"/>
      <c r="C1928" s="52"/>
      <c r="D1928" s="52"/>
    </row>
    <row r="1929" spans="1:4" ht="15.75" customHeight="1" x14ac:dyDescent="0.25">
      <c r="A1929" s="9"/>
      <c r="C1929" s="52"/>
      <c r="D1929" s="52"/>
    </row>
    <row r="1930" spans="1:4" ht="15.75" customHeight="1" x14ac:dyDescent="0.25">
      <c r="A1930" s="9"/>
      <c r="C1930" s="52"/>
      <c r="D1930" s="52"/>
    </row>
    <row r="1931" spans="1:4" ht="15.75" customHeight="1" x14ac:dyDescent="0.25">
      <c r="A1931" s="9"/>
      <c r="C1931" s="52"/>
      <c r="D1931" s="52"/>
    </row>
    <row r="1932" spans="1:4" ht="15.75" customHeight="1" x14ac:dyDescent="0.25">
      <c r="A1932" s="9"/>
      <c r="C1932" s="52"/>
      <c r="D1932" s="52"/>
    </row>
    <row r="1933" spans="1:4" ht="15.75" customHeight="1" x14ac:dyDescent="0.25">
      <c r="A1933" s="9"/>
      <c r="C1933" s="52"/>
      <c r="D1933" s="52"/>
    </row>
    <row r="1934" spans="1:4" ht="15.75" customHeight="1" x14ac:dyDescent="0.25">
      <c r="A1934" s="9"/>
      <c r="C1934" s="52"/>
      <c r="D1934" s="52"/>
    </row>
    <row r="1935" spans="1:4" ht="15.75" customHeight="1" x14ac:dyDescent="0.25">
      <c r="A1935" s="9"/>
      <c r="C1935" s="52"/>
      <c r="D1935" s="52"/>
    </row>
    <row r="1936" spans="1:4" ht="15.75" customHeight="1" x14ac:dyDescent="0.25">
      <c r="A1936" s="9"/>
      <c r="C1936" s="52"/>
      <c r="D1936" s="52"/>
    </row>
    <row r="1937" spans="1:4" ht="15.75" customHeight="1" x14ac:dyDescent="0.25">
      <c r="A1937" s="9"/>
      <c r="C1937" s="52"/>
      <c r="D1937" s="52"/>
    </row>
    <row r="1938" spans="1:4" ht="15.75" customHeight="1" x14ac:dyDescent="0.25">
      <c r="A1938" s="9"/>
      <c r="C1938" s="52"/>
      <c r="D1938" s="52"/>
    </row>
    <row r="1939" spans="1:4" ht="15.75" customHeight="1" x14ac:dyDescent="0.25">
      <c r="A1939" s="9"/>
      <c r="C1939" s="52"/>
      <c r="D1939" s="52"/>
    </row>
    <row r="1940" spans="1:4" ht="15.75" customHeight="1" x14ac:dyDescent="0.25">
      <c r="A1940" s="9"/>
      <c r="C1940" s="52"/>
      <c r="D1940" s="52"/>
    </row>
    <row r="1941" spans="1:4" ht="15.75" customHeight="1" x14ac:dyDescent="0.25">
      <c r="A1941" s="9"/>
      <c r="C1941" s="52"/>
      <c r="D1941" s="52"/>
    </row>
    <row r="1942" spans="1:4" ht="15.75" customHeight="1" x14ac:dyDescent="0.25">
      <c r="A1942" s="9"/>
      <c r="C1942" s="52"/>
      <c r="D1942" s="52"/>
    </row>
    <row r="1943" spans="1:4" ht="15.75" customHeight="1" x14ac:dyDescent="0.25">
      <c r="A1943" s="9"/>
      <c r="C1943" s="52"/>
      <c r="D1943" s="52"/>
    </row>
    <row r="1944" spans="1:4" ht="15.75" customHeight="1" x14ac:dyDescent="0.25">
      <c r="A1944" s="9"/>
      <c r="C1944" s="52"/>
      <c r="D1944" s="52"/>
    </row>
    <row r="1945" spans="1:4" ht="15.75" customHeight="1" x14ac:dyDescent="0.25">
      <c r="A1945" s="9"/>
      <c r="C1945" s="52"/>
      <c r="D1945" s="52"/>
    </row>
    <row r="1946" spans="1:4" ht="15.75" customHeight="1" x14ac:dyDescent="0.25">
      <c r="A1946" s="9"/>
      <c r="C1946" s="52"/>
      <c r="D1946" s="52"/>
    </row>
    <row r="1947" spans="1:4" ht="15.75" customHeight="1" x14ac:dyDescent="0.25">
      <c r="A1947" s="9"/>
      <c r="C1947" s="52"/>
      <c r="D1947" s="52"/>
    </row>
    <row r="1948" spans="1:4" ht="15.75" customHeight="1" x14ac:dyDescent="0.25">
      <c r="A1948" s="9"/>
      <c r="C1948" s="52"/>
      <c r="D1948" s="52"/>
    </row>
    <row r="1949" spans="1:4" ht="15.75" customHeight="1" x14ac:dyDescent="0.25">
      <c r="A1949" s="9"/>
      <c r="C1949" s="52"/>
      <c r="D1949" s="52"/>
    </row>
    <row r="1950" spans="1:4" ht="15.75" customHeight="1" x14ac:dyDescent="0.25">
      <c r="A1950" s="9"/>
      <c r="C1950" s="52"/>
      <c r="D1950" s="52"/>
    </row>
    <row r="1951" spans="1:4" ht="15.75" customHeight="1" x14ac:dyDescent="0.25">
      <c r="A1951" s="9"/>
      <c r="C1951" s="52"/>
      <c r="D1951" s="52"/>
    </row>
    <row r="1952" spans="1:4" ht="15.75" customHeight="1" x14ac:dyDescent="0.25">
      <c r="A1952" s="9"/>
      <c r="C1952" s="52"/>
      <c r="D1952" s="52"/>
    </row>
    <row r="1953" spans="1:4" ht="15.75" customHeight="1" x14ac:dyDescent="0.25">
      <c r="A1953" s="9"/>
      <c r="C1953" s="52"/>
      <c r="D1953" s="52"/>
    </row>
    <row r="1954" spans="1:4" ht="15.75" customHeight="1" x14ac:dyDescent="0.25">
      <c r="A1954" s="9"/>
      <c r="C1954" s="52"/>
      <c r="D1954" s="52"/>
    </row>
    <row r="1955" spans="1:4" ht="15.75" customHeight="1" x14ac:dyDescent="0.25">
      <c r="A1955" s="9"/>
      <c r="C1955" s="52"/>
      <c r="D1955" s="52"/>
    </row>
    <row r="1956" spans="1:4" ht="15.75" customHeight="1" x14ac:dyDescent="0.25">
      <c r="A1956" s="9"/>
      <c r="C1956" s="52"/>
      <c r="D1956" s="52"/>
    </row>
    <row r="1957" spans="1:4" ht="15.75" customHeight="1" x14ac:dyDescent="0.25">
      <c r="A1957" s="9"/>
      <c r="C1957" s="52"/>
      <c r="D1957" s="52"/>
    </row>
    <row r="1958" spans="1:4" ht="15.75" customHeight="1" x14ac:dyDescent="0.25">
      <c r="A1958" s="9"/>
      <c r="C1958" s="52"/>
      <c r="D1958" s="52"/>
    </row>
    <row r="1959" spans="1:4" ht="15.75" customHeight="1" x14ac:dyDescent="0.25">
      <c r="A1959" s="9"/>
      <c r="C1959" s="52"/>
      <c r="D1959" s="52"/>
    </row>
    <row r="1960" spans="1:4" ht="15.75" customHeight="1" x14ac:dyDescent="0.25">
      <c r="A1960" s="9"/>
      <c r="C1960" s="52"/>
      <c r="D1960" s="52"/>
    </row>
    <row r="1961" spans="1:4" ht="15.75" customHeight="1" x14ac:dyDescent="0.25">
      <c r="A1961" s="9"/>
      <c r="C1961" s="52"/>
      <c r="D1961" s="52"/>
    </row>
    <row r="1962" spans="1:4" ht="15.75" customHeight="1" x14ac:dyDescent="0.25">
      <c r="A1962" s="9"/>
      <c r="C1962" s="52"/>
      <c r="D1962" s="52"/>
    </row>
    <row r="1963" spans="1:4" ht="15.75" customHeight="1" x14ac:dyDescent="0.25">
      <c r="A1963" s="9"/>
      <c r="C1963" s="52"/>
      <c r="D1963" s="52"/>
    </row>
    <row r="1964" spans="1:4" ht="15.75" customHeight="1" x14ac:dyDescent="0.25">
      <c r="A1964" s="9"/>
      <c r="C1964" s="52"/>
      <c r="D1964" s="52"/>
    </row>
    <row r="1965" spans="1:4" ht="15.75" customHeight="1" x14ac:dyDescent="0.25">
      <c r="A1965" s="9"/>
      <c r="C1965" s="52"/>
      <c r="D1965" s="52"/>
    </row>
  </sheetData>
  <phoneticPr fontId="26" type="noConversion"/>
  <pageMargins left="0.7" right="0.7" top="0.75" bottom="0.75" header="0" footer="0"/>
  <pageSetup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42"/>
  <sheetViews>
    <sheetView workbookViewId="0"/>
  </sheetViews>
  <sheetFormatPr defaultColWidth="14.42578125" defaultRowHeight="15" customHeight="1" x14ac:dyDescent="0.25"/>
  <sheetData>
    <row r="1" spans="1:4" x14ac:dyDescent="0.25">
      <c r="A1" s="1" t="s">
        <v>152</v>
      </c>
      <c r="B1" s="2" t="s">
        <v>153</v>
      </c>
      <c r="C1" s="2" t="s">
        <v>154</v>
      </c>
      <c r="D1" s="2" t="s">
        <v>155</v>
      </c>
    </row>
    <row r="2" spans="1:4" x14ac:dyDescent="0.25">
      <c r="A2" s="3">
        <v>170370</v>
      </c>
      <c r="B2" s="4" t="s">
        <v>92</v>
      </c>
      <c r="C2" s="4" t="s">
        <v>156</v>
      </c>
      <c r="D2" s="4" t="s">
        <v>151</v>
      </c>
    </row>
    <row r="3" spans="1:4" x14ac:dyDescent="0.25">
      <c r="A3" s="3">
        <v>170510</v>
      </c>
      <c r="B3" s="4" t="s">
        <v>92</v>
      </c>
      <c r="C3" s="4" t="s">
        <v>157</v>
      </c>
      <c r="D3" s="4" t="s">
        <v>151</v>
      </c>
    </row>
    <row r="4" spans="1:4" x14ac:dyDescent="0.25">
      <c r="A4" s="3">
        <v>170755</v>
      </c>
      <c r="B4" s="4" t="s">
        <v>92</v>
      </c>
      <c r="C4" s="4" t="s">
        <v>158</v>
      </c>
      <c r="D4" s="4" t="s">
        <v>151</v>
      </c>
    </row>
    <row r="5" spans="1:4" x14ac:dyDescent="0.25">
      <c r="A5" s="3">
        <v>170980</v>
      </c>
      <c r="B5" s="4" t="s">
        <v>92</v>
      </c>
      <c r="C5" s="4" t="s">
        <v>159</v>
      </c>
      <c r="D5" s="4" t="s">
        <v>151</v>
      </c>
    </row>
    <row r="6" spans="1:4" x14ac:dyDescent="0.25">
      <c r="A6" s="3">
        <v>171270</v>
      </c>
      <c r="B6" s="4" t="s">
        <v>92</v>
      </c>
      <c r="C6" s="4" t="s">
        <v>160</v>
      </c>
      <c r="D6" s="4" t="s">
        <v>151</v>
      </c>
    </row>
    <row r="7" spans="1:4" x14ac:dyDescent="0.25">
      <c r="A7" s="3">
        <v>171360</v>
      </c>
      <c r="B7" s="4" t="s">
        <v>92</v>
      </c>
      <c r="C7" s="4" t="s">
        <v>161</v>
      </c>
      <c r="D7" s="4" t="s">
        <v>151</v>
      </c>
    </row>
    <row r="8" spans="1:4" x14ac:dyDescent="0.25">
      <c r="A8" s="3">
        <v>171420</v>
      </c>
      <c r="B8" s="4" t="s">
        <v>92</v>
      </c>
      <c r="C8" s="4" t="s">
        <v>162</v>
      </c>
      <c r="D8" s="4" t="s">
        <v>151</v>
      </c>
    </row>
    <row r="9" spans="1:4" x14ac:dyDescent="0.25">
      <c r="A9" s="3">
        <v>171700</v>
      </c>
      <c r="B9" s="4" t="s">
        <v>92</v>
      </c>
      <c r="C9" s="4" t="s">
        <v>163</v>
      </c>
      <c r="D9" s="4" t="s">
        <v>151</v>
      </c>
    </row>
    <row r="10" spans="1:4" x14ac:dyDescent="0.25">
      <c r="A10" s="3">
        <v>171790</v>
      </c>
      <c r="B10" s="4" t="s">
        <v>92</v>
      </c>
      <c r="C10" s="4" t="s">
        <v>164</v>
      </c>
      <c r="D10" s="4" t="s">
        <v>151</v>
      </c>
    </row>
    <row r="11" spans="1:4" x14ac:dyDescent="0.25">
      <c r="A11" s="3">
        <v>171820</v>
      </c>
      <c r="B11" s="4" t="s">
        <v>92</v>
      </c>
      <c r="C11" s="4" t="s">
        <v>165</v>
      </c>
      <c r="D11" s="4" t="s">
        <v>151</v>
      </c>
    </row>
    <row r="12" spans="1:4" x14ac:dyDescent="0.25">
      <c r="A12" s="3">
        <v>171890</v>
      </c>
      <c r="B12" s="4" t="s">
        <v>92</v>
      </c>
      <c r="C12" s="4" t="s">
        <v>166</v>
      </c>
      <c r="D12" s="4" t="s">
        <v>151</v>
      </c>
    </row>
    <row r="13" spans="1:4" x14ac:dyDescent="0.25">
      <c r="A13" s="3">
        <v>172065</v>
      </c>
      <c r="B13" s="4" t="s">
        <v>92</v>
      </c>
      <c r="C13" s="4" t="s">
        <v>167</v>
      </c>
      <c r="D13" s="4" t="s">
        <v>151</v>
      </c>
    </row>
    <row r="14" spans="1:4" x14ac:dyDescent="0.25">
      <c r="A14" s="3">
        <v>171550</v>
      </c>
      <c r="B14" s="4" t="s">
        <v>92</v>
      </c>
      <c r="C14" s="4" t="s">
        <v>168</v>
      </c>
      <c r="D14" s="4" t="s">
        <v>151</v>
      </c>
    </row>
    <row r="15" spans="1:4" x14ac:dyDescent="0.25">
      <c r="A15" s="3">
        <v>170220</v>
      </c>
      <c r="B15" s="4" t="s">
        <v>169</v>
      </c>
      <c r="C15" s="4" t="s">
        <v>170</v>
      </c>
      <c r="D15" s="4" t="s">
        <v>145</v>
      </c>
    </row>
    <row r="16" spans="1:4" x14ac:dyDescent="0.25">
      <c r="A16" s="3">
        <v>170255</v>
      </c>
      <c r="B16" s="4" t="s">
        <v>169</v>
      </c>
      <c r="C16" s="4" t="s">
        <v>171</v>
      </c>
      <c r="D16" s="4" t="s">
        <v>145</v>
      </c>
    </row>
    <row r="17" spans="1:4" x14ac:dyDescent="0.25">
      <c r="A17" s="3">
        <v>170290</v>
      </c>
      <c r="B17" s="4" t="s">
        <v>169</v>
      </c>
      <c r="C17" s="4" t="s">
        <v>172</v>
      </c>
      <c r="D17" s="4" t="s">
        <v>145</v>
      </c>
    </row>
    <row r="18" spans="1:4" x14ac:dyDescent="0.25">
      <c r="A18" s="3">
        <v>170380</v>
      </c>
      <c r="B18" s="4" t="s">
        <v>169</v>
      </c>
      <c r="C18" s="4" t="s">
        <v>173</v>
      </c>
      <c r="D18" s="4" t="s">
        <v>145</v>
      </c>
    </row>
    <row r="19" spans="1:4" x14ac:dyDescent="0.25">
      <c r="A19" s="3">
        <v>170389</v>
      </c>
      <c r="B19" s="4" t="s">
        <v>169</v>
      </c>
      <c r="C19" s="4" t="s">
        <v>174</v>
      </c>
      <c r="D19" s="4" t="s">
        <v>145</v>
      </c>
    </row>
    <row r="20" spans="1:4" x14ac:dyDescent="0.25">
      <c r="A20" s="3">
        <v>170740</v>
      </c>
      <c r="B20" s="4" t="s">
        <v>169</v>
      </c>
      <c r="C20" s="4" t="s">
        <v>175</v>
      </c>
      <c r="D20" s="4" t="s">
        <v>145</v>
      </c>
    </row>
    <row r="21" spans="1:4" x14ac:dyDescent="0.25">
      <c r="A21" s="3">
        <v>171070</v>
      </c>
      <c r="B21" s="4" t="s">
        <v>169</v>
      </c>
      <c r="C21" s="4" t="s">
        <v>176</v>
      </c>
      <c r="D21" s="4" t="s">
        <v>145</v>
      </c>
    </row>
    <row r="22" spans="1:4" x14ac:dyDescent="0.25">
      <c r="A22" s="3">
        <v>171280</v>
      </c>
      <c r="B22" s="4" t="s">
        <v>169</v>
      </c>
      <c r="C22" s="4" t="s">
        <v>177</v>
      </c>
      <c r="D22" s="4" t="s">
        <v>145</v>
      </c>
    </row>
    <row r="23" spans="1:4" x14ac:dyDescent="0.25">
      <c r="A23" s="3">
        <v>171830</v>
      </c>
      <c r="B23" s="4" t="s">
        <v>169</v>
      </c>
      <c r="C23" s="4" t="s">
        <v>178</v>
      </c>
      <c r="D23" s="4" t="s">
        <v>145</v>
      </c>
    </row>
    <row r="24" spans="1:4" x14ac:dyDescent="0.25">
      <c r="A24" s="3">
        <v>171880</v>
      </c>
      <c r="B24" s="4" t="s">
        <v>169</v>
      </c>
      <c r="C24" s="4" t="s">
        <v>179</v>
      </c>
      <c r="D24" s="4" t="s">
        <v>145</v>
      </c>
    </row>
    <row r="25" spans="1:4" x14ac:dyDescent="0.25">
      <c r="A25" s="3">
        <v>172010</v>
      </c>
      <c r="B25" s="4" t="s">
        <v>169</v>
      </c>
      <c r="C25" s="4" t="s">
        <v>180</v>
      </c>
      <c r="D25" s="4" t="s">
        <v>145</v>
      </c>
    </row>
    <row r="26" spans="1:4" x14ac:dyDescent="0.25">
      <c r="A26" s="3">
        <v>172020</v>
      </c>
      <c r="B26" s="4" t="s">
        <v>169</v>
      </c>
      <c r="C26" s="4" t="s">
        <v>181</v>
      </c>
      <c r="D26" s="4" t="s">
        <v>145</v>
      </c>
    </row>
    <row r="27" spans="1:4" x14ac:dyDescent="0.25">
      <c r="A27" s="3">
        <v>172030</v>
      </c>
      <c r="B27" s="4" t="s">
        <v>169</v>
      </c>
      <c r="C27" s="4" t="s">
        <v>182</v>
      </c>
      <c r="D27" s="4" t="s">
        <v>145</v>
      </c>
    </row>
    <row r="28" spans="1:4" x14ac:dyDescent="0.25">
      <c r="A28" s="3">
        <v>172080</v>
      </c>
      <c r="B28" s="4" t="s">
        <v>169</v>
      </c>
      <c r="C28" s="4" t="s">
        <v>183</v>
      </c>
      <c r="D28" s="4" t="s">
        <v>145</v>
      </c>
    </row>
    <row r="29" spans="1:4" x14ac:dyDescent="0.25">
      <c r="A29" s="3">
        <v>170030</v>
      </c>
      <c r="B29" s="4" t="s">
        <v>169</v>
      </c>
      <c r="C29" s="4" t="s">
        <v>184</v>
      </c>
      <c r="D29" s="4" t="s">
        <v>145</v>
      </c>
    </row>
    <row r="30" spans="1:4" x14ac:dyDescent="0.25">
      <c r="A30" s="3">
        <v>171245</v>
      </c>
      <c r="B30" s="4" t="s">
        <v>169</v>
      </c>
      <c r="C30" s="4" t="s">
        <v>185</v>
      </c>
      <c r="D30" s="4" t="s">
        <v>145</v>
      </c>
    </row>
    <row r="31" spans="1:4" x14ac:dyDescent="0.25">
      <c r="A31" s="3">
        <v>171430</v>
      </c>
      <c r="B31" s="4" t="s">
        <v>169</v>
      </c>
      <c r="C31" s="4" t="s">
        <v>186</v>
      </c>
      <c r="D31" s="4" t="s">
        <v>145</v>
      </c>
    </row>
    <row r="32" spans="1:4" x14ac:dyDescent="0.25">
      <c r="A32" s="3">
        <v>171380</v>
      </c>
      <c r="B32" s="4" t="s">
        <v>169</v>
      </c>
      <c r="C32" s="4" t="s">
        <v>187</v>
      </c>
      <c r="D32" s="4" t="s">
        <v>145</v>
      </c>
    </row>
    <row r="33" spans="1:4" x14ac:dyDescent="0.25">
      <c r="A33" s="3">
        <v>172000</v>
      </c>
      <c r="B33" s="4" t="s">
        <v>169</v>
      </c>
      <c r="C33" s="4" t="s">
        <v>188</v>
      </c>
      <c r="D33" s="4" t="s">
        <v>145</v>
      </c>
    </row>
    <row r="34" spans="1:4" x14ac:dyDescent="0.25">
      <c r="A34" s="3">
        <v>172120</v>
      </c>
      <c r="B34" s="4" t="s">
        <v>169</v>
      </c>
      <c r="C34" s="4" t="s">
        <v>189</v>
      </c>
      <c r="D34" s="4" t="s">
        <v>145</v>
      </c>
    </row>
    <row r="35" spans="1:4" x14ac:dyDescent="0.25">
      <c r="A35" s="3">
        <v>170100</v>
      </c>
      <c r="B35" s="4" t="s">
        <v>169</v>
      </c>
      <c r="C35" s="4" t="s">
        <v>190</v>
      </c>
      <c r="D35" s="4" t="s">
        <v>145</v>
      </c>
    </row>
    <row r="36" spans="1:4" x14ac:dyDescent="0.25">
      <c r="A36" s="3">
        <v>170105</v>
      </c>
      <c r="B36" s="4" t="s">
        <v>169</v>
      </c>
      <c r="C36" s="4" t="s">
        <v>191</v>
      </c>
      <c r="D36" s="4" t="s">
        <v>145</v>
      </c>
    </row>
    <row r="37" spans="1:4" x14ac:dyDescent="0.25">
      <c r="A37" s="3">
        <v>170382</v>
      </c>
      <c r="B37" s="4" t="s">
        <v>169</v>
      </c>
      <c r="C37" s="4" t="s">
        <v>192</v>
      </c>
      <c r="D37" s="4" t="s">
        <v>145</v>
      </c>
    </row>
    <row r="38" spans="1:4" x14ac:dyDescent="0.25">
      <c r="A38" s="3">
        <v>171855</v>
      </c>
      <c r="B38" s="4" t="s">
        <v>169</v>
      </c>
      <c r="C38" s="4" t="s">
        <v>193</v>
      </c>
      <c r="D38" s="4" t="s">
        <v>145</v>
      </c>
    </row>
    <row r="39" spans="1:4" x14ac:dyDescent="0.25">
      <c r="A39" s="3">
        <v>170025</v>
      </c>
      <c r="B39" s="4" t="s">
        <v>92</v>
      </c>
      <c r="C39" s="4" t="s">
        <v>194</v>
      </c>
      <c r="D39" s="4" t="s">
        <v>144</v>
      </c>
    </row>
    <row r="40" spans="1:4" x14ac:dyDescent="0.25">
      <c r="A40" s="3">
        <v>170190</v>
      </c>
      <c r="B40" s="4" t="s">
        <v>92</v>
      </c>
      <c r="C40" s="4" t="s">
        <v>195</v>
      </c>
      <c r="D40" s="4" t="s">
        <v>144</v>
      </c>
    </row>
    <row r="41" spans="1:4" x14ac:dyDescent="0.25">
      <c r="A41" s="3">
        <v>170310</v>
      </c>
      <c r="B41" s="4" t="s">
        <v>92</v>
      </c>
      <c r="C41" s="4" t="s">
        <v>196</v>
      </c>
      <c r="D41" s="4" t="s">
        <v>144</v>
      </c>
    </row>
    <row r="42" spans="1:4" x14ac:dyDescent="0.25">
      <c r="A42" s="3">
        <v>170390</v>
      </c>
      <c r="B42" s="4" t="s">
        <v>92</v>
      </c>
      <c r="C42" s="4" t="s">
        <v>197</v>
      </c>
      <c r="D42" s="4" t="s">
        <v>144</v>
      </c>
    </row>
    <row r="43" spans="1:4" x14ac:dyDescent="0.25">
      <c r="A43" s="3">
        <v>170460</v>
      </c>
      <c r="B43" s="4" t="s">
        <v>92</v>
      </c>
      <c r="C43" s="4" t="s">
        <v>198</v>
      </c>
      <c r="D43" s="4" t="s">
        <v>144</v>
      </c>
    </row>
    <row r="44" spans="1:4" x14ac:dyDescent="0.25">
      <c r="A44" s="3">
        <v>170610</v>
      </c>
      <c r="B44" s="4" t="s">
        <v>92</v>
      </c>
      <c r="C44" s="4" t="s">
        <v>199</v>
      </c>
      <c r="D44" s="4" t="s">
        <v>144</v>
      </c>
    </row>
    <row r="45" spans="1:4" x14ac:dyDescent="0.25">
      <c r="A45" s="3">
        <v>170710</v>
      </c>
      <c r="B45" s="4" t="s">
        <v>92</v>
      </c>
      <c r="C45" s="4" t="s">
        <v>200</v>
      </c>
      <c r="D45" s="4" t="s">
        <v>144</v>
      </c>
    </row>
    <row r="46" spans="1:4" x14ac:dyDescent="0.25">
      <c r="A46" s="3">
        <v>170720</v>
      </c>
      <c r="B46" s="4" t="s">
        <v>92</v>
      </c>
      <c r="C46" s="4" t="s">
        <v>201</v>
      </c>
      <c r="D46" s="4" t="s">
        <v>144</v>
      </c>
    </row>
    <row r="47" spans="1:4" x14ac:dyDescent="0.25">
      <c r="A47" s="3">
        <v>171190</v>
      </c>
      <c r="B47" s="4" t="s">
        <v>92</v>
      </c>
      <c r="C47" s="4" t="s">
        <v>202</v>
      </c>
      <c r="D47" s="4" t="s">
        <v>144</v>
      </c>
    </row>
    <row r="48" spans="1:4" x14ac:dyDescent="0.25">
      <c r="A48" s="3">
        <v>171250</v>
      </c>
      <c r="B48" s="4" t="s">
        <v>92</v>
      </c>
      <c r="C48" s="4" t="s">
        <v>203</v>
      </c>
      <c r="D48" s="4" t="s">
        <v>144</v>
      </c>
    </row>
    <row r="49" spans="1:4" x14ac:dyDescent="0.25">
      <c r="A49" s="3">
        <v>171370</v>
      </c>
      <c r="B49" s="4" t="s">
        <v>92</v>
      </c>
      <c r="C49" s="4" t="s">
        <v>204</v>
      </c>
      <c r="D49" s="4" t="s">
        <v>144</v>
      </c>
    </row>
    <row r="50" spans="1:4" x14ac:dyDescent="0.25">
      <c r="A50" s="3">
        <v>171500</v>
      </c>
      <c r="B50" s="4" t="s">
        <v>92</v>
      </c>
      <c r="C50" s="4" t="s">
        <v>205</v>
      </c>
      <c r="D50" s="4" t="s">
        <v>144</v>
      </c>
    </row>
    <row r="51" spans="1:4" x14ac:dyDescent="0.25">
      <c r="A51" s="3">
        <v>171610</v>
      </c>
      <c r="B51" s="4" t="s">
        <v>92</v>
      </c>
      <c r="C51" s="4" t="s">
        <v>206</v>
      </c>
      <c r="D51" s="4" t="s">
        <v>144</v>
      </c>
    </row>
    <row r="52" spans="1:4" x14ac:dyDescent="0.25">
      <c r="A52" s="3">
        <v>171750</v>
      </c>
      <c r="B52" s="4" t="s">
        <v>92</v>
      </c>
      <c r="C52" s="4" t="s">
        <v>207</v>
      </c>
      <c r="D52" s="4" t="s">
        <v>144</v>
      </c>
    </row>
    <row r="53" spans="1:4" x14ac:dyDescent="0.25">
      <c r="A53" s="3">
        <v>171845</v>
      </c>
      <c r="B53" s="4" t="s">
        <v>92</v>
      </c>
      <c r="C53" s="4" t="s">
        <v>208</v>
      </c>
      <c r="D53" s="4" t="s">
        <v>144</v>
      </c>
    </row>
    <row r="54" spans="1:4" x14ac:dyDescent="0.25">
      <c r="A54" s="3">
        <v>170110</v>
      </c>
      <c r="B54" s="4" t="s">
        <v>92</v>
      </c>
      <c r="C54" s="4" t="s">
        <v>209</v>
      </c>
      <c r="D54" s="4" t="s">
        <v>148</v>
      </c>
    </row>
    <row r="55" spans="1:4" x14ac:dyDescent="0.25">
      <c r="A55" s="3">
        <v>171195</v>
      </c>
      <c r="B55" s="4" t="s">
        <v>92</v>
      </c>
      <c r="C55" s="4" t="s">
        <v>210</v>
      </c>
      <c r="D55" s="4" t="s">
        <v>148</v>
      </c>
    </row>
    <row r="56" spans="1:4" x14ac:dyDescent="0.25">
      <c r="A56" s="3">
        <v>171200</v>
      </c>
      <c r="B56" s="4" t="s">
        <v>92</v>
      </c>
      <c r="C56" s="4" t="s">
        <v>211</v>
      </c>
      <c r="D56" s="4" t="s">
        <v>148</v>
      </c>
    </row>
    <row r="57" spans="1:4" x14ac:dyDescent="0.25">
      <c r="A57" s="3">
        <v>171240</v>
      </c>
      <c r="B57" s="4" t="s">
        <v>92</v>
      </c>
      <c r="C57" s="4" t="s">
        <v>212</v>
      </c>
      <c r="D57" s="4" t="s">
        <v>148</v>
      </c>
    </row>
    <row r="58" spans="1:4" x14ac:dyDescent="0.25">
      <c r="A58" s="3">
        <v>171510</v>
      </c>
      <c r="B58" s="4" t="s">
        <v>92</v>
      </c>
      <c r="C58" s="4" t="s">
        <v>213</v>
      </c>
      <c r="D58" s="4" t="s">
        <v>148</v>
      </c>
    </row>
    <row r="59" spans="1:4" x14ac:dyDescent="0.25">
      <c r="A59" s="3">
        <v>172100</v>
      </c>
      <c r="B59" s="4" t="s">
        <v>92</v>
      </c>
      <c r="C59" s="4" t="s">
        <v>214</v>
      </c>
      <c r="D59" s="4" t="s">
        <v>148</v>
      </c>
    </row>
    <row r="60" spans="1:4" x14ac:dyDescent="0.25">
      <c r="A60" s="3">
        <v>171900</v>
      </c>
      <c r="B60" s="4" t="s">
        <v>92</v>
      </c>
      <c r="C60" s="4" t="s">
        <v>215</v>
      </c>
      <c r="D60" s="4" t="s">
        <v>148</v>
      </c>
    </row>
    <row r="61" spans="1:4" x14ac:dyDescent="0.25">
      <c r="A61" s="3">
        <v>172015</v>
      </c>
      <c r="B61" s="4" t="s">
        <v>92</v>
      </c>
      <c r="C61" s="4" t="s">
        <v>216</v>
      </c>
      <c r="D61" s="4" t="s">
        <v>148</v>
      </c>
    </row>
    <row r="62" spans="1:4" x14ac:dyDescent="0.25">
      <c r="A62" s="3">
        <v>171320</v>
      </c>
      <c r="B62" s="4" t="s">
        <v>92</v>
      </c>
      <c r="C62" s="4" t="s">
        <v>217</v>
      </c>
      <c r="D62" s="4" t="s">
        <v>148</v>
      </c>
    </row>
    <row r="63" spans="1:4" x14ac:dyDescent="0.25">
      <c r="A63" s="3">
        <v>171330</v>
      </c>
      <c r="B63" s="4" t="s">
        <v>92</v>
      </c>
      <c r="C63" s="4" t="s">
        <v>218</v>
      </c>
      <c r="D63" s="4" t="s">
        <v>148</v>
      </c>
    </row>
    <row r="64" spans="1:4" x14ac:dyDescent="0.25">
      <c r="A64" s="3">
        <v>171870</v>
      </c>
      <c r="B64" s="4" t="s">
        <v>92</v>
      </c>
      <c r="C64" s="4" t="s">
        <v>219</v>
      </c>
      <c r="D64" s="4" t="s">
        <v>148</v>
      </c>
    </row>
    <row r="65" spans="1:4" x14ac:dyDescent="0.25">
      <c r="A65" s="3">
        <v>171875</v>
      </c>
      <c r="B65" s="4" t="s">
        <v>92</v>
      </c>
      <c r="C65" s="4" t="s">
        <v>220</v>
      </c>
      <c r="D65" s="4" t="s">
        <v>148</v>
      </c>
    </row>
    <row r="66" spans="1:4" x14ac:dyDescent="0.25">
      <c r="A66" s="3">
        <v>172110</v>
      </c>
      <c r="B66" s="4" t="s">
        <v>92</v>
      </c>
      <c r="C66" s="4" t="s">
        <v>221</v>
      </c>
      <c r="D66" s="4" t="s">
        <v>148</v>
      </c>
    </row>
    <row r="67" spans="1:4" x14ac:dyDescent="0.25">
      <c r="A67" s="3">
        <v>170825</v>
      </c>
      <c r="B67" s="4" t="s">
        <v>169</v>
      </c>
      <c r="C67" s="4" t="s">
        <v>358</v>
      </c>
      <c r="D67" s="4" t="s">
        <v>148</v>
      </c>
    </row>
    <row r="68" spans="1:4" x14ac:dyDescent="0.25">
      <c r="A68" s="3">
        <v>170230</v>
      </c>
      <c r="B68" s="4" t="s">
        <v>169</v>
      </c>
      <c r="C68" s="4" t="s">
        <v>222</v>
      </c>
      <c r="D68" s="4" t="s">
        <v>150</v>
      </c>
    </row>
    <row r="69" spans="1:4" x14ac:dyDescent="0.25">
      <c r="A69" s="3">
        <v>170305</v>
      </c>
      <c r="B69" s="4" t="s">
        <v>169</v>
      </c>
      <c r="C69" s="4" t="s">
        <v>223</v>
      </c>
      <c r="D69" s="4" t="s">
        <v>150</v>
      </c>
    </row>
    <row r="70" spans="1:4" x14ac:dyDescent="0.25">
      <c r="A70" s="3">
        <v>170320</v>
      </c>
      <c r="B70" s="4" t="s">
        <v>169</v>
      </c>
      <c r="C70" s="4" t="s">
        <v>224</v>
      </c>
      <c r="D70" s="4" t="s">
        <v>150</v>
      </c>
    </row>
    <row r="71" spans="1:4" x14ac:dyDescent="0.25">
      <c r="A71" s="3">
        <v>170360</v>
      </c>
      <c r="B71" s="4" t="s">
        <v>169</v>
      </c>
      <c r="C71" s="4" t="s">
        <v>225</v>
      </c>
      <c r="D71" s="4" t="s">
        <v>150</v>
      </c>
    </row>
    <row r="72" spans="1:4" x14ac:dyDescent="0.25">
      <c r="A72" s="3">
        <v>170550</v>
      </c>
      <c r="B72" s="4" t="s">
        <v>169</v>
      </c>
      <c r="C72" s="4" t="s">
        <v>226</v>
      </c>
      <c r="D72" s="4" t="s">
        <v>150</v>
      </c>
    </row>
    <row r="73" spans="1:4" x14ac:dyDescent="0.25">
      <c r="A73" s="3">
        <v>171670</v>
      </c>
      <c r="B73" s="4" t="s">
        <v>169</v>
      </c>
      <c r="C73" s="4" t="s">
        <v>227</v>
      </c>
      <c r="D73" s="4" t="s">
        <v>150</v>
      </c>
    </row>
    <row r="74" spans="1:4" x14ac:dyDescent="0.25">
      <c r="A74" s="3">
        <v>170600</v>
      </c>
      <c r="B74" s="4" t="s">
        <v>169</v>
      </c>
      <c r="C74" s="4" t="s">
        <v>228</v>
      </c>
      <c r="D74" s="4" t="s">
        <v>150</v>
      </c>
    </row>
    <row r="75" spans="1:4" x14ac:dyDescent="0.25">
      <c r="A75" s="3">
        <v>171090</v>
      </c>
      <c r="B75" s="4" t="s">
        <v>169</v>
      </c>
      <c r="C75" s="4" t="s">
        <v>229</v>
      </c>
      <c r="D75" s="4" t="s">
        <v>150</v>
      </c>
    </row>
    <row r="76" spans="1:4" x14ac:dyDescent="0.25">
      <c r="A76" s="3">
        <v>171180</v>
      </c>
      <c r="B76" s="4" t="s">
        <v>169</v>
      </c>
      <c r="C76" s="4" t="s">
        <v>230</v>
      </c>
      <c r="D76" s="4" t="s">
        <v>150</v>
      </c>
    </row>
    <row r="77" spans="1:4" x14ac:dyDescent="0.25">
      <c r="A77" s="3">
        <v>171570</v>
      </c>
      <c r="B77" s="4" t="s">
        <v>169</v>
      </c>
      <c r="C77" s="4" t="s">
        <v>231</v>
      </c>
      <c r="D77" s="4" t="s">
        <v>150</v>
      </c>
    </row>
    <row r="78" spans="1:4" x14ac:dyDescent="0.25">
      <c r="A78" s="3">
        <v>172130</v>
      </c>
      <c r="B78" s="4" t="s">
        <v>169</v>
      </c>
      <c r="C78" s="4" t="s">
        <v>232</v>
      </c>
      <c r="D78" s="4" t="s">
        <v>150</v>
      </c>
    </row>
    <row r="79" spans="1:4" x14ac:dyDescent="0.25">
      <c r="A79" s="3">
        <v>171670</v>
      </c>
      <c r="B79" s="4" t="s">
        <v>169</v>
      </c>
      <c r="C79" s="4" t="s">
        <v>227</v>
      </c>
      <c r="D79" s="4" t="s">
        <v>150</v>
      </c>
    </row>
    <row r="80" spans="1:4" x14ac:dyDescent="0.25">
      <c r="A80" s="3">
        <v>170830</v>
      </c>
      <c r="B80" s="4" t="s">
        <v>169</v>
      </c>
      <c r="C80" s="4" t="s">
        <v>233</v>
      </c>
      <c r="D80" s="4" t="s">
        <v>150</v>
      </c>
    </row>
    <row r="81" spans="1:4" x14ac:dyDescent="0.25">
      <c r="A81" s="3">
        <v>170930</v>
      </c>
      <c r="B81" s="4" t="s">
        <v>169</v>
      </c>
      <c r="C81" s="4" t="s">
        <v>234</v>
      </c>
      <c r="D81" s="4" t="s">
        <v>150</v>
      </c>
    </row>
    <row r="82" spans="1:4" x14ac:dyDescent="0.25">
      <c r="A82" s="3">
        <v>171050</v>
      </c>
      <c r="B82" s="4" t="s">
        <v>169</v>
      </c>
      <c r="C82" s="4" t="s">
        <v>235</v>
      </c>
      <c r="D82" s="4" t="s">
        <v>150</v>
      </c>
    </row>
    <row r="83" spans="1:4" x14ac:dyDescent="0.25">
      <c r="A83" s="3">
        <v>171110</v>
      </c>
      <c r="B83" s="4" t="s">
        <v>169</v>
      </c>
      <c r="C83" s="4" t="s">
        <v>236</v>
      </c>
      <c r="D83" s="4" t="s">
        <v>150</v>
      </c>
    </row>
    <row r="84" spans="1:4" x14ac:dyDescent="0.25">
      <c r="A84" s="3">
        <v>171665</v>
      </c>
      <c r="B84" s="4" t="s">
        <v>169</v>
      </c>
      <c r="C84" s="4" t="s">
        <v>237</v>
      </c>
      <c r="D84" s="4" t="s">
        <v>150</v>
      </c>
    </row>
    <row r="85" spans="1:4" x14ac:dyDescent="0.25">
      <c r="A85" s="3">
        <v>171840</v>
      </c>
      <c r="B85" s="4" t="s">
        <v>169</v>
      </c>
      <c r="C85" s="4" t="s">
        <v>238</v>
      </c>
      <c r="D85" s="4" t="s">
        <v>150</v>
      </c>
    </row>
    <row r="86" spans="1:4" x14ac:dyDescent="0.25">
      <c r="A86" s="3">
        <v>170330</v>
      </c>
      <c r="B86" s="4" t="s">
        <v>169</v>
      </c>
      <c r="C86" s="4" t="s">
        <v>239</v>
      </c>
      <c r="D86" s="4" t="s">
        <v>150</v>
      </c>
    </row>
    <row r="87" spans="1:4" x14ac:dyDescent="0.25">
      <c r="A87" s="3">
        <v>170410</v>
      </c>
      <c r="B87" s="4" t="s">
        <v>169</v>
      </c>
      <c r="C87" s="4" t="s">
        <v>240</v>
      </c>
      <c r="D87" s="4" t="s">
        <v>150</v>
      </c>
    </row>
    <row r="88" spans="1:4" x14ac:dyDescent="0.25">
      <c r="A88" s="3">
        <v>171650</v>
      </c>
      <c r="B88" s="4" t="s">
        <v>169</v>
      </c>
      <c r="C88" s="4" t="s">
        <v>241</v>
      </c>
      <c r="D88" s="4" t="s">
        <v>150</v>
      </c>
    </row>
    <row r="89" spans="1:4" x14ac:dyDescent="0.25">
      <c r="A89" s="3">
        <v>171850</v>
      </c>
      <c r="B89" s="4" t="s">
        <v>169</v>
      </c>
      <c r="C89" s="4" t="s">
        <v>242</v>
      </c>
      <c r="D89" s="4" t="s">
        <v>150</v>
      </c>
    </row>
    <row r="90" spans="1:4" x14ac:dyDescent="0.25">
      <c r="A90" s="3">
        <v>171888</v>
      </c>
      <c r="B90" s="4" t="s">
        <v>169</v>
      </c>
      <c r="C90" s="4" t="s">
        <v>243</v>
      </c>
      <c r="D90" s="4" t="s">
        <v>150</v>
      </c>
    </row>
    <row r="91" spans="1:4" x14ac:dyDescent="0.25">
      <c r="A91" s="3">
        <v>172125</v>
      </c>
      <c r="B91" s="4" t="s">
        <v>169</v>
      </c>
      <c r="C91" s="4" t="s">
        <v>244</v>
      </c>
      <c r="D91" s="4" t="s">
        <v>150</v>
      </c>
    </row>
    <row r="92" spans="1:4" x14ac:dyDescent="0.25">
      <c r="A92" s="3">
        <v>0</v>
      </c>
      <c r="B92" s="5">
        <v>0</v>
      </c>
      <c r="C92" s="4" t="s">
        <v>245</v>
      </c>
      <c r="D92" s="4" t="s">
        <v>245</v>
      </c>
    </row>
    <row r="93" spans="1:4" x14ac:dyDescent="0.25">
      <c r="A93" s="3">
        <v>170035</v>
      </c>
      <c r="B93" s="4" t="s">
        <v>92</v>
      </c>
      <c r="C93" s="4" t="s">
        <v>246</v>
      </c>
      <c r="D93" s="4" t="s">
        <v>146</v>
      </c>
    </row>
    <row r="94" spans="1:4" x14ac:dyDescent="0.25">
      <c r="A94" s="3">
        <v>170070</v>
      </c>
      <c r="B94" s="4" t="s">
        <v>92</v>
      </c>
      <c r="C94" s="4" t="s">
        <v>247</v>
      </c>
      <c r="D94" s="4" t="s">
        <v>146</v>
      </c>
    </row>
    <row r="95" spans="1:4" x14ac:dyDescent="0.25">
      <c r="A95" s="3">
        <v>170200</v>
      </c>
      <c r="B95" s="4" t="s">
        <v>92</v>
      </c>
      <c r="C95" s="4" t="s">
        <v>248</v>
      </c>
      <c r="D95" s="4" t="s">
        <v>146</v>
      </c>
    </row>
    <row r="96" spans="1:4" x14ac:dyDescent="0.25">
      <c r="A96" s="3">
        <v>170386</v>
      </c>
      <c r="B96" s="4" t="s">
        <v>92</v>
      </c>
      <c r="C96" s="4" t="s">
        <v>249</v>
      </c>
      <c r="D96" s="4" t="s">
        <v>146</v>
      </c>
    </row>
    <row r="97" spans="1:4" x14ac:dyDescent="0.25">
      <c r="A97" s="3">
        <v>170625</v>
      </c>
      <c r="B97" s="4" t="s">
        <v>92</v>
      </c>
      <c r="C97" s="4" t="s">
        <v>250</v>
      </c>
      <c r="D97" s="4" t="s">
        <v>146</v>
      </c>
    </row>
    <row r="98" spans="1:4" x14ac:dyDescent="0.25">
      <c r="A98" s="3">
        <v>170730</v>
      </c>
      <c r="B98" s="4" t="s">
        <v>92</v>
      </c>
      <c r="C98" s="4" t="s">
        <v>251</v>
      </c>
      <c r="D98" s="4" t="s">
        <v>146</v>
      </c>
    </row>
    <row r="99" spans="1:4" x14ac:dyDescent="0.25">
      <c r="A99" s="3">
        <v>170765</v>
      </c>
      <c r="B99" s="4" t="s">
        <v>92</v>
      </c>
      <c r="C99" s="4" t="s">
        <v>252</v>
      </c>
      <c r="D99" s="4" t="s">
        <v>146</v>
      </c>
    </row>
    <row r="100" spans="1:4" x14ac:dyDescent="0.25">
      <c r="A100" s="3">
        <v>170820</v>
      </c>
      <c r="B100" s="4" t="s">
        <v>92</v>
      </c>
      <c r="C100" s="4" t="s">
        <v>253</v>
      </c>
      <c r="D100" s="4" t="s">
        <v>146</v>
      </c>
    </row>
    <row r="101" spans="1:4" x14ac:dyDescent="0.25">
      <c r="A101" s="3">
        <v>170950</v>
      </c>
      <c r="B101" s="4" t="s">
        <v>92</v>
      </c>
      <c r="C101" s="4" t="s">
        <v>254</v>
      </c>
      <c r="D101" s="4" t="s">
        <v>146</v>
      </c>
    </row>
    <row r="102" spans="1:4" x14ac:dyDescent="0.25">
      <c r="A102" s="3">
        <v>171150</v>
      </c>
      <c r="B102" s="4" t="s">
        <v>92</v>
      </c>
      <c r="C102" s="4" t="s">
        <v>255</v>
      </c>
      <c r="D102" s="4" t="s">
        <v>146</v>
      </c>
    </row>
    <row r="103" spans="1:4" x14ac:dyDescent="0.25">
      <c r="A103" s="3">
        <v>171575</v>
      </c>
      <c r="B103" s="4" t="s">
        <v>92</v>
      </c>
      <c r="C103" s="4" t="s">
        <v>256</v>
      </c>
      <c r="D103" s="4" t="s">
        <v>146</v>
      </c>
    </row>
    <row r="104" spans="1:4" x14ac:dyDescent="0.25">
      <c r="A104" s="3">
        <v>171660</v>
      </c>
      <c r="B104" s="4" t="s">
        <v>92</v>
      </c>
      <c r="C104" s="4" t="s">
        <v>257</v>
      </c>
      <c r="D104" s="4" t="s">
        <v>146</v>
      </c>
    </row>
    <row r="105" spans="1:4" x14ac:dyDescent="0.25">
      <c r="A105" s="3">
        <v>171884</v>
      </c>
      <c r="B105" s="4" t="s">
        <v>92</v>
      </c>
      <c r="C105" s="4" t="s">
        <v>258</v>
      </c>
      <c r="D105" s="4" t="s">
        <v>146</v>
      </c>
    </row>
    <row r="106" spans="1:4" x14ac:dyDescent="0.25">
      <c r="A106" s="3">
        <v>171889</v>
      </c>
      <c r="B106" s="4" t="s">
        <v>92</v>
      </c>
      <c r="C106" s="4" t="s">
        <v>259</v>
      </c>
      <c r="D106" s="4" t="s">
        <v>146</v>
      </c>
    </row>
    <row r="107" spans="1:4" x14ac:dyDescent="0.25">
      <c r="A107" s="3">
        <v>172025</v>
      </c>
      <c r="B107" s="4" t="s">
        <v>92</v>
      </c>
      <c r="C107" s="4" t="s">
        <v>260</v>
      </c>
      <c r="D107" s="4" t="s">
        <v>146</v>
      </c>
    </row>
    <row r="108" spans="1:4" x14ac:dyDescent="0.25">
      <c r="A108" s="3">
        <v>172049</v>
      </c>
      <c r="B108" s="4" t="s">
        <v>92</v>
      </c>
      <c r="C108" s="4" t="s">
        <v>261</v>
      </c>
      <c r="D108" s="4" t="s">
        <v>146</v>
      </c>
    </row>
    <row r="109" spans="1:4" x14ac:dyDescent="0.25">
      <c r="A109" s="3">
        <v>172085</v>
      </c>
      <c r="B109" s="4" t="s">
        <v>92</v>
      </c>
      <c r="C109" s="4" t="s">
        <v>262</v>
      </c>
      <c r="D109" s="4" t="s">
        <v>146</v>
      </c>
    </row>
    <row r="110" spans="1:4" x14ac:dyDescent="0.25">
      <c r="A110" s="3">
        <v>172097</v>
      </c>
      <c r="B110" s="4" t="s">
        <v>92</v>
      </c>
      <c r="C110" s="4" t="s">
        <v>263</v>
      </c>
      <c r="D110" s="4" t="s">
        <v>146</v>
      </c>
    </row>
    <row r="111" spans="1:4" x14ac:dyDescent="0.25">
      <c r="A111" s="3">
        <v>170130</v>
      </c>
      <c r="B111" s="4" t="s">
        <v>169</v>
      </c>
      <c r="C111" s="4" t="s">
        <v>264</v>
      </c>
      <c r="D111" s="4" t="s">
        <v>149</v>
      </c>
    </row>
    <row r="112" spans="1:4" x14ac:dyDescent="0.25">
      <c r="A112" s="3">
        <v>170210</v>
      </c>
      <c r="B112" s="4" t="s">
        <v>169</v>
      </c>
      <c r="C112" s="4" t="s">
        <v>265</v>
      </c>
      <c r="D112" s="4" t="s">
        <v>149</v>
      </c>
    </row>
    <row r="113" spans="1:4" x14ac:dyDescent="0.25">
      <c r="A113" s="3">
        <v>170300</v>
      </c>
      <c r="B113" s="4" t="s">
        <v>169</v>
      </c>
      <c r="C113" s="4" t="s">
        <v>266</v>
      </c>
      <c r="D113" s="4" t="s">
        <v>149</v>
      </c>
    </row>
    <row r="114" spans="1:4" x14ac:dyDescent="0.25">
      <c r="A114" s="3">
        <v>170307</v>
      </c>
      <c r="B114" s="4" t="s">
        <v>169</v>
      </c>
      <c r="C114" s="4" t="s">
        <v>267</v>
      </c>
      <c r="D114" s="4" t="s">
        <v>149</v>
      </c>
    </row>
    <row r="115" spans="1:4" x14ac:dyDescent="0.25">
      <c r="A115" s="3">
        <v>170384</v>
      </c>
      <c r="B115" s="4" t="s">
        <v>169</v>
      </c>
      <c r="C115" s="4" t="s">
        <v>268</v>
      </c>
      <c r="D115" s="4" t="s">
        <v>149</v>
      </c>
    </row>
    <row r="116" spans="1:4" x14ac:dyDescent="0.25">
      <c r="A116" s="3">
        <v>170388</v>
      </c>
      <c r="B116" s="4" t="s">
        <v>169</v>
      </c>
      <c r="C116" s="4" t="s">
        <v>269</v>
      </c>
      <c r="D116" s="4" t="s">
        <v>149</v>
      </c>
    </row>
    <row r="117" spans="1:4" x14ac:dyDescent="0.25">
      <c r="A117" s="3">
        <v>170770</v>
      </c>
      <c r="B117" s="4" t="s">
        <v>169</v>
      </c>
      <c r="C117" s="4" t="s">
        <v>270</v>
      </c>
      <c r="D117" s="4" t="s">
        <v>149</v>
      </c>
    </row>
    <row r="118" spans="1:4" x14ac:dyDescent="0.25">
      <c r="A118" s="3">
        <v>170900</v>
      </c>
      <c r="B118" s="4" t="s">
        <v>169</v>
      </c>
      <c r="C118" s="4" t="s">
        <v>271</v>
      </c>
      <c r="D118" s="4" t="s">
        <v>149</v>
      </c>
    </row>
    <row r="119" spans="1:4" x14ac:dyDescent="0.25">
      <c r="A119" s="3">
        <v>171395</v>
      </c>
      <c r="B119" s="4" t="s">
        <v>169</v>
      </c>
      <c r="C119" s="4" t="s">
        <v>272</v>
      </c>
      <c r="D119" s="4" t="s">
        <v>149</v>
      </c>
    </row>
    <row r="120" spans="1:4" x14ac:dyDescent="0.25">
      <c r="A120" s="3">
        <v>171488</v>
      </c>
      <c r="B120" s="4" t="s">
        <v>169</v>
      </c>
      <c r="C120" s="4" t="s">
        <v>273</v>
      </c>
      <c r="D120" s="4" t="s">
        <v>149</v>
      </c>
    </row>
    <row r="121" spans="1:4" x14ac:dyDescent="0.25">
      <c r="A121" s="3">
        <v>171630</v>
      </c>
      <c r="B121" s="4" t="s">
        <v>169</v>
      </c>
      <c r="C121" s="4" t="s">
        <v>274</v>
      </c>
      <c r="D121" s="4" t="s">
        <v>149</v>
      </c>
    </row>
    <row r="122" spans="1:4" x14ac:dyDescent="0.25">
      <c r="A122" s="3">
        <v>171886</v>
      </c>
      <c r="B122" s="4" t="s">
        <v>169</v>
      </c>
      <c r="C122" s="4" t="s">
        <v>275</v>
      </c>
      <c r="D122" s="4" t="s">
        <v>149</v>
      </c>
    </row>
    <row r="123" spans="1:4" x14ac:dyDescent="0.25">
      <c r="A123" s="3">
        <v>172208</v>
      </c>
      <c r="B123" s="4" t="s">
        <v>169</v>
      </c>
      <c r="C123" s="4" t="s">
        <v>276</v>
      </c>
      <c r="D123" s="4" t="s">
        <v>149</v>
      </c>
    </row>
    <row r="124" spans="1:4" x14ac:dyDescent="0.25">
      <c r="A124" s="3">
        <v>172210</v>
      </c>
      <c r="B124" s="4" t="s">
        <v>169</v>
      </c>
      <c r="C124" s="4" t="s">
        <v>277</v>
      </c>
      <c r="D124" s="4" t="s">
        <v>149</v>
      </c>
    </row>
    <row r="125" spans="1:4" x14ac:dyDescent="0.25">
      <c r="A125" s="3">
        <v>170215</v>
      </c>
      <c r="B125" s="4" t="s">
        <v>169</v>
      </c>
      <c r="C125" s="4" t="s">
        <v>278</v>
      </c>
      <c r="D125" s="4" t="s">
        <v>149</v>
      </c>
    </row>
    <row r="126" spans="1:4" x14ac:dyDescent="0.25">
      <c r="A126" s="3">
        <v>171720</v>
      </c>
      <c r="B126" s="4" t="s">
        <v>169</v>
      </c>
      <c r="C126" s="4" t="s">
        <v>279</v>
      </c>
      <c r="D126" s="4" t="s">
        <v>149</v>
      </c>
    </row>
    <row r="127" spans="1:4" x14ac:dyDescent="0.25">
      <c r="A127" s="3">
        <v>170650</v>
      </c>
      <c r="B127" s="4" t="s">
        <v>169</v>
      </c>
      <c r="C127" s="4" t="s">
        <v>280</v>
      </c>
      <c r="D127" s="4" t="s">
        <v>149</v>
      </c>
    </row>
    <row r="128" spans="1:4" x14ac:dyDescent="0.25">
      <c r="A128" s="3">
        <v>170040</v>
      </c>
      <c r="B128" s="4" t="s">
        <v>92</v>
      </c>
      <c r="C128" s="4" t="s">
        <v>281</v>
      </c>
      <c r="D128" s="4" t="s">
        <v>147</v>
      </c>
    </row>
    <row r="129" spans="1:4" x14ac:dyDescent="0.25">
      <c r="A129" s="3">
        <v>170240</v>
      </c>
      <c r="B129" s="4" t="s">
        <v>92</v>
      </c>
      <c r="C129" s="4" t="s">
        <v>282</v>
      </c>
      <c r="D129" s="4" t="s">
        <v>147</v>
      </c>
    </row>
    <row r="130" spans="1:4" x14ac:dyDescent="0.25">
      <c r="A130" s="3">
        <v>170270</v>
      </c>
      <c r="B130" s="4" t="s">
        <v>92</v>
      </c>
      <c r="C130" s="4" t="s">
        <v>283</v>
      </c>
      <c r="D130" s="4" t="s">
        <v>147</v>
      </c>
    </row>
    <row r="131" spans="1:4" x14ac:dyDescent="0.25">
      <c r="A131" s="3">
        <v>170555</v>
      </c>
      <c r="B131" s="4" t="s">
        <v>92</v>
      </c>
      <c r="C131" s="4" t="s">
        <v>284</v>
      </c>
      <c r="D131" s="4" t="s">
        <v>147</v>
      </c>
    </row>
    <row r="132" spans="1:4" x14ac:dyDescent="0.25">
      <c r="A132" s="3">
        <v>170560</v>
      </c>
      <c r="B132" s="4" t="s">
        <v>92</v>
      </c>
      <c r="C132" s="4" t="s">
        <v>285</v>
      </c>
      <c r="D132" s="4" t="s">
        <v>147</v>
      </c>
    </row>
    <row r="133" spans="1:4" x14ac:dyDescent="0.25">
      <c r="A133" s="3">
        <v>170700</v>
      </c>
      <c r="B133" s="4" t="s">
        <v>92</v>
      </c>
      <c r="C133" s="4" t="s">
        <v>286</v>
      </c>
      <c r="D133" s="4" t="s">
        <v>147</v>
      </c>
    </row>
    <row r="134" spans="1:4" x14ac:dyDescent="0.25">
      <c r="A134" s="3">
        <v>171215</v>
      </c>
      <c r="B134" s="4" t="s">
        <v>92</v>
      </c>
      <c r="C134" s="4" t="s">
        <v>287</v>
      </c>
      <c r="D134" s="4" t="s">
        <v>147</v>
      </c>
    </row>
    <row r="135" spans="1:4" x14ac:dyDescent="0.25">
      <c r="A135" s="3">
        <v>171515</v>
      </c>
      <c r="B135" s="4" t="s">
        <v>92</v>
      </c>
      <c r="C135" s="4" t="s">
        <v>288</v>
      </c>
      <c r="D135" s="4" t="s">
        <v>147</v>
      </c>
    </row>
    <row r="136" spans="1:4" x14ac:dyDescent="0.25">
      <c r="A136" s="3">
        <v>171525</v>
      </c>
      <c r="B136" s="4" t="s">
        <v>92</v>
      </c>
      <c r="C136" s="4" t="s">
        <v>289</v>
      </c>
      <c r="D136" s="4" t="s">
        <v>147</v>
      </c>
    </row>
    <row r="137" spans="1:4" x14ac:dyDescent="0.25">
      <c r="A137" s="3">
        <v>171620</v>
      </c>
      <c r="B137" s="4" t="s">
        <v>92</v>
      </c>
      <c r="C137" s="4" t="s">
        <v>290</v>
      </c>
      <c r="D137" s="4" t="s">
        <v>147</v>
      </c>
    </row>
    <row r="138" spans="1:4" x14ac:dyDescent="0.25">
      <c r="A138" s="3">
        <v>171780</v>
      </c>
      <c r="B138" s="4" t="s">
        <v>92</v>
      </c>
      <c r="C138" s="4" t="s">
        <v>291</v>
      </c>
      <c r="D138" s="4" t="s">
        <v>147</v>
      </c>
    </row>
    <row r="139" spans="1:4" x14ac:dyDescent="0.25">
      <c r="A139" s="3">
        <v>171800</v>
      </c>
      <c r="B139" s="4" t="s">
        <v>92</v>
      </c>
      <c r="C139" s="4" t="s">
        <v>292</v>
      </c>
      <c r="D139" s="4" t="s">
        <v>147</v>
      </c>
    </row>
    <row r="140" spans="1:4" x14ac:dyDescent="0.25">
      <c r="A140" s="3">
        <v>171865</v>
      </c>
      <c r="B140" s="4" t="s">
        <v>92</v>
      </c>
      <c r="C140" s="4" t="s">
        <v>293</v>
      </c>
      <c r="D140" s="4" t="s">
        <v>147</v>
      </c>
    </row>
    <row r="141" spans="1:4" x14ac:dyDescent="0.25">
      <c r="A141" s="3">
        <v>172090</v>
      </c>
      <c r="B141" s="4" t="s">
        <v>92</v>
      </c>
      <c r="C141" s="4" t="s">
        <v>294</v>
      </c>
      <c r="D141" s="4" t="s">
        <v>147</v>
      </c>
    </row>
    <row r="142" spans="1:4" x14ac:dyDescent="0.25">
      <c r="A142" s="6">
        <v>172093</v>
      </c>
      <c r="B142" s="4" t="s">
        <v>92</v>
      </c>
      <c r="C142" s="7" t="s">
        <v>295</v>
      </c>
      <c r="D142" s="4" t="s">
        <v>147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G87"/>
  <sheetViews>
    <sheetView zoomScale="85" zoomScaleNormal="85" workbookViewId="0">
      <selection activeCell="F7" sqref="F7"/>
    </sheetView>
  </sheetViews>
  <sheetFormatPr defaultRowHeight="15" x14ac:dyDescent="0.25"/>
  <cols>
    <col min="2" max="2" width="25.5703125" bestFit="1" customWidth="1"/>
    <col min="4" max="4" width="9.140625" style="13"/>
    <col min="5" max="5" width="11.140625" customWidth="1"/>
    <col min="6" max="6" width="12.140625" customWidth="1"/>
    <col min="7" max="7" width="9.140625" customWidth="1"/>
    <col min="9" max="9" width="9.42578125" customWidth="1"/>
    <col min="10" max="10" width="10.42578125" customWidth="1"/>
    <col min="13" max="13" width="9.5703125" customWidth="1"/>
    <col min="14" max="14" width="10.5703125" customWidth="1"/>
    <col min="17" max="17" width="9.28515625" customWidth="1"/>
    <col min="18" max="18" width="10.28515625" customWidth="1"/>
    <col min="21" max="21" width="12" customWidth="1"/>
    <col min="22" max="22" width="13" customWidth="1"/>
    <col min="25" max="25" width="10.28515625" customWidth="1"/>
    <col min="26" max="26" width="11.28515625" customWidth="1"/>
    <col min="29" max="29" width="10.28515625" customWidth="1"/>
    <col min="30" max="30" width="11.28515625" customWidth="1"/>
    <col min="33" max="33" width="10.28515625" customWidth="1"/>
    <col min="34" max="34" width="11.28515625" customWidth="1"/>
    <col min="38" max="38" width="10.140625" customWidth="1"/>
    <col min="42" max="42" width="9.42578125" customWidth="1"/>
    <col min="46" max="46" width="9.42578125" customWidth="1"/>
    <col min="50" max="50" width="9.7109375" customWidth="1"/>
    <col min="53" max="53" width="10.140625" customWidth="1"/>
    <col min="54" max="54" width="11.140625" customWidth="1"/>
    <col min="56" max="56" width="12.7109375" customWidth="1"/>
  </cols>
  <sheetData>
    <row r="1" spans="1:57" s="8" customFormat="1" ht="15" customHeight="1" x14ac:dyDescent="0.25">
      <c r="A1" s="10" t="s">
        <v>0</v>
      </c>
      <c r="B1" s="10" t="s">
        <v>2</v>
      </c>
      <c r="C1" s="14" t="s">
        <v>296</v>
      </c>
      <c r="D1" s="15" t="s">
        <v>297</v>
      </c>
      <c r="E1" s="15" t="s">
        <v>322</v>
      </c>
      <c r="F1" s="15" t="s">
        <v>323</v>
      </c>
      <c r="G1" s="14" t="s">
        <v>298</v>
      </c>
      <c r="H1" s="16" t="s">
        <v>299</v>
      </c>
      <c r="I1" s="16" t="s">
        <v>324</v>
      </c>
      <c r="J1" s="16" t="s">
        <v>325</v>
      </c>
      <c r="K1" s="14" t="s">
        <v>300</v>
      </c>
      <c r="L1" s="16" t="s">
        <v>301</v>
      </c>
      <c r="M1" s="16" t="s">
        <v>326</v>
      </c>
      <c r="N1" s="16" t="s">
        <v>327</v>
      </c>
      <c r="O1" s="14" t="s">
        <v>302</v>
      </c>
      <c r="P1" s="16" t="s">
        <v>303</v>
      </c>
      <c r="Q1" s="16" t="s">
        <v>328</v>
      </c>
      <c r="R1" s="16" t="s">
        <v>329</v>
      </c>
      <c r="S1" s="17" t="s">
        <v>304</v>
      </c>
      <c r="T1" s="18" t="s">
        <v>305</v>
      </c>
      <c r="U1" s="18" t="s">
        <v>330</v>
      </c>
      <c r="V1" s="18" t="s">
        <v>331</v>
      </c>
      <c r="W1" s="17" t="s">
        <v>306</v>
      </c>
      <c r="X1" s="18" t="s">
        <v>307</v>
      </c>
      <c r="Y1" s="18" t="s">
        <v>333</v>
      </c>
      <c r="Z1" s="18" t="s">
        <v>332</v>
      </c>
      <c r="AA1" s="17" t="s">
        <v>308</v>
      </c>
      <c r="AB1" s="17" t="s">
        <v>309</v>
      </c>
      <c r="AC1" s="17" t="s">
        <v>334</v>
      </c>
      <c r="AD1" s="17" t="s">
        <v>335</v>
      </c>
      <c r="AE1" s="17" t="s">
        <v>310</v>
      </c>
      <c r="AF1" s="17" t="s">
        <v>311</v>
      </c>
      <c r="AG1" s="17" t="s">
        <v>336</v>
      </c>
      <c r="AH1" s="17" t="s">
        <v>337</v>
      </c>
      <c r="AI1" s="17" t="s">
        <v>312</v>
      </c>
      <c r="AJ1" s="17" t="s">
        <v>313</v>
      </c>
      <c r="AK1" s="17" t="s">
        <v>338</v>
      </c>
      <c r="AL1" s="17" t="s">
        <v>339</v>
      </c>
      <c r="AM1" s="17" t="s">
        <v>314</v>
      </c>
      <c r="AN1" s="17" t="s">
        <v>315</v>
      </c>
      <c r="AO1" s="17" t="s">
        <v>340</v>
      </c>
      <c r="AP1" s="17" t="s">
        <v>341</v>
      </c>
      <c r="AQ1" s="17" t="s">
        <v>316</v>
      </c>
      <c r="AR1" s="17" t="s">
        <v>317</v>
      </c>
      <c r="AS1" s="17" t="s">
        <v>342</v>
      </c>
      <c r="AT1" s="17" t="s">
        <v>343</v>
      </c>
      <c r="AU1" s="17" t="s">
        <v>318</v>
      </c>
      <c r="AV1" s="17" t="s">
        <v>319</v>
      </c>
      <c r="AW1" s="17" t="s">
        <v>344</v>
      </c>
      <c r="AX1" s="17" t="s">
        <v>345</v>
      </c>
      <c r="AY1" s="17" t="s">
        <v>320</v>
      </c>
      <c r="AZ1" s="17" t="s">
        <v>321</v>
      </c>
      <c r="BA1" s="17" t="s">
        <v>346</v>
      </c>
      <c r="BB1" s="17" t="s">
        <v>347</v>
      </c>
      <c r="BC1" s="11" t="s">
        <v>4</v>
      </c>
      <c r="BD1" s="19" t="s">
        <v>348</v>
      </c>
      <c r="BE1" s="28" t="s">
        <v>359</v>
      </c>
    </row>
    <row r="2" spans="1:57" x14ac:dyDescent="0.25">
      <c r="A2" s="23">
        <v>2015</v>
      </c>
      <c r="B2" s="22" t="s">
        <v>151</v>
      </c>
      <c r="C2">
        <f>SUMIFS(banco!E:E,banco!$C:$C,$B2,banco!$A:$A,$A2)</f>
        <v>0</v>
      </c>
      <c r="D2" s="13">
        <f>IFERROR(C2/$BC2,0)</f>
        <v>0</v>
      </c>
      <c r="E2">
        <f>SUMIFS(banco!G:G,banco!$C:$C,$B2,banco!$A:$A,$A2)</f>
        <v>0</v>
      </c>
      <c r="F2" s="13">
        <f>IFERROR(E2/$BD2,0)</f>
        <v>0</v>
      </c>
      <c r="G2">
        <f>SUMIFS(banco!I:I,banco!$C:$C,$B2,banco!$A:$A,$A2)</f>
        <v>0</v>
      </c>
      <c r="H2" s="13">
        <f>IFERROR(G2/$BC2,0)</f>
        <v>0</v>
      </c>
      <c r="I2">
        <f>SUMIFS(banco!K:K,banco!$C:$C,$B2,banco!$A:$A,$A2)</f>
        <v>0</v>
      </c>
      <c r="J2" s="13">
        <f>IFERROR(I2/$BD2,0)</f>
        <v>0</v>
      </c>
      <c r="K2">
        <f>SUMIFS(banco!M:M,banco!$C:$C,$B2,banco!$A:$A,$A2)</f>
        <v>0</v>
      </c>
      <c r="L2" s="13">
        <f>IFERROR(K2/$BC2,0)</f>
        <v>0</v>
      </c>
      <c r="M2">
        <f>SUMIFS(banco!O:O,banco!$C:$C,$B2,banco!$A:$A,$A2)</f>
        <v>0</v>
      </c>
      <c r="N2" s="13">
        <f>IFERROR(M2/$BD2,0)</f>
        <v>0</v>
      </c>
      <c r="O2">
        <f>SUMIFS(banco!Q:Q,banco!$C:$C,$B2,banco!$A:$A,$A2)</f>
        <v>0</v>
      </c>
      <c r="P2" s="13">
        <f>IFERROR(O2/$BC2,0)</f>
        <v>0</v>
      </c>
      <c r="Q2">
        <f>SUMIFS(banco!S:S,banco!$C:$C,$B2,banco!$A:$A,$A2)</f>
        <v>0</v>
      </c>
      <c r="R2" s="13">
        <f>IFERROR(Q2/$BD2,0)</f>
        <v>0</v>
      </c>
      <c r="S2">
        <f>SUMIFS(banco!U:U,banco!$C:$C,$B2,banco!$A:$A,$A2)</f>
        <v>0</v>
      </c>
      <c r="T2" s="13">
        <f>IFERROR(S2/$BC2,0)</f>
        <v>0</v>
      </c>
      <c r="U2">
        <f>SUMIFS(banco!W:W,banco!$C:$C,$B2,banco!$A:$A,$A2)</f>
        <v>0</v>
      </c>
      <c r="V2" s="13">
        <f>IFERROR(U2/$BD2,0)</f>
        <v>0</v>
      </c>
      <c r="W2">
        <f>SUMIFS(banco!Y:Y,banco!$C:$C,$B2,banco!$A:$A,$A2)</f>
        <v>0</v>
      </c>
      <c r="X2" s="13">
        <f>IFERROR(W2/$BC2,0)</f>
        <v>0</v>
      </c>
      <c r="Y2">
        <f>SUMIFS(banco!AA:AA,banco!$C:$C,$B2,banco!$A:$A,$A2)</f>
        <v>0</v>
      </c>
      <c r="Z2" s="13">
        <f>IFERROR(Y2/$BD2,0)</f>
        <v>0</v>
      </c>
      <c r="AA2">
        <f>SUMIFS(banco!AC:AC,banco!$C:$C,$B2,banco!$A:$A,$A2)</f>
        <v>0</v>
      </c>
      <c r="AB2" s="13">
        <f>IFERROR(AA2/$BC2,0)</f>
        <v>0</v>
      </c>
      <c r="AC2">
        <f>SUMIFS(banco!AE:AE,banco!$C:$C,$B2,banco!$A:$A,$A2)</f>
        <v>0</v>
      </c>
      <c r="AD2" s="13">
        <f>IFERROR(AC2/$BD2,0)</f>
        <v>0</v>
      </c>
      <c r="AE2">
        <f>SUMIFS(banco!AG:AG,banco!$C:$C,$B2,banco!$A:$A,$A2)</f>
        <v>0</v>
      </c>
      <c r="AF2" s="13">
        <f>IFERROR(AE2/$BC2,0)</f>
        <v>0</v>
      </c>
      <c r="AG2">
        <f>SUMIFS(banco!AI:AI,banco!$C:$C,$B2,banco!$A:$A,$A2)</f>
        <v>0</v>
      </c>
      <c r="AH2" s="13">
        <f>IFERROR(AG2/$BD2,0)</f>
        <v>0</v>
      </c>
      <c r="AI2">
        <f>SUMIFS(banco!AK:AK,banco!$C:$C,$B2,banco!$A:$A,$A2)</f>
        <v>0</v>
      </c>
      <c r="AJ2" s="13">
        <f>IFERROR(AI2/$BC2,0)</f>
        <v>0</v>
      </c>
      <c r="AK2">
        <f>SUMIFS(banco!AM:AM,banco!$C:$C,$B2,banco!$A:$A,$A2)</f>
        <v>0</v>
      </c>
      <c r="AL2" s="13">
        <f>IFERROR(AK2/$BD2,0)</f>
        <v>0</v>
      </c>
      <c r="AM2">
        <f>SUMIFS(banco!AO:AO,banco!$C:$C,$B2,banco!$A:$A,$A2)</f>
        <v>0</v>
      </c>
      <c r="AN2" s="13">
        <f>IFERROR(AM2/$BC2,0)</f>
        <v>0</v>
      </c>
      <c r="AO2">
        <f>SUMIFS(banco!AQ:AQ,banco!$C:$C,$B2,banco!$A:$A,$A2)</f>
        <v>0</v>
      </c>
      <c r="AP2" s="13">
        <f>IFERROR(AO2/$BD2,0)</f>
        <v>0</v>
      </c>
      <c r="AQ2">
        <f>SUMIFS(banco!AS:AS,banco!$C:$C,$B2,banco!$A:$A,$A2)</f>
        <v>0</v>
      </c>
      <c r="AR2" s="13">
        <f>IFERROR(AQ2/$BC2,0)</f>
        <v>0</v>
      </c>
      <c r="AS2">
        <f>SUMIFS(banco!AU:AU,banco!$C:$C,$B2,banco!$A:$A,$A2)</f>
        <v>0</v>
      </c>
      <c r="AT2" s="13">
        <f>IFERROR(AS2/$BD2,0)</f>
        <v>0</v>
      </c>
      <c r="AU2">
        <f>SUMIFS(banco!AW:AW,banco!$C:$C,$B2,banco!$A:$A,$A2)</f>
        <v>0</v>
      </c>
      <c r="AV2" s="13">
        <f>IFERROR(AU2/$BC2,0)</f>
        <v>0</v>
      </c>
      <c r="AW2">
        <f>SUMIFS(banco!AY:AY,banco!$C:$C,$B2,banco!$A:$A,$A2)</f>
        <v>0</v>
      </c>
      <c r="AX2" s="13">
        <f>IFERROR(AW2/$BD2,0)</f>
        <v>0</v>
      </c>
      <c r="AY2">
        <f>SUMIFS(banco!BA:BA,banco!$C:$C,$B2,banco!$A:$A,$A2)</f>
        <v>0</v>
      </c>
      <c r="AZ2" s="13">
        <f>IFERROR(AY2/$BC2,0)</f>
        <v>0</v>
      </c>
      <c r="BA2">
        <f>SUMIFS(banco!BC:BC,banco!$C:$C,$B2,banco!$A:$A,$A2)</f>
        <v>0</v>
      </c>
      <c r="BB2" s="13">
        <f>IFERROR(BA2/$BD2,0)</f>
        <v>0</v>
      </c>
      <c r="BC2">
        <f>SUMIFS(banco!BE:BE,banco!$C:$C,$B2,banco!$A:$A,$A2)</f>
        <v>0</v>
      </c>
      <c r="BD2">
        <f>SUMIFS(banco!BF:BF,banco!$C:$C,$B2,banco!$A:$A,$A2)</f>
        <v>0</v>
      </c>
      <c r="BE2">
        <v>9902</v>
      </c>
    </row>
    <row r="3" spans="1:57" x14ac:dyDescent="0.25">
      <c r="A3" s="23">
        <v>2015</v>
      </c>
      <c r="B3" s="22" t="s">
        <v>145</v>
      </c>
      <c r="C3">
        <f>SUMIFS(banco!E:E,banco!$C:$C,$B3,banco!$A:$A,$A3)</f>
        <v>0</v>
      </c>
      <c r="D3" s="13">
        <f t="shared" ref="D3:D66" si="0">IFERROR(C3/$BC3,0)</f>
        <v>0</v>
      </c>
      <c r="E3">
        <f>SUMIFS(banco!G:G,banco!$C:$C,$B3,banco!$A:$A,$A3)</f>
        <v>0</v>
      </c>
      <c r="F3" s="13">
        <f t="shared" ref="F3:F66" si="1">IFERROR(E3/$BD3,0)</f>
        <v>0</v>
      </c>
      <c r="G3">
        <f>SUMIFS(banco!I:I,banco!$C:$C,$B3,banco!$A:$A,$A3)</f>
        <v>0</v>
      </c>
      <c r="H3" s="13">
        <f t="shared" ref="H3:H66" si="2">IFERROR(G3/$BC3,0)</f>
        <v>0</v>
      </c>
      <c r="I3">
        <f>SUMIFS(banco!K:K,banco!$C:$C,$B3,banco!$A:$A,$A3)</f>
        <v>0</v>
      </c>
      <c r="J3" s="13">
        <f t="shared" ref="J3:J66" si="3">IFERROR(I3/$BD3,0)</f>
        <v>0</v>
      </c>
      <c r="K3">
        <f>SUMIFS(banco!M:M,banco!$C:$C,$B3,banco!$A:$A,$A3)</f>
        <v>0</v>
      </c>
      <c r="L3" s="13">
        <f t="shared" ref="L3:L66" si="4">IFERROR(K3/$BC3,0)</f>
        <v>0</v>
      </c>
      <c r="M3">
        <f>SUMIFS(banco!O:O,banco!$C:$C,$B3,banco!$A:$A,$A3)</f>
        <v>0</v>
      </c>
      <c r="N3" s="13">
        <f t="shared" ref="N3:N66" si="5">IFERROR(M3/$BD3,0)</f>
        <v>0</v>
      </c>
      <c r="O3">
        <f>SUMIFS(banco!Q:Q,banco!$C:$C,$B3,banco!$A:$A,$A3)</f>
        <v>0</v>
      </c>
      <c r="P3" s="13">
        <f t="shared" ref="P3:P66" si="6">IFERROR(O3/$BC3,0)</f>
        <v>0</v>
      </c>
      <c r="Q3">
        <f>SUMIFS(banco!S:S,banco!$C:$C,$B3,banco!$A:$A,$A3)</f>
        <v>0</v>
      </c>
      <c r="R3" s="13">
        <f t="shared" ref="R3:R66" si="7">IFERROR(Q3/$BD3,0)</f>
        <v>0</v>
      </c>
      <c r="S3">
        <f>SUMIFS(banco!U:U,banco!$C:$C,$B3,banco!$A:$A,$A3)</f>
        <v>0</v>
      </c>
      <c r="T3" s="13">
        <f t="shared" ref="T3:T66" si="8">IFERROR(S3/$BC3,0)</f>
        <v>0</v>
      </c>
      <c r="U3">
        <f>SUMIFS(banco!W:W,banco!$C:$C,$B3,banco!$A:$A,$A3)</f>
        <v>0</v>
      </c>
      <c r="V3" s="13">
        <f t="shared" ref="V3:V66" si="9">IFERROR(U3/$BD3,0)</f>
        <v>0</v>
      </c>
      <c r="W3">
        <f>SUMIFS(banco!Y:Y,banco!$C:$C,$B3,banco!$A:$A,$A3)</f>
        <v>0</v>
      </c>
      <c r="X3" s="13">
        <f t="shared" ref="X3:X66" si="10">IFERROR(W3/$BC3,0)</f>
        <v>0</v>
      </c>
      <c r="Y3">
        <f>SUMIFS(banco!AA:AA,banco!$C:$C,$B3,banco!$A:$A,$A3)</f>
        <v>0</v>
      </c>
      <c r="Z3" s="13">
        <f t="shared" ref="Z3:Z66" si="11">IFERROR(Y3/$BD3,0)</f>
        <v>0</v>
      </c>
      <c r="AA3">
        <f>SUMIFS(banco!AC:AC,banco!$C:$C,$B3,banco!$A:$A,$A3)</f>
        <v>0</v>
      </c>
      <c r="AB3" s="13">
        <f t="shared" ref="AB3:AB66" si="12">IFERROR(AA3/$BC3,0)</f>
        <v>0</v>
      </c>
      <c r="AC3">
        <f>SUMIFS(banco!AE:AE,banco!$C:$C,$B3,banco!$A:$A,$A3)</f>
        <v>0</v>
      </c>
      <c r="AD3" s="13">
        <f t="shared" ref="AD3:AD66" si="13">IFERROR(AC3/$BD3,0)</f>
        <v>0</v>
      </c>
      <c r="AE3">
        <f>SUMIFS(banco!AG:AG,banco!$C:$C,$B3,banco!$A:$A,$A3)</f>
        <v>0</v>
      </c>
      <c r="AF3" s="13">
        <f t="shared" ref="AF3:AF66" si="14">IFERROR(AE3/$BC3,0)</f>
        <v>0</v>
      </c>
      <c r="AG3">
        <f>SUMIFS(banco!AI:AI,banco!$C:$C,$B3,banco!$A:$A,$A3)</f>
        <v>0</v>
      </c>
      <c r="AH3" s="13">
        <f t="shared" ref="AH3:AH66" si="15">IFERROR(AG3/$BD3,0)</f>
        <v>0</v>
      </c>
      <c r="AI3">
        <f>SUMIFS(banco!AK:AK,banco!$C:$C,$B3,banco!$A:$A,$A3)</f>
        <v>0</v>
      </c>
      <c r="AJ3" s="13">
        <f t="shared" ref="AJ3:AJ66" si="16">IFERROR(AI3/$BC3,0)</f>
        <v>0</v>
      </c>
      <c r="AK3">
        <f>SUMIFS(banco!AM:AM,banco!$C:$C,$B3,banco!$A:$A,$A3)</f>
        <v>0</v>
      </c>
      <c r="AL3" s="13">
        <f t="shared" ref="AL3:AL66" si="17">IFERROR(AK3/$BD3,0)</f>
        <v>0</v>
      </c>
      <c r="AM3">
        <f>SUMIFS(banco!AO:AO,banco!$C:$C,$B3,banco!$A:$A,$A3)</f>
        <v>0</v>
      </c>
      <c r="AN3" s="13">
        <f t="shared" ref="AN3:AN66" si="18">IFERROR(AM3/$BC3,0)</f>
        <v>0</v>
      </c>
      <c r="AO3">
        <f>SUMIFS(banco!AQ:AQ,banco!$C:$C,$B3,banco!$A:$A,$A3)</f>
        <v>0</v>
      </c>
      <c r="AP3" s="13">
        <f t="shared" ref="AP3:AP66" si="19">IFERROR(AO3/$BD3,0)</f>
        <v>0</v>
      </c>
      <c r="AQ3">
        <f>SUMIFS(banco!AS:AS,banco!$C:$C,$B3,banco!$A:$A,$A3)</f>
        <v>0</v>
      </c>
      <c r="AR3" s="13">
        <f t="shared" ref="AR3:AR66" si="20">IFERROR(AQ3/$BC3,0)</f>
        <v>0</v>
      </c>
      <c r="AS3">
        <f>SUMIFS(banco!AU:AU,banco!$C:$C,$B3,banco!$A:$A,$A3)</f>
        <v>0</v>
      </c>
      <c r="AT3" s="13">
        <f t="shared" ref="AT3:AT66" si="21">IFERROR(AS3/$BD3,0)</f>
        <v>0</v>
      </c>
      <c r="AU3">
        <f>SUMIFS(banco!AW:AW,banco!$C:$C,$B3,banco!$A:$A,$A3)</f>
        <v>0</v>
      </c>
      <c r="AV3" s="13">
        <f t="shared" ref="AV3:AV66" si="22">IFERROR(AU3/$BC3,0)</f>
        <v>0</v>
      </c>
      <c r="AW3">
        <f>SUMIFS(banco!AY:AY,banco!$C:$C,$B3,banco!$A:$A,$A3)</f>
        <v>0</v>
      </c>
      <c r="AX3" s="13">
        <f t="shared" ref="AX3:AX66" si="23">IFERROR(AW3/$BD3,0)</f>
        <v>0</v>
      </c>
      <c r="AY3">
        <f>SUMIFS(banco!BA:BA,banco!$C:$C,$B3,banco!$A:$A,$A3)</f>
        <v>0</v>
      </c>
      <c r="AZ3" s="13">
        <f t="shared" ref="AZ3:AZ66" si="24">IFERROR(AY3/$BC3,0)</f>
        <v>0</v>
      </c>
      <c r="BA3">
        <f>SUMIFS(banco!BC:BC,banco!$C:$C,$B3,banco!$A:$A,$A3)</f>
        <v>0</v>
      </c>
      <c r="BB3" s="13">
        <f t="shared" ref="BB3:BB66" si="25">IFERROR(BA3/$BD3,0)</f>
        <v>0</v>
      </c>
      <c r="BC3">
        <f>SUMIFS(banco!BE:BE,banco!$C:$C,$B3,banco!$A:$A,$A3)</f>
        <v>0</v>
      </c>
      <c r="BD3">
        <f>SUMIFS(banco!BF:BF,banco!$C:$C,$B3,banco!$A:$A,$A3)</f>
        <v>0</v>
      </c>
      <c r="BE3">
        <v>19224</v>
      </c>
    </row>
    <row r="4" spans="1:57" x14ac:dyDescent="0.25">
      <c r="A4" s="23">
        <v>2015</v>
      </c>
      <c r="B4" s="22" t="s">
        <v>144</v>
      </c>
      <c r="C4">
        <f>SUMIFS(banco!E:E,banco!$C:$C,$B4,banco!$A:$A,$A4)</f>
        <v>0</v>
      </c>
      <c r="D4" s="13">
        <f t="shared" si="0"/>
        <v>0</v>
      </c>
      <c r="E4">
        <f>SUMIFS(banco!G:G,banco!$C:$C,$B4,banco!$A:$A,$A4)</f>
        <v>0</v>
      </c>
      <c r="F4" s="13">
        <f t="shared" si="1"/>
        <v>0</v>
      </c>
      <c r="G4">
        <f>SUMIFS(banco!I:I,banco!$C:$C,$B4,banco!$A:$A,$A4)</f>
        <v>0</v>
      </c>
      <c r="H4" s="13">
        <f t="shared" si="2"/>
        <v>0</v>
      </c>
      <c r="I4">
        <f>SUMIFS(banco!K:K,banco!$C:$C,$B4,banco!$A:$A,$A4)</f>
        <v>0</v>
      </c>
      <c r="J4" s="13">
        <f t="shared" si="3"/>
        <v>0</v>
      </c>
      <c r="K4">
        <f>SUMIFS(banco!M:M,banco!$C:$C,$B4,banco!$A:$A,$A4)</f>
        <v>0</v>
      </c>
      <c r="L4" s="13">
        <f t="shared" si="4"/>
        <v>0</v>
      </c>
      <c r="M4">
        <f>SUMIFS(banco!O:O,banco!$C:$C,$B4,banco!$A:$A,$A4)</f>
        <v>0</v>
      </c>
      <c r="N4" s="13">
        <f t="shared" si="5"/>
        <v>0</v>
      </c>
      <c r="O4">
        <f>SUMIFS(banco!Q:Q,banco!$C:$C,$B4,banco!$A:$A,$A4)</f>
        <v>0</v>
      </c>
      <c r="P4" s="13">
        <f t="shared" si="6"/>
        <v>0</v>
      </c>
      <c r="Q4">
        <f>SUMIFS(banco!S:S,banco!$C:$C,$B4,banco!$A:$A,$A4)</f>
        <v>0</v>
      </c>
      <c r="R4" s="13">
        <f t="shared" si="7"/>
        <v>0</v>
      </c>
      <c r="S4">
        <f>SUMIFS(banco!U:U,banco!$C:$C,$B4,banco!$A:$A,$A4)</f>
        <v>0</v>
      </c>
      <c r="T4" s="13">
        <f t="shared" si="8"/>
        <v>0</v>
      </c>
      <c r="U4">
        <f>SUMIFS(banco!W:W,banco!$C:$C,$B4,banco!$A:$A,$A4)</f>
        <v>0</v>
      </c>
      <c r="V4" s="13">
        <f t="shared" si="9"/>
        <v>0</v>
      </c>
      <c r="W4">
        <f>SUMIFS(banco!Y:Y,banco!$C:$C,$B4,banco!$A:$A,$A4)</f>
        <v>0</v>
      </c>
      <c r="X4" s="13">
        <f t="shared" si="10"/>
        <v>0</v>
      </c>
      <c r="Y4">
        <f>SUMIFS(banco!AA:AA,banco!$C:$C,$B4,banco!$A:$A,$A4)</f>
        <v>0</v>
      </c>
      <c r="Z4" s="13">
        <f t="shared" si="11"/>
        <v>0</v>
      </c>
      <c r="AA4">
        <f>SUMIFS(banco!AC:AC,banco!$C:$C,$B4,banco!$A:$A,$A4)</f>
        <v>0</v>
      </c>
      <c r="AB4" s="13">
        <f t="shared" si="12"/>
        <v>0</v>
      </c>
      <c r="AC4">
        <f>SUMIFS(banco!AE:AE,banco!$C:$C,$B4,banco!$A:$A,$A4)</f>
        <v>0</v>
      </c>
      <c r="AD4" s="13">
        <f t="shared" si="13"/>
        <v>0</v>
      </c>
      <c r="AE4">
        <f>SUMIFS(banco!AG:AG,banco!$C:$C,$B4,banco!$A:$A,$A4)</f>
        <v>0</v>
      </c>
      <c r="AF4" s="13">
        <f t="shared" si="14"/>
        <v>0</v>
      </c>
      <c r="AG4">
        <f>SUMIFS(banco!AI:AI,banco!$C:$C,$B4,banco!$A:$A,$A4)</f>
        <v>0</v>
      </c>
      <c r="AH4" s="13">
        <f t="shared" si="15"/>
        <v>0</v>
      </c>
      <c r="AI4">
        <f>SUMIFS(banco!AK:AK,banco!$C:$C,$B4,banco!$A:$A,$A4)</f>
        <v>0</v>
      </c>
      <c r="AJ4" s="13">
        <f t="shared" si="16"/>
        <v>0</v>
      </c>
      <c r="AK4">
        <f>SUMIFS(banco!AM:AM,banco!$C:$C,$B4,banco!$A:$A,$A4)</f>
        <v>0</v>
      </c>
      <c r="AL4" s="13">
        <f t="shared" si="17"/>
        <v>0</v>
      </c>
      <c r="AM4">
        <f>SUMIFS(banco!AO:AO,banco!$C:$C,$B4,banco!$A:$A,$A4)</f>
        <v>0</v>
      </c>
      <c r="AN4" s="13">
        <f t="shared" si="18"/>
        <v>0</v>
      </c>
      <c r="AO4">
        <f>SUMIFS(banco!AQ:AQ,banco!$C:$C,$B4,banco!$A:$A,$A4)</f>
        <v>0</v>
      </c>
      <c r="AP4" s="13">
        <f t="shared" si="19"/>
        <v>0</v>
      </c>
      <c r="AQ4">
        <f>SUMIFS(banco!AS:AS,banco!$C:$C,$B4,banco!$A:$A,$A4)</f>
        <v>0</v>
      </c>
      <c r="AR4" s="13">
        <f t="shared" si="20"/>
        <v>0</v>
      </c>
      <c r="AS4">
        <f>SUMIFS(banco!AU:AU,banco!$C:$C,$B4,banco!$A:$A,$A4)</f>
        <v>0</v>
      </c>
      <c r="AT4" s="13">
        <f t="shared" si="21"/>
        <v>0</v>
      </c>
      <c r="AU4">
        <f>SUMIFS(banco!AW:AW,banco!$C:$C,$B4,banco!$A:$A,$A4)</f>
        <v>0</v>
      </c>
      <c r="AV4" s="13">
        <f t="shared" si="22"/>
        <v>0</v>
      </c>
      <c r="AW4">
        <f>SUMIFS(banco!AY:AY,banco!$C:$C,$B4,banco!$A:$A,$A4)</f>
        <v>0</v>
      </c>
      <c r="AX4" s="13">
        <f t="shared" si="23"/>
        <v>0</v>
      </c>
      <c r="AY4">
        <f>SUMIFS(banco!BA:BA,banco!$C:$C,$B4,banco!$A:$A,$A4)</f>
        <v>0</v>
      </c>
      <c r="AZ4" s="13">
        <f t="shared" si="24"/>
        <v>0</v>
      </c>
      <c r="BA4">
        <f>SUMIFS(banco!BC:BC,banco!$C:$C,$B4,banco!$A:$A,$A4)</f>
        <v>0</v>
      </c>
      <c r="BB4" s="13">
        <f t="shared" si="25"/>
        <v>0</v>
      </c>
      <c r="BC4">
        <f>SUMIFS(banco!BE:BE,banco!$C:$C,$B4,banco!$A:$A,$A4)</f>
        <v>0</v>
      </c>
      <c r="BD4">
        <f>SUMIFS(banco!BF:BF,banco!$C:$C,$B4,banco!$A:$A,$A4)</f>
        <v>0</v>
      </c>
      <c r="BE4">
        <v>10333</v>
      </c>
    </row>
    <row r="5" spans="1:57" x14ac:dyDescent="0.25">
      <c r="A5" s="23">
        <v>2015</v>
      </c>
      <c r="B5" s="22" t="s">
        <v>148</v>
      </c>
      <c r="C5">
        <f>SUMIFS(banco!E:E,banco!$C:$C,$B5,banco!$A:$A,$A5)</f>
        <v>0</v>
      </c>
      <c r="D5" s="13">
        <f t="shared" si="0"/>
        <v>0</v>
      </c>
      <c r="E5">
        <f>SUMIFS(banco!G:G,banco!$C:$C,$B5,banco!$A:$A,$A5)</f>
        <v>0</v>
      </c>
      <c r="F5" s="13">
        <f t="shared" si="1"/>
        <v>0</v>
      </c>
      <c r="G5">
        <f>SUMIFS(banco!I:I,banco!$C:$C,$B5,banco!$A:$A,$A5)</f>
        <v>0</v>
      </c>
      <c r="H5" s="13">
        <f t="shared" si="2"/>
        <v>0</v>
      </c>
      <c r="I5">
        <f>SUMIFS(banco!K:K,banco!$C:$C,$B5,banco!$A:$A,$A5)</f>
        <v>0</v>
      </c>
      <c r="J5" s="13">
        <f t="shared" si="3"/>
        <v>0</v>
      </c>
      <c r="K5">
        <f>SUMIFS(banco!M:M,banco!$C:$C,$B5,banco!$A:$A,$A5)</f>
        <v>0</v>
      </c>
      <c r="L5" s="13">
        <f t="shared" si="4"/>
        <v>0</v>
      </c>
      <c r="M5">
        <f>SUMIFS(banco!O:O,banco!$C:$C,$B5,banco!$A:$A,$A5)</f>
        <v>0</v>
      </c>
      <c r="N5" s="13">
        <f t="shared" si="5"/>
        <v>0</v>
      </c>
      <c r="O5">
        <f>SUMIFS(banco!Q:Q,banco!$C:$C,$B5,banco!$A:$A,$A5)</f>
        <v>0</v>
      </c>
      <c r="P5" s="13">
        <f t="shared" si="6"/>
        <v>0</v>
      </c>
      <c r="Q5">
        <f>SUMIFS(banco!S:S,banco!$C:$C,$B5,banco!$A:$A,$A5)</f>
        <v>0</v>
      </c>
      <c r="R5" s="13">
        <f t="shared" si="7"/>
        <v>0</v>
      </c>
      <c r="S5">
        <f>SUMIFS(banco!U:U,banco!$C:$C,$B5,banco!$A:$A,$A5)</f>
        <v>0</v>
      </c>
      <c r="T5" s="13">
        <f t="shared" si="8"/>
        <v>0</v>
      </c>
      <c r="U5">
        <f>SUMIFS(banco!W:W,banco!$C:$C,$B5,banco!$A:$A,$A5)</f>
        <v>0</v>
      </c>
      <c r="V5" s="13">
        <f t="shared" si="9"/>
        <v>0</v>
      </c>
      <c r="W5">
        <f>SUMIFS(banco!Y:Y,banco!$C:$C,$B5,banco!$A:$A,$A5)</f>
        <v>0</v>
      </c>
      <c r="X5" s="13">
        <f t="shared" si="10"/>
        <v>0</v>
      </c>
      <c r="Y5">
        <f>SUMIFS(banco!AA:AA,banco!$C:$C,$B5,banco!$A:$A,$A5)</f>
        <v>0</v>
      </c>
      <c r="Z5" s="13">
        <f t="shared" si="11"/>
        <v>0</v>
      </c>
      <c r="AA5">
        <f>SUMIFS(banco!AC:AC,banco!$C:$C,$B5,banco!$A:$A,$A5)</f>
        <v>0</v>
      </c>
      <c r="AB5" s="13">
        <f t="shared" si="12"/>
        <v>0</v>
      </c>
      <c r="AC5">
        <f>SUMIFS(banco!AE:AE,banco!$C:$C,$B5,banco!$A:$A,$A5)</f>
        <v>0</v>
      </c>
      <c r="AD5" s="13">
        <f t="shared" si="13"/>
        <v>0</v>
      </c>
      <c r="AE5">
        <f>SUMIFS(banco!AG:AG,banco!$C:$C,$B5,banco!$A:$A,$A5)</f>
        <v>0</v>
      </c>
      <c r="AF5" s="13">
        <f t="shared" si="14"/>
        <v>0</v>
      </c>
      <c r="AG5">
        <f>SUMIFS(banco!AI:AI,banco!$C:$C,$B5,banco!$A:$A,$A5)</f>
        <v>0</v>
      </c>
      <c r="AH5" s="13">
        <f t="shared" si="15"/>
        <v>0</v>
      </c>
      <c r="AI5">
        <f>SUMIFS(banco!AK:AK,banco!$C:$C,$B5,banco!$A:$A,$A5)</f>
        <v>0</v>
      </c>
      <c r="AJ5" s="13">
        <f t="shared" si="16"/>
        <v>0</v>
      </c>
      <c r="AK5">
        <f>SUMIFS(banco!AM:AM,banco!$C:$C,$B5,banco!$A:$A,$A5)</f>
        <v>0</v>
      </c>
      <c r="AL5" s="13">
        <f t="shared" si="17"/>
        <v>0</v>
      </c>
      <c r="AM5">
        <f>SUMIFS(banco!AO:AO,banco!$C:$C,$B5,banco!$A:$A,$A5)</f>
        <v>0</v>
      </c>
      <c r="AN5" s="13">
        <f t="shared" si="18"/>
        <v>0</v>
      </c>
      <c r="AO5">
        <f>SUMIFS(banco!AQ:AQ,banco!$C:$C,$B5,banco!$A:$A,$A5)</f>
        <v>0</v>
      </c>
      <c r="AP5" s="13">
        <f t="shared" si="19"/>
        <v>0</v>
      </c>
      <c r="AQ5">
        <f>SUMIFS(banco!AS:AS,banco!$C:$C,$B5,banco!$A:$A,$A5)</f>
        <v>0</v>
      </c>
      <c r="AR5" s="13">
        <f t="shared" si="20"/>
        <v>0</v>
      </c>
      <c r="AS5">
        <f>SUMIFS(banco!AU:AU,banco!$C:$C,$B5,banco!$A:$A,$A5)</f>
        <v>0</v>
      </c>
      <c r="AT5" s="13">
        <f t="shared" si="21"/>
        <v>0</v>
      </c>
      <c r="AU5">
        <f>SUMIFS(banco!AW:AW,banco!$C:$C,$B5,banco!$A:$A,$A5)</f>
        <v>0</v>
      </c>
      <c r="AV5" s="13">
        <f t="shared" si="22"/>
        <v>0</v>
      </c>
      <c r="AW5">
        <f>SUMIFS(banco!AY:AY,banco!$C:$C,$B5,banco!$A:$A,$A5)</f>
        <v>0</v>
      </c>
      <c r="AX5" s="13">
        <f t="shared" si="23"/>
        <v>0</v>
      </c>
      <c r="AY5">
        <f>SUMIFS(banco!BA:BA,banco!$C:$C,$B5,banco!$A:$A,$A5)</f>
        <v>0</v>
      </c>
      <c r="AZ5" s="13">
        <f t="shared" si="24"/>
        <v>0</v>
      </c>
      <c r="BA5">
        <f>SUMIFS(banco!BC:BC,banco!$C:$C,$B5,banco!$A:$A,$A5)</f>
        <v>0</v>
      </c>
      <c r="BB5" s="13">
        <f t="shared" si="25"/>
        <v>0</v>
      </c>
      <c r="BC5">
        <f>SUMIFS(banco!BE:BE,banco!$C:$C,$B5,banco!$A:$A,$A5)</f>
        <v>0</v>
      </c>
      <c r="BD5">
        <f>SUMIFS(banco!BF:BF,banco!$C:$C,$B5,banco!$A:$A,$A5)</f>
        <v>0</v>
      </c>
      <c r="BE5">
        <v>29079</v>
      </c>
    </row>
    <row r="6" spans="1:57" x14ac:dyDescent="0.25">
      <c r="A6" s="23">
        <v>2015</v>
      </c>
      <c r="B6" s="22" t="s">
        <v>150</v>
      </c>
      <c r="C6">
        <f>SUMIFS(banco!E:E,banco!$C:$C,$B6,banco!$A:$A,$A6)</f>
        <v>0</v>
      </c>
      <c r="D6" s="13">
        <f t="shared" si="0"/>
        <v>0</v>
      </c>
      <c r="E6">
        <f>SUMIFS(banco!G:G,banco!$C:$C,$B6,banco!$A:$A,$A6)</f>
        <v>0</v>
      </c>
      <c r="F6" s="13">
        <f t="shared" si="1"/>
        <v>0</v>
      </c>
      <c r="G6">
        <f>SUMIFS(banco!I:I,banco!$C:$C,$B6,banco!$A:$A,$A6)</f>
        <v>0</v>
      </c>
      <c r="H6" s="13">
        <f t="shared" si="2"/>
        <v>0</v>
      </c>
      <c r="I6">
        <f>SUMIFS(banco!K:K,banco!$C:$C,$B6,banco!$A:$A,$A6)</f>
        <v>0</v>
      </c>
      <c r="J6" s="13">
        <f t="shared" si="3"/>
        <v>0</v>
      </c>
      <c r="K6">
        <f>SUMIFS(banco!M:M,banco!$C:$C,$B6,banco!$A:$A,$A6)</f>
        <v>0</v>
      </c>
      <c r="L6" s="13">
        <f t="shared" si="4"/>
        <v>0</v>
      </c>
      <c r="M6">
        <f>SUMIFS(banco!O:O,banco!$C:$C,$B6,banco!$A:$A,$A6)</f>
        <v>0</v>
      </c>
      <c r="N6" s="13">
        <f t="shared" si="5"/>
        <v>0</v>
      </c>
      <c r="O6">
        <f>SUMIFS(banco!Q:Q,banco!$C:$C,$B6,banco!$A:$A,$A6)</f>
        <v>0</v>
      </c>
      <c r="P6" s="13">
        <f t="shared" si="6"/>
        <v>0</v>
      </c>
      <c r="Q6">
        <f>SUMIFS(banco!S:S,banco!$C:$C,$B6,banco!$A:$A,$A6)</f>
        <v>0</v>
      </c>
      <c r="R6" s="13">
        <f t="shared" si="7"/>
        <v>0</v>
      </c>
      <c r="S6">
        <f>SUMIFS(banco!U:U,banco!$C:$C,$B6,banco!$A:$A,$A6)</f>
        <v>0</v>
      </c>
      <c r="T6" s="13">
        <f t="shared" si="8"/>
        <v>0</v>
      </c>
      <c r="U6">
        <f>SUMIFS(banco!W:W,banco!$C:$C,$B6,banco!$A:$A,$A6)</f>
        <v>0</v>
      </c>
      <c r="V6" s="13">
        <f t="shared" si="9"/>
        <v>0</v>
      </c>
      <c r="W6">
        <f>SUMIFS(banco!Y:Y,banco!$C:$C,$B6,banco!$A:$A,$A6)</f>
        <v>0</v>
      </c>
      <c r="X6" s="13">
        <f t="shared" si="10"/>
        <v>0</v>
      </c>
      <c r="Y6">
        <f>SUMIFS(banco!AA:AA,banco!$C:$C,$B6,banco!$A:$A,$A6)</f>
        <v>0</v>
      </c>
      <c r="Z6" s="13">
        <f t="shared" si="11"/>
        <v>0</v>
      </c>
      <c r="AA6">
        <f>SUMIFS(banco!AC:AC,banco!$C:$C,$B6,banco!$A:$A,$A6)</f>
        <v>0</v>
      </c>
      <c r="AB6" s="13">
        <f t="shared" si="12"/>
        <v>0</v>
      </c>
      <c r="AC6">
        <f>SUMIFS(banco!AE:AE,banco!$C:$C,$B6,banco!$A:$A,$A6)</f>
        <v>0</v>
      </c>
      <c r="AD6" s="13">
        <f t="shared" si="13"/>
        <v>0</v>
      </c>
      <c r="AE6">
        <f>SUMIFS(banco!AG:AG,banco!$C:$C,$B6,banco!$A:$A,$A6)</f>
        <v>0</v>
      </c>
      <c r="AF6" s="13">
        <f t="shared" si="14"/>
        <v>0</v>
      </c>
      <c r="AG6">
        <f>SUMIFS(banco!AI:AI,banco!$C:$C,$B6,banco!$A:$A,$A6)</f>
        <v>0</v>
      </c>
      <c r="AH6" s="13">
        <f t="shared" si="15"/>
        <v>0</v>
      </c>
      <c r="AI6">
        <f>SUMIFS(banco!AK:AK,banco!$C:$C,$B6,banco!$A:$A,$A6)</f>
        <v>0</v>
      </c>
      <c r="AJ6" s="13">
        <f t="shared" si="16"/>
        <v>0</v>
      </c>
      <c r="AK6">
        <f>SUMIFS(banco!AM:AM,banco!$C:$C,$B6,banco!$A:$A,$A6)</f>
        <v>0</v>
      </c>
      <c r="AL6" s="13">
        <f t="shared" si="17"/>
        <v>0</v>
      </c>
      <c r="AM6">
        <f>SUMIFS(banco!AO:AO,banco!$C:$C,$B6,banco!$A:$A,$A6)</f>
        <v>0</v>
      </c>
      <c r="AN6" s="13">
        <f t="shared" si="18"/>
        <v>0</v>
      </c>
      <c r="AO6">
        <f>SUMIFS(banco!AQ:AQ,banco!$C:$C,$B6,banco!$A:$A,$A6)</f>
        <v>0</v>
      </c>
      <c r="AP6" s="13">
        <f t="shared" si="19"/>
        <v>0</v>
      </c>
      <c r="AQ6">
        <f>SUMIFS(banco!AS:AS,banco!$C:$C,$B6,banco!$A:$A,$A6)</f>
        <v>0</v>
      </c>
      <c r="AR6" s="13">
        <f t="shared" si="20"/>
        <v>0</v>
      </c>
      <c r="AS6">
        <f>SUMIFS(banco!AU:AU,banco!$C:$C,$B6,banco!$A:$A,$A6)</f>
        <v>0</v>
      </c>
      <c r="AT6" s="13">
        <f t="shared" si="21"/>
        <v>0</v>
      </c>
      <c r="AU6">
        <f>SUMIFS(banco!AW:AW,banco!$C:$C,$B6,banco!$A:$A,$A6)</f>
        <v>0</v>
      </c>
      <c r="AV6" s="13">
        <f t="shared" si="22"/>
        <v>0</v>
      </c>
      <c r="AW6">
        <f>SUMIFS(banco!AY:AY,banco!$C:$C,$B6,banco!$A:$A,$A6)</f>
        <v>0</v>
      </c>
      <c r="AX6" s="13">
        <f t="shared" si="23"/>
        <v>0</v>
      </c>
      <c r="AY6">
        <f>SUMIFS(banco!BA:BA,banco!$C:$C,$B6,banco!$A:$A,$A6)</f>
        <v>0</v>
      </c>
      <c r="AZ6" s="13">
        <f t="shared" si="24"/>
        <v>0</v>
      </c>
      <c r="BA6">
        <f>SUMIFS(banco!BC:BC,banco!$C:$C,$B6,banco!$A:$A,$A6)</f>
        <v>0</v>
      </c>
      <c r="BB6" s="13">
        <f t="shared" si="25"/>
        <v>0</v>
      </c>
      <c r="BC6">
        <f>SUMIFS(banco!BE:BE,banco!$C:$C,$B6,banco!$A:$A,$A6)</f>
        <v>0</v>
      </c>
      <c r="BD6">
        <f>SUMIFS(banco!BF:BF,banco!$C:$C,$B6,banco!$A:$A,$A6)</f>
        <v>0</v>
      </c>
      <c r="BE6">
        <v>12965</v>
      </c>
    </row>
    <row r="7" spans="1:57" x14ac:dyDescent="0.25">
      <c r="A7" s="23">
        <v>2015</v>
      </c>
      <c r="B7" s="22" t="s">
        <v>146</v>
      </c>
      <c r="C7">
        <f>SUMIFS(banco!E:E,banco!$C:$C,$B7,banco!$A:$A,$A7)</f>
        <v>0</v>
      </c>
      <c r="D7" s="13">
        <f t="shared" si="0"/>
        <v>0</v>
      </c>
      <c r="E7">
        <f>SUMIFS(banco!G:G,banco!$C:$C,$B7,banco!$A:$A,$A7)</f>
        <v>0</v>
      </c>
      <c r="F7" s="13">
        <f t="shared" si="1"/>
        <v>0</v>
      </c>
      <c r="G7">
        <f>SUMIFS(banco!I:I,banco!$C:$C,$B7,banco!$A:$A,$A7)</f>
        <v>0</v>
      </c>
      <c r="H7" s="13">
        <f t="shared" si="2"/>
        <v>0</v>
      </c>
      <c r="I7">
        <f>SUMIFS(banco!K:K,banco!$C:$C,$B7,banco!$A:$A,$A7)</f>
        <v>0</v>
      </c>
      <c r="J7" s="13">
        <f t="shared" si="3"/>
        <v>0</v>
      </c>
      <c r="K7">
        <f>SUMIFS(banco!M:M,banco!$C:$C,$B7,banco!$A:$A,$A7)</f>
        <v>0</v>
      </c>
      <c r="L7" s="13">
        <f t="shared" si="4"/>
        <v>0</v>
      </c>
      <c r="M7">
        <f>SUMIFS(banco!O:O,banco!$C:$C,$B7,banco!$A:$A,$A7)</f>
        <v>0</v>
      </c>
      <c r="N7" s="13">
        <f t="shared" si="5"/>
        <v>0</v>
      </c>
      <c r="O7">
        <f>SUMIFS(banco!Q:Q,banco!$C:$C,$B7,banco!$A:$A,$A7)</f>
        <v>0</v>
      </c>
      <c r="P7" s="13">
        <f t="shared" si="6"/>
        <v>0</v>
      </c>
      <c r="Q7">
        <f>SUMIFS(banco!S:S,banco!$C:$C,$B7,banco!$A:$A,$A7)</f>
        <v>0</v>
      </c>
      <c r="R7" s="13">
        <f t="shared" si="7"/>
        <v>0</v>
      </c>
      <c r="S7">
        <f>SUMIFS(banco!U:U,banco!$C:$C,$B7,banco!$A:$A,$A7)</f>
        <v>0</v>
      </c>
      <c r="T7" s="13">
        <f t="shared" si="8"/>
        <v>0</v>
      </c>
      <c r="U7">
        <f>SUMIFS(banco!W:W,banco!$C:$C,$B7,banco!$A:$A,$A7)</f>
        <v>0</v>
      </c>
      <c r="V7" s="13">
        <f t="shared" si="9"/>
        <v>0</v>
      </c>
      <c r="W7">
        <f>SUMIFS(banco!Y:Y,banco!$C:$C,$B7,banco!$A:$A,$A7)</f>
        <v>0</v>
      </c>
      <c r="X7" s="13">
        <f t="shared" si="10"/>
        <v>0</v>
      </c>
      <c r="Y7">
        <f>SUMIFS(banco!AA:AA,banco!$C:$C,$B7,banco!$A:$A,$A7)</f>
        <v>0</v>
      </c>
      <c r="Z7" s="13">
        <f t="shared" si="11"/>
        <v>0</v>
      </c>
      <c r="AA7">
        <f>SUMIFS(banco!AC:AC,banco!$C:$C,$B7,banco!$A:$A,$A7)</f>
        <v>0</v>
      </c>
      <c r="AB7" s="13">
        <f t="shared" si="12"/>
        <v>0</v>
      </c>
      <c r="AC7">
        <f>SUMIFS(banco!AE:AE,banco!$C:$C,$B7,banco!$A:$A,$A7)</f>
        <v>0</v>
      </c>
      <c r="AD7" s="13">
        <f t="shared" si="13"/>
        <v>0</v>
      </c>
      <c r="AE7">
        <f>SUMIFS(banco!AG:AG,banco!$C:$C,$B7,banco!$A:$A,$A7)</f>
        <v>0</v>
      </c>
      <c r="AF7" s="13">
        <f t="shared" si="14"/>
        <v>0</v>
      </c>
      <c r="AG7">
        <f>SUMIFS(banco!AI:AI,banco!$C:$C,$B7,banco!$A:$A,$A7)</f>
        <v>0</v>
      </c>
      <c r="AH7" s="13">
        <f t="shared" si="15"/>
        <v>0</v>
      </c>
      <c r="AI7">
        <f>SUMIFS(banco!AK:AK,banco!$C:$C,$B7,banco!$A:$A,$A7)</f>
        <v>0</v>
      </c>
      <c r="AJ7" s="13">
        <f t="shared" si="16"/>
        <v>0</v>
      </c>
      <c r="AK7">
        <f>SUMIFS(banco!AM:AM,banco!$C:$C,$B7,banco!$A:$A,$A7)</f>
        <v>0</v>
      </c>
      <c r="AL7" s="13">
        <f t="shared" si="17"/>
        <v>0</v>
      </c>
      <c r="AM7">
        <f>SUMIFS(banco!AO:AO,banco!$C:$C,$B7,banco!$A:$A,$A7)</f>
        <v>0</v>
      </c>
      <c r="AN7" s="13">
        <f t="shared" si="18"/>
        <v>0</v>
      </c>
      <c r="AO7">
        <f>SUMIFS(banco!AQ:AQ,banco!$C:$C,$B7,banco!$A:$A,$A7)</f>
        <v>0</v>
      </c>
      <c r="AP7" s="13">
        <f t="shared" si="19"/>
        <v>0</v>
      </c>
      <c r="AQ7">
        <f>SUMIFS(banco!AS:AS,banco!$C:$C,$B7,banco!$A:$A,$A7)</f>
        <v>0</v>
      </c>
      <c r="AR7" s="13">
        <f t="shared" si="20"/>
        <v>0</v>
      </c>
      <c r="AS7">
        <f>SUMIFS(banco!AU:AU,banco!$C:$C,$B7,banco!$A:$A,$A7)</f>
        <v>0</v>
      </c>
      <c r="AT7" s="13">
        <f t="shared" si="21"/>
        <v>0</v>
      </c>
      <c r="AU7">
        <f>SUMIFS(banco!AW:AW,banco!$C:$C,$B7,banco!$A:$A,$A7)</f>
        <v>0</v>
      </c>
      <c r="AV7" s="13">
        <f t="shared" si="22"/>
        <v>0</v>
      </c>
      <c r="AW7">
        <f>SUMIFS(banco!AY:AY,banco!$C:$C,$B7,banco!$A:$A,$A7)</f>
        <v>0</v>
      </c>
      <c r="AX7" s="13">
        <f t="shared" si="23"/>
        <v>0</v>
      </c>
      <c r="AY7">
        <f>SUMIFS(banco!BA:BA,banco!$C:$C,$B7,banco!$A:$A,$A7)</f>
        <v>0</v>
      </c>
      <c r="AZ7" s="13">
        <f t="shared" si="24"/>
        <v>0</v>
      </c>
      <c r="BA7">
        <f>SUMIFS(banco!BC:BC,banco!$C:$C,$B7,banco!$A:$A,$A7)</f>
        <v>0</v>
      </c>
      <c r="BB7" s="13">
        <f t="shared" si="25"/>
        <v>0</v>
      </c>
      <c r="BC7">
        <f>SUMIFS(banco!BE:BE,banco!$C:$C,$B7,banco!$A:$A,$A7)</f>
        <v>0</v>
      </c>
      <c r="BD7">
        <f>SUMIFS(banco!BF:BF,banco!$C:$C,$B7,banco!$A:$A,$A7)</f>
        <v>0</v>
      </c>
      <c r="BE7">
        <v>13861</v>
      </c>
    </row>
    <row r="8" spans="1:57" x14ac:dyDescent="0.25">
      <c r="A8" s="23">
        <v>2015</v>
      </c>
      <c r="B8" s="22" t="s">
        <v>149</v>
      </c>
      <c r="C8">
        <f>SUMIFS(banco!E:E,banco!$C:$C,$B8,banco!$A:$A,$A8)</f>
        <v>0</v>
      </c>
      <c r="D8" s="13">
        <f t="shared" si="0"/>
        <v>0</v>
      </c>
      <c r="E8">
        <f>SUMIFS(banco!G:G,banco!$C:$C,$B8,banco!$A:$A,$A8)</f>
        <v>0</v>
      </c>
      <c r="F8" s="13">
        <f t="shared" si="1"/>
        <v>0</v>
      </c>
      <c r="G8">
        <f>SUMIFS(banco!I:I,banco!$C:$C,$B8,banco!$A:$A,$A8)</f>
        <v>0</v>
      </c>
      <c r="H8" s="13">
        <f t="shared" si="2"/>
        <v>0</v>
      </c>
      <c r="I8">
        <f>SUMIFS(banco!K:K,banco!$C:$C,$B8,banco!$A:$A,$A8)</f>
        <v>0</v>
      </c>
      <c r="J8" s="13">
        <f t="shared" si="3"/>
        <v>0</v>
      </c>
      <c r="K8">
        <f>SUMIFS(banco!M:M,banco!$C:$C,$B8,banco!$A:$A,$A8)</f>
        <v>0</v>
      </c>
      <c r="L8" s="13">
        <f t="shared" si="4"/>
        <v>0</v>
      </c>
      <c r="M8">
        <f>SUMIFS(banco!O:O,banco!$C:$C,$B8,banco!$A:$A,$A8)</f>
        <v>0</v>
      </c>
      <c r="N8" s="13">
        <f t="shared" si="5"/>
        <v>0</v>
      </c>
      <c r="O8">
        <f>SUMIFS(banco!Q:Q,banco!$C:$C,$B8,banco!$A:$A,$A8)</f>
        <v>0</v>
      </c>
      <c r="P8" s="13">
        <f t="shared" si="6"/>
        <v>0</v>
      </c>
      <c r="Q8">
        <f>SUMIFS(banco!S:S,banco!$C:$C,$B8,banco!$A:$A,$A8)</f>
        <v>0</v>
      </c>
      <c r="R8" s="13">
        <f t="shared" si="7"/>
        <v>0</v>
      </c>
      <c r="S8">
        <f>SUMIFS(banco!U:U,banco!$C:$C,$B8,banco!$A:$A,$A8)</f>
        <v>0</v>
      </c>
      <c r="T8" s="13">
        <f t="shared" si="8"/>
        <v>0</v>
      </c>
      <c r="U8">
        <f>SUMIFS(banco!W:W,banco!$C:$C,$B8,banco!$A:$A,$A8)</f>
        <v>0</v>
      </c>
      <c r="V8" s="13">
        <f t="shared" si="9"/>
        <v>0</v>
      </c>
      <c r="W8">
        <f>SUMIFS(banco!Y:Y,banco!$C:$C,$B8,banco!$A:$A,$A8)</f>
        <v>0</v>
      </c>
      <c r="X8" s="13">
        <f t="shared" si="10"/>
        <v>0</v>
      </c>
      <c r="Y8">
        <f>SUMIFS(banco!AA:AA,banco!$C:$C,$B8,banco!$A:$A,$A8)</f>
        <v>0</v>
      </c>
      <c r="Z8" s="13">
        <f t="shared" si="11"/>
        <v>0</v>
      </c>
      <c r="AA8">
        <f>SUMIFS(banco!AC:AC,banco!$C:$C,$B8,banco!$A:$A,$A8)</f>
        <v>0</v>
      </c>
      <c r="AB8" s="13">
        <f t="shared" si="12"/>
        <v>0</v>
      </c>
      <c r="AC8">
        <f>SUMIFS(banco!AE:AE,banco!$C:$C,$B8,banco!$A:$A,$A8)</f>
        <v>0</v>
      </c>
      <c r="AD8" s="13">
        <f t="shared" si="13"/>
        <v>0</v>
      </c>
      <c r="AE8">
        <f>SUMIFS(banco!AG:AG,banco!$C:$C,$B8,banco!$A:$A,$A8)</f>
        <v>0</v>
      </c>
      <c r="AF8" s="13">
        <f t="shared" si="14"/>
        <v>0</v>
      </c>
      <c r="AG8">
        <f>SUMIFS(banco!AI:AI,banco!$C:$C,$B8,banco!$A:$A,$A8)</f>
        <v>0</v>
      </c>
      <c r="AH8" s="13">
        <f t="shared" si="15"/>
        <v>0</v>
      </c>
      <c r="AI8">
        <f>SUMIFS(banco!AK:AK,banco!$C:$C,$B8,banco!$A:$A,$A8)</f>
        <v>0</v>
      </c>
      <c r="AJ8" s="13">
        <f t="shared" si="16"/>
        <v>0</v>
      </c>
      <c r="AK8">
        <f>SUMIFS(banco!AM:AM,banco!$C:$C,$B8,banco!$A:$A,$A8)</f>
        <v>0</v>
      </c>
      <c r="AL8" s="13">
        <f t="shared" si="17"/>
        <v>0</v>
      </c>
      <c r="AM8">
        <f>SUMIFS(banco!AO:AO,banco!$C:$C,$B8,banco!$A:$A,$A8)</f>
        <v>0</v>
      </c>
      <c r="AN8" s="13">
        <f t="shared" si="18"/>
        <v>0</v>
      </c>
      <c r="AO8">
        <f>SUMIFS(banco!AQ:AQ,banco!$C:$C,$B8,banco!$A:$A,$A8)</f>
        <v>0</v>
      </c>
      <c r="AP8" s="13">
        <f t="shared" si="19"/>
        <v>0</v>
      </c>
      <c r="AQ8">
        <f>SUMIFS(banco!AS:AS,banco!$C:$C,$B8,banco!$A:$A,$A8)</f>
        <v>0</v>
      </c>
      <c r="AR8" s="13">
        <f t="shared" si="20"/>
        <v>0</v>
      </c>
      <c r="AS8">
        <f>SUMIFS(banco!AU:AU,banco!$C:$C,$B8,banco!$A:$A,$A8)</f>
        <v>0</v>
      </c>
      <c r="AT8" s="13">
        <f t="shared" si="21"/>
        <v>0</v>
      </c>
      <c r="AU8">
        <f>SUMIFS(banco!AW:AW,banco!$C:$C,$B8,banco!$A:$A,$A8)</f>
        <v>0</v>
      </c>
      <c r="AV8" s="13">
        <f t="shared" si="22"/>
        <v>0</v>
      </c>
      <c r="AW8">
        <f>SUMIFS(banco!AY:AY,banco!$C:$C,$B8,banco!$A:$A,$A8)</f>
        <v>0</v>
      </c>
      <c r="AX8" s="13">
        <f t="shared" si="23"/>
        <v>0</v>
      </c>
      <c r="AY8">
        <f>SUMIFS(banco!BA:BA,banco!$C:$C,$B8,banco!$A:$A,$A8)</f>
        <v>0</v>
      </c>
      <c r="AZ8" s="13">
        <f t="shared" si="24"/>
        <v>0</v>
      </c>
      <c r="BA8">
        <f>SUMIFS(banco!BC:BC,banco!$C:$C,$B8,banco!$A:$A,$A8)</f>
        <v>0</v>
      </c>
      <c r="BB8" s="13">
        <f t="shared" si="25"/>
        <v>0</v>
      </c>
      <c r="BC8">
        <f>SUMIFS(banco!BE:BE,banco!$C:$C,$B8,banco!$A:$A,$A8)</f>
        <v>0</v>
      </c>
      <c r="BD8">
        <f>SUMIFS(banco!BF:BF,banco!$C:$C,$B8,banco!$A:$A,$A8)</f>
        <v>0</v>
      </c>
      <c r="BE8">
        <v>24037</v>
      </c>
    </row>
    <row r="9" spans="1:57" x14ac:dyDescent="0.25">
      <c r="A9" s="23">
        <v>2015</v>
      </c>
      <c r="B9" s="22" t="s">
        <v>147</v>
      </c>
      <c r="C9">
        <f>SUMIFS(banco!E:E,banco!$C:$C,$B9,banco!$A:$A,$A9)</f>
        <v>0</v>
      </c>
      <c r="D9" s="13">
        <f t="shared" si="0"/>
        <v>0</v>
      </c>
      <c r="E9">
        <f>SUMIFS(banco!G:G,banco!$C:$C,$B9,banco!$A:$A,$A9)</f>
        <v>0</v>
      </c>
      <c r="F9" s="13">
        <f t="shared" si="1"/>
        <v>0</v>
      </c>
      <c r="G9">
        <f>SUMIFS(banco!I:I,banco!$C:$C,$B9,banco!$A:$A,$A9)</f>
        <v>0</v>
      </c>
      <c r="H9" s="13">
        <f t="shared" si="2"/>
        <v>0</v>
      </c>
      <c r="I9">
        <f>SUMIFS(banco!K:K,banco!$C:$C,$B9,banco!$A:$A,$A9)</f>
        <v>0</v>
      </c>
      <c r="J9" s="13">
        <f t="shared" si="3"/>
        <v>0</v>
      </c>
      <c r="K9">
        <f>SUMIFS(banco!M:M,banco!$C:$C,$B9,banco!$A:$A,$A9)</f>
        <v>0</v>
      </c>
      <c r="L9" s="13">
        <f t="shared" si="4"/>
        <v>0</v>
      </c>
      <c r="M9">
        <f>SUMIFS(banco!O:O,banco!$C:$C,$B9,banco!$A:$A,$A9)</f>
        <v>0</v>
      </c>
      <c r="N9" s="13">
        <f t="shared" si="5"/>
        <v>0</v>
      </c>
      <c r="O9">
        <f>SUMIFS(banco!Q:Q,banco!$C:$C,$B9,banco!$A:$A,$A9)</f>
        <v>0</v>
      </c>
      <c r="P9" s="13">
        <f t="shared" si="6"/>
        <v>0</v>
      </c>
      <c r="Q9">
        <f>SUMIFS(banco!S:S,banco!$C:$C,$B9,banco!$A:$A,$A9)</f>
        <v>0</v>
      </c>
      <c r="R9" s="13">
        <f t="shared" si="7"/>
        <v>0</v>
      </c>
      <c r="S9">
        <f>SUMIFS(banco!U:U,banco!$C:$C,$B9,banco!$A:$A,$A9)</f>
        <v>0</v>
      </c>
      <c r="T9" s="13">
        <f t="shared" si="8"/>
        <v>0</v>
      </c>
      <c r="U9">
        <f>SUMIFS(banco!W:W,banco!$C:$C,$B9,banco!$A:$A,$A9)</f>
        <v>0</v>
      </c>
      <c r="V9" s="13">
        <f t="shared" si="9"/>
        <v>0</v>
      </c>
      <c r="W9">
        <f>SUMIFS(banco!Y:Y,banco!$C:$C,$B9,banco!$A:$A,$A9)</f>
        <v>0</v>
      </c>
      <c r="X9" s="13">
        <f t="shared" si="10"/>
        <v>0</v>
      </c>
      <c r="Y9">
        <f>SUMIFS(banco!AA:AA,banco!$C:$C,$B9,banco!$A:$A,$A9)</f>
        <v>0</v>
      </c>
      <c r="Z9" s="13">
        <f t="shared" si="11"/>
        <v>0</v>
      </c>
      <c r="AA9">
        <f>SUMIFS(banco!AC:AC,banco!$C:$C,$B9,banco!$A:$A,$A9)</f>
        <v>0</v>
      </c>
      <c r="AB9" s="13">
        <f t="shared" si="12"/>
        <v>0</v>
      </c>
      <c r="AC9">
        <f>SUMIFS(banco!AE:AE,banco!$C:$C,$B9,banco!$A:$A,$A9)</f>
        <v>0</v>
      </c>
      <c r="AD9" s="13">
        <f t="shared" si="13"/>
        <v>0</v>
      </c>
      <c r="AE9">
        <f>SUMIFS(banco!AG:AG,banco!$C:$C,$B9,banco!$A:$A,$A9)</f>
        <v>0</v>
      </c>
      <c r="AF9" s="13">
        <f t="shared" si="14"/>
        <v>0</v>
      </c>
      <c r="AG9">
        <f>SUMIFS(banco!AI:AI,banco!$C:$C,$B9,banco!$A:$A,$A9)</f>
        <v>0</v>
      </c>
      <c r="AH9" s="13">
        <f t="shared" si="15"/>
        <v>0</v>
      </c>
      <c r="AI9">
        <f>SUMIFS(banco!AK:AK,banco!$C:$C,$B9,banco!$A:$A,$A9)</f>
        <v>0</v>
      </c>
      <c r="AJ9" s="13">
        <f t="shared" si="16"/>
        <v>0</v>
      </c>
      <c r="AK9">
        <f>SUMIFS(banco!AM:AM,banco!$C:$C,$B9,banco!$A:$A,$A9)</f>
        <v>0</v>
      </c>
      <c r="AL9" s="13">
        <f t="shared" si="17"/>
        <v>0</v>
      </c>
      <c r="AM9">
        <f>SUMIFS(banco!AO:AO,banco!$C:$C,$B9,banco!$A:$A,$A9)</f>
        <v>0</v>
      </c>
      <c r="AN9" s="13">
        <f t="shared" si="18"/>
        <v>0</v>
      </c>
      <c r="AO9">
        <f>SUMIFS(banco!AQ:AQ,banco!$C:$C,$B9,banco!$A:$A,$A9)</f>
        <v>0</v>
      </c>
      <c r="AP9" s="13">
        <f t="shared" si="19"/>
        <v>0</v>
      </c>
      <c r="AQ9">
        <f>SUMIFS(banco!AS:AS,banco!$C:$C,$B9,banco!$A:$A,$A9)</f>
        <v>0</v>
      </c>
      <c r="AR9" s="13">
        <f t="shared" si="20"/>
        <v>0</v>
      </c>
      <c r="AS9">
        <f>SUMIFS(banco!AU:AU,banco!$C:$C,$B9,banco!$A:$A,$A9)</f>
        <v>0</v>
      </c>
      <c r="AT9" s="13">
        <f t="shared" si="21"/>
        <v>0</v>
      </c>
      <c r="AU9">
        <f>SUMIFS(banco!AW:AW,banco!$C:$C,$B9,banco!$A:$A,$A9)</f>
        <v>0</v>
      </c>
      <c r="AV9" s="13">
        <f t="shared" si="22"/>
        <v>0</v>
      </c>
      <c r="AW9">
        <f>SUMIFS(banco!AY:AY,banco!$C:$C,$B9,banco!$A:$A,$A9)</f>
        <v>0</v>
      </c>
      <c r="AX9" s="13">
        <f t="shared" si="23"/>
        <v>0</v>
      </c>
      <c r="AY9">
        <f>SUMIFS(banco!BA:BA,banco!$C:$C,$B9,banco!$A:$A,$A9)</f>
        <v>0</v>
      </c>
      <c r="AZ9" s="13">
        <f t="shared" si="24"/>
        <v>0</v>
      </c>
      <c r="BA9">
        <f>SUMIFS(banco!BC:BC,banco!$C:$C,$B9,banco!$A:$A,$A9)</f>
        <v>0</v>
      </c>
      <c r="BB9" s="13">
        <f t="shared" si="25"/>
        <v>0</v>
      </c>
      <c r="BC9">
        <f>SUMIFS(banco!BE:BE,banco!$C:$C,$B9,banco!$A:$A,$A9)</f>
        <v>0</v>
      </c>
      <c r="BD9">
        <f>SUMIFS(banco!BF:BF,banco!$C:$C,$B9,banco!$A:$A,$A9)</f>
        <v>0</v>
      </c>
      <c r="BE9">
        <v>8221</v>
      </c>
    </row>
    <row r="10" spans="1:57" x14ac:dyDescent="0.25">
      <c r="A10" s="23">
        <v>2016</v>
      </c>
      <c r="B10" s="22" t="s">
        <v>151</v>
      </c>
      <c r="C10">
        <f>SUMIFS(banco!E:E,banco!$C:$C,$B10,banco!$A:$A,$A10)</f>
        <v>0</v>
      </c>
      <c r="D10" s="13">
        <f t="shared" si="0"/>
        <v>0</v>
      </c>
      <c r="E10">
        <f>SUMIFS(banco!G:G,banco!$C:$C,$B10,banco!$A:$A,$A10)</f>
        <v>0</v>
      </c>
      <c r="F10" s="13">
        <f t="shared" si="1"/>
        <v>0</v>
      </c>
      <c r="G10">
        <f>SUMIFS(banco!I:I,banco!$C:$C,$B10,banco!$A:$A,$A10)</f>
        <v>0</v>
      </c>
      <c r="H10" s="13">
        <f t="shared" si="2"/>
        <v>0</v>
      </c>
      <c r="I10">
        <f>SUMIFS(banco!K:K,banco!$C:$C,$B10,banco!$A:$A,$A10)</f>
        <v>0</v>
      </c>
      <c r="J10" s="13">
        <f t="shared" si="3"/>
        <v>0</v>
      </c>
      <c r="K10">
        <f>SUMIFS(banco!M:M,banco!$C:$C,$B10,banco!$A:$A,$A10)</f>
        <v>0</v>
      </c>
      <c r="L10" s="13">
        <f t="shared" si="4"/>
        <v>0</v>
      </c>
      <c r="M10">
        <f>SUMIFS(banco!O:O,banco!$C:$C,$B10,banco!$A:$A,$A10)</f>
        <v>0</v>
      </c>
      <c r="N10" s="13">
        <f t="shared" si="5"/>
        <v>0</v>
      </c>
      <c r="O10">
        <f>SUMIFS(banco!Q:Q,banco!$C:$C,$B10,banco!$A:$A,$A10)</f>
        <v>0</v>
      </c>
      <c r="P10" s="13">
        <f t="shared" si="6"/>
        <v>0</v>
      </c>
      <c r="Q10">
        <f>SUMIFS(banco!S:S,banco!$C:$C,$B10,banco!$A:$A,$A10)</f>
        <v>0</v>
      </c>
      <c r="R10" s="13">
        <f t="shared" si="7"/>
        <v>0</v>
      </c>
      <c r="S10">
        <f>SUMIFS(banco!U:U,banco!$C:$C,$B10,banco!$A:$A,$A10)</f>
        <v>0</v>
      </c>
      <c r="T10" s="13">
        <f t="shared" si="8"/>
        <v>0</v>
      </c>
      <c r="U10">
        <f>SUMIFS(banco!W:W,banco!$C:$C,$B10,banco!$A:$A,$A10)</f>
        <v>0</v>
      </c>
      <c r="V10" s="13">
        <f t="shared" si="9"/>
        <v>0</v>
      </c>
      <c r="W10">
        <f>SUMIFS(banco!Y:Y,banco!$C:$C,$B10,banco!$A:$A,$A10)</f>
        <v>0</v>
      </c>
      <c r="X10" s="13">
        <f t="shared" si="10"/>
        <v>0</v>
      </c>
      <c r="Y10">
        <f>SUMIFS(banco!AA:AA,banco!$C:$C,$B10,banco!$A:$A,$A10)</f>
        <v>0</v>
      </c>
      <c r="Z10" s="13">
        <f t="shared" si="11"/>
        <v>0</v>
      </c>
      <c r="AA10">
        <f>SUMIFS(banco!AC:AC,banco!$C:$C,$B10,banco!$A:$A,$A10)</f>
        <v>0</v>
      </c>
      <c r="AB10" s="13">
        <f t="shared" si="12"/>
        <v>0</v>
      </c>
      <c r="AC10">
        <f>SUMIFS(banco!AE:AE,banco!$C:$C,$B10,banco!$A:$A,$A10)</f>
        <v>0</v>
      </c>
      <c r="AD10" s="13">
        <f t="shared" si="13"/>
        <v>0</v>
      </c>
      <c r="AE10">
        <f>SUMIFS(banco!AG:AG,banco!$C:$C,$B10,banco!$A:$A,$A10)</f>
        <v>0</v>
      </c>
      <c r="AF10" s="13">
        <f t="shared" si="14"/>
        <v>0</v>
      </c>
      <c r="AG10">
        <f>SUMIFS(banco!AI:AI,banco!$C:$C,$B10,banco!$A:$A,$A10)</f>
        <v>0</v>
      </c>
      <c r="AH10" s="13">
        <f t="shared" si="15"/>
        <v>0</v>
      </c>
      <c r="AI10">
        <f>SUMIFS(banco!AK:AK,banco!$C:$C,$B10,banco!$A:$A,$A10)</f>
        <v>0</v>
      </c>
      <c r="AJ10" s="13">
        <f t="shared" si="16"/>
        <v>0</v>
      </c>
      <c r="AK10">
        <f>SUMIFS(banco!AM:AM,banco!$C:$C,$B10,banco!$A:$A,$A10)</f>
        <v>0</v>
      </c>
      <c r="AL10" s="13">
        <f t="shared" si="17"/>
        <v>0</v>
      </c>
      <c r="AM10">
        <f>SUMIFS(banco!AO:AO,banco!$C:$C,$B10,banco!$A:$A,$A10)</f>
        <v>0</v>
      </c>
      <c r="AN10" s="13">
        <f t="shared" si="18"/>
        <v>0</v>
      </c>
      <c r="AO10">
        <f>SUMIFS(banco!AQ:AQ,banco!$C:$C,$B10,banco!$A:$A,$A10)</f>
        <v>0</v>
      </c>
      <c r="AP10" s="13">
        <f t="shared" si="19"/>
        <v>0</v>
      </c>
      <c r="AQ10">
        <f>SUMIFS(banco!AS:AS,banco!$C:$C,$B10,banco!$A:$A,$A10)</f>
        <v>0</v>
      </c>
      <c r="AR10" s="13">
        <f t="shared" si="20"/>
        <v>0</v>
      </c>
      <c r="AS10">
        <f>SUMIFS(banco!AU:AU,banco!$C:$C,$B10,banco!$A:$A,$A10)</f>
        <v>0</v>
      </c>
      <c r="AT10" s="13">
        <f t="shared" si="21"/>
        <v>0</v>
      </c>
      <c r="AU10">
        <f>SUMIFS(banco!AW:AW,banco!$C:$C,$B10,banco!$A:$A,$A10)</f>
        <v>0</v>
      </c>
      <c r="AV10" s="13">
        <f t="shared" si="22"/>
        <v>0</v>
      </c>
      <c r="AW10">
        <f>SUMIFS(banco!AY:AY,banco!$C:$C,$B10,banco!$A:$A,$A10)</f>
        <v>0</v>
      </c>
      <c r="AX10" s="13">
        <f t="shared" si="23"/>
        <v>0</v>
      </c>
      <c r="AY10">
        <f>SUMIFS(banco!BA:BA,banco!$C:$C,$B10,banco!$A:$A,$A10)</f>
        <v>0</v>
      </c>
      <c r="AZ10" s="13">
        <f t="shared" si="24"/>
        <v>0</v>
      </c>
      <c r="BA10">
        <f>SUMIFS(banco!BC:BC,banco!$C:$C,$B10,banco!$A:$A,$A10)</f>
        <v>0</v>
      </c>
      <c r="BB10" s="13">
        <f t="shared" si="25"/>
        <v>0</v>
      </c>
      <c r="BC10">
        <f>SUMIFS(banco!BE:BE,banco!$C:$C,$B10,banco!$A:$A,$A10)</f>
        <v>0</v>
      </c>
      <c r="BD10">
        <f>SUMIFS(banco!BF:BF,banco!$C:$C,$B10,banco!$A:$A,$A10)</f>
        <v>0</v>
      </c>
      <c r="BE10">
        <v>9802</v>
      </c>
    </row>
    <row r="11" spans="1:57" x14ac:dyDescent="0.25">
      <c r="A11" s="23">
        <v>2016</v>
      </c>
      <c r="B11" s="22" t="s">
        <v>145</v>
      </c>
      <c r="C11">
        <f>SUMIFS(banco!E:E,banco!$C:$C,$B11,banco!$A:$A,$A11)</f>
        <v>0</v>
      </c>
      <c r="D11" s="13">
        <f t="shared" si="0"/>
        <v>0</v>
      </c>
      <c r="E11">
        <f>SUMIFS(banco!G:G,banco!$C:$C,$B11,banco!$A:$A,$A11)</f>
        <v>0</v>
      </c>
      <c r="F11" s="13">
        <f t="shared" si="1"/>
        <v>0</v>
      </c>
      <c r="G11">
        <f>SUMIFS(banco!I:I,banco!$C:$C,$B11,banco!$A:$A,$A11)</f>
        <v>0</v>
      </c>
      <c r="H11" s="13">
        <f t="shared" si="2"/>
        <v>0</v>
      </c>
      <c r="I11">
        <f>SUMIFS(banco!K:K,banco!$C:$C,$B11,banco!$A:$A,$A11)</f>
        <v>0</v>
      </c>
      <c r="J11" s="13">
        <f t="shared" si="3"/>
        <v>0</v>
      </c>
      <c r="K11">
        <f>SUMIFS(banco!M:M,banco!$C:$C,$B11,banco!$A:$A,$A11)</f>
        <v>0</v>
      </c>
      <c r="L11" s="13">
        <f t="shared" si="4"/>
        <v>0</v>
      </c>
      <c r="M11">
        <f>SUMIFS(banco!O:O,banco!$C:$C,$B11,banco!$A:$A,$A11)</f>
        <v>0</v>
      </c>
      <c r="N11" s="13">
        <f t="shared" si="5"/>
        <v>0</v>
      </c>
      <c r="O11">
        <f>SUMIFS(banco!Q:Q,banco!$C:$C,$B11,banco!$A:$A,$A11)</f>
        <v>0</v>
      </c>
      <c r="P11" s="13">
        <f t="shared" si="6"/>
        <v>0</v>
      </c>
      <c r="Q11">
        <f>SUMIFS(banco!S:S,banco!$C:$C,$B11,banco!$A:$A,$A11)</f>
        <v>0</v>
      </c>
      <c r="R11" s="13">
        <f t="shared" si="7"/>
        <v>0</v>
      </c>
      <c r="S11">
        <f>SUMIFS(banco!U:U,banco!$C:$C,$B11,banco!$A:$A,$A11)</f>
        <v>0</v>
      </c>
      <c r="T11" s="13">
        <f t="shared" si="8"/>
        <v>0</v>
      </c>
      <c r="U11">
        <f>SUMIFS(banco!W:W,banco!$C:$C,$B11,banco!$A:$A,$A11)</f>
        <v>0</v>
      </c>
      <c r="V11" s="13">
        <f t="shared" si="9"/>
        <v>0</v>
      </c>
      <c r="W11">
        <f>SUMIFS(banco!Y:Y,banco!$C:$C,$B11,banco!$A:$A,$A11)</f>
        <v>0</v>
      </c>
      <c r="X11" s="13">
        <f t="shared" si="10"/>
        <v>0</v>
      </c>
      <c r="Y11">
        <f>SUMIFS(banco!AA:AA,banco!$C:$C,$B11,banco!$A:$A,$A11)</f>
        <v>0</v>
      </c>
      <c r="Z11" s="13">
        <f t="shared" si="11"/>
        <v>0</v>
      </c>
      <c r="AA11">
        <f>SUMIFS(banco!AC:AC,banco!$C:$C,$B11,banco!$A:$A,$A11)</f>
        <v>0</v>
      </c>
      <c r="AB11" s="13">
        <f t="shared" si="12"/>
        <v>0</v>
      </c>
      <c r="AC11">
        <f>SUMIFS(banco!AE:AE,banco!$C:$C,$B11,banco!$A:$A,$A11)</f>
        <v>0</v>
      </c>
      <c r="AD11" s="13">
        <f t="shared" si="13"/>
        <v>0</v>
      </c>
      <c r="AE11">
        <f>SUMIFS(banco!AG:AG,banco!$C:$C,$B11,banco!$A:$A,$A11)</f>
        <v>0</v>
      </c>
      <c r="AF11" s="13">
        <f t="shared" si="14"/>
        <v>0</v>
      </c>
      <c r="AG11">
        <f>SUMIFS(banco!AI:AI,banco!$C:$C,$B11,banco!$A:$A,$A11)</f>
        <v>0</v>
      </c>
      <c r="AH11" s="13">
        <f t="shared" si="15"/>
        <v>0</v>
      </c>
      <c r="AI11">
        <f>SUMIFS(banco!AK:AK,banco!$C:$C,$B11,banco!$A:$A,$A11)</f>
        <v>0</v>
      </c>
      <c r="AJ11" s="13">
        <f t="shared" si="16"/>
        <v>0</v>
      </c>
      <c r="AK11">
        <f>SUMIFS(banco!AM:AM,banco!$C:$C,$B11,banco!$A:$A,$A11)</f>
        <v>0</v>
      </c>
      <c r="AL11" s="13">
        <f t="shared" si="17"/>
        <v>0</v>
      </c>
      <c r="AM11">
        <f>SUMIFS(banco!AO:AO,banco!$C:$C,$B11,banco!$A:$A,$A11)</f>
        <v>0</v>
      </c>
      <c r="AN11" s="13">
        <f t="shared" si="18"/>
        <v>0</v>
      </c>
      <c r="AO11">
        <f>SUMIFS(banco!AQ:AQ,banco!$C:$C,$B11,banco!$A:$A,$A11)</f>
        <v>0</v>
      </c>
      <c r="AP11" s="13">
        <f t="shared" si="19"/>
        <v>0</v>
      </c>
      <c r="AQ11">
        <f>SUMIFS(banco!AS:AS,banco!$C:$C,$B11,banco!$A:$A,$A11)</f>
        <v>0</v>
      </c>
      <c r="AR11" s="13">
        <f t="shared" si="20"/>
        <v>0</v>
      </c>
      <c r="AS11">
        <f>SUMIFS(banco!AU:AU,banco!$C:$C,$B11,banco!$A:$A,$A11)</f>
        <v>0</v>
      </c>
      <c r="AT11" s="13">
        <f t="shared" si="21"/>
        <v>0</v>
      </c>
      <c r="AU11">
        <f>SUMIFS(banco!AW:AW,banco!$C:$C,$B11,banco!$A:$A,$A11)</f>
        <v>0</v>
      </c>
      <c r="AV11" s="13">
        <f t="shared" si="22"/>
        <v>0</v>
      </c>
      <c r="AW11">
        <f>SUMIFS(banco!AY:AY,banco!$C:$C,$B11,banco!$A:$A,$A11)</f>
        <v>0</v>
      </c>
      <c r="AX11" s="13">
        <f t="shared" si="23"/>
        <v>0</v>
      </c>
      <c r="AY11">
        <f>SUMIFS(banco!BA:BA,banco!$C:$C,$B11,banco!$A:$A,$A11)</f>
        <v>0</v>
      </c>
      <c r="AZ11" s="13">
        <f t="shared" si="24"/>
        <v>0</v>
      </c>
      <c r="BA11">
        <f>SUMIFS(banco!BC:BC,banco!$C:$C,$B11,banco!$A:$A,$A11)</f>
        <v>0</v>
      </c>
      <c r="BB11" s="13">
        <f t="shared" si="25"/>
        <v>0</v>
      </c>
      <c r="BC11">
        <f>SUMIFS(banco!BE:BE,banco!$C:$C,$B11,banco!$A:$A,$A11)</f>
        <v>0</v>
      </c>
      <c r="BD11">
        <f>SUMIFS(banco!BF:BF,banco!$C:$C,$B11,banco!$A:$A,$A11)</f>
        <v>0</v>
      </c>
      <c r="BE11">
        <v>18751</v>
      </c>
    </row>
    <row r="12" spans="1:57" x14ac:dyDescent="0.25">
      <c r="A12" s="23">
        <v>2016</v>
      </c>
      <c r="B12" s="22" t="s">
        <v>144</v>
      </c>
      <c r="C12">
        <f>SUMIFS(banco!E:E,banco!$C:$C,$B12,banco!$A:$A,$A12)</f>
        <v>0</v>
      </c>
      <c r="D12" s="13">
        <f t="shared" si="0"/>
        <v>0</v>
      </c>
      <c r="E12">
        <f>SUMIFS(banco!G:G,banco!$C:$C,$B12,banco!$A:$A,$A12)</f>
        <v>0</v>
      </c>
      <c r="F12" s="13">
        <f t="shared" si="1"/>
        <v>0</v>
      </c>
      <c r="G12">
        <f>SUMIFS(banco!I:I,banco!$C:$C,$B12,banco!$A:$A,$A12)</f>
        <v>0</v>
      </c>
      <c r="H12" s="13">
        <f t="shared" si="2"/>
        <v>0</v>
      </c>
      <c r="I12">
        <f>SUMIFS(banco!K:K,banco!$C:$C,$B12,banco!$A:$A,$A12)</f>
        <v>0</v>
      </c>
      <c r="J12" s="13">
        <f t="shared" si="3"/>
        <v>0</v>
      </c>
      <c r="K12">
        <f>SUMIFS(banco!M:M,banco!$C:$C,$B12,banco!$A:$A,$A12)</f>
        <v>0</v>
      </c>
      <c r="L12" s="13">
        <f t="shared" si="4"/>
        <v>0</v>
      </c>
      <c r="M12">
        <f>SUMIFS(banco!O:O,banco!$C:$C,$B12,banco!$A:$A,$A12)</f>
        <v>0</v>
      </c>
      <c r="N12" s="13">
        <f t="shared" si="5"/>
        <v>0</v>
      </c>
      <c r="O12">
        <f>SUMIFS(banco!Q:Q,banco!$C:$C,$B12,banco!$A:$A,$A12)</f>
        <v>0</v>
      </c>
      <c r="P12" s="13">
        <f t="shared" si="6"/>
        <v>0</v>
      </c>
      <c r="Q12">
        <f>SUMIFS(banco!S:S,banco!$C:$C,$B12,banco!$A:$A,$A12)</f>
        <v>0</v>
      </c>
      <c r="R12" s="13">
        <f t="shared" si="7"/>
        <v>0</v>
      </c>
      <c r="S12">
        <f>SUMIFS(banco!U:U,banco!$C:$C,$B12,banco!$A:$A,$A12)</f>
        <v>0</v>
      </c>
      <c r="T12" s="13">
        <f t="shared" si="8"/>
        <v>0</v>
      </c>
      <c r="U12">
        <f>SUMIFS(banco!W:W,banco!$C:$C,$B12,banco!$A:$A,$A12)</f>
        <v>0</v>
      </c>
      <c r="V12" s="13">
        <f t="shared" si="9"/>
        <v>0</v>
      </c>
      <c r="W12">
        <f>SUMIFS(banco!Y:Y,banco!$C:$C,$B12,banco!$A:$A,$A12)</f>
        <v>0</v>
      </c>
      <c r="X12" s="13">
        <f t="shared" si="10"/>
        <v>0</v>
      </c>
      <c r="Y12">
        <f>SUMIFS(banco!AA:AA,banco!$C:$C,$B12,banco!$A:$A,$A12)</f>
        <v>0</v>
      </c>
      <c r="Z12" s="13">
        <f t="shared" si="11"/>
        <v>0</v>
      </c>
      <c r="AA12">
        <f>SUMIFS(banco!AC:AC,banco!$C:$C,$B12,banco!$A:$A,$A12)</f>
        <v>0</v>
      </c>
      <c r="AB12" s="13">
        <f t="shared" si="12"/>
        <v>0</v>
      </c>
      <c r="AC12">
        <f>SUMIFS(banco!AE:AE,banco!$C:$C,$B12,banco!$A:$A,$A12)</f>
        <v>0</v>
      </c>
      <c r="AD12" s="13">
        <f t="shared" si="13"/>
        <v>0</v>
      </c>
      <c r="AE12">
        <f>SUMIFS(banco!AG:AG,banco!$C:$C,$B12,banco!$A:$A,$A12)</f>
        <v>0</v>
      </c>
      <c r="AF12" s="13">
        <f t="shared" si="14"/>
        <v>0</v>
      </c>
      <c r="AG12">
        <f>SUMIFS(banco!AI:AI,banco!$C:$C,$B12,banco!$A:$A,$A12)</f>
        <v>0</v>
      </c>
      <c r="AH12" s="13">
        <f t="shared" si="15"/>
        <v>0</v>
      </c>
      <c r="AI12">
        <f>SUMIFS(banco!AK:AK,banco!$C:$C,$B12,banco!$A:$A,$A12)</f>
        <v>0</v>
      </c>
      <c r="AJ12" s="13">
        <f t="shared" si="16"/>
        <v>0</v>
      </c>
      <c r="AK12">
        <f>SUMIFS(banco!AM:AM,banco!$C:$C,$B12,banco!$A:$A,$A12)</f>
        <v>0</v>
      </c>
      <c r="AL12" s="13">
        <f t="shared" si="17"/>
        <v>0</v>
      </c>
      <c r="AM12">
        <f>SUMIFS(banco!AO:AO,banco!$C:$C,$B12,banco!$A:$A,$A12)</f>
        <v>0</v>
      </c>
      <c r="AN12" s="13">
        <f t="shared" si="18"/>
        <v>0</v>
      </c>
      <c r="AO12">
        <f>SUMIFS(banco!AQ:AQ,banco!$C:$C,$B12,banco!$A:$A,$A12)</f>
        <v>0</v>
      </c>
      <c r="AP12" s="13">
        <f t="shared" si="19"/>
        <v>0</v>
      </c>
      <c r="AQ12">
        <f>SUMIFS(banco!AS:AS,banco!$C:$C,$B12,banco!$A:$A,$A12)</f>
        <v>0</v>
      </c>
      <c r="AR12" s="13">
        <f t="shared" si="20"/>
        <v>0</v>
      </c>
      <c r="AS12">
        <f>SUMIFS(banco!AU:AU,banco!$C:$C,$B12,banco!$A:$A,$A12)</f>
        <v>0</v>
      </c>
      <c r="AT12" s="13">
        <f t="shared" si="21"/>
        <v>0</v>
      </c>
      <c r="AU12">
        <f>SUMIFS(banco!AW:AW,banco!$C:$C,$B12,banco!$A:$A,$A12)</f>
        <v>0</v>
      </c>
      <c r="AV12" s="13">
        <f t="shared" si="22"/>
        <v>0</v>
      </c>
      <c r="AW12">
        <f>SUMIFS(banco!AY:AY,banco!$C:$C,$B12,banco!$A:$A,$A12)</f>
        <v>0</v>
      </c>
      <c r="AX12" s="13">
        <f t="shared" si="23"/>
        <v>0</v>
      </c>
      <c r="AY12">
        <f>SUMIFS(banco!BA:BA,banco!$C:$C,$B12,banco!$A:$A,$A12)</f>
        <v>0</v>
      </c>
      <c r="AZ12" s="13">
        <f t="shared" si="24"/>
        <v>0</v>
      </c>
      <c r="BA12">
        <f>SUMIFS(banco!BC:BC,banco!$C:$C,$B12,banco!$A:$A,$A12)</f>
        <v>0</v>
      </c>
      <c r="BB12" s="13">
        <f t="shared" si="25"/>
        <v>0</v>
      </c>
      <c r="BC12">
        <f>SUMIFS(banco!BE:BE,banco!$C:$C,$B12,banco!$A:$A,$A12)</f>
        <v>0</v>
      </c>
      <c r="BD12">
        <f>SUMIFS(banco!BF:BF,banco!$C:$C,$B12,banco!$A:$A,$A12)</f>
        <v>0</v>
      </c>
      <c r="BE12">
        <v>10125</v>
      </c>
    </row>
    <row r="13" spans="1:57" x14ac:dyDescent="0.25">
      <c r="A13" s="23">
        <v>2016</v>
      </c>
      <c r="B13" s="22" t="s">
        <v>148</v>
      </c>
      <c r="C13">
        <f>SUMIFS(banco!E:E,banco!$C:$C,$B13,banco!$A:$A,$A13)</f>
        <v>0</v>
      </c>
      <c r="D13" s="13">
        <f t="shared" si="0"/>
        <v>0</v>
      </c>
      <c r="E13">
        <f>SUMIFS(banco!G:G,banco!$C:$C,$B13,banco!$A:$A,$A13)</f>
        <v>0</v>
      </c>
      <c r="F13" s="13">
        <f t="shared" si="1"/>
        <v>0</v>
      </c>
      <c r="G13">
        <f>SUMIFS(banco!I:I,banco!$C:$C,$B13,banco!$A:$A,$A13)</f>
        <v>0</v>
      </c>
      <c r="H13" s="13">
        <f t="shared" si="2"/>
        <v>0</v>
      </c>
      <c r="I13">
        <f>SUMIFS(banco!K:K,banco!$C:$C,$B13,banco!$A:$A,$A13)</f>
        <v>0</v>
      </c>
      <c r="J13" s="13">
        <f t="shared" si="3"/>
        <v>0</v>
      </c>
      <c r="K13">
        <f>SUMIFS(banco!M:M,banco!$C:$C,$B13,banco!$A:$A,$A13)</f>
        <v>0</v>
      </c>
      <c r="L13" s="13">
        <f t="shared" si="4"/>
        <v>0</v>
      </c>
      <c r="M13">
        <f>SUMIFS(banco!O:O,banco!$C:$C,$B13,banco!$A:$A,$A13)</f>
        <v>0</v>
      </c>
      <c r="N13" s="13">
        <f t="shared" si="5"/>
        <v>0</v>
      </c>
      <c r="O13">
        <f>SUMIFS(banco!Q:Q,banco!$C:$C,$B13,banco!$A:$A,$A13)</f>
        <v>0</v>
      </c>
      <c r="P13" s="13">
        <f t="shared" si="6"/>
        <v>0</v>
      </c>
      <c r="Q13">
        <f>SUMIFS(banco!S:S,banco!$C:$C,$B13,banco!$A:$A,$A13)</f>
        <v>0</v>
      </c>
      <c r="R13" s="13">
        <f t="shared" si="7"/>
        <v>0</v>
      </c>
      <c r="S13">
        <f>SUMIFS(banco!U:U,banco!$C:$C,$B13,banco!$A:$A,$A13)</f>
        <v>0</v>
      </c>
      <c r="T13" s="13">
        <f t="shared" si="8"/>
        <v>0</v>
      </c>
      <c r="U13">
        <f>SUMIFS(banco!W:W,banco!$C:$C,$B13,banco!$A:$A,$A13)</f>
        <v>0</v>
      </c>
      <c r="V13" s="13">
        <f t="shared" si="9"/>
        <v>0</v>
      </c>
      <c r="W13">
        <f>SUMIFS(banco!Y:Y,banco!$C:$C,$B13,banco!$A:$A,$A13)</f>
        <v>0</v>
      </c>
      <c r="X13" s="13">
        <f t="shared" si="10"/>
        <v>0</v>
      </c>
      <c r="Y13">
        <f>SUMIFS(banco!AA:AA,banco!$C:$C,$B13,banco!$A:$A,$A13)</f>
        <v>0</v>
      </c>
      <c r="Z13" s="13">
        <f t="shared" si="11"/>
        <v>0</v>
      </c>
      <c r="AA13">
        <f>SUMIFS(banco!AC:AC,banco!$C:$C,$B13,banco!$A:$A,$A13)</f>
        <v>0</v>
      </c>
      <c r="AB13" s="13">
        <f t="shared" si="12"/>
        <v>0</v>
      </c>
      <c r="AC13">
        <f>SUMIFS(banco!AE:AE,banco!$C:$C,$B13,banco!$A:$A,$A13)</f>
        <v>0</v>
      </c>
      <c r="AD13" s="13">
        <f t="shared" si="13"/>
        <v>0</v>
      </c>
      <c r="AE13">
        <f>SUMIFS(banco!AG:AG,banco!$C:$C,$B13,banco!$A:$A,$A13)</f>
        <v>0</v>
      </c>
      <c r="AF13" s="13">
        <f t="shared" si="14"/>
        <v>0</v>
      </c>
      <c r="AG13">
        <f>SUMIFS(banco!AI:AI,banco!$C:$C,$B13,banco!$A:$A,$A13)</f>
        <v>0</v>
      </c>
      <c r="AH13" s="13">
        <f t="shared" si="15"/>
        <v>0</v>
      </c>
      <c r="AI13">
        <f>SUMIFS(banco!AK:AK,banco!$C:$C,$B13,banco!$A:$A,$A13)</f>
        <v>0</v>
      </c>
      <c r="AJ13" s="13">
        <f t="shared" si="16"/>
        <v>0</v>
      </c>
      <c r="AK13">
        <f>SUMIFS(banco!AM:AM,banco!$C:$C,$B13,banco!$A:$A,$A13)</f>
        <v>0</v>
      </c>
      <c r="AL13" s="13">
        <f t="shared" si="17"/>
        <v>0</v>
      </c>
      <c r="AM13">
        <f>SUMIFS(banco!AO:AO,banco!$C:$C,$B13,banco!$A:$A,$A13)</f>
        <v>0</v>
      </c>
      <c r="AN13" s="13">
        <f t="shared" si="18"/>
        <v>0</v>
      </c>
      <c r="AO13">
        <f>SUMIFS(banco!AQ:AQ,banco!$C:$C,$B13,banco!$A:$A,$A13)</f>
        <v>0</v>
      </c>
      <c r="AP13" s="13">
        <f t="shared" si="19"/>
        <v>0</v>
      </c>
      <c r="AQ13">
        <f>SUMIFS(banco!AS:AS,banco!$C:$C,$B13,banco!$A:$A,$A13)</f>
        <v>0</v>
      </c>
      <c r="AR13" s="13">
        <f t="shared" si="20"/>
        <v>0</v>
      </c>
      <c r="AS13">
        <f>SUMIFS(banco!AU:AU,banco!$C:$C,$B13,banco!$A:$A,$A13)</f>
        <v>0</v>
      </c>
      <c r="AT13" s="13">
        <f t="shared" si="21"/>
        <v>0</v>
      </c>
      <c r="AU13">
        <f>SUMIFS(banco!AW:AW,banco!$C:$C,$B13,banco!$A:$A,$A13)</f>
        <v>0</v>
      </c>
      <c r="AV13" s="13">
        <f t="shared" si="22"/>
        <v>0</v>
      </c>
      <c r="AW13">
        <f>SUMIFS(banco!AY:AY,banco!$C:$C,$B13,banco!$A:$A,$A13)</f>
        <v>0</v>
      </c>
      <c r="AX13" s="13">
        <f t="shared" si="23"/>
        <v>0</v>
      </c>
      <c r="AY13">
        <f>SUMIFS(banco!BA:BA,banco!$C:$C,$B13,banco!$A:$A,$A13)</f>
        <v>0</v>
      </c>
      <c r="AZ13" s="13">
        <f t="shared" si="24"/>
        <v>0</v>
      </c>
      <c r="BA13">
        <f>SUMIFS(banco!BC:BC,banco!$C:$C,$B13,banco!$A:$A,$A13)</f>
        <v>0</v>
      </c>
      <c r="BB13" s="13">
        <f t="shared" si="25"/>
        <v>0</v>
      </c>
      <c r="BC13">
        <f>SUMIFS(banco!BE:BE,banco!$C:$C,$B13,banco!$A:$A,$A13)</f>
        <v>0</v>
      </c>
      <c r="BD13">
        <f>SUMIFS(banco!BF:BF,banco!$C:$C,$B13,banco!$A:$A,$A13)</f>
        <v>0</v>
      </c>
      <c r="BE13">
        <v>29079</v>
      </c>
    </row>
    <row r="14" spans="1:57" x14ac:dyDescent="0.25">
      <c r="A14" s="23">
        <v>2016</v>
      </c>
      <c r="B14" s="22" t="s">
        <v>150</v>
      </c>
      <c r="C14">
        <f>SUMIFS(banco!E:E,banco!$C:$C,$B14,banco!$A:$A,$A14)</f>
        <v>0</v>
      </c>
      <c r="D14" s="13">
        <f t="shared" si="0"/>
        <v>0</v>
      </c>
      <c r="E14">
        <f>SUMIFS(banco!G:G,banco!$C:$C,$B14,banco!$A:$A,$A14)</f>
        <v>0</v>
      </c>
      <c r="F14" s="13">
        <f t="shared" si="1"/>
        <v>0</v>
      </c>
      <c r="G14">
        <f>SUMIFS(banco!I:I,banco!$C:$C,$B14,banco!$A:$A,$A14)</f>
        <v>0</v>
      </c>
      <c r="H14" s="13">
        <f t="shared" si="2"/>
        <v>0</v>
      </c>
      <c r="I14">
        <f>SUMIFS(banco!K:K,banco!$C:$C,$B14,banco!$A:$A,$A14)</f>
        <v>0</v>
      </c>
      <c r="J14" s="13">
        <f t="shared" si="3"/>
        <v>0</v>
      </c>
      <c r="K14">
        <f>SUMIFS(banco!M:M,banco!$C:$C,$B14,banco!$A:$A,$A14)</f>
        <v>0</v>
      </c>
      <c r="L14" s="13">
        <f t="shared" si="4"/>
        <v>0</v>
      </c>
      <c r="M14">
        <f>SUMIFS(banco!O:O,banco!$C:$C,$B14,banco!$A:$A,$A14)</f>
        <v>0</v>
      </c>
      <c r="N14" s="13">
        <f t="shared" si="5"/>
        <v>0</v>
      </c>
      <c r="O14">
        <f>SUMIFS(banco!Q:Q,banco!$C:$C,$B14,banco!$A:$A,$A14)</f>
        <v>0</v>
      </c>
      <c r="P14" s="13">
        <f t="shared" si="6"/>
        <v>0</v>
      </c>
      <c r="Q14">
        <f>SUMIFS(banco!S:S,banco!$C:$C,$B14,banco!$A:$A,$A14)</f>
        <v>0</v>
      </c>
      <c r="R14" s="13">
        <f t="shared" si="7"/>
        <v>0</v>
      </c>
      <c r="S14">
        <f>SUMIFS(banco!U:U,banco!$C:$C,$B14,banco!$A:$A,$A14)</f>
        <v>0</v>
      </c>
      <c r="T14" s="13">
        <f t="shared" si="8"/>
        <v>0</v>
      </c>
      <c r="U14">
        <f>SUMIFS(banco!W:W,banco!$C:$C,$B14,banco!$A:$A,$A14)</f>
        <v>0</v>
      </c>
      <c r="V14" s="13">
        <f t="shared" si="9"/>
        <v>0</v>
      </c>
      <c r="W14">
        <f>SUMIFS(banco!Y:Y,banco!$C:$C,$B14,banco!$A:$A,$A14)</f>
        <v>0</v>
      </c>
      <c r="X14" s="13">
        <f t="shared" si="10"/>
        <v>0</v>
      </c>
      <c r="Y14">
        <f>SUMIFS(banco!AA:AA,banco!$C:$C,$B14,banco!$A:$A,$A14)</f>
        <v>0</v>
      </c>
      <c r="Z14" s="13">
        <f t="shared" si="11"/>
        <v>0</v>
      </c>
      <c r="AA14">
        <f>SUMIFS(banco!AC:AC,banco!$C:$C,$B14,banco!$A:$A,$A14)</f>
        <v>0</v>
      </c>
      <c r="AB14" s="13">
        <f t="shared" si="12"/>
        <v>0</v>
      </c>
      <c r="AC14">
        <f>SUMIFS(banco!AE:AE,banco!$C:$C,$B14,banco!$A:$A,$A14)</f>
        <v>0</v>
      </c>
      <c r="AD14" s="13">
        <f t="shared" si="13"/>
        <v>0</v>
      </c>
      <c r="AE14">
        <f>SUMIFS(banco!AG:AG,banco!$C:$C,$B14,banco!$A:$A,$A14)</f>
        <v>0</v>
      </c>
      <c r="AF14" s="13">
        <f t="shared" si="14"/>
        <v>0</v>
      </c>
      <c r="AG14">
        <f>SUMIFS(banco!AI:AI,banco!$C:$C,$B14,banco!$A:$A,$A14)</f>
        <v>0</v>
      </c>
      <c r="AH14" s="13">
        <f t="shared" si="15"/>
        <v>0</v>
      </c>
      <c r="AI14">
        <f>SUMIFS(banco!AK:AK,banco!$C:$C,$B14,banco!$A:$A,$A14)</f>
        <v>0</v>
      </c>
      <c r="AJ14" s="13">
        <f t="shared" si="16"/>
        <v>0</v>
      </c>
      <c r="AK14">
        <f>SUMIFS(banco!AM:AM,banco!$C:$C,$B14,banco!$A:$A,$A14)</f>
        <v>0</v>
      </c>
      <c r="AL14" s="13">
        <f t="shared" si="17"/>
        <v>0</v>
      </c>
      <c r="AM14">
        <f>SUMIFS(banco!AO:AO,banco!$C:$C,$B14,banco!$A:$A,$A14)</f>
        <v>0</v>
      </c>
      <c r="AN14" s="13">
        <f t="shared" si="18"/>
        <v>0</v>
      </c>
      <c r="AO14">
        <f>SUMIFS(banco!AQ:AQ,banco!$C:$C,$B14,banco!$A:$A,$A14)</f>
        <v>0</v>
      </c>
      <c r="AP14" s="13">
        <f t="shared" si="19"/>
        <v>0</v>
      </c>
      <c r="AQ14">
        <f>SUMIFS(banco!AS:AS,banco!$C:$C,$B14,banco!$A:$A,$A14)</f>
        <v>0</v>
      </c>
      <c r="AR14" s="13">
        <f t="shared" si="20"/>
        <v>0</v>
      </c>
      <c r="AS14">
        <f>SUMIFS(banco!AU:AU,banco!$C:$C,$B14,banco!$A:$A,$A14)</f>
        <v>0</v>
      </c>
      <c r="AT14" s="13">
        <f t="shared" si="21"/>
        <v>0</v>
      </c>
      <c r="AU14">
        <f>SUMIFS(banco!AW:AW,banco!$C:$C,$B14,banco!$A:$A,$A14)</f>
        <v>0</v>
      </c>
      <c r="AV14" s="13">
        <f t="shared" si="22"/>
        <v>0</v>
      </c>
      <c r="AW14">
        <f>SUMIFS(banco!AY:AY,banco!$C:$C,$B14,banco!$A:$A,$A14)</f>
        <v>0</v>
      </c>
      <c r="AX14" s="13">
        <f t="shared" si="23"/>
        <v>0</v>
      </c>
      <c r="AY14">
        <f>SUMIFS(banco!BA:BA,banco!$C:$C,$B14,banco!$A:$A,$A14)</f>
        <v>0</v>
      </c>
      <c r="AZ14" s="13">
        <f t="shared" si="24"/>
        <v>0</v>
      </c>
      <c r="BA14">
        <f>SUMIFS(banco!BC:BC,banco!$C:$C,$B14,banco!$A:$A,$A14)</f>
        <v>0</v>
      </c>
      <c r="BB14" s="13">
        <f t="shared" si="25"/>
        <v>0</v>
      </c>
      <c r="BC14">
        <f>SUMIFS(banco!BE:BE,banco!$C:$C,$B14,banco!$A:$A,$A14)</f>
        <v>0</v>
      </c>
      <c r="BD14">
        <f>SUMIFS(banco!BF:BF,banco!$C:$C,$B14,banco!$A:$A,$A14)</f>
        <v>0</v>
      </c>
      <c r="BE14">
        <v>12633</v>
      </c>
    </row>
    <row r="15" spans="1:57" x14ac:dyDescent="0.25">
      <c r="A15" s="23">
        <v>2016</v>
      </c>
      <c r="B15" s="22" t="s">
        <v>146</v>
      </c>
      <c r="C15">
        <f>SUMIFS(banco!E:E,banco!$C:$C,$B15,banco!$A:$A,$A15)</f>
        <v>0</v>
      </c>
      <c r="D15" s="13">
        <f t="shared" si="0"/>
        <v>0</v>
      </c>
      <c r="E15">
        <f>SUMIFS(banco!G:G,banco!$C:$C,$B15,banco!$A:$A,$A15)</f>
        <v>0</v>
      </c>
      <c r="F15" s="13">
        <f t="shared" si="1"/>
        <v>0</v>
      </c>
      <c r="G15">
        <f>SUMIFS(banco!I:I,banco!$C:$C,$B15,banco!$A:$A,$A15)</f>
        <v>0</v>
      </c>
      <c r="H15" s="13">
        <f t="shared" si="2"/>
        <v>0</v>
      </c>
      <c r="I15">
        <f>SUMIFS(banco!K:K,banco!$C:$C,$B15,banco!$A:$A,$A15)</f>
        <v>0</v>
      </c>
      <c r="J15" s="13">
        <f t="shared" si="3"/>
        <v>0</v>
      </c>
      <c r="K15">
        <f>SUMIFS(banco!M:M,banco!$C:$C,$B15,banco!$A:$A,$A15)</f>
        <v>0</v>
      </c>
      <c r="L15" s="13">
        <f t="shared" si="4"/>
        <v>0</v>
      </c>
      <c r="M15">
        <f>SUMIFS(banco!O:O,banco!$C:$C,$B15,banco!$A:$A,$A15)</f>
        <v>0</v>
      </c>
      <c r="N15" s="13">
        <f t="shared" si="5"/>
        <v>0</v>
      </c>
      <c r="O15">
        <f>SUMIFS(banco!Q:Q,banco!$C:$C,$B15,banco!$A:$A,$A15)</f>
        <v>0</v>
      </c>
      <c r="P15" s="13">
        <f t="shared" si="6"/>
        <v>0</v>
      </c>
      <c r="Q15">
        <f>SUMIFS(banco!S:S,banco!$C:$C,$B15,banco!$A:$A,$A15)</f>
        <v>0</v>
      </c>
      <c r="R15" s="13">
        <f t="shared" si="7"/>
        <v>0</v>
      </c>
      <c r="S15">
        <f>SUMIFS(banco!U:U,banco!$C:$C,$B15,banco!$A:$A,$A15)</f>
        <v>0</v>
      </c>
      <c r="T15" s="13">
        <f t="shared" si="8"/>
        <v>0</v>
      </c>
      <c r="U15">
        <f>SUMIFS(banco!W:W,banco!$C:$C,$B15,banco!$A:$A,$A15)</f>
        <v>0</v>
      </c>
      <c r="V15" s="13">
        <f t="shared" si="9"/>
        <v>0</v>
      </c>
      <c r="W15">
        <f>SUMIFS(banco!Y:Y,banco!$C:$C,$B15,banco!$A:$A,$A15)</f>
        <v>0</v>
      </c>
      <c r="X15" s="13">
        <f t="shared" si="10"/>
        <v>0</v>
      </c>
      <c r="Y15">
        <f>SUMIFS(banco!AA:AA,banco!$C:$C,$B15,banco!$A:$A,$A15)</f>
        <v>0</v>
      </c>
      <c r="Z15" s="13">
        <f t="shared" si="11"/>
        <v>0</v>
      </c>
      <c r="AA15">
        <f>SUMIFS(banco!AC:AC,banco!$C:$C,$B15,banco!$A:$A,$A15)</f>
        <v>0</v>
      </c>
      <c r="AB15" s="13">
        <f t="shared" si="12"/>
        <v>0</v>
      </c>
      <c r="AC15">
        <f>SUMIFS(banco!AE:AE,banco!$C:$C,$B15,banco!$A:$A,$A15)</f>
        <v>0</v>
      </c>
      <c r="AD15" s="13">
        <f t="shared" si="13"/>
        <v>0</v>
      </c>
      <c r="AE15">
        <f>SUMIFS(banco!AG:AG,banco!$C:$C,$B15,banco!$A:$A,$A15)</f>
        <v>0</v>
      </c>
      <c r="AF15" s="13">
        <f t="shared" si="14"/>
        <v>0</v>
      </c>
      <c r="AG15">
        <f>SUMIFS(banco!AI:AI,banco!$C:$C,$B15,banco!$A:$A,$A15)</f>
        <v>0</v>
      </c>
      <c r="AH15" s="13">
        <f t="shared" si="15"/>
        <v>0</v>
      </c>
      <c r="AI15">
        <f>SUMIFS(banco!AK:AK,banco!$C:$C,$B15,banco!$A:$A,$A15)</f>
        <v>0</v>
      </c>
      <c r="AJ15" s="13">
        <f t="shared" si="16"/>
        <v>0</v>
      </c>
      <c r="AK15">
        <f>SUMIFS(banco!AM:AM,banco!$C:$C,$B15,banco!$A:$A,$A15)</f>
        <v>0</v>
      </c>
      <c r="AL15" s="13">
        <f t="shared" si="17"/>
        <v>0</v>
      </c>
      <c r="AM15">
        <f>SUMIFS(banco!AO:AO,banco!$C:$C,$B15,banco!$A:$A,$A15)</f>
        <v>0</v>
      </c>
      <c r="AN15" s="13">
        <f t="shared" si="18"/>
        <v>0</v>
      </c>
      <c r="AO15">
        <f>SUMIFS(banco!AQ:AQ,banco!$C:$C,$B15,banco!$A:$A,$A15)</f>
        <v>0</v>
      </c>
      <c r="AP15" s="13">
        <f t="shared" si="19"/>
        <v>0</v>
      </c>
      <c r="AQ15">
        <f>SUMIFS(banco!AS:AS,banco!$C:$C,$B15,banco!$A:$A,$A15)</f>
        <v>0</v>
      </c>
      <c r="AR15" s="13">
        <f t="shared" si="20"/>
        <v>0</v>
      </c>
      <c r="AS15">
        <f>SUMIFS(banco!AU:AU,banco!$C:$C,$B15,banco!$A:$A,$A15)</f>
        <v>0</v>
      </c>
      <c r="AT15" s="13">
        <f t="shared" si="21"/>
        <v>0</v>
      </c>
      <c r="AU15">
        <f>SUMIFS(banco!AW:AW,banco!$C:$C,$B15,banco!$A:$A,$A15)</f>
        <v>0</v>
      </c>
      <c r="AV15" s="13">
        <f t="shared" si="22"/>
        <v>0</v>
      </c>
      <c r="AW15">
        <f>SUMIFS(banco!AY:AY,banco!$C:$C,$B15,banco!$A:$A,$A15)</f>
        <v>0</v>
      </c>
      <c r="AX15" s="13">
        <f t="shared" si="23"/>
        <v>0</v>
      </c>
      <c r="AY15">
        <f>SUMIFS(banco!BA:BA,banco!$C:$C,$B15,banco!$A:$A,$A15)</f>
        <v>0</v>
      </c>
      <c r="AZ15" s="13">
        <f t="shared" si="24"/>
        <v>0</v>
      </c>
      <c r="BA15">
        <f>SUMIFS(banco!BC:BC,banco!$C:$C,$B15,banco!$A:$A,$A15)</f>
        <v>0</v>
      </c>
      <c r="BB15" s="13">
        <f t="shared" si="25"/>
        <v>0</v>
      </c>
      <c r="BC15">
        <f>SUMIFS(banco!BE:BE,banco!$C:$C,$B15,banco!$A:$A,$A15)</f>
        <v>0</v>
      </c>
      <c r="BD15">
        <f>SUMIFS(banco!BF:BF,banco!$C:$C,$B15,banco!$A:$A,$A15)</f>
        <v>0</v>
      </c>
      <c r="BE15">
        <v>13489</v>
      </c>
    </row>
    <row r="16" spans="1:57" x14ac:dyDescent="0.25">
      <c r="A16" s="23">
        <v>2016</v>
      </c>
      <c r="B16" s="22" t="s">
        <v>149</v>
      </c>
      <c r="C16">
        <f>SUMIFS(banco!E:E,banco!$C:$C,$B16,banco!$A:$A,$A16)</f>
        <v>0</v>
      </c>
      <c r="D16" s="13">
        <f t="shared" si="0"/>
        <v>0</v>
      </c>
      <c r="E16">
        <f>SUMIFS(banco!G:G,banco!$C:$C,$B16,banco!$A:$A,$A16)</f>
        <v>0</v>
      </c>
      <c r="F16" s="13">
        <f t="shared" si="1"/>
        <v>0</v>
      </c>
      <c r="G16">
        <f>SUMIFS(banco!I:I,banco!$C:$C,$B16,banco!$A:$A,$A16)</f>
        <v>0</v>
      </c>
      <c r="H16" s="13">
        <f t="shared" si="2"/>
        <v>0</v>
      </c>
      <c r="I16">
        <f>SUMIFS(banco!K:K,banco!$C:$C,$B16,banco!$A:$A,$A16)</f>
        <v>0</v>
      </c>
      <c r="J16" s="13">
        <f t="shared" si="3"/>
        <v>0</v>
      </c>
      <c r="K16">
        <f>SUMIFS(banco!M:M,banco!$C:$C,$B16,banco!$A:$A,$A16)</f>
        <v>0</v>
      </c>
      <c r="L16" s="13">
        <f t="shared" si="4"/>
        <v>0</v>
      </c>
      <c r="M16">
        <f>SUMIFS(banco!O:O,banco!$C:$C,$B16,banco!$A:$A,$A16)</f>
        <v>0</v>
      </c>
      <c r="N16" s="13">
        <f t="shared" si="5"/>
        <v>0</v>
      </c>
      <c r="O16">
        <f>SUMIFS(banco!Q:Q,banco!$C:$C,$B16,banco!$A:$A,$A16)</f>
        <v>0</v>
      </c>
      <c r="P16" s="13">
        <f t="shared" si="6"/>
        <v>0</v>
      </c>
      <c r="Q16">
        <f>SUMIFS(banco!S:S,banco!$C:$C,$B16,banco!$A:$A,$A16)</f>
        <v>0</v>
      </c>
      <c r="R16" s="13">
        <f t="shared" si="7"/>
        <v>0</v>
      </c>
      <c r="S16">
        <f>SUMIFS(banco!U:U,banco!$C:$C,$B16,banco!$A:$A,$A16)</f>
        <v>0</v>
      </c>
      <c r="T16" s="13">
        <f t="shared" si="8"/>
        <v>0</v>
      </c>
      <c r="U16">
        <f>SUMIFS(banco!W:W,banco!$C:$C,$B16,banco!$A:$A,$A16)</f>
        <v>0</v>
      </c>
      <c r="V16" s="13">
        <f t="shared" si="9"/>
        <v>0</v>
      </c>
      <c r="W16">
        <f>SUMIFS(banco!Y:Y,banco!$C:$C,$B16,banco!$A:$A,$A16)</f>
        <v>0</v>
      </c>
      <c r="X16" s="13">
        <f t="shared" si="10"/>
        <v>0</v>
      </c>
      <c r="Y16">
        <f>SUMIFS(banco!AA:AA,banco!$C:$C,$B16,banco!$A:$A,$A16)</f>
        <v>0</v>
      </c>
      <c r="Z16" s="13">
        <f t="shared" si="11"/>
        <v>0</v>
      </c>
      <c r="AA16">
        <f>SUMIFS(banco!AC:AC,banco!$C:$C,$B16,banco!$A:$A,$A16)</f>
        <v>0</v>
      </c>
      <c r="AB16" s="13">
        <f t="shared" si="12"/>
        <v>0</v>
      </c>
      <c r="AC16">
        <f>SUMIFS(banco!AE:AE,banco!$C:$C,$B16,banco!$A:$A,$A16)</f>
        <v>0</v>
      </c>
      <c r="AD16" s="13">
        <f t="shared" si="13"/>
        <v>0</v>
      </c>
      <c r="AE16">
        <f>SUMIFS(banco!AG:AG,banco!$C:$C,$B16,banco!$A:$A,$A16)</f>
        <v>0</v>
      </c>
      <c r="AF16" s="13">
        <f t="shared" si="14"/>
        <v>0</v>
      </c>
      <c r="AG16">
        <f>SUMIFS(banco!AI:AI,banco!$C:$C,$B16,banco!$A:$A,$A16)</f>
        <v>0</v>
      </c>
      <c r="AH16" s="13">
        <f t="shared" si="15"/>
        <v>0</v>
      </c>
      <c r="AI16">
        <f>SUMIFS(banco!AK:AK,banco!$C:$C,$B16,banco!$A:$A,$A16)</f>
        <v>0</v>
      </c>
      <c r="AJ16" s="13">
        <f t="shared" si="16"/>
        <v>0</v>
      </c>
      <c r="AK16">
        <f>SUMIFS(banco!AM:AM,banco!$C:$C,$B16,banco!$A:$A,$A16)</f>
        <v>0</v>
      </c>
      <c r="AL16" s="13">
        <f t="shared" si="17"/>
        <v>0</v>
      </c>
      <c r="AM16">
        <f>SUMIFS(banco!AO:AO,banco!$C:$C,$B16,banco!$A:$A,$A16)</f>
        <v>0</v>
      </c>
      <c r="AN16" s="13">
        <f t="shared" si="18"/>
        <v>0</v>
      </c>
      <c r="AO16">
        <f>SUMIFS(banco!AQ:AQ,banco!$C:$C,$B16,banco!$A:$A,$A16)</f>
        <v>0</v>
      </c>
      <c r="AP16" s="13">
        <f t="shared" si="19"/>
        <v>0</v>
      </c>
      <c r="AQ16">
        <f>SUMIFS(banco!AS:AS,banco!$C:$C,$B16,banco!$A:$A,$A16)</f>
        <v>0</v>
      </c>
      <c r="AR16" s="13">
        <f t="shared" si="20"/>
        <v>0</v>
      </c>
      <c r="AS16">
        <f>SUMIFS(banco!AU:AU,banco!$C:$C,$B16,banco!$A:$A,$A16)</f>
        <v>0</v>
      </c>
      <c r="AT16" s="13">
        <f t="shared" si="21"/>
        <v>0</v>
      </c>
      <c r="AU16">
        <f>SUMIFS(banco!AW:AW,banco!$C:$C,$B16,banco!$A:$A,$A16)</f>
        <v>0</v>
      </c>
      <c r="AV16" s="13">
        <f t="shared" si="22"/>
        <v>0</v>
      </c>
      <c r="AW16">
        <f>SUMIFS(banco!AY:AY,banco!$C:$C,$B16,banco!$A:$A,$A16)</f>
        <v>0</v>
      </c>
      <c r="AX16" s="13">
        <f t="shared" si="23"/>
        <v>0</v>
      </c>
      <c r="AY16">
        <f>SUMIFS(banco!BA:BA,banco!$C:$C,$B16,banco!$A:$A,$A16)</f>
        <v>0</v>
      </c>
      <c r="AZ16" s="13">
        <f t="shared" si="24"/>
        <v>0</v>
      </c>
      <c r="BA16">
        <f>SUMIFS(banco!BC:BC,banco!$C:$C,$B16,banco!$A:$A,$A16)</f>
        <v>0</v>
      </c>
      <c r="BB16" s="13">
        <f t="shared" si="25"/>
        <v>0</v>
      </c>
      <c r="BC16">
        <f>SUMIFS(banco!BE:BE,banco!$C:$C,$B16,banco!$A:$A,$A16)</f>
        <v>0</v>
      </c>
      <c r="BD16">
        <f>SUMIFS(banco!BF:BF,banco!$C:$C,$B16,banco!$A:$A,$A16)</f>
        <v>0</v>
      </c>
      <c r="BE16">
        <v>23625</v>
      </c>
    </row>
    <row r="17" spans="1:57" x14ac:dyDescent="0.25">
      <c r="A17" s="23">
        <v>2016</v>
      </c>
      <c r="B17" s="22" t="s">
        <v>147</v>
      </c>
      <c r="C17">
        <f>SUMIFS(banco!E:E,banco!$C:$C,$B17,banco!$A:$A,$A17)</f>
        <v>0</v>
      </c>
      <c r="D17" s="13">
        <f t="shared" si="0"/>
        <v>0</v>
      </c>
      <c r="E17">
        <f>SUMIFS(banco!G:G,banco!$C:$C,$B17,banco!$A:$A,$A17)</f>
        <v>0</v>
      </c>
      <c r="F17" s="13">
        <f t="shared" si="1"/>
        <v>0</v>
      </c>
      <c r="G17">
        <f>SUMIFS(banco!I:I,banco!$C:$C,$B17,banco!$A:$A,$A17)</f>
        <v>0</v>
      </c>
      <c r="H17" s="13">
        <f t="shared" si="2"/>
        <v>0</v>
      </c>
      <c r="I17">
        <f>SUMIFS(banco!K:K,banco!$C:$C,$B17,banco!$A:$A,$A17)</f>
        <v>0</v>
      </c>
      <c r="J17" s="13">
        <f t="shared" si="3"/>
        <v>0</v>
      </c>
      <c r="K17">
        <f>SUMIFS(banco!M:M,banco!$C:$C,$B17,banco!$A:$A,$A17)</f>
        <v>0</v>
      </c>
      <c r="L17" s="13">
        <f t="shared" si="4"/>
        <v>0</v>
      </c>
      <c r="M17">
        <f>SUMIFS(banco!O:O,banco!$C:$C,$B17,banco!$A:$A,$A17)</f>
        <v>0</v>
      </c>
      <c r="N17" s="13">
        <f t="shared" si="5"/>
        <v>0</v>
      </c>
      <c r="O17">
        <f>SUMIFS(banco!Q:Q,banco!$C:$C,$B17,banco!$A:$A,$A17)</f>
        <v>0</v>
      </c>
      <c r="P17" s="13">
        <f t="shared" si="6"/>
        <v>0</v>
      </c>
      <c r="Q17">
        <f>SUMIFS(banco!S:S,banco!$C:$C,$B17,banco!$A:$A,$A17)</f>
        <v>0</v>
      </c>
      <c r="R17" s="13">
        <f t="shared" si="7"/>
        <v>0</v>
      </c>
      <c r="S17">
        <f>SUMIFS(banco!U:U,banco!$C:$C,$B17,banco!$A:$A,$A17)</f>
        <v>0</v>
      </c>
      <c r="T17" s="13">
        <f t="shared" si="8"/>
        <v>0</v>
      </c>
      <c r="U17">
        <f>SUMIFS(banco!W:W,banco!$C:$C,$B17,banco!$A:$A,$A17)</f>
        <v>0</v>
      </c>
      <c r="V17" s="13">
        <f t="shared" si="9"/>
        <v>0</v>
      </c>
      <c r="W17">
        <f>SUMIFS(banco!Y:Y,banco!$C:$C,$B17,banco!$A:$A,$A17)</f>
        <v>0</v>
      </c>
      <c r="X17" s="13">
        <f t="shared" si="10"/>
        <v>0</v>
      </c>
      <c r="Y17">
        <f>SUMIFS(banco!AA:AA,banco!$C:$C,$B17,banco!$A:$A,$A17)</f>
        <v>0</v>
      </c>
      <c r="Z17" s="13">
        <f t="shared" si="11"/>
        <v>0</v>
      </c>
      <c r="AA17">
        <f>SUMIFS(banco!AC:AC,banco!$C:$C,$B17,banco!$A:$A,$A17)</f>
        <v>0</v>
      </c>
      <c r="AB17" s="13">
        <f t="shared" si="12"/>
        <v>0</v>
      </c>
      <c r="AC17">
        <f>SUMIFS(banco!AE:AE,banco!$C:$C,$B17,banco!$A:$A,$A17)</f>
        <v>0</v>
      </c>
      <c r="AD17" s="13">
        <f t="shared" si="13"/>
        <v>0</v>
      </c>
      <c r="AE17">
        <f>SUMIFS(banco!AG:AG,banco!$C:$C,$B17,banco!$A:$A,$A17)</f>
        <v>0</v>
      </c>
      <c r="AF17" s="13">
        <f t="shared" si="14"/>
        <v>0</v>
      </c>
      <c r="AG17">
        <f>SUMIFS(banco!AI:AI,banco!$C:$C,$B17,banco!$A:$A,$A17)</f>
        <v>0</v>
      </c>
      <c r="AH17" s="13">
        <f t="shared" si="15"/>
        <v>0</v>
      </c>
      <c r="AI17">
        <f>SUMIFS(banco!AK:AK,banco!$C:$C,$B17,banco!$A:$A,$A17)</f>
        <v>0</v>
      </c>
      <c r="AJ17" s="13">
        <f t="shared" si="16"/>
        <v>0</v>
      </c>
      <c r="AK17">
        <f>SUMIFS(banco!AM:AM,banco!$C:$C,$B17,banco!$A:$A,$A17)</f>
        <v>0</v>
      </c>
      <c r="AL17" s="13">
        <f t="shared" si="17"/>
        <v>0</v>
      </c>
      <c r="AM17">
        <f>SUMIFS(banco!AO:AO,banco!$C:$C,$B17,banco!$A:$A,$A17)</f>
        <v>0</v>
      </c>
      <c r="AN17" s="13">
        <f t="shared" si="18"/>
        <v>0</v>
      </c>
      <c r="AO17">
        <f>SUMIFS(banco!AQ:AQ,banco!$C:$C,$B17,banco!$A:$A,$A17)</f>
        <v>0</v>
      </c>
      <c r="AP17" s="13">
        <f t="shared" si="19"/>
        <v>0</v>
      </c>
      <c r="AQ17">
        <f>SUMIFS(banco!AS:AS,banco!$C:$C,$B17,banco!$A:$A,$A17)</f>
        <v>0</v>
      </c>
      <c r="AR17" s="13">
        <f t="shared" si="20"/>
        <v>0</v>
      </c>
      <c r="AS17">
        <f>SUMIFS(banco!AU:AU,banco!$C:$C,$B17,banco!$A:$A,$A17)</f>
        <v>0</v>
      </c>
      <c r="AT17" s="13">
        <f t="shared" si="21"/>
        <v>0</v>
      </c>
      <c r="AU17">
        <f>SUMIFS(banco!AW:AW,banco!$C:$C,$B17,banco!$A:$A,$A17)</f>
        <v>0</v>
      </c>
      <c r="AV17" s="13">
        <f t="shared" si="22"/>
        <v>0</v>
      </c>
      <c r="AW17">
        <f>SUMIFS(banco!AY:AY,banco!$C:$C,$B17,banco!$A:$A,$A17)</f>
        <v>0</v>
      </c>
      <c r="AX17" s="13">
        <f t="shared" si="23"/>
        <v>0</v>
      </c>
      <c r="AY17">
        <f>SUMIFS(banco!BA:BA,banco!$C:$C,$B17,banco!$A:$A,$A17)</f>
        <v>0</v>
      </c>
      <c r="AZ17" s="13">
        <f t="shared" si="24"/>
        <v>0</v>
      </c>
      <c r="BA17">
        <f>SUMIFS(banco!BC:BC,banco!$C:$C,$B17,banco!$A:$A,$A17)</f>
        <v>0</v>
      </c>
      <c r="BB17" s="13">
        <f t="shared" si="25"/>
        <v>0</v>
      </c>
      <c r="BC17">
        <f>SUMIFS(banco!BE:BE,banco!$C:$C,$B17,banco!$A:$A,$A17)</f>
        <v>0</v>
      </c>
      <c r="BD17">
        <f>SUMIFS(banco!BF:BF,banco!$C:$C,$B17,banco!$A:$A,$A17)</f>
        <v>0</v>
      </c>
      <c r="BE17">
        <v>7949</v>
      </c>
    </row>
    <row r="18" spans="1:57" x14ac:dyDescent="0.25">
      <c r="A18" s="23">
        <v>2017</v>
      </c>
      <c r="B18" s="22" t="s">
        <v>151</v>
      </c>
      <c r="C18">
        <f>SUMIFS(banco!E:E,banco!$C:$C,$B18,banco!$A:$A,$A18)</f>
        <v>0</v>
      </c>
      <c r="D18" s="13">
        <f t="shared" si="0"/>
        <v>0</v>
      </c>
      <c r="E18">
        <f>SUMIFS(banco!G:G,banco!$C:$C,$B18,banco!$A:$A,$A18)</f>
        <v>0</v>
      </c>
      <c r="F18" s="13">
        <f t="shared" si="1"/>
        <v>0</v>
      </c>
      <c r="G18">
        <f>SUMIFS(banco!I:I,banco!$C:$C,$B18,banco!$A:$A,$A18)</f>
        <v>0</v>
      </c>
      <c r="H18" s="13">
        <f t="shared" si="2"/>
        <v>0</v>
      </c>
      <c r="I18">
        <f>SUMIFS(banco!K:K,banco!$C:$C,$B18,banco!$A:$A,$A18)</f>
        <v>0</v>
      </c>
      <c r="J18" s="13">
        <f t="shared" si="3"/>
        <v>0</v>
      </c>
      <c r="K18">
        <f>SUMIFS(banco!M:M,banco!$C:$C,$B18,banco!$A:$A,$A18)</f>
        <v>0</v>
      </c>
      <c r="L18" s="13">
        <f t="shared" si="4"/>
        <v>0</v>
      </c>
      <c r="M18">
        <f>SUMIFS(banco!O:O,banco!$C:$C,$B18,banco!$A:$A,$A18)</f>
        <v>0</v>
      </c>
      <c r="N18" s="13">
        <f t="shared" si="5"/>
        <v>0</v>
      </c>
      <c r="O18">
        <f>SUMIFS(banco!Q:Q,banco!$C:$C,$B18,banco!$A:$A,$A18)</f>
        <v>0</v>
      </c>
      <c r="P18" s="13">
        <f t="shared" si="6"/>
        <v>0</v>
      </c>
      <c r="Q18">
        <f>SUMIFS(banco!S:S,banco!$C:$C,$B18,banco!$A:$A,$A18)</f>
        <v>0</v>
      </c>
      <c r="R18" s="13">
        <f t="shared" si="7"/>
        <v>0</v>
      </c>
      <c r="S18">
        <f>SUMIFS(banco!U:U,banco!$C:$C,$B18,banco!$A:$A,$A18)</f>
        <v>0</v>
      </c>
      <c r="T18" s="13">
        <f t="shared" si="8"/>
        <v>0</v>
      </c>
      <c r="U18">
        <f>SUMIFS(banco!W:W,banco!$C:$C,$B18,banco!$A:$A,$A18)</f>
        <v>0</v>
      </c>
      <c r="V18" s="13">
        <f t="shared" si="9"/>
        <v>0</v>
      </c>
      <c r="W18">
        <f>SUMIFS(banco!Y:Y,banco!$C:$C,$B18,banco!$A:$A,$A18)</f>
        <v>0</v>
      </c>
      <c r="X18" s="13">
        <f t="shared" si="10"/>
        <v>0</v>
      </c>
      <c r="Y18">
        <f>SUMIFS(banco!AA:AA,banco!$C:$C,$B18,banco!$A:$A,$A18)</f>
        <v>0</v>
      </c>
      <c r="Z18" s="13">
        <f t="shared" si="11"/>
        <v>0</v>
      </c>
      <c r="AA18">
        <f>SUMIFS(banco!AC:AC,banco!$C:$C,$B18,banco!$A:$A,$A18)</f>
        <v>0</v>
      </c>
      <c r="AB18" s="13">
        <f t="shared" si="12"/>
        <v>0</v>
      </c>
      <c r="AC18">
        <f>SUMIFS(banco!AE:AE,banco!$C:$C,$B18,banco!$A:$A,$A18)</f>
        <v>0</v>
      </c>
      <c r="AD18" s="13">
        <f t="shared" si="13"/>
        <v>0</v>
      </c>
      <c r="AE18">
        <f>SUMIFS(banco!AG:AG,banco!$C:$C,$B18,banco!$A:$A,$A18)</f>
        <v>0</v>
      </c>
      <c r="AF18" s="13">
        <f t="shared" si="14"/>
        <v>0</v>
      </c>
      <c r="AG18">
        <f>SUMIFS(banco!AI:AI,banco!$C:$C,$B18,banco!$A:$A,$A18)</f>
        <v>0</v>
      </c>
      <c r="AH18" s="13">
        <f t="shared" si="15"/>
        <v>0</v>
      </c>
      <c r="AI18">
        <f>SUMIFS(banco!AK:AK,banco!$C:$C,$B18,banco!$A:$A,$A18)</f>
        <v>0</v>
      </c>
      <c r="AJ18" s="13">
        <f t="shared" si="16"/>
        <v>0</v>
      </c>
      <c r="AK18">
        <f>SUMIFS(banco!AM:AM,banco!$C:$C,$B18,banco!$A:$A,$A18)</f>
        <v>0</v>
      </c>
      <c r="AL18" s="13">
        <f t="shared" si="17"/>
        <v>0</v>
      </c>
      <c r="AM18">
        <f>SUMIFS(banco!AO:AO,banco!$C:$C,$B18,banco!$A:$A,$A18)</f>
        <v>0</v>
      </c>
      <c r="AN18" s="13">
        <f t="shared" si="18"/>
        <v>0</v>
      </c>
      <c r="AO18">
        <f>SUMIFS(banco!AQ:AQ,banco!$C:$C,$B18,banco!$A:$A,$A18)</f>
        <v>0</v>
      </c>
      <c r="AP18" s="13">
        <f t="shared" si="19"/>
        <v>0</v>
      </c>
      <c r="AQ18">
        <f>SUMIFS(banco!AS:AS,banco!$C:$C,$B18,banco!$A:$A,$A18)</f>
        <v>0</v>
      </c>
      <c r="AR18" s="13">
        <f t="shared" si="20"/>
        <v>0</v>
      </c>
      <c r="AS18">
        <f>SUMIFS(banco!AU:AU,banco!$C:$C,$B18,banco!$A:$A,$A18)</f>
        <v>0</v>
      </c>
      <c r="AT18" s="13">
        <f t="shared" si="21"/>
        <v>0</v>
      </c>
      <c r="AU18">
        <f>SUMIFS(banco!AW:AW,banco!$C:$C,$B18,banco!$A:$A,$A18)</f>
        <v>0</v>
      </c>
      <c r="AV18" s="13">
        <f t="shared" si="22"/>
        <v>0</v>
      </c>
      <c r="AW18">
        <f>SUMIFS(banco!AY:AY,banco!$C:$C,$B18,banco!$A:$A,$A18)</f>
        <v>0</v>
      </c>
      <c r="AX18" s="13">
        <f t="shared" si="23"/>
        <v>0</v>
      </c>
      <c r="AY18">
        <f>SUMIFS(banco!BA:BA,banco!$C:$C,$B18,banco!$A:$A,$A18)</f>
        <v>0</v>
      </c>
      <c r="AZ18" s="13">
        <f t="shared" si="24"/>
        <v>0</v>
      </c>
      <c r="BA18">
        <f>SUMIFS(banco!BC:BC,banco!$C:$C,$B18,banco!$A:$A,$A18)</f>
        <v>0</v>
      </c>
      <c r="BB18" s="13">
        <f t="shared" si="25"/>
        <v>0</v>
      </c>
      <c r="BC18">
        <f>SUMIFS(banco!BE:BE,banco!$C:$C,$B18,banco!$A:$A,$A18)</f>
        <v>0</v>
      </c>
      <c r="BD18">
        <f>SUMIFS(banco!BF:BF,banco!$C:$C,$B18,banco!$A:$A,$A18)</f>
        <v>0</v>
      </c>
      <c r="BE18">
        <v>9763</v>
      </c>
    </row>
    <row r="19" spans="1:57" x14ac:dyDescent="0.25">
      <c r="A19" s="23">
        <v>2017</v>
      </c>
      <c r="B19" s="22" t="s">
        <v>145</v>
      </c>
      <c r="C19">
        <f>SUMIFS(banco!E:E,banco!$C:$C,$B19,banco!$A:$A,$A19)</f>
        <v>0</v>
      </c>
      <c r="D19" s="13">
        <f t="shared" si="0"/>
        <v>0</v>
      </c>
      <c r="E19">
        <f>SUMIFS(banco!G:G,banco!$C:$C,$B19,banco!$A:$A,$A19)</f>
        <v>0</v>
      </c>
      <c r="F19" s="13">
        <f t="shared" si="1"/>
        <v>0</v>
      </c>
      <c r="G19">
        <f>SUMIFS(banco!I:I,banco!$C:$C,$B19,banco!$A:$A,$A19)</f>
        <v>0</v>
      </c>
      <c r="H19" s="13">
        <f t="shared" si="2"/>
        <v>0</v>
      </c>
      <c r="I19">
        <f>SUMIFS(banco!K:K,banco!$C:$C,$B19,banco!$A:$A,$A19)</f>
        <v>0</v>
      </c>
      <c r="J19" s="13">
        <f t="shared" si="3"/>
        <v>0</v>
      </c>
      <c r="K19">
        <f>SUMIFS(banco!M:M,banco!$C:$C,$B19,banco!$A:$A,$A19)</f>
        <v>0</v>
      </c>
      <c r="L19" s="13">
        <f t="shared" si="4"/>
        <v>0</v>
      </c>
      <c r="M19">
        <f>SUMIFS(banco!O:O,banco!$C:$C,$B19,banco!$A:$A,$A19)</f>
        <v>0</v>
      </c>
      <c r="N19" s="13">
        <f t="shared" si="5"/>
        <v>0</v>
      </c>
      <c r="O19">
        <f>SUMIFS(banco!Q:Q,banco!$C:$C,$B19,banco!$A:$A,$A19)</f>
        <v>0</v>
      </c>
      <c r="P19" s="13">
        <f t="shared" si="6"/>
        <v>0</v>
      </c>
      <c r="Q19">
        <f>SUMIFS(banco!S:S,banco!$C:$C,$B19,banco!$A:$A,$A19)</f>
        <v>0</v>
      </c>
      <c r="R19" s="13">
        <f t="shared" si="7"/>
        <v>0</v>
      </c>
      <c r="S19">
        <f>SUMIFS(banco!U:U,banco!$C:$C,$B19,banco!$A:$A,$A19)</f>
        <v>0</v>
      </c>
      <c r="T19" s="13">
        <f t="shared" si="8"/>
        <v>0</v>
      </c>
      <c r="U19">
        <f>SUMIFS(banco!W:W,banco!$C:$C,$B19,banco!$A:$A,$A19)</f>
        <v>0</v>
      </c>
      <c r="V19" s="13">
        <f t="shared" si="9"/>
        <v>0</v>
      </c>
      <c r="W19">
        <f>SUMIFS(banco!Y:Y,banco!$C:$C,$B19,banco!$A:$A,$A19)</f>
        <v>0</v>
      </c>
      <c r="X19" s="13">
        <f t="shared" si="10"/>
        <v>0</v>
      </c>
      <c r="Y19">
        <f>SUMIFS(banco!AA:AA,banco!$C:$C,$B19,banco!$A:$A,$A19)</f>
        <v>0</v>
      </c>
      <c r="Z19" s="13">
        <f t="shared" si="11"/>
        <v>0</v>
      </c>
      <c r="AA19">
        <f>SUMIFS(banco!AC:AC,banco!$C:$C,$B19,banco!$A:$A,$A19)</f>
        <v>0</v>
      </c>
      <c r="AB19" s="13">
        <f t="shared" si="12"/>
        <v>0</v>
      </c>
      <c r="AC19">
        <f>SUMIFS(banco!AE:AE,banco!$C:$C,$B19,banco!$A:$A,$A19)</f>
        <v>0</v>
      </c>
      <c r="AD19" s="13">
        <f t="shared" si="13"/>
        <v>0</v>
      </c>
      <c r="AE19">
        <f>SUMIFS(banco!AG:AG,banco!$C:$C,$B19,banco!$A:$A,$A19)</f>
        <v>0</v>
      </c>
      <c r="AF19" s="13">
        <f t="shared" si="14"/>
        <v>0</v>
      </c>
      <c r="AG19">
        <f>SUMIFS(banco!AI:AI,banco!$C:$C,$B19,banco!$A:$A,$A19)</f>
        <v>0</v>
      </c>
      <c r="AH19" s="13">
        <f t="shared" si="15"/>
        <v>0</v>
      </c>
      <c r="AI19">
        <f>SUMIFS(banco!AK:AK,banco!$C:$C,$B19,banco!$A:$A,$A19)</f>
        <v>0</v>
      </c>
      <c r="AJ19" s="13">
        <f t="shared" si="16"/>
        <v>0</v>
      </c>
      <c r="AK19">
        <f>SUMIFS(banco!AM:AM,banco!$C:$C,$B19,banco!$A:$A,$A19)</f>
        <v>0</v>
      </c>
      <c r="AL19" s="13">
        <f t="shared" si="17"/>
        <v>0</v>
      </c>
      <c r="AM19">
        <f>SUMIFS(banco!AO:AO,banco!$C:$C,$B19,banco!$A:$A,$A19)</f>
        <v>0</v>
      </c>
      <c r="AN19" s="13">
        <f t="shared" si="18"/>
        <v>0</v>
      </c>
      <c r="AO19">
        <f>SUMIFS(banco!AQ:AQ,banco!$C:$C,$B19,banco!$A:$A,$A19)</f>
        <v>0</v>
      </c>
      <c r="AP19" s="13">
        <f t="shared" si="19"/>
        <v>0</v>
      </c>
      <c r="AQ19">
        <f>SUMIFS(banco!AS:AS,banco!$C:$C,$B19,banco!$A:$A,$A19)</f>
        <v>0</v>
      </c>
      <c r="AR19" s="13">
        <f t="shared" si="20"/>
        <v>0</v>
      </c>
      <c r="AS19">
        <f>SUMIFS(banco!AU:AU,banco!$C:$C,$B19,banco!$A:$A,$A19)</f>
        <v>0</v>
      </c>
      <c r="AT19" s="13">
        <f t="shared" si="21"/>
        <v>0</v>
      </c>
      <c r="AU19">
        <f>SUMIFS(banco!AW:AW,banco!$C:$C,$B19,banco!$A:$A,$A19)</f>
        <v>0</v>
      </c>
      <c r="AV19" s="13">
        <f t="shared" si="22"/>
        <v>0</v>
      </c>
      <c r="AW19">
        <f>SUMIFS(banco!AY:AY,banco!$C:$C,$B19,banco!$A:$A,$A19)</f>
        <v>0</v>
      </c>
      <c r="AX19" s="13">
        <f t="shared" si="23"/>
        <v>0</v>
      </c>
      <c r="AY19">
        <f>SUMIFS(banco!BA:BA,banco!$C:$C,$B19,banco!$A:$A,$A19)</f>
        <v>0</v>
      </c>
      <c r="AZ19" s="13">
        <f t="shared" si="24"/>
        <v>0</v>
      </c>
      <c r="BA19">
        <f>SUMIFS(banco!BC:BC,banco!$C:$C,$B19,banco!$A:$A,$A19)</f>
        <v>0</v>
      </c>
      <c r="BB19" s="13">
        <f t="shared" si="25"/>
        <v>0</v>
      </c>
      <c r="BC19">
        <f>SUMIFS(banco!BE:BE,banco!$C:$C,$B19,banco!$A:$A,$A19)</f>
        <v>0</v>
      </c>
      <c r="BD19">
        <f>SUMIFS(banco!BF:BF,banco!$C:$C,$B19,banco!$A:$A,$A19)</f>
        <v>0</v>
      </c>
      <c r="BE19">
        <v>18401</v>
      </c>
    </row>
    <row r="20" spans="1:57" x14ac:dyDescent="0.25">
      <c r="A20" s="23">
        <v>2017</v>
      </c>
      <c r="B20" s="22" t="s">
        <v>144</v>
      </c>
      <c r="C20">
        <f>SUMIFS(banco!E:E,banco!$C:$C,$B20,banco!$A:$A,$A20)</f>
        <v>0</v>
      </c>
      <c r="D20" s="13">
        <f t="shared" si="0"/>
        <v>0</v>
      </c>
      <c r="E20">
        <f>SUMIFS(banco!G:G,banco!$C:$C,$B20,banco!$A:$A,$A20)</f>
        <v>0</v>
      </c>
      <c r="F20" s="13">
        <f t="shared" si="1"/>
        <v>0</v>
      </c>
      <c r="G20">
        <f>SUMIFS(banco!I:I,banco!$C:$C,$B20,banco!$A:$A,$A20)</f>
        <v>0</v>
      </c>
      <c r="H20" s="13">
        <f t="shared" si="2"/>
        <v>0</v>
      </c>
      <c r="I20">
        <f>SUMIFS(banco!K:K,banco!$C:$C,$B20,banco!$A:$A,$A20)</f>
        <v>0</v>
      </c>
      <c r="J20" s="13">
        <f t="shared" si="3"/>
        <v>0</v>
      </c>
      <c r="K20">
        <f>SUMIFS(banco!M:M,banco!$C:$C,$B20,banco!$A:$A,$A20)</f>
        <v>0</v>
      </c>
      <c r="L20" s="13">
        <f t="shared" si="4"/>
        <v>0</v>
      </c>
      <c r="M20">
        <f>SUMIFS(banco!O:O,banco!$C:$C,$B20,banco!$A:$A,$A20)</f>
        <v>0</v>
      </c>
      <c r="N20" s="13">
        <f t="shared" si="5"/>
        <v>0</v>
      </c>
      <c r="O20">
        <f>SUMIFS(banco!Q:Q,banco!$C:$C,$B20,banco!$A:$A,$A20)</f>
        <v>0</v>
      </c>
      <c r="P20" s="13">
        <f t="shared" si="6"/>
        <v>0</v>
      </c>
      <c r="Q20">
        <f>SUMIFS(banco!S:S,banco!$C:$C,$B20,banco!$A:$A,$A20)</f>
        <v>0</v>
      </c>
      <c r="R20" s="13">
        <f t="shared" si="7"/>
        <v>0</v>
      </c>
      <c r="S20">
        <f>SUMIFS(banco!U:U,banco!$C:$C,$B20,banco!$A:$A,$A20)</f>
        <v>0</v>
      </c>
      <c r="T20" s="13">
        <f t="shared" si="8"/>
        <v>0</v>
      </c>
      <c r="U20">
        <f>SUMIFS(banco!W:W,banco!$C:$C,$B20,banco!$A:$A,$A20)</f>
        <v>0</v>
      </c>
      <c r="V20" s="13">
        <f t="shared" si="9"/>
        <v>0</v>
      </c>
      <c r="W20">
        <f>SUMIFS(banco!Y:Y,banco!$C:$C,$B20,banco!$A:$A,$A20)</f>
        <v>0</v>
      </c>
      <c r="X20" s="13">
        <f t="shared" si="10"/>
        <v>0</v>
      </c>
      <c r="Y20">
        <f>SUMIFS(banco!AA:AA,banco!$C:$C,$B20,banco!$A:$A,$A20)</f>
        <v>0</v>
      </c>
      <c r="Z20" s="13">
        <f t="shared" si="11"/>
        <v>0</v>
      </c>
      <c r="AA20">
        <f>SUMIFS(banco!AC:AC,banco!$C:$C,$B20,banco!$A:$A,$A20)</f>
        <v>0</v>
      </c>
      <c r="AB20" s="13">
        <f t="shared" si="12"/>
        <v>0</v>
      </c>
      <c r="AC20">
        <f>SUMIFS(banco!AE:AE,banco!$C:$C,$B20,banco!$A:$A,$A20)</f>
        <v>0</v>
      </c>
      <c r="AD20" s="13">
        <f t="shared" si="13"/>
        <v>0</v>
      </c>
      <c r="AE20">
        <f>SUMIFS(banco!AG:AG,banco!$C:$C,$B20,banco!$A:$A,$A20)</f>
        <v>0</v>
      </c>
      <c r="AF20" s="13">
        <f t="shared" si="14"/>
        <v>0</v>
      </c>
      <c r="AG20">
        <f>SUMIFS(banco!AI:AI,banco!$C:$C,$B20,banco!$A:$A,$A20)</f>
        <v>0</v>
      </c>
      <c r="AH20" s="13">
        <f t="shared" si="15"/>
        <v>0</v>
      </c>
      <c r="AI20">
        <f>SUMIFS(banco!AK:AK,banco!$C:$C,$B20,banco!$A:$A,$A20)</f>
        <v>0</v>
      </c>
      <c r="AJ20" s="13">
        <f t="shared" si="16"/>
        <v>0</v>
      </c>
      <c r="AK20">
        <f>SUMIFS(banco!AM:AM,banco!$C:$C,$B20,banco!$A:$A,$A20)</f>
        <v>0</v>
      </c>
      <c r="AL20" s="13">
        <f t="shared" si="17"/>
        <v>0</v>
      </c>
      <c r="AM20">
        <f>SUMIFS(banco!AO:AO,banco!$C:$C,$B20,banco!$A:$A,$A20)</f>
        <v>0</v>
      </c>
      <c r="AN20" s="13">
        <f t="shared" si="18"/>
        <v>0</v>
      </c>
      <c r="AO20">
        <f>SUMIFS(banco!AQ:AQ,banco!$C:$C,$B20,banco!$A:$A,$A20)</f>
        <v>0</v>
      </c>
      <c r="AP20" s="13">
        <f t="shared" si="19"/>
        <v>0</v>
      </c>
      <c r="AQ20">
        <f>SUMIFS(banco!AS:AS,banco!$C:$C,$B20,banco!$A:$A,$A20)</f>
        <v>0</v>
      </c>
      <c r="AR20" s="13">
        <f t="shared" si="20"/>
        <v>0</v>
      </c>
      <c r="AS20">
        <f>SUMIFS(banco!AU:AU,banco!$C:$C,$B20,banco!$A:$A,$A20)</f>
        <v>0</v>
      </c>
      <c r="AT20" s="13">
        <f t="shared" si="21"/>
        <v>0</v>
      </c>
      <c r="AU20">
        <f>SUMIFS(banco!AW:AW,banco!$C:$C,$B20,banco!$A:$A,$A20)</f>
        <v>0</v>
      </c>
      <c r="AV20" s="13">
        <f t="shared" si="22"/>
        <v>0</v>
      </c>
      <c r="AW20">
        <f>SUMIFS(banco!AY:AY,banco!$C:$C,$B20,banco!$A:$A,$A20)</f>
        <v>0</v>
      </c>
      <c r="AX20" s="13">
        <f t="shared" si="23"/>
        <v>0</v>
      </c>
      <c r="AY20">
        <f>SUMIFS(banco!BA:BA,banco!$C:$C,$B20,banco!$A:$A,$A20)</f>
        <v>0</v>
      </c>
      <c r="AZ20" s="13">
        <f t="shared" si="24"/>
        <v>0</v>
      </c>
      <c r="BA20">
        <f>SUMIFS(banco!BC:BC,banco!$C:$C,$B20,banco!$A:$A,$A20)</f>
        <v>0</v>
      </c>
      <c r="BB20" s="13">
        <f t="shared" si="25"/>
        <v>0</v>
      </c>
      <c r="BC20">
        <f>SUMIFS(banco!BE:BE,banco!$C:$C,$B20,banco!$A:$A,$A20)</f>
        <v>0</v>
      </c>
      <c r="BD20">
        <f>SUMIFS(banco!BF:BF,banco!$C:$C,$B20,banco!$A:$A,$A20)</f>
        <v>0</v>
      </c>
      <c r="BE20">
        <v>10028</v>
      </c>
    </row>
    <row r="21" spans="1:57" x14ac:dyDescent="0.25">
      <c r="A21" s="23">
        <v>2017</v>
      </c>
      <c r="B21" s="22" t="s">
        <v>148</v>
      </c>
      <c r="C21">
        <f>SUMIFS(banco!E:E,banco!$C:$C,$B21,banco!$A:$A,$A21)</f>
        <v>0</v>
      </c>
      <c r="D21" s="13">
        <f t="shared" si="0"/>
        <v>0</v>
      </c>
      <c r="E21">
        <f>SUMIFS(banco!G:G,banco!$C:$C,$B21,banco!$A:$A,$A21)</f>
        <v>0</v>
      </c>
      <c r="F21" s="13">
        <f t="shared" si="1"/>
        <v>0</v>
      </c>
      <c r="G21">
        <f>SUMIFS(banco!I:I,banco!$C:$C,$B21,banco!$A:$A,$A21)</f>
        <v>0</v>
      </c>
      <c r="H21" s="13">
        <f t="shared" si="2"/>
        <v>0</v>
      </c>
      <c r="I21">
        <f>SUMIFS(banco!K:K,banco!$C:$C,$B21,banco!$A:$A,$A21)</f>
        <v>0</v>
      </c>
      <c r="J21" s="13">
        <f t="shared" si="3"/>
        <v>0</v>
      </c>
      <c r="K21">
        <f>SUMIFS(banco!M:M,banco!$C:$C,$B21,banco!$A:$A,$A21)</f>
        <v>0</v>
      </c>
      <c r="L21" s="13">
        <f t="shared" si="4"/>
        <v>0</v>
      </c>
      <c r="M21">
        <f>SUMIFS(banco!O:O,banco!$C:$C,$B21,banco!$A:$A,$A21)</f>
        <v>0</v>
      </c>
      <c r="N21" s="13">
        <f t="shared" si="5"/>
        <v>0</v>
      </c>
      <c r="O21">
        <f>SUMIFS(banco!Q:Q,banco!$C:$C,$B21,banco!$A:$A,$A21)</f>
        <v>0</v>
      </c>
      <c r="P21" s="13">
        <f t="shared" si="6"/>
        <v>0</v>
      </c>
      <c r="Q21">
        <f>SUMIFS(banco!S:S,banco!$C:$C,$B21,banco!$A:$A,$A21)</f>
        <v>0</v>
      </c>
      <c r="R21" s="13">
        <f t="shared" si="7"/>
        <v>0</v>
      </c>
      <c r="S21">
        <f>SUMIFS(banco!U:U,banco!$C:$C,$B21,banco!$A:$A,$A21)</f>
        <v>0</v>
      </c>
      <c r="T21" s="13">
        <f t="shared" si="8"/>
        <v>0</v>
      </c>
      <c r="U21">
        <f>SUMIFS(banco!W:W,banco!$C:$C,$B21,banco!$A:$A,$A21)</f>
        <v>0</v>
      </c>
      <c r="V21" s="13">
        <f t="shared" si="9"/>
        <v>0</v>
      </c>
      <c r="W21">
        <f>SUMIFS(banco!Y:Y,banco!$C:$C,$B21,banco!$A:$A,$A21)</f>
        <v>0</v>
      </c>
      <c r="X21" s="13">
        <f t="shared" si="10"/>
        <v>0</v>
      </c>
      <c r="Y21">
        <f>SUMIFS(banco!AA:AA,banco!$C:$C,$B21,banco!$A:$A,$A21)</f>
        <v>0</v>
      </c>
      <c r="Z21" s="13">
        <f t="shared" si="11"/>
        <v>0</v>
      </c>
      <c r="AA21">
        <f>SUMIFS(banco!AC:AC,banco!$C:$C,$B21,banco!$A:$A,$A21)</f>
        <v>0</v>
      </c>
      <c r="AB21" s="13">
        <f t="shared" si="12"/>
        <v>0</v>
      </c>
      <c r="AC21">
        <f>SUMIFS(banco!AE:AE,banco!$C:$C,$B21,banco!$A:$A,$A21)</f>
        <v>0</v>
      </c>
      <c r="AD21" s="13">
        <f t="shared" si="13"/>
        <v>0</v>
      </c>
      <c r="AE21">
        <f>SUMIFS(banco!AG:AG,banco!$C:$C,$B21,banco!$A:$A,$A21)</f>
        <v>0</v>
      </c>
      <c r="AF21" s="13">
        <f t="shared" si="14"/>
        <v>0</v>
      </c>
      <c r="AG21">
        <f>SUMIFS(banco!AI:AI,banco!$C:$C,$B21,banco!$A:$A,$A21)</f>
        <v>0</v>
      </c>
      <c r="AH21" s="13">
        <f t="shared" si="15"/>
        <v>0</v>
      </c>
      <c r="AI21">
        <f>SUMIFS(banco!AK:AK,banco!$C:$C,$B21,banco!$A:$A,$A21)</f>
        <v>0</v>
      </c>
      <c r="AJ21" s="13">
        <f t="shared" si="16"/>
        <v>0</v>
      </c>
      <c r="AK21">
        <f>SUMIFS(banco!AM:AM,banco!$C:$C,$B21,banco!$A:$A,$A21)</f>
        <v>0</v>
      </c>
      <c r="AL21" s="13">
        <f t="shared" si="17"/>
        <v>0</v>
      </c>
      <c r="AM21">
        <f>SUMIFS(banco!AO:AO,banco!$C:$C,$B21,banco!$A:$A,$A21)</f>
        <v>0</v>
      </c>
      <c r="AN21" s="13">
        <f t="shared" si="18"/>
        <v>0</v>
      </c>
      <c r="AO21">
        <f>SUMIFS(banco!AQ:AQ,banco!$C:$C,$B21,banco!$A:$A,$A21)</f>
        <v>0</v>
      </c>
      <c r="AP21" s="13">
        <f t="shared" si="19"/>
        <v>0</v>
      </c>
      <c r="AQ21">
        <f>SUMIFS(banco!AS:AS,banco!$C:$C,$B21,banco!$A:$A,$A21)</f>
        <v>0</v>
      </c>
      <c r="AR21" s="13">
        <f t="shared" si="20"/>
        <v>0</v>
      </c>
      <c r="AS21">
        <f>SUMIFS(banco!AU:AU,banco!$C:$C,$B21,banco!$A:$A,$A21)</f>
        <v>0</v>
      </c>
      <c r="AT21" s="13">
        <f t="shared" si="21"/>
        <v>0</v>
      </c>
      <c r="AU21">
        <f>SUMIFS(banco!AW:AW,banco!$C:$C,$B21,banco!$A:$A,$A21)</f>
        <v>0</v>
      </c>
      <c r="AV21" s="13">
        <f t="shared" si="22"/>
        <v>0</v>
      </c>
      <c r="AW21">
        <f>SUMIFS(banco!AY:AY,banco!$C:$C,$B21,banco!$A:$A,$A21)</f>
        <v>0</v>
      </c>
      <c r="AX21" s="13">
        <f t="shared" si="23"/>
        <v>0</v>
      </c>
      <c r="AY21">
        <f>SUMIFS(banco!BA:BA,banco!$C:$C,$B21,banco!$A:$A,$A21)</f>
        <v>0</v>
      </c>
      <c r="AZ21" s="13">
        <f t="shared" si="24"/>
        <v>0</v>
      </c>
      <c r="BA21">
        <f>SUMIFS(banco!BC:BC,banco!$C:$C,$B21,banco!$A:$A,$A21)</f>
        <v>0</v>
      </c>
      <c r="BB21" s="13">
        <f t="shared" si="25"/>
        <v>0</v>
      </c>
      <c r="BC21">
        <f>SUMIFS(banco!BE:BE,banco!$C:$C,$B21,banco!$A:$A,$A21)</f>
        <v>0</v>
      </c>
      <c r="BD21">
        <f>SUMIFS(banco!BF:BF,banco!$C:$C,$B21,banco!$A:$A,$A21)</f>
        <v>0</v>
      </c>
      <c r="BE21">
        <v>29227</v>
      </c>
    </row>
    <row r="22" spans="1:57" x14ac:dyDescent="0.25">
      <c r="A22" s="23">
        <v>2017</v>
      </c>
      <c r="B22" s="22" t="s">
        <v>150</v>
      </c>
      <c r="C22">
        <f>SUMIFS(banco!E:E,banco!$C:$C,$B22,banco!$A:$A,$A22)</f>
        <v>0</v>
      </c>
      <c r="D22" s="13">
        <f t="shared" si="0"/>
        <v>0</v>
      </c>
      <c r="E22">
        <f>SUMIFS(banco!G:G,banco!$C:$C,$B22,banco!$A:$A,$A22)</f>
        <v>0</v>
      </c>
      <c r="F22" s="13">
        <f t="shared" si="1"/>
        <v>0</v>
      </c>
      <c r="G22">
        <f>SUMIFS(banco!I:I,banco!$C:$C,$B22,banco!$A:$A,$A22)</f>
        <v>0</v>
      </c>
      <c r="H22" s="13">
        <f t="shared" si="2"/>
        <v>0</v>
      </c>
      <c r="I22">
        <f>SUMIFS(banco!K:K,banco!$C:$C,$B22,banco!$A:$A,$A22)</f>
        <v>0</v>
      </c>
      <c r="J22" s="13">
        <f t="shared" si="3"/>
        <v>0</v>
      </c>
      <c r="K22">
        <f>SUMIFS(banco!M:M,banco!$C:$C,$B22,banco!$A:$A,$A22)</f>
        <v>0</v>
      </c>
      <c r="L22" s="13">
        <f t="shared" si="4"/>
        <v>0</v>
      </c>
      <c r="M22">
        <f>SUMIFS(banco!O:O,banco!$C:$C,$B22,banco!$A:$A,$A22)</f>
        <v>0</v>
      </c>
      <c r="N22" s="13">
        <f t="shared" si="5"/>
        <v>0</v>
      </c>
      <c r="O22">
        <f>SUMIFS(banco!Q:Q,banco!$C:$C,$B22,banco!$A:$A,$A22)</f>
        <v>0</v>
      </c>
      <c r="P22" s="13">
        <f t="shared" si="6"/>
        <v>0</v>
      </c>
      <c r="Q22">
        <f>SUMIFS(banco!S:S,banco!$C:$C,$B22,banco!$A:$A,$A22)</f>
        <v>0</v>
      </c>
      <c r="R22" s="13">
        <f t="shared" si="7"/>
        <v>0</v>
      </c>
      <c r="S22">
        <f>SUMIFS(banco!U:U,banco!$C:$C,$B22,banco!$A:$A,$A22)</f>
        <v>0</v>
      </c>
      <c r="T22" s="13">
        <f t="shared" si="8"/>
        <v>0</v>
      </c>
      <c r="U22">
        <f>SUMIFS(banco!W:W,banco!$C:$C,$B22,banco!$A:$A,$A22)</f>
        <v>0</v>
      </c>
      <c r="V22" s="13">
        <f t="shared" si="9"/>
        <v>0</v>
      </c>
      <c r="W22">
        <f>SUMIFS(banco!Y:Y,banco!$C:$C,$B22,banco!$A:$A,$A22)</f>
        <v>0</v>
      </c>
      <c r="X22" s="13">
        <f t="shared" si="10"/>
        <v>0</v>
      </c>
      <c r="Y22">
        <f>SUMIFS(banco!AA:AA,banco!$C:$C,$B22,banco!$A:$A,$A22)</f>
        <v>0</v>
      </c>
      <c r="Z22" s="13">
        <f t="shared" si="11"/>
        <v>0</v>
      </c>
      <c r="AA22">
        <f>SUMIFS(banco!AC:AC,banco!$C:$C,$B22,banco!$A:$A,$A22)</f>
        <v>0</v>
      </c>
      <c r="AB22" s="13">
        <f t="shared" si="12"/>
        <v>0</v>
      </c>
      <c r="AC22">
        <f>SUMIFS(banco!AE:AE,banco!$C:$C,$B22,banco!$A:$A,$A22)</f>
        <v>0</v>
      </c>
      <c r="AD22" s="13">
        <f t="shared" si="13"/>
        <v>0</v>
      </c>
      <c r="AE22">
        <f>SUMIFS(banco!AG:AG,banco!$C:$C,$B22,banco!$A:$A,$A22)</f>
        <v>0</v>
      </c>
      <c r="AF22" s="13">
        <f t="shared" si="14"/>
        <v>0</v>
      </c>
      <c r="AG22">
        <f>SUMIFS(banco!AI:AI,banco!$C:$C,$B22,banco!$A:$A,$A22)</f>
        <v>0</v>
      </c>
      <c r="AH22" s="13">
        <f t="shared" si="15"/>
        <v>0</v>
      </c>
      <c r="AI22">
        <f>SUMIFS(banco!AK:AK,banco!$C:$C,$B22,banco!$A:$A,$A22)</f>
        <v>0</v>
      </c>
      <c r="AJ22" s="13">
        <f t="shared" si="16"/>
        <v>0</v>
      </c>
      <c r="AK22">
        <f>SUMIFS(banco!AM:AM,banco!$C:$C,$B22,banco!$A:$A,$A22)</f>
        <v>0</v>
      </c>
      <c r="AL22" s="13">
        <f t="shared" si="17"/>
        <v>0</v>
      </c>
      <c r="AM22">
        <f>SUMIFS(banco!AO:AO,banco!$C:$C,$B22,banco!$A:$A,$A22)</f>
        <v>0</v>
      </c>
      <c r="AN22" s="13">
        <f t="shared" si="18"/>
        <v>0</v>
      </c>
      <c r="AO22">
        <f>SUMIFS(banco!AQ:AQ,banco!$C:$C,$B22,banco!$A:$A,$A22)</f>
        <v>0</v>
      </c>
      <c r="AP22" s="13">
        <f t="shared" si="19"/>
        <v>0</v>
      </c>
      <c r="AQ22">
        <f>SUMIFS(banco!AS:AS,banco!$C:$C,$B22,banco!$A:$A,$A22)</f>
        <v>0</v>
      </c>
      <c r="AR22" s="13">
        <f t="shared" si="20"/>
        <v>0</v>
      </c>
      <c r="AS22">
        <f>SUMIFS(banco!AU:AU,banco!$C:$C,$B22,banco!$A:$A,$A22)</f>
        <v>0</v>
      </c>
      <c r="AT22" s="13">
        <f t="shared" si="21"/>
        <v>0</v>
      </c>
      <c r="AU22">
        <f>SUMIFS(banco!AW:AW,banco!$C:$C,$B22,banco!$A:$A,$A22)</f>
        <v>0</v>
      </c>
      <c r="AV22" s="13">
        <f t="shared" si="22"/>
        <v>0</v>
      </c>
      <c r="AW22">
        <f>SUMIFS(banco!AY:AY,banco!$C:$C,$B22,banco!$A:$A,$A22)</f>
        <v>0</v>
      </c>
      <c r="AX22" s="13">
        <f t="shared" si="23"/>
        <v>0</v>
      </c>
      <c r="AY22">
        <f>SUMIFS(banco!BA:BA,banco!$C:$C,$B22,banco!$A:$A,$A22)</f>
        <v>0</v>
      </c>
      <c r="AZ22" s="13">
        <f t="shared" si="24"/>
        <v>0</v>
      </c>
      <c r="BA22">
        <f>SUMIFS(banco!BC:BC,banco!$C:$C,$B22,banco!$A:$A,$A22)</f>
        <v>0</v>
      </c>
      <c r="BB22" s="13">
        <f t="shared" si="25"/>
        <v>0</v>
      </c>
      <c r="BC22">
        <f>SUMIFS(banco!BE:BE,banco!$C:$C,$B22,banco!$A:$A,$A22)</f>
        <v>0</v>
      </c>
      <c r="BD22">
        <f>SUMIFS(banco!BF:BF,banco!$C:$C,$B22,banco!$A:$A,$A22)</f>
        <v>0</v>
      </c>
      <c r="BE22">
        <v>12420</v>
      </c>
    </row>
    <row r="23" spans="1:57" x14ac:dyDescent="0.25">
      <c r="A23" s="23">
        <v>2017</v>
      </c>
      <c r="B23" s="22" t="s">
        <v>146</v>
      </c>
      <c r="C23">
        <f>SUMIFS(banco!E:E,banco!$C:$C,$B23,banco!$A:$A,$A23)</f>
        <v>0</v>
      </c>
      <c r="D23" s="13">
        <f t="shared" si="0"/>
        <v>0</v>
      </c>
      <c r="E23">
        <f>SUMIFS(banco!G:G,banco!$C:$C,$B23,banco!$A:$A,$A23)</f>
        <v>0</v>
      </c>
      <c r="F23" s="13">
        <f t="shared" si="1"/>
        <v>0</v>
      </c>
      <c r="G23">
        <f>SUMIFS(banco!I:I,banco!$C:$C,$B23,banco!$A:$A,$A23)</f>
        <v>0</v>
      </c>
      <c r="H23" s="13">
        <f t="shared" si="2"/>
        <v>0</v>
      </c>
      <c r="I23">
        <f>SUMIFS(banco!K:K,banco!$C:$C,$B23,banco!$A:$A,$A23)</f>
        <v>0</v>
      </c>
      <c r="J23" s="13">
        <f t="shared" si="3"/>
        <v>0</v>
      </c>
      <c r="K23">
        <f>SUMIFS(banco!M:M,banco!$C:$C,$B23,banco!$A:$A,$A23)</f>
        <v>0</v>
      </c>
      <c r="L23" s="13">
        <f t="shared" si="4"/>
        <v>0</v>
      </c>
      <c r="M23">
        <f>SUMIFS(banco!O:O,banco!$C:$C,$B23,banco!$A:$A,$A23)</f>
        <v>0</v>
      </c>
      <c r="N23" s="13">
        <f t="shared" si="5"/>
        <v>0</v>
      </c>
      <c r="O23">
        <f>SUMIFS(banco!Q:Q,banco!$C:$C,$B23,banco!$A:$A,$A23)</f>
        <v>0</v>
      </c>
      <c r="P23" s="13">
        <f t="shared" si="6"/>
        <v>0</v>
      </c>
      <c r="Q23">
        <f>SUMIFS(banco!S:S,banco!$C:$C,$B23,banco!$A:$A,$A23)</f>
        <v>0</v>
      </c>
      <c r="R23" s="13">
        <f t="shared" si="7"/>
        <v>0</v>
      </c>
      <c r="S23">
        <f>SUMIFS(banco!U:U,banco!$C:$C,$B23,banco!$A:$A,$A23)</f>
        <v>0</v>
      </c>
      <c r="T23" s="13">
        <f t="shared" si="8"/>
        <v>0</v>
      </c>
      <c r="U23">
        <f>SUMIFS(banco!W:W,banco!$C:$C,$B23,banco!$A:$A,$A23)</f>
        <v>0</v>
      </c>
      <c r="V23" s="13">
        <f t="shared" si="9"/>
        <v>0</v>
      </c>
      <c r="W23">
        <f>SUMIFS(banco!Y:Y,banco!$C:$C,$B23,banco!$A:$A,$A23)</f>
        <v>0</v>
      </c>
      <c r="X23" s="13">
        <f t="shared" si="10"/>
        <v>0</v>
      </c>
      <c r="Y23">
        <f>SUMIFS(banco!AA:AA,banco!$C:$C,$B23,banco!$A:$A,$A23)</f>
        <v>0</v>
      </c>
      <c r="Z23" s="13">
        <f t="shared" si="11"/>
        <v>0</v>
      </c>
      <c r="AA23">
        <f>SUMIFS(banco!AC:AC,banco!$C:$C,$B23,banco!$A:$A,$A23)</f>
        <v>0</v>
      </c>
      <c r="AB23" s="13">
        <f t="shared" si="12"/>
        <v>0</v>
      </c>
      <c r="AC23">
        <f>SUMIFS(banco!AE:AE,banco!$C:$C,$B23,banco!$A:$A,$A23)</f>
        <v>0</v>
      </c>
      <c r="AD23" s="13">
        <f t="shared" si="13"/>
        <v>0</v>
      </c>
      <c r="AE23">
        <f>SUMIFS(banco!AG:AG,banco!$C:$C,$B23,banco!$A:$A,$A23)</f>
        <v>0</v>
      </c>
      <c r="AF23" s="13">
        <f t="shared" si="14"/>
        <v>0</v>
      </c>
      <c r="AG23">
        <f>SUMIFS(banco!AI:AI,banco!$C:$C,$B23,banco!$A:$A,$A23)</f>
        <v>0</v>
      </c>
      <c r="AH23" s="13">
        <f t="shared" si="15"/>
        <v>0</v>
      </c>
      <c r="AI23">
        <f>SUMIFS(banco!AK:AK,banco!$C:$C,$B23,banco!$A:$A,$A23)</f>
        <v>0</v>
      </c>
      <c r="AJ23" s="13">
        <f t="shared" si="16"/>
        <v>0</v>
      </c>
      <c r="AK23">
        <f>SUMIFS(banco!AM:AM,banco!$C:$C,$B23,banco!$A:$A,$A23)</f>
        <v>0</v>
      </c>
      <c r="AL23" s="13">
        <f t="shared" si="17"/>
        <v>0</v>
      </c>
      <c r="AM23">
        <f>SUMIFS(banco!AO:AO,banco!$C:$C,$B23,banco!$A:$A,$A23)</f>
        <v>0</v>
      </c>
      <c r="AN23" s="13">
        <f t="shared" si="18"/>
        <v>0</v>
      </c>
      <c r="AO23">
        <f>SUMIFS(banco!AQ:AQ,banco!$C:$C,$B23,banco!$A:$A,$A23)</f>
        <v>0</v>
      </c>
      <c r="AP23" s="13">
        <f t="shared" si="19"/>
        <v>0</v>
      </c>
      <c r="AQ23">
        <f>SUMIFS(banco!AS:AS,banco!$C:$C,$B23,banco!$A:$A,$A23)</f>
        <v>0</v>
      </c>
      <c r="AR23" s="13">
        <f t="shared" si="20"/>
        <v>0</v>
      </c>
      <c r="AS23">
        <f>SUMIFS(banco!AU:AU,banco!$C:$C,$B23,banco!$A:$A,$A23)</f>
        <v>0</v>
      </c>
      <c r="AT23" s="13">
        <f t="shared" si="21"/>
        <v>0</v>
      </c>
      <c r="AU23">
        <f>SUMIFS(banco!AW:AW,banco!$C:$C,$B23,banco!$A:$A,$A23)</f>
        <v>0</v>
      </c>
      <c r="AV23" s="13">
        <f t="shared" si="22"/>
        <v>0</v>
      </c>
      <c r="AW23">
        <f>SUMIFS(banco!AY:AY,banco!$C:$C,$B23,banco!$A:$A,$A23)</f>
        <v>0</v>
      </c>
      <c r="AX23" s="13">
        <f t="shared" si="23"/>
        <v>0</v>
      </c>
      <c r="AY23">
        <f>SUMIFS(banco!BA:BA,banco!$C:$C,$B23,banco!$A:$A,$A23)</f>
        <v>0</v>
      </c>
      <c r="AZ23" s="13">
        <f t="shared" si="24"/>
        <v>0</v>
      </c>
      <c r="BA23">
        <f>SUMIFS(banco!BC:BC,banco!$C:$C,$B23,banco!$A:$A,$A23)</f>
        <v>0</v>
      </c>
      <c r="BB23" s="13">
        <f t="shared" si="25"/>
        <v>0</v>
      </c>
      <c r="BC23">
        <f>SUMIFS(banco!BE:BE,banco!$C:$C,$B23,banco!$A:$A,$A23)</f>
        <v>0</v>
      </c>
      <c r="BD23">
        <f>SUMIFS(banco!BF:BF,banco!$C:$C,$B23,banco!$A:$A,$A23)</f>
        <v>0</v>
      </c>
      <c r="BE23">
        <v>13278</v>
      </c>
    </row>
    <row r="24" spans="1:57" x14ac:dyDescent="0.25">
      <c r="A24" s="23">
        <v>2017</v>
      </c>
      <c r="B24" s="22" t="s">
        <v>149</v>
      </c>
      <c r="C24">
        <f>SUMIFS(banco!E:E,banco!$C:$C,$B24,banco!$A:$A,$A24)</f>
        <v>0</v>
      </c>
      <c r="D24" s="13">
        <f t="shared" si="0"/>
        <v>0</v>
      </c>
      <c r="E24">
        <f>SUMIFS(banco!G:G,banco!$C:$C,$B24,banco!$A:$A,$A24)</f>
        <v>0</v>
      </c>
      <c r="F24" s="13">
        <f t="shared" si="1"/>
        <v>0</v>
      </c>
      <c r="G24">
        <f>SUMIFS(banco!I:I,banco!$C:$C,$B24,banco!$A:$A,$A24)</f>
        <v>0</v>
      </c>
      <c r="H24" s="13">
        <f t="shared" si="2"/>
        <v>0</v>
      </c>
      <c r="I24">
        <f>SUMIFS(banco!K:K,banco!$C:$C,$B24,banco!$A:$A,$A24)</f>
        <v>0</v>
      </c>
      <c r="J24" s="13">
        <f t="shared" si="3"/>
        <v>0</v>
      </c>
      <c r="K24">
        <f>SUMIFS(banco!M:M,banco!$C:$C,$B24,banco!$A:$A,$A24)</f>
        <v>0</v>
      </c>
      <c r="L24" s="13">
        <f t="shared" si="4"/>
        <v>0</v>
      </c>
      <c r="M24">
        <f>SUMIFS(banco!O:O,banco!$C:$C,$B24,banco!$A:$A,$A24)</f>
        <v>0</v>
      </c>
      <c r="N24" s="13">
        <f t="shared" si="5"/>
        <v>0</v>
      </c>
      <c r="O24">
        <f>SUMIFS(banco!Q:Q,banco!$C:$C,$B24,banco!$A:$A,$A24)</f>
        <v>0</v>
      </c>
      <c r="P24" s="13">
        <f t="shared" si="6"/>
        <v>0</v>
      </c>
      <c r="Q24">
        <f>SUMIFS(banco!S:S,banco!$C:$C,$B24,banco!$A:$A,$A24)</f>
        <v>0</v>
      </c>
      <c r="R24" s="13">
        <f t="shared" si="7"/>
        <v>0</v>
      </c>
      <c r="S24">
        <f>SUMIFS(banco!U:U,banco!$C:$C,$B24,banco!$A:$A,$A24)</f>
        <v>0</v>
      </c>
      <c r="T24" s="13">
        <f t="shared" si="8"/>
        <v>0</v>
      </c>
      <c r="U24">
        <f>SUMIFS(banco!W:W,banco!$C:$C,$B24,banco!$A:$A,$A24)</f>
        <v>0</v>
      </c>
      <c r="V24" s="13">
        <f t="shared" si="9"/>
        <v>0</v>
      </c>
      <c r="W24">
        <f>SUMIFS(banco!Y:Y,banco!$C:$C,$B24,banco!$A:$A,$A24)</f>
        <v>0</v>
      </c>
      <c r="X24" s="13">
        <f t="shared" si="10"/>
        <v>0</v>
      </c>
      <c r="Y24">
        <f>SUMIFS(banco!AA:AA,banco!$C:$C,$B24,banco!$A:$A,$A24)</f>
        <v>0</v>
      </c>
      <c r="Z24" s="13">
        <f t="shared" si="11"/>
        <v>0</v>
      </c>
      <c r="AA24">
        <f>SUMIFS(banco!AC:AC,banco!$C:$C,$B24,banco!$A:$A,$A24)</f>
        <v>0</v>
      </c>
      <c r="AB24" s="13">
        <f t="shared" si="12"/>
        <v>0</v>
      </c>
      <c r="AC24">
        <f>SUMIFS(banco!AE:AE,banco!$C:$C,$B24,banco!$A:$A,$A24)</f>
        <v>0</v>
      </c>
      <c r="AD24" s="13">
        <f t="shared" si="13"/>
        <v>0</v>
      </c>
      <c r="AE24">
        <f>SUMIFS(banco!AG:AG,banco!$C:$C,$B24,banco!$A:$A,$A24)</f>
        <v>0</v>
      </c>
      <c r="AF24" s="13">
        <f t="shared" si="14"/>
        <v>0</v>
      </c>
      <c r="AG24">
        <f>SUMIFS(banco!AI:AI,banco!$C:$C,$B24,banco!$A:$A,$A24)</f>
        <v>0</v>
      </c>
      <c r="AH24" s="13">
        <f t="shared" si="15"/>
        <v>0</v>
      </c>
      <c r="AI24">
        <f>SUMIFS(banco!AK:AK,banco!$C:$C,$B24,banco!$A:$A,$A24)</f>
        <v>0</v>
      </c>
      <c r="AJ24" s="13">
        <f t="shared" si="16"/>
        <v>0</v>
      </c>
      <c r="AK24">
        <f>SUMIFS(banco!AM:AM,banco!$C:$C,$B24,banco!$A:$A,$A24)</f>
        <v>0</v>
      </c>
      <c r="AL24" s="13">
        <f t="shared" si="17"/>
        <v>0</v>
      </c>
      <c r="AM24">
        <f>SUMIFS(banco!AO:AO,banco!$C:$C,$B24,banco!$A:$A,$A24)</f>
        <v>0</v>
      </c>
      <c r="AN24" s="13">
        <f t="shared" si="18"/>
        <v>0</v>
      </c>
      <c r="AO24">
        <f>SUMIFS(banco!AQ:AQ,banco!$C:$C,$B24,banco!$A:$A,$A24)</f>
        <v>0</v>
      </c>
      <c r="AP24" s="13">
        <f t="shared" si="19"/>
        <v>0</v>
      </c>
      <c r="AQ24">
        <f>SUMIFS(banco!AS:AS,banco!$C:$C,$B24,banco!$A:$A,$A24)</f>
        <v>0</v>
      </c>
      <c r="AR24" s="13">
        <f t="shared" si="20"/>
        <v>0</v>
      </c>
      <c r="AS24">
        <f>SUMIFS(banco!AU:AU,banco!$C:$C,$B24,banco!$A:$A,$A24)</f>
        <v>0</v>
      </c>
      <c r="AT24" s="13">
        <f t="shared" si="21"/>
        <v>0</v>
      </c>
      <c r="AU24">
        <f>SUMIFS(banco!AW:AW,banco!$C:$C,$B24,banco!$A:$A,$A24)</f>
        <v>0</v>
      </c>
      <c r="AV24" s="13">
        <f t="shared" si="22"/>
        <v>0</v>
      </c>
      <c r="AW24">
        <f>SUMIFS(banco!AY:AY,banco!$C:$C,$B24,banco!$A:$A,$A24)</f>
        <v>0</v>
      </c>
      <c r="AX24" s="13">
        <f t="shared" si="23"/>
        <v>0</v>
      </c>
      <c r="AY24">
        <f>SUMIFS(banco!BA:BA,banco!$C:$C,$B24,banco!$A:$A,$A24)</f>
        <v>0</v>
      </c>
      <c r="AZ24" s="13">
        <f t="shared" si="24"/>
        <v>0</v>
      </c>
      <c r="BA24">
        <f>SUMIFS(banco!BC:BC,banco!$C:$C,$B24,banco!$A:$A,$A24)</f>
        <v>0</v>
      </c>
      <c r="BB24" s="13">
        <f t="shared" si="25"/>
        <v>0</v>
      </c>
      <c r="BC24">
        <f>SUMIFS(banco!BE:BE,banco!$C:$C,$B24,banco!$A:$A,$A24)</f>
        <v>0</v>
      </c>
      <c r="BD24">
        <f>SUMIFS(banco!BF:BF,banco!$C:$C,$B24,banco!$A:$A,$A24)</f>
        <v>0</v>
      </c>
      <c r="BE24">
        <v>23401</v>
      </c>
    </row>
    <row r="25" spans="1:57" x14ac:dyDescent="0.25">
      <c r="A25" s="23">
        <v>2017</v>
      </c>
      <c r="B25" s="22" t="s">
        <v>147</v>
      </c>
      <c r="C25">
        <f>SUMIFS(banco!E:E,banco!$C:$C,$B25,banco!$A:$A,$A25)</f>
        <v>0</v>
      </c>
      <c r="D25" s="13">
        <f t="shared" si="0"/>
        <v>0</v>
      </c>
      <c r="E25">
        <f>SUMIFS(banco!G:G,banco!$C:$C,$B25,banco!$A:$A,$A25)</f>
        <v>0</v>
      </c>
      <c r="F25" s="13">
        <f t="shared" si="1"/>
        <v>0</v>
      </c>
      <c r="G25">
        <f>SUMIFS(banco!I:I,banco!$C:$C,$B25,banco!$A:$A,$A25)</f>
        <v>0</v>
      </c>
      <c r="H25" s="13">
        <f t="shared" si="2"/>
        <v>0</v>
      </c>
      <c r="I25">
        <f>SUMIFS(banco!K:K,banco!$C:$C,$B25,banco!$A:$A,$A25)</f>
        <v>0</v>
      </c>
      <c r="J25" s="13">
        <f t="shared" si="3"/>
        <v>0</v>
      </c>
      <c r="K25">
        <f>SUMIFS(banco!M:M,banco!$C:$C,$B25,banco!$A:$A,$A25)</f>
        <v>0</v>
      </c>
      <c r="L25" s="13">
        <f t="shared" si="4"/>
        <v>0</v>
      </c>
      <c r="M25">
        <f>SUMIFS(banco!O:O,banco!$C:$C,$B25,banco!$A:$A,$A25)</f>
        <v>0</v>
      </c>
      <c r="N25" s="13">
        <f t="shared" si="5"/>
        <v>0</v>
      </c>
      <c r="O25">
        <f>SUMIFS(banco!Q:Q,banco!$C:$C,$B25,banco!$A:$A,$A25)</f>
        <v>0</v>
      </c>
      <c r="P25" s="13">
        <f t="shared" si="6"/>
        <v>0</v>
      </c>
      <c r="Q25">
        <f>SUMIFS(banco!S:S,banco!$C:$C,$B25,banco!$A:$A,$A25)</f>
        <v>0</v>
      </c>
      <c r="R25" s="13">
        <f t="shared" si="7"/>
        <v>0</v>
      </c>
      <c r="S25">
        <f>SUMIFS(banco!U:U,banco!$C:$C,$B25,banco!$A:$A,$A25)</f>
        <v>0</v>
      </c>
      <c r="T25" s="13">
        <f t="shared" si="8"/>
        <v>0</v>
      </c>
      <c r="U25">
        <f>SUMIFS(banco!W:W,banco!$C:$C,$B25,banco!$A:$A,$A25)</f>
        <v>0</v>
      </c>
      <c r="V25" s="13">
        <f t="shared" si="9"/>
        <v>0</v>
      </c>
      <c r="W25">
        <f>SUMIFS(banco!Y:Y,banco!$C:$C,$B25,banco!$A:$A,$A25)</f>
        <v>0</v>
      </c>
      <c r="X25" s="13">
        <f t="shared" si="10"/>
        <v>0</v>
      </c>
      <c r="Y25">
        <f>SUMIFS(banco!AA:AA,banco!$C:$C,$B25,banco!$A:$A,$A25)</f>
        <v>0</v>
      </c>
      <c r="Z25" s="13">
        <f t="shared" si="11"/>
        <v>0</v>
      </c>
      <c r="AA25">
        <f>SUMIFS(banco!AC:AC,banco!$C:$C,$B25,banco!$A:$A,$A25)</f>
        <v>0</v>
      </c>
      <c r="AB25" s="13">
        <f t="shared" si="12"/>
        <v>0</v>
      </c>
      <c r="AC25">
        <f>SUMIFS(banco!AE:AE,banco!$C:$C,$B25,banco!$A:$A,$A25)</f>
        <v>0</v>
      </c>
      <c r="AD25" s="13">
        <f t="shared" si="13"/>
        <v>0</v>
      </c>
      <c r="AE25">
        <f>SUMIFS(banco!AG:AG,banco!$C:$C,$B25,banco!$A:$A,$A25)</f>
        <v>0</v>
      </c>
      <c r="AF25" s="13">
        <f t="shared" si="14"/>
        <v>0</v>
      </c>
      <c r="AG25">
        <f>SUMIFS(banco!AI:AI,banco!$C:$C,$B25,banco!$A:$A,$A25)</f>
        <v>0</v>
      </c>
      <c r="AH25" s="13">
        <f t="shared" si="15"/>
        <v>0</v>
      </c>
      <c r="AI25">
        <f>SUMIFS(banco!AK:AK,banco!$C:$C,$B25,banco!$A:$A,$A25)</f>
        <v>0</v>
      </c>
      <c r="AJ25" s="13">
        <f t="shared" si="16"/>
        <v>0</v>
      </c>
      <c r="AK25">
        <f>SUMIFS(banco!AM:AM,banco!$C:$C,$B25,banco!$A:$A,$A25)</f>
        <v>0</v>
      </c>
      <c r="AL25" s="13">
        <f t="shared" si="17"/>
        <v>0</v>
      </c>
      <c r="AM25">
        <f>SUMIFS(banco!AO:AO,banco!$C:$C,$B25,banco!$A:$A,$A25)</f>
        <v>0</v>
      </c>
      <c r="AN25" s="13">
        <f t="shared" si="18"/>
        <v>0</v>
      </c>
      <c r="AO25">
        <f>SUMIFS(banco!AQ:AQ,banco!$C:$C,$B25,banco!$A:$A,$A25)</f>
        <v>0</v>
      </c>
      <c r="AP25" s="13">
        <f t="shared" si="19"/>
        <v>0</v>
      </c>
      <c r="AQ25">
        <f>SUMIFS(banco!AS:AS,banco!$C:$C,$B25,banco!$A:$A,$A25)</f>
        <v>0</v>
      </c>
      <c r="AR25" s="13">
        <f t="shared" si="20"/>
        <v>0</v>
      </c>
      <c r="AS25">
        <f>SUMIFS(banco!AU:AU,banco!$C:$C,$B25,banco!$A:$A,$A25)</f>
        <v>0</v>
      </c>
      <c r="AT25" s="13">
        <f t="shared" si="21"/>
        <v>0</v>
      </c>
      <c r="AU25">
        <f>SUMIFS(banco!AW:AW,banco!$C:$C,$B25,banco!$A:$A,$A25)</f>
        <v>0</v>
      </c>
      <c r="AV25" s="13">
        <f t="shared" si="22"/>
        <v>0</v>
      </c>
      <c r="AW25">
        <f>SUMIFS(banco!AY:AY,banco!$C:$C,$B25,banco!$A:$A,$A25)</f>
        <v>0</v>
      </c>
      <c r="AX25" s="13">
        <f t="shared" si="23"/>
        <v>0</v>
      </c>
      <c r="AY25">
        <f>SUMIFS(banco!BA:BA,banco!$C:$C,$B25,banco!$A:$A,$A25)</f>
        <v>0</v>
      </c>
      <c r="AZ25" s="13">
        <f t="shared" si="24"/>
        <v>0</v>
      </c>
      <c r="BA25">
        <f>SUMIFS(banco!BC:BC,banco!$C:$C,$B25,banco!$A:$A,$A25)</f>
        <v>0</v>
      </c>
      <c r="BB25" s="13">
        <f t="shared" si="25"/>
        <v>0</v>
      </c>
      <c r="BC25">
        <f>SUMIFS(banco!BE:BE,banco!$C:$C,$B25,banco!$A:$A,$A25)</f>
        <v>0</v>
      </c>
      <c r="BD25">
        <f>SUMIFS(banco!BF:BF,banco!$C:$C,$B25,banco!$A:$A,$A25)</f>
        <v>0</v>
      </c>
      <c r="BE25">
        <v>7736</v>
      </c>
    </row>
    <row r="26" spans="1:57" x14ac:dyDescent="0.25">
      <c r="A26" s="24">
        <v>2018</v>
      </c>
      <c r="B26" s="22" t="s">
        <v>151</v>
      </c>
      <c r="C26">
        <f>SUMIFS(banco!E:E,banco!$C:$C,$B26,banco!$A:$A,$A26)</f>
        <v>0</v>
      </c>
      <c r="D26" s="13">
        <f t="shared" si="0"/>
        <v>0</v>
      </c>
      <c r="E26">
        <f>SUMIFS(banco!G:G,banco!$C:$C,$B26,banco!$A:$A,$A26)</f>
        <v>0</v>
      </c>
      <c r="F26" s="13">
        <f t="shared" si="1"/>
        <v>0</v>
      </c>
      <c r="G26">
        <f>SUMIFS(banco!I:I,banco!$C:$C,$B26,banco!$A:$A,$A26)</f>
        <v>0</v>
      </c>
      <c r="H26" s="13">
        <f t="shared" si="2"/>
        <v>0</v>
      </c>
      <c r="I26">
        <f>SUMIFS(banco!K:K,banco!$C:$C,$B26,banco!$A:$A,$A26)</f>
        <v>0</v>
      </c>
      <c r="J26" s="13">
        <f t="shared" si="3"/>
        <v>0</v>
      </c>
      <c r="K26">
        <f>SUMIFS(banco!M:M,banco!$C:$C,$B26,banco!$A:$A,$A26)</f>
        <v>0</v>
      </c>
      <c r="L26" s="13">
        <f t="shared" si="4"/>
        <v>0</v>
      </c>
      <c r="M26">
        <f>SUMIFS(banco!O:O,banco!$C:$C,$B26,banco!$A:$A,$A26)</f>
        <v>0</v>
      </c>
      <c r="N26" s="13">
        <f t="shared" si="5"/>
        <v>0</v>
      </c>
      <c r="O26">
        <f>SUMIFS(banco!Q:Q,banco!$C:$C,$B26,banco!$A:$A,$A26)</f>
        <v>0</v>
      </c>
      <c r="P26" s="13">
        <f t="shared" si="6"/>
        <v>0</v>
      </c>
      <c r="Q26">
        <f>SUMIFS(banco!S:S,banco!$C:$C,$B26,banco!$A:$A,$A26)</f>
        <v>0</v>
      </c>
      <c r="R26" s="13">
        <f t="shared" si="7"/>
        <v>0</v>
      </c>
      <c r="S26">
        <f>SUMIFS(banco!U:U,banco!$C:$C,$B26,banco!$A:$A,$A26)</f>
        <v>0</v>
      </c>
      <c r="T26" s="13">
        <f t="shared" si="8"/>
        <v>0</v>
      </c>
      <c r="U26">
        <f>SUMIFS(banco!W:W,banco!$C:$C,$B26,banco!$A:$A,$A26)</f>
        <v>0</v>
      </c>
      <c r="V26" s="13">
        <f t="shared" si="9"/>
        <v>0</v>
      </c>
      <c r="W26">
        <f>SUMIFS(banco!Y:Y,banco!$C:$C,$B26,banco!$A:$A,$A26)</f>
        <v>0</v>
      </c>
      <c r="X26" s="13">
        <f t="shared" si="10"/>
        <v>0</v>
      </c>
      <c r="Y26">
        <f>SUMIFS(banco!AA:AA,banco!$C:$C,$B26,banco!$A:$A,$A26)</f>
        <v>0</v>
      </c>
      <c r="Z26" s="13">
        <f t="shared" si="11"/>
        <v>0</v>
      </c>
      <c r="AA26">
        <f>SUMIFS(banco!AC:AC,banco!$C:$C,$B26,banco!$A:$A,$A26)</f>
        <v>0</v>
      </c>
      <c r="AB26" s="13">
        <f t="shared" si="12"/>
        <v>0</v>
      </c>
      <c r="AC26">
        <f>SUMIFS(banco!AE:AE,banco!$C:$C,$B26,banco!$A:$A,$A26)</f>
        <v>0</v>
      </c>
      <c r="AD26" s="13">
        <f t="shared" si="13"/>
        <v>0</v>
      </c>
      <c r="AE26">
        <f>SUMIFS(banco!AG:AG,banco!$C:$C,$B26,banco!$A:$A,$A26)</f>
        <v>0</v>
      </c>
      <c r="AF26" s="13">
        <f t="shared" si="14"/>
        <v>0</v>
      </c>
      <c r="AG26">
        <f>SUMIFS(banco!AI:AI,banco!$C:$C,$B26,banco!$A:$A,$A26)</f>
        <v>0</v>
      </c>
      <c r="AH26" s="13">
        <f t="shared" si="15"/>
        <v>0</v>
      </c>
      <c r="AI26">
        <f>SUMIFS(banco!AK:AK,banco!$C:$C,$B26,banco!$A:$A,$A26)</f>
        <v>0</v>
      </c>
      <c r="AJ26" s="13">
        <f t="shared" si="16"/>
        <v>0</v>
      </c>
      <c r="AK26">
        <f>SUMIFS(banco!AM:AM,banco!$C:$C,$B26,banco!$A:$A,$A26)</f>
        <v>0</v>
      </c>
      <c r="AL26" s="13">
        <f t="shared" si="17"/>
        <v>0</v>
      </c>
      <c r="AM26">
        <f>SUMIFS(banco!AO:AO,banco!$C:$C,$B26,banco!$A:$A,$A26)</f>
        <v>0</v>
      </c>
      <c r="AN26" s="13">
        <f t="shared" si="18"/>
        <v>0</v>
      </c>
      <c r="AO26">
        <f>SUMIFS(banco!AQ:AQ,banco!$C:$C,$B26,banco!$A:$A,$A26)</f>
        <v>0</v>
      </c>
      <c r="AP26" s="13">
        <f t="shared" si="19"/>
        <v>0</v>
      </c>
      <c r="AQ26">
        <f>SUMIFS(banco!AS:AS,banco!$C:$C,$B26,banco!$A:$A,$A26)</f>
        <v>0</v>
      </c>
      <c r="AR26" s="13">
        <f t="shared" si="20"/>
        <v>0</v>
      </c>
      <c r="AS26">
        <f>SUMIFS(banco!AU:AU,banco!$C:$C,$B26,banco!$A:$A,$A26)</f>
        <v>0</v>
      </c>
      <c r="AT26" s="13">
        <f t="shared" si="21"/>
        <v>0</v>
      </c>
      <c r="AU26">
        <f>SUMIFS(banco!AW:AW,banco!$C:$C,$B26,banco!$A:$A,$A26)</f>
        <v>0</v>
      </c>
      <c r="AV26" s="13">
        <f t="shared" si="22"/>
        <v>0</v>
      </c>
      <c r="AW26">
        <f>SUMIFS(banco!AY:AY,banco!$C:$C,$B26,banco!$A:$A,$A26)</f>
        <v>0</v>
      </c>
      <c r="AX26" s="13">
        <f t="shared" si="23"/>
        <v>0</v>
      </c>
      <c r="AY26">
        <f>SUMIFS(banco!BA:BA,banco!$C:$C,$B26,banco!$A:$A,$A26)</f>
        <v>0</v>
      </c>
      <c r="AZ26" s="13">
        <f t="shared" si="24"/>
        <v>0</v>
      </c>
      <c r="BA26">
        <f>SUMIFS(banco!BC:BC,banco!$C:$C,$B26,banco!$A:$A,$A26)</f>
        <v>0</v>
      </c>
      <c r="BB26" s="13">
        <f t="shared" si="25"/>
        <v>0</v>
      </c>
      <c r="BC26">
        <f>SUMIFS(banco!BE:BE,banco!$C:$C,$B26,banco!$A:$A,$A26)</f>
        <v>0</v>
      </c>
      <c r="BD26">
        <f>SUMIFS(banco!BF:BF,banco!$C:$C,$B26,banco!$A:$A,$A26)</f>
        <v>0</v>
      </c>
      <c r="BE26">
        <v>9727</v>
      </c>
    </row>
    <row r="27" spans="1:57" x14ac:dyDescent="0.25">
      <c r="A27" s="24">
        <v>2018</v>
      </c>
      <c r="B27" s="22" t="s">
        <v>145</v>
      </c>
      <c r="C27">
        <f>SUMIFS(banco!E:E,banco!$C:$C,$B27,banco!$A:$A,$A27)</f>
        <v>0</v>
      </c>
      <c r="D27" s="13">
        <f t="shared" si="0"/>
        <v>0</v>
      </c>
      <c r="E27">
        <f>SUMIFS(banco!G:G,banco!$C:$C,$B27,banco!$A:$A,$A27)</f>
        <v>0</v>
      </c>
      <c r="F27" s="13">
        <f t="shared" si="1"/>
        <v>0</v>
      </c>
      <c r="G27">
        <f>SUMIFS(banco!I:I,banco!$C:$C,$B27,banco!$A:$A,$A27)</f>
        <v>0</v>
      </c>
      <c r="H27" s="13">
        <f t="shared" si="2"/>
        <v>0</v>
      </c>
      <c r="I27">
        <f>SUMIFS(banco!K:K,banco!$C:$C,$B27,banco!$A:$A,$A27)</f>
        <v>0</v>
      </c>
      <c r="J27" s="13">
        <f t="shared" si="3"/>
        <v>0</v>
      </c>
      <c r="K27">
        <f>SUMIFS(banco!M:M,banco!$C:$C,$B27,banco!$A:$A,$A27)</f>
        <v>0</v>
      </c>
      <c r="L27" s="13">
        <f t="shared" si="4"/>
        <v>0</v>
      </c>
      <c r="M27">
        <f>SUMIFS(banco!O:O,banco!$C:$C,$B27,banco!$A:$A,$A27)</f>
        <v>0</v>
      </c>
      <c r="N27" s="13">
        <f t="shared" si="5"/>
        <v>0</v>
      </c>
      <c r="O27">
        <f>SUMIFS(banco!Q:Q,banco!$C:$C,$B27,banco!$A:$A,$A27)</f>
        <v>0</v>
      </c>
      <c r="P27" s="13">
        <f t="shared" si="6"/>
        <v>0</v>
      </c>
      <c r="Q27">
        <f>SUMIFS(banco!S:S,banco!$C:$C,$B27,banco!$A:$A,$A27)</f>
        <v>0</v>
      </c>
      <c r="R27" s="13">
        <f t="shared" si="7"/>
        <v>0</v>
      </c>
      <c r="S27">
        <f>SUMIFS(banco!U:U,banco!$C:$C,$B27,banco!$A:$A,$A27)</f>
        <v>0</v>
      </c>
      <c r="T27" s="13">
        <f t="shared" si="8"/>
        <v>0</v>
      </c>
      <c r="U27">
        <f>SUMIFS(banco!W:W,banco!$C:$C,$B27,banco!$A:$A,$A27)</f>
        <v>0</v>
      </c>
      <c r="V27" s="13">
        <f t="shared" si="9"/>
        <v>0</v>
      </c>
      <c r="W27">
        <f>SUMIFS(banco!Y:Y,banco!$C:$C,$B27,banco!$A:$A,$A27)</f>
        <v>0</v>
      </c>
      <c r="X27" s="13">
        <f t="shared" si="10"/>
        <v>0</v>
      </c>
      <c r="Y27">
        <f>SUMIFS(banco!AA:AA,banco!$C:$C,$B27,banco!$A:$A,$A27)</f>
        <v>0</v>
      </c>
      <c r="Z27" s="13">
        <f t="shared" si="11"/>
        <v>0</v>
      </c>
      <c r="AA27">
        <f>SUMIFS(banco!AC:AC,banco!$C:$C,$B27,banco!$A:$A,$A27)</f>
        <v>0</v>
      </c>
      <c r="AB27" s="13">
        <f t="shared" si="12"/>
        <v>0</v>
      </c>
      <c r="AC27">
        <f>SUMIFS(banco!AE:AE,banco!$C:$C,$B27,banco!$A:$A,$A27)</f>
        <v>0</v>
      </c>
      <c r="AD27" s="13">
        <f t="shared" si="13"/>
        <v>0</v>
      </c>
      <c r="AE27">
        <f>SUMIFS(banco!AG:AG,banco!$C:$C,$B27,banco!$A:$A,$A27)</f>
        <v>0</v>
      </c>
      <c r="AF27" s="13">
        <f t="shared" si="14"/>
        <v>0</v>
      </c>
      <c r="AG27">
        <f>SUMIFS(banco!AI:AI,banco!$C:$C,$B27,banco!$A:$A,$A27)</f>
        <v>0</v>
      </c>
      <c r="AH27" s="13">
        <f t="shared" si="15"/>
        <v>0</v>
      </c>
      <c r="AI27">
        <f>SUMIFS(banco!AK:AK,banco!$C:$C,$B27,banco!$A:$A,$A27)</f>
        <v>0</v>
      </c>
      <c r="AJ27" s="13">
        <f t="shared" si="16"/>
        <v>0</v>
      </c>
      <c r="AK27">
        <f>SUMIFS(banco!AM:AM,banco!$C:$C,$B27,banco!$A:$A,$A27)</f>
        <v>0</v>
      </c>
      <c r="AL27" s="13">
        <f t="shared" si="17"/>
        <v>0</v>
      </c>
      <c r="AM27">
        <f>SUMIFS(banco!AO:AO,banco!$C:$C,$B27,banco!$A:$A,$A27)</f>
        <v>0</v>
      </c>
      <c r="AN27" s="13">
        <f t="shared" si="18"/>
        <v>0</v>
      </c>
      <c r="AO27">
        <f>SUMIFS(banco!AQ:AQ,banco!$C:$C,$B27,banco!$A:$A,$A27)</f>
        <v>0</v>
      </c>
      <c r="AP27" s="13">
        <f t="shared" si="19"/>
        <v>0</v>
      </c>
      <c r="AQ27">
        <f>SUMIFS(banco!AS:AS,banco!$C:$C,$B27,banco!$A:$A,$A27)</f>
        <v>0</v>
      </c>
      <c r="AR27" s="13">
        <f t="shared" si="20"/>
        <v>0</v>
      </c>
      <c r="AS27">
        <f>SUMIFS(banco!AU:AU,banco!$C:$C,$B27,banco!$A:$A,$A27)</f>
        <v>0</v>
      </c>
      <c r="AT27" s="13">
        <f t="shared" si="21"/>
        <v>0</v>
      </c>
      <c r="AU27">
        <f>SUMIFS(banco!AW:AW,banco!$C:$C,$B27,banco!$A:$A,$A27)</f>
        <v>0</v>
      </c>
      <c r="AV27" s="13">
        <f t="shared" si="22"/>
        <v>0</v>
      </c>
      <c r="AW27">
        <f>SUMIFS(banco!AY:AY,banco!$C:$C,$B27,banco!$A:$A,$A27)</f>
        <v>0</v>
      </c>
      <c r="AX27" s="13">
        <f t="shared" si="23"/>
        <v>0</v>
      </c>
      <c r="AY27">
        <f>SUMIFS(banco!BA:BA,banco!$C:$C,$B27,banco!$A:$A,$A27)</f>
        <v>0</v>
      </c>
      <c r="AZ27" s="13">
        <f t="shared" si="24"/>
        <v>0</v>
      </c>
      <c r="BA27">
        <f>SUMIFS(banco!BC:BC,banco!$C:$C,$B27,banco!$A:$A,$A27)</f>
        <v>0</v>
      </c>
      <c r="BB27" s="13">
        <f t="shared" si="25"/>
        <v>0</v>
      </c>
      <c r="BC27">
        <f>SUMIFS(banco!BE:BE,banco!$C:$C,$B27,banco!$A:$A,$A27)</f>
        <v>0</v>
      </c>
      <c r="BD27">
        <f>SUMIFS(banco!BF:BF,banco!$C:$C,$B27,banco!$A:$A,$A27)</f>
        <v>0</v>
      </c>
      <c r="BE27">
        <v>18079</v>
      </c>
    </row>
    <row r="28" spans="1:57" x14ac:dyDescent="0.25">
      <c r="A28" s="24">
        <v>2018</v>
      </c>
      <c r="B28" s="22" t="s">
        <v>144</v>
      </c>
      <c r="C28">
        <f>SUMIFS(banco!E:E,banco!$C:$C,$B28,banco!$A:$A,$A28)</f>
        <v>0</v>
      </c>
      <c r="D28" s="13">
        <f t="shared" si="0"/>
        <v>0</v>
      </c>
      <c r="E28">
        <f>SUMIFS(banco!G:G,banco!$C:$C,$B28,banco!$A:$A,$A28)</f>
        <v>0</v>
      </c>
      <c r="F28" s="13">
        <f t="shared" si="1"/>
        <v>0</v>
      </c>
      <c r="G28">
        <f>SUMIFS(banco!I:I,banco!$C:$C,$B28,banco!$A:$A,$A28)</f>
        <v>0</v>
      </c>
      <c r="H28" s="13">
        <f t="shared" si="2"/>
        <v>0</v>
      </c>
      <c r="I28">
        <f>SUMIFS(banco!K:K,banco!$C:$C,$B28,banco!$A:$A,$A28)</f>
        <v>0</v>
      </c>
      <c r="J28" s="13">
        <f t="shared" si="3"/>
        <v>0</v>
      </c>
      <c r="K28">
        <f>SUMIFS(banco!M:M,banco!$C:$C,$B28,banco!$A:$A,$A28)</f>
        <v>0</v>
      </c>
      <c r="L28" s="13">
        <f t="shared" si="4"/>
        <v>0</v>
      </c>
      <c r="M28">
        <f>SUMIFS(banco!O:O,banco!$C:$C,$B28,banco!$A:$A,$A28)</f>
        <v>0</v>
      </c>
      <c r="N28" s="13">
        <f t="shared" si="5"/>
        <v>0</v>
      </c>
      <c r="O28">
        <f>SUMIFS(banco!Q:Q,banco!$C:$C,$B28,banco!$A:$A,$A28)</f>
        <v>0</v>
      </c>
      <c r="P28" s="13">
        <f t="shared" si="6"/>
        <v>0</v>
      </c>
      <c r="Q28">
        <f>SUMIFS(banco!S:S,banco!$C:$C,$B28,banco!$A:$A,$A28)</f>
        <v>0</v>
      </c>
      <c r="R28" s="13">
        <f t="shared" si="7"/>
        <v>0</v>
      </c>
      <c r="S28">
        <f>SUMIFS(banco!U:U,banco!$C:$C,$B28,banco!$A:$A,$A28)</f>
        <v>0</v>
      </c>
      <c r="T28" s="13">
        <f t="shared" si="8"/>
        <v>0</v>
      </c>
      <c r="U28">
        <f>SUMIFS(banco!W:W,banco!$C:$C,$B28,banco!$A:$A,$A28)</f>
        <v>0</v>
      </c>
      <c r="V28" s="13">
        <f t="shared" si="9"/>
        <v>0</v>
      </c>
      <c r="W28">
        <f>SUMIFS(banco!Y:Y,banco!$C:$C,$B28,banco!$A:$A,$A28)</f>
        <v>0</v>
      </c>
      <c r="X28" s="13">
        <f t="shared" si="10"/>
        <v>0</v>
      </c>
      <c r="Y28">
        <f>SUMIFS(banco!AA:AA,banco!$C:$C,$B28,banco!$A:$A,$A28)</f>
        <v>0</v>
      </c>
      <c r="Z28" s="13">
        <f t="shared" si="11"/>
        <v>0</v>
      </c>
      <c r="AA28">
        <f>SUMIFS(banco!AC:AC,banco!$C:$C,$B28,banco!$A:$A,$A28)</f>
        <v>0</v>
      </c>
      <c r="AB28" s="13">
        <f t="shared" si="12"/>
        <v>0</v>
      </c>
      <c r="AC28">
        <f>SUMIFS(banco!AE:AE,banco!$C:$C,$B28,banco!$A:$A,$A28)</f>
        <v>0</v>
      </c>
      <c r="AD28" s="13">
        <f t="shared" si="13"/>
        <v>0</v>
      </c>
      <c r="AE28">
        <f>SUMIFS(banco!AG:AG,banco!$C:$C,$B28,banco!$A:$A,$A28)</f>
        <v>0</v>
      </c>
      <c r="AF28" s="13">
        <f t="shared" si="14"/>
        <v>0</v>
      </c>
      <c r="AG28">
        <f>SUMIFS(banco!AI:AI,banco!$C:$C,$B28,banco!$A:$A,$A28)</f>
        <v>0</v>
      </c>
      <c r="AH28" s="13">
        <f t="shared" si="15"/>
        <v>0</v>
      </c>
      <c r="AI28">
        <f>SUMIFS(banco!AK:AK,banco!$C:$C,$B28,banco!$A:$A,$A28)</f>
        <v>0</v>
      </c>
      <c r="AJ28" s="13">
        <f t="shared" si="16"/>
        <v>0</v>
      </c>
      <c r="AK28">
        <f>SUMIFS(banco!AM:AM,banco!$C:$C,$B28,banco!$A:$A,$A28)</f>
        <v>0</v>
      </c>
      <c r="AL28" s="13">
        <f t="shared" si="17"/>
        <v>0</v>
      </c>
      <c r="AM28">
        <f>SUMIFS(banco!AO:AO,banco!$C:$C,$B28,banco!$A:$A,$A28)</f>
        <v>0</v>
      </c>
      <c r="AN28" s="13">
        <f t="shared" si="18"/>
        <v>0</v>
      </c>
      <c r="AO28">
        <f>SUMIFS(banco!AQ:AQ,banco!$C:$C,$B28,banco!$A:$A,$A28)</f>
        <v>0</v>
      </c>
      <c r="AP28" s="13">
        <f t="shared" si="19"/>
        <v>0</v>
      </c>
      <c r="AQ28">
        <f>SUMIFS(banco!AS:AS,banco!$C:$C,$B28,banco!$A:$A,$A28)</f>
        <v>0</v>
      </c>
      <c r="AR28" s="13">
        <f t="shared" si="20"/>
        <v>0</v>
      </c>
      <c r="AS28">
        <f>SUMIFS(banco!AU:AU,banco!$C:$C,$B28,banco!$A:$A,$A28)</f>
        <v>0</v>
      </c>
      <c r="AT28" s="13">
        <f t="shared" si="21"/>
        <v>0</v>
      </c>
      <c r="AU28">
        <f>SUMIFS(banco!AW:AW,banco!$C:$C,$B28,banco!$A:$A,$A28)</f>
        <v>0</v>
      </c>
      <c r="AV28" s="13">
        <f t="shared" si="22"/>
        <v>0</v>
      </c>
      <c r="AW28">
        <f>SUMIFS(banco!AY:AY,banco!$C:$C,$B28,banco!$A:$A,$A28)</f>
        <v>0</v>
      </c>
      <c r="AX28" s="13">
        <f t="shared" si="23"/>
        <v>0</v>
      </c>
      <c r="AY28">
        <f>SUMIFS(banco!BA:BA,banco!$C:$C,$B28,banco!$A:$A,$A28)</f>
        <v>0</v>
      </c>
      <c r="AZ28" s="13">
        <f t="shared" si="24"/>
        <v>0</v>
      </c>
      <c r="BA28">
        <f>SUMIFS(banco!BC:BC,banco!$C:$C,$B28,banco!$A:$A,$A28)</f>
        <v>0</v>
      </c>
      <c r="BB28" s="13">
        <f t="shared" si="25"/>
        <v>0</v>
      </c>
      <c r="BC28">
        <f>SUMIFS(banco!BE:BE,banco!$C:$C,$B28,banco!$A:$A,$A28)</f>
        <v>0</v>
      </c>
      <c r="BD28">
        <f>SUMIFS(banco!BF:BF,banco!$C:$C,$B28,banco!$A:$A,$A28)</f>
        <v>0</v>
      </c>
      <c r="BE28">
        <v>9974</v>
      </c>
    </row>
    <row r="29" spans="1:57" x14ac:dyDescent="0.25">
      <c r="A29" s="24">
        <v>2018</v>
      </c>
      <c r="B29" s="22" t="s">
        <v>148</v>
      </c>
      <c r="C29">
        <f>SUMIFS(banco!E:E,banco!$C:$C,$B29,banco!$A:$A,$A29)</f>
        <v>0</v>
      </c>
      <c r="D29" s="13">
        <f t="shared" si="0"/>
        <v>0</v>
      </c>
      <c r="E29">
        <f>SUMIFS(banco!G:G,banco!$C:$C,$B29,banco!$A:$A,$A29)</f>
        <v>0</v>
      </c>
      <c r="F29" s="13">
        <f t="shared" si="1"/>
        <v>0</v>
      </c>
      <c r="G29">
        <f>SUMIFS(banco!I:I,banco!$C:$C,$B29,banco!$A:$A,$A29)</f>
        <v>0</v>
      </c>
      <c r="H29" s="13">
        <f t="shared" si="2"/>
        <v>0</v>
      </c>
      <c r="I29">
        <f>SUMIFS(banco!K:K,banco!$C:$C,$B29,banco!$A:$A,$A29)</f>
        <v>0</v>
      </c>
      <c r="J29" s="13">
        <f t="shared" si="3"/>
        <v>0</v>
      </c>
      <c r="K29">
        <f>SUMIFS(banco!M:M,banco!$C:$C,$B29,banco!$A:$A,$A29)</f>
        <v>0</v>
      </c>
      <c r="L29" s="13">
        <f t="shared" si="4"/>
        <v>0</v>
      </c>
      <c r="M29">
        <f>SUMIFS(banco!O:O,banco!$C:$C,$B29,banco!$A:$A,$A29)</f>
        <v>0</v>
      </c>
      <c r="N29" s="13">
        <f t="shared" si="5"/>
        <v>0</v>
      </c>
      <c r="O29">
        <f>SUMIFS(banco!Q:Q,banco!$C:$C,$B29,banco!$A:$A,$A29)</f>
        <v>0</v>
      </c>
      <c r="P29" s="13">
        <f t="shared" si="6"/>
        <v>0</v>
      </c>
      <c r="Q29">
        <f>SUMIFS(banco!S:S,banco!$C:$C,$B29,banco!$A:$A,$A29)</f>
        <v>0</v>
      </c>
      <c r="R29" s="13">
        <f t="shared" si="7"/>
        <v>0</v>
      </c>
      <c r="S29">
        <f>SUMIFS(banco!U:U,banco!$C:$C,$B29,banco!$A:$A,$A29)</f>
        <v>0</v>
      </c>
      <c r="T29" s="13">
        <f t="shared" si="8"/>
        <v>0</v>
      </c>
      <c r="U29">
        <f>SUMIFS(banco!W:W,banco!$C:$C,$B29,banco!$A:$A,$A29)</f>
        <v>0</v>
      </c>
      <c r="V29" s="13">
        <f t="shared" si="9"/>
        <v>0</v>
      </c>
      <c r="W29">
        <f>SUMIFS(banco!Y:Y,banco!$C:$C,$B29,banco!$A:$A,$A29)</f>
        <v>0</v>
      </c>
      <c r="X29" s="13">
        <f t="shared" si="10"/>
        <v>0</v>
      </c>
      <c r="Y29">
        <f>SUMIFS(banco!AA:AA,banco!$C:$C,$B29,banco!$A:$A,$A29)</f>
        <v>0</v>
      </c>
      <c r="Z29" s="13">
        <f t="shared" si="11"/>
        <v>0</v>
      </c>
      <c r="AA29">
        <f>SUMIFS(banco!AC:AC,banco!$C:$C,$B29,banco!$A:$A,$A29)</f>
        <v>0</v>
      </c>
      <c r="AB29" s="13">
        <f t="shared" si="12"/>
        <v>0</v>
      </c>
      <c r="AC29">
        <f>SUMIFS(banco!AE:AE,banco!$C:$C,$B29,banco!$A:$A,$A29)</f>
        <v>0</v>
      </c>
      <c r="AD29" s="13">
        <f t="shared" si="13"/>
        <v>0</v>
      </c>
      <c r="AE29">
        <f>SUMIFS(banco!AG:AG,banco!$C:$C,$B29,banco!$A:$A,$A29)</f>
        <v>0</v>
      </c>
      <c r="AF29" s="13">
        <f t="shared" si="14"/>
        <v>0</v>
      </c>
      <c r="AG29">
        <f>SUMIFS(banco!AI:AI,banco!$C:$C,$B29,banco!$A:$A,$A29)</f>
        <v>0</v>
      </c>
      <c r="AH29" s="13">
        <f t="shared" si="15"/>
        <v>0</v>
      </c>
      <c r="AI29">
        <f>SUMIFS(banco!AK:AK,banco!$C:$C,$B29,banco!$A:$A,$A29)</f>
        <v>0</v>
      </c>
      <c r="AJ29" s="13">
        <f t="shared" si="16"/>
        <v>0</v>
      </c>
      <c r="AK29">
        <f>SUMIFS(banco!AM:AM,banco!$C:$C,$B29,banco!$A:$A,$A29)</f>
        <v>0</v>
      </c>
      <c r="AL29" s="13">
        <f t="shared" si="17"/>
        <v>0</v>
      </c>
      <c r="AM29">
        <f>SUMIFS(banco!AO:AO,banco!$C:$C,$B29,banco!$A:$A,$A29)</f>
        <v>0</v>
      </c>
      <c r="AN29" s="13">
        <f t="shared" si="18"/>
        <v>0</v>
      </c>
      <c r="AO29">
        <f>SUMIFS(banco!AQ:AQ,banco!$C:$C,$B29,banco!$A:$A,$A29)</f>
        <v>0</v>
      </c>
      <c r="AP29" s="13">
        <f t="shared" si="19"/>
        <v>0</v>
      </c>
      <c r="AQ29">
        <f>SUMIFS(banco!AS:AS,banco!$C:$C,$B29,banco!$A:$A,$A29)</f>
        <v>0</v>
      </c>
      <c r="AR29" s="13">
        <f t="shared" si="20"/>
        <v>0</v>
      </c>
      <c r="AS29">
        <f>SUMIFS(banco!AU:AU,banco!$C:$C,$B29,banco!$A:$A,$A29)</f>
        <v>0</v>
      </c>
      <c r="AT29" s="13">
        <f t="shared" si="21"/>
        <v>0</v>
      </c>
      <c r="AU29">
        <f>SUMIFS(banco!AW:AW,banco!$C:$C,$B29,banco!$A:$A,$A29)</f>
        <v>0</v>
      </c>
      <c r="AV29" s="13">
        <f t="shared" si="22"/>
        <v>0</v>
      </c>
      <c r="AW29">
        <f>SUMIFS(banco!AY:AY,banco!$C:$C,$B29,banco!$A:$A,$A29)</f>
        <v>0</v>
      </c>
      <c r="AX29" s="13">
        <f t="shared" si="23"/>
        <v>0</v>
      </c>
      <c r="AY29">
        <f>SUMIFS(banco!BA:BA,banco!$C:$C,$B29,banco!$A:$A,$A29)</f>
        <v>0</v>
      </c>
      <c r="AZ29" s="13">
        <f t="shared" si="24"/>
        <v>0</v>
      </c>
      <c r="BA29">
        <f>SUMIFS(banco!BC:BC,banco!$C:$C,$B29,banco!$A:$A,$A29)</f>
        <v>0</v>
      </c>
      <c r="BB29" s="13">
        <f t="shared" si="25"/>
        <v>0</v>
      </c>
      <c r="BC29">
        <f>SUMIFS(banco!BE:BE,banco!$C:$C,$B29,banco!$A:$A,$A29)</f>
        <v>0</v>
      </c>
      <c r="BD29">
        <f>SUMIFS(banco!BF:BF,banco!$C:$C,$B29,banco!$A:$A,$A29)</f>
        <v>0</v>
      </c>
      <c r="BE29">
        <v>29309</v>
      </c>
    </row>
    <row r="30" spans="1:57" x14ac:dyDescent="0.25">
      <c r="A30" s="24">
        <v>2018</v>
      </c>
      <c r="B30" s="22" t="s">
        <v>150</v>
      </c>
      <c r="C30">
        <f>SUMIFS(banco!E:E,banco!$C:$C,$B30,banco!$A:$A,$A30)</f>
        <v>0</v>
      </c>
      <c r="D30" s="13">
        <f t="shared" si="0"/>
        <v>0</v>
      </c>
      <c r="E30">
        <f>SUMIFS(banco!G:G,banco!$C:$C,$B30,banco!$A:$A,$A30)</f>
        <v>0</v>
      </c>
      <c r="F30" s="13">
        <f t="shared" si="1"/>
        <v>0</v>
      </c>
      <c r="G30">
        <f>SUMIFS(banco!I:I,banco!$C:$C,$B30,banco!$A:$A,$A30)</f>
        <v>0</v>
      </c>
      <c r="H30" s="13">
        <f t="shared" si="2"/>
        <v>0</v>
      </c>
      <c r="I30">
        <f>SUMIFS(banco!K:K,banco!$C:$C,$B30,banco!$A:$A,$A30)</f>
        <v>0</v>
      </c>
      <c r="J30" s="13">
        <f t="shared" si="3"/>
        <v>0</v>
      </c>
      <c r="K30">
        <f>SUMIFS(banco!M:M,banco!$C:$C,$B30,banco!$A:$A,$A30)</f>
        <v>0</v>
      </c>
      <c r="L30" s="13">
        <f t="shared" si="4"/>
        <v>0</v>
      </c>
      <c r="M30">
        <f>SUMIFS(banco!O:O,banco!$C:$C,$B30,banco!$A:$A,$A30)</f>
        <v>0</v>
      </c>
      <c r="N30" s="13">
        <f t="shared" si="5"/>
        <v>0</v>
      </c>
      <c r="O30">
        <f>SUMIFS(banco!Q:Q,banco!$C:$C,$B30,banco!$A:$A,$A30)</f>
        <v>0</v>
      </c>
      <c r="P30" s="13">
        <f t="shared" si="6"/>
        <v>0</v>
      </c>
      <c r="Q30">
        <f>SUMIFS(banco!S:S,banco!$C:$C,$B30,banco!$A:$A,$A30)</f>
        <v>0</v>
      </c>
      <c r="R30" s="13">
        <f t="shared" si="7"/>
        <v>0</v>
      </c>
      <c r="S30">
        <f>SUMIFS(banco!U:U,banco!$C:$C,$B30,banco!$A:$A,$A30)</f>
        <v>0</v>
      </c>
      <c r="T30" s="13">
        <f t="shared" si="8"/>
        <v>0</v>
      </c>
      <c r="U30">
        <f>SUMIFS(banco!W:W,banco!$C:$C,$B30,banco!$A:$A,$A30)</f>
        <v>0</v>
      </c>
      <c r="V30" s="13">
        <f t="shared" si="9"/>
        <v>0</v>
      </c>
      <c r="W30">
        <f>SUMIFS(banco!Y:Y,banco!$C:$C,$B30,banco!$A:$A,$A30)</f>
        <v>0</v>
      </c>
      <c r="X30" s="13">
        <f t="shared" si="10"/>
        <v>0</v>
      </c>
      <c r="Y30">
        <f>SUMIFS(banco!AA:AA,banco!$C:$C,$B30,banco!$A:$A,$A30)</f>
        <v>0</v>
      </c>
      <c r="Z30" s="13">
        <f t="shared" si="11"/>
        <v>0</v>
      </c>
      <c r="AA30">
        <f>SUMIFS(banco!AC:AC,banco!$C:$C,$B30,banco!$A:$A,$A30)</f>
        <v>0</v>
      </c>
      <c r="AB30" s="13">
        <f t="shared" si="12"/>
        <v>0</v>
      </c>
      <c r="AC30">
        <f>SUMIFS(banco!AE:AE,banco!$C:$C,$B30,banco!$A:$A,$A30)</f>
        <v>0</v>
      </c>
      <c r="AD30" s="13">
        <f t="shared" si="13"/>
        <v>0</v>
      </c>
      <c r="AE30">
        <f>SUMIFS(banco!AG:AG,banco!$C:$C,$B30,banco!$A:$A,$A30)</f>
        <v>0</v>
      </c>
      <c r="AF30" s="13">
        <f t="shared" si="14"/>
        <v>0</v>
      </c>
      <c r="AG30">
        <f>SUMIFS(banco!AI:AI,banco!$C:$C,$B30,banco!$A:$A,$A30)</f>
        <v>0</v>
      </c>
      <c r="AH30" s="13">
        <f t="shared" si="15"/>
        <v>0</v>
      </c>
      <c r="AI30">
        <f>SUMIFS(banco!AK:AK,banco!$C:$C,$B30,banco!$A:$A,$A30)</f>
        <v>0</v>
      </c>
      <c r="AJ30" s="13">
        <f t="shared" si="16"/>
        <v>0</v>
      </c>
      <c r="AK30">
        <f>SUMIFS(banco!AM:AM,banco!$C:$C,$B30,banco!$A:$A,$A30)</f>
        <v>0</v>
      </c>
      <c r="AL30" s="13">
        <f t="shared" si="17"/>
        <v>0</v>
      </c>
      <c r="AM30">
        <f>SUMIFS(banco!AO:AO,banco!$C:$C,$B30,banco!$A:$A,$A30)</f>
        <v>0</v>
      </c>
      <c r="AN30" s="13">
        <f t="shared" si="18"/>
        <v>0</v>
      </c>
      <c r="AO30">
        <f>SUMIFS(banco!AQ:AQ,banco!$C:$C,$B30,banco!$A:$A,$A30)</f>
        <v>0</v>
      </c>
      <c r="AP30" s="13">
        <f t="shared" si="19"/>
        <v>0</v>
      </c>
      <c r="AQ30">
        <f>SUMIFS(banco!AS:AS,banco!$C:$C,$B30,banco!$A:$A,$A30)</f>
        <v>0</v>
      </c>
      <c r="AR30" s="13">
        <f t="shared" si="20"/>
        <v>0</v>
      </c>
      <c r="AS30">
        <f>SUMIFS(banco!AU:AU,banco!$C:$C,$B30,banco!$A:$A,$A30)</f>
        <v>0</v>
      </c>
      <c r="AT30" s="13">
        <f t="shared" si="21"/>
        <v>0</v>
      </c>
      <c r="AU30">
        <f>SUMIFS(banco!AW:AW,banco!$C:$C,$B30,banco!$A:$A,$A30)</f>
        <v>0</v>
      </c>
      <c r="AV30" s="13">
        <f t="shared" si="22"/>
        <v>0</v>
      </c>
      <c r="AW30">
        <f>SUMIFS(banco!AY:AY,banco!$C:$C,$B30,banco!$A:$A,$A30)</f>
        <v>0</v>
      </c>
      <c r="AX30" s="13">
        <f t="shared" si="23"/>
        <v>0</v>
      </c>
      <c r="AY30">
        <f>SUMIFS(banco!BA:BA,banco!$C:$C,$B30,banco!$A:$A,$A30)</f>
        <v>0</v>
      </c>
      <c r="AZ30" s="13">
        <f t="shared" si="24"/>
        <v>0</v>
      </c>
      <c r="BA30">
        <f>SUMIFS(banco!BC:BC,banco!$C:$C,$B30,banco!$A:$A,$A30)</f>
        <v>0</v>
      </c>
      <c r="BB30" s="13">
        <f t="shared" si="25"/>
        <v>0</v>
      </c>
      <c r="BC30">
        <f>SUMIFS(banco!BE:BE,banco!$C:$C,$B30,banco!$A:$A,$A30)</f>
        <v>0</v>
      </c>
      <c r="BD30">
        <f>SUMIFS(banco!BF:BF,banco!$C:$C,$B30,banco!$A:$A,$A30)</f>
        <v>0</v>
      </c>
      <c r="BE30">
        <v>12246</v>
      </c>
    </row>
    <row r="31" spans="1:57" x14ac:dyDescent="0.25">
      <c r="A31" s="24">
        <v>2018</v>
      </c>
      <c r="B31" s="22" t="s">
        <v>146</v>
      </c>
      <c r="C31">
        <f>SUMIFS(banco!E:E,banco!$C:$C,$B31,banco!$A:$A,$A31)</f>
        <v>0</v>
      </c>
      <c r="D31" s="13">
        <f t="shared" si="0"/>
        <v>0</v>
      </c>
      <c r="E31">
        <f>SUMIFS(banco!G:G,banco!$C:$C,$B31,banco!$A:$A,$A31)</f>
        <v>0</v>
      </c>
      <c r="F31" s="13">
        <f t="shared" si="1"/>
        <v>0</v>
      </c>
      <c r="G31">
        <f>SUMIFS(banco!I:I,banco!$C:$C,$B31,banco!$A:$A,$A31)</f>
        <v>0</v>
      </c>
      <c r="H31" s="13">
        <f t="shared" si="2"/>
        <v>0</v>
      </c>
      <c r="I31">
        <f>SUMIFS(banco!K:K,banco!$C:$C,$B31,banco!$A:$A,$A31)</f>
        <v>0</v>
      </c>
      <c r="J31" s="13">
        <f t="shared" si="3"/>
        <v>0</v>
      </c>
      <c r="K31">
        <f>SUMIFS(banco!M:M,banco!$C:$C,$B31,banco!$A:$A,$A31)</f>
        <v>0</v>
      </c>
      <c r="L31" s="13">
        <f t="shared" si="4"/>
        <v>0</v>
      </c>
      <c r="M31">
        <f>SUMIFS(banco!O:O,banco!$C:$C,$B31,banco!$A:$A,$A31)</f>
        <v>0</v>
      </c>
      <c r="N31" s="13">
        <f t="shared" si="5"/>
        <v>0</v>
      </c>
      <c r="O31">
        <f>SUMIFS(banco!Q:Q,banco!$C:$C,$B31,banco!$A:$A,$A31)</f>
        <v>0</v>
      </c>
      <c r="P31" s="13">
        <f t="shared" si="6"/>
        <v>0</v>
      </c>
      <c r="Q31">
        <f>SUMIFS(banco!S:S,banco!$C:$C,$B31,banco!$A:$A,$A31)</f>
        <v>0</v>
      </c>
      <c r="R31" s="13">
        <f t="shared" si="7"/>
        <v>0</v>
      </c>
      <c r="S31">
        <f>SUMIFS(banco!U:U,banco!$C:$C,$B31,banco!$A:$A,$A31)</f>
        <v>0</v>
      </c>
      <c r="T31" s="13">
        <f t="shared" si="8"/>
        <v>0</v>
      </c>
      <c r="U31">
        <f>SUMIFS(banco!W:W,banco!$C:$C,$B31,banco!$A:$A,$A31)</f>
        <v>0</v>
      </c>
      <c r="V31" s="13">
        <f t="shared" si="9"/>
        <v>0</v>
      </c>
      <c r="W31">
        <f>SUMIFS(banco!Y:Y,banco!$C:$C,$B31,banco!$A:$A,$A31)</f>
        <v>0</v>
      </c>
      <c r="X31" s="13">
        <f t="shared" si="10"/>
        <v>0</v>
      </c>
      <c r="Y31">
        <f>SUMIFS(banco!AA:AA,banco!$C:$C,$B31,banco!$A:$A,$A31)</f>
        <v>0</v>
      </c>
      <c r="Z31" s="13">
        <f t="shared" si="11"/>
        <v>0</v>
      </c>
      <c r="AA31">
        <f>SUMIFS(banco!AC:AC,banco!$C:$C,$B31,banco!$A:$A,$A31)</f>
        <v>0</v>
      </c>
      <c r="AB31" s="13">
        <f t="shared" si="12"/>
        <v>0</v>
      </c>
      <c r="AC31">
        <f>SUMIFS(banco!AE:AE,banco!$C:$C,$B31,banco!$A:$A,$A31)</f>
        <v>0</v>
      </c>
      <c r="AD31" s="13">
        <f t="shared" si="13"/>
        <v>0</v>
      </c>
      <c r="AE31">
        <f>SUMIFS(banco!AG:AG,banco!$C:$C,$B31,banco!$A:$A,$A31)</f>
        <v>0</v>
      </c>
      <c r="AF31" s="13">
        <f t="shared" si="14"/>
        <v>0</v>
      </c>
      <c r="AG31">
        <f>SUMIFS(banco!AI:AI,banco!$C:$C,$B31,banco!$A:$A,$A31)</f>
        <v>0</v>
      </c>
      <c r="AH31" s="13">
        <f t="shared" si="15"/>
        <v>0</v>
      </c>
      <c r="AI31">
        <f>SUMIFS(banco!AK:AK,banco!$C:$C,$B31,banco!$A:$A,$A31)</f>
        <v>0</v>
      </c>
      <c r="AJ31" s="13">
        <f t="shared" si="16"/>
        <v>0</v>
      </c>
      <c r="AK31">
        <f>SUMIFS(banco!AM:AM,banco!$C:$C,$B31,banco!$A:$A,$A31)</f>
        <v>0</v>
      </c>
      <c r="AL31" s="13">
        <f t="shared" si="17"/>
        <v>0</v>
      </c>
      <c r="AM31">
        <f>SUMIFS(banco!AO:AO,banco!$C:$C,$B31,banco!$A:$A,$A31)</f>
        <v>0</v>
      </c>
      <c r="AN31" s="13">
        <f t="shared" si="18"/>
        <v>0</v>
      </c>
      <c r="AO31">
        <f>SUMIFS(banco!AQ:AQ,banco!$C:$C,$B31,banco!$A:$A,$A31)</f>
        <v>0</v>
      </c>
      <c r="AP31" s="13">
        <f t="shared" si="19"/>
        <v>0</v>
      </c>
      <c r="AQ31">
        <f>SUMIFS(banco!AS:AS,banco!$C:$C,$B31,banco!$A:$A,$A31)</f>
        <v>0</v>
      </c>
      <c r="AR31" s="13">
        <f t="shared" si="20"/>
        <v>0</v>
      </c>
      <c r="AS31">
        <f>SUMIFS(banco!AU:AU,banco!$C:$C,$B31,banco!$A:$A,$A31)</f>
        <v>0</v>
      </c>
      <c r="AT31" s="13">
        <f t="shared" si="21"/>
        <v>0</v>
      </c>
      <c r="AU31">
        <f>SUMIFS(banco!AW:AW,banco!$C:$C,$B31,banco!$A:$A,$A31)</f>
        <v>0</v>
      </c>
      <c r="AV31" s="13">
        <f t="shared" si="22"/>
        <v>0</v>
      </c>
      <c r="AW31">
        <f>SUMIFS(banco!AY:AY,banco!$C:$C,$B31,banco!$A:$A,$A31)</f>
        <v>0</v>
      </c>
      <c r="AX31" s="13">
        <f t="shared" si="23"/>
        <v>0</v>
      </c>
      <c r="AY31">
        <f>SUMIFS(banco!BA:BA,banco!$C:$C,$B31,banco!$A:$A,$A31)</f>
        <v>0</v>
      </c>
      <c r="AZ31" s="13">
        <f t="shared" si="24"/>
        <v>0</v>
      </c>
      <c r="BA31">
        <f>SUMIFS(banco!BC:BC,banco!$C:$C,$B31,banco!$A:$A,$A31)</f>
        <v>0</v>
      </c>
      <c r="BB31" s="13">
        <f t="shared" si="25"/>
        <v>0</v>
      </c>
      <c r="BC31">
        <f>SUMIFS(banco!BE:BE,banco!$C:$C,$B31,banco!$A:$A,$A31)</f>
        <v>0</v>
      </c>
      <c r="BD31">
        <f>SUMIFS(banco!BF:BF,banco!$C:$C,$B31,banco!$A:$A,$A31)</f>
        <v>0</v>
      </c>
      <c r="BE31">
        <v>13122</v>
      </c>
    </row>
    <row r="32" spans="1:57" x14ac:dyDescent="0.25">
      <c r="A32" s="24">
        <v>2018</v>
      </c>
      <c r="B32" s="22" t="s">
        <v>149</v>
      </c>
      <c r="C32">
        <f>SUMIFS(banco!E:E,banco!$C:$C,$B32,banco!$A:$A,$A32)</f>
        <v>0</v>
      </c>
      <c r="D32" s="13">
        <f t="shared" si="0"/>
        <v>0</v>
      </c>
      <c r="E32">
        <f>SUMIFS(banco!G:G,banco!$C:$C,$B32,banco!$A:$A,$A32)</f>
        <v>0</v>
      </c>
      <c r="F32" s="13">
        <f t="shared" si="1"/>
        <v>0</v>
      </c>
      <c r="G32">
        <f>SUMIFS(banco!I:I,banco!$C:$C,$B32,banco!$A:$A,$A32)</f>
        <v>0</v>
      </c>
      <c r="H32" s="13">
        <f t="shared" si="2"/>
        <v>0</v>
      </c>
      <c r="I32">
        <f>SUMIFS(banco!K:K,banco!$C:$C,$B32,banco!$A:$A,$A32)</f>
        <v>0</v>
      </c>
      <c r="J32" s="13">
        <f t="shared" si="3"/>
        <v>0</v>
      </c>
      <c r="K32">
        <f>SUMIFS(banco!M:M,banco!$C:$C,$B32,banco!$A:$A,$A32)</f>
        <v>0</v>
      </c>
      <c r="L32" s="13">
        <f t="shared" si="4"/>
        <v>0</v>
      </c>
      <c r="M32">
        <f>SUMIFS(banco!O:O,banco!$C:$C,$B32,banco!$A:$A,$A32)</f>
        <v>0</v>
      </c>
      <c r="N32" s="13">
        <f t="shared" si="5"/>
        <v>0</v>
      </c>
      <c r="O32">
        <f>SUMIFS(banco!Q:Q,banco!$C:$C,$B32,banco!$A:$A,$A32)</f>
        <v>0</v>
      </c>
      <c r="P32" s="13">
        <f t="shared" si="6"/>
        <v>0</v>
      </c>
      <c r="Q32">
        <f>SUMIFS(banco!S:S,banco!$C:$C,$B32,banco!$A:$A,$A32)</f>
        <v>0</v>
      </c>
      <c r="R32" s="13">
        <f t="shared" si="7"/>
        <v>0</v>
      </c>
      <c r="S32">
        <f>SUMIFS(banco!U:U,banco!$C:$C,$B32,banco!$A:$A,$A32)</f>
        <v>0</v>
      </c>
      <c r="T32" s="13">
        <f t="shared" si="8"/>
        <v>0</v>
      </c>
      <c r="U32">
        <f>SUMIFS(banco!W:W,banco!$C:$C,$B32,banco!$A:$A,$A32)</f>
        <v>0</v>
      </c>
      <c r="V32" s="13">
        <f t="shared" si="9"/>
        <v>0</v>
      </c>
      <c r="W32">
        <f>SUMIFS(banco!Y:Y,banco!$C:$C,$B32,banco!$A:$A,$A32)</f>
        <v>0</v>
      </c>
      <c r="X32" s="13">
        <f t="shared" si="10"/>
        <v>0</v>
      </c>
      <c r="Y32">
        <f>SUMIFS(banco!AA:AA,banco!$C:$C,$B32,banco!$A:$A,$A32)</f>
        <v>0</v>
      </c>
      <c r="Z32" s="13">
        <f t="shared" si="11"/>
        <v>0</v>
      </c>
      <c r="AA32">
        <f>SUMIFS(banco!AC:AC,banco!$C:$C,$B32,banco!$A:$A,$A32)</f>
        <v>0</v>
      </c>
      <c r="AB32" s="13">
        <f t="shared" si="12"/>
        <v>0</v>
      </c>
      <c r="AC32">
        <f>SUMIFS(banco!AE:AE,banco!$C:$C,$B32,banco!$A:$A,$A32)</f>
        <v>0</v>
      </c>
      <c r="AD32" s="13">
        <f t="shared" si="13"/>
        <v>0</v>
      </c>
      <c r="AE32">
        <f>SUMIFS(banco!AG:AG,banco!$C:$C,$B32,banco!$A:$A,$A32)</f>
        <v>0</v>
      </c>
      <c r="AF32" s="13">
        <f t="shared" si="14"/>
        <v>0</v>
      </c>
      <c r="AG32">
        <f>SUMIFS(banco!AI:AI,banco!$C:$C,$B32,banco!$A:$A,$A32)</f>
        <v>0</v>
      </c>
      <c r="AH32" s="13">
        <f t="shared" si="15"/>
        <v>0</v>
      </c>
      <c r="AI32">
        <f>SUMIFS(banco!AK:AK,banco!$C:$C,$B32,banco!$A:$A,$A32)</f>
        <v>0</v>
      </c>
      <c r="AJ32" s="13">
        <f t="shared" si="16"/>
        <v>0</v>
      </c>
      <c r="AK32">
        <f>SUMIFS(banco!AM:AM,banco!$C:$C,$B32,banco!$A:$A,$A32)</f>
        <v>0</v>
      </c>
      <c r="AL32" s="13">
        <f t="shared" si="17"/>
        <v>0</v>
      </c>
      <c r="AM32">
        <f>SUMIFS(banco!AO:AO,banco!$C:$C,$B32,banco!$A:$A,$A32)</f>
        <v>0</v>
      </c>
      <c r="AN32" s="13">
        <f t="shared" si="18"/>
        <v>0</v>
      </c>
      <c r="AO32">
        <f>SUMIFS(banco!AQ:AQ,banco!$C:$C,$B32,banco!$A:$A,$A32)</f>
        <v>0</v>
      </c>
      <c r="AP32" s="13">
        <f t="shared" si="19"/>
        <v>0</v>
      </c>
      <c r="AQ32">
        <f>SUMIFS(banco!AS:AS,banco!$C:$C,$B32,banco!$A:$A,$A32)</f>
        <v>0</v>
      </c>
      <c r="AR32" s="13">
        <f t="shared" si="20"/>
        <v>0</v>
      </c>
      <c r="AS32">
        <f>SUMIFS(banco!AU:AU,banco!$C:$C,$B32,banco!$A:$A,$A32)</f>
        <v>0</v>
      </c>
      <c r="AT32" s="13">
        <f t="shared" si="21"/>
        <v>0</v>
      </c>
      <c r="AU32">
        <f>SUMIFS(banco!AW:AW,banco!$C:$C,$B32,banco!$A:$A,$A32)</f>
        <v>0</v>
      </c>
      <c r="AV32" s="13">
        <f t="shared" si="22"/>
        <v>0</v>
      </c>
      <c r="AW32">
        <f>SUMIFS(banco!AY:AY,banco!$C:$C,$B32,banco!$A:$A,$A32)</f>
        <v>0</v>
      </c>
      <c r="AX32" s="13">
        <f t="shared" si="23"/>
        <v>0</v>
      </c>
      <c r="AY32">
        <f>SUMIFS(banco!BA:BA,banco!$C:$C,$B32,banco!$A:$A,$A32)</f>
        <v>0</v>
      </c>
      <c r="AZ32" s="13">
        <f t="shared" si="24"/>
        <v>0</v>
      </c>
      <c r="BA32">
        <f>SUMIFS(banco!BC:BC,banco!$C:$C,$B32,banco!$A:$A,$A32)</f>
        <v>0</v>
      </c>
      <c r="BB32" s="13">
        <f t="shared" si="25"/>
        <v>0</v>
      </c>
      <c r="BC32">
        <f>SUMIFS(banco!BE:BE,banco!$C:$C,$B32,banco!$A:$A,$A32)</f>
        <v>0</v>
      </c>
      <c r="BD32">
        <f>SUMIFS(banco!BF:BF,banco!$C:$C,$B32,banco!$A:$A,$A32)</f>
        <v>0</v>
      </c>
      <c r="BE32">
        <v>23222</v>
      </c>
    </row>
    <row r="33" spans="1:57" x14ac:dyDescent="0.25">
      <c r="A33" s="24">
        <v>2018</v>
      </c>
      <c r="B33" s="22" t="s">
        <v>147</v>
      </c>
      <c r="C33">
        <f>SUMIFS(banco!E:E,banco!$C:$C,$B33,banco!$A:$A,$A33)</f>
        <v>0</v>
      </c>
      <c r="D33" s="13">
        <f t="shared" si="0"/>
        <v>0</v>
      </c>
      <c r="E33">
        <f>SUMIFS(banco!G:G,banco!$C:$C,$B33,banco!$A:$A,$A33)</f>
        <v>0</v>
      </c>
      <c r="F33" s="13">
        <f t="shared" si="1"/>
        <v>0</v>
      </c>
      <c r="G33">
        <f>SUMIFS(banco!I:I,banco!$C:$C,$B33,banco!$A:$A,$A33)</f>
        <v>0</v>
      </c>
      <c r="H33" s="13">
        <f t="shared" si="2"/>
        <v>0</v>
      </c>
      <c r="I33">
        <f>SUMIFS(banco!K:K,banco!$C:$C,$B33,banco!$A:$A,$A33)</f>
        <v>0</v>
      </c>
      <c r="J33" s="13">
        <f t="shared" si="3"/>
        <v>0</v>
      </c>
      <c r="K33">
        <f>SUMIFS(banco!M:M,banco!$C:$C,$B33,banco!$A:$A,$A33)</f>
        <v>0</v>
      </c>
      <c r="L33" s="13">
        <f t="shared" si="4"/>
        <v>0</v>
      </c>
      <c r="M33">
        <f>SUMIFS(banco!O:O,banco!$C:$C,$B33,banco!$A:$A,$A33)</f>
        <v>0</v>
      </c>
      <c r="N33" s="13">
        <f t="shared" si="5"/>
        <v>0</v>
      </c>
      <c r="O33">
        <f>SUMIFS(banco!Q:Q,banco!$C:$C,$B33,banco!$A:$A,$A33)</f>
        <v>0</v>
      </c>
      <c r="P33" s="13">
        <f t="shared" si="6"/>
        <v>0</v>
      </c>
      <c r="Q33">
        <f>SUMIFS(banco!S:S,banco!$C:$C,$B33,banco!$A:$A,$A33)</f>
        <v>0</v>
      </c>
      <c r="R33" s="13">
        <f t="shared" si="7"/>
        <v>0</v>
      </c>
      <c r="S33">
        <f>SUMIFS(banco!U:U,banco!$C:$C,$B33,banco!$A:$A,$A33)</f>
        <v>0</v>
      </c>
      <c r="T33" s="13">
        <f t="shared" si="8"/>
        <v>0</v>
      </c>
      <c r="U33">
        <f>SUMIFS(banco!W:W,banco!$C:$C,$B33,banco!$A:$A,$A33)</f>
        <v>0</v>
      </c>
      <c r="V33" s="13">
        <f t="shared" si="9"/>
        <v>0</v>
      </c>
      <c r="W33">
        <f>SUMIFS(banco!Y:Y,banco!$C:$C,$B33,banco!$A:$A,$A33)</f>
        <v>0</v>
      </c>
      <c r="X33" s="13">
        <f t="shared" si="10"/>
        <v>0</v>
      </c>
      <c r="Y33">
        <f>SUMIFS(banco!AA:AA,banco!$C:$C,$B33,banco!$A:$A,$A33)</f>
        <v>0</v>
      </c>
      <c r="Z33" s="13">
        <f t="shared" si="11"/>
        <v>0</v>
      </c>
      <c r="AA33">
        <f>SUMIFS(banco!AC:AC,banco!$C:$C,$B33,banco!$A:$A,$A33)</f>
        <v>0</v>
      </c>
      <c r="AB33" s="13">
        <f t="shared" si="12"/>
        <v>0</v>
      </c>
      <c r="AC33">
        <f>SUMIFS(banco!AE:AE,banco!$C:$C,$B33,banco!$A:$A,$A33)</f>
        <v>0</v>
      </c>
      <c r="AD33" s="13">
        <f t="shared" si="13"/>
        <v>0</v>
      </c>
      <c r="AE33">
        <f>SUMIFS(banco!AG:AG,banco!$C:$C,$B33,banco!$A:$A,$A33)</f>
        <v>0</v>
      </c>
      <c r="AF33" s="13">
        <f t="shared" si="14"/>
        <v>0</v>
      </c>
      <c r="AG33">
        <f>SUMIFS(banco!AI:AI,banco!$C:$C,$B33,banco!$A:$A,$A33)</f>
        <v>0</v>
      </c>
      <c r="AH33" s="13">
        <f t="shared" si="15"/>
        <v>0</v>
      </c>
      <c r="AI33">
        <f>SUMIFS(banco!AK:AK,banco!$C:$C,$B33,banco!$A:$A,$A33)</f>
        <v>0</v>
      </c>
      <c r="AJ33" s="13">
        <f t="shared" si="16"/>
        <v>0</v>
      </c>
      <c r="AK33">
        <f>SUMIFS(banco!AM:AM,banco!$C:$C,$B33,banco!$A:$A,$A33)</f>
        <v>0</v>
      </c>
      <c r="AL33" s="13">
        <f t="shared" si="17"/>
        <v>0</v>
      </c>
      <c r="AM33">
        <f>SUMIFS(banco!AO:AO,banco!$C:$C,$B33,banco!$A:$A,$A33)</f>
        <v>0</v>
      </c>
      <c r="AN33" s="13">
        <f t="shared" si="18"/>
        <v>0</v>
      </c>
      <c r="AO33">
        <f>SUMIFS(banco!AQ:AQ,banco!$C:$C,$B33,banco!$A:$A,$A33)</f>
        <v>0</v>
      </c>
      <c r="AP33" s="13">
        <f t="shared" si="19"/>
        <v>0</v>
      </c>
      <c r="AQ33">
        <f>SUMIFS(banco!AS:AS,banco!$C:$C,$B33,banco!$A:$A,$A33)</f>
        <v>0</v>
      </c>
      <c r="AR33" s="13">
        <f t="shared" si="20"/>
        <v>0</v>
      </c>
      <c r="AS33">
        <f>SUMIFS(banco!AU:AU,banco!$C:$C,$B33,banco!$A:$A,$A33)</f>
        <v>0</v>
      </c>
      <c r="AT33" s="13">
        <f t="shared" si="21"/>
        <v>0</v>
      </c>
      <c r="AU33">
        <f>SUMIFS(banco!AW:AW,banco!$C:$C,$B33,banco!$A:$A,$A33)</f>
        <v>0</v>
      </c>
      <c r="AV33" s="13">
        <f t="shared" si="22"/>
        <v>0</v>
      </c>
      <c r="AW33">
        <f>SUMIFS(banco!AY:AY,banco!$C:$C,$B33,banco!$A:$A,$A33)</f>
        <v>0</v>
      </c>
      <c r="AX33" s="13">
        <f t="shared" si="23"/>
        <v>0</v>
      </c>
      <c r="AY33">
        <f>SUMIFS(banco!BA:BA,banco!$C:$C,$B33,banco!$A:$A,$A33)</f>
        <v>0</v>
      </c>
      <c r="AZ33" s="13">
        <f t="shared" si="24"/>
        <v>0</v>
      </c>
      <c r="BA33">
        <f>SUMIFS(banco!BC:BC,banco!$C:$C,$B33,banco!$A:$A,$A33)</f>
        <v>0</v>
      </c>
      <c r="BB33" s="13">
        <f t="shared" si="25"/>
        <v>0</v>
      </c>
      <c r="BC33">
        <f>SUMIFS(banco!BE:BE,banco!$C:$C,$B33,banco!$A:$A,$A33)</f>
        <v>0</v>
      </c>
      <c r="BD33">
        <f>SUMIFS(banco!BF:BF,banco!$C:$C,$B33,banco!$A:$A,$A33)</f>
        <v>0</v>
      </c>
      <c r="BE33">
        <v>7525</v>
      </c>
    </row>
    <row r="34" spans="1:57" x14ac:dyDescent="0.25">
      <c r="A34" s="24">
        <v>2019</v>
      </c>
      <c r="B34" s="22" t="s">
        <v>151</v>
      </c>
      <c r="C34">
        <f>SUMIFS(banco!E:E,banco!$C:$C,$B34,banco!$A:$A,$A34)</f>
        <v>46</v>
      </c>
      <c r="D34" s="13">
        <f t="shared" si="0"/>
        <v>9.0711891145730632E-3</v>
      </c>
      <c r="E34">
        <f>SUMIFS(banco!G:G,banco!$C:$C,$B34,banco!$A:$A,$A34)</f>
        <v>22</v>
      </c>
      <c r="F34" s="13">
        <f t="shared" si="1"/>
        <v>5.8604155567394782E-3</v>
      </c>
      <c r="G34">
        <f>SUMIFS(banco!I:I,banco!$C:$C,$B34,banco!$A:$A,$A34)</f>
        <v>140</v>
      </c>
      <c r="H34" s="13">
        <f t="shared" si="2"/>
        <v>2.7607966870439756E-2</v>
      </c>
      <c r="I34">
        <f>SUMIFS(banco!K:K,banco!$C:$C,$B34,banco!$A:$A,$A34)</f>
        <v>91</v>
      </c>
      <c r="J34" s="13">
        <f t="shared" si="3"/>
        <v>2.424080980287693E-2</v>
      </c>
      <c r="K34">
        <f>SUMIFS(banco!M:M,banco!$C:$C,$B34,banco!$A:$A,$A34)</f>
        <v>4592</v>
      </c>
      <c r="L34" s="13">
        <f t="shared" si="4"/>
        <v>0.90554131335042398</v>
      </c>
      <c r="M34">
        <f>SUMIFS(banco!O:O,banco!$C:$C,$B34,banco!$A:$A,$A34)</f>
        <v>3398</v>
      </c>
      <c r="N34" s="13">
        <f t="shared" si="5"/>
        <v>0.90516782099094295</v>
      </c>
      <c r="O34">
        <f>SUMIFS(banco!Q:Q,banco!$C:$C,$B34,banco!$A:$A,$A34)</f>
        <v>293</v>
      </c>
      <c r="P34" s="13">
        <f t="shared" si="6"/>
        <v>5.7779530664563206E-2</v>
      </c>
      <c r="Q34">
        <f>SUMIFS(banco!S:S,banco!$C:$C,$B34,banco!$A:$A,$A34)</f>
        <v>243</v>
      </c>
      <c r="R34" s="13">
        <f t="shared" si="7"/>
        <v>6.4730953649440592E-2</v>
      </c>
      <c r="S34">
        <f>SUMIFS(banco!U:U,banco!$C:$C,$B34,banco!$A:$A,$A34)</f>
        <v>227</v>
      </c>
      <c r="T34" s="13">
        <f t="shared" si="8"/>
        <v>4.4764346282784459E-2</v>
      </c>
      <c r="U34">
        <f>SUMIFS(banco!W:W,banco!$C:$C,$B34,banco!$A:$A,$A34)</f>
        <v>154</v>
      </c>
      <c r="V34" s="13">
        <f t="shared" si="9"/>
        <v>4.1022908897176344E-2</v>
      </c>
      <c r="W34">
        <f>SUMIFS(banco!Y:Y,banco!$C:$C,$B34,banco!$A:$A,$A34)</f>
        <v>331</v>
      </c>
      <c r="X34" s="13">
        <f t="shared" si="10"/>
        <v>6.5273121672253992E-2</v>
      </c>
      <c r="Y34">
        <f>SUMIFS(banco!AA:AA,banco!$C:$C,$B34,banco!$A:$A,$A34)</f>
        <v>253</v>
      </c>
      <c r="Z34" s="13">
        <f t="shared" si="11"/>
        <v>6.7394778902503991E-2</v>
      </c>
      <c r="AA34">
        <f>SUMIFS(banco!AC:AC,banco!$C:$C,$B34,banco!$A:$A,$A34)</f>
        <v>4513</v>
      </c>
      <c r="AB34" s="13">
        <f t="shared" si="12"/>
        <v>0.88996253204496156</v>
      </c>
      <c r="AC34">
        <f>SUMIFS(banco!AE:AE,banco!$C:$C,$B34,banco!$A:$A,$A34)</f>
        <v>3347</v>
      </c>
      <c r="AD34" s="13">
        <f t="shared" si="13"/>
        <v>0.89158231220031969</v>
      </c>
      <c r="AE34">
        <f>SUMIFS(banco!AG:AG,banco!$C:$C,$B34,banco!$A:$A,$A34)</f>
        <v>129</v>
      </c>
      <c r="AF34" s="13">
        <f t="shared" si="14"/>
        <v>2.5438769473476633E-2</v>
      </c>
      <c r="AG34">
        <f>SUMIFS(banco!AI:AI,banco!$C:$C,$B34,banco!$A:$A,$A34)</f>
        <v>117</v>
      </c>
      <c r="AH34" s="13">
        <f t="shared" si="15"/>
        <v>3.1166755460841768E-2</v>
      </c>
      <c r="AI34">
        <f>SUMIFS(banco!AK:AK,banco!$C:$C,$B34,banco!$A:$A,$A34)</f>
        <v>227</v>
      </c>
      <c r="AJ34" s="13">
        <f t="shared" si="16"/>
        <v>4.4764346282784459E-2</v>
      </c>
      <c r="AK34">
        <f>SUMIFS(banco!AM:AM,banco!$C:$C,$B34,banco!$A:$A,$A34)</f>
        <v>202</v>
      </c>
      <c r="AL34" s="13">
        <f t="shared" si="17"/>
        <v>5.3809270111880664E-2</v>
      </c>
      <c r="AM34">
        <f>SUMIFS(banco!AO:AO,banco!$C:$C,$B34,banco!$A:$A,$A34)</f>
        <v>3490</v>
      </c>
      <c r="AN34" s="13">
        <f t="shared" si="18"/>
        <v>0.68822717412739109</v>
      </c>
      <c r="AO34">
        <f>SUMIFS(banco!AQ:AQ,banco!$C:$C,$B34,banco!$A:$A,$A34)</f>
        <v>2520</v>
      </c>
      <c r="AP34" s="13">
        <f t="shared" si="19"/>
        <v>0.67128396377197652</v>
      </c>
      <c r="AQ34">
        <f>SUMIFS(banco!AS:AS,banco!$C:$C,$B34,banco!$A:$A,$A34)</f>
        <v>702</v>
      </c>
      <c r="AR34" s="13">
        <f t="shared" si="20"/>
        <v>0.13843423387891934</v>
      </c>
      <c r="AS34">
        <f>SUMIFS(banco!AU:AU,banco!$C:$C,$B34,banco!$A:$A,$A34)</f>
        <v>521</v>
      </c>
      <c r="AT34" s="13">
        <f t="shared" si="21"/>
        <v>0.1387852956846031</v>
      </c>
      <c r="AU34">
        <f>SUMIFS(banco!AW:AW,banco!$C:$C,$B34,banco!$A:$A,$A34)</f>
        <v>268</v>
      </c>
      <c r="AV34" s="13">
        <f t="shared" si="22"/>
        <v>5.2849536580556106E-2</v>
      </c>
      <c r="AW34">
        <f>SUMIFS(banco!AY:AY,banco!$C:$C,$B34,banco!$A:$A,$A34)</f>
        <v>181</v>
      </c>
      <c r="AX34" s="13">
        <f t="shared" si="23"/>
        <v>4.8215237080447525E-2</v>
      </c>
      <c r="AY34">
        <f>SUMIFS(banco!BA:BA,banco!$C:$C,$B34,banco!$A:$A,$A34)</f>
        <v>255</v>
      </c>
      <c r="AZ34" s="13">
        <f t="shared" si="24"/>
        <v>5.0285939656872412E-2</v>
      </c>
      <c r="BA34">
        <f>SUMIFS(banco!BC:BC,banco!$C:$C,$B34,banco!$A:$A,$A34)</f>
        <v>213</v>
      </c>
      <c r="BB34" s="13">
        <f t="shared" si="25"/>
        <v>5.6739477890250398E-2</v>
      </c>
      <c r="BC34">
        <f>SUMIFS(banco!BE:BE,banco!$C:$C,$B34,banco!$A:$A,$A34)</f>
        <v>5071</v>
      </c>
      <c r="BD34">
        <f>SUMIFS(banco!BF:BF,banco!$C:$C,$B34,banco!$A:$A,$A34)</f>
        <v>3754</v>
      </c>
      <c r="BE34">
        <v>9714</v>
      </c>
    </row>
    <row r="35" spans="1:57" x14ac:dyDescent="0.25">
      <c r="A35" s="24">
        <v>2019</v>
      </c>
      <c r="B35" s="22" t="s">
        <v>145</v>
      </c>
      <c r="C35">
        <f>SUMIFS(banco!E:E,banco!$C:$C,$B35,banco!$A:$A,$A35)</f>
        <v>103</v>
      </c>
      <c r="D35" s="13">
        <f t="shared" si="0"/>
        <v>9.2550992901428708E-3</v>
      </c>
      <c r="E35">
        <f>SUMIFS(banco!G:G,banco!$C:$C,$B35,banco!$A:$A,$A35)</f>
        <v>79</v>
      </c>
      <c r="F35" s="13">
        <f t="shared" si="1"/>
        <v>9.5089070775156471E-3</v>
      </c>
      <c r="G35">
        <f>SUMIFS(banco!I:I,banco!$C:$C,$B35,banco!$A:$A,$A35)</f>
        <v>373</v>
      </c>
      <c r="H35" s="13">
        <f t="shared" si="2"/>
        <v>3.3516039176925153E-2</v>
      </c>
      <c r="I35">
        <f>SUMIFS(banco!K:K,banco!$C:$C,$B35,banco!$A:$A,$A35)</f>
        <v>309</v>
      </c>
      <c r="J35" s="13">
        <f t="shared" si="3"/>
        <v>3.7193066923447281E-2</v>
      </c>
      <c r="K35">
        <f>SUMIFS(banco!M:M,banco!$C:$C,$B35,banco!$A:$A,$A35)</f>
        <v>10097</v>
      </c>
      <c r="L35" s="13">
        <f t="shared" si="4"/>
        <v>0.90726929643274323</v>
      </c>
      <c r="M35">
        <f>SUMIFS(banco!O:O,banco!$C:$C,$B35,banco!$A:$A,$A35)</f>
        <v>7466</v>
      </c>
      <c r="N35" s="13">
        <f t="shared" si="5"/>
        <v>0.89865190178141552</v>
      </c>
      <c r="O35">
        <f>SUMIFS(banco!Q:Q,banco!$C:$C,$B35,banco!$A:$A,$A35)</f>
        <v>556</v>
      </c>
      <c r="P35" s="13">
        <f t="shared" si="6"/>
        <v>4.9959565100188695E-2</v>
      </c>
      <c r="Q35">
        <f>SUMIFS(banco!S:S,banco!$C:$C,$B35,banco!$A:$A,$A35)</f>
        <v>454</v>
      </c>
      <c r="R35" s="13">
        <f t="shared" si="7"/>
        <v>5.4646124217621571E-2</v>
      </c>
      <c r="S35">
        <f>SUMIFS(banco!U:U,banco!$C:$C,$B35,banco!$A:$A,$A35)</f>
        <v>746</v>
      </c>
      <c r="T35" s="13">
        <f t="shared" si="8"/>
        <v>6.7032078353850305E-2</v>
      </c>
      <c r="U35">
        <f>SUMIFS(banco!W:W,banco!$C:$C,$B35,banco!$A:$A,$A35)</f>
        <v>630</v>
      </c>
      <c r="V35" s="13">
        <f t="shared" si="9"/>
        <v>7.5830524795377954E-2</v>
      </c>
      <c r="W35">
        <f>SUMIFS(banco!Y:Y,banco!$C:$C,$B35,banco!$A:$A,$A35)</f>
        <v>981</v>
      </c>
      <c r="X35" s="13">
        <f t="shared" si="10"/>
        <v>8.8148081588642291E-2</v>
      </c>
      <c r="Y35">
        <f>SUMIFS(banco!AA:AA,banco!$C:$C,$B35,banco!$A:$A,$A35)</f>
        <v>766</v>
      </c>
      <c r="Z35" s="13">
        <f t="shared" si="11"/>
        <v>9.2200288878189693E-2</v>
      </c>
      <c r="AA35">
        <f>SUMIFS(banco!AC:AC,banco!$C:$C,$B35,banco!$A:$A,$A35)</f>
        <v>9402</v>
      </c>
      <c r="AB35" s="13">
        <f t="shared" si="12"/>
        <v>0.84481984005750743</v>
      </c>
      <c r="AC35">
        <f>SUMIFS(banco!AE:AE,banco!$C:$C,$B35,banco!$A:$A,$A35)</f>
        <v>6912</v>
      </c>
      <c r="AD35" s="13">
        <f t="shared" si="13"/>
        <v>0.83196918632643235</v>
      </c>
      <c r="AE35">
        <f>SUMIFS(banco!AG:AG,banco!$C:$C,$B35,banco!$A:$A,$A35)</f>
        <v>390</v>
      </c>
      <c r="AF35" s="13">
        <f t="shared" si="14"/>
        <v>3.5043579836463293E-2</v>
      </c>
      <c r="AG35">
        <f>SUMIFS(banco!AI:AI,banco!$C:$C,$B35,banco!$A:$A,$A35)</f>
        <v>340</v>
      </c>
      <c r="AH35" s="13">
        <f t="shared" si="15"/>
        <v>4.0924410207029367E-2</v>
      </c>
      <c r="AI35">
        <f>SUMIFS(banco!AK:AK,banco!$C:$C,$B35,banco!$A:$A,$A35)</f>
        <v>469</v>
      </c>
      <c r="AJ35" s="13">
        <f t="shared" si="16"/>
        <v>4.2142151136669963E-2</v>
      </c>
      <c r="AK35">
        <f>SUMIFS(banco!AM:AM,banco!$C:$C,$B35,banco!$A:$A,$A35)</f>
        <v>407</v>
      </c>
      <c r="AL35" s="13">
        <f t="shared" si="17"/>
        <v>4.8988926336061625E-2</v>
      </c>
      <c r="AM35">
        <f>SUMIFS(banco!AO:AO,banco!$C:$C,$B35,banco!$A:$A,$A35)</f>
        <v>7245</v>
      </c>
      <c r="AN35" s="13">
        <f t="shared" si="18"/>
        <v>0.65100188696199124</v>
      </c>
      <c r="AO35">
        <f>SUMIFS(banco!AQ:AQ,banco!$C:$C,$B35,banco!$A:$A,$A35)</f>
        <v>5339</v>
      </c>
      <c r="AP35" s="13">
        <f t="shared" si="19"/>
        <v>0.64263360616273468</v>
      </c>
      <c r="AQ35">
        <f>SUMIFS(banco!AS:AS,banco!$C:$C,$B35,banco!$A:$A,$A35)</f>
        <v>1662</v>
      </c>
      <c r="AR35" s="13">
        <f t="shared" si="20"/>
        <v>0.14933956330308204</v>
      </c>
      <c r="AS35">
        <f>SUMIFS(banco!AU:AU,banco!$C:$C,$B35,banco!$A:$A,$A35)</f>
        <v>1183</v>
      </c>
      <c r="AT35" s="13">
        <f t="shared" si="21"/>
        <v>0.14239287433798747</v>
      </c>
      <c r="AU35">
        <f>SUMIFS(banco!AW:AW,banco!$C:$C,$B35,banco!$A:$A,$A35)</f>
        <v>710</v>
      </c>
      <c r="AV35" s="13">
        <f t="shared" si="22"/>
        <v>6.3797286368945993E-2</v>
      </c>
      <c r="AW35">
        <f>SUMIFS(banco!AY:AY,banco!$C:$C,$B35,banco!$A:$A,$A35)</f>
        <v>489</v>
      </c>
      <c r="AX35" s="13">
        <f t="shared" si="23"/>
        <v>5.8858931150698124E-2</v>
      </c>
      <c r="AY35">
        <f>SUMIFS(banco!BA:BA,banco!$C:$C,$B35,banco!$A:$A,$A35)</f>
        <v>653</v>
      </c>
      <c r="AZ35" s="13">
        <f t="shared" si="24"/>
        <v>5.8675532392847514E-2</v>
      </c>
      <c r="BA35">
        <f>SUMIFS(banco!BC:BC,banco!$C:$C,$B35,banco!$A:$A,$A35)</f>
        <v>550</v>
      </c>
      <c r="BB35" s="13">
        <f t="shared" si="25"/>
        <v>6.6201251805488692E-2</v>
      </c>
      <c r="BC35">
        <f>SUMIFS(banco!BE:BE,banco!$C:$C,$B35,banco!$A:$A,$A35)</f>
        <v>11129</v>
      </c>
      <c r="BD35">
        <f>SUMIFS(banco!BF:BF,banco!$C:$C,$B35,banco!$A:$A,$A35)</f>
        <v>8308</v>
      </c>
      <c r="BE35">
        <v>17804</v>
      </c>
    </row>
    <row r="36" spans="1:57" x14ac:dyDescent="0.25">
      <c r="A36" s="24">
        <v>2019</v>
      </c>
      <c r="B36" s="22" t="s">
        <v>144</v>
      </c>
      <c r="C36">
        <f>SUMIFS(banco!E:E,banco!$C:$C,$B36,banco!$A:$A,$A36)</f>
        <v>35</v>
      </c>
      <c r="D36" s="13">
        <f t="shared" si="0"/>
        <v>8.551184949914489E-3</v>
      </c>
      <c r="E36">
        <f>SUMIFS(banco!G:G,banco!$C:$C,$B36,banco!$A:$A,$A36)</f>
        <v>34</v>
      </c>
      <c r="F36" s="13">
        <f t="shared" si="1"/>
        <v>1.1397921555481059E-2</v>
      </c>
      <c r="G36">
        <f>SUMIFS(banco!I:I,banco!$C:$C,$B36,banco!$A:$A,$A36)</f>
        <v>106</v>
      </c>
      <c r="H36" s="13">
        <f t="shared" si="2"/>
        <v>2.5897874419741021E-2</v>
      </c>
      <c r="I36">
        <f>SUMIFS(banco!K:K,banco!$C:$C,$B36,banco!$A:$A,$A36)</f>
        <v>83</v>
      </c>
      <c r="J36" s="13">
        <f t="shared" si="3"/>
        <v>2.7824337914850821E-2</v>
      </c>
      <c r="K36">
        <f>SUMIFS(banco!M:M,banco!$C:$C,$B36,banco!$A:$A,$A36)</f>
        <v>3675</v>
      </c>
      <c r="L36" s="13">
        <f t="shared" si="4"/>
        <v>0.89787441974102122</v>
      </c>
      <c r="M36">
        <f>SUMIFS(banco!O:O,banco!$C:$C,$B36,banco!$A:$A,$A36)</f>
        <v>2664</v>
      </c>
      <c r="N36" s="13">
        <f t="shared" si="5"/>
        <v>0.89306067717063364</v>
      </c>
      <c r="O36">
        <f>SUMIFS(banco!Q:Q,banco!$C:$C,$B36,banco!$A:$A,$A36)</f>
        <v>277</v>
      </c>
      <c r="P36" s="13">
        <f t="shared" si="6"/>
        <v>6.767652088932323E-2</v>
      </c>
      <c r="Q36">
        <f>SUMIFS(banco!S:S,banco!$C:$C,$B36,banco!$A:$A,$A36)</f>
        <v>202</v>
      </c>
      <c r="R36" s="13">
        <f t="shared" si="7"/>
        <v>6.7717063359034532E-2</v>
      </c>
      <c r="S36">
        <f>SUMIFS(banco!U:U,banco!$C:$C,$B36,banco!$A:$A,$A36)</f>
        <v>190</v>
      </c>
      <c r="T36" s="13">
        <f t="shared" si="8"/>
        <v>4.6420718299535792E-2</v>
      </c>
      <c r="U36">
        <f>SUMIFS(banco!W:W,banco!$C:$C,$B36,banco!$A:$A,$A36)</f>
        <v>152</v>
      </c>
      <c r="V36" s="13">
        <f t="shared" si="9"/>
        <v>5.0955414012738856E-2</v>
      </c>
      <c r="W36">
        <f>SUMIFS(banco!Y:Y,banco!$C:$C,$B36,banco!$A:$A,$A36)</f>
        <v>315</v>
      </c>
      <c r="X36" s="13">
        <f t="shared" si="10"/>
        <v>7.6960664549230395E-2</v>
      </c>
      <c r="Y36">
        <f>SUMIFS(banco!AA:AA,banco!$C:$C,$B36,banco!$A:$A,$A36)</f>
        <v>239</v>
      </c>
      <c r="Z36" s="13">
        <f t="shared" si="11"/>
        <v>8.0120683875293322E-2</v>
      </c>
      <c r="AA36">
        <f>SUMIFS(banco!AC:AC,banco!$C:$C,$B36,banco!$A:$A,$A36)</f>
        <v>3588</v>
      </c>
      <c r="AB36" s="13">
        <f t="shared" si="12"/>
        <v>0.87661861715123379</v>
      </c>
      <c r="AC36">
        <f>SUMIFS(banco!AE:AE,banco!$C:$C,$B36,banco!$A:$A,$A36)</f>
        <v>2592</v>
      </c>
      <c r="AD36" s="13">
        <f t="shared" si="13"/>
        <v>0.86892390211196779</v>
      </c>
      <c r="AE36">
        <f>SUMIFS(banco!AG:AG,banco!$C:$C,$B36,banco!$A:$A,$A36)</f>
        <v>152</v>
      </c>
      <c r="AF36" s="13">
        <f t="shared" si="14"/>
        <v>3.7136574639628633E-2</v>
      </c>
      <c r="AG36">
        <f>SUMIFS(banco!AI:AI,banco!$C:$C,$B36,banco!$A:$A,$A36)</f>
        <v>134</v>
      </c>
      <c r="AH36" s="13">
        <f t="shared" si="15"/>
        <v>4.4921220248072408E-2</v>
      </c>
      <c r="AI36">
        <f>SUMIFS(banco!AK:AK,banco!$C:$C,$B36,banco!$A:$A,$A36)</f>
        <v>197</v>
      </c>
      <c r="AJ36" s="13">
        <f t="shared" si="16"/>
        <v>4.813095528951869E-2</v>
      </c>
      <c r="AK36">
        <f>SUMIFS(banco!AM:AM,banco!$C:$C,$B36,banco!$A:$A,$A36)</f>
        <v>168</v>
      </c>
      <c r="AL36" s="13">
        <f t="shared" si="17"/>
        <v>5.631914180355347E-2</v>
      </c>
      <c r="AM36">
        <f>SUMIFS(banco!AO:AO,banco!$C:$C,$B36,banco!$A:$A,$A36)</f>
        <v>2546</v>
      </c>
      <c r="AN36" s="13">
        <f t="shared" si="18"/>
        <v>0.62203762521377959</v>
      </c>
      <c r="AO36">
        <f>SUMIFS(banco!AQ:AQ,banco!$C:$C,$B36,banco!$A:$A,$A36)</f>
        <v>1862</v>
      </c>
      <c r="AP36" s="13">
        <f t="shared" si="19"/>
        <v>0.62420382165605093</v>
      </c>
      <c r="AQ36">
        <f>SUMIFS(banco!AS:AS,banco!$C:$C,$B36,banco!$A:$A,$A36)</f>
        <v>677</v>
      </c>
      <c r="AR36" s="13">
        <f t="shared" si="20"/>
        <v>0.16540434888834596</v>
      </c>
      <c r="AS36">
        <f>SUMIFS(banco!AU:AU,banco!$C:$C,$B36,banco!$A:$A,$A36)</f>
        <v>454</v>
      </c>
      <c r="AT36" s="13">
        <f t="shared" si="21"/>
        <v>0.15219577606436474</v>
      </c>
      <c r="AU36">
        <f>SUMIFS(banco!AW:AW,banco!$C:$C,$B36,banco!$A:$A,$A36)</f>
        <v>290</v>
      </c>
      <c r="AV36" s="13">
        <f t="shared" si="22"/>
        <v>7.085267529929147E-2</v>
      </c>
      <c r="AW36">
        <f>SUMIFS(banco!AY:AY,banco!$C:$C,$B36,banco!$A:$A,$A36)</f>
        <v>196</v>
      </c>
      <c r="AX36" s="13">
        <f t="shared" si="23"/>
        <v>6.5705665437479049E-2</v>
      </c>
      <c r="AY36">
        <f>SUMIFS(banco!BA:BA,banco!$C:$C,$B36,banco!$A:$A,$A36)</f>
        <v>231</v>
      </c>
      <c r="AZ36" s="13">
        <f t="shared" si="24"/>
        <v>5.6437820669435625E-2</v>
      </c>
      <c r="BA36">
        <f>SUMIFS(banco!BC:BC,banco!$C:$C,$B36,banco!$A:$A,$A36)</f>
        <v>169</v>
      </c>
      <c r="BB36" s="13">
        <f t="shared" si="25"/>
        <v>5.6654374790479384E-2</v>
      </c>
      <c r="BC36">
        <f>SUMIFS(banco!BE:BE,banco!$C:$C,$B36,banco!$A:$A,$A36)</f>
        <v>4093</v>
      </c>
      <c r="BD36">
        <f>SUMIFS(banco!BF:BF,banco!$C:$C,$B36,banco!$A:$A,$A36)</f>
        <v>2983</v>
      </c>
      <c r="BE36">
        <v>9990</v>
      </c>
    </row>
    <row r="37" spans="1:57" x14ac:dyDescent="0.25">
      <c r="A37" s="24">
        <v>2019</v>
      </c>
      <c r="B37" s="22" t="s">
        <v>148</v>
      </c>
      <c r="C37">
        <f>SUMIFS(banco!E:E,banco!$C:$C,$B37,banco!$A:$A,$A37)</f>
        <v>134</v>
      </c>
      <c r="D37" s="13">
        <f t="shared" si="0"/>
        <v>1.0677290836653386E-2</v>
      </c>
      <c r="E37">
        <f>SUMIFS(banco!G:G,banco!$C:$C,$B37,banco!$A:$A,$A37)</f>
        <v>89</v>
      </c>
      <c r="F37" s="13">
        <f t="shared" si="1"/>
        <v>1.2364545707140873E-2</v>
      </c>
      <c r="G37">
        <f>SUMIFS(banco!I:I,banco!$C:$C,$B37,banco!$A:$A,$A37)</f>
        <v>389</v>
      </c>
      <c r="H37" s="13">
        <f t="shared" si="2"/>
        <v>3.0996015936254982E-2</v>
      </c>
      <c r="I37">
        <f>SUMIFS(banco!K:K,banco!$C:$C,$B37,banco!$A:$A,$A37)</f>
        <v>242</v>
      </c>
      <c r="J37" s="13">
        <f t="shared" si="3"/>
        <v>3.3620450125034729E-2</v>
      </c>
      <c r="K37">
        <f>SUMIFS(banco!M:M,banco!$C:$C,$B37,banco!$A:$A,$A37)</f>
        <v>11263</v>
      </c>
      <c r="L37" s="13">
        <f t="shared" si="4"/>
        <v>0.89745019920318725</v>
      </c>
      <c r="M37">
        <f>SUMIFS(banco!O:O,banco!$C:$C,$B37,banco!$A:$A,$A37)</f>
        <v>6411</v>
      </c>
      <c r="N37" s="13">
        <f t="shared" si="5"/>
        <v>0.89066407335370934</v>
      </c>
      <c r="O37">
        <f>SUMIFS(banco!Q:Q,banco!$C:$C,$B37,banco!$A:$A,$A37)</f>
        <v>764</v>
      </c>
      <c r="P37" s="13">
        <f t="shared" si="6"/>
        <v>6.0876494023904382E-2</v>
      </c>
      <c r="Q37">
        <f>SUMIFS(banco!S:S,banco!$C:$C,$B37,banco!$A:$A,$A37)</f>
        <v>456</v>
      </c>
      <c r="R37" s="13">
        <f t="shared" si="7"/>
        <v>6.3350930814115025E-2</v>
      </c>
      <c r="S37">
        <f>SUMIFS(banco!U:U,banco!$C:$C,$B37,banco!$A:$A,$A37)</f>
        <v>690</v>
      </c>
      <c r="T37" s="13">
        <f t="shared" si="8"/>
        <v>5.4980079681274899E-2</v>
      </c>
      <c r="U37">
        <f>SUMIFS(banco!W:W,banco!$C:$C,$B37,banco!$A:$A,$A37)</f>
        <v>557</v>
      </c>
      <c r="V37" s="13">
        <f t="shared" si="9"/>
        <v>7.7382606279522093E-2</v>
      </c>
      <c r="W37">
        <f>SUMIFS(banco!Y:Y,banco!$C:$C,$B37,banco!$A:$A,$A37)</f>
        <v>913</v>
      </c>
      <c r="X37" s="13">
        <f t="shared" si="10"/>
        <v>7.274900398406374E-2</v>
      </c>
      <c r="Y37">
        <f>SUMIFS(banco!AA:AA,banco!$C:$C,$B37,banco!$A:$A,$A37)</f>
        <v>616</v>
      </c>
      <c r="Z37" s="13">
        <f t="shared" si="11"/>
        <v>8.5579327590997498E-2</v>
      </c>
      <c r="AA37">
        <f>SUMIFS(banco!AC:AC,banco!$C:$C,$B37,banco!$A:$A,$A37)</f>
        <v>10948</v>
      </c>
      <c r="AB37" s="13">
        <f t="shared" si="12"/>
        <v>0.8723505976095618</v>
      </c>
      <c r="AC37">
        <f>SUMIFS(banco!AE:AE,banco!$C:$C,$B37,banco!$A:$A,$A37)</f>
        <v>6026</v>
      </c>
      <c r="AD37" s="13">
        <f t="shared" si="13"/>
        <v>0.83717699360933595</v>
      </c>
      <c r="AE37">
        <f>SUMIFS(banco!AG:AG,banco!$C:$C,$B37,banco!$A:$A,$A37)</f>
        <v>509</v>
      </c>
      <c r="AF37" s="13">
        <f t="shared" si="14"/>
        <v>4.0557768924302788E-2</v>
      </c>
      <c r="AG37">
        <f>SUMIFS(banco!AI:AI,banco!$C:$C,$B37,banco!$A:$A,$A37)</f>
        <v>413</v>
      </c>
      <c r="AH37" s="13">
        <f t="shared" si="15"/>
        <v>5.737704918032787E-2</v>
      </c>
      <c r="AI37">
        <f>SUMIFS(banco!AK:AK,banco!$C:$C,$B37,banco!$A:$A,$A37)</f>
        <v>504</v>
      </c>
      <c r="AJ37" s="13">
        <f t="shared" si="16"/>
        <v>4.0159362549800799E-2</v>
      </c>
      <c r="AK37">
        <f>SUMIFS(banco!AM:AM,banco!$C:$C,$B37,banco!$A:$A,$A37)</f>
        <v>355</v>
      </c>
      <c r="AL37" s="13">
        <f t="shared" si="17"/>
        <v>4.9319255348707972E-2</v>
      </c>
      <c r="AM37">
        <f>SUMIFS(banco!AO:AO,banco!$C:$C,$B37,banco!$A:$A,$A37)</f>
        <v>8028</v>
      </c>
      <c r="AN37" s="13">
        <f t="shared" si="18"/>
        <v>0.63968127490039839</v>
      </c>
      <c r="AO37">
        <f>SUMIFS(banco!AQ:AQ,banco!$C:$C,$B37,banco!$A:$A,$A37)</f>
        <v>4406</v>
      </c>
      <c r="AP37" s="13">
        <f t="shared" si="19"/>
        <v>0.61211447624340098</v>
      </c>
      <c r="AQ37">
        <f>SUMIFS(banco!AS:AS,banco!$C:$C,$B37,banco!$A:$A,$A37)</f>
        <v>1972</v>
      </c>
      <c r="AR37" s="13">
        <f t="shared" si="20"/>
        <v>0.15713147410358566</v>
      </c>
      <c r="AS37">
        <f>SUMIFS(banco!AU:AU,banco!$C:$C,$B37,banco!$A:$A,$A37)</f>
        <v>1020</v>
      </c>
      <c r="AT37" s="13">
        <f t="shared" si="21"/>
        <v>0.14170602945262573</v>
      </c>
      <c r="AU37">
        <f>SUMIFS(banco!AW:AW,banco!$C:$C,$B37,banco!$A:$A,$A37)</f>
        <v>822</v>
      </c>
      <c r="AV37" s="13">
        <f t="shared" si="22"/>
        <v>6.5498007968127492E-2</v>
      </c>
      <c r="AW37">
        <f>SUMIFS(banco!AY:AY,banco!$C:$C,$B37,banco!$A:$A,$A37)</f>
        <v>481</v>
      </c>
      <c r="AX37" s="13">
        <f t="shared" si="23"/>
        <v>6.6824117810502917E-2</v>
      </c>
      <c r="AY37">
        <f>SUMIFS(banco!BA:BA,banco!$C:$C,$B37,banco!$A:$A,$A37)</f>
        <v>716</v>
      </c>
      <c r="AZ37" s="13">
        <f t="shared" si="24"/>
        <v>5.7051792828685256E-2</v>
      </c>
      <c r="BA37">
        <f>SUMIFS(banco!BC:BC,banco!$C:$C,$B37,banco!$A:$A,$A37)</f>
        <v>524</v>
      </c>
      <c r="BB37" s="13">
        <f t="shared" si="25"/>
        <v>7.2797999444290079E-2</v>
      </c>
      <c r="BC37">
        <f>SUMIFS(banco!BE:BE,banco!$C:$C,$B37,banco!$A:$A,$A37)</f>
        <v>12550</v>
      </c>
      <c r="BD37">
        <f>SUMIFS(banco!BF:BF,banco!$C:$C,$B37,banco!$A:$A,$A37)</f>
        <v>7198</v>
      </c>
      <c r="BE37">
        <v>29374</v>
      </c>
    </row>
    <row r="38" spans="1:57" x14ac:dyDescent="0.25">
      <c r="A38" s="24">
        <v>2019</v>
      </c>
      <c r="B38" s="22" t="s">
        <v>150</v>
      </c>
      <c r="C38">
        <f>SUMIFS(banco!E:E,banco!$C:$C,$B38,banco!$A:$A,$A38)</f>
        <v>58</v>
      </c>
      <c r="D38" s="13">
        <f t="shared" si="0"/>
        <v>9.7824253668409508E-3</v>
      </c>
      <c r="E38">
        <f>SUMIFS(banco!G:G,banco!$C:$C,$B38,banco!$A:$A,$A38)</f>
        <v>47</v>
      </c>
      <c r="F38" s="13">
        <f t="shared" si="1"/>
        <v>1.0713471620697515E-2</v>
      </c>
      <c r="G38">
        <f>SUMIFS(banco!I:I,banco!$C:$C,$B38,banco!$A:$A,$A38)</f>
        <v>167</v>
      </c>
      <c r="H38" s="13">
        <f t="shared" si="2"/>
        <v>2.8166638556248947E-2</v>
      </c>
      <c r="I38">
        <f>SUMIFS(banco!K:K,banco!$C:$C,$B38,banco!$A:$A,$A38)</f>
        <v>136</v>
      </c>
      <c r="J38" s="13">
        <f t="shared" si="3"/>
        <v>3.1000683838614086E-2</v>
      </c>
      <c r="K38">
        <f>SUMIFS(banco!M:M,banco!$C:$C,$B38,banco!$A:$A,$A38)</f>
        <v>5405</v>
      </c>
      <c r="L38" s="13">
        <f t="shared" si="4"/>
        <v>0.9116208466857818</v>
      </c>
      <c r="M38">
        <f>SUMIFS(banco!O:O,banco!$C:$C,$B38,banco!$A:$A,$A38)</f>
        <v>3985</v>
      </c>
      <c r="N38" s="13">
        <f t="shared" si="5"/>
        <v>0.90836562571233193</v>
      </c>
      <c r="O38">
        <f>SUMIFS(banco!Q:Q,banco!$C:$C,$B38,banco!$A:$A,$A38)</f>
        <v>299</v>
      </c>
      <c r="P38" s="13">
        <f t="shared" si="6"/>
        <v>5.0430089391128349E-2</v>
      </c>
      <c r="Q38">
        <f>SUMIFS(banco!S:S,banco!$C:$C,$B38,banco!$A:$A,$A38)</f>
        <v>219</v>
      </c>
      <c r="R38" s="13">
        <f t="shared" si="7"/>
        <v>4.9920218828356511E-2</v>
      </c>
      <c r="S38">
        <f>SUMIFS(banco!U:U,banco!$C:$C,$B38,banco!$A:$A,$A38)</f>
        <v>352</v>
      </c>
      <c r="T38" s="13">
        <f t="shared" si="8"/>
        <v>5.9369202226345084E-2</v>
      </c>
      <c r="U38">
        <f>SUMIFS(banco!W:W,banco!$C:$C,$B38,banco!$A:$A,$A38)</f>
        <v>279</v>
      </c>
      <c r="V38" s="13">
        <f t="shared" si="9"/>
        <v>6.359699111009802E-2</v>
      </c>
      <c r="W38">
        <f>SUMIFS(banco!Y:Y,banco!$C:$C,$B38,banco!$A:$A,$A38)</f>
        <v>506</v>
      </c>
      <c r="X38" s="13">
        <f t="shared" si="10"/>
        <v>8.534322820037106E-2</v>
      </c>
      <c r="Y38">
        <f>SUMIFS(banco!AA:AA,banco!$C:$C,$B38,banco!$A:$A,$A38)</f>
        <v>409</v>
      </c>
      <c r="Z38" s="13">
        <f t="shared" si="11"/>
        <v>9.3229997720537958E-2</v>
      </c>
      <c r="AA38">
        <f>SUMIFS(banco!AC:AC,banco!$C:$C,$B38,banco!$A:$A,$A38)</f>
        <v>5072</v>
      </c>
      <c r="AB38" s="13">
        <f t="shared" si="12"/>
        <v>0.85545623207960875</v>
      </c>
      <c r="AC38">
        <f>SUMIFS(banco!AE:AE,banco!$C:$C,$B38,banco!$A:$A,$A38)</f>
        <v>3700</v>
      </c>
      <c r="AD38" s="13">
        <f t="shared" si="13"/>
        <v>0.84340095737405973</v>
      </c>
      <c r="AE38">
        <f>SUMIFS(banco!AG:AG,banco!$C:$C,$B38,banco!$A:$A,$A38)</f>
        <v>178</v>
      </c>
      <c r="AF38" s="13">
        <f t="shared" si="14"/>
        <v>3.0021926125822228E-2</v>
      </c>
      <c r="AG38">
        <f>SUMIFS(banco!AI:AI,banco!$C:$C,$B38,banco!$A:$A,$A38)</f>
        <v>161</v>
      </c>
      <c r="AH38" s="13">
        <f t="shared" si="15"/>
        <v>3.6699338956006383E-2</v>
      </c>
      <c r="AI38">
        <f>SUMIFS(banco!AK:AK,banco!$C:$C,$B38,banco!$A:$A,$A38)</f>
        <v>231</v>
      </c>
      <c r="AJ38" s="13">
        <f t="shared" si="16"/>
        <v>3.896103896103896E-2</v>
      </c>
      <c r="AK38">
        <f>SUMIFS(banco!AM:AM,banco!$C:$C,$B38,banco!$A:$A,$A38)</f>
        <v>206</v>
      </c>
      <c r="AL38" s="13">
        <f t="shared" si="17"/>
        <v>4.6956918167312511E-2</v>
      </c>
      <c r="AM38">
        <f>SUMIFS(banco!AO:AO,banco!$C:$C,$B38,banco!$A:$A,$A38)</f>
        <v>3806</v>
      </c>
      <c r="AN38" s="13">
        <f t="shared" si="18"/>
        <v>0.64192949907235619</v>
      </c>
      <c r="AO38">
        <f>SUMIFS(banco!AQ:AQ,banco!$C:$C,$B38,banco!$A:$A,$A38)</f>
        <v>2804</v>
      </c>
      <c r="AP38" s="13">
        <f t="shared" si="19"/>
        <v>0.63916115796671991</v>
      </c>
      <c r="AQ38">
        <f>SUMIFS(banco!AS:AS,banco!$C:$C,$B38,banco!$A:$A,$A38)</f>
        <v>940</v>
      </c>
      <c r="AR38" s="13">
        <f t="shared" si="20"/>
        <v>0.15854275594535336</v>
      </c>
      <c r="AS38">
        <f>SUMIFS(banco!AU:AU,banco!$C:$C,$B38,banco!$A:$A,$A38)</f>
        <v>678</v>
      </c>
      <c r="AT38" s="13">
        <f t="shared" si="21"/>
        <v>0.15454752678367906</v>
      </c>
      <c r="AU38">
        <f>SUMIFS(banco!AW:AW,banco!$C:$C,$B38,banco!$A:$A,$A38)</f>
        <v>427</v>
      </c>
      <c r="AV38" s="13">
        <f t="shared" si="22"/>
        <v>7.2018890200708383E-2</v>
      </c>
      <c r="AW38">
        <f>SUMIFS(banco!AY:AY,banco!$C:$C,$B38,banco!$A:$A,$A38)</f>
        <v>298</v>
      </c>
      <c r="AX38" s="13">
        <f t="shared" si="23"/>
        <v>6.7927968999316163E-2</v>
      </c>
      <c r="AY38">
        <f>SUMIFS(banco!BA:BA,banco!$C:$C,$B38,banco!$A:$A,$A38)</f>
        <v>348</v>
      </c>
      <c r="AZ38" s="13">
        <f t="shared" si="24"/>
        <v>5.8694552201045705E-2</v>
      </c>
      <c r="BA38">
        <f>SUMIFS(banco!BC:BC,banco!$C:$C,$B38,banco!$A:$A,$A38)</f>
        <v>241</v>
      </c>
      <c r="BB38" s="13">
        <f t="shared" si="25"/>
        <v>5.4935035331661726E-2</v>
      </c>
      <c r="BC38">
        <f>SUMIFS(banco!BE:BE,banco!$C:$C,$B38,banco!$A:$A,$A38)</f>
        <v>5929</v>
      </c>
      <c r="BD38">
        <f>SUMIFS(banco!BF:BF,banco!$C:$C,$B38,banco!$A:$A,$A38)</f>
        <v>4387</v>
      </c>
      <c r="BE38">
        <v>12150</v>
      </c>
    </row>
    <row r="39" spans="1:57" x14ac:dyDescent="0.25">
      <c r="A39" s="24">
        <v>2019</v>
      </c>
      <c r="B39" s="22" t="s">
        <v>146</v>
      </c>
      <c r="C39">
        <f>SUMIFS(banco!E:E,banco!$C:$C,$B39,banco!$A:$A,$A39)</f>
        <v>45</v>
      </c>
      <c r="D39" s="13">
        <f t="shared" si="0"/>
        <v>8.5746951219512202E-3</v>
      </c>
      <c r="E39">
        <f>SUMIFS(banco!G:G,banco!$C:$C,$B39,banco!$A:$A,$A39)</f>
        <v>38</v>
      </c>
      <c r="F39" s="13">
        <f t="shared" si="1"/>
        <v>9.0390104662226457E-3</v>
      </c>
      <c r="G39">
        <f>SUMIFS(banco!I:I,banco!$C:$C,$B39,banco!$A:$A,$A39)</f>
        <v>191</v>
      </c>
      <c r="H39" s="13">
        <f t="shared" si="2"/>
        <v>3.6394817073170729E-2</v>
      </c>
      <c r="I39">
        <f>SUMIFS(banco!K:K,banco!$C:$C,$B39,banco!$A:$A,$A39)</f>
        <v>162</v>
      </c>
      <c r="J39" s="13">
        <f t="shared" si="3"/>
        <v>3.8534728829686012E-2</v>
      </c>
      <c r="K39">
        <f>SUMIFS(banco!M:M,banco!$C:$C,$B39,banco!$A:$A,$A39)</f>
        <v>4757</v>
      </c>
      <c r="L39" s="13">
        <f t="shared" si="4"/>
        <v>0.90644054878048785</v>
      </c>
      <c r="M39">
        <f>SUMIFS(banco!O:O,banco!$C:$C,$B39,banco!$A:$A,$A39)</f>
        <v>3824</v>
      </c>
      <c r="N39" s="13">
        <f t="shared" si="5"/>
        <v>0.90960989533777359</v>
      </c>
      <c r="O39">
        <f>SUMIFS(banco!Q:Q,banco!$C:$C,$B39,banco!$A:$A,$A39)</f>
        <v>255</v>
      </c>
      <c r="P39" s="13">
        <f t="shared" si="6"/>
        <v>4.8589939024390245E-2</v>
      </c>
      <c r="Q39">
        <f>SUMIFS(banco!S:S,banco!$C:$C,$B39,banco!$A:$A,$A39)</f>
        <v>180</v>
      </c>
      <c r="R39" s="13">
        <f t="shared" si="7"/>
        <v>4.2816365366317791E-2</v>
      </c>
      <c r="S39">
        <f>SUMIFS(banco!U:U,banco!$C:$C,$B39,banco!$A:$A,$A39)</f>
        <v>359</v>
      </c>
      <c r="T39" s="13">
        <f t="shared" si="8"/>
        <v>6.840701219512195E-2</v>
      </c>
      <c r="U39">
        <f>SUMIFS(banco!W:W,banco!$C:$C,$B39,banco!$A:$A,$A39)</f>
        <v>327</v>
      </c>
      <c r="V39" s="13">
        <f t="shared" si="9"/>
        <v>7.7783063748810652E-2</v>
      </c>
      <c r="W39">
        <f>SUMIFS(banco!Y:Y,banco!$C:$C,$B39,banco!$A:$A,$A39)</f>
        <v>598</v>
      </c>
      <c r="X39" s="13">
        <f t="shared" si="10"/>
        <v>0.11394817073170732</v>
      </c>
      <c r="Y39">
        <f>SUMIFS(banco!AA:AA,banco!$C:$C,$B39,banco!$A:$A,$A39)</f>
        <v>535</v>
      </c>
      <c r="Z39" s="13">
        <f t="shared" si="11"/>
        <v>0.12725975261655567</v>
      </c>
      <c r="AA39">
        <f>SUMIFS(banco!AC:AC,banco!$C:$C,$B39,banco!$A:$A,$A39)</f>
        <v>4291</v>
      </c>
      <c r="AB39" s="13">
        <f t="shared" si="12"/>
        <v>0.81764481707317072</v>
      </c>
      <c r="AC39">
        <f>SUMIFS(banco!AE:AE,banco!$C:$C,$B39,banco!$A:$A,$A39)</f>
        <v>3342</v>
      </c>
      <c r="AD39" s="13">
        <f t="shared" si="13"/>
        <v>0.79495718363463364</v>
      </c>
      <c r="AE39">
        <f>SUMIFS(banco!AG:AG,banco!$C:$C,$B39,banco!$A:$A,$A39)</f>
        <v>143</v>
      </c>
      <c r="AF39" s="13">
        <f t="shared" si="14"/>
        <v>2.7248475609756097E-2</v>
      </c>
      <c r="AG39">
        <f>SUMIFS(banco!AI:AI,banco!$C:$C,$B39,banco!$A:$A,$A39)</f>
        <v>118</v>
      </c>
      <c r="AH39" s="13">
        <f t="shared" si="15"/>
        <v>2.8068506184586107E-2</v>
      </c>
      <c r="AI39">
        <f>SUMIFS(banco!AK:AK,banco!$C:$C,$B39,banco!$A:$A,$A39)</f>
        <v>162</v>
      </c>
      <c r="AJ39" s="13">
        <f t="shared" si="16"/>
        <v>3.086890243902439E-2</v>
      </c>
      <c r="AK39">
        <f>SUMIFS(banco!AM:AM,banco!$C:$C,$B39,banco!$A:$A,$A39)</f>
        <v>133</v>
      </c>
      <c r="AL39" s="13">
        <f t="shared" si="17"/>
        <v>3.1636536631779261E-2</v>
      </c>
      <c r="AM39">
        <f>SUMIFS(banco!AO:AO,banco!$C:$C,$B39,banco!$A:$A,$A39)</f>
        <v>3439</v>
      </c>
      <c r="AN39" s="13">
        <f t="shared" si="18"/>
        <v>0.65529725609756095</v>
      </c>
      <c r="AO39">
        <f>SUMIFS(banco!AQ:AQ,banco!$C:$C,$B39,banco!$A:$A,$A39)</f>
        <v>2803</v>
      </c>
      <c r="AP39" s="13">
        <f t="shared" si="19"/>
        <v>0.66674595623215982</v>
      </c>
      <c r="AQ39">
        <f>SUMIFS(banco!AS:AS,banco!$C:$C,$B39,banco!$A:$A,$A39)</f>
        <v>851</v>
      </c>
      <c r="AR39" s="13">
        <f t="shared" si="20"/>
        <v>0.16215701219512196</v>
      </c>
      <c r="AS39">
        <f>SUMIFS(banco!AU:AU,banco!$C:$C,$B39,banco!$A:$A,$A39)</f>
        <v>661</v>
      </c>
      <c r="AT39" s="13">
        <f t="shared" si="21"/>
        <v>0.1572312083729781</v>
      </c>
      <c r="AU39">
        <f>SUMIFS(banco!AW:AW,banco!$C:$C,$B39,banco!$A:$A,$A39)</f>
        <v>370</v>
      </c>
      <c r="AV39" s="13">
        <f t="shared" si="22"/>
        <v>7.0503048780487798E-2</v>
      </c>
      <c r="AW39">
        <f>SUMIFS(banco!AY:AY,banco!$C:$C,$B39,banco!$A:$A,$A39)</f>
        <v>268</v>
      </c>
      <c r="AX39" s="13">
        <f t="shared" si="23"/>
        <v>6.3748810656517607E-2</v>
      </c>
      <c r="AY39">
        <f>SUMIFS(banco!BA:BA,banco!$C:$C,$B39,banco!$A:$A,$A39)</f>
        <v>283</v>
      </c>
      <c r="AZ39" s="13">
        <f t="shared" si="24"/>
        <v>5.392530487804878E-2</v>
      </c>
      <c r="BA39">
        <f>SUMIFS(banco!BC:BC,banco!$C:$C,$B39,banco!$A:$A,$A39)</f>
        <v>221</v>
      </c>
      <c r="BB39" s="13">
        <f t="shared" si="25"/>
        <v>5.256898192197907E-2</v>
      </c>
      <c r="BC39">
        <f>SUMIFS(banco!BE:BE,banco!$C:$C,$B39,banco!$A:$A,$A39)</f>
        <v>5248</v>
      </c>
      <c r="BD39">
        <f>SUMIFS(banco!BF:BF,banco!$C:$C,$B39,banco!$A:$A,$A39)</f>
        <v>4204</v>
      </c>
      <c r="BE39">
        <v>13054</v>
      </c>
    </row>
    <row r="40" spans="1:57" x14ac:dyDescent="0.25">
      <c r="A40" s="24">
        <v>2019</v>
      </c>
      <c r="B40" s="22" t="s">
        <v>149</v>
      </c>
      <c r="C40">
        <f>SUMIFS(banco!E:E,banco!$C:$C,$B40,banco!$A:$A,$A40)</f>
        <v>105</v>
      </c>
      <c r="D40" s="13">
        <f t="shared" si="0"/>
        <v>1.0291090855630698E-2</v>
      </c>
      <c r="E40">
        <f>SUMIFS(banco!G:G,banco!$C:$C,$B40,banco!$A:$A,$A40)</f>
        <v>78</v>
      </c>
      <c r="F40" s="13">
        <f t="shared" si="1"/>
        <v>9.8174952800503465E-3</v>
      </c>
      <c r="G40">
        <f>SUMIFS(banco!I:I,banco!$C:$C,$B40,banco!$A:$A,$A40)</f>
        <v>272</v>
      </c>
      <c r="H40" s="13">
        <f t="shared" si="2"/>
        <v>2.6658825835538566E-2</v>
      </c>
      <c r="I40">
        <f>SUMIFS(banco!K:K,banco!$C:$C,$B40,banco!$A:$A,$A40)</f>
        <v>208</v>
      </c>
      <c r="J40" s="13">
        <f t="shared" si="3"/>
        <v>2.6179987413467588E-2</v>
      </c>
      <c r="K40">
        <f>SUMIFS(banco!M:M,banco!$C:$C,$B40,banco!$A:$A,$A40)</f>
        <v>9394</v>
      </c>
      <c r="L40" s="13">
        <f t="shared" si="4"/>
        <v>0.92070959521709306</v>
      </c>
      <c r="M40">
        <f>SUMIFS(banco!O:O,banco!$C:$C,$B40,banco!$A:$A,$A40)</f>
        <v>7334</v>
      </c>
      <c r="N40" s="13">
        <f t="shared" si="5"/>
        <v>0.923096286972939</v>
      </c>
      <c r="O40">
        <f>SUMIFS(banco!Q:Q,banco!$C:$C,$B40,banco!$A:$A,$A40)</f>
        <v>432</v>
      </c>
      <c r="P40" s="13">
        <f t="shared" si="6"/>
        <v>4.2340488091737724E-2</v>
      </c>
      <c r="Q40">
        <f>SUMIFS(banco!S:S,banco!$C:$C,$B40,banco!$A:$A,$A40)</f>
        <v>325</v>
      </c>
      <c r="R40" s="13">
        <f t="shared" si="7"/>
        <v>4.0906230333543112E-2</v>
      </c>
      <c r="S40">
        <f>SUMIFS(banco!U:U,banco!$C:$C,$B40,banco!$A:$A,$A40)</f>
        <v>566</v>
      </c>
      <c r="T40" s="13">
        <f t="shared" si="8"/>
        <v>5.547388023130452E-2</v>
      </c>
      <c r="U40">
        <f>SUMIFS(banco!W:W,banco!$C:$C,$B40,banco!$A:$A,$A40)</f>
        <v>442</v>
      </c>
      <c r="V40" s="13">
        <f t="shared" si="9"/>
        <v>5.5632473253618628E-2</v>
      </c>
      <c r="W40">
        <f>SUMIFS(banco!Y:Y,banco!$C:$C,$B40,banco!$A:$A,$A40)</f>
        <v>653</v>
      </c>
      <c r="X40" s="13">
        <f t="shared" si="10"/>
        <v>6.4000784083112813E-2</v>
      </c>
      <c r="Y40">
        <f>SUMIFS(banco!AA:AA,banco!$C:$C,$B40,banco!$A:$A,$A40)</f>
        <v>513</v>
      </c>
      <c r="Z40" s="13">
        <f t="shared" si="11"/>
        <v>6.4568911264946502E-2</v>
      </c>
      <c r="AA40">
        <f>SUMIFS(banco!AC:AC,banco!$C:$C,$B40,banco!$A:$A,$A40)</f>
        <v>8984</v>
      </c>
      <c r="AB40" s="13">
        <f t="shared" si="12"/>
        <v>0.88052533568558267</v>
      </c>
      <c r="AC40">
        <f>SUMIFS(banco!AE:AE,banco!$C:$C,$B40,banco!$A:$A,$A40)</f>
        <v>6990</v>
      </c>
      <c r="AD40" s="13">
        <f t="shared" si="13"/>
        <v>0.8797986154814349</v>
      </c>
      <c r="AE40">
        <f>SUMIFS(banco!AG:AG,banco!$C:$C,$B40,banco!$A:$A,$A40)</f>
        <v>294</v>
      </c>
      <c r="AF40" s="13">
        <f t="shared" si="14"/>
        <v>2.8815054395765951E-2</v>
      </c>
      <c r="AG40">
        <f>SUMIFS(banco!AI:AI,banco!$C:$C,$B40,banco!$A:$A,$A40)</f>
        <v>266</v>
      </c>
      <c r="AH40" s="13">
        <f t="shared" si="15"/>
        <v>3.3480176211453744E-2</v>
      </c>
      <c r="AI40">
        <f>SUMIFS(banco!AK:AK,banco!$C:$C,$B40,banco!$A:$A,$A40)</f>
        <v>367</v>
      </c>
      <c r="AJ40" s="13">
        <f t="shared" si="16"/>
        <v>3.596981280015682E-2</v>
      </c>
      <c r="AK40">
        <f>SUMIFS(banco!AM:AM,banco!$C:$C,$B40,banco!$A:$A,$A40)</f>
        <v>308</v>
      </c>
      <c r="AL40" s="13">
        <f t="shared" si="17"/>
        <v>3.8766519823788544E-2</v>
      </c>
      <c r="AM40">
        <f>SUMIFS(banco!AO:AO,banco!$C:$C,$B40,banco!$A:$A,$A40)</f>
        <v>6861</v>
      </c>
      <c r="AN40" s="13">
        <f t="shared" si="18"/>
        <v>0.67244927962364009</v>
      </c>
      <c r="AO40">
        <f>SUMIFS(banco!AQ:AQ,banco!$C:$C,$B40,banco!$A:$A,$A40)</f>
        <v>5383</v>
      </c>
      <c r="AP40" s="13">
        <f t="shared" si="19"/>
        <v>0.67753303964757705</v>
      </c>
      <c r="AQ40">
        <f>SUMIFS(banco!AS:AS,banco!$C:$C,$B40,banco!$A:$A,$A40)</f>
        <v>1608</v>
      </c>
      <c r="AR40" s="13">
        <f t="shared" si="20"/>
        <v>0.15760070567480153</v>
      </c>
      <c r="AS40">
        <f>SUMIFS(banco!AU:AU,banco!$C:$C,$B40,banco!$A:$A,$A40)</f>
        <v>1203</v>
      </c>
      <c r="AT40" s="13">
        <f t="shared" si="21"/>
        <v>0.15141598489616112</v>
      </c>
      <c r="AU40">
        <f>SUMIFS(banco!AW:AW,banco!$C:$C,$B40,banco!$A:$A,$A40)</f>
        <v>579</v>
      </c>
      <c r="AV40" s="13">
        <f t="shared" si="22"/>
        <v>5.6748015289620701E-2</v>
      </c>
      <c r="AW40">
        <f>SUMIFS(banco!AY:AY,banco!$C:$C,$B40,banco!$A:$A,$A40)</f>
        <v>401</v>
      </c>
      <c r="AX40" s="13">
        <f t="shared" si="23"/>
        <v>5.0471994965387033E-2</v>
      </c>
      <c r="AY40">
        <f>SUMIFS(banco!BA:BA,banco!$C:$C,$B40,banco!$A:$A,$A40)</f>
        <v>494</v>
      </c>
      <c r="AZ40" s="13">
        <f t="shared" si="24"/>
        <v>4.8417132216014895E-2</v>
      </c>
      <c r="BA40">
        <f>SUMIFS(banco!BC:BC,banco!$C:$C,$B40,banco!$A:$A,$A40)</f>
        <v>384</v>
      </c>
      <c r="BB40" s="13">
        <f t="shared" si="25"/>
        <v>4.8332284455632472E-2</v>
      </c>
      <c r="BC40">
        <f>SUMIFS(banco!BE:BE,banco!$C:$C,$B40,banco!$A:$A,$A40)</f>
        <v>10203</v>
      </c>
      <c r="BD40">
        <f>SUMIFS(banco!BF:BF,banco!$C:$C,$B40,banco!$A:$A,$A40)</f>
        <v>7945</v>
      </c>
      <c r="BE40">
        <v>23147</v>
      </c>
    </row>
    <row r="41" spans="1:57" x14ac:dyDescent="0.25">
      <c r="A41" s="24">
        <v>2019</v>
      </c>
      <c r="B41" s="22" t="s">
        <v>147</v>
      </c>
      <c r="C41">
        <f>SUMIFS(banco!E:E,banco!$C:$C,$B41,banco!$A:$A,$A41)</f>
        <v>347</v>
      </c>
      <c r="D41" s="13">
        <f t="shared" si="0"/>
        <v>7.7420794288264164E-2</v>
      </c>
      <c r="E41">
        <f>SUMIFS(banco!G:G,banco!$C:$C,$B41,banco!$A:$A,$A41)</f>
        <v>345</v>
      </c>
      <c r="F41" s="13">
        <f t="shared" si="1"/>
        <v>9.385201305767138E-2</v>
      </c>
      <c r="G41">
        <f>SUMIFS(banco!I:I,banco!$C:$C,$B41,banco!$A:$A,$A41)</f>
        <v>153</v>
      </c>
      <c r="H41" s="13">
        <f t="shared" si="2"/>
        <v>3.4136546184738957E-2</v>
      </c>
      <c r="I41">
        <f>SUMIFS(banco!K:K,banco!$C:$C,$B41,banco!$A:$A,$A41)</f>
        <v>135</v>
      </c>
      <c r="J41" s="13">
        <f t="shared" si="3"/>
        <v>3.6724700761697496E-2</v>
      </c>
      <c r="K41">
        <f>SUMIFS(banco!M:M,banco!$C:$C,$B41,banco!$A:$A,$A41)</f>
        <v>3795</v>
      </c>
      <c r="L41" s="13">
        <f t="shared" si="4"/>
        <v>0.84672021419009369</v>
      </c>
      <c r="M41">
        <f>SUMIFS(banco!O:O,banco!$C:$C,$B41,banco!$A:$A,$A41)</f>
        <v>3049</v>
      </c>
      <c r="N41" s="13">
        <f t="shared" si="5"/>
        <v>0.82943416757344945</v>
      </c>
      <c r="O41">
        <f>SUMIFS(banco!Q:Q,banco!$C:$C,$B41,banco!$A:$A,$A41)</f>
        <v>187</v>
      </c>
      <c r="P41" s="13">
        <f t="shared" si="6"/>
        <v>4.1722445336903169E-2</v>
      </c>
      <c r="Q41">
        <f>SUMIFS(banco!S:S,banco!$C:$C,$B41,banco!$A:$A,$A41)</f>
        <v>147</v>
      </c>
      <c r="R41" s="13">
        <f t="shared" si="7"/>
        <v>3.9989118607181719E-2</v>
      </c>
      <c r="S41">
        <f>SUMIFS(banco!U:U,banco!$C:$C,$B41,banco!$A:$A,$A41)</f>
        <v>285</v>
      </c>
      <c r="T41" s="13">
        <f t="shared" si="8"/>
        <v>6.358768406961178E-2</v>
      </c>
      <c r="U41">
        <f>SUMIFS(banco!W:W,banco!$C:$C,$B41,banco!$A:$A,$A41)</f>
        <v>259</v>
      </c>
      <c r="V41" s="13">
        <f t="shared" si="9"/>
        <v>7.0457018498367788E-2</v>
      </c>
      <c r="W41">
        <f>SUMIFS(banco!Y:Y,banco!$C:$C,$B41,banco!$A:$A,$A41)</f>
        <v>386</v>
      </c>
      <c r="X41" s="13">
        <f t="shared" si="10"/>
        <v>8.6122266845158418E-2</v>
      </c>
      <c r="Y41">
        <f>SUMIFS(banco!AA:AA,banco!$C:$C,$B41,banco!$A:$A,$A41)</f>
        <v>345</v>
      </c>
      <c r="Z41" s="13">
        <f t="shared" si="11"/>
        <v>9.385201305767138E-2</v>
      </c>
      <c r="AA41">
        <f>SUMIFS(banco!AC:AC,banco!$C:$C,$B41,banco!$A:$A,$A41)</f>
        <v>3811</v>
      </c>
      <c r="AB41" s="13">
        <f t="shared" si="12"/>
        <v>0.85029004908522976</v>
      </c>
      <c r="AC41">
        <f>SUMIFS(banco!AE:AE,banco!$C:$C,$B41,banco!$A:$A,$A41)</f>
        <v>3072</v>
      </c>
      <c r="AD41" s="13">
        <f t="shared" si="13"/>
        <v>0.83569096844396085</v>
      </c>
      <c r="AE41">
        <f>SUMIFS(banco!AG:AG,banco!$C:$C,$B41,banco!$A:$A,$A41)</f>
        <v>480</v>
      </c>
      <c r="AF41" s="13">
        <f t="shared" si="14"/>
        <v>0.107095046854083</v>
      </c>
      <c r="AG41">
        <f>SUMIFS(banco!AI:AI,banco!$C:$C,$B41,banco!$A:$A,$A41)</f>
        <v>467</v>
      </c>
      <c r="AH41" s="13">
        <f t="shared" si="15"/>
        <v>0.12704026115342765</v>
      </c>
      <c r="AI41">
        <f>SUMIFS(banco!AK:AK,banco!$C:$C,$B41,banco!$A:$A,$A41)</f>
        <v>209</v>
      </c>
      <c r="AJ41" s="13">
        <f t="shared" si="16"/>
        <v>4.6630968317715307E-2</v>
      </c>
      <c r="AK41">
        <f>SUMIFS(banco!AM:AM,banco!$C:$C,$B41,banco!$A:$A,$A41)</f>
        <v>184</v>
      </c>
      <c r="AL41" s="13">
        <f t="shared" si="17"/>
        <v>5.0054406964091407E-2</v>
      </c>
      <c r="AM41">
        <f>SUMIFS(banco!AO:AO,banco!$C:$C,$B41,banco!$A:$A,$A41)</f>
        <v>2707</v>
      </c>
      <c r="AN41" s="13">
        <f t="shared" si="18"/>
        <v>0.60397144132083891</v>
      </c>
      <c r="AO41">
        <f>SUMIFS(banco!AQ:AQ,banco!$C:$C,$B41,banco!$A:$A,$A41)</f>
        <v>2148</v>
      </c>
      <c r="AP41" s="13">
        <f t="shared" si="19"/>
        <v>0.58433079434167579</v>
      </c>
      <c r="AQ41">
        <f>SUMIFS(banco!AS:AS,banco!$C:$C,$B41,banco!$A:$A,$A41)</f>
        <v>607</v>
      </c>
      <c r="AR41" s="13">
        <f t="shared" si="20"/>
        <v>0.13543061133422579</v>
      </c>
      <c r="AS41">
        <f>SUMIFS(banco!AU:AU,banco!$C:$C,$B41,banco!$A:$A,$A41)</f>
        <v>484</v>
      </c>
      <c r="AT41" s="13">
        <f t="shared" si="21"/>
        <v>0.13166485310119697</v>
      </c>
      <c r="AU41">
        <f>SUMIFS(banco!AW:AW,banco!$C:$C,$B41,banco!$A:$A,$A41)</f>
        <v>270</v>
      </c>
      <c r="AV41" s="13">
        <f t="shared" si="22"/>
        <v>6.0240963855421686E-2</v>
      </c>
      <c r="AW41">
        <f>SUMIFS(banco!AY:AY,banco!$C:$C,$B41,banco!$A:$A,$A41)</f>
        <v>209</v>
      </c>
      <c r="AX41" s="13">
        <f t="shared" si="23"/>
        <v>5.6855277475516865E-2</v>
      </c>
      <c r="AY41">
        <f>SUMIFS(banco!BA:BA,banco!$C:$C,$B41,banco!$A:$A,$A41)</f>
        <v>209</v>
      </c>
      <c r="AZ41" s="13">
        <f t="shared" si="24"/>
        <v>4.6630968317715307E-2</v>
      </c>
      <c r="BA41">
        <f>SUMIFS(banco!BC:BC,banco!$C:$C,$B41,banco!$A:$A,$A41)</f>
        <v>184</v>
      </c>
      <c r="BB41" s="13">
        <f t="shared" si="25"/>
        <v>5.0054406964091407E-2</v>
      </c>
      <c r="BC41">
        <f>SUMIFS(banco!BE:BE,banco!$C:$C,$B41,banco!$A:$A,$A41)</f>
        <v>4482</v>
      </c>
      <c r="BD41">
        <f>SUMIFS(banco!BF:BF,banco!$C:$C,$B41,banco!$A:$A,$A41)</f>
        <v>3676</v>
      </c>
      <c r="BE41">
        <v>7349</v>
      </c>
    </row>
    <row r="42" spans="1:57" x14ac:dyDescent="0.25">
      <c r="A42" s="24">
        <v>2020</v>
      </c>
      <c r="B42" s="22" t="s">
        <v>151</v>
      </c>
      <c r="C42">
        <f>SUMIFS(banco!E:E,banco!$C:$C,$B42,banco!$A:$A,$A42)</f>
        <v>27</v>
      </c>
      <c r="D42" s="13">
        <f t="shared" si="0"/>
        <v>1.5570934256055362E-2</v>
      </c>
      <c r="E42">
        <f>SUMIFS(banco!G:G,banco!$C:$C,$B42,banco!$A:$A,$A42)</f>
        <v>7</v>
      </c>
      <c r="F42" s="13">
        <f t="shared" si="1"/>
        <v>8.6741016109045856E-3</v>
      </c>
      <c r="G42">
        <f>SUMIFS(banco!I:I,banco!$C:$C,$B42,banco!$A:$A,$A42)</f>
        <v>60</v>
      </c>
      <c r="H42" s="13">
        <f t="shared" si="2"/>
        <v>3.4602076124567477E-2</v>
      </c>
      <c r="I42">
        <f>SUMIFS(banco!K:K,banco!$C:$C,$B42,banco!$A:$A,$A42)</f>
        <v>31</v>
      </c>
      <c r="J42" s="13">
        <f t="shared" si="3"/>
        <v>3.8413878562577448E-2</v>
      </c>
      <c r="K42">
        <f>SUMIFS(banco!M:M,banco!$C:$C,$B42,banco!$A:$A,$A42)</f>
        <v>1550</v>
      </c>
      <c r="L42" s="13">
        <f t="shared" si="4"/>
        <v>0.89388696655132638</v>
      </c>
      <c r="M42">
        <f>SUMIFS(banco!O:O,banco!$C:$C,$B42,banco!$A:$A,$A42)</f>
        <v>722</v>
      </c>
      <c r="N42" s="13">
        <f t="shared" si="5"/>
        <v>0.89467162329615857</v>
      </c>
      <c r="O42">
        <f>SUMIFS(banco!Q:Q,banco!$C:$C,$B42,banco!$A:$A,$A42)</f>
        <v>97</v>
      </c>
      <c r="P42" s="13">
        <f t="shared" si="6"/>
        <v>5.5940023068050751E-2</v>
      </c>
      <c r="Q42">
        <f>SUMIFS(banco!S:S,banco!$C:$C,$B42,banco!$A:$A,$A42)</f>
        <v>47</v>
      </c>
      <c r="R42" s="13">
        <f t="shared" si="7"/>
        <v>5.8240396530359353E-2</v>
      </c>
      <c r="S42">
        <f>SUMIFS(banco!U:U,banco!$C:$C,$B42,banco!$A:$A,$A42)</f>
        <v>95</v>
      </c>
      <c r="T42" s="13">
        <f t="shared" si="8"/>
        <v>5.4786620530565169E-2</v>
      </c>
      <c r="U42">
        <f>SUMIFS(banco!W:W,banco!$C:$C,$B42,banco!$A:$A,$A42)</f>
        <v>53</v>
      </c>
      <c r="V42" s="13">
        <f t="shared" si="9"/>
        <v>6.5675340768277565E-2</v>
      </c>
      <c r="W42">
        <f>SUMIFS(banco!Y:Y,banco!$C:$C,$B42,banco!$A:$A,$A42)</f>
        <v>116</v>
      </c>
      <c r="X42" s="13">
        <f t="shared" si="10"/>
        <v>6.6897347174163777E-2</v>
      </c>
      <c r="Y42">
        <f>SUMIFS(banco!AA:AA,banco!$C:$C,$B42,banco!$A:$A,$A42)</f>
        <v>59</v>
      </c>
      <c r="Z42" s="13">
        <f t="shared" si="11"/>
        <v>7.3110285006195791E-2</v>
      </c>
      <c r="AA42">
        <f>SUMIFS(banco!AC:AC,banco!$C:$C,$B42,banco!$A:$A,$A42)</f>
        <v>1522</v>
      </c>
      <c r="AB42" s="13">
        <f t="shared" si="12"/>
        <v>0.87773933102652824</v>
      </c>
      <c r="AC42">
        <f>SUMIFS(banco!AE:AE,banco!$C:$C,$B42,banco!$A:$A,$A42)</f>
        <v>694</v>
      </c>
      <c r="AD42" s="13">
        <f t="shared" si="13"/>
        <v>0.8599752168525403</v>
      </c>
      <c r="AE42">
        <f>SUMIFS(banco!AG:AG,banco!$C:$C,$B42,banco!$A:$A,$A42)</f>
        <v>64</v>
      </c>
      <c r="AF42" s="13">
        <f t="shared" si="14"/>
        <v>3.690888119953864E-2</v>
      </c>
      <c r="AG42">
        <f>SUMIFS(banco!AI:AI,banco!$C:$C,$B42,banco!$A:$A,$A42)</f>
        <v>36</v>
      </c>
      <c r="AH42" s="13">
        <f t="shared" si="15"/>
        <v>4.4609665427509292E-2</v>
      </c>
      <c r="AI42">
        <f>SUMIFS(banco!AK:AK,banco!$C:$C,$B42,banco!$A:$A,$A42)</f>
        <v>67</v>
      </c>
      <c r="AJ42" s="13">
        <f t="shared" si="16"/>
        <v>3.8638985005767013E-2</v>
      </c>
      <c r="AK42">
        <f>SUMIFS(banco!AM:AM,banco!$C:$C,$B42,banco!$A:$A,$A42)</f>
        <v>31</v>
      </c>
      <c r="AL42" s="13">
        <f t="shared" si="17"/>
        <v>3.8413878562577448E-2</v>
      </c>
      <c r="AM42">
        <f>SUMIFS(banco!AO:AO,banco!$C:$C,$B42,banco!$A:$A,$A42)</f>
        <v>1122</v>
      </c>
      <c r="AN42" s="13">
        <f t="shared" si="18"/>
        <v>0.6470588235294118</v>
      </c>
      <c r="AO42">
        <f>SUMIFS(banco!AQ:AQ,banco!$C:$C,$B42,banco!$A:$A,$A42)</f>
        <v>520</v>
      </c>
      <c r="AP42" s="13">
        <f t="shared" si="19"/>
        <v>0.64436183395291202</v>
      </c>
      <c r="AQ42">
        <f>SUMIFS(banco!AS:AS,banco!$C:$C,$B42,banco!$A:$A,$A42)</f>
        <v>293</v>
      </c>
      <c r="AR42" s="13">
        <f t="shared" si="20"/>
        <v>0.16897347174163782</v>
      </c>
      <c r="AS42">
        <f>SUMIFS(banco!AU:AU,banco!$C:$C,$B42,banco!$A:$A,$A42)</f>
        <v>114</v>
      </c>
      <c r="AT42" s="13">
        <f t="shared" si="21"/>
        <v>0.14126394052044611</v>
      </c>
      <c r="AU42">
        <f>SUMIFS(banco!AW:AW,banco!$C:$C,$B42,banco!$A:$A,$A42)</f>
        <v>94</v>
      </c>
      <c r="AV42" s="13">
        <f t="shared" si="22"/>
        <v>5.4209919261822379E-2</v>
      </c>
      <c r="AW42">
        <f>SUMIFS(banco!AY:AY,banco!$C:$C,$B42,banco!$A:$A,$A42)</f>
        <v>46</v>
      </c>
      <c r="AX42" s="13">
        <f t="shared" si="23"/>
        <v>5.7001239157372985E-2</v>
      </c>
      <c r="AY42">
        <f>SUMIFS(banco!BA:BA,banco!$C:$C,$B42,banco!$A:$A,$A42)</f>
        <v>94</v>
      </c>
      <c r="AZ42" s="13">
        <f t="shared" si="24"/>
        <v>5.4209919261822379E-2</v>
      </c>
      <c r="BA42">
        <f>SUMIFS(banco!BC:BC,banco!$C:$C,$B42,banco!$A:$A,$A42)</f>
        <v>60</v>
      </c>
      <c r="BB42" s="13">
        <f t="shared" si="25"/>
        <v>7.434944237918216E-2</v>
      </c>
      <c r="BC42">
        <f>SUMIFS(banco!BE:BE,banco!$C:$C,$B42,banco!$A:$A,$A42)</f>
        <v>1734</v>
      </c>
      <c r="BD42">
        <f>SUMIFS(banco!BF:BF,banco!$C:$C,$B42,banco!$A:$A,$A42)</f>
        <v>807</v>
      </c>
      <c r="BE42">
        <v>9797</v>
      </c>
    </row>
    <row r="43" spans="1:57" x14ac:dyDescent="0.25">
      <c r="A43" s="24">
        <v>2020</v>
      </c>
      <c r="B43" s="22" t="s">
        <v>145</v>
      </c>
      <c r="C43">
        <f>SUMIFS(banco!E:E,banco!$C:$C,$B43,banco!$A:$A,$A43)</f>
        <v>68</v>
      </c>
      <c r="D43" s="13">
        <f t="shared" si="0"/>
        <v>1.0399143599938829E-2</v>
      </c>
      <c r="E43">
        <f>SUMIFS(banco!G:G,banco!$C:$C,$B43,banco!$A:$A,$A43)</f>
        <v>31</v>
      </c>
      <c r="F43" s="13">
        <f t="shared" si="1"/>
        <v>9.9454603785691376E-3</v>
      </c>
      <c r="G43">
        <f>SUMIFS(banco!I:I,banco!$C:$C,$B43,banco!$A:$A,$A43)</f>
        <v>201</v>
      </c>
      <c r="H43" s="13">
        <f t="shared" si="2"/>
        <v>3.0738645052760361E-2</v>
      </c>
      <c r="I43">
        <f>SUMIFS(banco!K:K,banco!$C:$C,$B43,banco!$A:$A,$A43)</f>
        <v>94</v>
      </c>
      <c r="J43" s="13">
        <f t="shared" si="3"/>
        <v>3.0157202438241899E-2</v>
      </c>
      <c r="K43">
        <f>SUMIFS(banco!M:M,banco!$C:$C,$B43,banco!$A:$A,$A43)</f>
        <v>5843</v>
      </c>
      <c r="L43" s="13">
        <f t="shared" si="4"/>
        <v>0.89356170668297907</v>
      </c>
      <c r="M43">
        <f>SUMIFS(banco!O:O,banco!$C:$C,$B43,banco!$A:$A,$A43)</f>
        <v>2758</v>
      </c>
      <c r="N43" s="13">
        <f t="shared" si="5"/>
        <v>0.88482515239011872</v>
      </c>
      <c r="O43">
        <f>SUMIFS(banco!Q:Q,banco!$C:$C,$B43,banco!$A:$A,$A43)</f>
        <v>427</v>
      </c>
      <c r="P43" s="13">
        <f t="shared" si="6"/>
        <v>6.530050466432176E-2</v>
      </c>
      <c r="Q43">
        <f>SUMIFS(banco!S:S,banco!$C:$C,$B43,banco!$A:$A,$A43)</f>
        <v>234</v>
      </c>
      <c r="R43" s="13">
        <f t="shared" si="7"/>
        <v>7.5072184793070262E-2</v>
      </c>
      <c r="S43">
        <f>SUMIFS(banco!U:U,banco!$C:$C,$B43,banco!$A:$A,$A43)</f>
        <v>528</v>
      </c>
      <c r="T43" s="13">
        <f t="shared" si="8"/>
        <v>8.0746291481877966E-2</v>
      </c>
      <c r="U43">
        <f>SUMIFS(banco!W:W,banco!$C:$C,$B43,banco!$A:$A,$A43)</f>
        <v>332</v>
      </c>
      <c r="V43" s="13">
        <f t="shared" si="9"/>
        <v>0.10651267244145012</v>
      </c>
      <c r="W43">
        <f>SUMIFS(banco!Y:Y,banco!$C:$C,$B43,banco!$A:$A,$A43)</f>
        <v>569</v>
      </c>
      <c r="X43" s="13">
        <f t="shared" si="10"/>
        <v>8.7016363358311671E-2</v>
      </c>
      <c r="Y43">
        <f>SUMIFS(banco!AA:AA,banco!$C:$C,$B43,banco!$A:$A,$A43)</f>
        <v>277</v>
      </c>
      <c r="Z43" s="13">
        <f t="shared" si="11"/>
        <v>8.8867500802053259E-2</v>
      </c>
      <c r="AA43">
        <f>SUMIFS(banco!AC:AC,banco!$C:$C,$B43,banco!$A:$A,$A43)</f>
        <v>5442</v>
      </c>
      <c r="AB43" s="13">
        <f t="shared" si="12"/>
        <v>0.8322373451598104</v>
      </c>
      <c r="AC43">
        <f>SUMIFS(banco!AE:AE,banco!$C:$C,$B43,banco!$A:$A,$A43)</f>
        <v>2507</v>
      </c>
      <c r="AD43" s="13">
        <f t="shared" si="13"/>
        <v>0.80429900545396216</v>
      </c>
      <c r="AE43">
        <f>SUMIFS(banco!AG:AG,banco!$C:$C,$B43,banco!$A:$A,$A43)</f>
        <v>192</v>
      </c>
      <c r="AF43" s="13">
        <f t="shared" si="14"/>
        <v>2.9362287811591985E-2</v>
      </c>
      <c r="AG43">
        <f>SUMIFS(banco!AI:AI,banco!$C:$C,$B43,banco!$A:$A,$A43)</f>
        <v>103</v>
      </c>
      <c r="AH43" s="13">
        <f t="shared" si="15"/>
        <v>3.3044594161052293E-2</v>
      </c>
      <c r="AI43">
        <f>SUMIFS(banco!AK:AK,banco!$C:$C,$B43,banco!$A:$A,$A43)</f>
        <v>252</v>
      </c>
      <c r="AJ43" s="13">
        <f t="shared" si="16"/>
        <v>3.8538002752714483E-2</v>
      </c>
      <c r="AK43">
        <f>SUMIFS(banco!AM:AM,banco!$C:$C,$B43,banco!$A:$A,$A43)</f>
        <v>144</v>
      </c>
      <c r="AL43" s="13">
        <f t="shared" si="17"/>
        <v>4.6198267564966311E-2</v>
      </c>
      <c r="AM43">
        <f>SUMIFS(banco!AO:AO,banco!$C:$C,$B43,banco!$A:$A,$A43)</f>
        <v>3981</v>
      </c>
      <c r="AN43" s="13">
        <f t="shared" si="18"/>
        <v>0.60880868634347762</v>
      </c>
      <c r="AO43">
        <f>SUMIFS(banco!AQ:AQ,banco!$C:$C,$B43,banco!$A:$A,$A43)</f>
        <v>1893</v>
      </c>
      <c r="AP43" s="13">
        <f t="shared" si="19"/>
        <v>0.60731472569778633</v>
      </c>
      <c r="AQ43">
        <f>SUMIFS(banco!AS:AS,banco!$C:$C,$B43,banco!$A:$A,$A43)</f>
        <v>1083</v>
      </c>
      <c r="AR43" s="13">
        <f t="shared" si="20"/>
        <v>0.16562165468726106</v>
      </c>
      <c r="AS43">
        <f>SUMIFS(banco!AU:AU,banco!$C:$C,$B43,banco!$A:$A,$A43)</f>
        <v>441</v>
      </c>
      <c r="AT43" s="13">
        <f t="shared" si="21"/>
        <v>0.14148219441770934</v>
      </c>
      <c r="AU43">
        <f>SUMIFS(banco!AW:AW,banco!$C:$C,$B43,banco!$A:$A,$A43)</f>
        <v>501</v>
      </c>
      <c r="AV43" s="13">
        <f t="shared" si="22"/>
        <v>7.6617219758372837E-2</v>
      </c>
      <c r="AW43">
        <f>SUMIFS(banco!AY:AY,banco!$C:$C,$B43,banco!$A:$A,$A43)</f>
        <v>210</v>
      </c>
      <c r="AX43" s="13">
        <f t="shared" si="23"/>
        <v>6.7372473532242544E-2</v>
      </c>
      <c r="AY43">
        <f>SUMIFS(banco!BA:BA,banco!$C:$C,$B43,banco!$A:$A,$A43)</f>
        <v>530</v>
      </c>
      <c r="AZ43" s="13">
        <f t="shared" si="24"/>
        <v>8.1052148646582042E-2</v>
      </c>
      <c r="BA43">
        <f>SUMIFS(banco!BC:BC,banco!$C:$C,$B43,banco!$A:$A,$A43)</f>
        <v>326</v>
      </c>
      <c r="BB43" s="13">
        <f t="shared" si="25"/>
        <v>0.10458774462624318</v>
      </c>
      <c r="BC43">
        <f>SUMIFS(banco!BE:BE,banco!$C:$C,$B43,banco!$A:$A,$A43)</f>
        <v>6539</v>
      </c>
      <c r="BD43">
        <f>SUMIFS(banco!BF:BF,banco!$C:$C,$B43,banco!$A:$A,$A43)</f>
        <v>3117</v>
      </c>
      <c r="BE43">
        <v>17696</v>
      </c>
    </row>
    <row r="44" spans="1:57" x14ac:dyDescent="0.25">
      <c r="A44" s="24">
        <v>2020</v>
      </c>
      <c r="B44" s="22" t="s">
        <v>144</v>
      </c>
      <c r="C44">
        <f>SUMIFS(banco!E:E,banco!$C:$C,$B44,banco!$A:$A,$A44)</f>
        <v>26</v>
      </c>
      <c r="D44" s="13">
        <f t="shared" si="0"/>
        <v>9.5905569900405756E-3</v>
      </c>
      <c r="E44">
        <f>SUMIFS(banco!G:G,banco!$C:$C,$B44,banco!$A:$A,$A44)</f>
        <v>14</v>
      </c>
      <c r="F44" s="13">
        <f t="shared" si="1"/>
        <v>8.4286574352799518E-3</v>
      </c>
      <c r="G44">
        <f>SUMIFS(banco!I:I,banco!$C:$C,$B44,banco!$A:$A,$A44)</f>
        <v>61</v>
      </c>
      <c r="H44" s="13">
        <f t="shared" si="2"/>
        <v>2.250092216894135E-2</v>
      </c>
      <c r="I44">
        <f>SUMIFS(banco!K:K,banco!$C:$C,$B44,banco!$A:$A,$A44)</f>
        <v>39</v>
      </c>
      <c r="J44" s="13">
        <f t="shared" si="3"/>
        <v>2.3479831426851294E-2</v>
      </c>
      <c r="K44">
        <f>SUMIFS(banco!M:M,banco!$C:$C,$B44,banco!$A:$A,$A44)</f>
        <v>2411</v>
      </c>
      <c r="L44" s="13">
        <f t="shared" si="4"/>
        <v>0.88933972703799336</v>
      </c>
      <c r="M44">
        <f>SUMIFS(banco!O:O,banco!$C:$C,$B44,banco!$A:$A,$A44)</f>
        <v>1463</v>
      </c>
      <c r="N44" s="13">
        <f t="shared" si="5"/>
        <v>0.88079470198675491</v>
      </c>
      <c r="O44">
        <f>SUMIFS(banco!Q:Q,banco!$C:$C,$B44,banco!$A:$A,$A44)</f>
        <v>213</v>
      </c>
      <c r="P44" s="13">
        <f t="shared" si="6"/>
        <v>7.8568793803024714E-2</v>
      </c>
      <c r="Q44">
        <f>SUMIFS(banco!S:S,banco!$C:$C,$B44,banco!$A:$A,$A44)</f>
        <v>145</v>
      </c>
      <c r="R44" s="13">
        <f t="shared" si="7"/>
        <v>8.7296809151113791E-2</v>
      </c>
      <c r="S44">
        <f>SUMIFS(banco!U:U,banco!$C:$C,$B44,banco!$A:$A,$A44)</f>
        <v>143</v>
      </c>
      <c r="T44" s="13">
        <f t="shared" si="8"/>
        <v>5.2748063445223162E-2</v>
      </c>
      <c r="U44">
        <f>SUMIFS(banco!W:W,banco!$C:$C,$B44,banco!$A:$A,$A44)</f>
        <v>82</v>
      </c>
      <c r="V44" s="13">
        <f t="shared" si="9"/>
        <v>4.9367850692354005E-2</v>
      </c>
      <c r="W44">
        <f>SUMIFS(banco!Y:Y,banco!$C:$C,$B44,banco!$A:$A,$A44)</f>
        <v>166</v>
      </c>
      <c r="X44" s="13">
        <f t="shared" si="10"/>
        <v>6.1232017705643675E-2</v>
      </c>
      <c r="Y44">
        <f>SUMIFS(banco!AA:AA,banco!$C:$C,$B44,banco!$A:$A,$A44)</f>
        <v>119</v>
      </c>
      <c r="Z44" s="13">
        <f t="shared" si="11"/>
        <v>7.1643588199879593E-2</v>
      </c>
      <c r="AA44">
        <f>SUMIFS(banco!AC:AC,banco!$C:$C,$B44,banco!$A:$A,$A44)</f>
        <v>2402</v>
      </c>
      <c r="AB44" s="13">
        <f t="shared" si="12"/>
        <v>0.88601991884913311</v>
      </c>
      <c r="AC44">
        <f>SUMIFS(banco!AE:AE,banco!$C:$C,$B44,banco!$A:$A,$A44)</f>
        <v>1460</v>
      </c>
      <c r="AD44" s="13">
        <f t="shared" si="13"/>
        <v>0.87898856110776635</v>
      </c>
      <c r="AE44">
        <f>SUMIFS(banco!AG:AG,banco!$C:$C,$B44,banco!$A:$A,$A44)</f>
        <v>93</v>
      </c>
      <c r="AF44" s="13">
        <f t="shared" si="14"/>
        <v>3.4304684618222059E-2</v>
      </c>
      <c r="AG44">
        <f>SUMIFS(banco!AI:AI,banco!$C:$C,$B44,banco!$A:$A,$A44)</f>
        <v>65</v>
      </c>
      <c r="AH44" s="13">
        <f t="shared" si="15"/>
        <v>3.9133052378085488E-2</v>
      </c>
      <c r="AI44">
        <f>SUMIFS(banco!AK:AK,banco!$C:$C,$B44,banco!$A:$A,$A44)</f>
        <v>112</v>
      </c>
      <c r="AJ44" s="13">
        <f t="shared" si="16"/>
        <v>4.1313168572482475E-2</v>
      </c>
      <c r="AK44">
        <f>SUMIFS(banco!AM:AM,banco!$C:$C,$B44,banco!$A:$A,$A44)</f>
        <v>69</v>
      </c>
      <c r="AL44" s="13">
        <f t="shared" si="17"/>
        <v>4.1541240216736906E-2</v>
      </c>
      <c r="AM44">
        <f>SUMIFS(banco!AO:AO,banco!$C:$C,$B44,banco!$A:$A,$A44)</f>
        <v>1638</v>
      </c>
      <c r="AN44" s="13">
        <f t="shared" si="18"/>
        <v>0.60420509037255621</v>
      </c>
      <c r="AO44">
        <f>SUMIFS(banco!AQ:AQ,banco!$C:$C,$B44,banco!$A:$A,$A44)</f>
        <v>1038</v>
      </c>
      <c r="AP44" s="13">
        <f t="shared" si="19"/>
        <v>0.62492474413004218</v>
      </c>
      <c r="AQ44">
        <f>SUMIFS(banco!AS:AS,banco!$C:$C,$B44,banco!$A:$A,$A44)</f>
        <v>475</v>
      </c>
      <c r="AR44" s="13">
        <f t="shared" si="20"/>
        <v>0.17521209885651051</v>
      </c>
      <c r="AS44">
        <f>SUMIFS(banco!AU:AU,banco!$C:$C,$B44,banco!$A:$A,$A44)</f>
        <v>267</v>
      </c>
      <c r="AT44" s="13">
        <f t="shared" si="21"/>
        <v>0.16074653822998194</v>
      </c>
      <c r="AU44">
        <f>SUMIFS(banco!AW:AW,banco!$C:$C,$B44,banco!$A:$A,$A44)</f>
        <v>212</v>
      </c>
      <c r="AV44" s="13">
        <f t="shared" si="22"/>
        <v>7.8199926226484695E-2</v>
      </c>
      <c r="AW44">
        <f>SUMIFS(banco!AY:AY,banco!$C:$C,$B44,banco!$A:$A,$A44)</f>
        <v>121</v>
      </c>
      <c r="AX44" s="13">
        <f t="shared" si="23"/>
        <v>7.2847682119205295E-2</v>
      </c>
      <c r="AY44">
        <f>SUMIFS(banco!BA:BA,banco!$C:$C,$B44,banco!$A:$A,$A44)</f>
        <v>181</v>
      </c>
      <c r="AZ44" s="13">
        <f t="shared" si="24"/>
        <v>6.6765031353744009E-2</v>
      </c>
      <c r="BA44">
        <f>SUMIFS(banco!BC:BC,banco!$C:$C,$B44,banco!$A:$A,$A44)</f>
        <v>101</v>
      </c>
      <c r="BB44" s="13">
        <f t="shared" si="25"/>
        <v>6.0806742925948225E-2</v>
      </c>
      <c r="BC44">
        <f>SUMIFS(banco!BE:BE,banco!$C:$C,$B44,banco!$A:$A,$A44)</f>
        <v>2711</v>
      </c>
      <c r="BD44">
        <f>SUMIFS(banco!BF:BF,banco!$C:$C,$B44,banco!$A:$A,$A44)</f>
        <v>1661</v>
      </c>
      <c r="BE44">
        <v>10108</v>
      </c>
    </row>
    <row r="45" spans="1:57" x14ac:dyDescent="0.25">
      <c r="A45" s="24">
        <v>2020</v>
      </c>
      <c r="B45" s="22" t="s">
        <v>148</v>
      </c>
      <c r="C45">
        <f>SUMIFS(banco!E:E,banco!$C:$C,$B45,banco!$A:$A,$A45)</f>
        <v>101</v>
      </c>
      <c r="D45" s="13">
        <f t="shared" si="0"/>
        <v>1.1817011817011816E-2</v>
      </c>
      <c r="E45">
        <f>SUMIFS(banco!G:G,banco!$C:$C,$B45,banco!$A:$A,$A45)</f>
        <v>61</v>
      </c>
      <c r="F45" s="13">
        <f t="shared" si="1"/>
        <v>1.5024630541871921E-2</v>
      </c>
      <c r="G45">
        <f>SUMIFS(banco!I:I,banco!$C:$C,$B45,banco!$A:$A,$A45)</f>
        <v>239</v>
      </c>
      <c r="H45" s="13">
        <f t="shared" si="2"/>
        <v>2.7963027963027964E-2</v>
      </c>
      <c r="I45">
        <f>SUMIFS(banco!K:K,banco!$C:$C,$B45,banco!$A:$A,$A45)</f>
        <v>129</v>
      </c>
      <c r="J45" s="13">
        <f t="shared" si="3"/>
        <v>3.1773399014778325E-2</v>
      </c>
      <c r="K45">
        <f>SUMIFS(banco!M:M,banco!$C:$C,$B45,banco!$A:$A,$A45)</f>
        <v>7549</v>
      </c>
      <c r="L45" s="13">
        <f t="shared" si="4"/>
        <v>0.88323388323388319</v>
      </c>
      <c r="M45">
        <f>SUMIFS(banco!O:O,banco!$C:$C,$B45,banco!$A:$A,$A45)</f>
        <v>3552</v>
      </c>
      <c r="N45" s="13">
        <f t="shared" si="5"/>
        <v>0.87487684729064041</v>
      </c>
      <c r="O45">
        <f>SUMIFS(banco!Q:Q,banco!$C:$C,$B45,banco!$A:$A,$A45)</f>
        <v>658</v>
      </c>
      <c r="P45" s="13">
        <f t="shared" si="6"/>
        <v>7.6986076986076984E-2</v>
      </c>
      <c r="Q45">
        <f>SUMIFS(banco!S:S,banco!$C:$C,$B45,banco!$A:$A,$A45)</f>
        <v>318</v>
      </c>
      <c r="R45" s="13">
        <f t="shared" si="7"/>
        <v>7.8325123152709356E-2</v>
      </c>
      <c r="S45">
        <f>SUMIFS(banco!U:U,banco!$C:$C,$B45,banco!$A:$A,$A45)</f>
        <v>452</v>
      </c>
      <c r="T45" s="13">
        <f t="shared" si="8"/>
        <v>5.2884052884052887E-2</v>
      </c>
      <c r="U45">
        <f>SUMIFS(banco!W:W,banco!$C:$C,$B45,banco!$A:$A,$A45)</f>
        <v>281</v>
      </c>
      <c r="V45" s="13">
        <f t="shared" si="9"/>
        <v>6.9211822660098524E-2</v>
      </c>
      <c r="W45">
        <f>SUMIFS(banco!Y:Y,banco!$C:$C,$B45,banco!$A:$A,$A45)</f>
        <v>549</v>
      </c>
      <c r="X45" s="13">
        <f t="shared" si="10"/>
        <v>6.4233064233064227E-2</v>
      </c>
      <c r="Y45">
        <f>SUMIFS(banco!AA:AA,banco!$C:$C,$B45,banco!$A:$A,$A45)</f>
        <v>331</v>
      </c>
      <c r="Z45" s="13">
        <f t="shared" si="11"/>
        <v>8.1527093596059114E-2</v>
      </c>
      <c r="AA45">
        <f>SUMIFS(banco!AC:AC,banco!$C:$C,$B45,banco!$A:$A,$A45)</f>
        <v>7546</v>
      </c>
      <c r="AB45" s="13">
        <f t="shared" si="12"/>
        <v>0.88288288288288286</v>
      </c>
      <c r="AC45">
        <f>SUMIFS(banco!AE:AE,banco!$C:$C,$B45,banco!$A:$A,$A45)</f>
        <v>3448</v>
      </c>
      <c r="AD45" s="13">
        <f t="shared" si="13"/>
        <v>0.84926108374384235</v>
      </c>
      <c r="AE45">
        <f>SUMIFS(banco!AG:AG,banco!$C:$C,$B45,banco!$A:$A,$A45)</f>
        <v>307</v>
      </c>
      <c r="AF45" s="13">
        <f t="shared" si="14"/>
        <v>3.5919035919035919E-2</v>
      </c>
      <c r="AG45">
        <f>SUMIFS(banco!AI:AI,banco!$C:$C,$B45,banco!$A:$A,$A45)</f>
        <v>242</v>
      </c>
      <c r="AH45" s="13">
        <f t="shared" si="15"/>
        <v>5.9605911330049263E-2</v>
      </c>
      <c r="AI45">
        <f>SUMIFS(banco!AK:AK,banco!$C:$C,$B45,banco!$A:$A,$A45)</f>
        <v>359</v>
      </c>
      <c r="AJ45" s="13">
        <f t="shared" si="16"/>
        <v>4.2003042003042002E-2</v>
      </c>
      <c r="AK45">
        <f>SUMIFS(banco!AM:AM,banco!$C:$C,$B45,banco!$A:$A,$A45)</f>
        <v>232</v>
      </c>
      <c r="AL45" s="13">
        <f t="shared" si="17"/>
        <v>5.7142857142857141E-2</v>
      </c>
      <c r="AM45">
        <f>SUMIFS(banco!AO:AO,banco!$C:$C,$B45,banco!$A:$A,$A45)</f>
        <v>5245</v>
      </c>
      <c r="AN45" s="13">
        <f t="shared" si="18"/>
        <v>0.61366561366561367</v>
      </c>
      <c r="AO45">
        <f>SUMIFS(banco!AQ:AQ,banco!$C:$C,$B45,banco!$A:$A,$A45)</f>
        <v>2369</v>
      </c>
      <c r="AP45" s="13">
        <f t="shared" si="19"/>
        <v>0.58349753694581286</v>
      </c>
      <c r="AQ45">
        <f>SUMIFS(banco!AS:AS,banco!$C:$C,$B45,banco!$A:$A,$A45)</f>
        <v>1422</v>
      </c>
      <c r="AR45" s="13">
        <f t="shared" si="20"/>
        <v>0.16637416637416638</v>
      </c>
      <c r="AS45">
        <f>SUMIFS(banco!AU:AU,banco!$C:$C,$B45,banco!$A:$A,$A45)</f>
        <v>581</v>
      </c>
      <c r="AT45" s="13">
        <f t="shared" si="21"/>
        <v>0.14310344827586208</v>
      </c>
      <c r="AU45">
        <f>SUMIFS(banco!AW:AW,banco!$C:$C,$B45,banco!$A:$A,$A45)</f>
        <v>668</v>
      </c>
      <c r="AV45" s="13">
        <f t="shared" si="22"/>
        <v>7.8156078156078154E-2</v>
      </c>
      <c r="AW45">
        <f>SUMIFS(banco!AY:AY,banco!$C:$C,$B45,banco!$A:$A,$A45)</f>
        <v>296</v>
      </c>
      <c r="AX45" s="13">
        <f t="shared" si="23"/>
        <v>7.2906403940886697E-2</v>
      </c>
      <c r="AY45">
        <f>SUMIFS(banco!BA:BA,banco!$C:$C,$B45,banco!$A:$A,$A45)</f>
        <v>546</v>
      </c>
      <c r="AZ45" s="13">
        <f t="shared" si="24"/>
        <v>6.3882063882063883E-2</v>
      </c>
      <c r="BA45">
        <f>SUMIFS(banco!BC:BC,banco!$C:$C,$B45,banco!$A:$A,$A45)</f>
        <v>340</v>
      </c>
      <c r="BB45" s="13">
        <f t="shared" si="25"/>
        <v>8.3743842364532015E-2</v>
      </c>
      <c r="BC45">
        <f>SUMIFS(banco!BE:BE,banco!$C:$C,$B45,banco!$A:$A,$A45)</f>
        <v>8547</v>
      </c>
      <c r="BD45">
        <f>SUMIFS(banco!BF:BF,banco!$C:$C,$B45,banco!$A:$A,$A45)</f>
        <v>4060</v>
      </c>
      <c r="BE45">
        <v>29712</v>
      </c>
    </row>
    <row r="46" spans="1:57" x14ac:dyDescent="0.25">
      <c r="A46" s="24">
        <v>2020</v>
      </c>
      <c r="B46" s="22" t="s">
        <v>150</v>
      </c>
      <c r="C46">
        <f>SUMIFS(banco!E:E,banco!$C:$C,$B46,banco!$A:$A,$A46)</f>
        <v>45</v>
      </c>
      <c r="D46" s="13">
        <f t="shared" si="0"/>
        <v>1.3778322106552358E-2</v>
      </c>
      <c r="E46">
        <f>SUMIFS(banco!G:G,banco!$C:$C,$B46,banco!$A:$A,$A46)</f>
        <v>31</v>
      </c>
      <c r="F46" s="13">
        <f t="shared" si="1"/>
        <v>1.5531062124248497E-2</v>
      </c>
      <c r="G46">
        <f>SUMIFS(banco!I:I,banco!$C:$C,$B46,banco!$A:$A,$A46)</f>
        <v>94</v>
      </c>
      <c r="H46" s="13">
        <f t="shared" si="2"/>
        <v>2.878138395590937E-2</v>
      </c>
      <c r="I46">
        <f>SUMIFS(banco!K:K,banco!$C:$C,$B46,banco!$A:$A,$A46)</f>
        <v>61</v>
      </c>
      <c r="J46" s="13">
        <f t="shared" si="3"/>
        <v>3.0561122244488977E-2</v>
      </c>
      <c r="K46">
        <f>SUMIFS(banco!M:M,banco!$C:$C,$B46,banco!$A:$A,$A46)</f>
        <v>2891</v>
      </c>
      <c r="L46" s="13">
        <f t="shared" si="4"/>
        <v>0.88518064911206373</v>
      </c>
      <c r="M46">
        <f>SUMIFS(banco!O:O,banco!$C:$C,$B46,banco!$A:$A,$A46)</f>
        <v>1759</v>
      </c>
      <c r="N46" s="13">
        <f t="shared" si="5"/>
        <v>0.88126252505010017</v>
      </c>
      <c r="O46">
        <f>SUMIFS(banco!Q:Q,banco!$C:$C,$B46,banco!$A:$A,$A46)</f>
        <v>236</v>
      </c>
      <c r="P46" s="13">
        <f t="shared" si="6"/>
        <v>7.2259644825474589E-2</v>
      </c>
      <c r="Q46">
        <f>SUMIFS(banco!S:S,banco!$C:$C,$B46,banco!$A:$A,$A46)</f>
        <v>145</v>
      </c>
      <c r="R46" s="13">
        <f t="shared" si="7"/>
        <v>7.2645290581162328E-2</v>
      </c>
      <c r="S46">
        <f>SUMIFS(banco!U:U,banco!$C:$C,$B46,banco!$A:$A,$A46)</f>
        <v>220</v>
      </c>
      <c r="T46" s="13">
        <f t="shared" si="8"/>
        <v>6.7360685854255975E-2</v>
      </c>
      <c r="U46">
        <f>SUMIFS(banco!W:W,banco!$C:$C,$B46,banco!$A:$A,$A46)</f>
        <v>153</v>
      </c>
      <c r="V46" s="13">
        <f t="shared" si="9"/>
        <v>7.6653306613226446E-2</v>
      </c>
      <c r="W46">
        <f>SUMIFS(banco!Y:Y,banco!$C:$C,$B46,banco!$A:$A,$A46)</f>
        <v>217</v>
      </c>
      <c r="X46" s="13">
        <f t="shared" si="10"/>
        <v>6.6442131047152478E-2</v>
      </c>
      <c r="Y46">
        <f>SUMIFS(banco!AA:AA,banco!$C:$C,$B46,banco!$A:$A,$A46)</f>
        <v>146</v>
      </c>
      <c r="Z46" s="13">
        <f t="shared" si="11"/>
        <v>7.3146292585170344E-2</v>
      </c>
      <c r="AA46">
        <f>SUMIFS(banco!AC:AC,banco!$C:$C,$B46,banco!$A:$A,$A46)</f>
        <v>2829</v>
      </c>
      <c r="AB46" s="13">
        <f t="shared" si="12"/>
        <v>0.86619718309859151</v>
      </c>
      <c r="AC46">
        <f>SUMIFS(banco!AE:AE,banco!$C:$C,$B46,banco!$A:$A,$A46)</f>
        <v>1697</v>
      </c>
      <c r="AD46" s="13">
        <f t="shared" si="13"/>
        <v>0.8502004008016032</v>
      </c>
      <c r="AE46">
        <f>SUMIFS(banco!AG:AG,banco!$C:$C,$B46,banco!$A:$A,$A46)</f>
        <v>97</v>
      </c>
      <c r="AF46" s="13">
        <f t="shared" si="14"/>
        <v>2.969993876301286E-2</v>
      </c>
      <c r="AG46">
        <f>SUMIFS(banco!AI:AI,banco!$C:$C,$B46,banco!$A:$A,$A46)</f>
        <v>72</v>
      </c>
      <c r="AH46" s="13">
        <f t="shared" si="15"/>
        <v>3.6072144288577156E-2</v>
      </c>
      <c r="AI46">
        <f>SUMIFS(banco!AK:AK,banco!$C:$C,$B46,banco!$A:$A,$A46)</f>
        <v>134</v>
      </c>
      <c r="AJ46" s="13">
        <f t="shared" si="16"/>
        <v>4.1028781383955909E-2</v>
      </c>
      <c r="AK46">
        <f>SUMIFS(banco!AM:AM,banco!$C:$C,$B46,banco!$A:$A,$A46)</f>
        <v>99</v>
      </c>
      <c r="AL46" s="13">
        <f t="shared" si="17"/>
        <v>4.9599198396793588E-2</v>
      </c>
      <c r="AM46">
        <f>SUMIFS(banco!AO:AO,banco!$C:$C,$B46,banco!$A:$A,$A46)</f>
        <v>1987</v>
      </c>
      <c r="AN46" s="13">
        <f t="shared" si="18"/>
        <v>0.60838946723821186</v>
      </c>
      <c r="AO46">
        <f>SUMIFS(banco!AQ:AQ,banco!$C:$C,$B46,banco!$A:$A,$A46)</f>
        <v>1216</v>
      </c>
      <c r="AP46" s="13">
        <f t="shared" si="19"/>
        <v>0.60921843687374755</v>
      </c>
      <c r="AQ46">
        <f>SUMIFS(banco!AS:AS,banco!$C:$C,$B46,banco!$A:$A,$A46)</f>
        <v>554</v>
      </c>
      <c r="AR46" s="13">
        <f t="shared" si="20"/>
        <v>0.16962645437844459</v>
      </c>
      <c r="AS46">
        <f>SUMIFS(banco!AU:AU,banco!$C:$C,$B46,banco!$A:$A,$A46)</f>
        <v>307</v>
      </c>
      <c r="AT46" s="13">
        <f t="shared" si="21"/>
        <v>0.15380761523046091</v>
      </c>
      <c r="AU46">
        <f>SUMIFS(banco!AW:AW,banco!$C:$C,$B46,banco!$A:$A,$A46)</f>
        <v>261</v>
      </c>
      <c r="AV46" s="13">
        <f t="shared" si="22"/>
        <v>7.9914268218003667E-2</v>
      </c>
      <c r="AW46">
        <f>SUMIFS(banco!AY:AY,banco!$C:$C,$B46,banco!$A:$A,$A46)</f>
        <v>149</v>
      </c>
      <c r="AX46" s="13">
        <f t="shared" si="23"/>
        <v>7.4649298597194394E-2</v>
      </c>
      <c r="AY46">
        <f>SUMIFS(banco!BA:BA,banco!$C:$C,$B46,banco!$A:$A,$A46)</f>
        <v>233</v>
      </c>
      <c r="AZ46" s="13">
        <f t="shared" si="24"/>
        <v>7.1341090018371092E-2</v>
      </c>
      <c r="BA46">
        <f>SUMIFS(banco!BC:BC,banco!$C:$C,$B46,banco!$A:$A,$A46)</f>
        <v>153</v>
      </c>
      <c r="BB46" s="13">
        <f t="shared" si="25"/>
        <v>7.6653306613226446E-2</v>
      </c>
      <c r="BC46">
        <f>SUMIFS(banco!BE:BE,banco!$C:$C,$B46,banco!$A:$A,$A46)</f>
        <v>3266</v>
      </c>
      <c r="BD46">
        <f>SUMIFS(banco!BF:BF,banco!$C:$C,$B46,banco!$A:$A,$A46)</f>
        <v>1996</v>
      </c>
      <c r="BE46">
        <v>12166</v>
      </c>
    </row>
    <row r="47" spans="1:57" x14ac:dyDescent="0.25">
      <c r="A47" s="24">
        <v>2020</v>
      </c>
      <c r="B47" s="22" t="s">
        <v>146</v>
      </c>
      <c r="C47">
        <f>SUMIFS(banco!E:E,banco!$C:$C,$B47,banco!$A:$A,$A47)</f>
        <v>70</v>
      </c>
      <c r="D47" s="13">
        <f t="shared" si="0"/>
        <v>1.9167579408543262E-2</v>
      </c>
      <c r="E47">
        <f>SUMIFS(banco!G:G,banco!$C:$C,$B47,banco!$A:$A,$A47)</f>
        <v>60</v>
      </c>
      <c r="F47" s="13">
        <f t="shared" si="1"/>
        <v>3.1152647975077882E-2</v>
      </c>
      <c r="G47">
        <f>SUMIFS(banco!I:I,banco!$C:$C,$B47,banco!$A:$A,$A47)</f>
        <v>173</v>
      </c>
      <c r="H47" s="13">
        <f t="shared" si="2"/>
        <v>4.7371303395399779E-2</v>
      </c>
      <c r="I47">
        <f>SUMIFS(banco!K:K,banco!$C:$C,$B47,banco!$A:$A,$A47)</f>
        <v>127</v>
      </c>
      <c r="J47" s="13">
        <f t="shared" si="3"/>
        <v>6.5939771547248185E-2</v>
      </c>
      <c r="K47">
        <f>SUMIFS(banco!M:M,banco!$C:$C,$B47,banco!$A:$A,$A47)</f>
        <v>3099</v>
      </c>
      <c r="L47" s="13">
        <f t="shared" si="4"/>
        <v>0.84857612267250826</v>
      </c>
      <c r="M47">
        <f>SUMIFS(banco!O:O,banco!$C:$C,$B47,banco!$A:$A,$A47)</f>
        <v>1571</v>
      </c>
      <c r="N47" s="13">
        <f t="shared" si="5"/>
        <v>0.81568016614745587</v>
      </c>
      <c r="O47">
        <f>SUMIFS(banco!Q:Q,banco!$C:$C,$B47,banco!$A:$A,$A47)</f>
        <v>310</v>
      </c>
      <c r="P47" s="13">
        <f t="shared" si="6"/>
        <v>8.4884994523548737E-2</v>
      </c>
      <c r="Q47">
        <f>SUMIFS(banco!S:S,banco!$C:$C,$B47,banco!$A:$A,$A47)</f>
        <v>168</v>
      </c>
      <c r="R47" s="13">
        <f t="shared" si="7"/>
        <v>8.7227414330218064E-2</v>
      </c>
      <c r="S47">
        <f>SUMIFS(banco!U:U,banco!$C:$C,$B47,banco!$A:$A,$A47)</f>
        <v>325</v>
      </c>
      <c r="T47" s="13">
        <f t="shared" si="8"/>
        <v>8.8992332968236582E-2</v>
      </c>
      <c r="U47">
        <f>SUMIFS(banco!W:W,banco!$C:$C,$B47,banco!$A:$A,$A47)</f>
        <v>270</v>
      </c>
      <c r="V47" s="13">
        <f t="shared" si="9"/>
        <v>0.14018691588785046</v>
      </c>
      <c r="W47">
        <f>SUMIFS(banco!Y:Y,banco!$C:$C,$B47,banco!$A:$A,$A47)</f>
        <v>305</v>
      </c>
      <c r="X47" s="13">
        <f t="shared" si="10"/>
        <v>8.3515881708652789E-2</v>
      </c>
      <c r="Y47">
        <f>SUMIFS(banco!AA:AA,banco!$C:$C,$B47,banco!$A:$A,$A47)</f>
        <v>215</v>
      </c>
      <c r="Z47" s="13">
        <f t="shared" si="11"/>
        <v>0.11163032191069575</v>
      </c>
      <c r="AA47">
        <f>SUMIFS(banco!AC:AC,banco!$C:$C,$B47,banco!$A:$A,$A47)</f>
        <v>3022</v>
      </c>
      <c r="AB47" s="13">
        <f t="shared" si="12"/>
        <v>0.82749178532311063</v>
      </c>
      <c r="AC47">
        <f>SUMIFS(banco!AE:AE,banco!$C:$C,$B47,banco!$A:$A,$A47)</f>
        <v>1441</v>
      </c>
      <c r="AD47" s="13">
        <f t="shared" si="13"/>
        <v>0.74818276220145374</v>
      </c>
      <c r="AE47">
        <f>SUMIFS(banco!AG:AG,banco!$C:$C,$B47,banco!$A:$A,$A47)</f>
        <v>139</v>
      </c>
      <c r="AF47" s="13">
        <f t="shared" si="14"/>
        <v>3.8061336254107341E-2</v>
      </c>
      <c r="AG47">
        <f>SUMIFS(banco!AI:AI,banco!$C:$C,$B47,banco!$A:$A,$A47)</f>
        <v>107</v>
      </c>
      <c r="AH47" s="13">
        <f t="shared" si="15"/>
        <v>5.5555555555555552E-2</v>
      </c>
      <c r="AI47">
        <f>SUMIFS(banco!AK:AK,banco!$C:$C,$B47,banco!$A:$A,$A47)</f>
        <v>155</v>
      </c>
      <c r="AJ47" s="13">
        <f t="shared" si="16"/>
        <v>4.2442497261774369E-2</v>
      </c>
      <c r="AK47">
        <f>SUMIFS(banco!AM:AM,banco!$C:$C,$B47,banco!$A:$A,$A47)</f>
        <v>99</v>
      </c>
      <c r="AL47" s="13">
        <f t="shared" si="17"/>
        <v>5.1401869158878503E-2</v>
      </c>
      <c r="AM47">
        <f>SUMIFS(banco!AO:AO,banco!$C:$C,$B47,banco!$A:$A,$A47)</f>
        <v>2119</v>
      </c>
      <c r="AN47" s="13">
        <f t="shared" si="18"/>
        <v>0.5802300109529025</v>
      </c>
      <c r="AO47">
        <f>SUMIFS(banco!AQ:AQ,banco!$C:$C,$B47,banco!$A:$A,$A47)</f>
        <v>1081</v>
      </c>
      <c r="AP47" s="13">
        <f t="shared" si="19"/>
        <v>0.56126687435098654</v>
      </c>
      <c r="AQ47">
        <f>SUMIFS(banco!AS:AS,banco!$C:$C,$B47,banco!$A:$A,$A47)</f>
        <v>642</v>
      </c>
      <c r="AR47" s="13">
        <f t="shared" si="20"/>
        <v>0.17579408543263966</v>
      </c>
      <c r="AS47">
        <f>SUMIFS(banco!AU:AU,banco!$C:$C,$B47,banco!$A:$A,$A47)</f>
        <v>302</v>
      </c>
      <c r="AT47" s="13">
        <f t="shared" si="21"/>
        <v>0.15680166147455868</v>
      </c>
      <c r="AU47">
        <f>SUMIFS(banco!AW:AW,banco!$C:$C,$B47,banco!$A:$A,$A47)</f>
        <v>323</v>
      </c>
      <c r="AV47" s="13">
        <f t="shared" si="22"/>
        <v>8.84446878422782E-2</v>
      </c>
      <c r="AW47">
        <f>SUMIFS(banco!AY:AY,banco!$C:$C,$B47,banco!$A:$A,$A47)</f>
        <v>166</v>
      </c>
      <c r="AX47" s="13">
        <f t="shared" si="23"/>
        <v>8.6188992731048811E-2</v>
      </c>
      <c r="AY47">
        <f>SUMIFS(banco!BA:BA,banco!$C:$C,$B47,banco!$A:$A,$A47)</f>
        <v>274</v>
      </c>
      <c r="AZ47" s="13">
        <f t="shared" si="24"/>
        <v>7.5027382256297917E-2</v>
      </c>
      <c r="BA47">
        <f>SUMIFS(banco!BC:BC,banco!$C:$C,$B47,banco!$A:$A,$A47)</f>
        <v>171</v>
      </c>
      <c r="BB47" s="13">
        <f t="shared" si="25"/>
        <v>8.8785046728971959E-2</v>
      </c>
      <c r="BC47">
        <f>SUMIFS(banco!BE:BE,banco!$C:$C,$B47,banco!$A:$A,$A47)</f>
        <v>3652</v>
      </c>
      <c r="BD47">
        <f>SUMIFS(banco!BF:BF,banco!$C:$C,$B47,banco!$A:$A,$A47)</f>
        <v>1926</v>
      </c>
      <c r="BE47">
        <v>13131</v>
      </c>
    </row>
    <row r="48" spans="1:57" x14ac:dyDescent="0.25">
      <c r="A48" s="24">
        <v>2020</v>
      </c>
      <c r="B48" s="22" t="s">
        <v>149</v>
      </c>
      <c r="C48">
        <f>SUMIFS(banco!E:E,banco!$C:$C,$B48,banco!$A:$A,$A48)</f>
        <v>56</v>
      </c>
      <c r="D48" s="13">
        <f t="shared" si="0"/>
        <v>1.0335917312661499E-2</v>
      </c>
      <c r="E48">
        <f>SUMIFS(banco!G:G,banco!$C:$C,$B48,banco!$A:$A,$A48)</f>
        <v>24</v>
      </c>
      <c r="F48" s="13">
        <f t="shared" si="1"/>
        <v>9.7521332791548152E-3</v>
      </c>
      <c r="G48">
        <f>SUMIFS(banco!I:I,banco!$C:$C,$B48,banco!$A:$A,$A48)</f>
        <v>156</v>
      </c>
      <c r="H48" s="13">
        <f t="shared" si="2"/>
        <v>2.8792912513842746E-2</v>
      </c>
      <c r="I48">
        <f>SUMIFS(banco!K:K,banco!$C:$C,$B48,banco!$A:$A,$A48)</f>
        <v>76</v>
      </c>
      <c r="J48" s="13">
        <f t="shared" si="3"/>
        <v>3.0881755383990246E-2</v>
      </c>
      <c r="K48">
        <f>SUMIFS(banco!M:M,banco!$C:$C,$B48,banco!$A:$A,$A48)</f>
        <v>4891</v>
      </c>
      <c r="L48" s="13">
        <f t="shared" si="4"/>
        <v>0.90273163528977485</v>
      </c>
      <c r="M48">
        <f>SUMIFS(banco!O:O,banco!$C:$C,$B48,banco!$A:$A,$A48)</f>
        <v>2219</v>
      </c>
      <c r="N48" s="13">
        <f t="shared" si="5"/>
        <v>0.90166598943518894</v>
      </c>
      <c r="O48">
        <f>SUMIFS(banco!Q:Q,banco!$C:$C,$B48,banco!$A:$A,$A48)</f>
        <v>315</v>
      </c>
      <c r="P48" s="13">
        <f t="shared" si="6"/>
        <v>5.8139534883720929E-2</v>
      </c>
      <c r="Q48">
        <f>SUMIFS(banco!S:S,banco!$C:$C,$B48,banco!$A:$A,$A48)</f>
        <v>141</v>
      </c>
      <c r="R48" s="13">
        <f t="shared" si="7"/>
        <v>5.7293783015034537E-2</v>
      </c>
      <c r="S48">
        <f>SUMIFS(banco!U:U,banco!$C:$C,$B48,banco!$A:$A,$A48)</f>
        <v>281</v>
      </c>
      <c r="T48" s="13">
        <f t="shared" si="8"/>
        <v>5.1864156515319303E-2</v>
      </c>
      <c r="U48">
        <f>SUMIFS(banco!W:W,banco!$C:$C,$B48,banco!$A:$A,$A48)</f>
        <v>141</v>
      </c>
      <c r="V48" s="13">
        <f t="shared" si="9"/>
        <v>5.7293783015034537E-2</v>
      </c>
      <c r="W48">
        <f>SUMIFS(banco!Y:Y,banco!$C:$C,$B48,banco!$A:$A,$A48)</f>
        <v>382</v>
      </c>
      <c r="X48" s="13">
        <f t="shared" si="10"/>
        <v>7.0505721668512364E-2</v>
      </c>
      <c r="Y48">
        <f>SUMIFS(banco!AA:AA,banco!$C:$C,$B48,banco!$A:$A,$A48)</f>
        <v>198</v>
      </c>
      <c r="Z48" s="13">
        <f t="shared" si="11"/>
        <v>8.0455099553027223E-2</v>
      </c>
      <c r="AA48">
        <f>SUMIFS(banco!AC:AC,banco!$C:$C,$B48,banco!$A:$A,$A48)</f>
        <v>4756</v>
      </c>
      <c r="AB48" s="13">
        <f t="shared" si="12"/>
        <v>0.87781469176818017</v>
      </c>
      <c r="AC48">
        <f>SUMIFS(banco!AE:AE,banco!$C:$C,$B48,banco!$A:$A,$A48)</f>
        <v>2122</v>
      </c>
      <c r="AD48" s="13">
        <f t="shared" si="13"/>
        <v>0.86225111743193827</v>
      </c>
      <c r="AE48">
        <f>SUMIFS(banco!AG:AG,banco!$C:$C,$B48,banco!$A:$A,$A48)</f>
        <v>150</v>
      </c>
      <c r="AF48" s="13">
        <f t="shared" si="14"/>
        <v>2.768549280177187E-2</v>
      </c>
      <c r="AG48">
        <f>SUMIFS(banco!AI:AI,banco!$C:$C,$B48,banco!$A:$A,$A48)</f>
        <v>76</v>
      </c>
      <c r="AH48" s="13">
        <f t="shared" si="15"/>
        <v>3.0881755383990246E-2</v>
      </c>
      <c r="AI48">
        <f>SUMIFS(banco!AK:AK,banco!$C:$C,$B48,banco!$A:$A,$A48)</f>
        <v>188</v>
      </c>
      <c r="AJ48" s="13">
        <f t="shared" si="16"/>
        <v>3.4699150978220746E-2</v>
      </c>
      <c r="AK48">
        <f>SUMIFS(banco!AM:AM,banco!$C:$C,$B48,banco!$A:$A,$A48)</f>
        <v>112</v>
      </c>
      <c r="AL48" s="13">
        <f t="shared" si="17"/>
        <v>4.550995530272247E-2</v>
      </c>
      <c r="AM48">
        <f>SUMIFS(banco!AO:AO,banco!$C:$C,$B48,banco!$A:$A,$A48)</f>
        <v>3489</v>
      </c>
      <c r="AN48" s="13">
        <f t="shared" si="18"/>
        <v>0.64396456256921375</v>
      </c>
      <c r="AO48">
        <f>SUMIFS(banco!AQ:AQ,banco!$C:$C,$B48,banco!$A:$A,$A48)</f>
        <v>1606</v>
      </c>
      <c r="AP48" s="13">
        <f t="shared" si="19"/>
        <v>0.65258025193010971</v>
      </c>
      <c r="AQ48">
        <f>SUMIFS(banco!AS:AS,banco!$C:$C,$B48,banco!$A:$A,$A48)</f>
        <v>860</v>
      </c>
      <c r="AR48" s="13">
        <f t="shared" si="20"/>
        <v>0.15873015873015872</v>
      </c>
      <c r="AS48">
        <f>SUMIFS(banco!AU:AU,banco!$C:$C,$B48,banco!$A:$A,$A48)</f>
        <v>351</v>
      </c>
      <c r="AT48" s="13">
        <f t="shared" si="21"/>
        <v>0.14262494920763918</v>
      </c>
      <c r="AU48">
        <f>SUMIFS(banco!AW:AW,banco!$C:$C,$B48,banco!$A:$A,$A48)</f>
        <v>412</v>
      </c>
      <c r="AV48" s="13">
        <f t="shared" si="22"/>
        <v>7.6042820228866742E-2</v>
      </c>
      <c r="AW48">
        <f>SUMIFS(banco!AY:AY,banco!$C:$C,$B48,banco!$A:$A,$A48)</f>
        <v>163</v>
      </c>
      <c r="AX48" s="13">
        <f t="shared" si="23"/>
        <v>6.6233238520926455E-2</v>
      </c>
      <c r="AY48">
        <f>SUMIFS(banco!BA:BA,banco!$C:$C,$B48,banco!$A:$A,$A48)</f>
        <v>320</v>
      </c>
      <c r="AZ48" s="13">
        <f t="shared" si="24"/>
        <v>5.906238464377999E-2</v>
      </c>
      <c r="BA48">
        <f>SUMIFS(banco!BC:BC,banco!$C:$C,$B48,banco!$A:$A,$A48)</f>
        <v>153</v>
      </c>
      <c r="BB48" s="13">
        <f t="shared" si="25"/>
        <v>6.2169849654611947E-2</v>
      </c>
      <c r="BC48">
        <f>SUMIFS(banco!BE:BE,banco!$C:$C,$B48,banco!$A:$A,$A48)</f>
        <v>5418</v>
      </c>
      <c r="BD48">
        <f>SUMIFS(banco!BF:BF,banco!$C:$C,$B48,banco!$A:$A,$A48)</f>
        <v>2461</v>
      </c>
      <c r="BE48">
        <v>23268</v>
      </c>
    </row>
    <row r="49" spans="1:57" x14ac:dyDescent="0.25">
      <c r="A49" s="24">
        <v>2020</v>
      </c>
      <c r="B49" s="22" t="s">
        <v>147</v>
      </c>
      <c r="C49">
        <f>SUMIFS(banco!E:E,banco!$C:$C,$B49,banco!$A:$A,$A49)</f>
        <v>32</v>
      </c>
      <c r="D49" s="13">
        <f t="shared" si="0"/>
        <v>1.3195876288659794E-2</v>
      </c>
      <c r="E49">
        <f>SUMIFS(banco!G:G,banco!$C:$C,$B49,banco!$A:$A,$A49)</f>
        <v>27</v>
      </c>
      <c r="F49" s="13">
        <f t="shared" si="1"/>
        <v>1.9664967225054626E-2</v>
      </c>
      <c r="G49">
        <f>SUMIFS(banco!I:I,banco!$C:$C,$B49,banco!$A:$A,$A49)</f>
        <v>78</v>
      </c>
      <c r="H49" s="13">
        <f t="shared" si="2"/>
        <v>3.2164948453608247E-2</v>
      </c>
      <c r="I49">
        <f>SUMIFS(banco!K:K,banco!$C:$C,$B49,banco!$A:$A,$A49)</f>
        <v>43</v>
      </c>
      <c r="J49" s="13">
        <f t="shared" si="3"/>
        <v>3.1318281136198105E-2</v>
      </c>
      <c r="K49">
        <f>SUMIFS(banco!M:M,banco!$C:$C,$B49,banco!$A:$A,$A49)</f>
        <v>2149</v>
      </c>
      <c r="L49" s="13">
        <f t="shared" si="4"/>
        <v>0.88618556701030926</v>
      </c>
      <c r="M49">
        <f>SUMIFS(banco!O:O,banco!$C:$C,$B49,banco!$A:$A,$A49)</f>
        <v>1215</v>
      </c>
      <c r="N49" s="13">
        <f t="shared" si="5"/>
        <v>0.88492352512745809</v>
      </c>
      <c r="O49">
        <f>SUMIFS(banco!Q:Q,banco!$C:$C,$B49,banco!$A:$A,$A49)</f>
        <v>166</v>
      </c>
      <c r="P49" s="13">
        <f t="shared" si="6"/>
        <v>6.8453608247422679E-2</v>
      </c>
      <c r="Q49">
        <f>SUMIFS(banco!S:S,banco!$C:$C,$B49,banco!$A:$A,$A49)</f>
        <v>88</v>
      </c>
      <c r="R49" s="13">
        <f t="shared" si="7"/>
        <v>6.4093226511289153E-2</v>
      </c>
      <c r="S49">
        <f>SUMIFS(banco!U:U,banco!$C:$C,$B49,banco!$A:$A,$A49)</f>
        <v>139</v>
      </c>
      <c r="T49" s="13">
        <f t="shared" si="8"/>
        <v>5.7319587628865978E-2</v>
      </c>
      <c r="U49">
        <f>SUMIFS(banco!W:W,banco!$C:$C,$B49,banco!$A:$A,$A49)</f>
        <v>89</v>
      </c>
      <c r="V49" s="13">
        <f t="shared" si="9"/>
        <v>6.4821558630735618E-2</v>
      </c>
      <c r="W49">
        <f>SUMIFS(banco!Y:Y,banco!$C:$C,$B49,banco!$A:$A,$A49)</f>
        <v>215</v>
      </c>
      <c r="X49" s="13">
        <f t="shared" si="10"/>
        <v>8.8659793814432994E-2</v>
      </c>
      <c r="Y49">
        <f>SUMIFS(banco!AA:AA,banco!$C:$C,$B49,banco!$A:$A,$A49)</f>
        <v>126</v>
      </c>
      <c r="Z49" s="13">
        <f t="shared" si="11"/>
        <v>9.1769847050254913E-2</v>
      </c>
      <c r="AA49">
        <f>SUMIFS(banco!AC:AC,banco!$C:$C,$B49,banco!$A:$A,$A49)</f>
        <v>2070</v>
      </c>
      <c r="AB49" s="13">
        <f t="shared" si="12"/>
        <v>0.85360824742268038</v>
      </c>
      <c r="AC49">
        <f>SUMIFS(banco!AE:AE,banco!$C:$C,$B49,banco!$A:$A,$A49)</f>
        <v>1157</v>
      </c>
      <c r="AD49" s="13">
        <f t="shared" si="13"/>
        <v>0.84268026219956305</v>
      </c>
      <c r="AE49">
        <f>SUMIFS(banco!AG:AG,banco!$C:$C,$B49,banco!$A:$A,$A49)</f>
        <v>120</v>
      </c>
      <c r="AF49" s="13">
        <f t="shared" si="14"/>
        <v>4.9484536082474224E-2</v>
      </c>
      <c r="AG49">
        <f>SUMIFS(banco!AI:AI,banco!$C:$C,$B49,banco!$A:$A,$A49)</f>
        <v>100</v>
      </c>
      <c r="AH49" s="13">
        <f t="shared" si="15"/>
        <v>7.2833211944646759E-2</v>
      </c>
      <c r="AI49">
        <f>SUMIFS(banco!AK:AK,banco!$C:$C,$B49,banco!$A:$A,$A49)</f>
        <v>87</v>
      </c>
      <c r="AJ49" s="13">
        <f t="shared" si="16"/>
        <v>3.5876288659793816E-2</v>
      </c>
      <c r="AK49">
        <f>SUMIFS(banco!AM:AM,banco!$C:$C,$B49,banco!$A:$A,$A49)</f>
        <v>64</v>
      </c>
      <c r="AL49" s="13">
        <f t="shared" si="17"/>
        <v>4.6613255644573928E-2</v>
      </c>
      <c r="AM49">
        <f>SUMIFS(banco!AO:AO,banco!$C:$C,$B49,banco!$A:$A,$A49)</f>
        <v>1473</v>
      </c>
      <c r="AN49" s="13">
        <f t="shared" si="18"/>
        <v>0.60742268041237113</v>
      </c>
      <c r="AO49">
        <f>SUMIFS(banco!AQ:AQ,banco!$C:$C,$B49,banco!$A:$A,$A49)</f>
        <v>820</v>
      </c>
      <c r="AP49" s="13">
        <f t="shared" si="19"/>
        <v>0.59723233794610342</v>
      </c>
      <c r="AQ49">
        <f>SUMIFS(banco!AS:AS,banco!$C:$C,$B49,banco!$A:$A,$A49)</f>
        <v>425</v>
      </c>
      <c r="AR49" s="13">
        <f t="shared" si="20"/>
        <v>0.17525773195876287</v>
      </c>
      <c r="AS49">
        <f>SUMIFS(banco!AU:AU,banco!$C:$C,$B49,banco!$A:$A,$A49)</f>
        <v>225</v>
      </c>
      <c r="AT49" s="13">
        <f t="shared" si="21"/>
        <v>0.16387472687545521</v>
      </c>
      <c r="AU49">
        <f>SUMIFS(banco!AW:AW,banco!$C:$C,$B49,banco!$A:$A,$A49)</f>
        <v>163</v>
      </c>
      <c r="AV49" s="13">
        <f t="shared" si="22"/>
        <v>6.7216494845360825E-2</v>
      </c>
      <c r="AW49">
        <f>SUMIFS(banco!AY:AY,banco!$C:$C,$B49,banco!$A:$A,$A49)</f>
        <v>78</v>
      </c>
      <c r="AX49" s="13">
        <f t="shared" si="23"/>
        <v>5.680990531682447E-2</v>
      </c>
      <c r="AY49">
        <f>SUMIFS(banco!BA:BA,banco!$C:$C,$B49,banco!$A:$A,$A49)</f>
        <v>157</v>
      </c>
      <c r="AZ49" s="13">
        <f t="shared" si="24"/>
        <v>6.4742268041237117E-2</v>
      </c>
      <c r="BA49">
        <f>SUMIFS(banco!BC:BC,banco!$C:$C,$B49,banco!$A:$A,$A49)</f>
        <v>86</v>
      </c>
      <c r="BB49" s="13">
        <f t="shared" si="25"/>
        <v>6.263656227239621E-2</v>
      </c>
      <c r="BC49">
        <f>SUMIFS(banco!BE:BE,banco!$C:$C,$B49,banco!$A:$A,$A49)</f>
        <v>2425</v>
      </c>
      <c r="BD49">
        <f>SUMIFS(banco!BF:BF,banco!$C:$C,$B49,banco!$A:$A,$A49)</f>
        <v>1373</v>
      </c>
      <c r="BE49">
        <v>7239</v>
      </c>
    </row>
    <row r="50" spans="1:57" x14ac:dyDescent="0.25">
      <c r="A50" s="24">
        <v>2021</v>
      </c>
      <c r="B50" s="22" t="s">
        <v>151</v>
      </c>
      <c r="C50">
        <f>SUMIFS(banco!E:E,banco!$C:$C,$B50,banco!$A:$A,$A50)</f>
        <v>41</v>
      </c>
      <c r="D50" s="13">
        <f t="shared" si="0"/>
        <v>1.3200257566001287E-2</v>
      </c>
      <c r="E50">
        <f>SUMIFS(banco!G:G,banco!$C:$C,$B50,banco!$A:$A,$A50)</f>
        <v>16</v>
      </c>
      <c r="F50" s="13">
        <f t="shared" si="1"/>
        <v>9.5408467501490752E-3</v>
      </c>
      <c r="G50">
        <f>SUMIFS(banco!I:I,banco!$C:$C,$B50,banco!$A:$A,$A50)</f>
        <v>85</v>
      </c>
      <c r="H50" s="13">
        <f t="shared" si="2"/>
        <v>2.7366387636831937E-2</v>
      </c>
      <c r="I50">
        <f>SUMIFS(banco!K:K,banco!$C:$C,$B50,banco!$A:$A,$A50)</f>
        <v>54</v>
      </c>
      <c r="J50" s="13">
        <f t="shared" si="3"/>
        <v>3.2200357781753133E-2</v>
      </c>
      <c r="K50">
        <f>SUMIFS(banco!M:M,banco!$C:$C,$B50,banco!$A:$A,$A50)</f>
        <v>2788</v>
      </c>
      <c r="L50" s="13">
        <f t="shared" si="4"/>
        <v>0.89761751448808758</v>
      </c>
      <c r="M50">
        <f>SUMIFS(banco!O:O,banco!$C:$C,$B50,banco!$A:$A,$A50)</f>
        <v>1499</v>
      </c>
      <c r="N50" s="13">
        <f t="shared" si="5"/>
        <v>0.89385807990459154</v>
      </c>
      <c r="O50">
        <f>SUMIFS(banco!Q:Q,banco!$C:$C,$B50,banco!$A:$A,$A50)</f>
        <v>192</v>
      </c>
      <c r="P50" s="13">
        <f t="shared" si="6"/>
        <v>6.1815840309079204E-2</v>
      </c>
      <c r="Q50">
        <f>SUMIFS(banco!S:S,banco!$C:$C,$B50,banco!$A:$A,$A50)</f>
        <v>108</v>
      </c>
      <c r="R50" s="13">
        <f t="shared" si="7"/>
        <v>6.4400715563506267E-2</v>
      </c>
      <c r="S50">
        <f>SUMIFS(banco!U:U,banco!$C:$C,$B50,banco!$A:$A,$A50)</f>
        <v>157</v>
      </c>
      <c r="T50" s="13">
        <f t="shared" si="8"/>
        <v>5.054732775273664E-2</v>
      </c>
      <c r="U50">
        <f>SUMIFS(banco!W:W,banco!$C:$C,$B50,banco!$A:$A,$A50)</f>
        <v>86</v>
      </c>
      <c r="V50" s="13">
        <f t="shared" si="9"/>
        <v>5.128205128205128E-2</v>
      </c>
      <c r="W50">
        <f>SUMIFS(banco!Y:Y,banco!$C:$C,$B50,banco!$A:$A,$A50)</f>
        <v>219</v>
      </c>
      <c r="X50" s="13">
        <f t="shared" si="10"/>
        <v>7.0508692852543464E-2</v>
      </c>
      <c r="Y50">
        <f>SUMIFS(banco!AA:AA,banco!$C:$C,$B50,banco!$A:$A,$A50)</f>
        <v>140</v>
      </c>
      <c r="Z50" s="13">
        <f t="shared" si="11"/>
        <v>8.3482409063804414E-2</v>
      </c>
      <c r="AA50">
        <f>SUMIFS(banco!AC:AC,banco!$C:$C,$B50,banco!$A:$A,$A50)</f>
        <v>2730</v>
      </c>
      <c r="AB50" s="13">
        <f t="shared" si="12"/>
        <v>0.87894397939471991</v>
      </c>
      <c r="AC50">
        <f>SUMIFS(banco!AE:AE,banco!$C:$C,$B50,banco!$A:$A,$A50)</f>
        <v>1451</v>
      </c>
      <c r="AD50" s="13">
        <f t="shared" si="13"/>
        <v>0.86523553965414435</v>
      </c>
      <c r="AE50">
        <f>SUMIFS(banco!AG:AG,banco!$C:$C,$B50,banco!$A:$A,$A50)</f>
        <v>118</v>
      </c>
      <c r="AF50" s="13">
        <f t="shared" si="14"/>
        <v>3.7990985189954925E-2</v>
      </c>
      <c r="AG50">
        <f>SUMIFS(banco!AI:AI,banco!$C:$C,$B50,banco!$A:$A,$A50)</f>
        <v>77</v>
      </c>
      <c r="AH50" s="13">
        <f t="shared" si="15"/>
        <v>4.5915324985092425E-2</v>
      </c>
      <c r="AI50">
        <f>SUMIFS(banco!AK:AK,banco!$C:$C,$B50,banco!$A:$A,$A50)</f>
        <v>122</v>
      </c>
      <c r="AJ50" s="13">
        <f t="shared" si="16"/>
        <v>3.9278815196394076E-2</v>
      </c>
      <c r="AK50">
        <f>SUMIFS(banco!AM:AM,banco!$C:$C,$B50,banco!$A:$A,$A50)</f>
        <v>87</v>
      </c>
      <c r="AL50" s="13">
        <f t="shared" si="17"/>
        <v>5.1878354203935599E-2</v>
      </c>
      <c r="AM50">
        <f>SUMIFS(banco!AO:AO,banco!$C:$C,$B50,banco!$A:$A,$A50)</f>
        <v>2049</v>
      </c>
      <c r="AN50" s="13">
        <f t="shared" si="18"/>
        <v>0.65969092079845459</v>
      </c>
      <c r="AO50">
        <f>SUMIFS(banco!AQ:AQ,banco!$C:$C,$B50,banco!$A:$A,$A50)</f>
        <v>1108</v>
      </c>
      <c r="AP50" s="13">
        <f t="shared" si="19"/>
        <v>0.66070363744782346</v>
      </c>
      <c r="AQ50">
        <f>SUMIFS(banco!AS:AS,banco!$C:$C,$B50,banco!$A:$A,$A50)</f>
        <v>441</v>
      </c>
      <c r="AR50" s="13">
        <f t="shared" si="20"/>
        <v>0.14198325820991628</v>
      </c>
      <c r="AS50">
        <f>SUMIFS(banco!AU:AU,banco!$C:$C,$B50,banco!$A:$A,$A50)</f>
        <v>202</v>
      </c>
      <c r="AT50" s="13">
        <f t="shared" si="21"/>
        <v>0.12045319022063208</v>
      </c>
      <c r="AU50">
        <f>SUMIFS(banco!AW:AW,banco!$C:$C,$B50,banco!$A:$A,$A50)</f>
        <v>205</v>
      </c>
      <c r="AV50" s="13">
        <f t="shared" si="22"/>
        <v>6.6001287830006444E-2</v>
      </c>
      <c r="AW50">
        <f>SUMIFS(banco!AY:AY,banco!$C:$C,$B50,banco!$A:$A,$A50)</f>
        <v>94</v>
      </c>
      <c r="AX50" s="13">
        <f t="shared" si="23"/>
        <v>5.6052474657125817E-2</v>
      </c>
      <c r="AY50">
        <f>SUMIFS(banco!BA:BA,banco!$C:$C,$B50,banco!$A:$A,$A50)</f>
        <v>171</v>
      </c>
      <c r="AZ50" s="13">
        <f t="shared" si="24"/>
        <v>5.5054732775273667E-2</v>
      </c>
      <c r="BA50">
        <f>SUMIFS(banco!BC:BC,banco!$C:$C,$B50,banco!$A:$A,$A50)</f>
        <v>109</v>
      </c>
      <c r="BB50" s="13">
        <f t="shared" si="25"/>
        <v>6.4997018485390579E-2</v>
      </c>
      <c r="BC50">
        <f>SUMIFS(banco!BE:BE,banco!$C:$C,$B50,banco!$A:$A,$A50)</f>
        <v>3106</v>
      </c>
      <c r="BD50">
        <f>SUMIFS(banco!BF:BF,banco!$C:$C,$B50,banco!$A:$A,$A50)</f>
        <v>1677</v>
      </c>
      <c r="BE50">
        <v>9804</v>
      </c>
    </row>
    <row r="51" spans="1:57" x14ac:dyDescent="0.25">
      <c r="A51" s="24">
        <v>2021</v>
      </c>
      <c r="B51" s="22" t="s">
        <v>145</v>
      </c>
      <c r="C51">
        <f>SUMIFS(banco!E:E,banco!$C:$C,$B51,banco!$A:$A,$A51)</f>
        <v>90</v>
      </c>
      <c r="D51" s="13">
        <f t="shared" si="0"/>
        <v>9.4478269997900488E-3</v>
      </c>
      <c r="E51">
        <f>SUMIFS(banco!G:G,banco!$C:$C,$B51,banco!$A:$A,$A51)</f>
        <v>58</v>
      </c>
      <c r="F51" s="13">
        <f t="shared" si="1"/>
        <v>9.0511860174781519E-3</v>
      </c>
      <c r="G51">
        <f>SUMIFS(banco!I:I,banco!$C:$C,$B51,banco!$A:$A,$A51)</f>
        <v>300</v>
      </c>
      <c r="H51" s="13">
        <f t="shared" si="2"/>
        <v>3.1492756665966827E-2</v>
      </c>
      <c r="I51">
        <f>SUMIFS(banco!K:K,banco!$C:$C,$B51,banco!$A:$A,$A51)</f>
        <v>228</v>
      </c>
      <c r="J51" s="13">
        <f t="shared" si="3"/>
        <v>3.5580524344569285E-2</v>
      </c>
      <c r="K51">
        <f>SUMIFS(banco!M:M,banco!$C:$C,$B51,banco!$A:$A,$A51)</f>
        <v>8533</v>
      </c>
      <c r="L51" s="13">
        <f t="shared" si="4"/>
        <v>0.89575897543564975</v>
      </c>
      <c r="M51">
        <f>SUMIFS(banco!O:O,banco!$C:$C,$B51,banco!$A:$A,$A51)</f>
        <v>5705</v>
      </c>
      <c r="N51" s="13">
        <f t="shared" si="5"/>
        <v>0.89029338327091134</v>
      </c>
      <c r="O51">
        <f>SUMIFS(banco!Q:Q,banco!$C:$C,$B51,banco!$A:$A,$A51)</f>
        <v>603</v>
      </c>
      <c r="P51" s="13">
        <f t="shared" si="6"/>
        <v>6.3300440898593324E-2</v>
      </c>
      <c r="Q51">
        <f>SUMIFS(banco!S:S,banco!$C:$C,$B51,banco!$A:$A,$A51)</f>
        <v>417</v>
      </c>
      <c r="R51" s="13">
        <f t="shared" si="7"/>
        <v>6.5074906367041205E-2</v>
      </c>
      <c r="S51">
        <f>SUMIFS(banco!U:U,banco!$C:$C,$B51,banco!$A:$A,$A51)</f>
        <v>723</v>
      </c>
      <c r="T51" s="13">
        <f t="shared" si="8"/>
        <v>7.5897543564980061E-2</v>
      </c>
      <c r="U51">
        <f>SUMIFS(banco!W:W,banco!$C:$C,$B51,banco!$A:$A,$A51)</f>
        <v>575</v>
      </c>
      <c r="V51" s="13">
        <f t="shared" si="9"/>
        <v>8.9731585518102369E-2</v>
      </c>
      <c r="W51">
        <f>SUMIFS(banco!Y:Y,banco!$C:$C,$B51,banco!$A:$A,$A51)</f>
        <v>804</v>
      </c>
      <c r="X51" s="13">
        <f t="shared" si="10"/>
        <v>8.4400587864791099E-2</v>
      </c>
      <c r="Y51">
        <f>SUMIFS(banco!AA:AA,banco!$C:$C,$B51,banco!$A:$A,$A51)</f>
        <v>606</v>
      </c>
      <c r="Z51" s="13">
        <f t="shared" si="11"/>
        <v>9.4569288389513104E-2</v>
      </c>
      <c r="AA51">
        <f>SUMIFS(banco!AC:AC,banco!$C:$C,$B51,banco!$A:$A,$A51)</f>
        <v>7999</v>
      </c>
      <c r="AB51" s="13">
        <f t="shared" si="12"/>
        <v>0.83970186857022888</v>
      </c>
      <c r="AC51">
        <f>SUMIFS(banco!AE:AE,banco!$C:$C,$B51,banco!$A:$A,$A51)</f>
        <v>5227</v>
      </c>
      <c r="AD51" s="13">
        <f t="shared" si="13"/>
        <v>0.81569912609238449</v>
      </c>
      <c r="AE51">
        <f>SUMIFS(banco!AG:AG,banco!$C:$C,$B51,banco!$A:$A,$A51)</f>
        <v>336</v>
      </c>
      <c r="AF51" s="13">
        <f t="shared" si="14"/>
        <v>3.5271887465882848E-2</v>
      </c>
      <c r="AG51">
        <f>SUMIFS(banco!AI:AI,banco!$C:$C,$B51,banco!$A:$A,$A51)</f>
        <v>267</v>
      </c>
      <c r="AH51" s="13">
        <f t="shared" si="15"/>
        <v>4.1666666666666664E-2</v>
      </c>
      <c r="AI51">
        <f>SUMIFS(banco!AK:AK,banco!$C:$C,$B51,banco!$A:$A,$A51)</f>
        <v>431</v>
      </c>
      <c r="AJ51" s="13">
        <f t="shared" si="16"/>
        <v>4.5244593743439011E-2</v>
      </c>
      <c r="AK51">
        <f>SUMIFS(banco!AM:AM,banco!$C:$C,$B51,banco!$A:$A,$A51)</f>
        <v>350</v>
      </c>
      <c r="AL51" s="13">
        <f t="shared" si="17"/>
        <v>5.4619225967540576E-2</v>
      </c>
      <c r="AM51">
        <f>SUMIFS(banco!AO:AO,banco!$C:$C,$B51,banco!$A:$A,$A51)</f>
        <v>5918</v>
      </c>
      <c r="AN51" s="13">
        <f t="shared" si="18"/>
        <v>0.6212471131639723</v>
      </c>
      <c r="AO51">
        <f>SUMIFS(banco!AQ:AQ,banco!$C:$C,$B51,banco!$A:$A,$A51)</f>
        <v>4004</v>
      </c>
      <c r="AP51" s="13">
        <f t="shared" si="19"/>
        <v>0.62484394506866414</v>
      </c>
      <c r="AQ51">
        <f>SUMIFS(banco!AS:AS,banco!$C:$C,$B51,banco!$A:$A,$A51)</f>
        <v>1447</v>
      </c>
      <c r="AR51" s="13">
        <f t="shared" si="20"/>
        <v>0.15190006298551334</v>
      </c>
      <c r="AS51">
        <f>SUMIFS(banco!AU:AU,banco!$C:$C,$B51,banco!$A:$A,$A51)</f>
        <v>834</v>
      </c>
      <c r="AT51" s="13">
        <f t="shared" si="21"/>
        <v>0.13014981273408241</v>
      </c>
      <c r="AU51">
        <f>SUMIFS(banco!AW:AW,banco!$C:$C,$B51,banco!$A:$A,$A51)</f>
        <v>692</v>
      </c>
      <c r="AV51" s="13">
        <f t="shared" si="22"/>
        <v>7.2643292042830154E-2</v>
      </c>
      <c r="AW51">
        <f>SUMIFS(banco!AY:AY,banco!$C:$C,$B51,banco!$A:$A,$A51)</f>
        <v>426</v>
      </c>
      <c r="AX51" s="13">
        <f t="shared" si="23"/>
        <v>6.6479400749063666E-2</v>
      </c>
      <c r="AY51">
        <f>SUMIFS(banco!BA:BA,banco!$C:$C,$B51,banco!$A:$A,$A51)</f>
        <v>702</v>
      </c>
      <c r="AZ51" s="13">
        <f t="shared" si="24"/>
        <v>7.3693050598362383E-2</v>
      </c>
      <c r="BA51">
        <f>SUMIFS(banco!BC:BC,banco!$C:$C,$B51,banco!$A:$A,$A51)</f>
        <v>527</v>
      </c>
      <c r="BB51" s="13">
        <f t="shared" si="25"/>
        <v>8.2240948813982528E-2</v>
      </c>
      <c r="BC51">
        <f>SUMIFS(banco!BE:BE,banco!$C:$C,$B51,banco!$A:$A,$A51)</f>
        <v>9526</v>
      </c>
      <c r="BD51">
        <f>SUMIFS(banco!BF:BF,banco!$C:$C,$B51,banco!$A:$A,$A51)</f>
        <v>6408</v>
      </c>
      <c r="BE51">
        <v>17475</v>
      </c>
    </row>
    <row r="52" spans="1:57" x14ac:dyDescent="0.25">
      <c r="A52" s="24">
        <v>2021</v>
      </c>
      <c r="B52" s="22" t="s">
        <v>144</v>
      </c>
      <c r="C52">
        <f>SUMIFS(banco!E:E,banco!$C:$C,$B52,banco!$A:$A,$A52)</f>
        <v>39</v>
      </c>
      <c r="D52" s="13">
        <f t="shared" si="0"/>
        <v>1.2168486739469579E-2</v>
      </c>
      <c r="E52">
        <f>SUMIFS(banco!G:G,banco!$C:$C,$B52,banco!$A:$A,$A52)</f>
        <v>18</v>
      </c>
      <c r="F52" s="13">
        <f t="shared" si="1"/>
        <v>9.6982758620689658E-3</v>
      </c>
      <c r="G52">
        <f>SUMIFS(banco!I:I,banco!$C:$C,$B52,banco!$A:$A,$A52)</f>
        <v>82</v>
      </c>
      <c r="H52" s="13">
        <f t="shared" si="2"/>
        <v>2.5585023400936036E-2</v>
      </c>
      <c r="I52">
        <f>SUMIFS(banco!K:K,banco!$C:$C,$B52,banco!$A:$A,$A52)</f>
        <v>53</v>
      </c>
      <c r="J52" s="13">
        <f t="shared" si="3"/>
        <v>2.8556034482758622E-2</v>
      </c>
      <c r="K52">
        <f>SUMIFS(banco!M:M,banco!$C:$C,$B52,banco!$A:$A,$A52)</f>
        <v>2805</v>
      </c>
      <c r="L52" s="13">
        <f t="shared" si="4"/>
        <v>0.87519500780031201</v>
      </c>
      <c r="M52">
        <f>SUMIFS(banco!O:O,banco!$C:$C,$B52,banco!$A:$A,$A52)</f>
        <v>1631</v>
      </c>
      <c r="N52" s="13">
        <f t="shared" si="5"/>
        <v>0.8787715517241379</v>
      </c>
      <c r="O52">
        <f>SUMIFS(banco!Q:Q,banco!$C:$C,$B52,banco!$A:$A,$A52)</f>
        <v>279</v>
      </c>
      <c r="P52" s="13">
        <f t="shared" si="6"/>
        <v>8.705148205928237E-2</v>
      </c>
      <c r="Q52">
        <f>SUMIFS(banco!S:S,banco!$C:$C,$B52,banco!$A:$A,$A52)</f>
        <v>154</v>
      </c>
      <c r="R52" s="13">
        <f t="shared" si="7"/>
        <v>8.2974137931034489E-2</v>
      </c>
      <c r="S52">
        <f>SUMIFS(banco!U:U,banco!$C:$C,$B52,banco!$A:$A,$A52)</f>
        <v>191</v>
      </c>
      <c r="T52" s="13">
        <f t="shared" si="8"/>
        <v>5.9594383775351013E-2</v>
      </c>
      <c r="U52">
        <f>SUMIFS(banco!W:W,banco!$C:$C,$B52,banco!$A:$A,$A52)</f>
        <v>120</v>
      </c>
      <c r="V52" s="13">
        <f t="shared" si="9"/>
        <v>6.4655172413793108E-2</v>
      </c>
      <c r="W52">
        <f>SUMIFS(banco!Y:Y,banco!$C:$C,$B52,banco!$A:$A,$A52)</f>
        <v>183</v>
      </c>
      <c r="X52" s="13">
        <f t="shared" si="10"/>
        <v>5.7098283931357255E-2</v>
      </c>
      <c r="Y52">
        <f>SUMIFS(banco!AA:AA,banco!$C:$C,$B52,banco!$A:$A,$A52)</f>
        <v>127</v>
      </c>
      <c r="Z52" s="13">
        <f t="shared" si="11"/>
        <v>6.8426724137931036E-2</v>
      </c>
      <c r="AA52">
        <f>SUMIFS(banco!AC:AC,banco!$C:$C,$B52,banco!$A:$A,$A52)</f>
        <v>2831</v>
      </c>
      <c r="AB52" s="13">
        <f t="shared" si="12"/>
        <v>0.88330733229329172</v>
      </c>
      <c r="AC52">
        <f>SUMIFS(banco!AE:AE,banco!$C:$C,$B52,banco!$A:$A,$A52)</f>
        <v>1609</v>
      </c>
      <c r="AD52" s="13">
        <f t="shared" si="13"/>
        <v>0.86691810344827591</v>
      </c>
      <c r="AE52">
        <f>SUMIFS(banco!AG:AG,banco!$C:$C,$B52,banco!$A:$A,$A52)</f>
        <v>116</v>
      </c>
      <c r="AF52" s="13">
        <f t="shared" si="14"/>
        <v>3.6193447737909515E-2</v>
      </c>
      <c r="AG52">
        <f>SUMIFS(banco!AI:AI,banco!$C:$C,$B52,banco!$A:$A,$A52)</f>
        <v>93</v>
      </c>
      <c r="AH52" s="13">
        <f t="shared" si="15"/>
        <v>5.0107758620689655E-2</v>
      </c>
      <c r="AI52">
        <f>SUMIFS(banco!AK:AK,banco!$C:$C,$B52,banco!$A:$A,$A52)</f>
        <v>145</v>
      </c>
      <c r="AJ52" s="13">
        <f t="shared" si="16"/>
        <v>4.5241809672386897E-2</v>
      </c>
      <c r="AK52">
        <f>SUMIFS(banco!AM:AM,banco!$C:$C,$B52,banco!$A:$A,$A52)</f>
        <v>106</v>
      </c>
      <c r="AL52" s="13">
        <f t="shared" si="17"/>
        <v>5.7112068965517244E-2</v>
      </c>
      <c r="AM52">
        <f>SUMIFS(banco!AO:AO,banco!$C:$C,$B52,banco!$A:$A,$A52)</f>
        <v>1938</v>
      </c>
      <c r="AN52" s="13">
        <f t="shared" si="18"/>
        <v>0.60468018720748828</v>
      </c>
      <c r="AO52">
        <f>SUMIFS(banco!AQ:AQ,banco!$C:$C,$B52,banco!$A:$A,$A52)</f>
        <v>1122</v>
      </c>
      <c r="AP52" s="13">
        <f t="shared" si="19"/>
        <v>0.60452586206896552</v>
      </c>
      <c r="AQ52">
        <f>SUMIFS(banco!AS:AS,banco!$C:$C,$B52,banco!$A:$A,$A52)</f>
        <v>519</v>
      </c>
      <c r="AR52" s="13">
        <f t="shared" si="20"/>
        <v>0.16193447737909517</v>
      </c>
      <c r="AS52">
        <f>SUMIFS(banco!AU:AU,banco!$C:$C,$B52,banco!$A:$A,$A52)</f>
        <v>257</v>
      </c>
      <c r="AT52" s="13">
        <f t="shared" si="21"/>
        <v>0.13846982758620691</v>
      </c>
      <c r="AU52">
        <f>SUMIFS(banco!AW:AW,banco!$C:$C,$B52,banco!$A:$A,$A52)</f>
        <v>241</v>
      </c>
      <c r="AV52" s="13">
        <f t="shared" si="22"/>
        <v>7.5195007800312019E-2</v>
      </c>
      <c r="AW52">
        <f>SUMIFS(banco!AY:AY,banco!$C:$C,$B52,banco!$A:$A,$A52)</f>
        <v>117</v>
      </c>
      <c r="AX52" s="13">
        <f t="shared" si="23"/>
        <v>6.3038793103448273E-2</v>
      </c>
      <c r="AY52">
        <f>SUMIFS(banco!BA:BA,banco!$C:$C,$B52,banco!$A:$A,$A52)</f>
        <v>246</v>
      </c>
      <c r="AZ52" s="13">
        <f t="shared" si="24"/>
        <v>7.6755070202808112E-2</v>
      </c>
      <c r="BA52">
        <f>SUMIFS(banco!BC:BC,banco!$C:$C,$B52,banco!$A:$A,$A52)</f>
        <v>161</v>
      </c>
      <c r="BB52" s="13">
        <f t="shared" si="25"/>
        <v>8.6745689655172417E-2</v>
      </c>
      <c r="BC52">
        <f>SUMIFS(banco!BE:BE,banco!$C:$C,$B52,banco!$A:$A,$A52)</f>
        <v>3205</v>
      </c>
      <c r="BD52">
        <f>SUMIFS(banco!BF:BF,banco!$C:$C,$B52,banco!$A:$A,$A52)</f>
        <v>1856</v>
      </c>
      <c r="BE52">
        <v>10159</v>
      </c>
    </row>
    <row r="53" spans="1:57" x14ac:dyDescent="0.25">
      <c r="A53" s="24">
        <v>2021</v>
      </c>
      <c r="B53" s="22" t="s">
        <v>148</v>
      </c>
      <c r="C53">
        <f>SUMIFS(banco!E:E,banco!$C:$C,$B53,banco!$A:$A,$A53)</f>
        <v>91</v>
      </c>
      <c r="D53" s="13">
        <f t="shared" si="0"/>
        <v>1.0377466073668606E-2</v>
      </c>
      <c r="E53">
        <f>SUMIFS(banco!G:G,banco!$C:$C,$B53,banco!$A:$A,$A53)</f>
        <v>57</v>
      </c>
      <c r="F53" s="13">
        <f t="shared" si="1"/>
        <v>1.3513513513513514E-2</v>
      </c>
      <c r="G53">
        <f>SUMIFS(banco!I:I,banco!$C:$C,$B53,banco!$A:$A,$A53)</f>
        <v>247</v>
      </c>
      <c r="H53" s="13">
        <f t="shared" si="2"/>
        <v>2.8167407914243357E-2</v>
      </c>
      <c r="I53">
        <f>SUMIFS(banco!K:K,banco!$C:$C,$B53,banco!$A:$A,$A53)</f>
        <v>155</v>
      </c>
      <c r="J53" s="13">
        <f t="shared" si="3"/>
        <v>3.6747273589378855E-2</v>
      </c>
      <c r="K53">
        <f>SUMIFS(banco!M:M,banco!$C:$C,$B53,banco!$A:$A,$A53)</f>
        <v>7683</v>
      </c>
      <c r="L53" s="13">
        <f t="shared" si="4"/>
        <v>0.87615463564830653</v>
      </c>
      <c r="M53">
        <f>SUMIFS(banco!O:O,banco!$C:$C,$B53,banco!$A:$A,$A53)</f>
        <v>3640</v>
      </c>
      <c r="N53" s="13">
        <f t="shared" si="5"/>
        <v>0.86296823138928402</v>
      </c>
      <c r="O53">
        <f>SUMIFS(banco!Q:Q,banco!$C:$C,$B53,banco!$A:$A,$A53)</f>
        <v>748</v>
      </c>
      <c r="P53" s="13">
        <f t="shared" si="6"/>
        <v>8.5300490363781498E-2</v>
      </c>
      <c r="Q53">
        <f>SUMIFS(banco!S:S,banco!$C:$C,$B53,banco!$A:$A,$A53)</f>
        <v>366</v>
      </c>
      <c r="R53" s="13">
        <f t="shared" si="7"/>
        <v>8.6770981507823614E-2</v>
      </c>
      <c r="S53">
        <f>SUMIFS(banco!U:U,banco!$C:$C,$B53,banco!$A:$A,$A53)</f>
        <v>422</v>
      </c>
      <c r="T53" s="13">
        <f t="shared" si="8"/>
        <v>4.8124073440529137E-2</v>
      </c>
      <c r="U53">
        <f>SUMIFS(banco!W:W,banco!$C:$C,$B53,banco!$A:$A,$A53)</f>
        <v>289</v>
      </c>
      <c r="V53" s="13">
        <f t="shared" si="9"/>
        <v>6.8515884305357988E-2</v>
      </c>
      <c r="W53">
        <f>SUMIFS(banco!Y:Y,banco!$C:$C,$B53,banco!$A:$A,$A53)</f>
        <v>529</v>
      </c>
      <c r="X53" s="13">
        <f t="shared" si="10"/>
        <v>6.032614893374387E-2</v>
      </c>
      <c r="Y53">
        <f>SUMIFS(banco!AA:AA,banco!$C:$C,$B53,banco!$A:$A,$A53)</f>
        <v>304</v>
      </c>
      <c r="Z53" s="13">
        <f t="shared" si="11"/>
        <v>7.2072072072072071E-2</v>
      </c>
      <c r="AA53">
        <f>SUMIFS(banco!AC:AC,banco!$C:$C,$B53,banco!$A:$A,$A53)</f>
        <v>7818</v>
      </c>
      <c r="AB53" s="13">
        <f t="shared" si="12"/>
        <v>0.89154977762572696</v>
      </c>
      <c r="AC53">
        <f>SUMIFS(banco!AE:AE,banco!$C:$C,$B53,banco!$A:$A,$A53)</f>
        <v>3626</v>
      </c>
      <c r="AD53" s="13">
        <f t="shared" si="13"/>
        <v>0.85964912280701755</v>
      </c>
      <c r="AE53">
        <f>SUMIFS(banco!AG:AG,banco!$C:$C,$B53,banco!$A:$A,$A53)</f>
        <v>319</v>
      </c>
      <c r="AF53" s="13">
        <f t="shared" si="14"/>
        <v>3.6378150302200936E-2</v>
      </c>
      <c r="AG53">
        <f>SUMIFS(banco!AI:AI,banco!$C:$C,$B53,banco!$A:$A,$A53)</f>
        <v>260</v>
      </c>
      <c r="AH53" s="13">
        <f t="shared" si="15"/>
        <v>6.1640587956377432E-2</v>
      </c>
      <c r="AI53">
        <f>SUMIFS(banco!AK:AK,banco!$C:$C,$B53,banco!$A:$A,$A53)</f>
        <v>386</v>
      </c>
      <c r="AJ53" s="13">
        <f t="shared" si="16"/>
        <v>4.4018702246550349E-2</v>
      </c>
      <c r="AK53">
        <f>SUMIFS(banco!AM:AM,banco!$C:$C,$B53,banco!$A:$A,$A53)</f>
        <v>237</v>
      </c>
      <c r="AL53" s="13">
        <f t="shared" si="17"/>
        <v>5.6187766714082502E-2</v>
      </c>
      <c r="AM53">
        <f>SUMIFS(banco!AO:AO,banco!$C:$C,$B53,banco!$A:$A,$A53)</f>
        <v>5347</v>
      </c>
      <c r="AN53" s="13">
        <f t="shared" si="18"/>
        <v>0.6097616603945718</v>
      </c>
      <c r="AO53">
        <f>SUMIFS(banco!AQ:AQ,banco!$C:$C,$B53,banco!$A:$A,$A53)</f>
        <v>2474</v>
      </c>
      <c r="AP53" s="13">
        <f t="shared" si="19"/>
        <v>0.58653390232337599</v>
      </c>
      <c r="AQ53">
        <f>SUMIFS(banco!AS:AS,banco!$C:$C,$B53,banco!$A:$A,$A53)</f>
        <v>1454</v>
      </c>
      <c r="AR53" s="13">
        <f t="shared" si="20"/>
        <v>0.16581138100125442</v>
      </c>
      <c r="AS53">
        <f>SUMIFS(banco!AU:AU,banco!$C:$C,$B53,banco!$A:$A,$A53)</f>
        <v>598</v>
      </c>
      <c r="AT53" s="13">
        <f t="shared" si="21"/>
        <v>0.14177335229966809</v>
      </c>
      <c r="AU53">
        <f>SUMIFS(banco!AW:AW,banco!$C:$C,$B53,banco!$A:$A,$A53)</f>
        <v>657</v>
      </c>
      <c r="AV53" s="13">
        <f t="shared" si="22"/>
        <v>7.4923024290112897E-2</v>
      </c>
      <c r="AW53">
        <f>SUMIFS(banco!AY:AY,banco!$C:$C,$B53,banco!$A:$A,$A53)</f>
        <v>274</v>
      </c>
      <c r="AX53" s="13">
        <f t="shared" si="23"/>
        <v>6.4959696538643905E-2</v>
      </c>
      <c r="AY53">
        <f>SUMIFS(banco!BA:BA,banco!$C:$C,$B53,banco!$A:$A,$A53)</f>
        <v>606</v>
      </c>
      <c r="AZ53" s="13">
        <f t="shared" si="24"/>
        <v>6.9107081765309608E-2</v>
      </c>
      <c r="BA53">
        <f>SUMIFS(banco!BC:BC,banco!$C:$C,$B53,banco!$A:$A,$A53)</f>
        <v>376</v>
      </c>
      <c r="BB53" s="13">
        <f t="shared" si="25"/>
        <v>8.9141773352299669E-2</v>
      </c>
      <c r="BC53">
        <f>SUMIFS(banco!BE:BE,banco!$C:$C,$B53,banco!$A:$A,$A53)</f>
        <v>8769</v>
      </c>
      <c r="BD53">
        <f>SUMIFS(banco!BF:BF,banco!$C:$C,$B53,banco!$A:$A,$A53)</f>
        <v>4218</v>
      </c>
      <c r="BE53">
        <v>29884</v>
      </c>
    </row>
    <row r="54" spans="1:57" x14ac:dyDescent="0.25">
      <c r="A54" s="24">
        <v>2021</v>
      </c>
      <c r="B54" s="22" t="s">
        <v>150</v>
      </c>
      <c r="C54">
        <f>SUMIFS(banco!E:E,banco!$C:$C,$B54,banco!$A:$A,$A54)</f>
        <v>35</v>
      </c>
      <c r="D54" s="13">
        <f t="shared" si="0"/>
        <v>8.7151394422310749E-3</v>
      </c>
      <c r="E54">
        <f>SUMIFS(banco!G:G,banco!$C:$C,$B54,banco!$A:$A,$A54)</f>
        <v>26</v>
      </c>
      <c r="F54" s="13">
        <f t="shared" si="1"/>
        <v>1.0412494993992792E-2</v>
      </c>
      <c r="G54">
        <f>SUMIFS(banco!I:I,banco!$C:$C,$B54,banco!$A:$A,$A54)</f>
        <v>93</v>
      </c>
      <c r="H54" s="13">
        <f t="shared" si="2"/>
        <v>2.3157370517928287E-2</v>
      </c>
      <c r="I54">
        <f>SUMIFS(banco!K:K,banco!$C:$C,$B54,banco!$A:$A,$A54)</f>
        <v>56</v>
      </c>
      <c r="J54" s="13">
        <f t="shared" si="3"/>
        <v>2.2426912294753704E-2</v>
      </c>
      <c r="K54">
        <f>SUMIFS(banco!M:M,banco!$C:$C,$B54,banco!$A:$A,$A54)</f>
        <v>3575</v>
      </c>
      <c r="L54" s="13">
        <f t="shared" si="4"/>
        <v>0.89018924302788849</v>
      </c>
      <c r="M54">
        <f>SUMIFS(banco!O:O,banco!$C:$C,$B54,banco!$A:$A,$A54)</f>
        <v>2221</v>
      </c>
      <c r="N54" s="13">
        <f t="shared" si="5"/>
        <v>0.8894673608329996</v>
      </c>
      <c r="O54">
        <f>SUMIFS(banco!Q:Q,banco!$C:$C,$B54,banco!$A:$A,$A54)</f>
        <v>313</v>
      </c>
      <c r="P54" s="13">
        <f t="shared" si="6"/>
        <v>7.7938247011952191E-2</v>
      </c>
      <c r="Q54">
        <f>SUMIFS(banco!S:S,banco!$C:$C,$B54,banco!$A:$A,$A54)</f>
        <v>194</v>
      </c>
      <c r="R54" s="13">
        <f t="shared" si="7"/>
        <v>7.7693231878253902E-2</v>
      </c>
      <c r="S54">
        <f>SUMIFS(banco!U:U,banco!$C:$C,$B54,banco!$A:$A,$A54)</f>
        <v>265</v>
      </c>
      <c r="T54" s="13">
        <f t="shared" si="8"/>
        <v>6.5986055776892427E-2</v>
      </c>
      <c r="U54">
        <f>SUMIFS(banco!W:W,banco!$C:$C,$B54,banco!$A:$A,$A54)</f>
        <v>180</v>
      </c>
      <c r="V54" s="13">
        <f t="shared" si="9"/>
        <v>7.208650380456548E-2</v>
      </c>
      <c r="W54">
        <f>SUMIFS(banco!Y:Y,banco!$C:$C,$B54,banco!$A:$A,$A54)</f>
        <v>332</v>
      </c>
      <c r="X54" s="13">
        <f t="shared" si="10"/>
        <v>8.2669322709163343E-2</v>
      </c>
      <c r="Y54">
        <f>SUMIFS(banco!AA:AA,banco!$C:$C,$B54,banco!$A:$A,$A54)</f>
        <v>243</v>
      </c>
      <c r="Z54" s="13">
        <f t="shared" si="11"/>
        <v>9.7316780136163392E-2</v>
      </c>
      <c r="AA54">
        <f>SUMIFS(banco!AC:AC,banco!$C:$C,$B54,banco!$A:$A,$A54)</f>
        <v>3419</v>
      </c>
      <c r="AB54" s="13">
        <f t="shared" si="12"/>
        <v>0.85134462151394419</v>
      </c>
      <c r="AC54">
        <f>SUMIFS(banco!AE:AE,banco!$C:$C,$B54,banco!$A:$A,$A54)</f>
        <v>2074</v>
      </c>
      <c r="AD54" s="13">
        <f t="shared" si="13"/>
        <v>0.8305967160592711</v>
      </c>
      <c r="AE54">
        <f>SUMIFS(banco!AG:AG,banco!$C:$C,$B54,banco!$A:$A,$A54)</f>
        <v>111</v>
      </c>
      <c r="AF54" s="13">
        <f t="shared" si="14"/>
        <v>2.7639442231075697E-2</v>
      </c>
      <c r="AG54">
        <f>SUMIFS(banco!AI:AI,banco!$C:$C,$B54,banco!$A:$A,$A54)</f>
        <v>93</v>
      </c>
      <c r="AH54" s="13">
        <f t="shared" si="15"/>
        <v>3.7244693632358827E-2</v>
      </c>
      <c r="AI54">
        <f>SUMIFS(banco!AK:AK,banco!$C:$C,$B54,banco!$A:$A,$A54)</f>
        <v>143</v>
      </c>
      <c r="AJ54" s="13">
        <f t="shared" si="16"/>
        <v>3.5607569721115541E-2</v>
      </c>
      <c r="AK54">
        <f>SUMIFS(banco!AM:AM,banco!$C:$C,$B54,banco!$A:$A,$A54)</f>
        <v>95</v>
      </c>
      <c r="AL54" s="13">
        <f t="shared" si="17"/>
        <v>3.8045654785742893E-2</v>
      </c>
      <c r="AM54">
        <f>SUMIFS(banco!AO:AO,banco!$C:$C,$B54,banco!$A:$A,$A54)</f>
        <v>2384</v>
      </c>
      <c r="AN54" s="13">
        <f t="shared" si="18"/>
        <v>0.59362549800796816</v>
      </c>
      <c r="AO54">
        <f>SUMIFS(banco!AQ:AQ,banco!$C:$C,$B54,banco!$A:$A,$A54)</f>
        <v>1498</v>
      </c>
      <c r="AP54" s="13">
        <f t="shared" si="19"/>
        <v>0.59991990388466154</v>
      </c>
      <c r="AQ54">
        <f>SUMIFS(banco!AS:AS,banco!$C:$C,$B54,banco!$A:$A,$A54)</f>
        <v>714</v>
      </c>
      <c r="AR54" s="13">
        <f t="shared" si="20"/>
        <v>0.17778884462151395</v>
      </c>
      <c r="AS54">
        <f>SUMIFS(banco!AU:AU,banco!$C:$C,$B54,banco!$A:$A,$A54)</f>
        <v>404</v>
      </c>
      <c r="AT54" s="13">
        <f t="shared" si="21"/>
        <v>0.1617941529835803</v>
      </c>
      <c r="AU54">
        <f>SUMIFS(banco!AW:AW,banco!$C:$C,$B54,banco!$A:$A,$A54)</f>
        <v>334</v>
      </c>
      <c r="AV54" s="13">
        <f t="shared" si="22"/>
        <v>8.3167330677290832E-2</v>
      </c>
      <c r="AW54">
        <f>SUMIFS(banco!AY:AY,banco!$C:$C,$B54,banco!$A:$A,$A54)</f>
        <v>194</v>
      </c>
      <c r="AX54" s="13">
        <f t="shared" si="23"/>
        <v>7.7693231878253902E-2</v>
      </c>
      <c r="AY54">
        <f>SUMIFS(banco!BA:BA,banco!$C:$C,$B54,banco!$A:$A,$A54)</f>
        <v>330</v>
      </c>
      <c r="AZ54" s="13">
        <f t="shared" si="24"/>
        <v>8.2171314741035853E-2</v>
      </c>
      <c r="BA54">
        <f>SUMIFS(banco!BC:BC,banco!$C:$C,$B54,banco!$A:$A,$A54)</f>
        <v>213</v>
      </c>
      <c r="BB54" s="13">
        <f t="shared" si="25"/>
        <v>8.530236283540249E-2</v>
      </c>
      <c r="BC54">
        <f>SUMIFS(banco!BE:BE,banco!$C:$C,$B54,banco!$A:$A,$A54)</f>
        <v>4016</v>
      </c>
      <c r="BD54">
        <f>SUMIFS(banco!BF:BF,banco!$C:$C,$B54,banco!$A:$A,$A54)</f>
        <v>2497</v>
      </c>
      <c r="BE54">
        <v>12113</v>
      </c>
    </row>
    <row r="55" spans="1:57" x14ac:dyDescent="0.25">
      <c r="A55" s="24">
        <v>2021</v>
      </c>
      <c r="B55" s="22" t="s">
        <v>146</v>
      </c>
      <c r="C55">
        <f>SUMIFS(banco!E:E,banco!$C:$C,$B55,banco!$A:$A,$A55)</f>
        <v>197</v>
      </c>
      <c r="D55" s="13">
        <f t="shared" si="0"/>
        <v>3.8582060321190756E-2</v>
      </c>
      <c r="E55">
        <f>SUMIFS(banco!G:G,banco!$C:$C,$B55,banco!$A:$A,$A55)</f>
        <v>182</v>
      </c>
      <c r="F55" s="13">
        <f t="shared" si="1"/>
        <v>5.8596265292981328E-2</v>
      </c>
      <c r="G55">
        <f>SUMIFS(banco!I:I,banco!$C:$C,$B55,banco!$A:$A,$A55)</f>
        <v>395</v>
      </c>
      <c r="H55" s="13">
        <f t="shared" si="2"/>
        <v>7.7359968664316492E-2</v>
      </c>
      <c r="I55">
        <f>SUMIFS(banco!K:K,banco!$C:$C,$B55,banco!$A:$A,$A55)</f>
        <v>362</v>
      </c>
      <c r="J55" s="13">
        <f t="shared" si="3"/>
        <v>0.11654861558274308</v>
      </c>
      <c r="K55">
        <f>SUMIFS(banco!M:M,banco!$C:$C,$B55,banco!$A:$A,$A55)</f>
        <v>4143</v>
      </c>
      <c r="L55" s="13">
        <f t="shared" si="4"/>
        <v>0.81139835487661571</v>
      </c>
      <c r="M55">
        <f>SUMIFS(banco!O:O,banco!$C:$C,$B55,banco!$A:$A,$A55)</f>
        <v>2347</v>
      </c>
      <c r="N55" s="13">
        <f t="shared" si="5"/>
        <v>0.75563425627817127</v>
      </c>
      <c r="O55">
        <f>SUMIFS(banco!Q:Q,banco!$C:$C,$B55,banco!$A:$A,$A55)</f>
        <v>371</v>
      </c>
      <c r="P55" s="13">
        <f t="shared" si="6"/>
        <v>7.2659616137877012E-2</v>
      </c>
      <c r="Q55">
        <f>SUMIFS(banco!S:S,banco!$C:$C,$B55,banco!$A:$A,$A55)</f>
        <v>215</v>
      </c>
      <c r="R55" s="13">
        <f t="shared" si="7"/>
        <v>6.922086284610432E-2</v>
      </c>
      <c r="S55">
        <f>SUMIFS(banco!U:U,banco!$C:$C,$B55,banco!$A:$A,$A55)</f>
        <v>355</v>
      </c>
      <c r="T55" s="13">
        <f t="shared" si="8"/>
        <v>6.9526047786917358E-2</v>
      </c>
      <c r="U55">
        <f>SUMIFS(banco!W:W,banco!$C:$C,$B55,banco!$A:$A,$A55)</f>
        <v>301</v>
      </c>
      <c r="V55" s="13">
        <f t="shared" si="9"/>
        <v>9.6909207984546039E-2</v>
      </c>
      <c r="W55">
        <f>SUMIFS(banco!Y:Y,banco!$C:$C,$B55,banco!$A:$A,$A55)</f>
        <v>580</v>
      </c>
      <c r="X55" s="13">
        <f t="shared" si="10"/>
        <v>0.1135918527222875</v>
      </c>
      <c r="Y55">
        <f>SUMIFS(banco!AA:AA,banco!$C:$C,$B55,banco!$A:$A,$A55)</f>
        <v>498</v>
      </c>
      <c r="Z55" s="13">
        <f t="shared" si="11"/>
        <v>0.16033483580167418</v>
      </c>
      <c r="AA55">
        <f>SUMIFS(banco!AC:AC,banco!$C:$C,$B55,banco!$A:$A,$A55)</f>
        <v>4172</v>
      </c>
      <c r="AB55" s="13">
        <f t="shared" si="12"/>
        <v>0.81707794751273011</v>
      </c>
      <c r="AC55">
        <f>SUMIFS(banco!AE:AE,banco!$C:$C,$B55,banco!$A:$A,$A55)</f>
        <v>2308</v>
      </c>
      <c r="AD55" s="13">
        <f t="shared" si="13"/>
        <v>0.74307791371538956</v>
      </c>
      <c r="AE55">
        <f>SUMIFS(banco!AG:AG,banco!$C:$C,$B55,banco!$A:$A,$A55)</f>
        <v>339</v>
      </c>
      <c r="AF55" s="13">
        <f t="shared" si="14"/>
        <v>6.6392479435957691E-2</v>
      </c>
      <c r="AG55">
        <f>SUMIFS(banco!AI:AI,banco!$C:$C,$B55,banco!$A:$A,$A55)</f>
        <v>277</v>
      </c>
      <c r="AH55" s="13">
        <f t="shared" si="15"/>
        <v>8.9182227945911144E-2</v>
      </c>
      <c r="AI55">
        <f>SUMIFS(banco!AK:AK,banco!$C:$C,$B55,banco!$A:$A,$A55)</f>
        <v>220</v>
      </c>
      <c r="AJ55" s="13">
        <f t="shared" si="16"/>
        <v>4.3086564825695263E-2</v>
      </c>
      <c r="AK55">
        <f>SUMIFS(banco!AM:AM,banco!$C:$C,$B55,banco!$A:$A,$A55)</f>
        <v>151</v>
      </c>
      <c r="AL55" s="13">
        <f t="shared" si="17"/>
        <v>4.8615582743077916E-2</v>
      </c>
      <c r="AM55">
        <f>SUMIFS(banco!AO:AO,banco!$C:$C,$B55,banco!$A:$A,$A55)</f>
        <v>3078</v>
      </c>
      <c r="AN55" s="13">
        <f t="shared" si="18"/>
        <v>0.60282021151586374</v>
      </c>
      <c r="AO55">
        <f>SUMIFS(banco!AQ:AQ,banco!$C:$C,$B55,banco!$A:$A,$A55)</f>
        <v>1936</v>
      </c>
      <c r="AP55" s="13">
        <f t="shared" si="19"/>
        <v>0.62330972311654864</v>
      </c>
      <c r="AQ55">
        <f>SUMIFS(banco!AS:AS,banco!$C:$C,$B55,banco!$A:$A,$A55)</f>
        <v>774</v>
      </c>
      <c r="AR55" s="13">
        <f t="shared" si="20"/>
        <v>0.15158636897767333</v>
      </c>
      <c r="AS55">
        <f>SUMIFS(banco!AU:AU,banco!$C:$C,$B55,banco!$A:$A,$A55)</f>
        <v>345</v>
      </c>
      <c r="AT55" s="13">
        <f t="shared" si="21"/>
        <v>0.11107533805537669</v>
      </c>
      <c r="AU55">
        <f>SUMIFS(banco!AW:AW,banco!$C:$C,$B55,banco!$A:$A,$A55)</f>
        <v>383</v>
      </c>
      <c r="AV55" s="13">
        <f t="shared" si="22"/>
        <v>7.5009792401096745E-2</v>
      </c>
      <c r="AW55">
        <f>SUMIFS(banco!AY:AY,banco!$C:$C,$B55,banco!$A:$A,$A55)</f>
        <v>193</v>
      </c>
      <c r="AX55" s="13">
        <f t="shared" si="23"/>
        <v>6.213779781068899E-2</v>
      </c>
      <c r="AY55">
        <f>SUMIFS(banco!BA:BA,banco!$C:$C,$B55,banco!$A:$A,$A55)</f>
        <v>313</v>
      </c>
      <c r="AZ55" s="13">
        <f t="shared" si="24"/>
        <v>6.1300430865648257E-2</v>
      </c>
      <c r="BA55">
        <f>SUMIFS(banco!BC:BC,banco!$C:$C,$B55,banco!$A:$A,$A55)</f>
        <v>205</v>
      </c>
      <c r="BB55" s="13">
        <f t="shared" si="25"/>
        <v>6.6001287830006444E-2</v>
      </c>
      <c r="BC55">
        <f>SUMIFS(banco!BE:BE,banco!$C:$C,$B55,banco!$A:$A,$A55)</f>
        <v>5106</v>
      </c>
      <c r="BD55">
        <f>SUMIFS(banco!BF:BF,banco!$C:$C,$B55,banco!$A:$A,$A55)</f>
        <v>3106</v>
      </c>
      <c r="BE55">
        <v>13112</v>
      </c>
    </row>
    <row r="56" spans="1:57" x14ac:dyDescent="0.25">
      <c r="A56" s="24">
        <v>2021</v>
      </c>
      <c r="B56" s="22" t="s">
        <v>149</v>
      </c>
      <c r="C56">
        <f>SUMIFS(banco!E:E,banco!$C:$C,$B56,banco!$A:$A,$A56)</f>
        <v>123</v>
      </c>
      <c r="D56" s="13">
        <f t="shared" si="0"/>
        <v>1.2956915622037291E-2</v>
      </c>
      <c r="E56">
        <f>SUMIFS(banco!G:G,banco!$C:$C,$B56,banco!$A:$A,$A56)</f>
        <v>79</v>
      </c>
      <c r="F56" s="13">
        <f t="shared" si="1"/>
        <v>1.5128303332056683E-2</v>
      </c>
      <c r="G56">
        <f>SUMIFS(banco!I:I,banco!$C:$C,$B56,banco!$A:$A,$A56)</f>
        <v>276</v>
      </c>
      <c r="H56" s="13">
        <f t="shared" si="2"/>
        <v>2.9074054566522702E-2</v>
      </c>
      <c r="I56">
        <f>SUMIFS(banco!K:K,banco!$C:$C,$B56,banco!$A:$A,$A56)</f>
        <v>161</v>
      </c>
      <c r="J56" s="13">
        <f t="shared" si="3"/>
        <v>3.0831099195710455E-2</v>
      </c>
      <c r="K56">
        <f>SUMIFS(banco!M:M,banco!$C:$C,$B56,banco!$A:$A,$A56)</f>
        <v>8513</v>
      </c>
      <c r="L56" s="13">
        <f t="shared" si="4"/>
        <v>0.89676603813336142</v>
      </c>
      <c r="M56">
        <f>SUMIFS(banco!O:O,banco!$C:$C,$B56,banco!$A:$A,$A56)</f>
        <v>4727</v>
      </c>
      <c r="N56" s="13">
        <f t="shared" si="5"/>
        <v>0.90520873228648024</v>
      </c>
      <c r="O56">
        <f>SUMIFS(banco!Q:Q,banco!$C:$C,$B56,banco!$A:$A,$A56)</f>
        <v>581</v>
      </c>
      <c r="P56" s="13">
        <f t="shared" si="6"/>
        <v>6.1202991678078585E-2</v>
      </c>
      <c r="Q56">
        <f>SUMIFS(banco!S:S,banco!$C:$C,$B56,banco!$A:$A,$A56)</f>
        <v>255</v>
      </c>
      <c r="R56" s="13">
        <f t="shared" si="7"/>
        <v>4.8831865185752582E-2</v>
      </c>
      <c r="S56">
        <f>SUMIFS(banco!U:U,banco!$C:$C,$B56,banco!$A:$A,$A56)</f>
        <v>334</v>
      </c>
      <c r="T56" s="13">
        <f t="shared" si="8"/>
        <v>3.5183819656589066E-2</v>
      </c>
      <c r="U56">
        <f>SUMIFS(banco!W:W,banco!$C:$C,$B56,banco!$A:$A,$A56)</f>
        <v>207</v>
      </c>
      <c r="V56" s="13">
        <f t="shared" si="9"/>
        <v>3.9639984680199157E-2</v>
      </c>
      <c r="W56">
        <f>SUMIFS(banco!Y:Y,banco!$C:$C,$B56,banco!$A:$A,$A56)</f>
        <v>503</v>
      </c>
      <c r="X56" s="13">
        <f t="shared" si="10"/>
        <v>5.2986411039713473E-2</v>
      </c>
      <c r="Y56">
        <f>SUMIFS(banco!AA:AA,banco!$C:$C,$B56,banco!$A:$A,$A56)</f>
        <v>276</v>
      </c>
      <c r="Z56" s="13">
        <f t="shared" si="11"/>
        <v>5.2853312906932209E-2</v>
      </c>
      <c r="AA56">
        <f>SUMIFS(banco!AC:AC,banco!$C:$C,$B56,banco!$A:$A,$A56)</f>
        <v>8655</v>
      </c>
      <c r="AB56" s="13">
        <f t="shared" si="12"/>
        <v>0.91172442852628255</v>
      </c>
      <c r="AC56">
        <f>SUMIFS(banco!AE:AE,banco!$C:$C,$B56,banco!$A:$A,$A56)</f>
        <v>4738</v>
      </c>
      <c r="AD56" s="13">
        <f t="shared" si="13"/>
        <v>0.9073152049023363</v>
      </c>
      <c r="AE56">
        <f>SUMIFS(banco!AG:AG,banco!$C:$C,$B56,banco!$A:$A,$A56)</f>
        <v>475</v>
      </c>
      <c r="AF56" s="13">
        <f t="shared" si="14"/>
        <v>5.0036869272095226E-2</v>
      </c>
      <c r="AG56">
        <f>SUMIFS(banco!AI:AI,banco!$C:$C,$B56,banco!$A:$A,$A56)</f>
        <v>336</v>
      </c>
      <c r="AH56" s="13">
        <f t="shared" si="15"/>
        <v>6.4343163538873996E-2</v>
      </c>
      <c r="AI56">
        <f>SUMIFS(banco!AK:AK,banco!$C:$C,$B56,banco!$A:$A,$A56)</f>
        <v>381</v>
      </c>
      <c r="AJ56" s="13">
        <f t="shared" si="16"/>
        <v>4.0134836195091117E-2</v>
      </c>
      <c r="AK56">
        <f>SUMIFS(banco!AM:AM,banco!$C:$C,$B56,banco!$A:$A,$A56)</f>
        <v>228</v>
      </c>
      <c r="AL56" s="13">
        <f t="shared" si="17"/>
        <v>4.3661432401378784E-2</v>
      </c>
      <c r="AM56">
        <f>SUMIFS(banco!AO:AO,banco!$C:$C,$B56,banco!$A:$A,$A56)</f>
        <v>6271</v>
      </c>
      <c r="AN56" s="13">
        <f t="shared" si="18"/>
        <v>0.66059201516907196</v>
      </c>
      <c r="AO56">
        <f>SUMIFS(banco!AQ:AQ,banco!$C:$C,$B56,banco!$A:$A,$A56)</f>
        <v>3678</v>
      </c>
      <c r="AP56" s="13">
        <f t="shared" si="19"/>
        <v>0.70432784373803137</v>
      </c>
      <c r="AQ56">
        <f>SUMIFS(banco!AS:AS,banco!$C:$C,$B56,banco!$A:$A,$A56)</f>
        <v>1359</v>
      </c>
      <c r="AR56" s="13">
        <f t="shared" si="20"/>
        <v>0.14315811650689983</v>
      </c>
      <c r="AS56">
        <f>SUMIFS(banco!AU:AU,banco!$C:$C,$B56,banco!$A:$A,$A56)</f>
        <v>519</v>
      </c>
      <c r="AT56" s="13">
        <f t="shared" si="21"/>
        <v>9.9387207966296437E-2</v>
      </c>
      <c r="AU56">
        <f>SUMIFS(banco!AW:AW,banco!$C:$C,$B56,banco!$A:$A,$A56)</f>
        <v>560</v>
      </c>
      <c r="AV56" s="13">
        <f t="shared" si="22"/>
        <v>5.89908353523649E-2</v>
      </c>
      <c r="AW56">
        <f>SUMIFS(banco!AY:AY,banco!$C:$C,$B56,banco!$A:$A,$A56)</f>
        <v>211</v>
      </c>
      <c r="AX56" s="13">
        <f t="shared" si="23"/>
        <v>4.0405974722328611E-2</v>
      </c>
      <c r="AY56">
        <f>SUMIFS(banco!BA:BA,banco!$C:$C,$B56,banco!$A:$A,$A56)</f>
        <v>447</v>
      </c>
      <c r="AZ56" s="13">
        <f t="shared" si="24"/>
        <v>4.7087327504476986E-2</v>
      </c>
      <c r="BA56">
        <f>SUMIFS(banco!BC:BC,banco!$C:$C,$B56,banco!$A:$A,$A56)</f>
        <v>250</v>
      </c>
      <c r="BB56" s="13">
        <f t="shared" si="25"/>
        <v>4.787437763309077E-2</v>
      </c>
      <c r="BC56">
        <f>SUMIFS(banco!BE:BE,banco!$C:$C,$B56,banco!$A:$A,$A56)</f>
        <v>9493</v>
      </c>
      <c r="BD56">
        <f>SUMIFS(banco!BF:BF,banco!$C:$C,$B56,banco!$A:$A,$A56)</f>
        <v>5222</v>
      </c>
      <c r="BE56">
        <v>23249</v>
      </c>
    </row>
    <row r="57" spans="1:57" x14ac:dyDescent="0.25">
      <c r="A57" s="24">
        <v>2021</v>
      </c>
      <c r="B57" s="22" t="s">
        <v>147</v>
      </c>
      <c r="C57">
        <f>SUMIFS(banco!E:E,banco!$C:$C,$B57,banco!$A:$A,$A57)</f>
        <v>31</v>
      </c>
      <c r="D57" s="13">
        <f t="shared" si="0"/>
        <v>9.974259974259974E-3</v>
      </c>
      <c r="E57">
        <f>SUMIFS(banco!G:G,banco!$C:$C,$B57,banco!$A:$A,$A57)</f>
        <v>12</v>
      </c>
      <c r="F57" s="13">
        <f t="shared" si="1"/>
        <v>6.4136825227151259E-3</v>
      </c>
      <c r="G57">
        <f>SUMIFS(banco!I:I,banco!$C:$C,$B57,banco!$A:$A,$A57)</f>
        <v>102</v>
      </c>
      <c r="H57" s="13">
        <f t="shared" si="2"/>
        <v>3.2818532818532815E-2</v>
      </c>
      <c r="I57">
        <f>SUMIFS(banco!K:K,banco!$C:$C,$B57,banco!$A:$A,$A57)</f>
        <v>70</v>
      </c>
      <c r="J57" s="13">
        <f t="shared" si="3"/>
        <v>3.7413148049171563E-2</v>
      </c>
      <c r="K57">
        <f>SUMIFS(banco!M:M,banco!$C:$C,$B57,banco!$A:$A,$A57)</f>
        <v>2764</v>
      </c>
      <c r="L57" s="13">
        <f t="shared" si="4"/>
        <v>0.88931788931788935</v>
      </c>
      <c r="M57">
        <f>SUMIFS(banco!O:O,banco!$C:$C,$B57,banco!$A:$A,$A57)</f>
        <v>1656</v>
      </c>
      <c r="N57" s="13">
        <f t="shared" si="5"/>
        <v>0.88508818813468737</v>
      </c>
      <c r="O57">
        <f>SUMIFS(banco!Q:Q,banco!$C:$C,$B57,banco!$A:$A,$A57)</f>
        <v>211</v>
      </c>
      <c r="P57" s="13">
        <f t="shared" si="6"/>
        <v>6.7889317889317888E-2</v>
      </c>
      <c r="Q57">
        <f>SUMIFS(banco!S:S,banco!$C:$C,$B57,banco!$A:$A,$A57)</f>
        <v>133</v>
      </c>
      <c r="R57" s="13">
        <f t="shared" si="7"/>
        <v>7.1084981293425969E-2</v>
      </c>
      <c r="S57">
        <f>SUMIFS(banco!U:U,banco!$C:$C,$B57,banco!$A:$A,$A57)</f>
        <v>156</v>
      </c>
      <c r="T57" s="13">
        <f t="shared" si="8"/>
        <v>5.019305019305019E-2</v>
      </c>
      <c r="U57">
        <f>SUMIFS(banco!W:W,banco!$C:$C,$B57,banco!$A:$A,$A57)</f>
        <v>101</v>
      </c>
      <c r="V57" s="13">
        <f t="shared" si="9"/>
        <v>5.3981827899518976E-2</v>
      </c>
      <c r="W57">
        <f>SUMIFS(banco!Y:Y,banco!$C:$C,$B57,banco!$A:$A,$A57)</f>
        <v>218</v>
      </c>
      <c r="X57" s="13">
        <f t="shared" si="10"/>
        <v>7.0141570141570145E-2</v>
      </c>
      <c r="Y57">
        <f>SUMIFS(banco!AA:AA,banco!$C:$C,$B57,banco!$A:$A,$A57)</f>
        <v>143</v>
      </c>
      <c r="Z57" s="13">
        <f t="shared" si="11"/>
        <v>7.6429716729021907E-2</v>
      </c>
      <c r="AA57">
        <f>SUMIFS(banco!AC:AC,banco!$C:$C,$B57,banco!$A:$A,$A57)</f>
        <v>2733</v>
      </c>
      <c r="AB57" s="13">
        <f t="shared" si="12"/>
        <v>0.87934362934362931</v>
      </c>
      <c r="AC57">
        <f>SUMIFS(banco!AE:AE,banco!$C:$C,$B57,banco!$A:$A,$A57)</f>
        <v>1626</v>
      </c>
      <c r="AD57" s="13">
        <f t="shared" si="13"/>
        <v>0.8690539818278995</v>
      </c>
      <c r="AE57">
        <f>SUMIFS(banco!AG:AG,banco!$C:$C,$B57,banco!$A:$A,$A57)</f>
        <v>152</v>
      </c>
      <c r="AF57" s="13">
        <f t="shared" si="14"/>
        <v>4.8906048906048903E-2</v>
      </c>
      <c r="AG57">
        <f>SUMIFS(banco!AI:AI,banco!$C:$C,$B57,banco!$A:$A,$A57)</f>
        <v>109</v>
      </c>
      <c r="AH57" s="13">
        <f t="shared" si="15"/>
        <v>5.8257616247995726E-2</v>
      </c>
      <c r="AI57">
        <f>SUMIFS(banco!AK:AK,banco!$C:$C,$B57,banco!$A:$A,$A57)</f>
        <v>143</v>
      </c>
      <c r="AJ57" s="13">
        <f t="shared" si="16"/>
        <v>4.6010296010296013E-2</v>
      </c>
      <c r="AK57">
        <f>SUMIFS(banco!AM:AM,banco!$C:$C,$B57,banco!$A:$A,$A57)</f>
        <v>99</v>
      </c>
      <c r="AL57" s="13">
        <f t="shared" si="17"/>
        <v>5.2912880812399789E-2</v>
      </c>
      <c r="AM57">
        <f>SUMIFS(banco!AO:AO,banco!$C:$C,$B57,banco!$A:$A,$A57)</f>
        <v>1941</v>
      </c>
      <c r="AN57" s="13">
        <f t="shared" si="18"/>
        <v>0.62451737451737455</v>
      </c>
      <c r="AO57">
        <f>SUMIFS(banco!AQ:AQ,banco!$C:$C,$B57,banco!$A:$A,$A57)</f>
        <v>1179</v>
      </c>
      <c r="AP57" s="13">
        <f t="shared" si="19"/>
        <v>0.63014430785676112</v>
      </c>
      <c r="AQ57">
        <f>SUMIFS(banco!AS:AS,banco!$C:$C,$B57,banco!$A:$A,$A57)</f>
        <v>476</v>
      </c>
      <c r="AR57" s="13">
        <f t="shared" si="20"/>
        <v>0.15315315315315314</v>
      </c>
      <c r="AS57">
        <f>SUMIFS(banco!AU:AU,banco!$C:$C,$B57,banco!$A:$A,$A57)</f>
        <v>259</v>
      </c>
      <c r="AT57" s="13">
        <f t="shared" si="21"/>
        <v>0.13842864778193478</v>
      </c>
      <c r="AU57">
        <f>SUMIFS(banco!AW:AW,banco!$C:$C,$B57,banco!$A:$A,$A57)</f>
        <v>213</v>
      </c>
      <c r="AV57" s="13">
        <f t="shared" si="22"/>
        <v>6.8532818532818535E-2</v>
      </c>
      <c r="AW57">
        <f>SUMIFS(banco!AY:AY,banco!$C:$C,$B57,banco!$A:$A,$A57)</f>
        <v>111</v>
      </c>
      <c r="AX57" s="13">
        <f t="shared" si="23"/>
        <v>5.9326563335114914E-2</v>
      </c>
      <c r="AY57">
        <f>SUMIFS(banco!BA:BA,banco!$C:$C,$B57,banco!$A:$A,$A57)</f>
        <v>183</v>
      </c>
      <c r="AZ57" s="13">
        <f t="shared" si="24"/>
        <v>5.8880308880308881E-2</v>
      </c>
      <c r="BA57">
        <f>SUMIFS(banco!BC:BC,banco!$C:$C,$B57,banco!$A:$A,$A57)</f>
        <v>114</v>
      </c>
      <c r="BB57" s="13">
        <f t="shared" si="25"/>
        <v>6.0929983965793695E-2</v>
      </c>
      <c r="BC57">
        <f>SUMIFS(banco!BE:BE,banco!$C:$C,$B57,banco!$A:$A,$A57)</f>
        <v>3108</v>
      </c>
      <c r="BD57">
        <f>SUMIFS(banco!BF:BF,banco!$C:$C,$B57,banco!$A:$A,$A57)</f>
        <v>1871</v>
      </c>
      <c r="BE57">
        <v>7087</v>
      </c>
    </row>
    <row r="58" spans="1:57" x14ac:dyDescent="0.25">
      <c r="A58" s="24">
        <v>2022</v>
      </c>
      <c r="B58" s="22" t="s">
        <v>151</v>
      </c>
      <c r="C58">
        <f>SUMIFS(banco!E:E,banco!$C:$C,$B58,banco!$A:$A,$A58)</f>
        <v>54</v>
      </c>
      <c r="D58" s="13">
        <f t="shared" si="0"/>
        <v>8.2556184069714107E-3</v>
      </c>
      <c r="E58">
        <f>SUMIFS(banco!G:G,banco!$C:$C,$B58,banco!$A:$A,$A58)</f>
        <v>29</v>
      </c>
      <c r="F58" s="13">
        <f t="shared" si="1"/>
        <v>9.5583388266315093E-3</v>
      </c>
      <c r="G58">
        <f>SUMIFS(banco!I:I,banco!$C:$C,$B58,banco!$A:$A,$A58)</f>
        <v>174</v>
      </c>
      <c r="H58" s="13">
        <f t="shared" si="2"/>
        <v>2.6601437089130101E-2</v>
      </c>
      <c r="I58">
        <f>SUMIFS(banco!K:K,banco!$C:$C,$B58,banco!$A:$A,$A58)</f>
        <v>101</v>
      </c>
      <c r="J58" s="13">
        <f t="shared" si="3"/>
        <v>3.3289386947923535E-2</v>
      </c>
      <c r="K58">
        <f>SUMIFS(banco!M:M,banco!$C:$C,$B58,banco!$A:$A,$A58)</f>
        <v>5991</v>
      </c>
      <c r="L58" s="13">
        <f t="shared" si="4"/>
        <v>0.91591499770677265</v>
      </c>
      <c r="M58">
        <f>SUMIFS(banco!O:O,banco!$C:$C,$B58,banco!$A:$A,$A58)</f>
        <v>2758</v>
      </c>
      <c r="N58" s="13">
        <f t="shared" si="5"/>
        <v>0.90903098220171386</v>
      </c>
      <c r="O58">
        <f>SUMIFS(banco!Q:Q,banco!$C:$C,$B58,banco!$A:$A,$A58)</f>
        <v>322</v>
      </c>
      <c r="P58" s="13">
        <f t="shared" si="6"/>
        <v>4.9227946797125818E-2</v>
      </c>
      <c r="Q58">
        <f>SUMIFS(banco!S:S,banco!$C:$C,$B58,banco!$A:$A,$A58)</f>
        <v>146</v>
      </c>
      <c r="R58" s="13">
        <f t="shared" si="7"/>
        <v>4.8121292023731048E-2</v>
      </c>
      <c r="S58">
        <f>SUMIFS(banco!U:U,banco!$C:$C,$B58,banco!$A:$A,$A58)</f>
        <v>319</v>
      </c>
      <c r="T58" s="13">
        <f t="shared" si="8"/>
        <v>4.8769301330071853E-2</v>
      </c>
      <c r="U58">
        <f>SUMIFS(banco!W:W,banco!$C:$C,$B58,banco!$A:$A,$A58)</f>
        <v>217</v>
      </c>
      <c r="V58" s="13">
        <f t="shared" si="9"/>
        <v>7.1522742254449573E-2</v>
      </c>
      <c r="W58">
        <f>SUMIFS(banco!Y:Y,banco!$C:$C,$B58,banco!$A:$A,$A58)</f>
        <v>461</v>
      </c>
      <c r="X58" s="13">
        <f t="shared" si="10"/>
        <v>7.0478520103959635E-2</v>
      </c>
      <c r="Y58">
        <f>SUMIFS(banco!AA:AA,banco!$C:$C,$B58,banco!$A:$A,$A58)</f>
        <v>269</v>
      </c>
      <c r="Z58" s="13">
        <f t="shared" si="11"/>
        <v>8.8661832564271584E-2</v>
      </c>
      <c r="AA58">
        <f>SUMIFS(banco!AC:AC,banco!$C:$C,$B58,banco!$A:$A,$A58)</f>
        <v>5761</v>
      </c>
      <c r="AB58" s="13">
        <f t="shared" si="12"/>
        <v>0.88075217856596855</v>
      </c>
      <c r="AC58">
        <f>SUMIFS(banco!AE:AE,banco!$C:$C,$B58,banco!$A:$A,$A58)</f>
        <v>2548</v>
      </c>
      <c r="AD58" s="13">
        <f t="shared" si="13"/>
        <v>0.83981542518127883</v>
      </c>
      <c r="AE58">
        <f>SUMIFS(banco!AG:AG,banco!$C:$C,$B58,banco!$A:$A,$A58)</f>
        <v>136</v>
      </c>
      <c r="AF58" s="13">
        <f t="shared" si="14"/>
        <v>2.0791927839779852E-2</v>
      </c>
      <c r="AG58">
        <f>SUMIFS(banco!AI:AI,banco!$C:$C,$B58,banco!$A:$A,$A58)</f>
        <v>106</v>
      </c>
      <c r="AH58" s="13">
        <f t="shared" si="15"/>
        <v>3.4937376400791038E-2</v>
      </c>
      <c r="AI58">
        <f>SUMIFS(banco!AK:AK,banco!$C:$C,$B58,banco!$A:$A,$A58)</f>
        <v>228</v>
      </c>
      <c r="AJ58" s="13">
        <f t="shared" si="16"/>
        <v>3.4857055496101512E-2</v>
      </c>
      <c r="AK58">
        <f>SUMIFS(banco!AM:AM,banco!$C:$C,$B58,banco!$A:$A,$A58)</f>
        <v>157</v>
      </c>
      <c r="AL58" s="13">
        <f t="shared" si="17"/>
        <v>5.1746868820039552E-2</v>
      </c>
      <c r="AM58">
        <f>SUMIFS(banco!AO:AO,banco!$C:$C,$B58,banco!$A:$A,$A58)</f>
        <v>4390</v>
      </c>
      <c r="AN58" s="13">
        <f t="shared" si="18"/>
        <v>0.67115120012230545</v>
      </c>
      <c r="AO58">
        <f>SUMIFS(banco!AQ:AQ,banco!$C:$C,$B58,banco!$A:$A,$A58)</f>
        <v>2044</v>
      </c>
      <c r="AP58" s="13">
        <f t="shared" si="19"/>
        <v>0.67369808833223466</v>
      </c>
      <c r="AQ58">
        <f>SUMIFS(banco!AS:AS,banco!$C:$C,$B58,banco!$A:$A,$A58)</f>
        <v>1049</v>
      </c>
      <c r="AR58" s="13">
        <f t="shared" si="20"/>
        <v>0.16037303164653724</v>
      </c>
      <c r="AS58">
        <f>SUMIFS(banco!AU:AU,banco!$C:$C,$B58,banco!$A:$A,$A58)</f>
        <v>374</v>
      </c>
      <c r="AT58" s="13">
        <f t="shared" si="21"/>
        <v>0.12326961107448912</v>
      </c>
      <c r="AU58">
        <f>SUMIFS(banco!AW:AW,banco!$C:$C,$B58,banco!$A:$A,$A58)</f>
        <v>441</v>
      </c>
      <c r="AV58" s="13">
        <f t="shared" si="22"/>
        <v>6.7420883656933189E-2</v>
      </c>
      <c r="AW58">
        <f>SUMIFS(banco!AY:AY,banco!$C:$C,$B58,banco!$A:$A,$A58)</f>
        <v>189</v>
      </c>
      <c r="AX58" s="13">
        <f t="shared" si="23"/>
        <v>6.2294001318391565E-2</v>
      </c>
      <c r="AY58">
        <f>SUMIFS(banco!BA:BA,banco!$C:$C,$B58,banco!$A:$A,$A58)</f>
        <v>297</v>
      </c>
      <c r="AZ58" s="13">
        <f t="shared" si="24"/>
        <v>4.5405901238342761E-2</v>
      </c>
      <c r="BA58">
        <f>SUMIFS(banco!BC:BC,banco!$C:$C,$B58,banco!$A:$A,$A58)</f>
        <v>164</v>
      </c>
      <c r="BB58" s="13">
        <f t="shared" si="25"/>
        <v>5.4054054054054057E-2</v>
      </c>
      <c r="BC58">
        <f>SUMIFS(banco!BE:BE,banco!$C:$C,$B58,banco!$A:$A,$A58)</f>
        <v>6541</v>
      </c>
      <c r="BD58">
        <f>SUMIFS(banco!BF:BF,banco!$C:$C,$B58,banco!$A:$A,$A58)</f>
        <v>3034</v>
      </c>
      <c r="BE58">
        <v>9798</v>
      </c>
    </row>
    <row r="59" spans="1:57" x14ac:dyDescent="0.25">
      <c r="A59" s="24">
        <v>2022</v>
      </c>
      <c r="B59" s="22" t="s">
        <v>145</v>
      </c>
      <c r="C59">
        <f>SUMIFS(banco!E:E,banco!$C:$C,$B59,banco!$A:$A,$A59)</f>
        <v>103</v>
      </c>
      <c r="D59" s="13">
        <f t="shared" si="0"/>
        <v>8.2990895173636284E-3</v>
      </c>
      <c r="E59">
        <f>SUMIFS(banco!G:G,banco!$C:$C,$B59,banco!$A:$A,$A59)</f>
        <v>78</v>
      </c>
      <c r="F59" s="13">
        <f t="shared" si="1"/>
        <v>1.048951048951049E-2</v>
      </c>
      <c r="G59">
        <f>SUMIFS(banco!I:I,banco!$C:$C,$B59,banco!$A:$A,$A59)</f>
        <v>424</v>
      </c>
      <c r="H59" s="13">
        <f t="shared" si="2"/>
        <v>3.4163242285069693E-2</v>
      </c>
      <c r="I59">
        <f>SUMIFS(banco!K:K,banco!$C:$C,$B59,banco!$A:$A,$A59)</f>
        <v>292</v>
      </c>
      <c r="J59" s="13">
        <f t="shared" si="3"/>
        <v>3.9268423883808502E-2</v>
      </c>
      <c r="K59">
        <f>SUMIFS(banco!M:M,banco!$C:$C,$B59,banco!$A:$A,$A59)</f>
        <v>11216</v>
      </c>
      <c r="L59" s="13">
        <f t="shared" si="4"/>
        <v>0.90371444686165503</v>
      </c>
      <c r="M59">
        <f>SUMIFS(banco!O:O,banco!$C:$C,$B59,banco!$A:$A,$A59)</f>
        <v>6650</v>
      </c>
      <c r="N59" s="13">
        <f t="shared" si="5"/>
        <v>0.89429800968262507</v>
      </c>
      <c r="O59">
        <f>SUMIFS(banco!Q:Q,banco!$C:$C,$B59,banco!$A:$A,$A59)</f>
        <v>668</v>
      </c>
      <c r="P59" s="13">
        <f t="shared" si="6"/>
        <v>5.3823221335911692E-2</v>
      </c>
      <c r="Q59">
        <f>SUMIFS(banco!S:S,banco!$C:$C,$B59,banco!$A:$A,$A59)</f>
        <v>416</v>
      </c>
      <c r="R59" s="13">
        <f t="shared" si="7"/>
        <v>5.5944055944055944E-2</v>
      </c>
      <c r="S59">
        <f>SUMIFS(banco!U:U,banco!$C:$C,$B59,banco!$A:$A,$A59)</f>
        <v>814</v>
      </c>
      <c r="T59" s="13">
        <f t="shared" si="8"/>
        <v>6.5586979292563047E-2</v>
      </c>
      <c r="U59">
        <f>SUMIFS(banco!W:W,banco!$C:$C,$B59,banco!$A:$A,$A59)</f>
        <v>547</v>
      </c>
      <c r="V59" s="13">
        <f t="shared" si="9"/>
        <v>7.3561054330285106E-2</v>
      </c>
      <c r="W59">
        <f>SUMIFS(banco!Y:Y,banco!$C:$C,$B59,banco!$A:$A,$A59)</f>
        <v>1049</v>
      </c>
      <c r="X59" s="13">
        <f t="shared" si="10"/>
        <v>8.4521795181693657E-2</v>
      </c>
      <c r="Y59">
        <f>SUMIFS(banco!AA:AA,banco!$C:$C,$B59,banco!$A:$A,$A59)</f>
        <v>700</v>
      </c>
      <c r="Z59" s="13">
        <f t="shared" si="11"/>
        <v>9.4136632598171066E-2</v>
      </c>
      <c r="AA59">
        <f>SUMIFS(banco!AC:AC,banco!$C:$C,$B59,banco!$A:$A,$A59)</f>
        <v>10548</v>
      </c>
      <c r="AB59" s="13">
        <f t="shared" si="12"/>
        <v>0.84989122552574325</v>
      </c>
      <c r="AC59">
        <f>SUMIFS(banco!AE:AE,banco!$C:$C,$B59,banco!$A:$A,$A59)</f>
        <v>6188</v>
      </c>
      <c r="AD59" s="13">
        <f t="shared" si="13"/>
        <v>0.83216783216783219</v>
      </c>
      <c r="AE59">
        <f>SUMIFS(banco!AG:AG,banco!$C:$C,$B59,banco!$A:$A,$A59)</f>
        <v>432</v>
      </c>
      <c r="AF59" s="13">
        <f t="shared" si="14"/>
        <v>3.4807831762146482E-2</v>
      </c>
      <c r="AG59">
        <f>SUMIFS(banco!AI:AI,banco!$C:$C,$B59,banco!$A:$A,$A59)</f>
        <v>385</v>
      </c>
      <c r="AH59" s="13">
        <f t="shared" si="15"/>
        <v>5.1775147928994084E-2</v>
      </c>
      <c r="AI59">
        <f>SUMIFS(banco!AK:AK,banco!$C:$C,$B59,banco!$A:$A,$A59)</f>
        <v>570</v>
      </c>
      <c r="AJ59" s="13">
        <f t="shared" si="16"/>
        <v>4.5927000241721055E-2</v>
      </c>
      <c r="AK59">
        <f>SUMIFS(banco!AM:AM,banco!$C:$C,$B59,banco!$A:$A,$A59)</f>
        <v>443</v>
      </c>
      <c r="AL59" s="13">
        <f t="shared" si="17"/>
        <v>5.9575040344271114E-2</v>
      </c>
      <c r="AM59">
        <f>SUMIFS(banco!AO:AO,banco!$C:$C,$B59,banco!$A:$A,$A59)</f>
        <v>7893</v>
      </c>
      <c r="AN59" s="13">
        <f t="shared" si="18"/>
        <v>0.63596809282088473</v>
      </c>
      <c r="AO59">
        <f>SUMIFS(banco!AQ:AQ,banco!$C:$C,$B59,banco!$A:$A,$A59)</f>
        <v>4692</v>
      </c>
      <c r="AP59" s="13">
        <f t="shared" si="19"/>
        <v>0.63098440021516944</v>
      </c>
      <c r="AQ59">
        <f>SUMIFS(banco!AS:AS,banco!$C:$C,$B59,banco!$A:$A,$A59)</f>
        <v>1848</v>
      </c>
      <c r="AR59" s="13">
        <f t="shared" si="20"/>
        <v>0.14890016920473773</v>
      </c>
      <c r="AS59">
        <f>SUMIFS(banco!AU:AU,banco!$C:$C,$B59,banco!$A:$A,$A59)</f>
        <v>936</v>
      </c>
      <c r="AT59" s="13">
        <f t="shared" si="21"/>
        <v>0.12587412587412589</v>
      </c>
      <c r="AU59">
        <f>SUMIFS(banco!AW:AW,banco!$C:$C,$B59,banco!$A:$A,$A59)</f>
        <v>906</v>
      </c>
      <c r="AV59" s="13">
        <f t="shared" si="22"/>
        <v>7.29997582789461E-2</v>
      </c>
      <c r="AW59">
        <f>SUMIFS(banco!AY:AY,banco!$C:$C,$B59,banco!$A:$A,$A59)</f>
        <v>489</v>
      </c>
      <c r="AX59" s="13">
        <f t="shared" si="23"/>
        <v>6.5761161915008068E-2</v>
      </c>
      <c r="AY59">
        <f>SUMIFS(banco!BA:BA,banco!$C:$C,$B59,banco!$A:$A,$A59)</f>
        <v>762</v>
      </c>
      <c r="AZ59" s="13">
        <f t="shared" si="24"/>
        <v>6.1397147691563937E-2</v>
      </c>
      <c r="BA59">
        <f>SUMIFS(banco!BC:BC,banco!$C:$C,$B59,banco!$A:$A,$A59)</f>
        <v>491</v>
      </c>
      <c r="BB59" s="13">
        <f t="shared" si="25"/>
        <v>6.6030123722431416E-2</v>
      </c>
      <c r="BC59">
        <f>SUMIFS(banco!BE:BE,banco!$C:$C,$B59,banco!$A:$A,$A59)</f>
        <v>12411</v>
      </c>
      <c r="BD59">
        <f>SUMIFS(banco!BF:BF,banco!$C:$C,$B59,banco!$A:$A,$A59)</f>
        <v>7436</v>
      </c>
      <c r="BE59">
        <v>17226</v>
      </c>
    </row>
    <row r="60" spans="1:57" x14ac:dyDescent="0.25">
      <c r="A60" s="24">
        <v>2022</v>
      </c>
      <c r="B60" s="22" t="s">
        <v>144</v>
      </c>
      <c r="C60">
        <f>SUMIFS(banco!E:E,banco!$C:$C,$B60,banco!$A:$A,$A60)</f>
        <v>49</v>
      </c>
      <c r="D60" s="13">
        <f t="shared" si="0"/>
        <v>7.9134366925064595E-3</v>
      </c>
      <c r="E60">
        <f>SUMIFS(banco!G:G,banco!$C:$C,$B60,banco!$A:$A,$A60)</f>
        <v>29</v>
      </c>
      <c r="F60" s="13">
        <f t="shared" si="1"/>
        <v>1.1670020120724347E-2</v>
      </c>
      <c r="G60">
        <f>SUMIFS(banco!I:I,banco!$C:$C,$B60,banco!$A:$A,$A60)</f>
        <v>139</v>
      </c>
      <c r="H60" s="13">
        <f t="shared" si="2"/>
        <v>2.2448320413436692E-2</v>
      </c>
      <c r="I60">
        <f>SUMIFS(banco!K:K,banco!$C:$C,$B60,banco!$A:$A,$A60)</f>
        <v>66</v>
      </c>
      <c r="J60" s="13">
        <f t="shared" si="3"/>
        <v>2.6559356136820925E-2</v>
      </c>
      <c r="K60">
        <f>SUMIFS(banco!M:M,banco!$C:$C,$B60,banco!$A:$A,$A60)</f>
        <v>5597</v>
      </c>
      <c r="L60" s="13">
        <f t="shared" si="4"/>
        <v>0.90390826873385011</v>
      </c>
      <c r="M60">
        <f>SUMIFS(banco!O:O,banco!$C:$C,$B60,banco!$A:$A,$A60)</f>
        <v>2212</v>
      </c>
      <c r="N60" s="13">
        <f t="shared" si="5"/>
        <v>0.89014084507042257</v>
      </c>
      <c r="O60">
        <f>SUMIFS(banco!Q:Q,banco!$C:$C,$B60,banco!$A:$A,$A60)</f>
        <v>407</v>
      </c>
      <c r="P60" s="13">
        <f t="shared" si="6"/>
        <v>6.5729974160206719E-2</v>
      </c>
      <c r="Q60">
        <f>SUMIFS(banco!S:S,banco!$C:$C,$B60,banco!$A:$A,$A60)</f>
        <v>178</v>
      </c>
      <c r="R60" s="13">
        <f t="shared" si="7"/>
        <v>7.1629778672032199E-2</v>
      </c>
      <c r="S60">
        <f>SUMIFS(banco!U:U,banco!$C:$C,$B60,banco!$A:$A,$A60)</f>
        <v>228</v>
      </c>
      <c r="T60" s="13">
        <f t="shared" si="8"/>
        <v>3.6821705426356592E-2</v>
      </c>
      <c r="U60">
        <f>SUMIFS(banco!W:W,banco!$C:$C,$B60,banco!$A:$A,$A60)</f>
        <v>143</v>
      </c>
      <c r="V60" s="13">
        <f t="shared" si="9"/>
        <v>5.7545271629778669E-2</v>
      </c>
      <c r="W60">
        <f>SUMIFS(banco!Y:Y,banco!$C:$C,$B60,banco!$A:$A,$A60)</f>
        <v>373</v>
      </c>
      <c r="X60" s="13">
        <f t="shared" si="10"/>
        <v>6.0239018087855298E-2</v>
      </c>
      <c r="Y60">
        <f>SUMIFS(banco!AA:AA,banco!$C:$C,$B60,banco!$A:$A,$A60)</f>
        <v>196</v>
      </c>
      <c r="Z60" s="13">
        <f t="shared" si="11"/>
        <v>7.8873239436619724E-2</v>
      </c>
      <c r="AA60">
        <f>SUMIFS(banco!AC:AC,banco!$C:$C,$B60,banco!$A:$A,$A60)</f>
        <v>5591</v>
      </c>
      <c r="AB60" s="13">
        <f t="shared" si="12"/>
        <v>0.90293927648578809</v>
      </c>
      <c r="AC60">
        <f>SUMIFS(banco!AE:AE,banco!$C:$C,$B60,banco!$A:$A,$A60)</f>
        <v>2146</v>
      </c>
      <c r="AD60" s="13">
        <f t="shared" si="13"/>
        <v>0.86358148893360165</v>
      </c>
      <c r="AE60">
        <f>SUMIFS(banco!AG:AG,banco!$C:$C,$B60,banco!$A:$A,$A60)</f>
        <v>146</v>
      </c>
      <c r="AF60" s="13">
        <f t="shared" si="14"/>
        <v>2.3578811369509043E-2</v>
      </c>
      <c r="AG60">
        <f>SUMIFS(banco!AI:AI,banco!$C:$C,$B60,banco!$A:$A,$A60)</f>
        <v>116</v>
      </c>
      <c r="AH60" s="13">
        <f t="shared" si="15"/>
        <v>4.6680080482897388E-2</v>
      </c>
      <c r="AI60">
        <f>SUMIFS(banco!AK:AK,banco!$C:$C,$B60,banco!$A:$A,$A60)</f>
        <v>203</v>
      </c>
      <c r="AJ60" s="13">
        <f t="shared" si="16"/>
        <v>3.2784237726098189E-2</v>
      </c>
      <c r="AK60">
        <f>SUMIFS(banco!AM:AM,banco!$C:$C,$B60,banco!$A:$A,$A60)</f>
        <v>115</v>
      </c>
      <c r="AL60" s="13">
        <f t="shared" si="17"/>
        <v>4.6277665995975853E-2</v>
      </c>
      <c r="AM60">
        <f>SUMIFS(banco!AO:AO,banco!$C:$C,$B60,banco!$A:$A,$A60)</f>
        <v>3908</v>
      </c>
      <c r="AN60" s="13">
        <f t="shared" si="18"/>
        <v>0.63113695090439281</v>
      </c>
      <c r="AO60">
        <f>SUMIFS(banco!AQ:AQ,banco!$C:$C,$B60,banco!$A:$A,$A60)</f>
        <v>1526</v>
      </c>
      <c r="AP60" s="13">
        <f t="shared" si="19"/>
        <v>0.61408450704225348</v>
      </c>
      <c r="AQ60">
        <f>SUMIFS(banco!AS:AS,banco!$C:$C,$B60,banco!$A:$A,$A60)</f>
        <v>1154</v>
      </c>
      <c r="AR60" s="13">
        <f t="shared" si="20"/>
        <v>0.18636950904392766</v>
      </c>
      <c r="AS60">
        <f>SUMIFS(banco!AU:AU,banco!$C:$C,$B60,banco!$A:$A,$A60)</f>
        <v>378</v>
      </c>
      <c r="AT60" s="13">
        <f t="shared" si="21"/>
        <v>0.15211267605633802</v>
      </c>
      <c r="AU60">
        <f>SUMIFS(banco!AW:AW,banco!$C:$C,$B60,banco!$A:$A,$A60)</f>
        <v>477</v>
      </c>
      <c r="AV60" s="13">
        <f t="shared" si="22"/>
        <v>7.7034883720930231E-2</v>
      </c>
      <c r="AW60">
        <f>SUMIFS(banco!AY:AY,banco!$C:$C,$B60,banco!$A:$A,$A60)</f>
        <v>177</v>
      </c>
      <c r="AX60" s="13">
        <f t="shared" si="23"/>
        <v>7.1227364185110664E-2</v>
      </c>
      <c r="AY60">
        <f>SUMIFS(banco!BA:BA,banco!$C:$C,$B60,banco!$A:$A,$A60)</f>
        <v>304</v>
      </c>
      <c r="AZ60" s="13">
        <f t="shared" si="24"/>
        <v>4.909560723514212E-2</v>
      </c>
      <c r="BA60">
        <f>SUMIFS(banco!BC:BC,banco!$C:$C,$B60,banco!$A:$A,$A60)</f>
        <v>173</v>
      </c>
      <c r="BB60" s="13">
        <f t="shared" si="25"/>
        <v>6.9617706237424554E-2</v>
      </c>
      <c r="BC60">
        <f>SUMIFS(banco!BE:BE,banco!$C:$C,$B60,banco!$A:$A,$A60)</f>
        <v>6192</v>
      </c>
      <c r="BD60">
        <f>SUMIFS(banco!BF:BF,banco!$C:$C,$B60,banco!$A:$A,$A60)</f>
        <v>2485</v>
      </c>
      <c r="BE60">
        <v>10172</v>
      </c>
    </row>
    <row r="61" spans="1:57" x14ac:dyDescent="0.25">
      <c r="A61" s="24">
        <v>2022</v>
      </c>
      <c r="B61" s="22" t="s">
        <v>148</v>
      </c>
      <c r="C61">
        <f>SUMIFS(banco!E:E,banco!$C:$C,$B61,banco!$A:$A,$A61)</f>
        <v>136</v>
      </c>
      <c r="D61" s="13">
        <f t="shared" si="0"/>
        <v>8.991735537190083E-3</v>
      </c>
      <c r="E61">
        <f>SUMIFS(banco!G:G,banco!$C:$C,$B61,banco!$A:$A,$A61)</f>
        <v>65</v>
      </c>
      <c r="F61" s="13">
        <f t="shared" si="1"/>
        <v>1.1948529411764705E-2</v>
      </c>
      <c r="G61">
        <f>SUMIFS(banco!I:I,banco!$C:$C,$B61,banco!$A:$A,$A61)</f>
        <v>385</v>
      </c>
      <c r="H61" s="13">
        <f t="shared" si="2"/>
        <v>2.5454545454545455E-2</v>
      </c>
      <c r="I61">
        <f>SUMIFS(banco!K:K,banco!$C:$C,$B61,banco!$A:$A,$A61)</f>
        <v>195</v>
      </c>
      <c r="J61" s="13">
        <f t="shared" si="3"/>
        <v>3.5845588235294115E-2</v>
      </c>
      <c r="K61">
        <f>SUMIFS(banco!M:M,banco!$C:$C,$B61,banco!$A:$A,$A61)</f>
        <v>13650</v>
      </c>
      <c r="L61" s="13">
        <f t="shared" si="4"/>
        <v>0.90247933884297515</v>
      </c>
      <c r="M61">
        <f>SUMIFS(banco!O:O,banco!$C:$C,$B61,banco!$A:$A,$A61)</f>
        <v>4769</v>
      </c>
      <c r="N61" s="13">
        <f t="shared" si="5"/>
        <v>0.87665441176470593</v>
      </c>
      <c r="O61">
        <f>SUMIFS(banco!Q:Q,banco!$C:$C,$B61,banco!$A:$A,$A61)</f>
        <v>954</v>
      </c>
      <c r="P61" s="13">
        <f t="shared" si="6"/>
        <v>6.3074380165289254E-2</v>
      </c>
      <c r="Q61">
        <f>SUMIFS(banco!S:S,banco!$C:$C,$B61,banco!$A:$A,$A61)</f>
        <v>411</v>
      </c>
      <c r="R61" s="13">
        <f t="shared" si="7"/>
        <v>7.5551470588235289E-2</v>
      </c>
      <c r="S61">
        <f>SUMIFS(banco!U:U,banco!$C:$C,$B61,banco!$A:$A,$A61)</f>
        <v>774</v>
      </c>
      <c r="T61" s="13">
        <f t="shared" si="8"/>
        <v>5.1173553719008266E-2</v>
      </c>
      <c r="U61">
        <f>SUMIFS(banco!W:W,banco!$C:$C,$B61,banco!$A:$A,$A61)</f>
        <v>441</v>
      </c>
      <c r="V61" s="13">
        <f t="shared" si="9"/>
        <v>8.1066176470588239E-2</v>
      </c>
      <c r="W61">
        <f>SUMIFS(banco!Y:Y,banco!$C:$C,$B61,banco!$A:$A,$A61)</f>
        <v>1153</v>
      </c>
      <c r="X61" s="13">
        <f t="shared" si="10"/>
        <v>7.6231404958677682E-2</v>
      </c>
      <c r="Y61">
        <f>SUMIFS(banco!AA:AA,banco!$C:$C,$B61,banco!$A:$A,$A61)</f>
        <v>576</v>
      </c>
      <c r="Z61" s="13">
        <f t="shared" si="11"/>
        <v>0.10588235294117647</v>
      </c>
      <c r="AA61">
        <f>SUMIFS(banco!AC:AC,banco!$C:$C,$B61,banco!$A:$A,$A61)</f>
        <v>13198</v>
      </c>
      <c r="AB61" s="13">
        <f t="shared" si="12"/>
        <v>0.87259504132231402</v>
      </c>
      <c r="AC61">
        <f>SUMIFS(banco!AE:AE,banco!$C:$C,$B61,banco!$A:$A,$A61)</f>
        <v>4423</v>
      </c>
      <c r="AD61" s="13">
        <f t="shared" si="13"/>
        <v>0.81305147058823535</v>
      </c>
      <c r="AE61">
        <f>SUMIFS(banco!AG:AG,banco!$C:$C,$B61,banco!$A:$A,$A61)</f>
        <v>425</v>
      </c>
      <c r="AF61" s="13">
        <f t="shared" si="14"/>
        <v>2.809917355371901E-2</v>
      </c>
      <c r="AG61">
        <f>SUMIFS(banco!AI:AI,banco!$C:$C,$B61,banco!$A:$A,$A61)</f>
        <v>305</v>
      </c>
      <c r="AH61" s="13">
        <f t="shared" si="15"/>
        <v>5.6066176470588237E-2</v>
      </c>
      <c r="AI61">
        <f>SUMIFS(banco!AK:AK,banco!$C:$C,$B61,banco!$A:$A,$A61)</f>
        <v>565</v>
      </c>
      <c r="AJ61" s="13">
        <f t="shared" si="16"/>
        <v>3.7355371900826446E-2</v>
      </c>
      <c r="AK61">
        <f>SUMIFS(banco!AM:AM,banco!$C:$C,$B61,banco!$A:$A,$A61)</f>
        <v>299</v>
      </c>
      <c r="AL61" s="13">
        <f t="shared" si="17"/>
        <v>5.4963235294117646E-2</v>
      </c>
      <c r="AM61">
        <f>SUMIFS(banco!AO:AO,banco!$C:$C,$B61,banco!$A:$A,$A61)</f>
        <v>9267</v>
      </c>
      <c r="AN61" s="13">
        <f t="shared" si="18"/>
        <v>0.61269421487603304</v>
      </c>
      <c r="AO61">
        <f>SUMIFS(banco!AQ:AQ,banco!$C:$C,$B61,banco!$A:$A,$A61)</f>
        <v>3069</v>
      </c>
      <c r="AP61" s="13">
        <f t="shared" si="19"/>
        <v>0.56415441176470593</v>
      </c>
      <c r="AQ61">
        <f>SUMIFS(banco!AS:AS,banco!$C:$C,$B61,banco!$A:$A,$A61)</f>
        <v>2749</v>
      </c>
      <c r="AR61" s="13">
        <f t="shared" si="20"/>
        <v>0.18175206611570249</v>
      </c>
      <c r="AS61">
        <f>SUMIFS(banco!AU:AU,banco!$C:$C,$B61,banco!$A:$A,$A61)</f>
        <v>824</v>
      </c>
      <c r="AT61" s="13">
        <f t="shared" si="21"/>
        <v>0.15147058823529411</v>
      </c>
      <c r="AU61">
        <f>SUMIFS(banco!AW:AW,banco!$C:$C,$B61,banco!$A:$A,$A61)</f>
        <v>1260</v>
      </c>
      <c r="AV61" s="13">
        <f t="shared" si="22"/>
        <v>8.3305785123966941E-2</v>
      </c>
      <c r="AW61">
        <f>SUMIFS(banco!AY:AY,banco!$C:$C,$B61,banco!$A:$A,$A61)</f>
        <v>479</v>
      </c>
      <c r="AX61" s="13">
        <f t="shared" si="23"/>
        <v>8.80514705882353E-2</v>
      </c>
      <c r="AY61">
        <f>SUMIFS(banco!BA:BA,banco!$C:$C,$B61,banco!$A:$A,$A61)</f>
        <v>860</v>
      </c>
      <c r="AZ61" s="13">
        <f t="shared" si="24"/>
        <v>5.6859504132231405E-2</v>
      </c>
      <c r="BA61">
        <f>SUMIFS(banco!BC:BC,banco!$C:$C,$B61,banco!$A:$A,$A61)</f>
        <v>465</v>
      </c>
      <c r="BB61" s="13">
        <f t="shared" si="25"/>
        <v>8.547794117647059E-2</v>
      </c>
      <c r="BC61">
        <f>SUMIFS(banco!BE:BE,banco!$C:$C,$B61,banco!$A:$A,$A61)</f>
        <v>15125</v>
      </c>
      <c r="BD61">
        <f>SUMIFS(banco!BF:BF,banco!$C:$C,$B61,banco!$A:$A,$A61)</f>
        <v>5440</v>
      </c>
      <c r="BE61">
        <v>30022</v>
      </c>
    </row>
    <row r="62" spans="1:57" x14ac:dyDescent="0.25">
      <c r="A62" s="24">
        <v>2022</v>
      </c>
      <c r="B62" s="22" t="s">
        <v>150</v>
      </c>
      <c r="C62">
        <f>SUMIFS(banco!E:E,banco!$C:$C,$B62,banco!$A:$A,$A62)</f>
        <v>60</v>
      </c>
      <c r="D62" s="13">
        <f t="shared" si="0"/>
        <v>8.6830680173661367E-3</v>
      </c>
      <c r="E62">
        <f>SUMIFS(banco!G:G,banco!$C:$C,$B62,banco!$A:$A,$A62)</f>
        <v>33</v>
      </c>
      <c r="F62" s="13">
        <f t="shared" si="1"/>
        <v>1.0030395136778116E-2</v>
      </c>
      <c r="G62">
        <f>SUMIFS(banco!I:I,banco!$C:$C,$B62,banco!$A:$A,$A62)</f>
        <v>167</v>
      </c>
      <c r="H62" s="13">
        <f t="shared" si="2"/>
        <v>2.4167872648335746E-2</v>
      </c>
      <c r="I62">
        <f>SUMIFS(banco!K:K,banco!$C:$C,$B62,banco!$A:$A,$A62)</f>
        <v>106</v>
      </c>
      <c r="J62" s="13">
        <f t="shared" si="3"/>
        <v>3.2218844984802431E-2</v>
      </c>
      <c r="K62">
        <f>SUMIFS(banco!M:M,banco!$C:$C,$B62,banco!$A:$A,$A62)</f>
        <v>6279</v>
      </c>
      <c r="L62" s="13">
        <f t="shared" si="4"/>
        <v>0.90868306801736609</v>
      </c>
      <c r="M62">
        <f>SUMIFS(banco!O:O,banco!$C:$C,$B62,banco!$A:$A,$A62)</f>
        <v>2953</v>
      </c>
      <c r="N62" s="13">
        <f t="shared" si="5"/>
        <v>0.89756838905775072</v>
      </c>
      <c r="O62">
        <f>SUMIFS(banco!Q:Q,banco!$C:$C,$B62,banco!$A:$A,$A62)</f>
        <v>404</v>
      </c>
      <c r="P62" s="13">
        <f t="shared" si="6"/>
        <v>5.8465991316931983E-2</v>
      </c>
      <c r="Q62">
        <f>SUMIFS(banco!S:S,banco!$C:$C,$B62,banco!$A:$A,$A62)</f>
        <v>198</v>
      </c>
      <c r="R62" s="13">
        <f t="shared" si="7"/>
        <v>6.0182370820668692E-2</v>
      </c>
      <c r="S62">
        <f>SUMIFS(banco!U:U,banco!$C:$C,$B62,banco!$A:$A,$A62)</f>
        <v>410</v>
      </c>
      <c r="T62" s="13">
        <f t="shared" si="8"/>
        <v>5.9334298118668596E-2</v>
      </c>
      <c r="U62">
        <f>SUMIFS(banco!W:W,banco!$C:$C,$B62,banco!$A:$A,$A62)</f>
        <v>255</v>
      </c>
      <c r="V62" s="13">
        <f t="shared" si="9"/>
        <v>7.7507598784194526E-2</v>
      </c>
      <c r="W62">
        <f>SUMIFS(banco!Y:Y,banco!$C:$C,$B62,banco!$A:$A,$A62)</f>
        <v>566</v>
      </c>
      <c r="X62" s="13">
        <f t="shared" si="10"/>
        <v>8.1910274963820556E-2</v>
      </c>
      <c r="Y62">
        <f>SUMIFS(banco!AA:AA,banco!$C:$C,$B62,banco!$A:$A,$A62)</f>
        <v>322</v>
      </c>
      <c r="Z62" s="13">
        <f t="shared" si="11"/>
        <v>9.7872340425531917E-2</v>
      </c>
      <c r="AA62">
        <f>SUMIFS(banco!AC:AC,banco!$C:$C,$B62,banco!$A:$A,$A62)</f>
        <v>5934</v>
      </c>
      <c r="AB62" s="13">
        <f t="shared" si="12"/>
        <v>0.85875542691751083</v>
      </c>
      <c r="AC62">
        <f>SUMIFS(banco!AE:AE,banco!$C:$C,$B62,banco!$A:$A,$A62)</f>
        <v>2713</v>
      </c>
      <c r="AD62" s="13">
        <f t="shared" si="13"/>
        <v>0.8246200607902735</v>
      </c>
      <c r="AE62">
        <f>SUMIFS(banco!AG:AG,banco!$C:$C,$B62,banco!$A:$A,$A62)</f>
        <v>178</v>
      </c>
      <c r="AF62" s="13">
        <f t="shared" si="14"/>
        <v>2.5759768451519536E-2</v>
      </c>
      <c r="AG62">
        <f>SUMIFS(banco!AI:AI,banco!$C:$C,$B62,banco!$A:$A,$A62)</f>
        <v>144</v>
      </c>
      <c r="AH62" s="13">
        <f t="shared" si="15"/>
        <v>4.376899696048632E-2</v>
      </c>
      <c r="AI62">
        <f>SUMIFS(banco!AK:AK,banco!$C:$C,$B62,banco!$A:$A,$A62)</f>
        <v>221</v>
      </c>
      <c r="AJ62" s="13">
        <f t="shared" si="16"/>
        <v>3.1982633863965271E-2</v>
      </c>
      <c r="AK62">
        <f>SUMIFS(banco!AM:AM,banco!$C:$C,$B62,banco!$A:$A,$A62)</f>
        <v>149</v>
      </c>
      <c r="AL62" s="13">
        <f t="shared" si="17"/>
        <v>4.5288753799392095E-2</v>
      </c>
      <c r="AM62">
        <f>SUMIFS(banco!AO:AO,banco!$C:$C,$B62,banco!$A:$A,$A62)</f>
        <v>4320</v>
      </c>
      <c r="AN62" s="13">
        <f t="shared" si="18"/>
        <v>0.62518089725036174</v>
      </c>
      <c r="AO62">
        <f>SUMIFS(banco!AQ:AQ,banco!$C:$C,$B62,banco!$A:$A,$A62)</f>
        <v>2064</v>
      </c>
      <c r="AP62" s="13">
        <f t="shared" si="19"/>
        <v>0.62735562310030391</v>
      </c>
      <c r="AQ62">
        <f>SUMIFS(banco!AS:AS,banco!$C:$C,$B62,banco!$A:$A,$A62)</f>
        <v>1208</v>
      </c>
      <c r="AR62" s="13">
        <f t="shared" si="20"/>
        <v>0.17481910274963822</v>
      </c>
      <c r="AS62">
        <f>SUMIFS(banco!AU:AU,banco!$C:$C,$B62,banco!$A:$A,$A62)</f>
        <v>472</v>
      </c>
      <c r="AT62" s="13">
        <f t="shared" si="21"/>
        <v>0.14346504559270518</v>
      </c>
      <c r="AU62">
        <f>SUMIFS(banco!AW:AW,banco!$C:$C,$B62,banco!$A:$A,$A62)</f>
        <v>555</v>
      </c>
      <c r="AV62" s="13">
        <f t="shared" si="22"/>
        <v>8.0318379160636763E-2</v>
      </c>
      <c r="AW62">
        <f>SUMIFS(banco!AY:AY,banco!$C:$C,$B62,banco!$A:$A,$A62)</f>
        <v>215</v>
      </c>
      <c r="AX62" s="13">
        <f t="shared" si="23"/>
        <v>6.5349544072948323E-2</v>
      </c>
      <c r="AY62">
        <f>SUMIFS(banco!BA:BA,banco!$C:$C,$B62,banco!$A:$A,$A62)</f>
        <v>429</v>
      </c>
      <c r="AZ62" s="13">
        <f t="shared" si="24"/>
        <v>6.2083936324167872E-2</v>
      </c>
      <c r="BA62">
        <f>SUMIFS(banco!BC:BC,banco!$C:$C,$B62,banco!$A:$A,$A62)</f>
        <v>247</v>
      </c>
      <c r="BB62" s="13">
        <f t="shared" si="25"/>
        <v>7.5075987841945288E-2</v>
      </c>
      <c r="BC62">
        <f>SUMIFS(banco!BE:BE,banco!$C:$C,$B62,banco!$A:$A,$A62)</f>
        <v>6910</v>
      </c>
      <c r="BD62">
        <f>SUMIFS(banco!BF:BF,banco!$C:$C,$B62,banco!$A:$A,$A62)</f>
        <v>3290</v>
      </c>
      <c r="BE62">
        <v>12024</v>
      </c>
    </row>
    <row r="63" spans="1:57" x14ac:dyDescent="0.25">
      <c r="A63" s="24">
        <v>2022</v>
      </c>
      <c r="B63" s="22" t="s">
        <v>146</v>
      </c>
      <c r="C63">
        <f>SUMIFS(banco!E:E,banco!$C:$C,$B63,banco!$A:$A,$A63)</f>
        <v>81</v>
      </c>
      <c r="D63" s="13">
        <f t="shared" si="0"/>
        <v>1.1574735638753929E-2</v>
      </c>
      <c r="E63">
        <f>SUMIFS(banco!G:G,banco!$C:$C,$B63,banco!$A:$A,$A63)</f>
        <v>69</v>
      </c>
      <c r="F63" s="13">
        <f t="shared" si="1"/>
        <v>1.9568916619398753E-2</v>
      </c>
      <c r="G63">
        <f>SUMIFS(banco!I:I,banco!$C:$C,$B63,banco!$A:$A,$A63)</f>
        <v>364</v>
      </c>
      <c r="H63" s="13">
        <f t="shared" si="2"/>
        <v>5.2014861388968277E-2</v>
      </c>
      <c r="I63">
        <f>SUMIFS(banco!K:K,banco!$C:$C,$B63,banco!$A:$A,$A63)</f>
        <v>301</v>
      </c>
      <c r="J63" s="13">
        <f t="shared" si="3"/>
        <v>8.5365853658536592E-2</v>
      </c>
      <c r="K63">
        <f>SUMIFS(banco!M:M,banco!$C:$C,$B63,banco!$A:$A,$A63)</f>
        <v>6060</v>
      </c>
      <c r="L63" s="13">
        <f t="shared" si="4"/>
        <v>0.86596170334381251</v>
      </c>
      <c r="M63">
        <f>SUMIFS(banco!O:O,banco!$C:$C,$B63,banco!$A:$A,$A63)</f>
        <v>2932</v>
      </c>
      <c r="N63" s="13">
        <f t="shared" si="5"/>
        <v>0.83153715258082816</v>
      </c>
      <c r="O63">
        <f>SUMIFS(banco!Q:Q,banco!$C:$C,$B63,banco!$A:$A,$A63)</f>
        <v>493</v>
      </c>
      <c r="P63" s="13">
        <f t="shared" si="6"/>
        <v>7.0448699628465269E-2</v>
      </c>
      <c r="Q63">
        <f>SUMIFS(banco!S:S,banco!$C:$C,$B63,banco!$A:$A,$A63)</f>
        <v>224</v>
      </c>
      <c r="R63" s="13">
        <f t="shared" si="7"/>
        <v>6.3528077141236525E-2</v>
      </c>
      <c r="S63">
        <f>SUMIFS(banco!U:U,banco!$C:$C,$B63,banco!$A:$A,$A63)</f>
        <v>424</v>
      </c>
      <c r="T63" s="13">
        <f t="shared" si="8"/>
        <v>6.058873963989711E-2</v>
      </c>
      <c r="U63">
        <f>SUMIFS(banco!W:W,banco!$C:$C,$B63,banco!$A:$A,$A63)</f>
        <v>323</v>
      </c>
      <c r="V63" s="13">
        <f t="shared" si="9"/>
        <v>9.1605218377765169E-2</v>
      </c>
      <c r="W63">
        <f>SUMIFS(banco!Y:Y,banco!$C:$C,$B63,banco!$A:$A,$A63)</f>
        <v>742</v>
      </c>
      <c r="X63" s="13">
        <f t="shared" si="10"/>
        <v>0.10603029436981995</v>
      </c>
      <c r="Y63">
        <f>SUMIFS(banco!AA:AA,banco!$C:$C,$B63,banco!$A:$A,$A63)</f>
        <v>563</v>
      </c>
      <c r="Z63" s="13">
        <f t="shared" si="11"/>
        <v>0.15967101531480432</v>
      </c>
      <c r="AA63">
        <f>SUMIFS(banco!AC:AC,banco!$C:$C,$B63,banco!$A:$A,$A63)</f>
        <v>5832</v>
      </c>
      <c r="AB63" s="13">
        <f t="shared" si="12"/>
        <v>0.83338096599028288</v>
      </c>
      <c r="AC63">
        <f>SUMIFS(banco!AE:AE,banco!$C:$C,$B63,banco!$A:$A,$A63)</f>
        <v>2640</v>
      </c>
      <c r="AD63" s="13">
        <f t="shared" si="13"/>
        <v>0.74872376630743054</v>
      </c>
      <c r="AE63">
        <f>SUMIFS(banco!AG:AG,banco!$C:$C,$B63,banco!$A:$A,$A63)</f>
        <v>211</v>
      </c>
      <c r="AF63" s="13">
        <f t="shared" si="14"/>
        <v>3.0151471849099745E-2</v>
      </c>
      <c r="AG63">
        <f>SUMIFS(banco!AI:AI,banco!$C:$C,$B63,banco!$A:$A,$A63)</f>
        <v>147</v>
      </c>
      <c r="AH63" s="13">
        <f t="shared" si="15"/>
        <v>4.1690300623936472E-2</v>
      </c>
      <c r="AI63">
        <f>SUMIFS(banco!AK:AK,banco!$C:$C,$B63,banco!$A:$A,$A63)</f>
        <v>228</v>
      </c>
      <c r="AJ63" s="13">
        <f t="shared" si="16"/>
        <v>3.2580737353529579E-2</v>
      </c>
      <c r="AK63">
        <f>SUMIFS(banco!AM:AM,banco!$C:$C,$B63,banco!$A:$A,$A63)</f>
        <v>125</v>
      </c>
      <c r="AL63" s="13">
        <f t="shared" si="17"/>
        <v>3.5450935904707881E-2</v>
      </c>
      <c r="AM63">
        <f>SUMIFS(banco!AO:AO,banco!$C:$C,$B63,banco!$A:$A,$A63)</f>
        <v>4488</v>
      </c>
      <c r="AN63" s="13">
        <f t="shared" si="18"/>
        <v>0.64132609316947697</v>
      </c>
      <c r="AO63">
        <f>SUMIFS(banco!AQ:AQ,banco!$C:$C,$B63,banco!$A:$A,$A63)</f>
        <v>2404</v>
      </c>
      <c r="AP63" s="13">
        <f t="shared" si="19"/>
        <v>0.68179239931934199</v>
      </c>
      <c r="AQ63">
        <f>SUMIFS(banco!AS:AS,banco!$C:$C,$B63,banco!$A:$A,$A63)</f>
        <v>1171</v>
      </c>
      <c r="AR63" s="13">
        <f t="shared" si="20"/>
        <v>0.16733352386396114</v>
      </c>
      <c r="AS63">
        <f>SUMIFS(banco!AU:AU,banco!$C:$C,$B63,banco!$A:$A,$A63)</f>
        <v>455</v>
      </c>
      <c r="AT63" s="13">
        <f t="shared" si="21"/>
        <v>0.12904140669313671</v>
      </c>
      <c r="AU63">
        <f>SUMIFS(banco!AW:AW,banco!$C:$C,$B63,banco!$A:$A,$A63)</f>
        <v>561</v>
      </c>
      <c r="AV63" s="13">
        <f t="shared" si="22"/>
        <v>8.0165761646184622E-2</v>
      </c>
      <c r="AW63">
        <f>SUMIFS(banco!AY:AY,banco!$C:$C,$B63,banco!$A:$A,$A63)</f>
        <v>208</v>
      </c>
      <c r="AX63" s="13">
        <f t="shared" si="23"/>
        <v>5.8990357345433918E-2</v>
      </c>
      <c r="AY63">
        <f>SUMIFS(banco!BA:BA,banco!$C:$C,$B63,banco!$A:$A,$A63)</f>
        <v>339</v>
      </c>
      <c r="AZ63" s="13">
        <f t="shared" si="24"/>
        <v>4.8442412117747927E-2</v>
      </c>
      <c r="BA63">
        <f>SUMIFS(banco!BC:BC,banco!$C:$C,$B63,banco!$A:$A,$A63)</f>
        <v>187</v>
      </c>
      <c r="BB63" s="13">
        <f t="shared" si="25"/>
        <v>5.3034600113442992E-2</v>
      </c>
      <c r="BC63">
        <f>SUMIFS(banco!BE:BE,banco!$C:$C,$B63,banco!$A:$A,$A63)</f>
        <v>6998</v>
      </c>
      <c r="BD63">
        <f>SUMIFS(banco!BF:BF,banco!$C:$C,$B63,banco!$A:$A,$A63)</f>
        <v>3526</v>
      </c>
      <c r="BE63">
        <v>13074</v>
      </c>
    </row>
    <row r="64" spans="1:57" x14ac:dyDescent="0.25">
      <c r="A64" s="24">
        <v>2022</v>
      </c>
      <c r="B64" s="22" t="s">
        <v>149</v>
      </c>
      <c r="C64">
        <f>SUMIFS(banco!E:E,banco!$C:$C,$B64,banco!$A:$A,$A64)</f>
        <v>154</v>
      </c>
      <c r="D64" s="13">
        <f t="shared" si="0"/>
        <v>1.1022044088176353E-2</v>
      </c>
      <c r="E64">
        <f>SUMIFS(banco!G:G,banco!$C:$C,$B64,banco!$A:$A,$A64)</f>
        <v>74</v>
      </c>
      <c r="F64" s="13">
        <f t="shared" si="1"/>
        <v>9.9435635581832833E-3</v>
      </c>
      <c r="G64">
        <f>SUMIFS(banco!I:I,banco!$C:$C,$B64,banco!$A:$A,$A64)</f>
        <v>350</v>
      </c>
      <c r="H64" s="13">
        <f t="shared" si="2"/>
        <v>2.5050100200400802E-2</v>
      </c>
      <c r="I64">
        <f>SUMIFS(banco!K:K,banco!$C:$C,$B64,banco!$A:$A,$A64)</f>
        <v>182</v>
      </c>
      <c r="J64" s="13">
        <f t="shared" si="3"/>
        <v>2.445579145391024E-2</v>
      </c>
      <c r="K64">
        <f>SUMIFS(banco!M:M,banco!$C:$C,$B64,banco!$A:$A,$A64)</f>
        <v>12828</v>
      </c>
      <c r="L64" s="13">
        <f t="shared" si="4"/>
        <v>0.9181219582021185</v>
      </c>
      <c r="M64">
        <f>SUMIFS(banco!O:O,banco!$C:$C,$B64,banco!$A:$A,$A64)</f>
        <v>6952</v>
      </c>
      <c r="N64" s="13">
        <f t="shared" si="5"/>
        <v>0.93415748454716474</v>
      </c>
      <c r="O64">
        <f>SUMIFS(banco!Q:Q,banco!$C:$C,$B64,banco!$A:$A,$A64)</f>
        <v>640</v>
      </c>
      <c r="P64" s="13">
        <f t="shared" si="6"/>
        <v>4.5805897509304326E-2</v>
      </c>
      <c r="Q64">
        <f>SUMIFS(banco!S:S,banco!$C:$C,$B64,banco!$A:$A,$A64)</f>
        <v>234</v>
      </c>
      <c r="R64" s="13">
        <f t="shared" si="7"/>
        <v>3.1443160440741739E-2</v>
      </c>
      <c r="S64">
        <f>SUMIFS(banco!U:U,banco!$C:$C,$B64,banco!$A:$A,$A64)</f>
        <v>523</v>
      </c>
      <c r="T64" s="13">
        <f t="shared" si="8"/>
        <v>3.7432006870884625E-2</v>
      </c>
      <c r="U64">
        <f>SUMIFS(banco!W:W,banco!$C:$C,$B64,banco!$A:$A,$A64)</f>
        <v>262</v>
      </c>
      <c r="V64" s="13">
        <f t="shared" si="9"/>
        <v>3.5205589895189467E-2</v>
      </c>
      <c r="W64">
        <f>SUMIFS(banco!Y:Y,banco!$C:$C,$B64,banco!$A:$A,$A64)</f>
        <v>880</v>
      </c>
      <c r="X64" s="13">
        <f t="shared" si="10"/>
        <v>6.2983109075293447E-2</v>
      </c>
      <c r="Y64">
        <f>SUMIFS(banco!AA:AA,banco!$C:$C,$B64,banco!$A:$A,$A64)</f>
        <v>431</v>
      </c>
      <c r="Z64" s="13">
        <f t="shared" si="11"/>
        <v>5.7914539102391832E-2</v>
      </c>
      <c r="AA64">
        <f>SUMIFS(banco!AC:AC,banco!$C:$C,$B64,banco!$A:$A,$A64)</f>
        <v>12568</v>
      </c>
      <c r="AB64" s="13">
        <f t="shared" si="12"/>
        <v>0.89951331233896359</v>
      </c>
      <c r="AC64">
        <f>SUMIFS(banco!AE:AE,banco!$C:$C,$B64,banco!$A:$A,$A64)</f>
        <v>6748</v>
      </c>
      <c r="AD64" s="13">
        <f t="shared" si="13"/>
        <v>0.90674549852190267</v>
      </c>
      <c r="AE64">
        <f>SUMIFS(banco!AG:AG,banco!$C:$C,$B64,banco!$A:$A,$A64)</f>
        <v>401</v>
      </c>
      <c r="AF64" s="13">
        <f t="shared" si="14"/>
        <v>2.8700257658173491E-2</v>
      </c>
      <c r="AG64">
        <f>SUMIFS(banco!AI:AI,banco!$C:$C,$B64,banco!$A:$A,$A64)</f>
        <v>269</v>
      </c>
      <c r="AH64" s="13">
        <f t="shared" si="15"/>
        <v>3.6146197258801395E-2</v>
      </c>
      <c r="AI64">
        <f>SUMIFS(banco!AK:AK,banco!$C:$C,$B64,banco!$A:$A,$A64)</f>
        <v>519</v>
      </c>
      <c r="AJ64" s="13">
        <f t="shared" si="16"/>
        <v>3.7145720011451472E-2</v>
      </c>
      <c r="AK64">
        <f>SUMIFS(banco!AM:AM,banco!$C:$C,$B64,banco!$A:$A,$A64)</f>
        <v>352</v>
      </c>
      <c r="AL64" s="13">
        <f t="shared" si="17"/>
        <v>4.7299113141628595E-2</v>
      </c>
      <c r="AM64">
        <f>SUMIFS(banco!AO:AO,banco!$C:$C,$B64,banco!$A:$A,$A64)</f>
        <v>9753</v>
      </c>
      <c r="AN64" s="13">
        <f t="shared" si="18"/>
        <v>0.69803893501288294</v>
      </c>
      <c r="AO64">
        <f>SUMIFS(banco!AQ:AQ,banco!$C:$C,$B64,banco!$A:$A,$A64)</f>
        <v>5687</v>
      </c>
      <c r="AP64" s="13">
        <f t="shared" si="19"/>
        <v>0.76417629669443699</v>
      </c>
      <c r="AQ64">
        <f>SUMIFS(banco!AS:AS,banco!$C:$C,$B64,banco!$A:$A,$A64)</f>
        <v>1950</v>
      </c>
      <c r="AR64" s="13">
        <f t="shared" si="20"/>
        <v>0.13956484397366162</v>
      </c>
      <c r="AS64">
        <f>SUMIFS(banco!AU:AU,banco!$C:$C,$B64,banco!$A:$A,$A64)</f>
        <v>648</v>
      </c>
      <c r="AT64" s="13">
        <f t="shared" si="21"/>
        <v>8.7073367374361735E-2</v>
      </c>
      <c r="AU64">
        <f>SUMIFS(banco!AW:AW,banco!$C:$C,$B64,banco!$A:$A,$A64)</f>
        <v>840</v>
      </c>
      <c r="AV64" s="13">
        <f t="shared" si="22"/>
        <v>6.0120240480961921E-2</v>
      </c>
      <c r="AW64">
        <f>SUMIFS(banco!AY:AY,banco!$C:$C,$B64,banco!$A:$A,$A64)</f>
        <v>256</v>
      </c>
      <c r="AX64" s="13">
        <f t="shared" si="23"/>
        <v>3.439935501209352E-2</v>
      </c>
      <c r="AY64">
        <f>SUMIFS(banco!BA:BA,banco!$C:$C,$B64,banco!$A:$A,$A64)</f>
        <v>509</v>
      </c>
      <c r="AZ64" s="13">
        <f t="shared" si="24"/>
        <v>3.6430002862868592E-2</v>
      </c>
      <c r="BA64">
        <f>SUMIFS(banco!BC:BC,banco!$C:$C,$B64,banco!$A:$A,$A64)</f>
        <v>230</v>
      </c>
      <c r="BB64" s="13">
        <f t="shared" si="25"/>
        <v>3.0905670518677774E-2</v>
      </c>
      <c r="BC64">
        <f>SUMIFS(banco!BE:BE,banco!$C:$C,$B64,banco!$A:$A,$A64)</f>
        <v>13972</v>
      </c>
      <c r="BD64">
        <f>SUMIFS(banco!BF:BF,banco!$C:$C,$B64,banco!$A:$A,$A64)</f>
        <v>7442</v>
      </c>
      <c r="BE64">
        <v>23176</v>
      </c>
    </row>
    <row r="65" spans="1:57" x14ac:dyDescent="0.25">
      <c r="A65" s="24">
        <v>2022</v>
      </c>
      <c r="B65" s="22" t="s">
        <v>147</v>
      </c>
      <c r="C65">
        <f>SUMIFS(banco!E:E,banco!$C:$C,$B65,banco!$A:$A,$A65)</f>
        <v>39</v>
      </c>
      <c r="D65" s="13">
        <f t="shared" si="0"/>
        <v>7.3947667804323096E-3</v>
      </c>
      <c r="E65">
        <f>SUMIFS(banco!G:G,banco!$C:$C,$B65,banco!$A:$A,$A65)</f>
        <v>25</v>
      </c>
      <c r="F65" s="13">
        <f t="shared" si="1"/>
        <v>8.5411684318414758E-3</v>
      </c>
      <c r="G65">
        <f>SUMIFS(banco!I:I,banco!$C:$C,$B65,banco!$A:$A,$A65)</f>
        <v>172</v>
      </c>
      <c r="H65" s="13">
        <f t="shared" si="2"/>
        <v>3.2612817595752748E-2</v>
      </c>
      <c r="I65">
        <f>SUMIFS(banco!K:K,banco!$C:$C,$B65,banco!$A:$A,$A65)</f>
        <v>95</v>
      </c>
      <c r="J65" s="13">
        <f t="shared" si="3"/>
        <v>3.2456440040997611E-2</v>
      </c>
      <c r="K65">
        <f>SUMIFS(banco!M:M,banco!$C:$C,$B65,banco!$A:$A,$A65)</f>
        <v>4789</v>
      </c>
      <c r="L65" s="13">
        <f t="shared" si="4"/>
        <v>0.90803943875616233</v>
      </c>
      <c r="M65">
        <f>SUMIFS(banco!O:O,banco!$C:$C,$B65,banco!$A:$A,$A65)</f>
        <v>2646</v>
      </c>
      <c r="N65" s="13">
        <f t="shared" si="5"/>
        <v>0.90399726682610182</v>
      </c>
      <c r="O65">
        <f>SUMIFS(banco!Q:Q,banco!$C:$C,$B65,banco!$A:$A,$A65)</f>
        <v>274</v>
      </c>
      <c r="P65" s="13">
        <f t="shared" si="6"/>
        <v>5.1952976867652635E-2</v>
      </c>
      <c r="Q65">
        <f>SUMIFS(banco!S:S,banco!$C:$C,$B65,banco!$A:$A,$A65)</f>
        <v>161</v>
      </c>
      <c r="R65" s="13">
        <f t="shared" si="7"/>
        <v>5.5005124701059102E-2</v>
      </c>
      <c r="S65">
        <f>SUMIFS(banco!U:U,banco!$C:$C,$B65,banco!$A:$A,$A65)</f>
        <v>301</v>
      </c>
      <c r="T65" s="13">
        <f t="shared" si="8"/>
        <v>5.7072430792567311E-2</v>
      </c>
      <c r="U65">
        <f>SUMIFS(banco!W:W,banco!$C:$C,$B65,banco!$A:$A,$A65)</f>
        <v>219</v>
      </c>
      <c r="V65" s="13">
        <f t="shared" si="9"/>
        <v>7.4820635462931329E-2</v>
      </c>
      <c r="W65">
        <f>SUMIFS(banco!Y:Y,banco!$C:$C,$B65,banco!$A:$A,$A65)</f>
        <v>439</v>
      </c>
      <c r="X65" s="13">
        <f t="shared" si="10"/>
        <v>8.3238528631020103E-2</v>
      </c>
      <c r="Y65">
        <f>SUMIFS(banco!AA:AA,banco!$C:$C,$B65,banco!$A:$A,$A65)</f>
        <v>256</v>
      </c>
      <c r="Z65" s="13">
        <f t="shared" si="11"/>
        <v>8.7461564742056713E-2</v>
      </c>
      <c r="AA65">
        <f>SUMIFS(banco!AC:AC,banco!$C:$C,$B65,banco!$A:$A,$A65)</f>
        <v>4534</v>
      </c>
      <c r="AB65" s="13">
        <f t="shared" si="12"/>
        <v>0.8596890405764126</v>
      </c>
      <c r="AC65">
        <f>SUMIFS(banco!AE:AE,banco!$C:$C,$B65,banco!$A:$A,$A65)</f>
        <v>2452</v>
      </c>
      <c r="AD65" s="13">
        <f t="shared" si="13"/>
        <v>0.83771779979501193</v>
      </c>
      <c r="AE65">
        <f>SUMIFS(banco!AG:AG,banco!$C:$C,$B65,banco!$A:$A,$A65)</f>
        <v>178</v>
      </c>
      <c r="AF65" s="13">
        <f t="shared" si="14"/>
        <v>3.3750474023511563E-2</v>
      </c>
      <c r="AG65">
        <f>SUMIFS(banco!AI:AI,banco!$C:$C,$B65,banco!$A:$A,$A65)</f>
        <v>133</v>
      </c>
      <c r="AH65" s="13">
        <f t="shared" si="15"/>
        <v>4.5439016057396649E-2</v>
      </c>
      <c r="AI65">
        <f>SUMIFS(banco!AK:AK,banco!$C:$C,$B65,banco!$A:$A,$A65)</f>
        <v>226</v>
      </c>
      <c r="AJ65" s="13">
        <f t="shared" si="16"/>
        <v>4.2851725445582099E-2</v>
      </c>
      <c r="AK65">
        <f>SUMIFS(banco!AM:AM,banco!$C:$C,$B65,banco!$A:$A,$A65)</f>
        <v>150</v>
      </c>
      <c r="AL65" s="13">
        <f t="shared" si="17"/>
        <v>5.1247010591048858E-2</v>
      </c>
      <c r="AM65">
        <f>SUMIFS(banco!AO:AO,banco!$C:$C,$B65,banco!$A:$A,$A65)</f>
        <v>3375</v>
      </c>
      <c r="AN65" s="13">
        <f t="shared" si="18"/>
        <v>0.63993174061433444</v>
      </c>
      <c r="AO65">
        <f>SUMIFS(banco!AQ:AQ,banco!$C:$C,$B65,banco!$A:$A,$A65)</f>
        <v>1844</v>
      </c>
      <c r="AP65" s="13">
        <f t="shared" si="19"/>
        <v>0.62999658353262722</v>
      </c>
      <c r="AQ65">
        <f>SUMIFS(banco!AS:AS,banco!$C:$C,$B65,banco!$A:$A,$A65)</f>
        <v>832</v>
      </c>
      <c r="AR65" s="13">
        <f t="shared" si="20"/>
        <v>0.15775502464922261</v>
      </c>
      <c r="AS65">
        <f>SUMIFS(banco!AU:AU,banco!$C:$C,$B65,banco!$A:$A,$A65)</f>
        <v>391</v>
      </c>
      <c r="AT65" s="13">
        <f t="shared" si="21"/>
        <v>0.13358387427400067</v>
      </c>
      <c r="AU65">
        <f>SUMIFS(banco!AW:AW,banco!$C:$C,$B65,banco!$A:$A,$A65)</f>
        <v>367</v>
      </c>
      <c r="AV65" s="13">
        <f t="shared" si="22"/>
        <v>6.9586651497914292E-2</v>
      </c>
      <c r="AW65">
        <f>SUMIFS(banco!AY:AY,banco!$C:$C,$B65,banco!$A:$A,$A65)</f>
        <v>205</v>
      </c>
      <c r="AX65" s="13">
        <f t="shared" si="23"/>
        <v>7.0037581141100105E-2</v>
      </c>
      <c r="AY65">
        <f>SUMIFS(banco!BA:BA,banco!$C:$C,$B65,banco!$A:$A,$A65)</f>
        <v>296</v>
      </c>
      <c r="AZ65" s="13">
        <f t="shared" si="24"/>
        <v>5.6124383769434967E-2</v>
      </c>
      <c r="BA65">
        <f>SUMIFS(banco!BC:BC,banco!$C:$C,$B65,banco!$A:$A,$A65)</f>
        <v>204</v>
      </c>
      <c r="BB65" s="13">
        <f t="shared" si="25"/>
        <v>6.9695934403826446E-2</v>
      </c>
      <c r="BC65">
        <f>SUMIFS(banco!BE:BE,banco!$C:$C,$B65,banco!$A:$A,$A65)</f>
        <v>5274</v>
      </c>
      <c r="BD65">
        <f>SUMIFS(banco!BF:BF,banco!$C:$C,$B65,banco!$A:$A,$A65)</f>
        <v>2927</v>
      </c>
      <c r="BE65">
        <v>6926</v>
      </c>
    </row>
    <row r="66" spans="1:57" x14ac:dyDescent="0.25">
      <c r="A66" s="24">
        <v>2023</v>
      </c>
      <c r="B66" s="22" t="s">
        <v>151</v>
      </c>
      <c r="C66">
        <f>SUMIFS(banco!E:E,banco!$C:$C,$B66,banco!$A:$A,$A66)</f>
        <v>51</v>
      </c>
      <c r="D66" s="13">
        <f t="shared" si="0"/>
        <v>7.1308724832214766E-3</v>
      </c>
      <c r="E66">
        <f>SUMIFS(banco!G:G,banco!$C:$C,$B66,banco!$A:$A,$A66)</f>
        <v>34</v>
      </c>
      <c r="F66" s="13">
        <f t="shared" si="1"/>
        <v>9.4130675526024367E-3</v>
      </c>
      <c r="G66">
        <f>SUMIFS(banco!I:I,banco!$C:$C,$B66,banco!$A:$A,$A66)</f>
        <v>205</v>
      </c>
      <c r="H66" s="13">
        <f t="shared" si="2"/>
        <v>2.8663310961968679E-2</v>
      </c>
      <c r="I66">
        <f>SUMIFS(banco!K:K,banco!$C:$C,$B66,banco!$A:$A,$A66)</f>
        <v>125</v>
      </c>
      <c r="J66" s="13">
        <f t="shared" si="3"/>
        <v>3.4606866002214839E-2</v>
      </c>
      <c r="K66">
        <f>SUMIFS(banco!M:M,banco!$C:$C,$B66,banco!$A:$A,$A66)</f>
        <v>6576</v>
      </c>
      <c r="L66" s="13">
        <f t="shared" si="4"/>
        <v>0.91946308724832215</v>
      </c>
      <c r="M66">
        <f>SUMIFS(banco!O:O,banco!$C:$C,$B66,banco!$A:$A,$A66)</f>
        <v>3306</v>
      </c>
      <c r="N66" s="13">
        <f t="shared" si="5"/>
        <v>0.91528239202657802</v>
      </c>
      <c r="O66">
        <f>SUMIFS(banco!Q:Q,banco!$C:$C,$B66,banco!$A:$A,$A66)</f>
        <v>320</v>
      </c>
      <c r="P66" s="13">
        <f t="shared" si="6"/>
        <v>4.4742729306487698E-2</v>
      </c>
      <c r="Q66">
        <f>SUMIFS(banco!S:S,banco!$C:$C,$B66,banco!$A:$A,$A66)</f>
        <v>147</v>
      </c>
      <c r="R66" s="13">
        <f t="shared" si="7"/>
        <v>4.0697674418604654E-2</v>
      </c>
      <c r="S66">
        <f>SUMIFS(banco!U:U,banco!$C:$C,$B66,banco!$A:$A,$A66)</f>
        <v>337</v>
      </c>
      <c r="T66" s="13">
        <f t="shared" si="8"/>
        <v>4.7119686800894851E-2</v>
      </c>
      <c r="U66">
        <f>SUMIFS(banco!W:W,banco!$C:$C,$B66,banco!$A:$A,$A66)</f>
        <v>244</v>
      </c>
      <c r="V66" s="13">
        <f t="shared" si="9"/>
        <v>6.755260243632337E-2</v>
      </c>
      <c r="W66">
        <f>SUMIFS(banco!Y:Y,banco!$C:$C,$B66,banco!$A:$A,$A66)</f>
        <v>565</v>
      </c>
      <c r="X66" s="13">
        <f t="shared" si="10"/>
        <v>7.8998881431767337E-2</v>
      </c>
      <c r="Y66">
        <f>SUMIFS(banco!AA:AA,banco!$C:$C,$B66,banco!$A:$A,$A66)</f>
        <v>349</v>
      </c>
      <c r="Z66" s="13">
        <f t="shared" si="11"/>
        <v>9.6622369878183831E-2</v>
      </c>
      <c r="AA66">
        <f>SUMIFS(banco!AC:AC,banco!$C:$C,$B66,banco!$A:$A,$A66)</f>
        <v>6250</v>
      </c>
      <c r="AB66" s="13">
        <f t="shared" si="12"/>
        <v>0.87388143176733779</v>
      </c>
      <c r="AC66">
        <f>SUMIFS(banco!AE:AE,banco!$C:$C,$B66,banco!$A:$A,$A66)</f>
        <v>3019</v>
      </c>
      <c r="AD66" s="13">
        <f t="shared" si="13"/>
        <v>0.83582502768549283</v>
      </c>
      <c r="AE66">
        <f>SUMIFS(banco!AG:AG,banco!$C:$C,$B66,banco!$A:$A,$A66)</f>
        <v>142</v>
      </c>
      <c r="AF66" s="13">
        <f t="shared" si="14"/>
        <v>1.9854586129753916E-2</v>
      </c>
      <c r="AG66">
        <f>SUMIFS(banco!AI:AI,banco!$C:$C,$B66,banco!$A:$A,$A66)</f>
        <v>129</v>
      </c>
      <c r="AH66" s="13">
        <f t="shared" si="15"/>
        <v>3.5714285714285712E-2</v>
      </c>
      <c r="AI66">
        <f>SUMIFS(banco!AK:AK,banco!$C:$C,$B66,banco!$A:$A,$A66)</f>
        <v>253</v>
      </c>
      <c r="AJ66" s="13">
        <f t="shared" si="16"/>
        <v>3.5374720357941834E-2</v>
      </c>
      <c r="AK66">
        <f>SUMIFS(banco!AM:AM,banco!$C:$C,$B66,banco!$A:$A,$A66)</f>
        <v>197</v>
      </c>
      <c r="AL66" s="13">
        <f t="shared" si="17"/>
        <v>5.4540420819490586E-2</v>
      </c>
      <c r="AM66">
        <f>SUMIFS(banco!AO:AO,banco!$C:$C,$B66,banco!$A:$A,$A66)</f>
        <v>4761</v>
      </c>
      <c r="AN66" s="13">
        <f t="shared" si="18"/>
        <v>0.66568791946308725</v>
      </c>
      <c r="AO66">
        <f>SUMIFS(banco!AQ:AQ,banco!$C:$C,$B66,banco!$A:$A,$A66)</f>
        <v>2404</v>
      </c>
      <c r="AP66" s="13">
        <f t="shared" si="19"/>
        <v>0.66555924695459578</v>
      </c>
      <c r="AQ66">
        <f>SUMIFS(banco!AS:AS,banco!$C:$C,$B66,banco!$A:$A,$A66)</f>
        <v>1207</v>
      </c>
      <c r="AR66" s="13">
        <f t="shared" si="20"/>
        <v>0.16876398210290827</v>
      </c>
      <c r="AS66">
        <f>SUMIFS(banco!AU:AU,banco!$C:$C,$B66,banco!$A:$A,$A66)</f>
        <v>492</v>
      </c>
      <c r="AT66" s="13">
        <f t="shared" si="21"/>
        <v>0.13621262458471761</v>
      </c>
      <c r="AU66">
        <f>SUMIFS(banco!AW:AW,banco!$C:$C,$B66,banco!$A:$A,$A66)</f>
        <v>483</v>
      </c>
      <c r="AV66" s="13">
        <f t="shared" si="22"/>
        <v>6.7533557046979872E-2</v>
      </c>
      <c r="AW66">
        <f>SUMIFS(banco!AY:AY,banco!$C:$C,$B66,banco!$A:$A,$A66)</f>
        <v>189</v>
      </c>
      <c r="AX66" s="13">
        <f t="shared" si="23"/>
        <v>5.232558139534884E-2</v>
      </c>
      <c r="AY66">
        <f>SUMIFS(banco!BA:BA,banco!$C:$C,$B66,banco!$A:$A,$A66)</f>
        <v>306</v>
      </c>
      <c r="AZ66" s="13">
        <f t="shared" si="24"/>
        <v>4.278523489932886E-2</v>
      </c>
      <c r="BA66">
        <f>SUMIFS(banco!BC:BC,banco!$C:$C,$B66,banco!$A:$A,$A66)</f>
        <v>201</v>
      </c>
      <c r="BB66" s="13">
        <f t="shared" si="25"/>
        <v>5.5647840531561459E-2</v>
      </c>
      <c r="BC66">
        <f>SUMIFS(banco!BE:BE,banco!$C:$C,$B66,banco!$A:$A,$A66)</f>
        <v>7152</v>
      </c>
      <c r="BD66">
        <f>SUMIFS(banco!BF:BF,banco!$C:$C,$B66,banco!$A:$A,$A66)</f>
        <v>3612</v>
      </c>
      <c r="BE66">
        <v>9855</v>
      </c>
    </row>
    <row r="67" spans="1:57" x14ac:dyDescent="0.25">
      <c r="A67" s="24">
        <v>2023</v>
      </c>
      <c r="B67" s="22" t="s">
        <v>145</v>
      </c>
      <c r="C67">
        <f>SUMIFS(banco!E:E,banco!$C:$C,$B67,banco!$A:$A,$A67)</f>
        <v>115</v>
      </c>
      <c r="D67" s="13">
        <f t="shared" ref="D67:D81" si="26">IFERROR(C67/$BC67,0)</f>
        <v>8.9843749999999993E-3</v>
      </c>
      <c r="E67">
        <f>SUMIFS(banco!G:G,banco!$C:$C,$B67,banco!$A:$A,$A67)</f>
        <v>98</v>
      </c>
      <c r="F67" s="13">
        <f t="shared" ref="F67:F81" si="27">IFERROR(E67/$BD67,0)</f>
        <v>1.2109230198937353E-2</v>
      </c>
      <c r="G67">
        <f>SUMIFS(banco!I:I,banco!$C:$C,$B67,banco!$A:$A,$A67)</f>
        <v>469</v>
      </c>
      <c r="H67" s="13">
        <f t="shared" ref="H67:H81" si="28">IFERROR(G67/$BC67,0)</f>
        <v>3.6640625000000003E-2</v>
      </c>
      <c r="I67">
        <f>SUMIFS(banco!K:K,banco!$C:$C,$B67,banco!$A:$A,$A67)</f>
        <v>336</v>
      </c>
      <c r="J67" s="13">
        <f t="shared" ref="J67:J81" si="29">IFERROR(I67/$BD67,0)</f>
        <v>4.1517360682070924E-2</v>
      </c>
      <c r="K67">
        <f>SUMIFS(banco!M:M,banco!$C:$C,$B67,banco!$A:$A,$A67)</f>
        <v>11661</v>
      </c>
      <c r="L67" s="13">
        <f t="shared" ref="L67:L81" si="30">IFERROR(K67/$BC67,0)</f>
        <v>0.911015625</v>
      </c>
      <c r="M67">
        <f>SUMIFS(banco!O:O,banco!$C:$C,$B67,banco!$A:$A,$A67)</f>
        <v>7291</v>
      </c>
      <c r="N67" s="13">
        <f t="shared" ref="N67:N81" si="31">IFERROR(M67/$BD67,0)</f>
        <v>0.90090201408624737</v>
      </c>
      <c r="O67">
        <f>SUMIFS(banco!Q:Q,banco!$C:$C,$B67,banco!$A:$A,$A67)</f>
        <v>555</v>
      </c>
      <c r="P67" s="13">
        <f t="shared" ref="P67:P81" si="32">IFERROR(O67/$BC67,0)</f>
        <v>4.3359374999999999E-2</v>
      </c>
      <c r="Q67">
        <f>SUMIFS(banco!S:S,banco!$C:$C,$B67,banco!$A:$A,$A67)</f>
        <v>368</v>
      </c>
      <c r="R67" s="13">
        <f t="shared" ref="R67:R81" si="33">IFERROR(Q67/$BD67,0)</f>
        <v>4.5471395032744347E-2</v>
      </c>
      <c r="S67">
        <f>SUMIFS(banco!U:U,banco!$C:$C,$B67,banco!$A:$A,$A67)</f>
        <v>793</v>
      </c>
      <c r="T67" s="13">
        <f t="shared" ref="T67:T81" si="34">IFERROR(S67/$BC67,0)</f>
        <v>6.1953124999999998E-2</v>
      </c>
      <c r="U67">
        <f>SUMIFS(banco!W:W,banco!$C:$C,$B67,banco!$A:$A,$A67)</f>
        <v>639</v>
      </c>
      <c r="V67" s="13">
        <f t="shared" ref="V67:V81" si="35">IFERROR(U67/$BD67,0)</f>
        <v>7.895712344000988E-2</v>
      </c>
      <c r="W67">
        <f>SUMIFS(banco!Y:Y,banco!$C:$C,$B67,banco!$A:$A,$A67)</f>
        <v>1124</v>
      </c>
      <c r="X67" s="13">
        <f t="shared" ref="X67:X81" si="36">IFERROR(W67/$BC67,0)</f>
        <v>8.7812500000000002E-2</v>
      </c>
      <c r="Y67">
        <f>SUMIFS(banco!AA:AA,banco!$C:$C,$B67,banco!$A:$A,$A67)</f>
        <v>773</v>
      </c>
      <c r="Z67" s="13">
        <f t="shared" ref="Z67:Z81" si="37">IFERROR(Y67/$BD67,0)</f>
        <v>9.551464228345484E-2</v>
      </c>
      <c r="AA67">
        <f>SUMIFS(banco!AC:AC,banco!$C:$C,$B67,banco!$A:$A,$A67)</f>
        <v>10883</v>
      </c>
      <c r="AB67" s="13">
        <f t="shared" ref="AB67:AB81" si="38">IFERROR(AA67/$BC67,0)</f>
        <v>0.85023437499999999</v>
      </c>
      <c r="AC67">
        <f>SUMIFS(banco!AE:AE,banco!$C:$C,$B67,banco!$A:$A,$A67)</f>
        <v>6681</v>
      </c>
      <c r="AD67" s="13">
        <f t="shared" ref="AD67:AD81" si="39">IFERROR(AC67/$BD67,0)</f>
        <v>0.82552823427653532</v>
      </c>
      <c r="AE67">
        <f>SUMIFS(banco!AG:AG,banco!$C:$C,$B67,banco!$A:$A,$A67)</f>
        <v>351</v>
      </c>
      <c r="AF67" s="13">
        <f t="shared" ref="AF67:AF81" si="40">IFERROR(AE67/$BC67,0)</f>
        <v>2.7421874999999998E-2</v>
      </c>
      <c r="AG67">
        <f>SUMIFS(banco!AI:AI,banco!$C:$C,$B67,banco!$A:$A,$A67)</f>
        <v>334</v>
      </c>
      <c r="AH67" s="13">
        <f t="shared" ref="AH67:AH81" si="41">IFERROR(AG67/$BD67,0)</f>
        <v>4.1270233535153834E-2</v>
      </c>
      <c r="AI67">
        <f>SUMIFS(banco!AK:AK,banco!$C:$C,$B67,banco!$A:$A,$A67)</f>
        <v>555</v>
      </c>
      <c r="AJ67" s="13">
        <f t="shared" ref="AJ67:AJ81" si="42">IFERROR(AI67/$BC67,0)</f>
        <v>4.3359374999999999E-2</v>
      </c>
      <c r="AK67">
        <f>SUMIFS(banco!AM:AM,banco!$C:$C,$B67,banco!$A:$A,$A67)</f>
        <v>471</v>
      </c>
      <c r="AL67" s="13">
        <f t="shared" ref="AL67:AL81" si="43">IFERROR(AK67/$BD67,0)</f>
        <v>5.8198443098974421E-2</v>
      </c>
      <c r="AM67">
        <f>SUMIFS(banco!AO:AO,banco!$C:$C,$B67,banco!$A:$A,$A67)</f>
        <v>8428</v>
      </c>
      <c r="AN67" s="13">
        <f t="shared" ref="AN67:AN81" si="44">IFERROR(AM67/$BC67,0)</f>
        <v>0.65843750000000001</v>
      </c>
      <c r="AO67">
        <f>SUMIFS(banco!AQ:AQ,banco!$C:$C,$B67,banco!$A:$A,$A67)</f>
        <v>5340</v>
      </c>
      <c r="AP67" s="13">
        <f t="shared" ref="AP67:AP81" si="45">IFERROR(AO67/$BD67,0)</f>
        <v>0.65982948226862725</v>
      </c>
      <c r="AQ67">
        <f>SUMIFS(banco!AS:AS,banco!$C:$C,$B67,banco!$A:$A,$A67)</f>
        <v>1956</v>
      </c>
      <c r="AR67" s="13">
        <f t="shared" ref="AR67:AR81" si="46">IFERROR(AQ67/$BC67,0)</f>
        <v>0.15281249999999999</v>
      </c>
      <c r="AS67">
        <f>SUMIFS(banco!AU:AU,banco!$C:$C,$B67,banco!$A:$A,$A67)</f>
        <v>1006</v>
      </c>
      <c r="AT67" s="13">
        <f t="shared" ref="AT67:AT81" si="47">IFERROR(AS67/$BD67,0)</f>
        <v>0.12430495489929569</v>
      </c>
      <c r="AU67">
        <f>SUMIFS(banco!AW:AW,banco!$C:$C,$B67,banco!$A:$A,$A67)</f>
        <v>852</v>
      </c>
      <c r="AV67" s="13">
        <f t="shared" ref="AV67:AV81" si="48">IFERROR(AU67/$BC67,0)</f>
        <v>6.6562499999999997E-2</v>
      </c>
      <c r="AW67">
        <f>SUMIFS(banco!AY:AY,banco!$C:$C,$B67,banco!$A:$A,$A67)</f>
        <v>455</v>
      </c>
      <c r="AX67" s="13">
        <f t="shared" ref="AX67:AX81" si="49">IFERROR(AW67/$BD67,0)</f>
        <v>5.6221425923637713E-2</v>
      </c>
      <c r="AY67">
        <f>SUMIFS(banco!BA:BA,banco!$C:$C,$B67,banco!$A:$A,$A67)</f>
        <v>659</v>
      </c>
      <c r="AZ67" s="13">
        <f t="shared" ref="AZ67:AZ81" si="50">IFERROR(AY67/$BC67,0)</f>
        <v>5.1484374999999999E-2</v>
      </c>
      <c r="BA67">
        <f>SUMIFS(banco!BC:BC,banco!$C:$C,$B67,banco!$A:$A,$A67)</f>
        <v>489</v>
      </c>
      <c r="BB67" s="13">
        <f t="shared" ref="BB67:BB81" si="51">IFERROR(BA67/$BD67,0)</f>
        <v>6.0422587421228219E-2</v>
      </c>
      <c r="BC67">
        <f>SUMIFS(banco!BE:BE,banco!$C:$C,$B67,banco!$A:$A,$A67)</f>
        <v>12800</v>
      </c>
      <c r="BD67">
        <f>SUMIFS(banco!BF:BF,banco!$C:$C,$B67,banco!$A:$A,$A67)</f>
        <v>8093</v>
      </c>
      <c r="BE67">
        <v>17085</v>
      </c>
    </row>
    <row r="68" spans="1:57" x14ac:dyDescent="0.25">
      <c r="A68" s="24">
        <v>2023</v>
      </c>
      <c r="B68" s="22" t="s">
        <v>144</v>
      </c>
      <c r="C68">
        <f>SUMIFS(banco!E:E,banco!$C:$C,$B68,banco!$A:$A,$A68)</f>
        <v>33</v>
      </c>
      <c r="D68" s="13">
        <f t="shared" si="26"/>
        <v>4.8939641109298528E-3</v>
      </c>
      <c r="E68">
        <f>SUMIFS(banco!G:G,banco!$C:$C,$B68,banco!$A:$A,$A68)</f>
        <v>25</v>
      </c>
      <c r="F68" s="13">
        <f t="shared" si="27"/>
        <v>8.5616438356164379E-3</v>
      </c>
      <c r="G68">
        <f>SUMIFS(banco!I:I,banco!$C:$C,$B68,banco!$A:$A,$A68)</f>
        <v>159</v>
      </c>
      <c r="H68" s="13">
        <f t="shared" si="28"/>
        <v>2.3580008898116567E-2</v>
      </c>
      <c r="I68">
        <f>SUMIFS(banco!K:K,banco!$C:$C,$B68,banco!$A:$A,$A68)</f>
        <v>88</v>
      </c>
      <c r="J68" s="13">
        <f t="shared" si="29"/>
        <v>3.0136986301369864E-2</v>
      </c>
      <c r="K68">
        <f>SUMIFS(banco!M:M,banco!$C:$C,$B68,banco!$A:$A,$A68)</f>
        <v>6147</v>
      </c>
      <c r="L68" s="13">
        <f t="shared" si="30"/>
        <v>0.91161204211775171</v>
      </c>
      <c r="M68">
        <f>SUMIFS(banco!O:O,banco!$C:$C,$B68,banco!$A:$A,$A68)</f>
        <v>2629</v>
      </c>
      <c r="N68" s="13">
        <f t="shared" si="31"/>
        <v>0.90034246575342469</v>
      </c>
      <c r="O68">
        <f>SUMIFS(banco!Q:Q,banco!$C:$C,$B68,banco!$A:$A,$A68)</f>
        <v>404</v>
      </c>
      <c r="P68" s="13">
        <f t="shared" si="32"/>
        <v>5.9913984873201841E-2</v>
      </c>
      <c r="Q68">
        <f>SUMIFS(banco!S:S,banco!$C:$C,$B68,banco!$A:$A,$A68)</f>
        <v>178</v>
      </c>
      <c r="R68" s="13">
        <f t="shared" si="33"/>
        <v>6.095890410958904E-2</v>
      </c>
      <c r="S68">
        <f>SUMIFS(banco!U:U,banco!$C:$C,$B68,banco!$A:$A,$A68)</f>
        <v>249</v>
      </c>
      <c r="T68" s="13">
        <f t="shared" si="34"/>
        <v>3.6927183746107074E-2</v>
      </c>
      <c r="U68">
        <f>SUMIFS(banco!W:W,banco!$C:$C,$B68,banco!$A:$A,$A68)</f>
        <v>173</v>
      </c>
      <c r="V68" s="13">
        <f t="shared" si="35"/>
        <v>5.9246575342465753E-2</v>
      </c>
      <c r="W68">
        <f>SUMIFS(banco!Y:Y,banco!$C:$C,$B68,banco!$A:$A,$A68)</f>
        <v>468</v>
      </c>
      <c r="X68" s="13">
        <f t="shared" si="36"/>
        <v>6.9405309209550639E-2</v>
      </c>
      <c r="Y68">
        <f>SUMIFS(banco!AA:AA,banco!$C:$C,$B68,banco!$A:$A,$A68)</f>
        <v>280</v>
      </c>
      <c r="Z68" s="13">
        <f t="shared" si="37"/>
        <v>9.5890410958904104E-2</v>
      </c>
      <c r="AA68">
        <f>SUMIFS(banco!AC:AC,banco!$C:$C,$B68,banco!$A:$A,$A68)</f>
        <v>6026</v>
      </c>
      <c r="AB68" s="13">
        <f t="shared" si="38"/>
        <v>0.89366750704434228</v>
      </c>
      <c r="AC68">
        <f>SUMIFS(banco!AE:AE,banco!$C:$C,$B68,banco!$A:$A,$A68)</f>
        <v>2467</v>
      </c>
      <c r="AD68" s="13">
        <f t="shared" si="39"/>
        <v>0.84486301369863015</v>
      </c>
      <c r="AE68">
        <f>SUMIFS(banco!AG:AG,banco!$C:$C,$B68,banco!$A:$A,$A68)</f>
        <v>170</v>
      </c>
      <c r="AF68" s="13">
        <f t="shared" si="40"/>
        <v>2.5211330268426518E-2</v>
      </c>
      <c r="AG68">
        <f>SUMIFS(banco!AI:AI,banco!$C:$C,$B68,banco!$A:$A,$A68)</f>
        <v>128</v>
      </c>
      <c r="AH68" s="13">
        <f t="shared" si="41"/>
        <v>4.3835616438356165E-2</v>
      </c>
      <c r="AI68">
        <f>SUMIFS(banco!AK:AK,banco!$C:$C,$B68,banco!$A:$A,$A68)</f>
        <v>207</v>
      </c>
      <c r="AJ68" s="13">
        <f t="shared" si="42"/>
        <v>3.0698502150378171E-2</v>
      </c>
      <c r="AK68">
        <f>SUMIFS(banco!AM:AM,banco!$C:$C,$B68,banco!$A:$A,$A68)</f>
        <v>128</v>
      </c>
      <c r="AL68" s="13">
        <f t="shared" si="43"/>
        <v>4.3835616438356165E-2</v>
      </c>
      <c r="AM68">
        <f>SUMIFS(banco!AO:AO,banco!$C:$C,$B68,banco!$A:$A,$A68)</f>
        <v>4329</v>
      </c>
      <c r="AN68" s="13">
        <f t="shared" si="44"/>
        <v>0.64199911018834344</v>
      </c>
      <c r="AO68">
        <f>SUMIFS(banco!AQ:AQ,banco!$C:$C,$B68,banco!$A:$A,$A68)</f>
        <v>1871</v>
      </c>
      <c r="AP68" s="13">
        <f t="shared" si="45"/>
        <v>0.64075342465753427</v>
      </c>
      <c r="AQ68">
        <f>SUMIFS(banco!AS:AS,banco!$C:$C,$B68,banco!$A:$A,$A68)</f>
        <v>1214</v>
      </c>
      <c r="AR68" s="13">
        <f t="shared" si="46"/>
        <v>0.18003855850511641</v>
      </c>
      <c r="AS68">
        <f>SUMIFS(banco!AU:AU,banco!$C:$C,$B68,banco!$A:$A,$A68)</f>
        <v>402</v>
      </c>
      <c r="AT68" s="13">
        <f t="shared" si="47"/>
        <v>0.13767123287671232</v>
      </c>
      <c r="AU68">
        <f>SUMIFS(banco!AW:AW,banco!$C:$C,$B68,banco!$A:$A,$A68)</f>
        <v>495</v>
      </c>
      <c r="AV68" s="13">
        <f t="shared" si="48"/>
        <v>7.3409461663947795E-2</v>
      </c>
      <c r="AW68">
        <f>SUMIFS(banco!AY:AY,banco!$C:$C,$B68,banco!$A:$A,$A68)</f>
        <v>189</v>
      </c>
      <c r="AX68" s="13">
        <f t="shared" si="49"/>
        <v>6.4726027397260272E-2</v>
      </c>
      <c r="AY68">
        <f>SUMIFS(banco!BA:BA,banco!$C:$C,$B68,banco!$A:$A,$A68)</f>
        <v>328</v>
      </c>
      <c r="AZ68" s="13">
        <f t="shared" si="50"/>
        <v>4.8643037223787634E-2</v>
      </c>
      <c r="BA68">
        <f>SUMIFS(banco!BC:BC,banco!$C:$C,$B68,banco!$A:$A,$A68)</f>
        <v>202</v>
      </c>
      <c r="BB68" s="13">
        <f t="shared" si="51"/>
        <v>6.9178082191780815E-2</v>
      </c>
      <c r="BC68">
        <f>SUMIFS(banco!BE:BE,banco!$C:$C,$B68,banco!$A:$A,$A68)</f>
        <v>6743</v>
      </c>
      <c r="BD68">
        <f>SUMIFS(banco!BF:BF,banco!$C:$C,$B68,banco!$A:$A,$A68)</f>
        <v>2920</v>
      </c>
      <c r="BE68">
        <v>10271</v>
      </c>
    </row>
    <row r="69" spans="1:57" x14ac:dyDescent="0.25">
      <c r="A69" s="24">
        <v>2023</v>
      </c>
      <c r="B69" s="22" t="s">
        <v>148</v>
      </c>
      <c r="C69">
        <f>SUMIFS(banco!E:E,banco!$C:$C,$B69,banco!$A:$A,$A69)</f>
        <v>152</v>
      </c>
      <c r="D69" s="13">
        <f t="shared" si="26"/>
        <v>8.7446784029455767E-3</v>
      </c>
      <c r="E69">
        <f>SUMIFS(banco!G:G,banco!$C:$C,$B69,banco!$A:$A,$A69)</f>
        <v>102</v>
      </c>
      <c r="F69" s="13">
        <f t="shared" si="27"/>
        <v>1.3767040086381428E-2</v>
      </c>
      <c r="G69">
        <f>SUMIFS(banco!I:I,banco!$C:$C,$B69,banco!$A:$A,$A69)</f>
        <v>520</v>
      </c>
      <c r="H69" s="13">
        <f t="shared" si="28"/>
        <v>2.9916005062708549E-2</v>
      </c>
      <c r="I69">
        <f>SUMIFS(banco!K:K,banco!$C:$C,$B69,banco!$A:$A,$A69)</f>
        <v>292</v>
      </c>
      <c r="J69" s="13">
        <f t="shared" si="29"/>
        <v>3.9411526521797816E-2</v>
      </c>
      <c r="K69">
        <f>SUMIFS(banco!M:M,banco!$C:$C,$B69,banco!$A:$A,$A69)</f>
        <v>15713</v>
      </c>
      <c r="L69" s="13">
        <f t="shared" si="30"/>
        <v>0.90398112990449886</v>
      </c>
      <c r="M69">
        <f>SUMIFS(banco!O:O,banco!$C:$C,$B69,banco!$A:$A,$A69)</f>
        <v>6576</v>
      </c>
      <c r="N69" s="13">
        <f t="shared" si="31"/>
        <v>0.88756917262788504</v>
      </c>
      <c r="O69">
        <f>SUMIFS(banco!Q:Q,banco!$C:$C,$B69,banco!$A:$A,$A69)</f>
        <v>997</v>
      </c>
      <c r="P69" s="13">
        <f t="shared" si="32"/>
        <v>5.7358186629846965E-2</v>
      </c>
      <c r="Q69">
        <f>SUMIFS(banco!S:S,banco!$C:$C,$B69,banco!$A:$A,$A69)</f>
        <v>439</v>
      </c>
      <c r="R69" s="13">
        <f t="shared" si="33"/>
        <v>5.9252260763935756E-2</v>
      </c>
      <c r="S69">
        <f>SUMIFS(banco!U:U,banco!$C:$C,$B69,banco!$A:$A,$A69)</f>
        <v>872</v>
      </c>
      <c r="T69" s="13">
        <f t="shared" si="34"/>
        <v>5.0166839259003566E-2</v>
      </c>
      <c r="U69">
        <f>SUMIFS(banco!W:W,banco!$C:$C,$B69,banco!$A:$A,$A69)</f>
        <v>674</v>
      </c>
      <c r="V69" s="13">
        <f t="shared" si="35"/>
        <v>9.097044135510865E-2</v>
      </c>
      <c r="W69">
        <f>SUMIFS(banco!Y:Y,banco!$C:$C,$B69,banco!$A:$A,$A69)</f>
        <v>1368</v>
      </c>
      <c r="X69" s="13">
        <f t="shared" si="36"/>
        <v>7.8702105626510185E-2</v>
      </c>
      <c r="Y69">
        <f>SUMIFS(banco!AA:AA,banco!$C:$C,$B69,banco!$A:$A,$A69)</f>
        <v>771</v>
      </c>
      <c r="Z69" s="13">
        <f t="shared" si="37"/>
        <v>0.10406262653529491</v>
      </c>
      <c r="AA69">
        <f>SUMIFS(banco!AC:AC,banco!$C:$C,$B69,banco!$A:$A,$A69)</f>
        <v>15143</v>
      </c>
      <c r="AB69" s="13">
        <f t="shared" si="38"/>
        <v>0.87118858589345305</v>
      </c>
      <c r="AC69">
        <f>SUMIFS(banco!AE:AE,banco!$C:$C,$B69,banco!$A:$A,$A69)</f>
        <v>5966</v>
      </c>
      <c r="AD69" s="13">
        <f t="shared" si="39"/>
        <v>0.80523687407207445</v>
      </c>
      <c r="AE69">
        <f>SUMIFS(banco!AG:AG,banco!$C:$C,$B69,banco!$A:$A,$A69)</f>
        <v>427</v>
      </c>
      <c r="AF69" s="13">
        <f t="shared" si="40"/>
        <v>2.4565642618801058E-2</v>
      </c>
      <c r="AG69">
        <f>SUMIFS(banco!AI:AI,banco!$C:$C,$B69,banco!$A:$A,$A69)</f>
        <v>392</v>
      </c>
      <c r="AH69" s="13">
        <f t="shared" si="41"/>
        <v>5.2908624645701174E-2</v>
      </c>
      <c r="AI69">
        <f>SUMIFS(banco!AK:AK,banco!$C:$C,$B69,banco!$A:$A,$A69)</f>
        <v>554</v>
      </c>
      <c r="AJ69" s="13">
        <f t="shared" si="42"/>
        <v>3.1872051547577954E-2</v>
      </c>
      <c r="AK69">
        <f>SUMIFS(banco!AM:AM,banco!$C:$C,$B69,banco!$A:$A,$A69)</f>
        <v>370</v>
      </c>
      <c r="AL69" s="13">
        <f t="shared" si="43"/>
        <v>4.9939263058442436E-2</v>
      </c>
      <c r="AM69">
        <f>SUMIFS(banco!AO:AO,banco!$C:$C,$B69,banco!$A:$A,$A69)</f>
        <v>11013</v>
      </c>
      <c r="AN69" s="13">
        <f t="shared" si="44"/>
        <v>0.63358646876078706</v>
      </c>
      <c r="AO69">
        <f>SUMIFS(banco!AQ:AQ,banco!$C:$C,$B69,banco!$A:$A,$A69)</f>
        <v>4273</v>
      </c>
      <c r="AP69" s="13">
        <f t="shared" si="45"/>
        <v>0.5767310028343906</v>
      </c>
      <c r="AQ69">
        <f>SUMIFS(banco!AS:AS,banco!$C:$C,$B69,banco!$A:$A,$A69)</f>
        <v>3145</v>
      </c>
      <c r="AR69" s="13">
        <f t="shared" si="46"/>
        <v>0.18093429985041998</v>
      </c>
      <c r="AS69">
        <f>SUMIFS(banco!AU:AU,banco!$C:$C,$B69,banco!$A:$A,$A69)</f>
        <v>1233</v>
      </c>
      <c r="AT69" s="13">
        <f t="shared" si="47"/>
        <v>0.16641921986772845</v>
      </c>
      <c r="AU69">
        <f>SUMIFS(banco!AW:AW,banco!$C:$C,$B69,banco!$A:$A,$A69)</f>
        <v>1325</v>
      </c>
      <c r="AV69" s="13">
        <f t="shared" si="48"/>
        <v>7.6228282130940059E-2</v>
      </c>
      <c r="AW69">
        <f>SUMIFS(banco!AY:AY,banco!$C:$C,$B69,banco!$A:$A,$A69)</f>
        <v>567</v>
      </c>
      <c r="AX69" s="13">
        <f t="shared" si="49"/>
        <v>7.6528546362532049E-2</v>
      </c>
      <c r="AY69">
        <f>SUMIFS(banco!BA:BA,banco!$C:$C,$B69,banco!$A:$A,$A69)</f>
        <v>919</v>
      </c>
      <c r="AZ69" s="13">
        <f t="shared" si="50"/>
        <v>5.2870785870440688E-2</v>
      </c>
      <c r="BA69">
        <f>SUMIFS(banco!BC:BC,banco!$C:$C,$B69,banco!$A:$A,$A69)</f>
        <v>576</v>
      </c>
      <c r="BB69" s="13">
        <f t="shared" si="51"/>
        <v>7.7743285193683356E-2</v>
      </c>
      <c r="BC69">
        <f>SUMIFS(banco!BE:BE,banco!$C:$C,$B69,banco!$A:$A,$A69)</f>
        <v>17382</v>
      </c>
      <c r="BD69">
        <f>SUMIFS(banco!BF:BF,banco!$C:$C,$B69,banco!$A:$A,$A69)</f>
        <v>7409</v>
      </c>
      <c r="BE69">
        <v>30695</v>
      </c>
    </row>
    <row r="70" spans="1:57" x14ac:dyDescent="0.25">
      <c r="A70" s="24">
        <v>2023</v>
      </c>
      <c r="B70" s="22" t="s">
        <v>150</v>
      </c>
      <c r="C70">
        <f>SUMIFS(banco!E:E,banco!$C:$C,$B70,banco!$A:$A,$A70)</f>
        <v>66</v>
      </c>
      <c r="D70" s="13">
        <f t="shared" si="26"/>
        <v>8.910490076954233E-3</v>
      </c>
      <c r="E70">
        <f>SUMIFS(banco!G:G,banco!$C:$C,$B70,banco!$A:$A,$A70)</f>
        <v>48</v>
      </c>
      <c r="F70" s="13">
        <f t="shared" si="27"/>
        <v>1.2924071082390954E-2</v>
      </c>
      <c r="G70">
        <f>SUMIFS(banco!I:I,banco!$C:$C,$B70,banco!$A:$A,$A70)</f>
        <v>181</v>
      </c>
      <c r="H70" s="13">
        <f t="shared" si="28"/>
        <v>2.4436343998919939E-2</v>
      </c>
      <c r="I70">
        <f>SUMIFS(banco!K:K,banco!$C:$C,$B70,banco!$A:$A,$A70)</f>
        <v>105</v>
      </c>
      <c r="J70" s="13">
        <f t="shared" si="29"/>
        <v>2.827140549273021E-2</v>
      </c>
      <c r="K70">
        <f>SUMIFS(banco!M:M,banco!$C:$C,$B70,banco!$A:$A,$A70)</f>
        <v>6799</v>
      </c>
      <c r="L70" s="13">
        <f t="shared" si="30"/>
        <v>0.91791548535169432</v>
      </c>
      <c r="M70">
        <f>SUMIFS(banco!O:O,banco!$C:$C,$B70,banco!$A:$A,$A70)</f>
        <v>3379</v>
      </c>
      <c r="N70" s="13">
        <f t="shared" si="31"/>
        <v>0.9098007539041465</v>
      </c>
      <c r="O70">
        <f>SUMIFS(banco!Q:Q,banco!$C:$C,$B70,banco!$A:$A,$A70)</f>
        <v>361</v>
      </c>
      <c r="P70" s="13">
        <f t="shared" si="32"/>
        <v>4.8737680572431483E-2</v>
      </c>
      <c r="Q70">
        <f>SUMIFS(banco!S:S,banco!$C:$C,$B70,banco!$A:$A,$A70)</f>
        <v>182</v>
      </c>
      <c r="R70" s="13">
        <f t="shared" si="33"/>
        <v>4.9003769520732363E-2</v>
      </c>
      <c r="S70">
        <f>SUMIFS(banco!U:U,banco!$C:$C,$B70,banco!$A:$A,$A70)</f>
        <v>427</v>
      </c>
      <c r="T70" s="13">
        <f t="shared" si="34"/>
        <v>5.7648170649385717E-2</v>
      </c>
      <c r="U70">
        <f>SUMIFS(banco!W:W,banco!$C:$C,$B70,banco!$A:$A,$A70)</f>
        <v>272</v>
      </c>
      <c r="V70" s="13">
        <f t="shared" si="35"/>
        <v>7.32364028002154E-2</v>
      </c>
      <c r="W70">
        <f>SUMIFS(banco!Y:Y,banco!$C:$C,$B70,banco!$A:$A,$A70)</f>
        <v>676</v>
      </c>
      <c r="X70" s="13">
        <f t="shared" si="36"/>
        <v>9.1265019576076689E-2</v>
      </c>
      <c r="Y70">
        <f>SUMIFS(banco!AA:AA,banco!$C:$C,$B70,banco!$A:$A,$A70)</f>
        <v>400</v>
      </c>
      <c r="Z70" s="13">
        <f t="shared" si="37"/>
        <v>0.10770059235325795</v>
      </c>
      <c r="AA70">
        <f>SUMIFS(banco!AC:AC,banco!$C:$C,$B70,banco!$A:$A,$A70)</f>
        <v>6303</v>
      </c>
      <c r="AB70" s="13">
        <f t="shared" si="38"/>
        <v>0.85095180234912915</v>
      </c>
      <c r="AC70">
        <f>SUMIFS(banco!AE:AE,banco!$C:$C,$B70,banco!$A:$A,$A70)</f>
        <v>3040</v>
      </c>
      <c r="AD70" s="13">
        <f t="shared" si="39"/>
        <v>0.81852450188476034</v>
      </c>
      <c r="AE70">
        <f>SUMIFS(banco!AG:AG,banco!$C:$C,$B70,banco!$A:$A,$A70)</f>
        <v>179</v>
      </c>
      <c r="AF70" s="13">
        <f t="shared" si="40"/>
        <v>2.4166329148103145E-2</v>
      </c>
      <c r="AG70">
        <f>SUMIFS(banco!AI:AI,banco!$C:$C,$B70,banco!$A:$A,$A70)</f>
        <v>158</v>
      </c>
      <c r="AH70" s="13">
        <f t="shared" si="41"/>
        <v>4.2541733979536887E-2</v>
      </c>
      <c r="AI70">
        <f>SUMIFS(banco!AK:AK,banco!$C:$C,$B70,banco!$A:$A,$A70)</f>
        <v>194</v>
      </c>
      <c r="AJ70" s="13">
        <f t="shared" si="42"/>
        <v>2.6191440529229108E-2</v>
      </c>
      <c r="AK70">
        <f>SUMIFS(banco!AM:AM,banco!$C:$C,$B70,banco!$A:$A,$A70)</f>
        <v>131</v>
      </c>
      <c r="AL70" s="13">
        <f t="shared" si="43"/>
        <v>3.5271943995691973E-2</v>
      </c>
      <c r="AM70">
        <f>SUMIFS(banco!AO:AO,banco!$C:$C,$B70,banco!$A:$A,$A70)</f>
        <v>4677</v>
      </c>
      <c r="AN70" s="13">
        <f t="shared" si="44"/>
        <v>0.63142972863507496</v>
      </c>
      <c r="AO70">
        <f>SUMIFS(banco!AQ:AQ,banco!$C:$C,$B70,banco!$A:$A,$A70)</f>
        <v>2318</v>
      </c>
      <c r="AP70" s="13">
        <f t="shared" si="45"/>
        <v>0.62412493268712976</v>
      </c>
      <c r="AQ70">
        <f>SUMIFS(banco!AS:AS,banco!$C:$C,$B70,banco!$A:$A,$A70)</f>
        <v>1379</v>
      </c>
      <c r="AR70" s="13">
        <f t="shared" si="46"/>
        <v>0.18617523963818011</v>
      </c>
      <c r="AS70">
        <f>SUMIFS(banco!AU:AU,banco!$C:$C,$B70,banco!$A:$A,$A70)</f>
        <v>636</v>
      </c>
      <c r="AT70" s="13">
        <f t="shared" si="47"/>
        <v>0.17124394184168013</v>
      </c>
      <c r="AU70">
        <f>SUMIFS(banco!AW:AW,banco!$C:$C,$B70,banco!$A:$A,$A70)</f>
        <v>563</v>
      </c>
      <c r="AV70" s="13">
        <f t="shared" si="48"/>
        <v>7.6009180504927776E-2</v>
      </c>
      <c r="AW70">
        <f>SUMIFS(banco!AY:AY,banco!$C:$C,$B70,banco!$A:$A,$A70)</f>
        <v>242</v>
      </c>
      <c r="AX70" s="13">
        <f t="shared" si="49"/>
        <v>6.5158858373721054E-2</v>
      </c>
      <c r="AY70">
        <f>SUMIFS(banco!BA:BA,banco!$C:$C,$B70,banco!$A:$A,$A70)</f>
        <v>415</v>
      </c>
      <c r="AZ70" s="13">
        <f t="shared" si="50"/>
        <v>5.6028081544484944E-2</v>
      </c>
      <c r="BA70">
        <f>SUMIFS(banco!BC:BC,banco!$C:$C,$B70,banco!$A:$A,$A70)</f>
        <v>229</v>
      </c>
      <c r="BB70" s="13">
        <f t="shared" si="51"/>
        <v>6.1658589122240169E-2</v>
      </c>
      <c r="BC70">
        <f>SUMIFS(banco!BE:BE,banco!$C:$C,$B70,banco!$A:$A,$A70)</f>
        <v>7407</v>
      </c>
      <c r="BD70">
        <f>SUMIFS(banco!BF:BF,banco!$C:$C,$B70,banco!$A:$A,$A70)</f>
        <v>3714</v>
      </c>
      <c r="BE70">
        <v>12010</v>
      </c>
    </row>
    <row r="71" spans="1:57" x14ac:dyDescent="0.25">
      <c r="A71" s="24">
        <v>2023</v>
      </c>
      <c r="B71" s="22" t="s">
        <v>146</v>
      </c>
      <c r="C71">
        <f>SUMIFS(banco!E:E,banco!$C:$C,$B71,banco!$A:$A,$A71)</f>
        <v>192</v>
      </c>
      <c r="D71" s="13">
        <f t="shared" si="26"/>
        <v>2.2876206362444893E-2</v>
      </c>
      <c r="E71">
        <f>SUMIFS(banco!G:G,banco!$C:$C,$B71,banco!$A:$A,$A71)</f>
        <v>197</v>
      </c>
      <c r="F71" s="13">
        <f t="shared" si="27"/>
        <v>4.3382514864567276E-2</v>
      </c>
      <c r="G71">
        <f>SUMIFS(banco!I:I,banco!$C:$C,$B71,banco!$A:$A,$A71)</f>
        <v>462</v>
      </c>
      <c r="H71" s="13">
        <f t="shared" si="28"/>
        <v>5.5045871559633031E-2</v>
      </c>
      <c r="I71">
        <f>SUMIFS(banco!K:K,banco!$C:$C,$B71,banco!$A:$A,$A71)</f>
        <v>439</v>
      </c>
      <c r="J71" s="13">
        <f t="shared" si="29"/>
        <v>9.6674741246421489E-2</v>
      </c>
      <c r="K71">
        <f>SUMIFS(banco!M:M,banco!$C:$C,$B71,banco!$A:$A,$A71)</f>
        <v>7275</v>
      </c>
      <c r="L71" s="13">
        <f t="shared" si="30"/>
        <v>0.86679375670201353</v>
      </c>
      <c r="M71">
        <f>SUMIFS(banco!O:O,banco!$C:$C,$B71,banco!$A:$A,$A71)</f>
        <v>3662</v>
      </c>
      <c r="N71" s="13">
        <f t="shared" si="31"/>
        <v>0.80643030169566177</v>
      </c>
      <c r="O71">
        <f>SUMIFS(banco!Q:Q,banco!$C:$C,$B71,banco!$A:$A,$A71)</f>
        <v>464</v>
      </c>
      <c r="P71" s="13">
        <f t="shared" si="32"/>
        <v>5.5284165375908495E-2</v>
      </c>
      <c r="Q71">
        <f>SUMIFS(banco!S:S,banco!$C:$C,$B71,banco!$A:$A,$A71)</f>
        <v>243</v>
      </c>
      <c r="R71" s="13">
        <f t="shared" si="33"/>
        <v>5.3512442193349483E-2</v>
      </c>
      <c r="S71">
        <f>SUMIFS(banco!U:U,banco!$C:$C,$B71,banco!$A:$A,$A71)</f>
        <v>408</v>
      </c>
      <c r="T71" s="13">
        <f t="shared" si="34"/>
        <v>4.8611938520195401E-2</v>
      </c>
      <c r="U71">
        <f>SUMIFS(banco!W:W,banco!$C:$C,$B71,banco!$A:$A,$A71)</f>
        <v>323</v>
      </c>
      <c r="V71" s="13">
        <f t="shared" si="35"/>
        <v>7.1129707112970716E-2</v>
      </c>
      <c r="W71">
        <f>SUMIFS(banco!Y:Y,banco!$C:$C,$B71,banco!$A:$A,$A71)</f>
        <v>872</v>
      </c>
      <c r="X71" s="13">
        <f t="shared" si="36"/>
        <v>0.1038961038961039</v>
      </c>
      <c r="Y71">
        <f>SUMIFS(banco!AA:AA,banco!$C:$C,$B71,banco!$A:$A,$A71)</f>
        <v>671</v>
      </c>
      <c r="Z71" s="13">
        <f t="shared" si="37"/>
        <v>0.14776480951332305</v>
      </c>
      <c r="AA71">
        <f>SUMIFS(banco!AC:AC,banco!$C:$C,$B71,banco!$A:$A,$A71)</f>
        <v>7113</v>
      </c>
      <c r="AB71" s="13">
        <f t="shared" si="38"/>
        <v>0.84749195758370066</v>
      </c>
      <c r="AC71">
        <f>SUMIFS(banco!AE:AE,banco!$C:$C,$B71,banco!$A:$A,$A71)</f>
        <v>3547</v>
      </c>
      <c r="AD71" s="13">
        <f t="shared" si="39"/>
        <v>0.78110548337370622</v>
      </c>
      <c r="AE71">
        <f>SUMIFS(banco!AG:AG,banco!$C:$C,$B71,banco!$A:$A,$A71)</f>
        <v>575</v>
      </c>
      <c r="AF71" s="13">
        <f t="shared" si="40"/>
        <v>6.8509472179196951E-2</v>
      </c>
      <c r="AG71">
        <f>SUMIFS(banco!AI:AI,banco!$C:$C,$B71,banco!$A:$A,$A71)</f>
        <v>600</v>
      </c>
      <c r="AH71" s="13">
        <f t="shared" si="41"/>
        <v>0.13212948689715923</v>
      </c>
      <c r="AI71">
        <f>SUMIFS(banco!AK:AK,banco!$C:$C,$B71,banco!$A:$A,$A71)</f>
        <v>338</v>
      </c>
      <c r="AJ71" s="13">
        <f t="shared" si="42"/>
        <v>4.0271654950554035E-2</v>
      </c>
      <c r="AK71">
        <f>SUMIFS(banco!AM:AM,banco!$C:$C,$B71,banco!$A:$A,$A71)</f>
        <v>222</v>
      </c>
      <c r="AL71" s="13">
        <f t="shared" si="43"/>
        <v>4.8887910151948911E-2</v>
      </c>
      <c r="AM71">
        <f>SUMIFS(banco!AO:AO,banco!$C:$C,$B71,banco!$A:$A,$A71)</f>
        <v>5210</v>
      </c>
      <c r="AN71" s="13">
        <f t="shared" si="44"/>
        <v>0.62075539139759328</v>
      </c>
      <c r="AO71">
        <f>SUMIFS(banco!AQ:AQ,banco!$C:$C,$B71,banco!$A:$A,$A71)</f>
        <v>2808</v>
      </c>
      <c r="AP71" s="13">
        <f t="shared" si="45"/>
        <v>0.61836599867870512</v>
      </c>
      <c r="AQ71">
        <f>SUMIFS(banco!AS:AS,banco!$C:$C,$B71,banco!$A:$A,$A71)</f>
        <v>1318</v>
      </c>
      <c r="AR71" s="13">
        <f t="shared" si="46"/>
        <v>0.15703562492553319</v>
      </c>
      <c r="AS71">
        <f>SUMIFS(banco!AU:AU,banco!$C:$C,$B71,banco!$A:$A,$A71)</f>
        <v>485</v>
      </c>
      <c r="AT71" s="13">
        <f t="shared" si="47"/>
        <v>0.1068046685752037</v>
      </c>
      <c r="AU71">
        <f>SUMIFS(banco!AW:AW,banco!$C:$C,$B71,banco!$A:$A,$A71)</f>
        <v>591</v>
      </c>
      <c r="AV71" s="13">
        <f t="shared" si="48"/>
        <v>7.0415822709400694E-2</v>
      </c>
      <c r="AW71">
        <f>SUMIFS(banco!AY:AY,banco!$C:$C,$B71,banco!$A:$A,$A71)</f>
        <v>226</v>
      </c>
      <c r="AX71" s="13">
        <f t="shared" si="49"/>
        <v>4.9768773397929969E-2</v>
      </c>
      <c r="AY71">
        <f>SUMIFS(banco!BA:BA,banco!$C:$C,$B71,banco!$A:$A,$A71)</f>
        <v>361</v>
      </c>
      <c r="AZ71" s="13">
        <f t="shared" si="50"/>
        <v>4.3012033837721911E-2</v>
      </c>
      <c r="BA71">
        <f>SUMIFS(banco!BC:BC,banco!$C:$C,$B71,banco!$A:$A,$A71)</f>
        <v>200</v>
      </c>
      <c r="BB71" s="13">
        <f t="shared" si="51"/>
        <v>4.4043162299053071E-2</v>
      </c>
      <c r="BC71">
        <f>SUMIFS(banco!BE:BE,banco!$C:$C,$B71,banco!$A:$A,$A71)</f>
        <v>8393</v>
      </c>
      <c r="BD71">
        <f>SUMIFS(banco!BF:BF,banco!$C:$C,$B71,banco!$A:$A,$A71)</f>
        <v>4541</v>
      </c>
      <c r="BE71">
        <v>13128</v>
      </c>
    </row>
    <row r="72" spans="1:57" x14ac:dyDescent="0.25">
      <c r="A72" s="24">
        <v>2023</v>
      </c>
      <c r="B72" s="22" t="s">
        <v>149</v>
      </c>
      <c r="C72">
        <f>SUMIFS(banco!E:E,banco!$C:$C,$B72,banco!$A:$A,$A72)</f>
        <v>118</v>
      </c>
      <c r="D72" s="13">
        <f t="shared" si="26"/>
        <v>7.8935045822463041E-3</v>
      </c>
      <c r="E72">
        <f>SUMIFS(banco!G:G,banco!$C:$C,$B72,banco!$A:$A,$A72)</f>
        <v>44</v>
      </c>
      <c r="F72" s="13">
        <f t="shared" si="27"/>
        <v>5.6001018200330915E-3</v>
      </c>
      <c r="G72">
        <f>SUMIFS(banco!I:I,banco!$C:$C,$B72,banco!$A:$A,$A72)</f>
        <v>401</v>
      </c>
      <c r="H72" s="13">
        <f t="shared" si="28"/>
        <v>2.6824536758311594E-2</v>
      </c>
      <c r="I72">
        <f>SUMIFS(banco!K:K,banco!$C:$C,$B72,banco!$A:$A,$A72)</f>
        <v>181</v>
      </c>
      <c r="J72" s="13">
        <f t="shared" si="29"/>
        <v>2.3036782486954309E-2</v>
      </c>
      <c r="K72">
        <f>SUMIFS(banco!M:M,banco!$C:$C,$B72,banco!$A:$A,$A72)</f>
        <v>13765</v>
      </c>
      <c r="L72" s="13">
        <f t="shared" si="30"/>
        <v>0.92079737775102011</v>
      </c>
      <c r="M72">
        <f>SUMIFS(banco!O:O,banco!$C:$C,$B72,banco!$A:$A,$A72)</f>
        <v>7355</v>
      </c>
      <c r="N72" s="13">
        <f t="shared" si="31"/>
        <v>0.93610792923507702</v>
      </c>
      <c r="O72">
        <f>SUMIFS(banco!Q:Q,banco!$C:$C,$B72,banco!$A:$A,$A72)</f>
        <v>665</v>
      </c>
      <c r="P72" s="13">
        <f t="shared" si="32"/>
        <v>4.4484580908421965E-2</v>
      </c>
      <c r="Q72">
        <f>SUMIFS(banco!S:S,banco!$C:$C,$B72,banco!$A:$A,$A72)</f>
        <v>277</v>
      </c>
      <c r="R72" s="13">
        <f t="shared" si="33"/>
        <v>3.52551864579356E-2</v>
      </c>
      <c r="S72">
        <f>SUMIFS(banco!U:U,banco!$C:$C,$B72,banco!$A:$A,$A72)</f>
        <v>651</v>
      </c>
      <c r="T72" s="13">
        <f t="shared" si="34"/>
        <v>4.3548063415613084E-2</v>
      </c>
      <c r="U72">
        <f>SUMIFS(banco!W:W,banco!$C:$C,$B72,banco!$A:$A,$A72)</f>
        <v>320</v>
      </c>
      <c r="V72" s="13">
        <f t="shared" si="35"/>
        <v>4.0728013236604299E-2</v>
      </c>
      <c r="W72">
        <f>SUMIFS(banco!Y:Y,banco!$C:$C,$B72,banco!$A:$A,$A72)</f>
        <v>963</v>
      </c>
      <c r="X72" s="13">
        <f t="shared" si="36"/>
        <v>6.4419024683925352E-2</v>
      </c>
      <c r="Y72">
        <f>SUMIFS(banco!AA:AA,banco!$C:$C,$B72,banco!$A:$A,$A72)</f>
        <v>459</v>
      </c>
      <c r="Z72" s="13">
        <f t="shared" si="37"/>
        <v>5.8419243986254296E-2</v>
      </c>
      <c r="AA72">
        <f>SUMIFS(banco!AC:AC,banco!$C:$C,$B72,banco!$A:$A,$A72)</f>
        <v>13335</v>
      </c>
      <c r="AB72" s="13">
        <f t="shared" si="38"/>
        <v>0.89203291190046152</v>
      </c>
      <c r="AC72">
        <f>SUMIFS(banco!AE:AE,banco!$C:$C,$B72,banco!$A:$A,$A72)</f>
        <v>7078</v>
      </c>
      <c r="AD72" s="13">
        <f t="shared" si="39"/>
        <v>0.90085274277714145</v>
      </c>
      <c r="AE72">
        <f>SUMIFS(banco!AG:AG,banco!$C:$C,$B72,banco!$A:$A,$A72)</f>
        <v>500</v>
      </c>
      <c r="AF72" s="13">
        <f t="shared" si="40"/>
        <v>3.3447053314602987E-2</v>
      </c>
      <c r="AG72">
        <f>SUMIFS(banco!AI:AI,banco!$C:$C,$B72,banco!$A:$A,$A72)</f>
        <v>439</v>
      </c>
      <c r="AH72" s="13">
        <f t="shared" si="41"/>
        <v>5.5873743158966524E-2</v>
      </c>
      <c r="AI72">
        <f>SUMIFS(banco!AK:AK,banco!$C:$C,$B72,banco!$A:$A,$A72)</f>
        <v>477</v>
      </c>
      <c r="AJ72" s="13">
        <f t="shared" si="42"/>
        <v>3.1908488862131247E-2</v>
      </c>
      <c r="AK72">
        <f>SUMIFS(banco!AM:AM,banco!$C:$C,$B72,banco!$A:$A,$A72)</f>
        <v>319</v>
      </c>
      <c r="AL72" s="13">
        <f t="shared" si="43"/>
        <v>4.0600738195239912E-2</v>
      </c>
      <c r="AM72">
        <f>SUMIFS(banco!AO:AO,banco!$C:$C,$B72,banco!$A:$A,$A72)</f>
        <v>10130</v>
      </c>
      <c r="AN72" s="13">
        <f t="shared" si="44"/>
        <v>0.67763730015385648</v>
      </c>
      <c r="AO72">
        <f>SUMIFS(banco!AQ:AQ,banco!$C:$C,$B72,banco!$A:$A,$A72)</f>
        <v>5605</v>
      </c>
      <c r="AP72" s="13">
        <f t="shared" si="45"/>
        <v>0.71337660684739723</v>
      </c>
      <c r="AQ72">
        <f>SUMIFS(banco!AS:AS,banco!$C:$C,$B72,banco!$A:$A,$A72)</f>
        <v>2264</v>
      </c>
      <c r="AR72" s="13">
        <f t="shared" si="46"/>
        <v>0.1514482574085223</v>
      </c>
      <c r="AS72">
        <f>SUMIFS(banco!AU:AU,banco!$C:$C,$B72,banco!$A:$A,$A72)</f>
        <v>858</v>
      </c>
      <c r="AT72" s="13">
        <f t="shared" si="47"/>
        <v>0.10920198549064529</v>
      </c>
      <c r="AU72">
        <f>SUMIFS(banco!AW:AW,banco!$C:$C,$B72,banco!$A:$A,$A72)</f>
        <v>967</v>
      </c>
      <c r="AV72" s="13">
        <f t="shared" si="48"/>
        <v>6.4686601110442166E-2</v>
      </c>
      <c r="AW72">
        <f>SUMIFS(banco!AY:AY,banco!$C:$C,$B72,banco!$A:$A,$A72)</f>
        <v>331</v>
      </c>
      <c r="AX72" s="13">
        <f t="shared" si="49"/>
        <v>4.2128038691612572E-2</v>
      </c>
      <c r="AY72">
        <f>SUMIFS(banco!BA:BA,banco!$C:$C,$B72,banco!$A:$A,$A72)</f>
        <v>611</v>
      </c>
      <c r="AZ72" s="13">
        <f t="shared" si="50"/>
        <v>4.0872299150444845E-2</v>
      </c>
      <c r="BA72">
        <f>SUMIFS(banco!BC:BC,banco!$C:$C,$B72,banco!$A:$A,$A72)</f>
        <v>305</v>
      </c>
      <c r="BB72" s="13">
        <f t="shared" si="51"/>
        <v>3.8818887616138477E-2</v>
      </c>
      <c r="BC72">
        <f>SUMIFS(banco!BE:BE,banco!$C:$C,$B72,banco!$A:$A,$A72)</f>
        <v>14949</v>
      </c>
      <c r="BD72">
        <f>SUMIFS(banco!BF:BF,banco!$C:$C,$B72,banco!$A:$A,$A72)</f>
        <v>7857</v>
      </c>
      <c r="BE72">
        <v>23287</v>
      </c>
    </row>
    <row r="73" spans="1:57" x14ac:dyDescent="0.25">
      <c r="A73" s="24">
        <v>2023</v>
      </c>
      <c r="B73" s="22" t="s">
        <v>147</v>
      </c>
      <c r="C73">
        <f>SUMIFS(banco!E:E,banco!$C:$C,$B73,banco!$A:$A,$A73)</f>
        <v>49</v>
      </c>
      <c r="D73" s="13">
        <f t="shared" si="26"/>
        <v>9.7029702970297029E-3</v>
      </c>
      <c r="E73">
        <f>SUMIFS(banco!G:G,banco!$C:$C,$B73,banco!$A:$A,$A73)</f>
        <v>30</v>
      </c>
      <c r="F73" s="13">
        <f t="shared" si="27"/>
        <v>1.0431154381084841E-2</v>
      </c>
      <c r="G73">
        <f>SUMIFS(banco!I:I,banco!$C:$C,$B73,banco!$A:$A,$A73)</f>
        <v>147</v>
      </c>
      <c r="H73" s="13">
        <f t="shared" si="28"/>
        <v>2.910891089108911E-2</v>
      </c>
      <c r="I73">
        <f>SUMIFS(banco!K:K,banco!$C:$C,$B73,banco!$A:$A,$A73)</f>
        <v>110</v>
      </c>
      <c r="J73" s="13">
        <f t="shared" si="29"/>
        <v>3.8247566063977743E-2</v>
      </c>
      <c r="K73">
        <f>SUMIFS(banco!M:M,banco!$C:$C,$B73,banco!$A:$A,$A73)</f>
        <v>4585</v>
      </c>
      <c r="L73" s="13">
        <f t="shared" si="30"/>
        <v>0.90792079207920795</v>
      </c>
      <c r="M73">
        <f>SUMIFS(banco!O:O,banco!$C:$C,$B73,banco!$A:$A,$A73)</f>
        <v>2584</v>
      </c>
      <c r="N73" s="13">
        <f t="shared" si="31"/>
        <v>0.89847009735744088</v>
      </c>
      <c r="O73">
        <f>SUMIFS(banco!Q:Q,banco!$C:$C,$B73,banco!$A:$A,$A73)</f>
        <v>269</v>
      </c>
      <c r="P73" s="13">
        <f t="shared" si="32"/>
        <v>5.3267326732673266E-2</v>
      </c>
      <c r="Q73">
        <f>SUMIFS(banco!S:S,banco!$C:$C,$B73,banco!$A:$A,$A73)</f>
        <v>152</v>
      </c>
      <c r="R73" s="13">
        <f t="shared" si="33"/>
        <v>5.2851182197496523E-2</v>
      </c>
      <c r="S73">
        <f>SUMIFS(banco!U:U,banco!$C:$C,$B73,banco!$A:$A,$A73)</f>
        <v>230</v>
      </c>
      <c r="T73" s="13">
        <f t="shared" si="34"/>
        <v>4.5544554455445543E-2</v>
      </c>
      <c r="U73">
        <f>SUMIFS(banco!W:W,banco!$C:$C,$B73,banco!$A:$A,$A73)</f>
        <v>176</v>
      </c>
      <c r="V73" s="13">
        <f t="shared" si="35"/>
        <v>6.1196105702364396E-2</v>
      </c>
      <c r="W73">
        <f>SUMIFS(banco!Y:Y,banco!$C:$C,$B73,banco!$A:$A,$A73)</f>
        <v>405</v>
      </c>
      <c r="X73" s="13">
        <f t="shared" si="36"/>
        <v>8.01980198019802E-2</v>
      </c>
      <c r="Y73">
        <f>SUMIFS(banco!AA:AA,banco!$C:$C,$B73,banco!$A:$A,$A73)</f>
        <v>245</v>
      </c>
      <c r="Z73" s="13">
        <f t="shared" si="37"/>
        <v>8.5187760778859534E-2</v>
      </c>
      <c r="AA73">
        <f>SUMIFS(banco!AC:AC,banco!$C:$C,$B73,banco!$A:$A,$A73)</f>
        <v>4415</v>
      </c>
      <c r="AB73" s="13">
        <f t="shared" si="38"/>
        <v>0.87425742574257426</v>
      </c>
      <c r="AC73">
        <f>SUMIFS(banco!AE:AE,banco!$C:$C,$B73,banco!$A:$A,$A73)</f>
        <v>2455</v>
      </c>
      <c r="AD73" s="13">
        <f t="shared" si="39"/>
        <v>0.85361613351877608</v>
      </c>
      <c r="AE73">
        <f>SUMIFS(banco!AG:AG,banco!$C:$C,$B73,banco!$A:$A,$A73)</f>
        <v>156</v>
      </c>
      <c r="AF73" s="13">
        <f t="shared" si="40"/>
        <v>3.0891089108910891E-2</v>
      </c>
      <c r="AG73">
        <f>SUMIFS(banco!AI:AI,banco!$C:$C,$B73,banco!$A:$A,$A73)</f>
        <v>126</v>
      </c>
      <c r="AH73" s="13">
        <f t="shared" si="41"/>
        <v>4.3810848400556331E-2</v>
      </c>
      <c r="AI73">
        <f>SUMIFS(banco!AK:AK,banco!$C:$C,$B73,banco!$A:$A,$A73)</f>
        <v>191</v>
      </c>
      <c r="AJ73" s="13">
        <f t="shared" si="42"/>
        <v>3.7821782178217821E-2</v>
      </c>
      <c r="AK73">
        <f>SUMIFS(banco!AM:AM,banco!$C:$C,$B73,banco!$A:$A,$A73)</f>
        <v>156</v>
      </c>
      <c r="AL73" s="13">
        <f t="shared" si="43"/>
        <v>5.4242002781641166E-2</v>
      </c>
      <c r="AM73">
        <f>SUMIFS(banco!AO:AO,banco!$C:$C,$B73,banco!$A:$A,$A73)</f>
        <v>3292</v>
      </c>
      <c r="AN73" s="13">
        <f t="shared" si="44"/>
        <v>0.65188118811881191</v>
      </c>
      <c r="AO73">
        <f>SUMIFS(banco!AQ:AQ,banco!$C:$C,$B73,banco!$A:$A,$A73)</f>
        <v>1877</v>
      </c>
      <c r="AP73" s="13">
        <f t="shared" si="45"/>
        <v>0.65264255910987479</v>
      </c>
      <c r="AQ73">
        <f>SUMIFS(banco!AS:AS,banco!$C:$C,$B73,banco!$A:$A,$A73)</f>
        <v>779</v>
      </c>
      <c r="AR73" s="13">
        <f t="shared" si="46"/>
        <v>0.15425742574257426</v>
      </c>
      <c r="AS73">
        <f>SUMIFS(banco!AU:AU,banco!$C:$C,$B73,banco!$A:$A,$A73)</f>
        <v>354</v>
      </c>
      <c r="AT73" s="13">
        <f t="shared" si="47"/>
        <v>0.12308762169680111</v>
      </c>
      <c r="AU73">
        <f>SUMIFS(banco!AW:AW,banco!$C:$C,$B73,banco!$A:$A,$A73)</f>
        <v>362</v>
      </c>
      <c r="AV73" s="13">
        <f t="shared" si="48"/>
        <v>7.1683168316831677E-2</v>
      </c>
      <c r="AW73">
        <f>SUMIFS(banco!AY:AY,banco!$C:$C,$B73,banco!$A:$A,$A73)</f>
        <v>181</v>
      </c>
      <c r="AX73" s="13">
        <f t="shared" si="49"/>
        <v>6.2934631432545199E-2</v>
      </c>
      <c r="AY73">
        <f>SUMIFS(banco!BA:BA,banco!$C:$C,$B73,banco!$A:$A,$A73)</f>
        <v>270</v>
      </c>
      <c r="AZ73" s="13">
        <f t="shared" si="50"/>
        <v>5.3465346534653464E-2</v>
      </c>
      <c r="BA73">
        <f>SUMIFS(banco!BC:BC,banco!$C:$C,$B73,banco!$A:$A,$A73)</f>
        <v>182</v>
      </c>
      <c r="BB73" s="13">
        <f t="shared" si="51"/>
        <v>6.3282336578581358E-2</v>
      </c>
      <c r="BC73">
        <f>SUMIFS(banco!BE:BE,banco!$C:$C,$B73,banco!$A:$A,$A73)</f>
        <v>5050</v>
      </c>
      <c r="BD73">
        <f>SUMIFS(banco!BF:BF,banco!$C:$C,$B73,banco!$A:$A,$A73)</f>
        <v>2876</v>
      </c>
      <c r="BE73">
        <v>6824</v>
      </c>
    </row>
    <row r="74" spans="1:57" x14ac:dyDescent="0.25">
      <c r="A74" s="24">
        <v>2024</v>
      </c>
      <c r="B74" s="22" t="s">
        <v>151</v>
      </c>
      <c r="C74">
        <f>SUMIFS(banco!E:E,banco!$C:$C,$B74,banco!$A:$A,$A74)</f>
        <v>42</v>
      </c>
      <c r="D74" s="13">
        <f t="shared" si="26"/>
        <v>5.9498512537186571E-3</v>
      </c>
      <c r="E74">
        <f>SUMIFS(banco!G:G,banco!$C:$C,$B74,banco!$A:$A,$A74)</f>
        <v>28</v>
      </c>
      <c r="F74" s="13">
        <f t="shared" si="27"/>
        <v>7.2595281306715061E-3</v>
      </c>
      <c r="G74">
        <f>SUMIFS(banco!I:I,banco!$C:$C,$B74,banco!$A:$A,$A74)</f>
        <v>197</v>
      </c>
      <c r="H74" s="13">
        <f t="shared" si="28"/>
        <v>2.7907635642442273E-2</v>
      </c>
      <c r="I74">
        <f>SUMIFS(banco!K:K,banco!$C:$C,$B74,banco!$A:$A,$A74)</f>
        <v>135</v>
      </c>
      <c r="J74" s="13">
        <f t="shared" si="29"/>
        <v>3.5001296344309048E-2</v>
      </c>
      <c r="K74">
        <f>SUMIFS(banco!M:M,banco!$C:$C,$B74,banco!$A:$A,$A74)</f>
        <v>6492</v>
      </c>
      <c r="L74" s="13">
        <f t="shared" si="30"/>
        <v>0.91967700807479813</v>
      </c>
      <c r="M74">
        <f>SUMIFS(banco!O:O,banco!$C:$C,$B74,banco!$A:$A,$A74)</f>
        <v>3532</v>
      </c>
      <c r="N74" s="13">
        <f t="shared" si="31"/>
        <v>0.91573761991184854</v>
      </c>
      <c r="O74">
        <f>SUMIFS(banco!Q:Q,banco!$C:$C,$B74,banco!$A:$A,$A74)</f>
        <v>328</v>
      </c>
      <c r="P74" s="13">
        <f t="shared" si="32"/>
        <v>4.646550502904094E-2</v>
      </c>
      <c r="Q74">
        <f>SUMIFS(banco!S:S,banco!$C:$C,$B74,banco!$A:$A,$A74)</f>
        <v>162</v>
      </c>
      <c r="R74" s="13">
        <f t="shared" si="33"/>
        <v>4.2001555613170857E-2</v>
      </c>
      <c r="S74">
        <f>SUMIFS(banco!U:U,banco!$C:$C,$B74,banco!$A:$A,$A74)</f>
        <v>336</v>
      </c>
      <c r="T74" s="13">
        <f t="shared" si="34"/>
        <v>4.7598810029749257E-2</v>
      </c>
      <c r="U74">
        <f>SUMIFS(banco!W:W,banco!$C:$C,$B74,banco!$A:$A,$A74)</f>
        <v>230</v>
      </c>
      <c r="V74" s="13">
        <f t="shared" si="35"/>
        <v>5.9631838216230228E-2</v>
      </c>
      <c r="W74">
        <f>SUMIFS(banco!Y:Y,banco!$C:$C,$B74,banco!$A:$A,$A74)</f>
        <v>602</v>
      </c>
      <c r="X74" s="13">
        <f t="shared" si="36"/>
        <v>8.5281201303300747E-2</v>
      </c>
      <c r="Y74">
        <f>SUMIFS(banco!AA:AA,banco!$C:$C,$B74,banco!$A:$A,$A74)</f>
        <v>401</v>
      </c>
      <c r="Z74" s="13">
        <f t="shared" si="37"/>
        <v>0.10396681358568836</v>
      </c>
      <c r="AA74">
        <f>SUMIFS(banco!AC:AC,banco!$C:$C,$B74,banco!$A:$A,$A74)</f>
        <v>6121</v>
      </c>
      <c r="AB74" s="13">
        <f t="shared" si="38"/>
        <v>0.86711998866694995</v>
      </c>
      <c r="AC74">
        <f>SUMIFS(banco!AE:AE,banco!$C:$C,$B74,banco!$A:$A,$A74)</f>
        <v>3226</v>
      </c>
      <c r="AD74" s="13">
        <f t="shared" si="39"/>
        <v>0.83640134819808143</v>
      </c>
      <c r="AE74">
        <f>SUMIFS(banco!AG:AG,banco!$C:$C,$B74,banco!$A:$A,$A74)</f>
        <v>163</v>
      </c>
      <c r="AF74" s="13">
        <f t="shared" si="40"/>
        <v>2.309108938943193E-2</v>
      </c>
      <c r="AG74">
        <f>SUMIFS(banco!AI:AI,banco!$C:$C,$B74,banco!$A:$A,$A74)</f>
        <v>150</v>
      </c>
      <c r="AH74" s="13">
        <f t="shared" si="41"/>
        <v>3.8890329271454499E-2</v>
      </c>
      <c r="AI74">
        <f>SUMIFS(banco!AK:AK,banco!$C:$C,$B74,banco!$A:$A,$A74)</f>
        <v>211</v>
      </c>
      <c r="AJ74" s="13">
        <f t="shared" si="42"/>
        <v>2.9890919393681825E-2</v>
      </c>
      <c r="AK74">
        <f>SUMIFS(banco!AM:AM,banco!$C:$C,$B74,banco!$A:$A,$A74)</f>
        <v>161</v>
      </c>
      <c r="AL74" s="13">
        <f t="shared" si="43"/>
        <v>4.1742286751361164E-2</v>
      </c>
      <c r="AM74">
        <f>SUMIFS(banco!AO:AO,banco!$C:$C,$B74,banco!$A:$A,$A74)</f>
        <v>4647</v>
      </c>
      <c r="AN74" s="13">
        <f t="shared" si="44"/>
        <v>0.65830854228644287</v>
      </c>
      <c r="AO74">
        <f>SUMIFS(banco!AQ:AQ,banco!$C:$C,$B74,banco!$A:$A,$A74)</f>
        <v>2546</v>
      </c>
      <c r="AP74" s="13">
        <f t="shared" si="45"/>
        <v>0.66009852216748766</v>
      </c>
      <c r="AQ74">
        <f>SUMIFS(banco!AS:AS,banco!$C:$C,$B74,banco!$A:$A,$A74)</f>
        <v>1237</v>
      </c>
      <c r="AR74" s="13">
        <f t="shared" si="46"/>
        <v>0.1752372857345233</v>
      </c>
      <c r="AS74">
        <f>SUMIFS(banco!AU:AU,banco!$C:$C,$B74,banco!$A:$A,$A74)</f>
        <v>580</v>
      </c>
      <c r="AT74" s="13">
        <f t="shared" si="47"/>
        <v>0.15037593984962405</v>
      </c>
      <c r="AU74">
        <f>SUMIFS(banco!AW:AW,banco!$C:$C,$B74,banco!$A:$A,$A74)</f>
        <v>491</v>
      </c>
      <c r="AV74" s="13">
        <f t="shared" si="48"/>
        <v>6.9556594418472867E-2</v>
      </c>
      <c r="AW74">
        <f>SUMIFS(banco!AY:AY,banco!$C:$C,$B74,banco!$A:$A,$A74)</f>
        <v>239</v>
      </c>
      <c r="AX74" s="13">
        <f t="shared" si="49"/>
        <v>6.19652579725175E-2</v>
      </c>
      <c r="AY74">
        <f>SUMIFS(banco!BA:BA,banco!$C:$C,$B74,banco!$A:$A,$A74)</f>
        <v>310</v>
      </c>
      <c r="AZ74" s="13">
        <f t="shared" si="50"/>
        <v>4.3915568777447234E-2</v>
      </c>
      <c r="BA74">
        <f>SUMIFS(banco!BC:BC,banco!$C:$C,$B74,banco!$A:$A,$A74)</f>
        <v>181</v>
      </c>
      <c r="BB74" s="13">
        <f t="shared" si="51"/>
        <v>4.6927663987555095E-2</v>
      </c>
      <c r="BC74">
        <f>SUMIFS(banco!BE:BE,banco!$C:$C,$B74,banco!$A:$A,$A74)</f>
        <v>7059</v>
      </c>
      <c r="BD74">
        <f>SUMIFS(banco!BF:BF,banco!$C:$C,$B74,banco!$A:$A,$A74)</f>
        <v>3857</v>
      </c>
      <c r="BE74">
        <v>9900</v>
      </c>
    </row>
    <row r="75" spans="1:57" x14ac:dyDescent="0.25">
      <c r="A75" s="24">
        <v>2024</v>
      </c>
      <c r="B75" s="22" t="s">
        <v>145</v>
      </c>
      <c r="C75">
        <f>SUMIFS(banco!E:E,banco!$C:$C,$B75,banco!$A:$A,$A75)</f>
        <v>113</v>
      </c>
      <c r="D75" s="13">
        <f t="shared" si="26"/>
        <v>8.7440996672599244E-3</v>
      </c>
      <c r="E75">
        <f>SUMIFS(banco!G:G,banco!$C:$C,$B75,banco!$A:$A,$A75)</f>
        <v>91</v>
      </c>
      <c r="F75" s="13">
        <f t="shared" si="27"/>
        <v>1.0682004930156122E-2</v>
      </c>
      <c r="G75">
        <f>SUMIFS(banco!I:I,banco!$C:$C,$B75,banco!$A:$A,$A75)</f>
        <v>480</v>
      </c>
      <c r="H75" s="13">
        <f t="shared" si="28"/>
        <v>3.7143078232608526E-2</v>
      </c>
      <c r="I75">
        <f>SUMIFS(banco!K:K,banco!$C:$C,$B75,banco!$A:$A,$A75)</f>
        <v>363</v>
      </c>
      <c r="J75" s="13">
        <f t="shared" si="29"/>
        <v>4.2610635051062329E-2</v>
      </c>
      <c r="K75">
        <f>SUMIFS(banco!M:M,banco!$C:$C,$B75,banco!$A:$A,$A75)</f>
        <v>11733</v>
      </c>
      <c r="L75" s="13">
        <f t="shared" si="30"/>
        <v>0.90791611854832466</v>
      </c>
      <c r="M75">
        <f>SUMIFS(banco!O:O,banco!$C:$C,$B75,banco!$A:$A,$A75)</f>
        <v>7647</v>
      </c>
      <c r="N75" s="13">
        <f t="shared" si="31"/>
        <v>0.89764056814180071</v>
      </c>
      <c r="O75">
        <f>SUMIFS(banco!Q:Q,banco!$C:$C,$B75,banco!$A:$A,$A75)</f>
        <v>597</v>
      </c>
      <c r="P75" s="13">
        <f t="shared" si="32"/>
        <v>4.6196703551806856E-2</v>
      </c>
      <c r="Q75">
        <f>SUMIFS(banco!S:S,banco!$C:$C,$B75,banco!$A:$A,$A75)</f>
        <v>418</v>
      </c>
      <c r="R75" s="13">
        <f t="shared" si="33"/>
        <v>4.9066791876980868E-2</v>
      </c>
      <c r="S75">
        <f>SUMIFS(banco!U:U,banco!$C:$C,$B75,banco!$A:$A,$A75)</f>
        <v>762</v>
      </c>
      <c r="T75" s="13">
        <f t="shared" si="34"/>
        <v>5.8964636694266034E-2</v>
      </c>
      <c r="U75">
        <f>SUMIFS(banco!W:W,banco!$C:$C,$B75,banco!$A:$A,$A75)</f>
        <v>626</v>
      </c>
      <c r="V75" s="13">
        <f t="shared" si="35"/>
        <v>7.3482803145909145E-2</v>
      </c>
      <c r="W75">
        <f>SUMIFS(banco!Y:Y,banco!$C:$C,$B75,banco!$A:$A,$A75)</f>
        <v>1145</v>
      </c>
      <c r="X75" s="13">
        <f t="shared" si="36"/>
        <v>8.8601717867368257E-2</v>
      </c>
      <c r="Y75">
        <f>SUMIFS(banco!AA:AA,banco!$C:$C,$B75,banco!$A:$A,$A75)</f>
        <v>847</v>
      </c>
      <c r="Z75" s="13">
        <f t="shared" si="37"/>
        <v>9.9424815119145443E-2</v>
      </c>
      <c r="AA75">
        <f>SUMIFS(banco!AC:AC,banco!$C:$C,$B75,banco!$A:$A,$A75)</f>
        <v>11016</v>
      </c>
      <c r="AB75" s="13">
        <f t="shared" si="38"/>
        <v>0.85243364543836575</v>
      </c>
      <c r="AC75">
        <f>SUMIFS(banco!AE:AE,banco!$C:$C,$B75,banco!$A:$A,$A75)</f>
        <v>7046</v>
      </c>
      <c r="AD75" s="13">
        <f t="shared" si="39"/>
        <v>0.82709238173494537</v>
      </c>
      <c r="AE75">
        <f>SUMIFS(banco!AG:AG,banco!$C:$C,$B75,banco!$A:$A,$A75)</f>
        <v>386</v>
      </c>
      <c r="AF75" s="13">
        <f t="shared" si="40"/>
        <v>2.9869225412056024E-2</v>
      </c>
      <c r="AG75">
        <f>SUMIFS(banco!AI:AI,banco!$C:$C,$B75,banco!$A:$A,$A75)</f>
        <v>366</v>
      </c>
      <c r="AH75" s="13">
        <f t="shared" si="41"/>
        <v>4.2962789059748797E-2</v>
      </c>
      <c r="AI75">
        <f>SUMIFS(banco!AK:AK,banco!$C:$C,$B75,banco!$A:$A,$A75)</f>
        <v>598</v>
      </c>
      <c r="AJ75" s="13">
        <f t="shared" si="42"/>
        <v>4.6274084964791455E-2</v>
      </c>
      <c r="AK75">
        <f>SUMIFS(banco!AM:AM,banco!$C:$C,$B75,banco!$A:$A,$A75)</f>
        <v>485</v>
      </c>
      <c r="AL75" s="13">
        <f t="shared" si="43"/>
        <v>5.6931564737645261E-2</v>
      </c>
      <c r="AM75">
        <f>SUMIFS(banco!AO:AO,banco!$C:$C,$B75,banco!$A:$A,$A75)</f>
        <v>8479</v>
      </c>
      <c r="AN75" s="13">
        <f t="shared" si="44"/>
        <v>0.65611700069643275</v>
      </c>
      <c r="AO75">
        <f>SUMIFS(banco!AQ:AQ,banco!$C:$C,$B75,banco!$A:$A,$A75)</f>
        <v>5481</v>
      </c>
      <c r="AP75" s="13">
        <f t="shared" si="45"/>
        <v>0.64338537387017258</v>
      </c>
      <c r="AQ75">
        <f>SUMIFS(banco!AS:AS,banco!$C:$C,$B75,banco!$A:$A,$A75)</f>
        <v>1938</v>
      </c>
      <c r="AR75" s="13">
        <f t="shared" si="46"/>
        <v>0.14996517836415693</v>
      </c>
      <c r="AS75">
        <f>SUMIFS(banco!AU:AU,banco!$C:$C,$B75,banco!$A:$A,$A75)</f>
        <v>1131</v>
      </c>
      <c r="AT75" s="13">
        <f t="shared" si="47"/>
        <v>0.1327620612747975</v>
      </c>
      <c r="AU75">
        <f>SUMIFS(banco!AW:AW,banco!$C:$C,$B75,banco!$A:$A,$A75)</f>
        <v>874</v>
      </c>
      <c r="AV75" s="13">
        <f t="shared" si="48"/>
        <v>6.7631354948541361E-2</v>
      </c>
      <c r="AW75">
        <f>SUMIFS(banco!AY:AY,banco!$C:$C,$B75,banco!$A:$A,$A75)</f>
        <v>536</v>
      </c>
      <c r="AX75" s="13">
        <f t="shared" si="49"/>
        <v>6.2918182885315171E-2</v>
      </c>
      <c r="AY75">
        <f>SUMIFS(banco!BA:BA,banco!$C:$C,$B75,banco!$A:$A,$A75)</f>
        <v>648</v>
      </c>
      <c r="AZ75" s="13">
        <f t="shared" si="50"/>
        <v>5.0143155614021509E-2</v>
      </c>
      <c r="BA75">
        <f>SUMIFS(banco!BC:BC,banco!$C:$C,$B75,banco!$A:$A,$A75)</f>
        <v>520</v>
      </c>
      <c r="BB75" s="13">
        <f t="shared" si="51"/>
        <v>6.1040028172320696E-2</v>
      </c>
      <c r="BC75">
        <f>SUMIFS(banco!BE:BE,banco!$C:$C,$B75,banco!$A:$A,$A75)</f>
        <v>12923</v>
      </c>
      <c r="BD75">
        <f>SUMIFS(banco!BF:BF,banco!$C:$C,$B75,banco!$A:$A,$A75)</f>
        <v>8519</v>
      </c>
      <c r="BE75">
        <v>16928</v>
      </c>
    </row>
    <row r="76" spans="1:57" x14ac:dyDescent="0.25">
      <c r="A76" s="24">
        <v>2024</v>
      </c>
      <c r="B76" s="22" t="s">
        <v>144</v>
      </c>
      <c r="C76">
        <f>SUMIFS(banco!E:E,banco!$C:$C,$B76,banco!$A:$A,$A76)</f>
        <v>49</v>
      </c>
      <c r="D76" s="13">
        <f t="shared" si="26"/>
        <v>7.1606020751132544E-3</v>
      </c>
      <c r="E76">
        <f>SUMIFS(banco!G:G,banco!$C:$C,$B76,banco!$A:$A,$A76)</f>
        <v>30</v>
      </c>
      <c r="F76" s="13">
        <f t="shared" si="27"/>
        <v>9.0497737556561094E-3</v>
      </c>
      <c r="G76">
        <f>SUMIFS(banco!I:I,banco!$C:$C,$B76,banco!$A:$A,$A76)</f>
        <v>150</v>
      </c>
      <c r="H76" s="13">
        <f t="shared" si="28"/>
        <v>2.1920210434020166E-2</v>
      </c>
      <c r="I76">
        <f>SUMIFS(banco!K:K,banco!$C:$C,$B76,banco!$A:$A,$A76)</f>
        <v>88</v>
      </c>
      <c r="J76" s="13">
        <f t="shared" si="29"/>
        <v>2.6546003016591251E-2</v>
      </c>
      <c r="K76">
        <f>SUMIFS(banco!M:M,banco!$C:$C,$B76,banco!$A:$A,$A76)</f>
        <v>6259</v>
      </c>
      <c r="L76" s="13">
        <f t="shared" si="30"/>
        <v>0.91465731404354811</v>
      </c>
      <c r="M76">
        <f>SUMIFS(banco!O:O,banco!$C:$C,$B76,banco!$A:$A,$A76)</f>
        <v>3029</v>
      </c>
      <c r="N76" s="13">
        <f t="shared" si="31"/>
        <v>0.9137254901960784</v>
      </c>
      <c r="O76">
        <f>SUMIFS(banco!Q:Q,banco!$C:$C,$B76,banco!$A:$A,$A76)</f>
        <v>385</v>
      </c>
      <c r="P76" s="13">
        <f t="shared" si="32"/>
        <v>5.6261873447318429E-2</v>
      </c>
      <c r="Q76">
        <f>SUMIFS(banco!S:S,banco!$C:$C,$B76,banco!$A:$A,$A76)</f>
        <v>168</v>
      </c>
      <c r="R76" s="13">
        <f t="shared" si="33"/>
        <v>5.0678733031674209E-2</v>
      </c>
      <c r="S76">
        <f>SUMIFS(banco!U:U,banco!$C:$C,$B76,banco!$A:$A,$A76)</f>
        <v>297</v>
      </c>
      <c r="T76" s="13">
        <f t="shared" si="34"/>
        <v>4.3402016659359929E-2</v>
      </c>
      <c r="U76">
        <f>SUMIFS(banco!W:W,banco!$C:$C,$B76,banco!$A:$A,$A76)</f>
        <v>216</v>
      </c>
      <c r="V76" s="13">
        <f t="shared" si="35"/>
        <v>6.5158371040723986E-2</v>
      </c>
      <c r="W76">
        <f>SUMIFS(banco!Y:Y,banco!$C:$C,$B76,banco!$A:$A,$A76)</f>
        <v>541</v>
      </c>
      <c r="X76" s="13">
        <f t="shared" si="36"/>
        <v>7.9058892298699404E-2</v>
      </c>
      <c r="Y76">
        <f>SUMIFS(banco!AA:AA,banco!$C:$C,$B76,banco!$A:$A,$A76)</f>
        <v>352</v>
      </c>
      <c r="Z76" s="13">
        <f t="shared" si="37"/>
        <v>0.10618401206636501</v>
      </c>
      <c r="AA76">
        <f>SUMIFS(banco!AC:AC,banco!$C:$C,$B76,banco!$A:$A,$A76)</f>
        <v>6005</v>
      </c>
      <c r="AB76" s="13">
        <f t="shared" si="38"/>
        <v>0.87753909104194072</v>
      </c>
      <c r="AC76">
        <f>SUMIFS(banco!AE:AE,banco!$C:$C,$B76,banco!$A:$A,$A76)</f>
        <v>2747</v>
      </c>
      <c r="AD76" s="13">
        <f t="shared" si="39"/>
        <v>0.82865761689291106</v>
      </c>
      <c r="AE76">
        <f>SUMIFS(banco!AG:AG,banco!$C:$C,$B76,banco!$A:$A,$A76)</f>
        <v>117</v>
      </c>
      <c r="AF76" s="13">
        <f t="shared" si="40"/>
        <v>1.7097764138535729E-2</v>
      </c>
      <c r="AG76">
        <f>SUMIFS(banco!AI:AI,banco!$C:$C,$B76,banco!$A:$A,$A76)</f>
        <v>99</v>
      </c>
      <c r="AH76" s="13">
        <f t="shared" si="41"/>
        <v>2.986425339366516E-2</v>
      </c>
      <c r="AI76">
        <f>SUMIFS(banco!AK:AK,banco!$C:$C,$B76,banco!$A:$A,$A76)</f>
        <v>219</v>
      </c>
      <c r="AJ76" s="13">
        <f t="shared" si="42"/>
        <v>3.2003507233669445E-2</v>
      </c>
      <c r="AK76">
        <f>SUMIFS(banco!AM:AM,banco!$C:$C,$B76,banco!$A:$A,$A76)</f>
        <v>150</v>
      </c>
      <c r="AL76" s="13">
        <f t="shared" si="43"/>
        <v>4.5248868778280542E-2</v>
      </c>
      <c r="AM76">
        <f>SUMIFS(banco!AO:AO,banco!$C:$C,$B76,banco!$A:$A,$A76)</f>
        <v>4429</v>
      </c>
      <c r="AN76" s="13">
        <f t="shared" si="44"/>
        <v>0.64723074674850212</v>
      </c>
      <c r="AO76">
        <f>SUMIFS(banco!AQ:AQ,banco!$C:$C,$B76,banco!$A:$A,$A76)</f>
        <v>2156</v>
      </c>
      <c r="AP76" s="13">
        <f t="shared" si="45"/>
        <v>0.65037707390648569</v>
      </c>
      <c r="AQ76">
        <f>SUMIFS(banco!AS:AS,banco!$C:$C,$B76,banco!$A:$A,$A76)</f>
        <v>1203</v>
      </c>
      <c r="AR76" s="13">
        <f t="shared" si="46"/>
        <v>0.17580008768084174</v>
      </c>
      <c r="AS76">
        <f>SUMIFS(banco!AU:AU,banco!$C:$C,$B76,banco!$A:$A,$A76)</f>
        <v>487</v>
      </c>
      <c r="AT76" s="13">
        <f t="shared" si="47"/>
        <v>0.1469079939668175</v>
      </c>
      <c r="AU76">
        <f>SUMIFS(banco!AW:AW,banco!$C:$C,$B76,banco!$A:$A,$A76)</f>
        <v>526</v>
      </c>
      <c r="AV76" s="13">
        <f t="shared" si="48"/>
        <v>7.6866871255297384E-2</v>
      </c>
      <c r="AW76">
        <f>SUMIFS(banco!AY:AY,banco!$C:$C,$B76,banco!$A:$A,$A76)</f>
        <v>216</v>
      </c>
      <c r="AX76" s="13">
        <f t="shared" si="49"/>
        <v>6.5158371040723986E-2</v>
      </c>
      <c r="AY76">
        <f>SUMIFS(banco!BA:BA,banco!$C:$C,$B76,banco!$A:$A,$A76)</f>
        <v>349</v>
      </c>
      <c r="AZ76" s="13">
        <f t="shared" si="50"/>
        <v>5.100102294315359E-2</v>
      </c>
      <c r="BA76">
        <f>SUMIFS(banco!BC:BC,banco!$C:$C,$B76,banco!$A:$A,$A76)</f>
        <v>207</v>
      </c>
      <c r="BB76" s="13">
        <f t="shared" si="51"/>
        <v>6.244343891402715E-2</v>
      </c>
      <c r="BC76">
        <f>SUMIFS(banco!BE:BE,banco!$C:$C,$B76,banco!$A:$A,$A76)</f>
        <v>6843</v>
      </c>
      <c r="BD76">
        <f>SUMIFS(banco!BF:BF,banco!$C:$C,$B76,banco!$A:$A,$A76)</f>
        <v>3315</v>
      </c>
      <c r="BE76">
        <v>10353</v>
      </c>
    </row>
    <row r="77" spans="1:57" x14ac:dyDescent="0.25">
      <c r="A77" s="24">
        <v>2024</v>
      </c>
      <c r="B77" s="22" t="s">
        <v>148</v>
      </c>
      <c r="C77">
        <f>SUMIFS(banco!E:E,banco!$C:$C,$B77,banco!$A:$A,$A77)</f>
        <v>150</v>
      </c>
      <c r="D77" s="13">
        <f t="shared" si="26"/>
        <v>8.3991264908449513E-3</v>
      </c>
      <c r="E77">
        <f>SUMIFS(banco!G:G,banco!$C:$C,$B77,banco!$A:$A,$A77)</f>
        <v>117</v>
      </c>
      <c r="F77" s="13">
        <f t="shared" si="27"/>
        <v>1.3013013013013013E-2</v>
      </c>
      <c r="G77">
        <f>SUMIFS(banco!I:I,banco!$C:$C,$B77,banco!$A:$A,$A77)</f>
        <v>534</v>
      </c>
      <c r="H77" s="13">
        <f t="shared" si="28"/>
        <v>2.9900890307408029E-2</v>
      </c>
      <c r="I77">
        <f>SUMIFS(banco!K:K,banco!$C:$C,$B77,banco!$A:$A,$A77)</f>
        <v>338</v>
      </c>
      <c r="J77" s="13">
        <f t="shared" si="29"/>
        <v>3.7593148704259817E-2</v>
      </c>
      <c r="K77">
        <f>SUMIFS(banco!M:M,banco!$C:$C,$B77,banco!$A:$A,$A77)</f>
        <v>16124</v>
      </c>
      <c r="L77" s="13">
        <f t="shared" si="30"/>
        <v>0.90285010358922668</v>
      </c>
      <c r="M77">
        <f>SUMIFS(banco!O:O,banco!$C:$C,$B77,banco!$A:$A,$A77)</f>
        <v>7997</v>
      </c>
      <c r="N77" s="13">
        <f t="shared" si="31"/>
        <v>0.88944500055611164</v>
      </c>
      <c r="O77">
        <f>SUMIFS(banco!Q:Q,banco!$C:$C,$B77,banco!$A:$A,$A77)</f>
        <v>1051</v>
      </c>
      <c r="P77" s="13">
        <f t="shared" si="32"/>
        <v>5.8849879612520299E-2</v>
      </c>
      <c r="Q77">
        <f>SUMIFS(banco!S:S,banco!$C:$C,$B77,banco!$A:$A,$A77)</f>
        <v>539</v>
      </c>
      <c r="R77" s="13">
        <f t="shared" si="33"/>
        <v>5.9948837726615502E-2</v>
      </c>
      <c r="S77">
        <f>SUMIFS(banco!U:U,banco!$C:$C,$B77,banco!$A:$A,$A77)</f>
        <v>986</v>
      </c>
      <c r="T77" s="13">
        <f t="shared" si="34"/>
        <v>5.5210258133154153E-2</v>
      </c>
      <c r="U77">
        <f>SUMIFS(banco!W:W,banco!$C:$C,$B77,banco!$A:$A,$A77)</f>
        <v>779</v>
      </c>
      <c r="V77" s="13">
        <f t="shared" si="35"/>
        <v>8.6642197753308864E-2</v>
      </c>
      <c r="W77">
        <f>SUMIFS(banco!Y:Y,banco!$C:$C,$B77,banco!$A:$A,$A77)</f>
        <v>1460</v>
      </c>
      <c r="X77" s="13">
        <f t="shared" si="36"/>
        <v>8.1751497844224197E-2</v>
      </c>
      <c r="Y77">
        <f>SUMIFS(banco!AA:AA,banco!$C:$C,$B77,banco!$A:$A,$A77)</f>
        <v>960</v>
      </c>
      <c r="Z77" s="13">
        <f t="shared" si="37"/>
        <v>0.10677344010677343</v>
      </c>
      <c r="AA77">
        <f>SUMIFS(banco!AC:AC,banco!$C:$C,$B77,banco!$A:$A,$A77)</f>
        <v>15414</v>
      </c>
      <c r="AB77" s="13">
        <f t="shared" si="38"/>
        <v>0.86309423819922726</v>
      </c>
      <c r="AC77">
        <f>SUMIFS(banco!AE:AE,banco!$C:$C,$B77,banco!$A:$A,$A77)</f>
        <v>7253</v>
      </c>
      <c r="AD77" s="13">
        <f t="shared" si="39"/>
        <v>0.8066955844733622</v>
      </c>
      <c r="AE77">
        <f>SUMIFS(banco!AG:AG,banco!$C:$C,$B77,banco!$A:$A,$A77)</f>
        <v>463</v>
      </c>
      <c r="AF77" s="13">
        <f t="shared" si="40"/>
        <v>2.5925303768408084E-2</v>
      </c>
      <c r="AG77">
        <f>SUMIFS(banco!AI:AI,banco!$C:$C,$B77,banco!$A:$A,$A77)</f>
        <v>410</v>
      </c>
      <c r="AH77" s="13">
        <f t="shared" si="41"/>
        <v>4.5601156712267825E-2</v>
      </c>
      <c r="AI77">
        <f>SUMIFS(banco!AK:AK,banco!$C:$C,$B77,banco!$A:$A,$A77)</f>
        <v>604</v>
      </c>
      <c r="AJ77" s="13">
        <f t="shared" si="42"/>
        <v>3.3820482669802338E-2</v>
      </c>
      <c r="AK77">
        <f>SUMIFS(banco!AM:AM,banco!$C:$C,$B77,banco!$A:$A,$A77)</f>
        <v>434</v>
      </c>
      <c r="AL77" s="13">
        <f t="shared" si="43"/>
        <v>4.8270492714937156E-2</v>
      </c>
      <c r="AM77">
        <f>SUMIFS(banco!AO:AO,banco!$C:$C,$B77,banco!$A:$A,$A77)</f>
        <v>11044</v>
      </c>
      <c r="AN77" s="13">
        <f t="shared" si="44"/>
        <v>0.61839968643261101</v>
      </c>
      <c r="AO77">
        <f>SUMIFS(banco!AQ:AQ,banco!$C:$C,$B77,banco!$A:$A,$A77)</f>
        <v>5359</v>
      </c>
      <c r="AP77" s="13">
        <f t="shared" si="45"/>
        <v>0.59604048492937378</v>
      </c>
      <c r="AQ77">
        <f>SUMIFS(banco!AS:AS,banco!$C:$C,$B77,banco!$A:$A,$A77)</f>
        <v>3295</v>
      </c>
      <c r="AR77" s="13">
        <f t="shared" si="46"/>
        <v>0.18450081191556078</v>
      </c>
      <c r="AS77">
        <f>SUMIFS(banco!AU:AU,banco!$C:$C,$B77,banco!$A:$A,$A77)</f>
        <v>1424</v>
      </c>
      <c r="AT77" s="13">
        <f t="shared" si="47"/>
        <v>0.15838060282504726</v>
      </c>
      <c r="AU77">
        <f>SUMIFS(banco!AW:AW,banco!$C:$C,$B77,banco!$A:$A,$A77)</f>
        <v>1489</v>
      </c>
      <c r="AV77" s="13">
        <f t="shared" si="48"/>
        <v>8.337532896578756E-2</v>
      </c>
      <c r="AW77">
        <f>SUMIFS(banco!AY:AY,banco!$C:$C,$B77,banco!$A:$A,$A77)</f>
        <v>705</v>
      </c>
      <c r="AX77" s="13">
        <f t="shared" si="49"/>
        <v>7.841174507841174E-2</v>
      </c>
      <c r="AY77">
        <f>SUMIFS(banco!BA:BA,banco!$C:$C,$B77,banco!$A:$A,$A77)</f>
        <v>966</v>
      </c>
      <c r="AZ77" s="13">
        <f t="shared" si="50"/>
        <v>5.4090374601041491E-2</v>
      </c>
      <c r="BA77">
        <f>SUMIFS(banco!BC:BC,banco!$C:$C,$B77,banco!$A:$A,$A77)</f>
        <v>661</v>
      </c>
      <c r="BB77" s="13">
        <f t="shared" si="51"/>
        <v>7.3517962406851295E-2</v>
      </c>
      <c r="BC77">
        <f>SUMIFS(banco!BE:BE,banco!$C:$C,$B77,banco!$A:$A,$A77)</f>
        <v>17859</v>
      </c>
      <c r="BD77">
        <f>SUMIFS(banco!BF:BF,banco!$C:$C,$B77,banco!$A:$A,$A77)</f>
        <v>8991</v>
      </c>
      <c r="BE77">
        <v>31007</v>
      </c>
    </row>
    <row r="78" spans="1:57" x14ac:dyDescent="0.25">
      <c r="A78" s="24">
        <v>2024</v>
      </c>
      <c r="B78" s="22" t="s">
        <v>150</v>
      </c>
      <c r="C78">
        <f>SUMIFS(banco!E:E,banco!$C:$C,$B78,banco!$A:$A,$A78)</f>
        <v>80</v>
      </c>
      <c r="D78" s="13">
        <f t="shared" si="26"/>
        <v>9.9700897308075773E-3</v>
      </c>
      <c r="E78">
        <f>SUMIFS(banco!G:G,banco!$C:$C,$B78,banco!$A:$A,$A78)</f>
        <v>45</v>
      </c>
      <c r="F78" s="13">
        <f t="shared" si="27"/>
        <v>9.8835932352295194E-3</v>
      </c>
      <c r="G78">
        <f>SUMIFS(banco!I:I,banco!$C:$C,$B78,banco!$A:$A,$A78)</f>
        <v>227</v>
      </c>
      <c r="H78" s="13">
        <f t="shared" si="28"/>
        <v>2.82901296111665E-2</v>
      </c>
      <c r="I78">
        <f>SUMIFS(banco!K:K,banco!$C:$C,$B78,banco!$A:$A,$A78)</f>
        <v>148</v>
      </c>
      <c r="J78" s="13">
        <f t="shared" si="29"/>
        <v>3.2506039973643749E-2</v>
      </c>
      <c r="K78">
        <f>SUMIFS(banco!M:M,banco!$C:$C,$B78,banco!$A:$A,$A78)</f>
        <v>7274</v>
      </c>
      <c r="L78" s="13">
        <f t="shared" si="30"/>
        <v>0.90653040877367896</v>
      </c>
      <c r="M78">
        <f>SUMIFS(banco!O:O,banco!$C:$C,$B78,banco!$A:$A,$A78)</f>
        <v>4075</v>
      </c>
      <c r="N78" s="13">
        <f t="shared" si="31"/>
        <v>0.89501427630133978</v>
      </c>
      <c r="O78">
        <f>SUMIFS(banco!Q:Q,banco!$C:$C,$B78,banco!$A:$A,$A78)</f>
        <v>443</v>
      </c>
      <c r="P78" s="13">
        <f t="shared" si="32"/>
        <v>5.5209371884346957E-2</v>
      </c>
      <c r="Q78">
        <f>SUMIFS(banco!S:S,banco!$C:$C,$B78,banco!$A:$A,$A78)</f>
        <v>285</v>
      </c>
      <c r="R78" s="13">
        <f t="shared" si="33"/>
        <v>6.2596090489786954E-2</v>
      </c>
      <c r="S78">
        <f>SUMIFS(banco!U:U,banco!$C:$C,$B78,banco!$A:$A,$A78)</f>
        <v>444</v>
      </c>
      <c r="T78" s="13">
        <f t="shared" si="34"/>
        <v>5.533399800598205E-2</v>
      </c>
      <c r="U78">
        <f>SUMIFS(banco!W:W,banco!$C:$C,$B78,banco!$A:$A,$A78)</f>
        <v>292</v>
      </c>
      <c r="V78" s="13">
        <f t="shared" si="35"/>
        <v>6.4133538326378206E-2</v>
      </c>
      <c r="W78">
        <f>SUMIFS(banco!Y:Y,banco!$C:$C,$B78,banco!$A:$A,$A78)</f>
        <v>687</v>
      </c>
      <c r="X78" s="13">
        <f t="shared" si="36"/>
        <v>8.5618145563310072E-2</v>
      </c>
      <c r="Y78">
        <f>SUMIFS(banco!AA:AA,banco!$C:$C,$B78,banco!$A:$A,$A78)</f>
        <v>474</v>
      </c>
      <c r="Z78" s="13">
        <f t="shared" si="37"/>
        <v>0.10410718207775094</v>
      </c>
      <c r="AA78">
        <f>SUMIFS(banco!AC:AC,banco!$C:$C,$B78,banco!$A:$A,$A78)</f>
        <v>6893</v>
      </c>
      <c r="AB78" s="13">
        <f t="shared" si="38"/>
        <v>0.85904785643070791</v>
      </c>
      <c r="AC78">
        <f>SUMIFS(banco!AE:AE,banco!$C:$C,$B78,banco!$A:$A,$A78)</f>
        <v>3787</v>
      </c>
      <c r="AD78" s="13">
        <f t="shared" si="39"/>
        <v>0.83175927959587082</v>
      </c>
      <c r="AE78">
        <f>SUMIFS(banco!AG:AG,banco!$C:$C,$B78,banco!$A:$A,$A78)</f>
        <v>202</v>
      </c>
      <c r="AF78" s="13">
        <f t="shared" si="40"/>
        <v>2.5174476570289133E-2</v>
      </c>
      <c r="AG78">
        <f>SUMIFS(banco!AI:AI,banco!$C:$C,$B78,banco!$A:$A,$A78)</f>
        <v>174</v>
      </c>
      <c r="AH78" s="13">
        <f t="shared" si="41"/>
        <v>3.8216560509554139E-2</v>
      </c>
      <c r="AI78">
        <f>SUMIFS(banco!AK:AK,banco!$C:$C,$B78,banco!$A:$A,$A78)</f>
        <v>250</v>
      </c>
      <c r="AJ78" s="13">
        <f t="shared" si="42"/>
        <v>3.115653040877368E-2</v>
      </c>
      <c r="AK78">
        <f>SUMIFS(banco!AM:AM,banco!$C:$C,$B78,banco!$A:$A,$A78)</f>
        <v>183</v>
      </c>
      <c r="AL78" s="13">
        <f t="shared" si="43"/>
        <v>4.0193279156600044E-2</v>
      </c>
      <c r="AM78">
        <f>SUMIFS(banco!AO:AO,banco!$C:$C,$B78,banco!$A:$A,$A78)</f>
        <v>5044</v>
      </c>
      <c r="AN78" s="13">
        <f t="shared" si="44"/>
        <v>0.62861415752741778</v>
      </c>
      <c r="AO78">
        <f>SUMIFS(banco!AQ:AQ,banco!$C:$C,$B78,banco!$A:$A,$A78)</f>
        <v>2752</v>
      </c>
      <c r="AP78" s="13">
        <f t="shared" si="45"/>
        <v>0.60443663518559188</v>
      </c>
      <c r="AQ78">
        <f>SUMIFS(banco!AS:AS,banco!$C:$C,$B78,banco!$A:$A,$A78)</f>
        <v>1453</v>
      </c>
      <c r="AR78" s="13">
        <f t="shared" si="46"/>
        <v>0.18108175473579263</v>
      </c>
      <c r="AS78">
        <f>SUMIFS(banco!AU:AU,banco!$C:$C,$B78,banco!$A:$A,$A78)</f>
        <v>784</v>
      </c>
      <c r="AT78" s="13">
        <f t="shared" si="47"/>
        <v>0.17219415769822094</v>
      </c>
      <c r="AU78">
        <f>SUMIFS(banco!AW:AW,banco!$C:$C,$B78,banco!$A:$A,$A78)</f>
        <v>642</v>
      </c>
      <c r="AV78" s="13">
        <f t="shared" si="48"/>
        <v>8.0009970089730806E-2</v>
      </c>
      <c r="AW78">
        <f>SUMIFS(banco!AY:AY,banco!$C:$C,$B78,banco!$A:$A,$A78)</f>
        <v>351</v>
      </c>
      <c r="AX78" s="13">
        <f t="shared" si="49"/>
        <v>7.709202723479025E-2</v>
      </c>
      <c r="AY78">
        <f>SUMIFS(banco!BA:BA,banco!$C:$C,$B78,banco!$A:$A,$A78)</f>
        <v>433</v>
      </c>
      <c r="AZ78" s="13">
        <f t="shared" si="50"/>
        <v>5.3963110667996014E-2</v>
      </c>
      <c r="BA78">
        <f>SUMIFS(banco!BC:BC,banco!$C:$C,$B78,banco!$A:$A,$A78)</f>
        <v>309</v>
      </c>
      <c r="BB78" s="13">
        <f t="shared" si="51"/>
        <v>6.7867340215242697E-2</v>
      </c>
      <c r="BC78">
        <f>SUMIFS(banco!BE:BE,banco!$C:$C,$B78,banco!$A:$A,$A78)</f>
        <v>8024</v>
      </c>
      <c r="BD78">
        <f>SUMIFS(banco!BF:BF,banco!$C:$C,$B78,banco!$A:$A,$A78)</f>
        <v>4553</v>
      </c>
      <c r="BE78">
        <v>11999</v>
      </c>
    </row>
    <row r="79" spans="1:57" x14ac:dyDescent="0.25">
      <c r="A79" s="24">
        <v>2024</v>
      </c>
      <c r="B79" s="22" t="s">
        <v>146</v>
      </c>
      <c r="C79">
        <f>SUMIFS(banco!E:E,banco!$C:$C,$B79,banco!$A:$A,$A79)</f>
        <v>82</v>
      </c>
      <c r="D79" s="13">
        <f t="shared" si="26"/>
        <v>9.2021097519919201E-3</v>
      </c>
      <c r="E79">
        <f>SUMIFS(banco!G:G,banco!$C:$C,$B79,banco!$A:$A,$A79)</f>
        <v>91</v>
      </c>
      <c r="F79" s="13">
        <f t="shared" si="27"/>
        <v>1.8372703412073491E-2</v>
      </c>
      <c r="G79">
        <f>SUMIFS(banco!I:I,banco!$C:$C,$B79,banco!$A:$A,$A79)</f>
        <v>308</v>
      </c>
      <c r="H79" s="13">
        <f t="shared" si="28"/>
        <v>3.4564021995286721E-2</v>
      </c>
      <c r="I79">
        <f>SUMIFS(banco!K:K,banco!$C:$C,$B79,banco!$A:$A,$A79)</f>
        <v>272</v>
      </c>
      <c r="J79" s="13">
        <f t="shared" si="29"/>
        <v>5.4916212396527359E-2</v>
      </c>
      <c r="K79">
        <f>SUMIFS(banco!M:M,banco!$C:$C,$B79,banco!$A:$A,$A79)</f>
        <v>7993</v>
      </c>
      <c r="L79" s="13">
        <f t="shared" si="30"/>
        <v>0.89698125911794413</v>
      </c>
      <c r="M79">
        <f>SUMIFS(banco!O:O,banco!$C:$C,$B79,banco!$A:$A,$A79)</f>
        <v>4287</v>
      </c>
      <c r="N79" s="13">
        <f t="shared" si="31"/>
        <v>0.86553603876438523</v>
      </c>
      <c r="O79">
        <f>SUMIFS(banco!Q:Q,banco!$C:$C,$B79,banco!$A:$A,$A79)</f>
        <v>528</v>
      </c>
      <c r="P79" s="13">
        <f t="shared" si="32"/>
        <v>5.9252609134777243E-2</v>
      </c>
      <c r="Q79">
        <f>SUMIFS(banco!S:S,banco!$C:$C,$B79,banco!$A:$A,$A79)</f>
        <v>303</v>
      </c>
      <c r="R79" s="13">
        <f t="shared" si="33"/>
        <v>6.1175045427013929E-2</v>
      </c>
      <c r="S79">
        <f>SUMIFS(banco!U:U,banco!$C:$C,$B79,banco!$A:$A,$A79)</f>
        <v>356</v>
      </c>
      <c r="T79" s="13">
        <f t="shared" si="34"/>
        <v>3.9950622825721017E-2</v>
      </c>
      <c r="U79">
        <f>SUMIFS(banco!W:W,banco!$C:$C,$B79,banco!$A:$A,$A79)</f>
        <v>297</v>
      </c>
      <c r="V79" s="13">
        <f t="shared" si="35"/>
        <v>5.9963658388855243E-2</v>
      </c>
      <c r="W79">
        <f>SUMIFS(banco!Y:Y,banco!$C:$C,$B79,banco!$A:$A,$A79)</f>
        <v>753</v>
      </c>
      <c r="X79" s="13">
        <f t="shared" si="36"/>
        <v>8.4502300527437998E-2</v>
      </c>
      <c r="Y79">
        <f>SUMIFS(banco!AA:AA,banco!$C:$C,$B79,banco!$A:$A,$A79)</f>
        <v>537</v>
      </c>
      <c r="Z79" s="13">
        <f t="shared" si="37"/>
        <v>0.10841913991520291</v>
      </c>
      <c r="AA79">
        <f>SUMIFS(banco!AC:AC,banco!$C:$C,$B79,banco!$A:$A,$A79)</f>
        <v>7803</v>
      </c>
      <c r="AB79" s="13">
        <f t="shared" si="38"/>
        <v>0.87565929749747506</v>
      </c>
      <c r="AC79">
        <f>SUMIFS(banco!AE:AE,banco!$C:$C,$B79,banco!$A:$A,$A79)</f>
        <v>4121</v>
      </c>
      <c r="AD79" s="13">
        <f t="shared" si="39"/>
        <v>0.83202099737532809</v>
      </c>
      <c r="AE79">
        <f>SUMIFS(banco!AG:AG,banco!$C:$C,$B79,banco!$A:$A,$A79)</f>
        <v>351</v>
      </c>
      <c r="AF79" s="13">
        <f t="shared" si="40"/>
        <v>3.9389518572550783E-2</v>
      </c>
      <c r="AG79">
        <f>SUMIFS(banco!AI:AI,banco!$C:$C,$B79,banco!$A:$A,$A79)</f>
        <v>398</v>
      </c>
      <c r="AH79" s="13">
        <f t="shared" si="41"/>
        <v>8.0355340197859879E-2</v>
      </c>
      <c r="AI79">
        <f>SUMIFS(banco!AK:AK,banco!$C:$C,$B79,banco!$A:$A,$A79)</f>
        <v>301</v>
      </c>
      <c r="AJ79" s="13">
        <f t="shared" si="42"/>
        <v>3.3778476040848389E-2</v>
      </c>
      <c r="AK79">
        <f>SUMIFS(banco!AM:AM,banco!$C:$C,$B79,banco!$A:$A,$A79)</f>
        <v>250</v>
      </c>
      <c r="AL79" s="13">
        <f t="shared" si="43"/>
        <v>5.0474459923278821E-2</v>
      </c>
      <c r="AM79">
        <f>SUMIFS(banco!AO:AO,banco!$C:$C,$B79,banco!$A:$A,$A79)</f>
        <v>5740</v>
      </c>
      <c r="AN79" s="13">
        <f t="shared" si="44"/>
        <v>0.64414768263943445</v>
      </c>
      <c r="AO79">
        <f>SUMIFS(banco!AQ:AQ,banco!$C:$C,$B79,banco!$A:$A,$A79)</f>
        <v>3110</v>
      </c>
      <c r="AP79" s="13">
        <f t="shared" si="45"/>
        <v>0.62790228144558857</v>
      </c>
      <c r="AQ79">
        <f>SUMIFS(banco!AS:AS,banco!$C:$C,$B79,banco!$A:$A,$A79)</f>
        <v>1507</v>
      </c>
      <c r="AR79" s="13">
        <f t="shared" si="46"/>
        <v>0.16911682190551006</v>
      </c>
      <c r="AS79">
        <f>SUMIFS(banco!AU:AU,banco!$C:$C,$B79,banco!$A:$A,$A79)</f>
        <v>656</v>
      </c>
      <c r="AT79" s="13">
        <f t="shared" si="47"/>
        <v>0.13244498283868364</v>
      </c>
      <c r="AU79">
        <f>SUMIFS(banco!AW:AW,banco!$C:$C,$B79,banco!$A:$A,$A79)</f>
        <v>606</v>
      </c>
      <c r="AV79" s="13">
        <f t="shared" si="48"/>
        <v>6.8005835484232974E-2</v>
      </c>
      <c r="AW79">
        <f>SUMIFS(banco!AY:AY,banco!$C:$C,$B79,banco!$A:$A,$A79)</f>
        <v>297</v>
      </c>
      <c r="AX79" s="13">
        <f t="shared" si="49"/>
        <v>5.9963658388855243E-2</v>
      </c>
      <c r="AY79">
        <f>SUMIFS(banco!BA:BA,banco!$C:$C,$B79,banco!$A:$A,$A79)</f>
        <v>407</v>
      </c>
      <c r="AZ79" s="13">
        <f t="shared" si="50"/>
        <v>4.5673886208057457E-2</v>
      </c>
      <c r="BA79">
        <f>SUMIFS(banco!BC:BC,banco!$C:$C,$B79,banco!$A:$A,$A79)</f>
        <v>244</v>
      </c>
      <c r="BB79" s="13">
        <f t="shared" si="51"/>
        <v>4.9263072885120128E-2</v>
      </c>
      <c r="BC79">
        <f>SUMIFS(banco!BE:BE,banco!$C:$C,$B79,banco!$A:$A,$A79)</f>
        <v>8911</v>
      </c>
      <c r="BD79">
        <f>SUMIFS(banco!BF:BF,banco!$C:$C,$B79,banco!$A:$A,$A79)</f>
        <v>4953</v>
      </c>
      <c r="BE79">
        <v>13158</v>
      </c>
    </row>
    <row r="80" spans="1:57" x14ac:dyDescent="0.25">
      <c r="A80" s="24">
        <v>2024</v>
      </c>
      <c r="B80" s="22" t="s">
        <v>149</v>
      </c>
      <c r="C80">
        <f>SUMIFS(banco!E:E,banco!$C:$C,$B80,banco!$A:$A,$A80)</f>
        <v>149</v>
      </c>
      <c r="D80" s="13">
        <f t="shared" si="26"/>
        <v>9.3604724211584361E-3</v>
      </c>
      <c r="E80">
        <f>SUMIFS(banco!G:G,banco!$C:$C,$B80,banco!$A:$A,$A80)</f>
        <v>82</v>
      </c>
      <c r="F80" s="13">
        <f t="shared" si="27"/>
        <v>9.3703576734087534E-3</v>
      </c>
      <c r="G80">
        <f>SUMIFS(banco!I:I,banco!$C:$C,$B80,banco!$A:$A,$A80)</f>
        <v>484</v>
      </c>
      <c r="H80" s="13">
        <f t="shared" si="28"/>
        <v>3.0405829878125394E-2</v>
      </c>
      <c r="I80">
        <f>SUMIFS(banco!K:K,banco!$C:$C,$B80,banco!$A:$A,$A80)</f>
        <v>324</v>
      </c>
      <c r="J80" s="13">
        <f t="shared" si="29"/>
        <v>3.7024340075419951E-2</v>
      </c>
      <c r="K80">
        <f>SUMIFS(banco!M:M,banco!$C:$C,$B80,banco!$A:$A,$A80)</f>
        <v>14471</v>
      </c>
      <c r="L80" s="13">
        <f t="shared" si="30"/>
        <v>0.90909662017841442</v>
      </c>
      <c r="M80">
        <f>SUMIFS(banco!O:O,banco!$C:$C,$B80,banco!$A:$A,$A80)</f>
        <v>7942</v>
      </c>
      <c r="N80" s="13">
        <f t="shared" si="31"/>
        <v>0.9075534224660039</v>
      </c>
      <c r="O80">
        <f>SUMIFS(banco!Q:Q,banco!$C:$C,$B80,banco!$A:$A,$A80)</f>
        <v>814</v>
      </c>
      <c r="P80" s="13">
        <f t="shared" si="32"/>
        <v>5.1137077522301795E-2</v>
      </c>
      <c r="Q80">
        <f>SUMIFS(banco!S:S,banco!$C:$C,$B80,banco!$A:$A,$A80)</f>
        <v>403</v>
      </c>
      <c r="R80" s="13">
        <f t="shared" si="33"/>
        <v>4.6051879785167407E-2</v>
      </c>
      <c r="S80">
        <f>SUMIFS(banco!U:U,banco!$C:$C,$B80,banco!$A:$A,$A80)</f>
        <v>750</v>
      </c>
      <c r="T80" s="13">
        <f t="shared" si="34"/>
        <v>4.7116471918582738E-2</v>
      </c>
      <c r="U80">
        <f>SUMIFS(banco!W:W,banco!$C:$C,$B80,banco!$A:$A,$A80)</f>
        <v>472</v>
      </c>
      <c r="V80" s="13">
        <f t="shared" si="35"/>
        <v>5.3936692949377217E-2</v>
      </c>
      <c r="W80">
        <f>SUMIFS(banco!Y:Y,banco!$C:$C,$B80,banco!$A:$A,$A80)</f>
        <v>1067</v>
      </c>
      <c r="X80" s="13">
        <f t="shared" si="36"/>
        <v>6.703103404950371E-2</v>
      </c>
      <c r="Y80">
        <f>SUMIFS(banco!AA:AA,banco!$C:$C,$B80,banco!$A:$A,$A80)</f>
        <v>663</v>
      </c>
      <c r="Z80" s="13">
        <f t="shared" si="37"/>
        <v>7.5762769969146382E-2</v>
      </c>
      <c r="AA80">
        <f>SUMIFS(banco!AC:AC,banco!$C:$C,$B80,banco!$A:$A,$A80)</f>
        <v>14101</v>
      </c>
      <c r="AB80" s="13">
        <f t="shared" si="38"/>
        <v>0.88585249403191357</v>
      </c>
      <c r="AC80">
        <f>SUMIFS(banco!AE:AE,banco!$C:$C,$B80,banco!$A:$A,$A80)</f>
        <v>7616</v>
      </c>
      <c r="AD80" s="13">
        <f t="shared" si="39"/>
        <v>0.87030053708147637</v>
      </c>
      <c r="AE80">
        <f>SUMIFS(banco!AG:AG,banco!$C:$C,$B80,banco!$A:$A,$A80)</f>
        <v>437</v>
      </c>
      <c r="AF80" s="13">
        <f t="shared" si="40"/>
        <v>2.7453197637894208E-2</v>
      </c>
      <c r="AG80">
        <f>SUMIFS(banco!AI:AI,banco!$C:$C,$B80,banco!$A:$A,$A80)</f>
        <v>321</v>
      </c>
      <c r="AH80" s="13">
        <f t="shared" si="41"/>
        <v>3.6681522111758659E-2</v>
      </c>
      <c r="AI80">
        <f>SUMIFS(banco!AK:AK,banco!$C:$C,$B80,banco!$A:$A,$A80)</f>
        <v>638</v>
      </c>
      <c r="AJ80" s="13">
        <f t="shared" si="42"/>
        <v>4.008041211207438E-2</v>
      </c>
      <c r="AK80">
        <f>SUMIFS(banco!AM:AM,banco!$C:$C,$B80,banco!$A:$A,$A80)</f>
        <v>476</v>
      </c>
      <c r="AL80" s="13">
        <f t="shared" si="43"/>
        <v>5.4393783567592273E-2</v>
      </c>
      <c r="AM80">
        <f>SUMIFS(banco!AO:AO,banco!$C:$C,$B80,banco!$A:$A,$A80)</f>
        <v>10589</v>
      </c>
      <c r="AN80" s="13">
        <f t="shared" si="44"/>
        <v>0.66522176152783008</v>
      </c>
      <c r="AO80">
        <f>SUMIFS(banco!AQ:AQ,banco!$C:$C,$B80,banco!$A:$A,$A80)</f>
        <v>5897</v>
      </c>
      <c r="AP80" s="13">
        <f t="shared" si="45"/>
        <v>0.67386584390355386</v>
      </c>
      <c r="AQ80">
        <f>SUMIFS(banco!AS:AS,banco!$C:$C,$B80,banco!$A:$A,$A80)</f>
        <v>2518</v>
      </c>
      <c r="AR80" s="13">
        <f t="shared" si="46"/>
        <v>0.15818570172132176</v>
      </c>
      <c r="AS80">
        <f>SUMIFS(banco!AU:AU,banco!$C:$C,$B80,banco!$A:$A,$A80)</f>
        <v>1225</v>
      </c>
      <c r="AT80" s="13">
        <f t="shared" si="47"/>
        <v>0.13998400182836249</v>
      </c>
      <c r="AU80">
        <f>SUMIFS(banco!AW:AW,banco!$C:$C,$B80,banco!$A:$A,$A80)</f>
        <v>998</v>
      </c>
      <c r="AV80" s="13">
        <f t="shared" si="48"/>
        <v>6.2696318632994089E-2</v>
      </c>
      <c r="AW80">
        <f>SUMIFS(banco!AY:AY,banco!$C:$C,$B80,banco!$A:$A,$A80)</f>
        <v>441</v>
      </c>
      <c r="AX80" s="13">
        <f t="shared" si="49"/>
        <v>5.0394240658210493E-2</v>
      </c>
      <c r="AY80">
        <f>SUMIFS(banco!BA:BA,banco!$C:$C,$B80,banco!$A:$A,$A80)</f>
        <v>738</v>
      </c>
      <c r="AZ80" s="13">
        <f t="shared" si="50"/>
        <v>4.6362608367885416E-2</v>
      </c>
      <c r="BA80">
        <f>SUMIFS(banco!BC:BC,banco!$C:$C,$B80,banco!$A:$A,$A80)</f>
        <v>391</v>
      </c>
      <c r="BB80" s="13">
        <f t="shared" si="51"/>
        <v>4.4680607930522226E-2</v>
      </c>
      <c r="BC80">
        <f>SUMIFS(banco!BE:BE,banco!$C:$C,$B80,banco!$A:$A,$A80)</f>
        <v>15918</v>
      </c>
      <c r="BD80">
        <f>SUMIFS(banco!BF:BF,banco!$C:$C,$B80,banco!$A:$A,$A80)</f>
        <v>8751</v>
      </c>
      <c r="BE80">
        <v>23300</v>
      </c>
    </row>
    <row r="81" spans="1:59" x14ac:dyDescent="0.25">
      <c r="A81" s="24">
        <v>2024</v>
      </c>
      <c r="B81" s="22" t="s">
        <v>147</v>
      </c>
      <c r="C81">
        <f>SUMIFS(banco!E:E,banco!$C:$C,$B81,banco!$A:$A,$A81)</f>
        <v>54</v>
      </c>
      <c r="D81" s="13">
        <f t="shared" si="26"/>
        <v>1.014465526958482E-2</v>
      </c>
      <c r="E81">
        <f>SUMIFS(banco!G:G,banco!$C:$C,$B81,banco!$A:$A,$A81)</f>
        <v>39</v>
      </c>
      <c r="F81" s="13">
        <f t="shared" si="27"/>
        <v>1.1739915713425647E-2</v>
      </c>
      <c r="G81">
        <f>SUMIFS(banco!I:I,banco!$C:$C,$B81,banco!$A:$A,$A81)</f>
        <v>143</v>
      </c>
      <c r="H81" s="13">
        <f t="shared" si="28"/>
        <v>2.6864550065752394E-2</v>
      </c>
      <c r="I81">
        <f>SUMIFS(banco!K:K,banco!$C:$C,$B81,banco!$A:$A,$A81)</f>
        <v>105</v>
      </c>
      <c r="J81" s="13">
        <f t="shared" si="29"/>
        <v>3.1607465382299818E-2</v>
      </c>
      <c r="K81">
        <f>SUMIFS(banco!M:M,banco!$C:$C,$B81,banco!$A:$A,$A81)</f>
        <v>4868</v>
      </c>
      <c r="L81" s="13">
        <f t="shared" si="30"/>
        <v>0.9145218861544242</v>
      </c>
      <c r="M81">
        <f>SUMIFS(banco!O:O,banco!$C:$C,$B81,banco!$A:$A,$A81)</f>
        <v>3015</v>
      </c>
      <c r="N81" s="13">
        <f t="shared" si="31"/>
        <v>0.90758579169175191</v>
      </c>
      <c r="O81">
        <f>SUMIFS(banco!Q:Q,banco!$C:$C,$B81,banco!$A:$A,$A81)</f>
        <v>258</v>
      </c>
      <c r="P81" s="13">
        <f t="shared" si="32"/>
        <v>4.8468908510238586E-2</v>
      </c>
      <c r="Q81">
        <f>SUMIFS(banco!S:S,banco!$C:$C,$B81,banco!$A:$A,$A81)</f>
        <v>163</v>
      </c>
      <c r="R81" s="13">
        <f t="shared" si="33"/>
        <v>4.9066827212522576E-2</v>
      </c>
      <c r="S81">
        <f>SUMIFS(banco!U:U,banco!$C:$C,$B81,banco!$A:$A,$A81)</f>
        <v>276</v>
      </c>
      <c r="T81" s="13">
        <f t="shared" si="34"/>
        <v>5.185046026676686E-2</v>
      </c>
      <c r="U81">
        <f>SUMIFS(banco!W:W,banco!$C:$C,$B81,banco!$A:$A,$A81)</f>
        <v>202</v>
      </c>
      <c r="V81" s="13">
        <f t="shared" si="35"/>
        <v>6.0806742925948225E-2</v>
      </c>
      <c r="W81">
        <f>SUMIFS(banco!Y:Y,banco!$C:$C,$B81,banco!$A:$A,$A81)</f>
        <v>421</v>
      </c>
      <c r="X81" s="13">
        <f t="shared" si="36"/>
        <v>7.909073830546684E-2</v>
      </c>
      <c r="Y81">
        <f>SUMIFS(banco!AA:AA,banco!$C:$C,$B81,banco!$A:$A,$A81)</f>
        <v>306</v>
      </c>
      <c r="Z81" s="13">
        <f t="shared" si="37"/>
        <v>9.2113184828416614E-2</v>
      </c>
      <c r="AA81">
        <f>SUMIFS(banco!AC:AC,banco!$C:$C,$B81,banco!$A:$A,$A81)</f>
        <v>4626</v>
      </c>
      <c r="AB81" s="13">
        <f t="shared" si="38"/>
        <v>0.86905880142776626</v>
      </c>
      <c r="AC81">
        <f>SUMIFS(banco!AE:AE,banco!$C:$C,$B81,banco!$A:$A,$A81)</f>
        <v>2814</v>
      </c>
      <c r="AD81" s="13">
        <f t="shared" si="39"/>
        <v>0.8470800722456352</v>
      </c>
      <c r="AE81">
        <f>SUMIFS(banco!AG:AG,banco!$C:$C,$B81,banco!$A:$A,$A81)</f>
        <v>162</v>
      </c>
      <c r="AF81" s="13">
        <f t="shared" si="40"/>
        <v>3.0433965808754463E-2</v>
      </c>
      <c r="AG81">
        <f>SUMIFS(banco!AI:AI,banco!$C:$C,$B81,banco!$A:$A,$A81)</f>
        <v>142</v>
      </c>
      <c r="AH81" s="13">
        <f t="shared" si="41"/>
        <v>4.2745334136062615E-2</v>
      </c>
      <c r="AI81">
        <f>SUMIFS(banco!AK:AK,banco!$C:$C,$B81,banco!$A:$A,$A81)</f>
        <v>212</v>
      </c>
      <c r="AJ81" s="13">
        <f t="shared" si="42"/>
        <v>3.9827165132444109E-2</v>
      </c>
      <c r="AK81">
        <f>SUMIFS(banco!AM:AM,banco!$C:$C,$B81,banco!$A:$A,$A81)</f>
        <v>176</v>
      </c>
      <c r="AL81" s="13">
        <f t="shared" si="43"/>
        <v>5.2980132450331126E-2</v>
      </c>
      <c r="AM81">
        <f>SUMIFS(banco!AO:AO,banco!$C:$C,$B81,banco!$A:$A,$A81)</f>
        <v>3412</v>
      </c>
      <c r="AN81" s="13">
        <f t="shared" si="44"/>
        <v>0.64099192184858167</v>
      </c>
      <c r="AO81">
        <f>SUMIFS(banco!AQ:AQ,banco!$C:$C,$B81,banco!$A:$A,$A81)</f>
        <v>2137</v>
      </c>
      <c r="AP81" s="13">
        <f t="shared" si="45"/>
        <v>0.64328717639975919</v>
      </c>
      <c r="AQ81">
        <f>SUMIFS(banco!AS:AS,banco!$C:$C,$B81,banco!$A:$A,$A81)</f>
        <v>886</v>
      </c>
      <c r="AR81" s="13">
        <f t="shared" si="46"/>
        <v>0.16644749201578057</v>
      </c>
      <c r="AS81">
        <f>SUMIFS(banco!AU:AU,banco!$C:$C,$B81,banco!$A:$A,$A81)</f>
        <v>491</v>
      </c>
      <c r="AT81" s="13">
        <f t="shared" si="47"/>
        <v>0.14780252859723059</v>
      </c>
      <c r="AU81">
        <f>SUMIFS(banco!AW:AW,banco!$C:$C,$B81,banco!$A:$A,$A81)</f>
        <v>381</v>
      </c>
      <c r="AV81" s="13">
        <f t="shared" si="48"/>
        <v>7.1576178846515126E-2</v>
      </c>
      <c r="AW81">
        <f>SUMIFS(banco!AY:AY,banco!$C:$C,$B81,banco!$A:$A,$A81)</f>
        <v>203</v>
      </c>
      <c r="AX81" s="13">
        <f t="shared" si="49"/>
        <v>6.1107766405779654E-2</v>
      </c>
      <c r="AY81">
        <f>SUMIFS(banco!BA:BA,banco!$C:$C,$B81,banco!$A:$A,$A81)</f>
        <v>270</v>
      </c>
      <c r="AZ81" s="13">
        <f t="shared" si="50"/>
        <v>5.0723276347924104E-2</v>
      </c>
      <c r="BA81">
        <f>SUMIFS(banco!BC:BC,banco!$C:$C,$B81,banco!$A:$A,$A81)</f>
        <v>173</v>
      </c>
      <c r="BB81" s="13">
        <f t="shared" si="51"/>
        <v>5.2077062010836846E-2</v>
      </c>
      <c r="BC81">
        <f>SUMIFS(banco!BE:BE,banco!$C:$C,$B81,banco!$A:$A,$A81)</f>
        <v>5323</v>
      </c>
      <c r="BD81">
        <f>SUMIFS(banco!BF:BF,banco!$C:$C,$B81,banco!$A:$A,$A81)</f>
        <v>3322</v>
      </c>
      <c r="BE81">
        <v>6725</v>
      </c>
    </row>
    <row r="82" spans="1:59" x14ac:dyDescent="0.25">
      <c r="A82" s="25"/>
      <c r="B82" s="22"/>
      <c r="F82" s="13"/>
      <c r="H82" s="13"/>
      <c r="J82" s="13"/>
      <c r="L82" s="13"/>
      <c r="N82" s="13"/>
      <c r="P82" s="13"/>
      <c r="R82" s="13"/>
      <c r="T82" s="13"/>
      <c r="V82" s="13"/>
      <c r="X82" s="13"/>
      <c r="Z82" s="13"/>
      <c r="AB82" s="13"/>
      <c r="AD82" s="13"/>
      <c r="AF82" s="13"/>
      <c r="AH82" s="13"/>
      <c r="AJ82" s="13"/>
      <c r="AL82" s="13"/>
      <c r="AN82" s="13"/>
      <c r="AP82" s="13"/>
      <c r="AR82" s="13"/>
      <c r="AT82" s="13"/>
      <c r="AV82" s="13"/>
      <c r="AX82" s="13"/>
      <c r="AZ82" s="13"/>
      <c r="BB82" s="13"/>
      <c r="BD82">
        <f>SUBTOTAL(109,Tabela1[TOTAL_PBF])</f>
        <v>209574</v>
      </c>
    </row>
    <row r="87" spans="1:59" x14ac:dyDescent="0.25">
      <c r="AZ87" s="8"/>
      <c r="BA87" s="8"/>
      <c r="BB87" s="8"/>
      <c r="BC87" s="8"/>
      <c r="BD87" s="8"/>
      <c r="BE87" s="8"/>
      <c r="BF87" s="8"/>
      <c r="BG87" s="8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392"/>
  <sheetViews>
    <sheetView workbookViewId="0">
      <selection activeCell="AA38" sqref="AA38"/>
    </sheetView>
  </sheetViews>
  <sheetFormatPr defaultRowHeight="15" x14ac:dyDescent="0.25"/>
  <cols>
    <col min="1" max="1" width="7.42578125" bestFit="1" customWidth="1"/>
    <col min="2" max="3" width="34.7109375" customWidth="1"/>
    <col min="16" max="16" width="26" customWidth="1"/>
  </cols>
  <sheetData>
    <row r="1" spans="1:27" x14ac:dyDescent="0.25">
      <c r="A1" t="s">
        <v>152</v>
      </c>
      <c r="B1" t="s">
        <v>364</v>
      </c>
      <c r="C1" t="s">
        <v>360</v>
      </c>
      <c r="D1" t="s">
        <v>350</v>
      </c>
      <c r="E1" t="s">
        <v>351</v>
      </c>
      <c r="F1" t="s">
        <v>352</v>
      </c>
      <c r="G1" t="s">
        <v>353</v>
      </c>
      <c r="H1" t="s">
        <v>354</v>
      </c>
      <c r="I1" t="s">
        <v>355</v>
      </c>
      <c r="J1" t="s">
        <v>356</v>
      </c>
      <c r="K1" t="s">
        <v>361</v>
      </c>
      <c r="L1" t="s">
        <v>362</v>
      </c>
      <c r="M1" t="s">
        <v>357</v>
      </c>
    </row>
    <row r="2" spans="1:27" x14ac:dyDescent="0.25">
      <c r="A2">
        <v>170025</v>
      </c>
      <c r="B2" t="str">
        <f>VLOOKUP(Tabela3[[#This Row],[IBGE]],procv!$A$2:$D$142,4,FALSE)</f>
        <v>Cantão</v>
      </c>
      <c r="C2" t="s">
        <v>5</v>
      </c>
      <c r="D2">
        <v>246</v>
      </c>
      <c r="E2">
        <v>233</v>
      </c>
      <c r="F2">
        <v>229</v>
      </c>
      <c r="G2">
        <v>222</v>
      </c>
      <c r="H2">
        <v>218</v>
      </c>
      <c r="I2">
        <v>214</v>
      </c>
      <c r="J2">
        <v>212</v>
      </c>
      <c r="K2">
        <v>209</v>
      </c>
      <c r="L2">
        <v>208</v>
      </c>
      <c r="M2">
        <v>210</v>
      </c>
    </row>
    <row r="3" spans="1:27" x14ac:dyDescent="0.25">
      <c r="A3">
        <v>170030</v>
      </c>
      <c r="B3" t="str">
        <f>VLOOKUP(Tabela3[[#This Row],[IBGE]],procv!$A$2:$D$142,4,FALSE)</f>
        <v>Bico do Papagaio</v>
      </c>
      <c r="C3" t="s">
        <v>6</v>
      </c>
      <c r="D3">
        <v>510</v>
      </c>
      <c r="E3">
        <v>488</v>
      </c>
      <c r="F3">
        <v>467</v>
      </c>
      <c r="G3">
        <v>451</v>
      </c>
      <c r="H3">
        <v>433</v>
      </c>
      <c r="I3">
        <v>423</v>
      </c>
      <c r="J3">
        <v>408</v>
      </c>
      <c r="K3">
        <v>394</v>
      </c>
      <c r="L3">
        <v>384</v>
      </c>
      <c r="M3">
        <v>374</v>
      </c>
      <c r="P3" t="s">
        <v>364</v>
      </c>
      <c r="Q3">
        <v>2015</v>
      </c>
      <c r="R3">
        <v>2016</v>
      </c>
      <c r="S3">
        <v>2017</v>
      </c>
      <c r="T3">
        <v>2018</v>
      </c>
      <c r="U3">
        <v>2019</v>
      </c>
      <c r="V3">
        <v>2020</v>
      </c>
      <c r="W3">
        <v>2021</v>
      </c>
      <c r="X3">
        <v>2022</v>
      </c>
      <c r="Y3">
        <v>2023</v>
      </c>
      <c r="Z3">
        <v>2024</v>
      </c>
    </row>
    <row r="4" spans="1:27" x14ac:dyDescent="0.25">
      <c r="A4">
        <v>170035</v>
      </c>
      <c r="B4" t="str">
        <f>VLOOKUP(Tabela3[[#This Row],[IBGE]],procv!$A$2:$D$142,4,FALSE)</f>
        <v>Ilha do Bananal</v>
      </c>
      <c r="C4" t="s">
        <v>7</v>
      </c>
      <c r="D4">
        <v>423</v>
      </c>
      <c r="E4">
        <v>404</v>
      </c>
      <c r="F4">
        <v>393</v>
      </c>
      <c r="G4">
        <v>386</v>
      </c>
      <c r="H4">
        <v>383</v>
      </c>
      <c r="I4">
        <v>385</v>
      </c>
      <c r="J4">
        <v>383</v>
      </c>
      <c r="K4">
        <v>379</v>
      </c>
      <c r="L4">
        <v>372</v>
      </c>
      <c r="M4">
        <v>363</v>
      </c>
      <c r="P4" s="22" t="s">
        <v>151</v>
      </c>
      <c r="Q4" s="8">
        <v>9902</v>
      </c>
      <c r="R4" s="8">
        <v>9802</v>
      </c>
      <c r="S4" s="8">
        <v>9763</v>
      </c>
      <c r="T4" s="8">
        <v>9727</v>
      </c>
      <c r="U4" s="8">
        <v>9714</v>
      </c>
      <c r="V4" s="8">
        <v>9797</v>
      </c>
      <c r="W4" s="8">
        <v>9804</v>
      </c>
      <c r="X4" s="8">
        <v>9798</v>
      </c>
      <c r="Y4" s="8">
        <v>9855</v>
      </c>
      <c r="Z4" s="8">
        <v>9900</v>
      </c>
      <c r="AA4">
        <f>AVERAGE(Q4:Z4)</f>
        <v>9806.2000000000007</v>
      </c>
    </row>
    <row r="5" spans="1:27" x14ac:dyDescent="0.25">
      <c r="A5">
        <v>170040</v>
      </c>
      <c r="B5" t="str">
        <f>VLOOKUP(Tabela3[[#This Row],[IBGE]],procv!$A$2:$D$142,4,FALSE)</f>
        <v>Sudeste</v>
      </c>
      <c r="C5" t="s">
        <v>8</v>
      </c>
      <c r="D5">
        <v>721</v>
      </c>
      <c r="E5">
        <v>697</v>
      </c>
      <c r="F5">
        <v>676</v>
      </c>
      <c r="G5">
        <v>650</v>
      </c>
      <c r="H5">
        <v>623</v>
      </c>
      <c r="I5">
        <v>603</v>
      </c>
      <c r="J5">
        <v>581</v>
      </c>
      <c r="K5">
        <v>561</v>
      </c>
      <c r="L5">
        <v>550</v>
      </c>
      <c r="M5">
        <v>539</v>
      </c>
      <c r="P5" s="22" t="s">
        <v>145</v>
      </c>
      <c r="Q5" s="8">
        <v>19224</v>
      </c>
      <c r="R5" s="8">
        <v>18751</v>
      </c>
      <c r="S5" s="8">
        <v>18401</v>
      </c>
      <c r="T5" s="8">
        <v>18079</v>
      </c>
      <c r="U5" s="8">
        <v>17804</v>
      </c>
      <c r="V5" s="8">
        <v>17696</v>
      </c>
      <c r="W5" s="8">
        <v>17475</v>
      </c>
      <c r="X5" s="8">
        <v>17226</v>
      </c>
      <c r="Y5" s="8">
        <v>17085</v>
      </c>
      <c r="Z5" s="8">
        <v>16928</v>
      </c>
      <c r="AA5">
        <f t="shared" ref="AA5:AA12" si="0">AVERAGE(Q5:Z5)</f>
        <v>17866.900000000001</v>
      </c>
    </row>
    <row r="6" spans="1:27" x14ac:dyDescent="0.25">
      <c r="A6">
        <v>170070</v>
      </c>
      <c r="B6" t="str">
        <f>VLOOKUP(Tabela3[[#This Row],[IBGE]],procv!$A$2:$D$142,4,FALSE)</f>
        <v>Ilha do Bananal</v>
      </c>
      <c r="C6" t="s">
        <v>9</v>
      </c>
      <c r="D6">
        <v>683</v>
      </c>
      <c r="E6">
        <v>662</v>
      </c>
      <c r="F6">
        <v>647</v>
      </c>
      <c r="G6">
        <v>642</v>
      </c>
      <c r="H6">
        <v>644</v>
      </c>
      <c r="I6">
        <v>653</v>
      </c>
      <c r="J6">
        <v>658</v>
      </c>
      <c r="K6">
        <v>660</v>
      </c>
      <c r="L6">
        <v>667</v>
      </c>
      <c r="M6">
        <v>670</v>
      </c>
      <c r="P6" s="22" t="s">
        <v>144</v>
      </c>
      <c r="Q6" s="8">
        <v>10333</v>
      </c>
      <c r="R6" s="8">
        <v>10125</v>
      </c>
      <c r="S6" s="8">
        <v>10028</v>
      </c>
      <c r="T6" s="8">
        <v>9974</v>
      </c>
      <c r="U6" s="8">
        <v>9990</v>
      </c>
      <c r="V6" s="8">
        <v>10108</v>
      </c>
      <c r="W6" s="8">
        <v>10159</v>
      </c>
      <c r="X6" s="8">
        <v>10172</v>
      </c>
      <c r="Y6" s="8">
        <v>10271</v>
      </c>
      <c r="Z6" s="8">
        <v>10353</v>
      </c>
      <c r="AA6">
        <f t="shared" si="0"/>
        <v>10151.299999999999</v>
      </c>
    </row>
    <row r="7" spans="1:27" x14ac:dyDescent="0.25">
      <c r="A7">
        <v>170100</v>
      </c>
      <c r="B7" t="str">
        <f>VLOOKUP(Tabela3[[#This Row],[IBGE]],procv!$A$2:$D$142,4,FALSE)</f>
        <v>Bico do Papagaio</v>
      </c>
      <c r="C7" t="s">
        <v>10</v>
      </c>
      <c r="D7">
        <v>945</v>
      </c>
      <c r="E7">
        <v>925</v>
      </c>
      <c r="F7">
        <v>912</v>
      </c>
      <c r="G7">
        <v>898</v>
      </c>
      <c r="H7">
        <v>882</v>
      </c>
      <c r="I7">
        <v>874</v>
      </c>
      <c r="J7">
        <v>861</v>
      </c>
      <c r="K7">
        <v>850</v>
      </c>
      <c r="L7">
        <v>846</v>
      </c>
      <c r="M7">
        <v>837</v>
      </c>
      <c r="P7" s="22" t="s">
        <v>148</v>
      </c>
      <c r="Q7" s="8">
        <v>29079</v>
      </c>
      <c r="R7" s="8">
        <v>29079</v>
      </c>
      <c r="S7" s="8">
        <v>29227</v>
      </c>
      <c r="T7" s="8">
        <v>29309</v>
      </c>
      <c r="U7" s="8">
        <v>29374</v>
      </c>
      <c r="V7" s="8">
        <v>29712</v>
      </c>
      <c r="W7" s="8">
        <v>29884</v>
      </c>
      <c r="X7" s="8">
        <v>30022</v>
      </c>
      <c r="Y7" s="8">
        <v>30695</v>
      </c>
      <c r="Z7" s="8">
        <v>31007</v>
      </c>
      <c r="AA7">
        <f t="shared" si="0"/>
        <v>29738.799999999999</v>
      </c>
    </row>
    <row r="8" spans="1:27" x14ac:dyDescent="0.25">
      <c r="A8">
        <v>170105</v>
      </c>
      <c r="B8" t="str">
        <f>VLOOKUP(Tabela3[[#This Row],[IBGE]],procv!$A$2:$D$142,4,FALSE)</f>
        <v>Bico do Papagaio</v>
      </c>
      <c r="C8" t="s">
        <v>11</v>
      </c>
      <c r="D8">
        <v>276</v>
      </c>
      <c r="E8">
        <v>264</v>
      </c>
      <c r="F8">
        <v>258</v>
      </c>
      <c r="G8">
        <v>254</v>
      </c>
      <c r="H8">
        <v>254</v>
      </c>
      <c r="I8">
        <v>255</v>
      </c>
      <c r="J8">
        <v>253</v>
      </c>
      <c r="K8">
        <v>246</v>
      </c>
      <c r="L8">
        <v>234</v>
      </c>
      <c r="M8">
        <v>223</v>
      </c>
      <c r="P8" s="22" t="s">
        <v>150</v>
      </c>
      <c r="Q8" s="8">
        <v>12965</v>
      </c>
      <c r="R8" s="8">
        <v>12633</v>
      </c>
      <c r="S8" s="8">
        <v>12420</v>
      </c>
      <c r="T8" s="8">
        <v>12246</v>
      </c>
      <c r="U8" s="8">
        <v>12150</v>
      </c>
      <c r="V8" s="8">
        <v>12166</v>
      </c>
      <c r="W8" s="8">
        <v>12113</v>
      </c>
      <c r="X8" s="8">
        <v>12024</v>
      </c>
      <c r="Y8" s="8">
        <v>12010</v>
      </c>
      <c r="Z8" s="8">
        <v>11999</v>
      </c>
      <c r="AA8">
        <f t="shared" si="0"/>
        <v>12272.6</v>
      </c>
    </row>
    <row r="9" spans="1:27" x14ac:dyDescent="0.25">
      <c r="A9">
        <v>170110</v>
      </c>
      <c r="B9" t="str">
        <f>VLOOKUP(Tabela3[[#This Row],[IBGE]],procv!$A$2:$D$142,4,FALSE)</f>
        <v>Capim Dourado</v>
      </c>
      <c r="C9" t="s">
        <v>12</v>
      </c>
      <c r="D9">
        <v>432</v>
      </c>
      <c r="E9">
        <v>427</v>
      </c>
      <c r="F9">
        <v>424</v>
      </c>
      <c r="G9">
        <v>417</v>
      </c>
      <c r="H9">
        <v>413</v>
      </c>
      <c r="I9">
        <v>409</v>
      </c>
      <c r="J9">
        <v>402</v>
      </c>
      <c r="K9">
        <v>398</v>
      </c>
      <c r="L9">
        <v>400</v>
      </c>
      <c r="M9">
        <v>400</v>
      </c>
      <c r="P9" s="22" t="s">
        <v>146</v>
      </c>
      <c r="Q9" s="8">
        <v>13861</v>
      </c>
      <c r="R9" s="8">
        <v>13489</v>
      </c>
      <c r="S9" s="8">
        <v>13278</v>
      </c>
      <c r="T9" s="8">
        <v>13122</v>
      </c>
      <c r="U9" s="8">
        <v>13054</v>
      </c>
      <c r="V9" s="8">
        <v>13131</v>
      </c>
      <c r="W9" s="8">
        <v>13112</v>
      </c>
      <c r="X9" s="8">
        <v>13074</v>
      </c>
      <c r="Y9" s="8">
        <v>13128</v>
      </c>
      <c r="Z9" s="8">
        <v>13158</v>
      </c>
      <c r="AA9">
        <f t="shared" si="0"/>
        <v>13240.7</v>
      </c>
    </row>
    <row r="10" spans="1:27" x14ac:dyDescent="0.25">
      <c r="A10">
        <v>170130</v>
      </c>
      <c r="B10" t="str">
        <f>VLOOKUP(Tabela3[[#This Row],[IBGE]],procv!$A$2:$D$142,4,FALSE)</f>
        <v>Médio Norte Araguaia</v>
      </c>
      <c r="C10" t="s">
        <v>13</v>
      </c>
      <c r="D10">
        <v>529</v>
      </c>
      <c r="E10">
        <v>507</v>
      </c>
      <c r="F10">
        <v>489</v>
      </c>
      <c r="G10">
        <v>470</v>
      </c>
      <c r="H10">
        <v>449</v>
      </c>
      <c r="I10">
        <v>433</v>
      </c>
      <c r="J10">
        <v>414</v>
      </c>
      <c r="K10">
        <v>397</v>
      </c>
      <c r="L10">
        <v>389</v>
      </c>
      <c r="M10">
        <v>381</v>
      </c>
      <c r="P10" s="22" t="s">
        <v>149</v>
      </c>
      <c r="Q10" s="8">
        <v>24037</v>
      </c>
      <c r="R10" s="8">
        <v>23625</v>
      </c>
      <c r="S10" s="8">
        <v>23401</v>
      </c>
      <c r="T10" s="8">
        <v>23222</v>
      </c>
      <c r="U10" s="8">
        <v>23147</v>
      </c>
      <c r="V10" s="8">
        <v>23268</v>
      </c>
      <c r="W10" s="8">
        <v>23249</v>
      </c>
      <c r="X10" s="8">
        <v>23176</v>
      </c>
      <c r="Y10" s="8">
        <v>23287</v>
      </c>
      <c r="Z10" s="8">
        <v>23300</v>
      </c>
      <c r="AA10">
        <f t="shared" si="0"/>
        <v>23371.200000000001</v>
      </c>
    </row>
    <row r="11" spans="1:27" x14ac:dyDescent="0.25">
      <c r="A11">
        <v>170190</v>
      </c>
      <c r="B11" t="str">
        <f>VLOOKUP(Tabela3[[#This Row],[IBGE]],procv!$A$2:$D$142,4,FALSE)</f>
        <v>Cantão</v>
      </c>
      <c r="C11" t="s">
        <v>14</v>
      </c>
      <c r="D11">
        <v>560</v>
      </c>
      <c r="E11">
        <v>532</v>
      </c>
      <c r="F11">
        <v>515</v>
      </c>
      <c r="G11">
        <v>505</v>
      </c>
      <c r="H11">
        <v>500</v>
      </c>
      <c r="I11">
        <v>503</v>
      </c>
      <c r="J11">
        <v>502</v>
      </c>
      <c r="K11">
        <v>495</v>
      </c>
      <c r="L11">
        <v>491</v>
      </c>
      <c r="M11">
        <v>482</v>
      </c>
      <c r="P11" s="22" t="s">
        <v>147</v>
      </c>
      <c r="Q11" s="8">
        <v>8221</v>
      </c>
      <c r="R11" s="8">
        <v>7947</v>
      </c>
      <c r="S11" s="8">
        <v>7736</v>
      </c>
      <c r="T11" s="8">
        <v>7525</v>
      </c>
      <c r="U11" s="8">
        <v>7349</v>
      </c>
      <c r="V11" s="8">
        <v>7239</v>
      </c>
      <c r="W11" s="8">
        <v>7087</v>
      </c>
      <c r="X11" s="8">
        <v>6926</v>
      </c>
      <c r="Y11" s="8">
        <v>6824</v>
      </c>
      <c r="Z11" s="8">
        <v>6725</v>
      </c>
      <c r="AA11">
        <f t="shared" si="0"/>
        <v>7357.9</v>
      </c>
    </row>
    <row r="12" spans="1:27" x14ac:dyDescent="0.25">
      <c r="A12">
        <v>170200</v>
      </c>
      <c r="B12" t="str">
        <f>VLOOKUP(Tabela3[[#This Row],[IBGE]],procv!$A$2:$D$142,4,FALSE)</f>
        <v>Ilha do Bananal</v>
      </c>
      <c r="C12" t="s">
        <v>15</v>
      </c>
      <c r="D12">
        <v>586</v>
      </c>
      <c r="E12">
        <v>561</v>
      </c>
      <c r="F12">
        <v>548</v>
      </c>
      <c r="G12">
        <v>542</v>
      </c>
      <c r="H12">
        <v>547</v>
      </c>
      <c r="I12">
        <v>561</v>
      </c>
      <c r="J12">
        <v>567</v>
      </c>
      <c r="K12">
        <v>572</v>
      </c>
      <c r="L12">
        <v>574</v>
      </c>
      <c r="M12">
        <v>576</v>
      </c>
      <c r="P12" s="26" t="s">
        <v>349</v>
      </c>
      <c r="Q12" s="27">
        <v>127622</v>
      </c>
      <c r="R12" s="27">
        <v>125451</v>
      </c>
      <c r="S12" s="27">
        <v>124254</v>
      </c>
      <c r="T12" s="27">
        <v>123204</v>
      </c>
      <c r="U12" s="27">
        <v>122582</v>
      </c>
      <c r="V12" s="27">
        <v>123117</v>
      </c>
      <c r="W12" s="27">
        <v>122883</v>
      </c>
      <c r="X12" s="27">
        <v>122418</v>
      </c>
      <c r="Y12" s="27">
        <v>123155</v>
      </c>
      <c r="Z12" s="27">
        <v>123370</v>
      </c>
      <c r="AA12">
        <f t="shared" si="0"/>
        <v>123805.6</v>
      </c>
    </row>
    <row r="13" spans="1:27" x14ac:dyDescent="0.25">
      <c r="A13">
        <v>170210</v>
      </c>
      <c r="B13" t="str">
        <f>VLOOKUP(Tabela3[[#This Row],[IBGE]],procv!$A$2:$D$142,4,FALSE)</f>
        <v>Médio Norte Araguaia</v>
      </c>
      <c r="C13" t="s">
        <v>16</v>
      </c>
      <c r="D13">
        <v>13534</v>
      </c>
      <c r="E13">
        <v>13444</v>
      </c>
      <c r="F13">
        <v>13447</v>
      </c>
      <c r="G13">
        <v>13464</v>
      </c>
      <c r="H13">
        <v>13525</v>
      </c>
      <c r="I13">
        <v>13710</v>
      </c>
      <c r="J13">
        <v>13801</v>
      </c>
      <c r="K13">
        <v>13864</v>
      </c>
      <c r="L13">
        <v>14049</v>
      </c>
      <c r="M13">
        <v>14162</v>
      </c>
    </row>
    <row r="14" spans="1:27" x14ac:dyDescent="0.25">
      <c r="A14">
        <v>170215</v>
      </c>
      <c r="B14" t="str">
        <f>VLOOKUP(Tabela3[[#This Row],[IBGE]],procv!$A$2:$D$142,4,FALSE)</f>
        <v>Médio Norte Araguaia</v>
      </c>
      <c r="C14" t="s">
        <v>17</v>
      </c>
      <c r="D14">
        <v>437</v>
      </c>
      <c r="E14">
        <v>419</v>
      </c>
      <c r="F14">
        <v>409</v>
      </c>
      <c r="G14">
        <v>402</v>
      </c>
      <c r="H14">
        <v>404</v>
      </c>
      <c r="I14">
        <v>405</v>
      </c>
      <c r="J14">
        <v>406</v>
      </c>
      <c r="K14">
        <v>401</v>
      </c>
      <c r="L14">
        <v>391</v>
      </c>
      <c r="M14">
        <v>380</v>
      </c>
    </row>
    <row r="15" spans="1:27" x14ac:dyDescent="0.25">
      <c r="A15">
        <v>170220</v>
      </c>
      <c r="B15" t="str">
        <f>VLOOKUP(Tabela3[[#This Row],[IBGE]],procv!$A$2:$D$142,4,FALSE)</f>
        <v>Bico do Papagaio</v>
      </c>
      <c r="C15" t="s">
        <v>18</v>
      </c>
      <c r="D15">
        <v>3175</v>
      </c>
      <c r="E15">
        <v>3073</v>
      </c>
      <c r="F15">
        <v>2986</v>
      </c>
      <c r="G15">
        <v>2898</v>
      </c>
      <c r="H15">
        <v>2814</v>
      </c>
      <c r="I15">
        <v>2758</v>
      </c>
      <c r="J15">
        <v>2693</v>
      </c>
      <c r="K15">
        <v>2636</v>
      </c>
      <c r="L15">
        <v>2633</v>
      </c>
      <c r="M15">
        <v>2631</v>
      </c>
    </row>
    <row r="16" spans="1:27" x14ac:dyDescent="0.25">
      <c r="A16">
        <v>170230</v>
      </c>
      <c r="B16" t="str">
        <f>VLOOKUP(Tabela3[[#This Row],[IBGE]],procv!$A$2:$D$142,4,FALSE)</f>
        <v>Cerrado Tocantins Araguaia</v>
      </c>
      <c r="C16" t="s">
        <v>19</v>
      </c>
      <c r="D16">
        <v>526</v>
      </c>
      <c r="E16">
        <v>499</v>
      </c>
      <c r="F16">
        <v>480</v>
      </c>
      <c r="G16">
        <v>461</v>
      </c>
      <c r="H16">
        <v>449</v>
      </c>
      <c r="I16">
        <v>443</v>
      </c>
      <c r="J16">
        <v>433</v>
      </c>
      <c r="K16">
        <v>422</v>
      </c>
      <c r="L16">
        <v>414</v>
      </c>
      <c r="M16">
        <v>408</v>
      </c>
      <c r="S16" t="s">
        <v>367</v>
      </c>
    </row>
    <row r="17" spans="1:27" x14ac:dyDescent="0.25">
      <c r="A17">
        <v>170240</v>
      </c>
      <c r="B17" t="str">
        <f>VLOOKUP(Tabela3[[#This Row],[IBGE]],procv!$A$2:$D$142,4,FALSE)</f>
        <v>Sudeste</v>
      </c>
      <c r="C17" t="s">
        <v>20</v>
      </c>
      <c r="D17">
        <v>884</v>
      </c>
      <c r="E17">
        <v>857</v>
      </c>
      <c r="F17">
        <v>841</v>
      </c>
      <c r="G17">
        <v>825</v>
      </c>
      <c r="H17">
        <v>814</v>
      </c>
      <c r="I17">
        <v>810</v>
      </c>
      <c r="J17">
        <v>800</v>
      </c>
      <c r="K17">
        <v>786</v>
      </c>
      <c r="L17">
        <v>770</v>
      </c>
      <c r="M17">
        <v>752</v>
      </c>
      <c r="P17" s="29" t="s">
        <v>364</v>
      </c>
      <c r="Q17" s="29">
        <v>2015</v>
      </c>
      <c r="R17" s="29">
        <v>2016</v>
      </c>
      <c r="S17" s="29">
        <v>2017</v>
      </c>
      <c r="T17" s="29">
        <v>2018</v>
      </c>
      <c r="U17" s="29">
        <v>2019</v>
      </c>
      <c r="V17" s="29">
        <v>2020</v>
      </c>
      <c r="W17" s="29">
        <v>2021</v>
      </c>
      <c r="X17" s="29">
        <v>2022</v>
      </c>
      <c r="Y17" s="29">
        <v>2023</v>
      </c>
      <c r="Z17" s="29">
        <v>2024</v>
      </c>
      <c r="AA17" s="29" t="s">
        <v>349</v>
      </c>
    </row>
    <row r="18" spans="1:27" x14ac:dyDescent="0.25">
      <c r="A18">
        <v>170255</v>
      </c>
      <c r="B18" t="str">
        <f>VLOOKUP(Tabela3[[#This Row],[IBGE]],procv!$A$2:$D$142,4,FALSE)</f>
        <v>Bico do Papagaio</v>
      </c>
      <c r="C18" t="s">
        <v>21</v>
      </c>
      <c r="D18">
        <v>1599</v>
      </c>
      <c r="E18">
        <v>1577</v>
      </c>
      <c r="F18">
        <v>1561</v>
      </c>
      <c r="G18">
        <v>1535</v>
      </c>
      <c r="H18">
        <v>1510</v>
      </c>
      <c r="I18">
        <v>1498</v>
      </c>
      <c r="J18">
        <v>1476</v>
      </c>
      <c r="K18">
        <v>1460</v>
      </c>
      <c r="L18">
        <v>1471</v>
      </c>
      <c r="M18">
        <v>1480</v>
      </c>
      <c r="P18" s="22" t="s">
        <v>151</v>
      </c>
      <c r="Q18" s="8">
        <v>4094</v>
      </c>
      <c r="R18" s="8">
        <v>4171</v>
      </c>
      <c r="S18" s="8">
        <v>4131</v>
      </c>
      <c r="T18" s="8">
        <v>5556</v>
      </c>
      <c r="U18" s="8">
        <v>6059</v>
      </c>
      <c r="V18" s="8">
        <v>1187</v>
      </c>
      <c r="W18" s="8">
        <v>2979</v>
      </c>
      <c r="X18" s="8">
        <v>6404</v>
      </c>
      <c r="Y18" s="8">
        <v>7397</v>
      </c>
      <c r="Z18" s="8">
        <v>6858</v>
      </c>
      <c r="AA18">
        <f t="shared" ref="AA18:AA26" si="1">AVERAGE(Q18:Z18)</f>
        <v>4883.6000000000004</v>
      </c>
    </row>
    <row r="19" spans="1:27" x14ac:dyDescent="0.25">
      <c r="A19">
        <v>170270</v>
      </c>
      <c r="B19" t="str">
        <f>VLOOKUP(Tabela3[[#This Row],[IBGE]],procv!$A$2:$D$142,4,FALSE)</f>
        <v>Sudeste</v>
      </c>
      <c r="C19" t="s">
        <v>22</v>
      </c>
      <c r="D19">
        <v>279</v>
      </c>
      <c r="E19">
        <v>270</v>
      </c>
      <c r="F19">
        <v>260</v>
      </c>
      <c r="G19">
        <v>247</v>
      </c>
      <c r="H19">
        <v>238</v>
      </c>
      <c r="I19">
        <v>229</v>
      </c>
      <c r="J19">
        <v>218</v>
      </c>
      <c r="K19">
        <v>209</v>
      </c>
      <c r="L19">
        <v>205</v>
      </c>
      <c r="M19">
        <v>206</v>
      </c>
      <c r="P19" s="22" t="s">
        <v>145</v>
      </c>
      <c r="Q19" s="8">
        <v>10457</v>
      </c>
      <c r="R19" s="8">
        <v>9645</v>
      </c>
      <c r="S19" s="8">
        <v>10867</v>
      </c>
      <c r="T19" s="8">
        <v>12416</v>
      </c>
      <c r="U19" s="8">
        <v>11701</v>
      </c>
      <c r="V19" s="8">
        <v>4847</v>
      </c>
      <c r="W19" s="8">
        <v>8988</v>
      </c>
      <c r="X19" s="8">
        <v>12990</v>
      </c>
      <c r="Y19" s="8">
        <v>12984</v>
      </c>
      <c r="Z19" s="8">
        <v>13164</v>
      </c>
      <c r="AA19">
        <f t="shared" si="1"/>
        <v>10805.9</v>
      </c>
    </row>
    <row r="20" spans="1:27" x14ac:dyDescent="0.25">
      <c r="A20">
        <v>170290</v>
      </c>
      <c r="B20" t="str">
        <f>VLOOKUP(Tabela3[[#This Row],[IBGE]],procv!$A$2:$D$142,4,FALSE)</f>
        <v>Bico do Papagaio</v>
      </c>
      <c r="C20" t="s">
        <v>23</v>
      </c>
      <c r="D20">
        <v>955</v>
      </c>
      <c r="E20">
        <v>931</v>
      </c>
      <c r="F20">
        <v>918</v>
      </c>
      <c r="G20">
        <v>909</v>
      </c>
      <c r="H20">
        <v>910</v>
      </c>
      <c r="I20">
        <v>917</v>
      </c>
      <c r="J20">
        <v>924</v>
      </c>
      <c r="K20">
        <v>932</v>
      </c>
      <c r="L20">
        <v>957</v>
      </c>
      <c r="M20">
        <v>984</v>
      </c>
      <c r="P20" s="22" t="s">
        <v>144</v>
      </c>
      <c r="Q20" s="8">
        <v>4092</v>
      </c>
      <c r="R20" s="8">
        <v>3322</v>
      </c>
      <c r="S20" s="8">
        <v>4027</v>
      </c>
      <c r="T20" s="8">
        <v>4532</v>
      </c>
      <c r="U20" s="8">
        <v>4294</v>
      </c>
      <c r="V20" s="8">
        <v>1988</v>
      </c>
      <c r="W20" s="8">
        <v>2909</v>
      </c>
      <c r="X20" s="8">
        <v>5762</v>
      </c>
      <c r="Y20" s="8">
        <v>6508</v>
      </c>
      <c r="Z20" s="8">
        <v>6129</v>
      </c>
      <c r="AA20">
        <f t="shared" si="1"/>
        <v>4356.3</v>
      </c>
    </row>
    <row r="21" spans="1:27" x14ac:dyDescent="0.25">
      <c r="A21">
        <v>170300</v>
      </c>
      <c r="B21" t="str">
        <f>VLOOKUP(Tabela3[[#This Row],[IBGE]],procv!$A$2:$D$142,4,FALSE)</f>
        <v>Médio Norte Araguaia</v>
      </c>
      <c r="C21" t="s">
        <v>24</v>
      </c>
      <c r="D21">
        <v>730</v>
      </c>
      <c r="E21">
        <v>692</v>
      </c>
      <c r="F21">
        <v>665</v>
      </c>
      <c r="G21">
        <v>644</v>
      </c>
      <c r="H21">
        <v>629</v>
      </c>
      <c r="I21">
        <v>619</v>
      </c>
      <c r="J21">
        <v>605</v>
      </c>
      <c r="K21">
        <v>585</v>
      </c>
      <c r="L21">
        <v>562</v>
      </c>
      <c r="M21">
        <v>536</v>
      </c>
      <c r="P21" s="22" t="s">
        <v>148</v>
      </c>
      <c r="Q21" s="8">
        <v>8421</v>
      </c>
      <c r="R21" s="8">
        <v>12403</v>
      </c>
      <c r="S21" s="8">
        <v>12838</v>
      </c>
      <c r="T21" s="8">
        <v>12312</v>
      </c>
      <c r="U21" s="8">
        <v>12372</v>
      </c>
      <c r="V21" s="8">
        <v>5054</v>
      </c>
      <c r="W21" s="8">
        <v>6239</v>
      </c>
      <c r="X21" s="8">
        <v>13206</v>
      </c>
      <c r="Y21" s="8">
        <v>14786</v>
      </c>
      <c r="Z21" s="8">
        <v>15028</v>
      </c>
      <c r="AA21">
        <f t="shared" si="1"/>
        <v>11265.9</v>
      </c>
    </row>
    <row r="22" spans="1:27" x14ac:dyDescent="0.25">
      <c r="A22">
        <v>170305</v>
      </c>
      <c r="B22" t="str">
        <f>VLOOKUP(Tabela3[[#This Row],[IBGE]],procv!$A$2:$D$142,4,FALSE)</f>
        <v>Cerrado Tocantins Araguaia</v>
      </c>
      <c r="C22" t="s">
        <v>25</v>
      </c>
      <c r="D22">
        <v>304</v>
      </c>
      <c r="E22">
        <v>294</v>
      </c>
      <c r="F22">
        <v>283</v>
      </c>
      <c r="G22">
        <v>278</v>
      </c>
      <c r="H22">
        <v>271</v>
      </c>
      <c r="I22">
        <v>267</v>
      </c>
      <c r="J22">
        <v>264</v>
      </c>
      <c r="K22">
        <v>266</v>
      </c>
      <c r="L22">
        <v>270</v>
      </c>
      <c r="M22">
        <v>282</v>
      </c>
      <c r="P22" s="22" t="s">
        <v>150</v>
      </c>
      <c r="Q22" s="8">
        <v>7214</v>
      </c>
      <c r="R22" s="8">
        <v>5650</v>
      </c>
      <c r="S22" s="8">
        <v>5850</v>
      </c>
      <c r="T22" s="8">
        <v>6683</v>
      </c>
      <c r="U22" s="8">
        <v>6934</v>
      </c>
      <c r="V22" s="8">
        <v>2322</v>
      </c>
      <c r="W22" s="8">
        <v>3186</v>
      </c>
      <c r="X22" s="8">
        <v>6752</v>
      </c>
      <c r="Y22" s="8">
        <v>7173</v>
      </c>
      <c r="Z22" s="8">
        <v>7569</v>
      </c>
      <c r="AA22">
        <f t="shared" si="1"/>
        <v>5933.3</v>
      </c>
    </row>
    <row r="23" spans="1:27" x14ac:dyDescent="0.25">
      <c r="A23">
        <v>170307</v>
      </c>
      <c r="B23" t="str">
        <f>VLOOKUP(Tabela3[[#This Row],[IBGE]],procv!$A$2:$D$142,4,FALSE)</f>
        <v>Médio Norte Araguaia</v>
      </c>
      <c r="C23" t="s">
        <v>26</v>
      </c>
      <c r="D23">
        <v>444</v>
      </c>
      <c r="E23">
        <v>431</v>
      </c>
      <c r="F23">
        <v>420</v>
      </c>
      <c r="G23">
        <v>414</v>
      </c>
      <c r="H23">
        <v>407</v>
      </c>
      <c r="I23">
        <v>406</v>
      </c>
      <c r="J23">
        <v>405</v>
      </c>
      <c r="K23">
        <v>401</v>
      </c>
      <c r="L23">
        <v>401</v>
      </c>
      <c r="M23">
        <v>402</v>
      </c>
      <c r="P23" s="22" t="s">
        <v>146</v>
      </c>
      <c r="Q23" s="8">
        <v>6366</v>
      </c>
      <c r="R23" s="8">
        <v>5188</v>
      </c>
      <c r="S23" s="8">
        <v>5125</v>
      </c>
      <c r="T23" s="8">
        <v>6623</v>
      </c>
      <c r="U23" s="8">
        <v>5669</v>
      </c>
      <c r="V23" s="8">
        <v>2352</v>
      </c>
      <c r="W23" s="8">
        <v>4279</v>
      </c>
      <c r="X23" s="8">
        <v>6605</v>
      </c>
      <c r="Y23" s="8">
        <v>7446</v>
      </c>
      <c r="Z23" s="8">
        <v>8116</v>
      </c>
      <c r="AA23">
        <f t="shared" si="1"/>
        <v>5776.9</v>
      </c>
    </row>
    <row r="24" spans="1:27" x14ac:dyDescent="0.25">
      <c r="A24">
        <v>170310</v>
      </c>
      <c r="B24" t="str">
        <f>VLOOKUP(Tabela3[[#This Row],[IBGE]],procv!$A$2:$D$142,4,FALSE)</f>
        <v>Cantão</v>
      </c>
      <c r="C24" t="s">
        <v>27</v>
      </c>
      <c r="D24">
        <v>404</v>
      </c>
      <c r="E24">
        <v>385</v>
      </c>
      <c r="F24">
        <v>373</v>
      </c>
      <c r="G24">
        <v>364</v>
      </c>
      <c r="H24">
        <v>362</v>
      </c>
      <c r="I24">
        <v>361</v>
      </c>
      <c r="J24">
        <v>359</v>
      </c>
      <c r="K24">
        <v>353</v>
      </c>
      <c r="L24">
        <v>342</v>
      </c>
      <c r="M24">
        <v>333</v>
      </c>
      <c r="P24" s="22" t="s">
        <v>149</v>
      </c>
      <c r="Q24" s="8">
        <v>9618</v>
      </c>
      <c r="R24" s="8">
        <v>9278</v>
      </c>
      <c r="S24" s="8">
        <v>10848</v>
      </c>
      <c r="T24" s="8">
        <v>11564</v>
      </c>
      <c r="U24" s="8">
        <v>10363</v>
      </c>
      <c r="V24" s="8">
        <v>3672</v>
      </c>
      <c r="W24" s="8">
        <v>7593</v>
      </c>
      <c r="X24" s="8">
        <v>12578</v>
      </c>
      <c r="Y24" s="8">
        <v>13787</v>
      </c>
      <c r="Z24" s="8">
        <v>14753</v>
      </c>
      <c r="AA24">
        <f t="shared" si="1"/>
        <v>10405.4</v>
      </c>
    </row>
    <row r="25" spans="1:27" x14ac:dyDescent="0.25">
      <c r="A25">
        <v>170320</v>
      </c>
      <c r="B25" t="str">
        <f>VLOOKUP(Tabela3[[#This Row],[IBGE]],procv!$A$2:$D$142,4,FALSE)</f>
        <v>Cerrado Tocantins Araguaia</v>
      </c>
      <c r="C25" t="s">
        <v>28</v>
      </c>
      <c r="D25">
        <v>379</v>
      </c>
      <c r="E25">
        <v>369</v>
      </c>
      <c r="F25">
        <v>363</v>
      </c>
      <c r="G25">
        <v>357</v>
      </c>
      <c r="H25">
        <v>352</v>
      </c>
      <c r="I25">
        <v>350</v>
      </c>
      <c r="J25">
        <v>347</v>
      </c>
      <c r="K25">
        <v>340</v>
      </c>
      <c r="L25">
        <v>335</v>
      </c>
      <c r="M25">
        <v>327</v>
      </c>
      <c r="P25" s="22" t="s">
        <v>147</v>
      </c>
      <c r="Q25" s="8">
        <v>4574</v>
      </c>
      <c r="R25" s="8">
        <v>4244</v>
      </c>
      <c r="S25" s="8">
        <v>4476</v>
      </c>
      <c r="T25" s="8">
        <v>4710</v>
      </c>
      <c r="U25" s="8">
        <v>4379</v>
      </c>
      <c r="V25" s="8">
        <v>1647</v>
      </c>
      <c r="W25" s="8">
        <v>2476</v>
      </c>
      <c r="X25" s="8">
        <v>4702</v>
      </c>
      <c r="Y25" s="8">
        <v>4522</v>
      </c>
      <c r="Z25" s="8">
        <v>4804</v>
      </c>
      <c r="AA25">
        <f t="shared" si="1"/>
        <v>4053.4</v>
      </c>
    </row>
    <row r="26" spans="1:27" x14ac:dyDescent="0.25">
      <c r="A26">
        <v>170330</v>
      </c>
      <c r="B26" t="str">
        <f>VLOOKUP(Tabela3[[#This Row],[IBGE]],procv!$A$2:$D$142,4,FALSE)</f>
        <v>Cerrado Tocantins Araguaia</v>
      </c>
      <c r="C26" t="s">
        <v>29</v>
      </c>
      <c r="D26">
        <v>399</v>
      </c>
      <c r="E26">
        <v>392</v>
      </c>
      <c r="F26">
        <v>388</v>
      </c>
      <c r="G26">
        <v>385</v>
      </c>
      <c r="H26">
        <v>389</v>
      </c>
      <c r="I26">
        <v>392</v>
      </c>
      <c r="J26">
        <v>394</v>
      </c>
      <c r="K26">
        <v>393</v>
      </c>
      <c r="L26">
        <v>396</v>
      </c>
      <c r="M26">
        <v>400</v>
      </c>
      <c r="P26" s="26" t="s">
        <v>349</v>
      </c>
      <c r="Q26" s="27">
        <v>54836</v>
      </c>
      <c r="R26" s="27">
        <v>53901</v>
      </c>
      <c r="S26" s="27">
        <v>58162</v>
      </c>
      <c r="T26" s="27">
        <v>64396</v>
      </c>
      <c r="U26" s="27">
        <v>61771</v>
      </c>
      <c r="V26" s="27">
        <v>23069</v>
      </c>
      <c r="W26" s="27">
        <v>38649</v>
      </c>
      <c r="X26" s="27">
        <v>68999</v>
      </c>
      <c r="Y26" s="27">
        <v>74603</v>
      </c>
      <c r="Z26" s="27">
        <v>76421</v>
      </c>
      <c r="AA26">
        <f t="shared" si="1"/>
        <v>57480.7</v>
      </c>
    </row>
    <row r="27" spans="1:27" x14ac:dyDescent="0.25">
      <c r="A27">
        <v>170360</v>
      </c>
      <c r="B27" t="str">
        <f>VLOOKUP(Tabela3[[#This Row],[IBGE]],procv!$A$2:$D$142,4,FALSE)</f>
        <v>Cerrado Tocantins Araguaia</v>
      </c>
      <c r="C27" t="s">
        <v>30</v>
      </c>
      <c r="D27">
        <v>189</v>
      </c>
      <c r="E27">
        <v>183</v>
      </c>
      <c r="F27">
        <v>179</v>
      </c>
      <c r="G27">
        <v>174</v>
      </c>
      <c r="H27">
        <v>172</v>
      </c>
      <c r="I27">
        <v>171</v>
      </c>
      <c r="J27">
        <v>169</v>
      </c>
      <c r="K27">
        <v>164</v>
      </c>
      <c r="L27">
        <v>156</v>
      </c>
      <c r="M27">
        <v>152</v>
      </c>
    </row>
    <row r="28" spans="1:27" x14ac:dyDescent="0.25">
      <c r="A28">
        <v>170370</v>
      </c>
      <c r="B28" t="str">
        <f>VLOOKUP(Tabela3[[#This Row],[IBGE]],procv!$A$2:$D$142,4,FALSE)</f>
        <v>Amor Perfeito</v>
      </c>
      <c r="C28" t="s">
        <v>31</v>
      </c>
      <c r="D28">
        <v>442</v>
      </c>
      <c r="E28">
        <v>424</v>
      </c>
      <c r="F28">
        <v>410</v>
      </c>
      <c r="G28">
        <v>399</v>
      </c>
      <c r="H28">
        <v>390</v>
      </c>
      <c r="I28">
        <v>386</v>
      </c>
      <c r="J28">
        <v>377</v>
      </c>
      <c r="K28">
        <v>366</v>
      </c>
      <c r="L28">
        <v>358</v>
      </c>
      <c r="M28">
        <v>347</v>
      </c>
      <c r="S28" t="s">
        <v>368</v>
      </c>
    </row>
    <row r="29" spans="1:27" x14ac:dyDescent="0.25">
      <c r="A29">
        <v>170380</v>
      </c>
      <c r="B29" t="str">
        <f>VLOOKUP(Tabela3[[#This Row],[IBGE]],procv!$A$2:$D$142,4,FALSE)</f>
        <v>Bico do Papagaio</v>
      </c>
      <c r="C29" t="s">
        <v>32</v>
      </c>
      <c r="D29">
        <v>910</v>
      </c>
      <c r="E29">
        <v>893</v>
      </c>
      <c r="F29">
        <v>887</v>
      </c>
      <c r="G29">
        <v>892</v>
      </c>
      <c r="H29">
        <v>901</v>
      </c>
      <c r="I29">
        <v>920</v>
      </c>
      <c r="J29">
        <v>931</v>
      </c>
      <c r="K29">
        <v>931</v>
      </c>
      <c r="L29">
        <v>926</v>
      </c>
      <c r="M29">
        <v>909</v>
      </c>
      <c r="P29" s="30"/>
      <c r="Q29" s="31">
        <v>2015</v>
      </c>
      <c r="R29" s="31">
        <v>2016</v>
      </c>
      <c r="S29" s="31">
        <v>2017</v>
      </c>
      <c r="T29" s="31">
        <v>2018</v>
      </c>
      <c r="U29" s="31">
        <v>2019</v>
      </c>
      <c r="V29" s="31">
        <v>2020</v>
      </c>
      <c r="W29" s="31">
        <v>2021</v>
      </c>
      <c r="X29" s="31">
        <v>2022</v>
      </c>
      <c r="Y29" s="31">
        <v>2023</v>
      </c>
      <c r="Z29" s="31">
        <v>2024</v>
      </c>
      <c r="AA29" s="35" t="s">
        <v>369</v>
      </c>
    </row>
    <row r="30" spans="1:27" x14ac:dyDescent="0.25">
      <c r="A30">
        <v>170382</v>
      </c>
      <c r="B30" t="str">
        <f>VLOOKUP(Tabela3[[#This Row],[IBGE]],procv!$A$2:$D$142,4,FALSE)</f>
        <v>Bico do Papagaio</v>
      </c>
      <c r="C30" t="s">
        <v>33</v>
      </c>
      <c r="D30">
        <v>210</v>
      </c>
      <c r="E30">
        <v>205</v>
      </c>
      <c r="F30">
        <v>198</v>
      </c>
      <c r="G30">
        <v>189</v>
      </c>
      <c r="H30">
        <v>176</v>
      </c>
      <c r="I30">
        <v>165</v>
      </c>
      <c r="J30">
        <v>156</v>
      </c>
      <c r="K30">
        <v>151</v>
      </c>
      <c r="L30">
        <v>149</v>
      </c>
      <c r="M30">
        <v>155</v>
      </c>
      <c r="P30" s="32" t="s">
        <v>151</v>
      </c>
      <c r="Q30" s="34">
        <f t="shared" ref="Q30:Q35" si="2">Q18/Q4</f>
        <v>0.41345182791355284</v>
      </c>
      <c r="R30" s="34">
        <f t="shared" ref="R30:Z30" si="3">R18/R4</f>
        <v>0.42552540297898389</v>
      </c>
      <c r="S30" s="34">
        <f t="shared" si="3"/>
        <v>0.42312813684318346</v>
      </c>
      <c r="T30" s="34">
        <f t="shared" si="3"/>
        <v>0.57119358486686544</v>
      </c>
      <c r="U30" s="34">
        <f t="shared" si="3"/>
        <v>0.6237389334980441</v>
      </c>
      <c r="V30" s="34">
        <f t="shared" si="3"/>
        <v>0.1211595386342758</v>
      </c>
      <c r="W30" s="34">
        <f t="shared" si="3"/>
        <v>0.30385556915544676</v>
      </c>
      <c r="X30" s="34">
        <f t="shared" si="3"/>
        <v>0.65360277607675032</v>
      </c>
      <c r="Y30" s="34">
        <f t="shared" si="3"/>
        <v>0.75058346017250122</v>
      </c>
      <c r="Z30" s="34">
        <f t="shared" si="3"/>
        <v>0.69272727272727275</v>
      </c>
      <c r="AA30" s="34">
        <f t="shared" ref="AA30" si="4">AA18/AA4</f>
        <v>0.49801146213619957</v>
      </c>
    </row>
    <row r="31" spans="1:27" x14ac:dyDescent="0.25">
      <c r="A31">
        <v>170384</v>
      </c>
      <c r="B31" t="str">
        <f>VLOOKUP(Tabela3[[#This Row],[IBGE]],procv!$A$2:$D$142,4,FALSE)</f>
        <v>Médio Norte Araguaia</v>
      </c>
      <c r="C31" t="s">
        <v>34</v>
      </c>
      <c r="D31">
        <v>979</v>
      </c>
      <c r="E31">
        <v>956</v>
      </c>
      <c r="F31">
        <v>940</v>
      </c>
      <c r="G31">
        <v>928</v>
      </c>
      <c r="H31">
        <v>919</v>
      </c>
      <c r="I31">
        <v>917</v>
      </c>
      <c r="J31">
        <v>910</v>
      </c>
      <c r="K31">
        <v>902</v>
      </c>
      <c r="L31">
        <v>904</v>
      </c>
      <c r="M31">
        <v>904</v>
      </c>
      <c r="P31" s="32" t="s">
        <v>145</v>
      </c>
      <c r="Q31" s="34">
        <f t="shared" si="2"/>
        <v>0.54395547232625885</v>
      </c>
      <c r="R31" s="34">
        <f t="shared" ref="R31:Z31" si="5">R19/R5</f>
        <v>0.5143725667964375</v>
      </c>
      <c r="S31" s="34">
        <f t="shared" si="5"/>
        <v>0.59056573012336289</v>
      </c>
      <c r="T31" s="34">
        <f t="shared" si="5"/>
        <v>0.68676364843188231</v>
      </c>
      <c r="U31" s="34">
        <f t="shared" si="5"/>
        <v>0.65721186250280839</v>
      </c>
      <c r="V31" s="34">
        <f t="shared" si="5"/>
        <v>0.27390370705244121</v>
      </c>
      <c r="W31" s="34">
        <f t="shared" si="5"/>
        <v>0.51433476394849786</v>
      </c>
      <c r="X31" s="34">
        <f t="shared" si="5"/>
        <v>0.75409265064437481</v>
      </c>
      <c r="Y31" s="34">
        <f t="shared" si="5"/>
        <v>0.75996488147497809</v>
      </c>
      <c r="Z31" s="34">
        <f t="shared" si="5"/>
        <v>0.77764650283553871</v>
      </c>
      <c r="AA31" s="34">
        <f t="shared" ref="AA31" si="6">AA19/AA5</f>
        <v>0.60479993731425141</v>
      </c>
    </row>
    <row r="32" spans="1:27" x14ac:dyDescent="0.25">
      <c r="A32">
        <v>170386</v>
      </c>
      <c r="B32" t="str">
        <f>VLOOKUP(Tabela3[[#This Row],[IBGE]],procv!$A$2:$D$142,4,FALSE)</f>
        <v>Ilha do Bananal</v>
      </c>
      <c r="C32" t="s">
        <v>35</v>
      </c>
      <c r="D32">
        <v>290</v>
      </c>
      <c r="E32">
        <v>285</v>
      </c>
      <c r="F32">
        <v>284</v>
      </c>
      <c r="G32">
        <v>285</v>
      </c>
      <c r="H32">
        <v>287</v>
      </c>
      <c r="I32">
        <v>292</v>
      </c>
      <c r="J32">
        <v>293</v>
      </c>
      <c r="K32">
        <v>294</v>
      </c>
      <c r="L32">
        <v>292</v>
      </c>
      <c r="M32">
        <v>290</v>
      </c>
      <c r="P32" s="32" t="s">
        <v>144</v>
      </c>
      <c r="Q32" s="34">
        <f t="shared" si="2"/>
        <v>0.39601277460563244</v>
      </c>
      <c r="R32" s="34">
        <f t="shared" ref="R32:Z32" si="7">R20/R6</f>
        <v>0.32809876543209876</v>
      </c>
      <c r="S32" s="34">
        <f t="shared" si="7"/>
        <v>0.4015755883526127</v>
      </c>
      <c r="T32" s="34">
        <f t="shared" si="7"/>
        <v>0.45438139161820734</v>
      </c>
      <c r="U32" s="34">
        <f t="shared" si="7"/>
        <v>0.42982982982982981</v>
      </c>
      <c r="V32" s="34">
        <f t="shared" si="7"/>
        <v>0.19667590027700832</v>
      </c>
      <c r="W32" s="34">
        <f t="shared" si="7"/>
        <v>0.28634708140565018</v>
      </c>
      <c r="X32" s="34">
        <f t="shared" si="7"/>
        <v>0.56645694062131335</v>
      </c>
      <c r="Y32" s="34">
        <f t="shared" si="7"/>
        <v>0.6336286632265602</v>
      </c>
      <c r="Z32" s="34">
        <f t="shared" si="7"/>
        <v>0.59200231816864679</v>
      </c>
      <c r="AA32" s="34">
        <f t="shared" ref="AA32" si="8">AA20/AA6</f>
        <v>0.42913715484716247</v>
      </c>
    </row>
    <row r="33" spans="1:27" x14ac:dyDescent="0.25">
      <c r="A33">
        <v>170388</v>
      </c>
      <c r="B33" t="str">
        <f>VLOOKUP(Tabela3[[#This Row],[IBGE]],procv!$A$2:$D$142,4,FALSE)</f>
        <v>Médio Norte Araguaia</v>
      </c>
      <c r="C33" t="s">
        <v>36</v>
      </c>
      <c r="D33">
        <v>203</v>
      </c>
      <c r="E33">
        <v>196</v>
      </c>
      <c r="F33">
        <v>191</v>
      </c>
      <c r="G33">
        <v>185</v>
      </c>
      <c r="H33">
        <v>185</v>
      </c>
      <c r="I33">
        <v>182</v>
      </c>
      <c r="J33">
        <v>181</v>
      </c>
      <c r="K33">
        <v>180</v>
      </c>
      <c r="L33">
        <v>179</v>
      </c>
      <c r="M33">
        <v>181</v>
      </c>
      <c r="P33" s="32" t="s">
        <v>148</v>
      </c>
      <c r="Q33" s="34">
        <f t="shared" si="2"/>
        <v>0.28959042608067675</v>
      </c>
      <c r="R33" s="34">
        <f t="shared" ref="R33:Z33" si="9">R21/R7</f>
        <v>0.42652773479143025</v>
      </c>
      <c r="S33" s="34">
        <f t="shared" si="9"/>
        <v>0.43925137715126422</v>
      </c>
      <c r="T33" s="34">
        <f t="shared" si="9"/>
        <v>0.42007574465181341</v>
      </c>
      <c r="U33" s="34">
        <f t="shared" si="9"/>
        <v>0.42118880642745282</v>
      </c>
      <c r="V33" s="34">
        <f t="shared" si="9"/>
        <v>0.17009962304792675</v>
      </c>
      <c r="W33" s="34">
        <f t="shared" si="9"/>
        <v>0.20877392584660687</v>
      </c>
      <c r="X33" s="34">
        <f t="shared" si="9"/>
        <v>0.4398774232229698</v>
      </c>
      <c r="Y33" s="34">
        <f t="shared" si="9"/>
        <v>0.48170711842319597</v>
      </c>
      <c r="Z33" s="34">
        <f t="shared" si="9"/>
        <v>0.48466475312026319</v>
      </c>
      <c r="AA33" s="34">
        <f t="shared" ref="AA33" si="10">AA21/AA7</f>
        <v>0.37882833201070654</v>
      </c>
    </row>
    <row r="34" spans="1:27" x14ac:dyDescent="0.25">
      <c r="A34">
        <v>170389</v>
      </c>
      <c r="B34" t="str">
        <f>VLOOKUP(Tabela3[[#This Row],[IBGE]],procv!$A$2:$D$142,4,FALSE)</f>
        <v>Bico do Papagaio</v>
      </c>
      <c r="C34" t="s">
        <v>37</v>
      </c>
      <c r="D34">
        <v>400</v>
      </c>
      <c r="E34">
        <v>385</v>
      </c>
      <c r="F34">
        <v>372</v>
      </c>
      <c r="G34">
        <v>355</v>
      </c>
      <c r="H34">
        <v>339</v>
      </c>
      <c r="I34">
        <v>326</v>
      </c>
      <c r="J34">
        <v>312</v>
      </c>
      <c r="K34">
        <v>302</v>
      </c>
      <c r="L34">
        <v>295</v>
      </c>
      <c r="M34">
        <v>293</v>
      </c>
      <c r="P34" s="32" t="s">
        <v>150</v>
      </c>
      <c r="Q34" s="34">
        <f t="shared" si="2"/>
        <v>0.55642113382182801</v>
      </c>
      <c r="R34" s="34">
        <f t="shared" ref="R34:Z34" si="11">R22/R8</f>
        <v>0.44724135201456505</v>
      </c>
      <c r="S34" s="34">
        <f t="shared" si="11"/>
        <v>0.47101449275362317</v>
      </c>
      <c r="T34" s="34">
        <f t="shared" si="11"/>
        <v>0.54572921770373994</v>
      </c>
      <c r="U34" s="34">
        <f t="shared" si="11"/>
        <v>0.57069958847736624</v>
      </c>
      <c r="V34" s="34">
        <f t="shared" si="11"/>
        <v>0.19085977313825414</v>
      </c>
      <c r="W34" s="34">
        <f t="shared" si="11"/>
        <v>0.26302319821679188</v>
      </c>
      <c r="X34" s="34">
        <f t="shared" si="11"/>
        <v>0.56154357950765132</v>
      </c>
      <c r="Y34" s="34">
        <f t="shared" si="11"/>
        <v>0.5972522897585345</v>
      </c>
      <c r="Z34" s="34">
        <f t="shared" si="11"/>
        <v>0.63080256688057335</v>
      </c>
      <c r="AA34" s="34">
        <f t="shared" ref="AA34" si="12">AA22/AA8</f>
        <v>0.48345908772387269</v>
      </c>
    </row>
    <row r="35" spans="1:27" x14ac:dyDescent="0.25">
      <c r="A35">
        <v>170390</v>
      </c>
      <c r="B35" t="str">
        <f>VLOOKUP(Tabela3[[#This Row],[IBGE]],procv!$A$2:$D$142,4,FALSE)</f>
        <v>Cantão</v>
      </c>
      <c r="C35" t="s">
        <v>38</v>
      </c>
      <c r="D35">
        <v>457</v>
      </c>
      <c r="E35">
        <v>439</v>
      </c>
      <c r="F35">
        <v>428</v>
      </c>
      <c r="G35">
        <v>419</v>
      </c>
      <c r="H35">
        <v>414</v>
      </c>
      <c r="I35">
        <v>414</v>
      </c>
      <c r="J35">
        <v>411</v>
      </c>
      <c r="K35">
        <v>411</v>
      </c>
      <c r="L35">
        <v>415</v>
      </c>
      <c r="M35">
        <v>423</v>
      </c>
      <c r="P35" s="32" t="s">
        <v>146</v>
      </c>
      <c r="Q35" s="34">
        <f t="shared" si="2"/>
        <v>0.4592742226390592</v>
      </c>
      <c r="R35" s="34">
        <f t="shared" ref="R35:Z35" si="13">R23/R9</f>
        <v>0.38460968196308104</v>
      </c>
      <c r="S35" s="34">
        <f t="shared" si="13"/>
        <v>0.38597680373550236</v>
      </c>
      <c r="T35" s="34">
        <f t="shared" si="13"/>
        <v>0.5047248894985521</v>
      </c>
      <c r="U35" s="34">
        <f t="shared" si="13"/>
        <v>0.43427301976405697</v>
      </c>
      <c r="V35" s="34">
        <f t="shared" si="13"/>
        <v>0.17911811743203107</v>
      </c>
      <c r="W35" s="34">
        <f t="shared" si="13"/>
        <v>0.32634228187919462</v>
      </c>
      <c r="X35" s="34">
        <f t="shared" si="13"/>
        <v>0.50520116261281933</v>
      </c>
      <c r="Y35" s="34">
        <f t="shared" si="13"/>
        <v>0.56718464351005482</v>
      </c>
      <c r="Z35" s="34">
        <f t="shared" si="13"/>
        <v>0.61681106551147591</v>
      </c>
      <c r="AA35" s="34">
        <f t="shared" ref="AA35" si="14">AA23/AA9</f>
        <v>0.43629868511483527</v>
      </c>
    </row>
    <row r="36" spans="1:27" x14ac:dyDescent="0.25">
      <c r="A36">
        <v>170410</v>
      </c>
      <c r="B36" t="str">
        <f>VLOOKUP(Tabela3[[#This Row],[IBGE]],procv!$A$2:$D$142,4,FALSE)</f>
        <v>Cerrado Tocantins Araguaia</v>
      </c>
      <c r="C36" t="s">
        <v>39</v>
      </c>
      <c r="D36">
        <v>195</v>
      </c>
      <c r="E36">
        <v>181</v>
      </c>
      <c r="F36">
        <v>175</v>
      </c>
      <c r="G36">
        <v>171</v>
      </c>
      <c r="H36">
        <v>169</v>
      </c>
      <c r="I36">
        <v>172</v>
      </c>
      <c r="J36">
        <v>170</v>
      </c>
      <c r="K36">
        <v>164</v>
      </c>
      <c r="L36">
        <v>155</v>
      </c>
      <c r="M36">
        <v>148</v>
      </c>
      <c r="P36" s="32" t="s">
        <v>149</v>
      </c>
      <c r="Q36" s="34">
        <f t="shared" ref="Q36:Z38" si="15">Q24/Q10</f>
        <v>0.40013312809418811</v>
      </c>
      <c r="R36" s="34">
        <f t="shared" si="15"/>
        <v>0.39271957671957675</v>
      </c>
      <c r="S36" s="34">
        <f t="shared" si="15"/>
        <v>0.46356993290885007</v>
      </c>
      <c r="T36" s="34">
        <f t="shared" si="15"/>
        <v>0.4979760571871501</v>
      </c>
      <c r="U36" s="34">
        <f t="shared" si="15"/>
        <v>0.44770380610878302</v>
      </c>
      <c r="V36" s="34">
        <f t="shared" si="15"/>
        <v>0.15781330582774625</v>
      </c>
      <c r="W36" s="34">
        <f t="shared" si="15"/>
        <v>0.32659469224482773</v>
      </c>
      <c r="X36" s="34">
        <f t="shared" si="15"/>
        <v>0.5427166033828098</v>
      </c>
      <c r="Y36" s="34">
        <f t="shared" si="15"/>
        <v>0.59204706488598791</v>
      </c>
      <c r="Z36" s="34">
        <f t="shared" si="15"/>
        <v>0.63317596566523604</v>
      </c>
      <c r="AA36" s="34">
        <f t="shared" ref="AA36" si="16">AA24/AA10</f>
        <v>0.44522318066680355</v>
      </c>
    </row>
    <row r="37" spans="1:27" x14ac:dyDescent="0.25">
      <c r="A37">
        <v>170460</v>
      </c>
      <c r="B37" t="str">
        <f>VLOOKUP(Tabela3[[#This Row],[IBGE]],procv!$A$2:$D$142,4,FALSE)</f>
        <v>Cantão</v>
      </c>
      <c r="C37" t="s">
        <v>41</v>
      </c>
      <c r="D37">
        <v>111</v>
      </c>
      <c r="E37">
        <v>111</v>
      </c>
      <c r="F37">
        <v>111</v>
      </c>
      <c r="G37">
        <v>112</v>
      </c>
      <c r="H37">
        <v>113</v>
      </c>
      <c r="I37">
        <v>115</v>
      </c>
      <c r="J37">
        <v>114</v>
      </c>
      <c r="K37">
        <v>113</v>
      </c>
      <c r="L37">
        <v>113</v>
      </c>
      <c r="M37">
        <v>118</v>
      </c>
      <c r="P37" s="32" t="s">
        <v>147</v>
      </c>
      <c r="Q37" s="34">
        <f t="shared" si="15"/>
        <v>0.55638000243279406</v>
      </c>
      <c r="R37" s="34">
        <f t="shared" si="15"/>
        <v>0.53403800176167104</v>
      </c>
      <c r="S37" s="34">
        <f t="shared" si="15"/>
        <v>0.57859358841778696</v>
      </c>
      <c r="T37" s="34">
        <f t="shared" si="15"/>
        <v>0.62591362126245842</v>
      </c>
      <c r="U37" s="34">
        <f t="shared" si="15"/>
        <v>0.59586338277316642</v>
      </c>
      <c r="V37" s="34">
        <f t="shared" si="15"/>
        <v>0.2275176129299627</v>
      </c>
      <c r="W37" s="34">
        <f t="shared" si="15"/>
        <v>0.34937208974178074</v>
      </c>
      <c r="X37" s="34">
        <f t="shared" si="15"/>
        <v>0.67889113485417263</v>
      </c>
      <c r="Y37" s="34">
        <f t="shared" si="15"/>
        <v>0.66266119577960136</v>
      </c>
      <c r="Z37" s="34">
        <f t="shared" si="15"/>
        <v>0.71434944237918219</v>
      </c>
      <c r="AA37" s="34">
        <f t="shared" ref="AA37" si="17">AA25/AA11</f>
        <v>0.5508908791910736</v>
      </c>
    </row>
    <row r="38" spans="1:27" x14ac:dyDescent="0.25">
      <c r="A38">
        <v>170510</v>
      </c>
      <c r="B38" t="str">
        <f>VLOOKUP(Tabela3[[#This Row],[IBGE]],procv!$A$2:$D$142,4,FALSE)</f>
        <v>Amor Perfeito</v>
      </c>
      <c r="C38" t="s">
        <v>40</v>
      </c>
      <c r="D38">
        <v>285</v>
      </c>
      <c r="E38">
        <v>276</v>
      </c>
      <c r="F38">
        <v>272</v>
      </c>
      <c r="G38">
        <v>268</v>
      </c>
      <c r="H38">
        <v>266</v>
      </c>
      <c r="I38">
        <v>271</v>
      </c>
      <c r="J38">
        <v>270</v>
      </c>
      <c r="K38">
        <v>266</v>
      </c>
      <c r="L38">
        <v>259</v>
      </c>
      <c r="M38">
        <v>256</v>
      </c>
      <c r="P38" s="33" t="s">
        <v>365</v>
      </c>
      <c r="Q38" s="34">
        <f t="shared" si="15"/>
        <v>0.42967513438121951</v>
      </c>
      <c r="R38" s="34">
        <f t="shared" si="15"/>
        <v>0.42965779467680609</v>
      </c>
      <c r="S38" s="34">
        <f t="shared" si="15"/>
        <v>0.46808955848503869</v>
      </c>
      <c r="T38" s="34">
        <f t="shared" si="15"/>
        <v>0.52267783513522292</v>
      </c>
      <c r="U38" s="34">
        <f t="shared" si="15"/>
        <v>0.50391574619438417</v>
      </c>
      <c r="V38" s="34">
        <f t="shared" si="15"/>
        <v>0.18737461114224679</v>
      </c>
      <c r="W38" s="34">
        <f t="shared" si="15"/>
        <v>0.31451868850858133</v>
      </c>
      <c r="X38" s="34">
        <f t="shared" si="15"/>
        <v>0.56363443284484305</v>
      </c>
      <c r="Y38" s="34">
        <f t="shared" si="15"/>
        <v>0.60576509276927448</v>
      </c>
      <c r="Z38" s="34">
        <f t="shared" si="15"/>
        <v>0.61944557023587588</v>
      </c>
      <c r="AA38" s="34">
        <f t="shared" ref="AA38" si="18">AA26/AA12</f>
        <v>0.46428190647272816</v>
      </c>
    </row>
    <row r="39" spans="1:27" x14ac:dyDescent="0.25">
      <c r="A39">
        <v>170550</v>
      </c>
      <c r="B39" t="str">
        <f>VLOOKUP(Tabela3[[#This Row],[IBGE]],procv!$A$2:$D$142,4,FALSE)</f>
        <v>Cerrado Tocantins Araguaia</v>
      </c>
      <c r="C39" t="s">
        <v>42</v>
      </c>
      <c r="D39">
        <v>2792</v>
      </c>
      <c r="E39">
        <v>2756</v>
      </c>
      <c r="F39">
        <v>2744</v>
      </c>
      <c r="G39">
        <v>2740</v>
      </c>
      <c r="H39">
        <v>2755</v>
      </c>
      <c r="I39">
        <v>2793</v>
      </c>
      <c r="J39">
        <v>2811</v>
      </c>
      <c r="K39">
        <v>2827</v>
      </c>
      <c r="L39">
        <v>2862</v>
      </c>
      <c r="M39">
        <v>2882</v>
      </c>
      <c r="V39" s="36"/>
      <c r="W39" s="36"/>
    </row>
    <row r="40" spans="1:27" x14ac:dyDescent="0.25">
      <c r="A40">
        <v>170555</v>
      </c>
      <c r="B40" t="str">
        <f>VLOOKUP(Tabela3[[#This Row],[IBGE]],procv!$A$2:$D$142,4,FALSE)</f>
        <v>Sudeste</v>
      </c>
      <c r="C40" t="s">
        <v>44</v>
      </c>
      <c r="D40">
        <v>410</v>
      </c>
      <c r="E40">
        <v>398</v>
      </c>
      <c r="F40">
        <v>389</v>
      </c>
      <c r="G40">
        <v>380</v>
      </c>
      <c r="H40">
        <v>373</v>
      </c>
      <c r="I40">
        <v>369</v>
      </c>
      <c r="J40">
        <v>360</v>
      </c>
      <c r="K40">
        <v>353</v>
      </c>
      <c r="L40">
        <v>348</v>
      </c>
      <c r="M40">
        <v>346</v>
      </c>
    </row>
    <row r="41" spans="1:27" x14ac:dyDescent="0.25">
      <c r="A41">
        <v>170560</v>
      </c>
      <c r="B41" t="str">
        <f>VLOOKUP(Tabela3[[#This Row],[IBGE]],procv!$A$2:$D$142,4,FALSE)</f>
        <v>Sudeste</v>
      </c>
      <c r="C41" t="s">
        <v>45</v>
      </c>
      <c r="D41">
        <v>402</v>
      </c>
      <c r="E41">
        <v>390</v>
      </c>
      <c r="F41">
        <v>377</v>
      </c>
      <c r="G41">
        <v>363</v>
      </c>
      <c r="H41">
        <v>349</v>
      </c>
      <c r="I41">
        <v>339</v>
      </c>
      <c r="J41">
        <v>329</v>
      </c>
      <c r="K41">
        <v>318</v>
      </c>
      <c r="L41">
        <v>313</v>
      </c>
      <c r="M41">
        <v>314</v>
      </c>
    </row>
    <row r="42" spans="1:27" x14ac:dyDescent="0.25">
      <c r="A42">
        <v>170600</v>
      </c>
      <c r="B42" t="str">
        <f>VLOOKUP(Tabela3[[#This Row],[IBGE]],procv!$A$2:$D$142,4,FALSE)</f>
        <v>Cerrado Tocantins Araguaia</v>
      </c>
      <c r="C42" t="s">
        <v>46</v>
      </c>
      <c r="D42">
        <v>479</v>
      </c>
      <c r="E42">
        <v>469</v>
      </c>
      <c r="F42">
        <v>465</v>
      </c>
      <c r="G42">
        <v>462</v>
      </c>
      <c r="H42">
        <v>465</v>
      </c>
      <c r="I42">
        <v>474</v>
      </c>
      <c r="J42">
        <v>474</v>
      </c>
      <c r="K42">
        <v>471</v>
      </c>
      <c r="L42">
        <v>464</v>
      </c>
      <c r="M42">
        <v>457</v>
      </c>
    </row>
    <row r="43" spans="1:27" x14ac:dyDescent="0.25">
      <c r="A43">
        <v>170610</v>
      </c>
      <c r="B43" t="str">
        <f>VLOOKUP(Tabela3[[#This Row],[IBGE]],procv!$A$2:$D$142,4,FALSE)</f>
        <v>Cantão</v>
      </c>
      <c r="C43" t="s">
        <v>47</v>
      </c>
      <c r="D43">
        <v>539</v>
      </c>
      <c r="E43">
        <v>509</v>
      </c>
      <c r="F43">
        <v>486</v>
      </c>
      <c r="G43">
        <v>469</v>
      </c>
      <c r="H43">
        <v>458</v>
      </c>
      <c r="I43">
        <v>455</v>
      </c>
      <c r="J43">
        <v>446</v>
      </c>
      <c r="K43">
        <v>436</v>
      </c>
      <c r="L43">
        <v>433</v>
      </c>
      <c r="M43">
        <v>430</v>
      </c>
    </row>
    <row r="44" spans="1:27" x14ac:dyDescent="0.25">
      <c r="A44">
        <v>170625</v>
      </c>
      <c r="B44" t="str">
        <f>VLOOKUP(Tabela3[[#This Row],[IBGE]],procv!$A$2:$D$142,4,FALSE)</f>
        <v>Ilha do Bananal</v>
      </c>
      <c r="C44" t="s">
        <v>48</v>
      </c>
      <c r="D44">
        <v>127</v>
      </c>
      <c r="E44">
        <v>119</v>
      </c>
      <c r="F44">
        <v>115</v>
      </c>
      <c r="G44">
        <v>112</v>
      </c>
      <c r="H44">
        <v>116</v>
      </c>
      <c r="I44">
        <v>122</v>
      </c>
      <c r="J44">
        <v>122</v>
      </c>
      <c r="K44">
        <v>123</v>
      </c>
      <c r="L44">
        <v>118</v>
      </c>
      <c r="M44">
        <v>116</v>
      </c>
    </row>
    <row r="45" spans="1:27" x14ac:dyDescent="0.25">
      <c r="A45">
        <v>170650</v>
      </c>
      <c r="B45" t="str">
        <f>VLOOKUP(Tabela3[[#This Row],[IBGE]],procv!$A$2:$D$142,4,FALSE)</f>
        <v>Médio Norte Araguaia</v>
      </c>
      <c r="C45" t="s">
        <v>49</v>
      </c>
      <c r="D45">
        <v>547</v>
      </c>
      <c r="E45">
        <v>540</v>
      </c>
      <c r="F45">
        <v>535</v>
      </c>
      <c r="G45">
        <v>524</v>
      </c>
      <c r="H45">
        <v>512</v>
      </c>
      <c r="I45">
        <v>505</v>
      </c>
      <c r="J45">
        <v>495</v>
      </c>
      <c r="K45">
        <v>490</v>
      </c>
      <c r="L45">
        <v>495</v>
      </c>
      <c r="M45">
        <v>502</v>
      </c>
    </row>
    <row r="46" spans="1:27" x14ac:dyDescent="0.25">
      <c r="A46">
        <v>170700</v>
      </c>
      <c r="B46" t="str">
        <f>VLOOKUP(Tabela3[[#This Row],[IBGE]],procv!$A$2:$D$142,4,FALSE)</f>
        <v>Sudeste</v>
      </c>
      <c r="C46" t="s">
        <v>50</v>
      </c>
      <c r="D46">
        <v>1713</v>
      </c>
      <c r="E46">
        <v>1652</v>
      </c>
      <c r="F46">
        <v>1606</v>
      </c>
      <c r="G46">
        <v>1565</v>
      </c>
      <c r="H46">
        <v>1532</v>
      </c>
      <c r="I46">
        <v>1511</v>
      </c>
      <c r="J46">
        <v>1485</v>
      </c>
      <c r="K46">
        <v>1459</v>
      </c>
      <c r="L46">
        <v>1451</v>
      </c>
      <c r="M46">
        <v>1441</v>
      </c>
    </row>
    <row r="47" spans="1:27" x14ac:dyDescent="0.25">
      <c r="A47">
        <v>170710</v>
      </c>
      <c r="B47" t="str">
        <f>VLOOKUP(Tabela3[[#This Row],[IBGE]],procv!$A$2:$D$142,4,FALSE)</f>
        <v>Cantão</v>
      </c>
      <c r="C47" t="s">
        <v>51</v>
      </c>
      <c r="D47">
        <v>554</v>
      </c>
      <c r="E47">
        <v>539</v>
      </c>
      <c r="F47">
        <v>532</v>
      </c>
      <c r="G47">
        <v>524</v>
      </c>
      <c r="H47">
        <v>523</v>
      </c>
      <c r="I47">
        <v>525</v>
      </c>
      <c r="J47">
        <v>526</v>
      </c>
      <c r="K47">
        <v>524</v>
      </c>
      <c r="L47">
        <v>533</v>
      </c>
      <c r="M47">
        <v>539</v>
      </c>
    </row>
    <row r="48" spans="1:27" x14ac:dyDescent="0.25">
      <c r="A48">
        <v>170720</v>
      </c>
      <c r="B48" t="str">
        <f>VLOOKUP(Tabela3[[#This Row],[IBGE]],procv!$A$2:$D$142,4,FALSE)</f>
        <v>Cantão</v>
      </c>
      <c r="C48" t="s">
        <v>52</v>
      </c>
      <c r="D48">
        <v>556</v>
      </c>
      <c r="E48">
        <v>534</v>
      </c>
      <c r="F48">
        <v>516</v>
      </c>
      <c r="G48">
        <v>500</v>
      </c>
      <c r="H48">
        <v>490</v>
      </c>
      <c r="I48">
        <v>483</v>
      </c>
      <c r="J48">
        <v>472</v>
      </c>
      <c r="K48">
        <v>460</v>
      </c>
      <c r="L48">
        <v>455</v>
      </c>
      <c r="M48">
        <v>449</v>
      </c>
    </row>
    <row r="49" spans="1:13" x14ac:dyDescent="0.25">
      <c r="A49">
        <v>170730</v>
      </c>
      <c r="B49" t="str">
        <f>VLOOKUP(Tabela3[[#This Row],[IBGE]],procv!$A$2:$D$142,4,FALSE)</f>
        <v>Ilha do Bananal</v>
      </c>
      <c r="C49" t="s">
        <v>53</v>
      </c>
      <c r="D49">
        <v>361</v>
      </c>
      <c r="E49">
        <v>346</v>
      </c>
      <c r="F49">
        <v>333</v>
      </c>
      <c r="G49">
        <v>325</v>
      </c>
      <c r="H49">
        <v>315</v>
      </c>
      <c r="I49">
        <v>306</v>
      </c>
      <c r="J49">
        <v>297</v>
      </c>
      <c r="K49">
        <v>293</v>
      </c>
      <c r="L49">
        <v>292</v>
      </c>
      <c r="M49">
        <v>294</v>
      </c>
    </row>
    <row r="50" spans="1:13" x14ac:dyDescent="0.25">
      <c r="A50">
        <v>170740</v>
      </c>
      <c r="B50" t="str">
        <f>VLOOKUP(Tabela3[[#This Row],[IBGE]],procv!$A$2:$D$142,4,FALSE)</f>
        <v>Bico do Papagaio</v>
      </c>
      <c r="C50" t="s">
        <v>54</v>
      </c>
      <c r="D50">
        <v>925</v>
      </c>
      <c r="E50">
        <v>878</v>
      </c>
      <c r="F50">
        <v>839</v>
      </c>
      <c r="G50">
        <v>806</v>
      </c>
      <c r="H50">
        <v>778</v>
      </c>
      <c r="I50">
        <v>758</v>
      </c>
      <c r="J50">
        <v>731</v>
      </c>
      <c r="K50">
        <v>701</v>
      </c>
      <c r="L50">
        <v>671</v>
      </c>
      <c r="M50">
        <v>642</v>
      </c>
    </row>
    <row r="51" spans="1:13" x14ac:dyDescent="0.25">
      <c r="A51">
        <v>170755</v>
      </c>
      <c r="B51" t="str">
        <f>VLOOKUP(Tabela3[[#This Row],[IBGE]],procv!$A$2:$D$142,4,FALSE)</f>
        <v>Amor Perfeito</v>
      </c>
      <c r="C51" t="s">
        <v>55</v>
      </c>
      <c r="D51">
        <v>294</v>
      </c>
      <c r="E51">
        <v>279</v>
      </c>
      <c r="F51">
        <v>271</v>
      </c>
      <c r="G51">
        <v>264</v>
      </c>
      <c r="H51">
        <v>260</v>
      </c>
      <c r="I51">
        <v>262</v>
      </c>
      <c r="J51">
        <v>259</v>
      </c>
      <c r="K51">
        <v>258</v>
      </c>
      <c r="L51">
        <v>255</v>
      </c>
      <c r="M51">
        <v>256</v>
      </c>
    </row>
    <row r="52" spans="1:13" x14ac:dyDescent="0.25">
      <c r="A52">
        <v>170765</v>
      </c>
      <c r="B52" t="str">
        <f>VLOOKUP(Tabela3[[#This Row],[IBGE]],procv!$A$2:$D$142,4,FALSE)</f>
        <v>Ilha do Bananal</v>
      </c>
      <c r="C52" t="s">
        <v>56</v>
      </c>
      <c r="D52">
        <v>382</v>
      </c>
      <c r="E52">
        <v>370</v>
      </c>
      <c r="F52">
        <v>364</v>
      </c>
      <c r="G52">
        <v>361</v>
      </c>
      <c r="H52">
        <v>362</v>
      </c>
      <c r="I52">
        <v>368</v>
      </c>
      <c r="J52">
        <v>372</v>
      </c>
      <c r="K52">
        <v>367</v>
      </c>
      <c r="L52">
        <v>365</v>
      </c>
      <c r="M52">
        <v>361</v>
      </c>
    </row>
    <row r="53" spans="1:13" x14ac:dyDescent="0.25">
      <c r="A53">
        <v>170770</v>
      </c>
      <c r="B53" t="str">
        <f>VLOOKUP(Tabela3[[#This Row],[IBGE]],procv!$A$2:$D$142,4,FALSE)</f>
        <v>Médio Norte Araguaia</v>
      </c>
      <c r="C53" t="s">
        <v>57</v>
      </c>
      <c r="D53">
        <v>760</v>
      </c>
      <c r="E53">
        <v>728</v>
      </c>
      <c r="F53">
        <v>701</v>
      </c>
      <c r="G53">
        <v>676</v>
      </c>
      <c r="H53">
        <v>652</v>
      </c>
      <c r="I53">
        <v>634</v>
      </c>
      <c r="J53">
        <v>615</v>
      </c>
      <c r="K53">
        <v>599</v>
      </c>
      <c r="L53">
        <v>589</v>
      </c>
      <c r="M53">
        <v>581</v>
      </c>
    </row>
    <row r="54" spans="1:13" x14ac:dyDescent="0.25">
      <c r="A54">
        <v>170820</v>
      </c>
      <c r="B54" t="str">
        <f>VLOOKUP(Tabela3[[#This Row],[IBGE]],procv!$A$2:$D$142,4,FALSE)</f>
        <v>Ilha do Bananal</v>
      </c>
      <c r="C54" t="s">
        <v>58</v>
      </c>
      <c r="D54">
        <v>1583</v>
      </c>
      <c r="E54">
        <v>1528</v>
      </c>
      <c r="F54">
        <v>1491</v>
      </c>
      <c r="G54">
        <v>1462</v>
      </c>
      <c r="H54">
        <v>1441</v>
      </c>
      <c r="I54">
        <v>1438</v>
      </c>
      <c r="J54">
        <v>1429</v>
      </c>
      <c r="K54">
        <v>1422</v>
      </c>
      <c r="L54">
        <v>1438</v>
      </c>
      <c r="M54">
        <v>1449</v>
      </c>
    </row>
    <row r="55" spans="1:13" x14ac:dyDescent="0.25">
      <c r="A55">
        <v>170825</v>
      </c>
      <c r="B55" t="str">
        <f>VLOOKUP(Tabela3[[#This Row],[IBGE]],procv!$A$2:$D$142,4,FALSE)</f>
        <v>Capim Dourado</v>
      </c>
      <c r="C55" t="s">
        <v>363</v>
      </c>
      <c r="D55">
        <v>242</v>
      </c>
      <c r="E55">
        <v>251</v>
      </c>
      <c r="F55">
        <v>260</v>
      </c>
      <c r="G55">
        <v>269</v>
      </c>
      <c r="H55">
        <v>277</v>
      </c>
      <c r="I55">
        <v>286</v>
      </c>
      <c r="J55">
        <v>295</v>
      </c>
      <c r="K55">
        <v>301</v>
      </c>
      <c r="L55">
        <v>305</v>
      </c>
      <c r="M55">
        <v>308</v>
      </c>
    </row>
    <row r="56" spans="1:13" x14ac:dyDescent="0.25">
      <c r="A56">
        <v>170830</v>
      </c>
      <c r="B56" t="str">
        <f>VLOOKUP(Tabela3[[#This Row],[IBGE]],procv!$A$2:$D$142,4,FALSE)</f>
        <v>Cerrado Tocantins Araguaia</v>
      </c>
      <c r="C56" t="s">
        <v>59</v>
      </c>
      <c r="D56">
        <v>400</v>
      </c>
      <c r="E56">
        <v>380</v>
      </c>
      <c r="F56">
        <v>367</v>
      </c>
      <c r="G56">
        <v>357</v>
      </c>
      <c r="H56">
        <v>349</v>
      </c>
      <c r="I56">
        <v>347</v>
      </c>
      <c r="J56">
        <v>343</v>
      </c>
      <c r="K56">
        <v>339</v>
      </c>
      <c r="L56">
        <v>338</v>
      </c>
      <c r="M56">
        <v>339</v>
      </c>
    </row>
    <row r="57" spans="1:13" x14ac:dyDescent="0.25">
      <c r="A57">
        <v>170900</v>
      </c>
      <c r="B57" t="str">
        <f>VLOOKUP(Tabela3[[#This Row],[IBGE]],procv!$A$2:$D$142,4,FALSE)</f>
        <v>Médio Norte Araguaia</v>
      </c>
      <c r="C57" t="s">
        <v>60</v>
      </c>
      <c r="D57">
        <v>1355</v>
      </c>
      <c r="E57">
        <v>1324</v>
      </c>
      <c r="F57">
        <v>1307</v>
      </c>
      <c r="G57">
        <v>1300</v>
      </c>
      <c r="H57">
        <v>1305</v>
      </c>
      <c r="I57">
        <v>1321</v>
      </c>
      <c r="J57">
        <v>1325</v>
      </c>
      <c r="K57">
        <v>1320</v>
      </c>
      <c r="L57">
        <v>1312</v>
      </c>
      <c r="M57">
        <v>1295</v>
      </c>
    </row>
    <row r="58" spans="1:13" x14ac:dyDescent="0.25">
      <c r="A58">
        <v>170930</v>
      </c>
      <c r="B58" t="str">
        <f>VLOOKUP(Tabela3[[#This Row],[IBGE]],procv!$A$2:$D$142,4,FALSE)</f>
        <v>Cerrado Tocantins Araguaia</v>
      </c>
      <c r="C58" t="s">
        <v>61</v>
      </c>
      <c r="D58">
        <v>1880</v>
      </c>
      <c r="E58">
        <v>1840</v>
      </c>
      <c r="F58">
        <v>1814</v>
      </c>
      <c r="G58">
        <v>1790</v>
      </c>
      <c r="H58">
        <v>1777</v>
      </c>
      <c r="I58">
        <v>1779</v>
      </c>
      <c r="J58">
        <v>1773</v>
      </c>
      <c r="K58">
        <v>1765</v>
      </c>
      <c r="L58">
        <v>1778</v>
      </c>
      <c r="M58">
        <v>1782</v>
      </c>
    </row>
    <row r="59" spans="1:13" x14ac:dyDescent="0.25">
      <c r="A59">
        <v>170950</v>
      </c>
      <c r="B59" t="str">
        <f>VLOOKUP(Tabela3[[#This Row],[IBGE]],procv!$A$2:$D$142,4,FALSE)</f>
        <v>Ilha do Bananal</v>
      </c>
      <c r="C59" t="s">
        <v>62</v>
      </c>
      <c r="D59">
        <v>6266</v>
      </c>
      <c r="E59">
        <v>6182</v>
      </c>
      <c r="F59">
        <v>6151</v>
      </c>
      <c r="G59">
        <v>6132</v>
      </c>
      <c r="H59">
        <v>6142</v>
      </c>
      <c r="I59">
        <v>6211</v>
      </c>
      <c r="J59">
        <v>6241</v>
      </c>
      <c r="K59">
        <v>6257</v>
      </c>
      <c r="L59">
        <v>6335</v>
      </c>
      <c r="M59">
        <v>6379</v>
      </c>
    </row>
    <row r="60" spans="1:13" x14ac:dyDescent="0.25">
      <c r="A60">
        <v>170980</v>
      </c>
      <c r="B60" t="str">
        <f>VLOOKUP(Tabela3[[#This Row],[IBGE]],procv!$A$2:$D$142,4,FALSE)</f>
        <v>Amor Perfeito</v>
      </c>
      <c r="C60" t="s">
        <v>63</v>
      </c>
      <c r="D60">
        <v>162</v>
      </c>
      <c r="E60">
        <v>158</v>
      </c>
      <c r="F60">
        <v>152</v>
      </c>
      <c r="G60">
        <v>146</v>
      </c>
      <c r="H60">
        <v>141</v>
      </c>
      <c r="I60">
        <v>138</v>
      </c>
      <c r="J60">
        <v>130</v>
      </c>
      <c r="K60">
        <v>125</v>
      </c>
      <c r="L60">
        <v>117</v>
      </c>
      <c r="M60">
        <v>116</v>
      </c>
    </row>
    <row r="61" spans="1:13" x14ac:dyDescent="0.25">
      <c r="A61">
        <v>171050</v>
      </c>
      <c r="B61" t="str">
        <f>VLOOKUP(Tabela3[[#This Row],[IBGE]],procv!$A$2:$D$142,4,FALSE)</f>
        <v>Cerrado Tocantins Araguaia</v>
      </c>
      <c r="C61" t="s">
        <v>64</v>
      </c>
      <c r="D61">
        <v>710</v>
      </c>
      <c r="E61">
        <v>689</v>
      </c>
      <c r="F61">
        <v>677</v>
      </c>
      <c r="G61">
        <v>668</v>
      </c>
      <c r="H61">
        <v>664</v>
      </c>
      <c r="I61">
        <v>665</v>
      </c>
      <c r="J61">
        <v>661</v>
      </c>
      <c r="K61">
        <v>653</v>
      </c>
      <c r="L61">
        <v>640</v>
      </c>
      <c r="M61">
        <v>624</v>
      </c>
    </row>
    <row r="62" spans="1:13" x14ac:dyDescent="0.25">
      <c r="A62">
        <v>171070</v>
      </c>
      <c r="B62" t="str">
        <f>VLOOKUP(Tabela3[[#This Row],[IBGE]],procv!$A$2:$D$142,4,FALSE)</f>
        <v>Bico do Papagaio</v>
      </c>
      <c r="C62" t="s">
        <v>65</v>
      </c>
      <c r="D62">
        <v>540</v>
      </c>
      <c r="E62">
        <v>516</v>
      </c>
      <c r="F62">
        <v>493</v>
      </c>
      <c r="G62">
        <v>472</v>
      </c>
      <c r="H62">
        <v>451</v>
      </c>
      <c r="I62">
        <v>434</v>
      </c>
      <c r="J62">
        <v>417</v>
      </c>
      <c r="K62">
        <v>403</v>
      </c>
      <c r="L62">
        <v>393</v>
      </c>
      <c r="M62">
        <v>387</v>
      </c>
    </row>
    <row r="63" spans="1:13" x14ac:dyDescent="0.25">
      <c r="A63">
        <v>171090</v>
      </c>
      <c r="B63" t="str">
        <f>VLOOKUP(Tabela3[[#This Row],[IBGE]],procv!$A$2:$D$142,4,FALSE)</f>
        <v>Cerrado Tocantins Araguaia</v>
      </c>
      <c r="C63" t="s">
        <v>66</v>
      </c>
      <c r="D63">
        <v>316</v>
      </c>
      <c r="E63">
        <v>305</v>
      </c>
      <c r="F63">
        <v>297</v>
      </c>
      <c r="G63">
        <v>291</v>
      </c>
      <c r="H63">
        <v>285</v>
      </c>
      <c r="I63">
        <v>282</v>
      </c>
      <c r="J63">
        <v>278</v>
      </c>
      <c r="K63">
        <v>274</v>
      </c>
      <c r="L63">
        <v>274</v>
      </c>
      <c r="M63">
        <v>279</v>
      </c>
    </row>
    <row r="64" spans="1:13" x14ac:dyDescent="0.25">
      <c r="A64">
        <v>171110</v>
      </c>
      <c r="B64" t="str">
        <f>VLOOKUP(Tabela3[[#This Row],[IBGE]],procv!$A$2:$D$142,4,FALSE)</f>
        <v>Cerrado Tocantins Araguaia</v>
      </c>
      <c r="C64" t="s">
        <v>67</v>
      </c>
      <c r="D64">
        <v>208</v>
      </c>
      <c r="E64">
        <v>203</v>
      </c>
      <c r="F64">
        <v>201</v>
      </c>
      <c r="G64">
        <v>196</v>
      </c>
      <c r="H64">
        <v>194</v>
      </c>
      <c r="I64">
        <v>190</v>
      </c>
      <c r="J64">
        <v>187</v>
      </c>
      <c r="K64">
        <v>183</v>
      </c>
      <c r="L64">
        <v>179</v>
      </c>
      <c r="M64">
        <v>177</v>
      </c>
    </row>
    <row r="65" spans="1:13" x14ac:dyDescent="0.25">
      <c r="A65">
        <v>171150</v>
      </c>
      <c r="B65" t="str">
        <f>VLOOKUP(Tabela3[[#This Row],[IBGE]],procv!$A$2:$D$142,4,FALSE)</f>
        <v>Ilha do Bananal</v>
      </c>
      <c r="C65" t="s">
        <v>68</v>
      </c>
      <c r="D65">
        <v>298</v>
      </c>
      <c r="E65">
        <v>285</v>
      </c>
      <c r="F65">
        <v>275</v>
      </c>
      <c r="G65">
        <v>266</v>
      </c>
      <c r="H65">
        <v>256</v>
      </c>
      <c r="I65">
        <v>249</v>
      </c>
      <c r="J65">
        <v>242</v>
      </c>
      <c r="K65">
        <v>235</v>
      </c>
      <c r="L65">
        <v>231</v>
      </c>
      <c r="M65">
        <v>228</v>
      </c>
    </row>
    <row r="66" spans="1:13" x14ac:dyDescent="0.25">
      <c r="A66">
        <v>171180</v>
      </c>
      <c r="B66" t="str">
        <f>VLOOKUP(Tabela3[[#This Row],[IBGE]],procv!$A$2:$D$142,4,FALSE)</f>
        <v>Cerrado Tocantins Araguaia</v>
      </c>
      <c r="C66" t="s">
        <v>69</v>
      </c>
      <c r="D66">
        <v>194</v>
      </c>
      <c r="E66">
        <v>188</v>
      </c>
      <c r="F66">
        <v>185</v>
      </c>
      <c r="G66">
        <v>184</v>
      </c>
      <c r="H66">
        <v>185</v>
      </c>
      <c r="I66">
        <v>190</v>
      </c>
      <c r="J66">
        <v>194</v>
      </c>
      <c r="K66">
        <v>195</v>
      </c>
      <c r="L66">
        <v>191</v>
      </c>
      <c r="M66">
        <v>189</v>
      </c>
    </row>
    <row r="67" spans="1:13" x14ac:dyDescent="0.25">
      <c r="A67">
        <v>171190</v>
      </c>
      <c r="B67" t="str">
        <f>VLOOKUP(Tabela3[[#This Row],[IBGE]],procv!$A$2:$D$142,4,FALSE)</f>
        <v>Cantão</v>
      </c>
      <c r="C67" t="s">
        <v>70</v>
      </c>
      <c r="D67">
        <v>1263</v>
      </c>
      <c r="E67">
        <v>1277</v>
      </c>
      <c r="F67">
        <v>1297</v>
      </c>
      <c r="G67">
        <v>1315</v>
      </c>
      <c r="H67">
        <v>1331</v>
      </c>
      <c r="I67">
        <v>1362</v>
      </c>
      <c r="J67">
        <v>1387</v>
      </c>
      <c r="K67">
        <v>1415</v>
      </c>
      <c r="L67">
        <v>1470</v>
      </c>
      <c r="M67">
        <v>1527</v>
      </c>
    </row>
    <row r="68" spans="1:13" x14ac:dyDescent="0.25">
      <c r="A68">
        <v>171195</v>
      </c>
      <c r="B68" t="str">
        <f>VLOOKUP(Tabela3[[#This Row],[IBGE]],procv!$A$2:$D$142,4,FALSE)</f>
        <v>Capim Dourado</v>
      </c>
      <c r="C68" t="s">
        <v>71</v>
      </c>
      <c r="D68">
        <v>435</v>
      </c>
      <c r="E68">
        <v>425</v>
      </c>
      <c r="F68">
        <v>413</v>
      </c>
      <c r="G68">
        <v>402</v>
      </c>
      <c r="H68">
        <v>390</v>
      </c>
      <c r="I68">
        <v>378</v>
      </c>
      <c r="J68">
        <v>366</v>
      </c>
      <c r="K68">
        <v>356</v>
      </c>
      <c r="L68">
        <v>348</v>
      </c>
      <c r="M68">
        <v>343</v>
      </c>
    </row>
    <row r="69" spans="1:13" x14ac:dyDescent="0.25">
      <c r="A69">
        <v>171200</v>
      </c>
      <c r="B69" t="str">
        <f>VLOOKUP(Tabela3[[#This Row],[IBGE]],procv!$A$2:$D$142,4,FALSE)</f>
        <v>Capim Dourado</v>
      </c>
      <c r="C69" t="s">
        <v>72</v>
      </c>
      <c r="D69">
        <v>289</v>
      </c>
      <c r="E69">
        <v>286</v>
      </c>
      <c r="F69">
        <v>287</v>
      </c>
      <c r="G69">
        <v>286</v>
      </c>
      <c r="H69">
        <v>285</v>
      </c>
      <c r="I69">
        <v>286</v>
      </c>
      <c r="J69">
        <v>286</v>
      </c>
      <c r="K69">
        <v>286</v>
      </c>
      <c r="L69">
        <v>285</v>
      </c>
      <c r="M69">
        <v>285</v>
      </c>
    </row>
    <row r="70" spans="1:13" x14ac:dyDescent="0.25">
      <c r="A70">
        <v>171215</v>
      </c>
      <c r="B70" t="str">
        <f>VLOOKUP(Tabela3[[#This Row],[IBGE]],procv!$A$2:$D$142,4,FALSE)</f>
        <v>Sudeste</v>
      </c>
      <c r="C70" t="s">
        <v>73</v>
      </c>
      <c r="D70">
        <v>156</v>
      </c>
      <c r="E70">
        <v>152</v>
      </c>
      <c r="F70">
        <v>149</v>
      </c>
      <c r="G70">
        <v>142</v>
      </c>
      <c r="H70">
        <v>138</v>
      </c>
      <c r="I70">
        <v>133</v>
      </c>
      <c r="J70">
        <v>130</v>
      </c>
      <c r="K70">
        <v>124</v>
      </c>
      <c r="L70">
        <v>124</v>
      </c>
      <c r="M70">
        <v>124</v>
      </c>
    </row>
    <row r="71" spans="1:13" x14ac:dyDescent="0.25">
      <c r="A71">
        <v>171240</v>
      </c>
      <c r="B71" t="str">
        <f>VLOOKUP(Tabela3[[#This Row],[IBGE]],procv!$A$2:$D$142,4,FALSE)</f>
        <v>Capim Dourado</v>
      </c>
      <c r="C71" t="s">
        <v>74</v>
      </c>
      <c r="D71">
        <v>344</v>
      </c>
      <c r="E71">
        <v>325</v>
      </c>
      <c r="F71">
        <v>307</v>
      </c>
      <c r="G71">
        <v>291</v>
      </c>
      <c r="H71">
        <v>275</v>
      </c>
      <c r="I71">
        <v>263</v>
      </c>
      <c r="J71">
        <v>247</v>
      </c>
      <c r="K71">
        <v>238</v>
      </c>
      <c r="L71">
        <v>229</v>
      </c>
      <c r="M71">
        <v>231</v>
      </c>
    </row>
    <row r="72" spans="1:13" x14ac:dyDescent="0.25">
      <c r="A72">
        <v>171245</v>
      </c>
      <c r="B72" t="str">
        <f>VLOOKUP(Tabela3[[#This Row],[IBGE]],procv!$A$2:$D$142,4,FALSE)</f>
        <v>Bico do Papagaio</v>
      </c>
      <c r="C72" t="s">
        <v>75</v>
      </c>
      <c r="D72">
        <v>286</v>
      </c>
      <c r="E72">
        <v>283</v>
      </c>
      <c r="F72">
        <v>277</v>
      </c>
      <c r="G72">
        <v>265</v>
      </c>
      <c r="H72">
        <v>253</v>
      </c>
      <c r="I72">
        <v>240</v>
      </c>
      <c r="J72">
        <v>229</v>
      </c>
      <c r="K72">
        <v>221</v>
      </c>
      <c r="L72">
        <v>217</v>
      </c>
      <c r="M72">
        <v>218</v>
      </c>
    </row>
    <row r="73" spans="1:13" x14ac:dyDescent="0.25">
      <c r="A73">
        <v>171250</v>
      </c>
      <c r="B73" t="str">
        <f>VLOOKUP(Tabela3[[#This Row],[IBGE]],procv!$A$2:$D$142,4,FALSE)</f>
        <v>Cantão</v>
      </c>
      <c r="C73" t="s">
        <v>76</v>
      </c>
      <c r="D73">
        <v>422</v>
      </c>
      <c r="E73">
        <v>415</v>
      </c>
      <c r="F73">
        <v>406</v>
      </c>
      <c r="G73">
        <v>397</v>
      </c>
      <c r="H73">
        <v>390</v>
      </c>
      <c r="I73">
        <v>386</v>
      </c>
      <c r="J73">
        <v>381</v>
      </c>
      <c r="K73">
        <v>374</v>
      </c>
      <c r="L73">
        <v>374</v>
      </c>
      <c r="M73">
        <v>370</v>
      </c>
    </row>
    <row r="74" spans="1:13" x14ac:dyDescent="0.25">
      <c r="A74">
        <v>171270</v>
      </c>
      <c r="B74" t="str">
        <f>VLOOKUP(Tabela3[[#This Row],[IBGE]],procv!$A$2:$D$142,4,FALSE)</f>
        <v>Amor Perfeito</v>
      </c>
      <c r="C74" t="s">
        <v>77</v>
      </c>
      <c r="D74">
        <v>299</v>
      </c>
      <c r="E74">
        <v>298</v>
      </c>
      <c r="F74">
        <v>294</v>
      </c>
      <c r="G74">
        <v>282</v>
      </c>
      <c r="H74">
        <v>266</v>
      </c>
      <c r="I74">
        <v>248</v>
      </c>
      <c r="J74">
        <v>236</v>
      </c>
      <c r="K74">
        <v>228</v>
      </c>
      <c r="L74">
        <v>227</v>
      </c>
      <c r="M74">
        <v>234</v>
      </c>
    </row>
    <row r="75" spans="1:13" x14ac:dyDescent="0.25">
      <c r="A75">
        <v>171280</v>
      </c>
      <c r="B75" t="str">
        <f>VLOOKUP(Tabela3[[#This Row],[IBGE]],procv!$A$2:$D$142,4,FALSE)</f>
        <v>Bico do Papagaio</v>
      </c>
      <c r="C75" t="s">
        <v>78</v>
      </c>
      <c r="D75">
        <v>321</v>
      </c>
      <c r="E75">
        <v>315</v>
      </c>
      <c r="F75">
        <v>310</v>
      </c>
      <c r="G75">
        <v>303</v>
      </c>
      <c r="H75">
        <v>298</v>
      </c>
      <c r="I75">
        <v>299</v>
      </c>
      <c r="J75">
        <v>296</v>
      </c>
      <c r="K75">
        <v>291</v>
      </c>
      <c r="L75">
        <v>284</v>
      </c>
      <c r="M75">
        <v>280</v>
      </c>
    </row>
    <row r="76" spans="1:13" x14ac:dyDescent="0.25">
      <c r="A76">
        <v>171320</v>
      </c>
      <c r="B76" t="str">
        <f>VLOOKUP(Tabela3[[#This Row],[IBGE]],procv!$A$2:$D$142,4,FALSE)</f>
        <v>Capim Dourado</v>
      </c>
      <c r="C76" t="s">
        <v>79</v>
      </c>
      <c r="D76">
        <v>1664</v>
      </c>
      <c r="E76">
        <v>1587</v>
      </c>
      <c r="F76">
        <v>1530</v>
      </c>
      <c r="G76">
        <v>1489</v>
      </c>
      <c r="H76">
        <v>1457</v>
      </c>
      <c r="I76">
        <v>1441</v>
      </c>
      <c r="J76">
        <v>1416</v>
      </c>
      <c r="K76">
        <v>1380</v>
      </c>
      <c r="L76">
        <v>1353</v>
      </c>
      <c r="M76">
        <v>1316</v>
      </c>
    </row>
    <row r="77" spans="1:13" x14ac:dyDescent="0.25">
      <c r="A77">
        <v>171330</v>
      </c>
      <c r="B77" t="str">
        <f>VLOOKUP(Tabela3[[#This Row],[IBGE]],procv!$A$2:$D$142,4,FALSE)</f>
        <v>Capim Dourado</v>
      </c>
      <c r="C77" t="s">
        <v>80</v>
      </c>
      <c r="D77">
        <v>1031</v>
      </c>
      <c r="E77">
        <v>1001</v>
      </c>
      <c r="F77">
        <v>978</v>
      </c>
      <c r="G77">
        <v>958</v>
      </c>
      <c r="H77">
        <v>943</v>
      </c>
      <c r="I77">
        <v>935</v>
      </c>
      <c r="J77">
        <v>924</v>
      </c>
      <c r="K77">
        <v>915</v>
      </c>
      <c r="L77">
        <v>918</v>
      </c>
      <c r="M77">
        <v>919</v>
      </c>
    </row>
    <row r="78" spans="1:13" x14ac:dyDescent="0.25">
      <c r="A78">
        <v>171360</v>
      </c>
      <c r="B78" t="str">
        <f>VLOOKUP(Tabela3[[#This Row],[IBGE]],procv!$A$2:$D$142,4,FALSE)</f>
        <v>Amor Perfeito</v>
      </c>
      <c r="C78" t="s">
        <v>81</v>
      </c>
      <c r="D78">
        <v>604</v>
      </c>
      <c r="E78">
        <v>582</v>
      </c>
      <c r="F78">
        <v>562</v>
      </c>
      <c r="G78">
        <v>542</v>
      </c>
      <c r="H78">
        <v>523</v>
      </c>
      <c r="I78">
        <v>506</v>
      </c>
      <c r="J78">
        <v>488</v>
      </c>
      <c r="K78">
        <v>471</v>
      </c>
      <c r="L78">
        <v>459</v>
      </c>
      <c r="M78">
        <v>447</v>
      </c>
    </row>
    <row r="79" spans="1:13" x14ac:dyDescent="0.25">
      <c r="A79">
        <v>171370</v>
      </c>
      <c r="B79" t="str">
        <f>VLOOKUP(Tabela3[[#This Row],[IBGE]],procv!$A$2:$D$142,4,FALSE)</f>
        <v>Cantão</v>
      </c>
      <c r="C79" t="s">
        <v>82</v>
      </c>
      <c r="D79">
        <v>173</v>
      </c>
      <c r="E79">
        <v>171</v>
      </c>
      <c r="F79">
        <v>171</v>
      </c>
      <c r="G79">
        <v>175</v>
      </c>
      <c r="H79">
        <v>179</v>
      </c>
      <c r="I79">
        <v>188</v>
      </c>
      <c r="J79">
        <v>191</v>
      </c>
      <c r="K79">
        <v>189</v>
      </c>
      <c r="L79">
        <v>183</v>
      </c>
      <c r="M79">
        <v>180</v>
      </c>
    </row>
    <row r="80" spans="1:13" x14ac:dyDescent="0.25">
      <c r="A80">
        <v>171380</v>
      </c>
      <c r="B80" t="str">
        <f>VLOOKUP(Tabela3[[#This Row],[IBGE]],procv!$A$2:$D$142,4,FALSE)</f>
        <v>Bico do Papagaio</v>
      </c>
      <c r="C80" t="s">
        <v>94</v>
      </c>
      <c r="D80">
        <v>509</v>
      </c>
      <c r="E80">
        <v>490</v>
      </c>
      <c r="F80">
        <v>476</v>
      </c>
      <c r="G80">
        <v>461</v>
      </c>
      <c r="H80">
        <v>448</v>
      </c>
      <c r="I80">
        <v>438</v>
      </c>
      <c r="J80">
        <v>425</v>
      </c>
      <c r="K80">
        <v>411</v>
      </c>
      <c r="L80">
        <v>396</v>
      </c>
      <c r="M80">
        <v>379</v>
      </c>
    </row>
    <row r="81" spans="1:13" x14ac:dyDescent="0.25">
      <c r="A81">
        <v>171395</v>
      </c>
      <c r="B81" t="str">
        <f>VLOOKUP(Tabela3[[#This Row],[IBGE]],procv!$A$2:$D$142,4,FALSE)</f>
        <v>Médio Norte Araguaia</v>
      </c>
      <c r="C81" t="s">
        <v>83</v>
      </c>
      <c r="D81">
        <v>321</v>
      </c>
      <c r="E81">
        <v>313</v>
      </c>
      <c r="F81">
        <v>306</v>
      </c>
      <c r="G81">
        <v>301</v>
      </c>
      <c r="H81">
        <v>299</v>
      </c>
      <c r="I81">
        <v>299</v>
      </c>
      <c r="J81">
        <v>296</v>
      </c>
      <c r="K81">
        <v>294</v>
      </c>
      <c r="L81">
        <v>290</v>
      </c>
      <c r="M81">
        <v>290</v>
      </c>
    </row>
    <row r="82" spans="1:13" x14ac:dyDescent="0.25">
      <c r="A82">
        <v>171420</v>
      </c>
      <c r="B82" t="str">
        <f>VLOOKUP(Tabela3[[#This Row],[IBGE]],procv!$A$2:$D$142,4,FALSE)</f>
        <v>Amor Perfeito</v>
      </c>
      <c r="C82" t="s">
        <v>84</v>
      </c>
      <c r="D82">
        <v>781</v>
      </c>
      <c r="E82">
        <v>759</v>
      </c>
      <c r="F82">
        <v>739</v>
      </c>
      <c r="G82">
        <v>716</v>
      </c>
      <c r="H82">
        <v>692</v>
      </c>
      <c r="I82">
        <v>675</v>
      </c>
      <c r="J82">
        <v>658</v>
      </c>
      <c r="K82">
        <v>645</v>
      </c>
      <c r="L82">
        <v>644</v>
      </c>
      <c r="M82">
        <v>649</v>
      </c>
    </row>
    <row r="83" spans="1:13" x14ac:dyDescent="0.25">
      <c r="A83">
        <v>171430</v>
      </c>
      <c r="B83" t="str">
        <f>VLOOKUP(Tabela3[[#This Row],[IBGE]],procv!$A$2:$D$142,4,FALSE)</f>
        <v>Bico do Papagaio</v>
      </c>
      <c r="C83" t="s">
        <v>85</v>
      </c>
      <c r="D83">
        <v>414</v>
      </c>
      <c r="E83">
        <v>403</v>
      </c>
      <c r="F83">
        <v>390</v>
      </c>
      <c r="G83">
        <v>374</v>
      </c>
      <c r="H83">
        <v>360</v>
      </c>
      <c r="I83">
        <v>348</v>
      </c>
      <c r="J83">
        <v>335</v>
      </c>
      <c r="K83">
        <v>326</v>
      </c>
      <c r="L83">
        <v>324</v>
      </c>
      <c r="M83">
        <v>325</v>
      </c>
    </row>
    <row r="84" spans="1:13" x14ac:dyDescent="0.25">
      <c r="A84">
        <v>171488</v>
      </c>
      <c r="B84" t="str">
        <f>VLOOKUP(Tabela3[[#This Row],[IBGE]],procv!$A$2:$D$142,4,FALSE)</f>
        <v>Médio Norte Araguaia</v>
      </c>
      <c r="C84" t="s">
        <v>86</v>
      </c>
      <c r="D84">
        <v>1035</v>
      </c>
      <c r="E84">
        <v>1012</v>
      </c>
      <c r="F84">
        <v>992</v>
      </c>
      <c r="G84">
        <v>970</v>
      </c>
      <c r="H84">
        <v>949</v>
      </c>
      <c r="I84">
        <v>935</v>
      </c>
      <c r="J84">
        <v>913</v>
      </c>
      <c r="K84">
        <v>891</v>
      </c>
      <c r="L84">
        <v>873</v>
      </c>
      <c r="M84">
        <v>848</v>
      </c>
    </row>
    <row r="85" spans="1:13" x14ac:dyDescent="0.25">
      <c r="A85">
        <v>171500</v>
      </c>
      <c r="B85" t="str">
        <f>VLOOKUP(Tabela3[[#This Row],[IBGE]],procv!$A$2:$D$142,4,FALSE)</f>
        <v>Cantão</v>
      </c>
      <c r="C85" t="s">
        <v>87</v>
      </c>
      <c r="D85">
        <v>322</v>
      </c>
      <c r="E85">
        <v>308</v>
      </c>
      <c r="F85">
        <v>295</v>
      </c>
      <c r="G85">
        <v>288</v>
      </c>
      <c r="H85">
        <v>281</v>
      </c>
      <c r="I85">
        <v>278</v>
      </c>
      <c r="J85">
        <v>273</v>
      </c>
      <c r="K85">
        <v>267</v>
      </c>
      <c r="L85">
        <v>264</v>
      </c>
      <c r="M85">
        <v>265</v>
      </c>
    </row>
    <row r="86" spans="1:13" x14ac:dyDescent="0.25">
      <c r="A86">
        <v>171510</v>
      </c>
      <c r="B86" t="str">
        <f>VLOOKUP(Tabela3[[#This Row],[IBGE]],procv!$A$2:$D$142,4,FALSE)</f>
        <v>Capim Dourado</v>
      </c>
      <c r="C86" t="s">
        <v>88</v>
      </c>
      <c r="D86">
        <v>372</v>
      </c>
      <c r="E86">
        <v>362</v>
      </c>
      <c r="F86">
        <v>359</v>
      </c>
      <c r="G86">
        <v>355</v>
      </c>
      <c r="H86">
        <v>354</v>
      </c>
      <c r="I86">
        <v>357</v>
      </c>
      <c r="J86">
        <v>356</v>
      </c>
      <c r="K86">
        <v>353</v>
      </c>
      <c r="L86">
        <v>352</v>
      </c>
      <c r="M86">
        <v>348</v>
      </c>
    </row>
    <row r="87" spans="1:13" x14ac:dyDescent="0.25">
      <c r="A87">
        <v>171515</v>
      </c>
      <c r="B87" t="str">
        <f>VLOOKUP(Tabela3[[#This Row],[IBGE]],procv!$A$2:$D$142,4,FALSE)</f>
        <v>Sudeste</v>
      </c>
      <c r="C87" t="s">
        <v>89</v>
      </c>
      <c r="D87">
        <v>168</v>
      </c>
      <c r="E87">
        <v>162</v>
      </c>
      <c r="F87">
        <v>156</v>
      </c>
      <c r="G87">
        <v>147</v>
      </c>
      <c r="H87">
        <v>138</v>
      </c>
      <c r="I87">
        <v>127</v>
      </c>
      <c r="J87">
        <v>118</v>
      </c>
      <c r="K87">
        <v>110</v>
      </c>
      <c r="L87">
        <v>103</v>
      </c>
      <c r="M87">
        <v>100</v>
      </c>
    </row>
    <row r="88" spans="1:13" x14ac:dyDescent="0.25">
      <c r="A88">
        <v>171525</v>
      </c>
      <c r="B88" t="str">
        <f>VLOOKUP(Tabela3[[#This Row],[IBGE]],procv!$A$2:$D$142,4,FALSE)</f>
        <v>Sudeste</v>
      </c>
      <c r="C88" t="s">
        <v>90</v>
      </c>
      <c r="D88">
        <v>256</v>
      </c>
      <c r="E88">
        <v>242</v>
      </c>
      <c r="F88">
        <v>231</v>
      </c>
      <c r="G88">
        <v>221</v>
      </c>
      <c r="H88">
        <v>212</v>
      </c>
      <c r="I88">
        <v>205</v>
      </c>
      <c r="J88">
        <v>198</v>
      </c>
      <c r="K88">
        <v>194</v>
      </c>
      <c r="L88">
        <v>192</v>
      </c>
      <c r="M88">
        <v>193</v>
      </c>
    </row>
    <row r="89" spans="1:13" x14ac:dyDescent="0.25">
      <c r="A89">
        <v>171550</v>
      </c>
      <c r="B89" t="str">
        <f>VLOOKUP(Tabela3[[#This Row],[IBGE]],procv!$A$2:$D$142,4,FALSE)</f>
        <v>Amor Perfeito</v>
      </c>
      <c r="C89" t="s">
        <v>91</v>
      </c>
      <c r="D89">
        <v>112</v>
      </c>
      <c r="E89">
        <v>109</v>
      </c>
      <c r="F89">
        <v>109</v>
      </c>
      <c r="G89">
        <v>109</v>
      </c>
      <c r="H89">
        <v>107</v>
      </c>
      <c r="I89">
        <v>108</v>
      </c>
      <c r="J89">
        <v>106</v>
      </c>
      <c r="K89">
        <v>106</v>
      </c>
      <c r="L89">
        <v>107</v>
      </c>
      <c r="M89">
        <v>109</v>
      </c>
    </row>
    <row r="90" spans="1:13" x14ac:dyDescent="0.25">
      <c r="A90">
        <v>171570</v>
      </c>
      <c r="B90" t="str">
        <f>VLOOKUP(Tabela3[[#This Row],[IBGE]],procv!$A$2:$D$142,4,FALSE)</f>
        <v>Cerrado Tocantins Araguaia</v>
      </c>
      <c r="C90" t="s">
        <v>93</v>
      </c>
      <c r="D90">
        <v>489</v>
      </c>
      <c r="E90">
        <v>471</v>
      </c>
      <c r="F90">
        <v>453</v>
      </c>
      <c r="G90">
        <v>434</v>
      </c>
      <c r="H90">
        <v>413</v>
      </c>
      <c r="I90">
        <v>396</v>
      </c>
      <c r="J90">
        <v>379</v>
      </c>
      <c r="K90">
        <v>364</v>
      </c>
      <c r="L90">
        <v>360</v>
      </c>
      <c r="M90">
        <v>357</v>
      </c>
    </row>
    <row r="91" spans="1:13" x14ac:dyDescent="0.25">
      <c r="A91">
        <v>171575</v>
      </c>
      <c r="B91" t="str">
        <f>VLOOKUP(Tabela3[[#This Row],[IBGE]],procv!$A$2:$D$142,4,FALSE)</f>
        <v>Ilha do Bananal</v>
      </c>
      <c r="C91" t="s">
        <v>95</v>
      </c>
      <c r="D91">
        <v>567</v>
      </c>
      <c r="E91">
        <v>544</v>
      </c>
      <c r="F91">
        <v>529</v>
      </c>
      <c r="G91">
        <v>513</v>
      </c>
      <c r="H91">
        <v>501</v>
      </c>
      <c r="I91">
        <v>497</v>
      </c>
      <c r="J91">
        <v>489</v>
      </c>
      <c r="K91">
        <v>480</v>
      </c>
      <c r="L91">
        <v>480</v>
      </c>
      <c r="M91">
        <v>478</v>
      </c>
    </row>
    <row r="92" spans="1:13" x14ac:dyDescent="0.25">
      <c r="A92">
        <v>171610</v>
      </c>
      <c r="B92" t="str">
        <f>VLOOKUP(Tabela3[[#This Row],[IBGE]],procv!$A$2:$D$142,4,FALSE)</f>
        <v>Cantão</v>
      </c>
      <c r="C92" t="s">
        <v>96</v>
      </c>
      <c r="D92">
        <v>3868</v>
      </c>
      <c r="E92">
        <v>3836</v>
      </c>
      <c r="F92">
        <v>3843</v>
      </c>
      <c r="G92">
        <v>3868</v>
      </c>
      <c r="H92">
        <v>3917</v>
      </c>
      <c r="I92">
        <v>4007</v>
      </c>
      <c r="J92">
        <v>4067</v>
      </c>
      <c r="K92">
        <v>4111</v>
      </c>
      <c r="L92">
        <v>4180</v>
      </c>
      <c r="M92">
        <v>4221</v>
      </c>
    </row>
    <row r="93" spans="1:13" x14ac:dyDescent="0.25">
      <c r="A93">
        <v>171620</v>
      </c>
      <c r="B93" t="str">
        <f>VLOOKUP(Tabela3[[#This Row],[IBGE]],procv!$A$2:$D$142,4,FALSE)</f>
        <v>Sudeste</v>
      </c>
      <c r="C93" t="s">
        <v>97</v>
      </c>
      <c r="D93">
        <v>1006</v>
      </c>
      <c r="E93">
        <v>981</v>
      </c>
      <c r="F93">
        <v>959</v>
      </c>
      <c r="G93">
        <v>932</v>
      </c>
      <c r="H93">
        <v>906</v>
      </c>
      <c r="I93">
        <v>887</v>
      </c>
      <c r="J93">
        <v>863</v>
      </c>
      <c r="K93">
        <v>839</v>
      </c>
      <c r="L93">
        <v>829</v>
      </c>
      <c r="M93">
        <v>816</v>
      </c>
    </row>
    <row r="94" spans="1:13" x14ac:dyDescent="0.25">
      <c r="A94">
        <v>171630</v>
      </c>
      <c r="B94" t="str">
        <f>VLOOKUP(Tabela3[[#This Row],[IBGE]],procv!$A$2:$D$142,4,FALSE)</f>
        <v>Médio Norte Araguaia</v>
      </c>
      <c r="C94" t="s">
        <v>98</v>
      </c>
      <c r="D94">
        <v>382</v>
      </c>
      <c r="E94">
        <v>372</v>
      </c>
      <c r="F94">
        <v>365</v>
      </c>
      <c r="G94">
        <v>357</v>
      </c>
      <c r="H94">
        <v>353</v>
      </c>
      <c r="I94">
        <v>352</v>
      </c>
      <c r="J94">
        <v>350</v>
      </c>
      <c r="K94">
        <v>344</v>
      </c>
      <c r="L94">
        <v>341</v>
      </c>
      <c r="M94">
        <v>335</v>
      </c>
    </row>
    <row r="95" spans="1:13" x14ac:dyDescent="0.25">
      <c r="A95">
        <v>171650</v>
      </c>
      <c r="B95" t="str">
        <f>VLOOKUP(Tabela3[[#This Row],[IBGE]],procv!$A$2:$D$142,4,FALSE)</f>
        <v>Cerrado Tocantins Araguaia</v>
      </c>
      <c r="C95" t="s">
        <v>99</v>
      </c>
      <c r="D95">
        <v>1081</v>
      </c>
      <c r="E95">
        <v>1086</v>
      </c>
      <c r="F95">
        <v>1098</v>
      </c>
      <c r="G95">
        <v>1110</v>
      </c>
      <c r="H95">
        <v>1124</v>
      </c>
      <c r="I95">
        <v>1147</v>
      </c>
      <c r="J95">
        <v>1167</v>
      </c>
      <c r="K95">
        <v>1177</v>
      </c>
      <c r="L95">
        <v>1197</v>
      </c>
      <c r="M95">
        <v>1207</v>
      </c>
    </row>
    <row r="96" spans="1:13" x14ac:dyDescent="0.25">
      <c r="A96">
        <v>171660</v>
      </c>
      <c r="B96" t="str">
        <f>VLOOKUP(Tabela3[[#This Row],[IBGE]],procv!$A$2:$D$142,4,FALSE)</f>
        <v>Ilha do Bananal</v>
      </c>
      <c r="C96" t="s">
        <v>100</v>
      </c>
      <c r="D96">
        <v>821</v>
      </c>
      <c r="E96">
        <v>785</v>
      </c>
      <c r="F96">
        <v>760</v>
      </c>
      <c r="G96">
        <v>737</v>
      </c>
      <c r="H96">
        <v>718</v>
      </c>
      <c r="I96">
        <v>707</v>
      </c>
      <c r="J96">
        <v>691</v>
      </c>
      <c r="K96">
        <v>679</v>
      </c>
      <c r="L96">
        <v>675</v>
      </c>
      <c r="M96">
        <v>669</v>
      </c>
    </row>
    <row r="97" spans="1:13" x14ac:dyDescent="0.25">
      <c r="A97">
        <v>171665</v>
      </c>
      <c r="B97" t="str">
        <f>VLOOKUP(Tabela3[[#This Row],[IBGE]],procv!$A$2:$D$142,4,FALSE)</f>
        <v>Cerrado Tocantins Araguaia</v>
      </c>
      <c r="C97" t="s">
        <v>101</v>
      </c>
      <c r="D97">
        <v>437</v>
      </c>
      <c r="E97">
        <v>419</v>
      </c>
      <c r="F97">
        <v>407</v>
      </c>
      <c r="G97">
        <v>395</v>
      </c>
      <c r="H97">
        <v>387</v>
      </c>
      <c r="I97">
        <v>384</v>
      </c>
      <c r="J97">
        <v>377</v>
      </c>
      <c r="K97">
        <v>367</v>
      </c>
      <c r="L97">
        <v>359</v>
      </c>
      <c r="M97">
        <v>355</v>
      </c>
    </row>
    <row r="98" spans="1:13" x14ac:dyDescent="0.25">
      <c r="A98">
        <v>171670</v>
      </c>
      <c r="B98" t="str">
        <f>VLOOKUP(Tabela3[[#This Row],[IBGE]],procv!$A$2:$D$142,4,FALSE)</f>
        <v>Cerrado Tocantins Araguaia</v>
      </c>
      <c r="C98" t="s">
        <v>43</v>
      </c>
      <c r="D98">
        <v>692</v>
      </c>
      <c r="E98">
        <v>670</v>
      </c>
      <c r="F98">
        <v>655</v>
      </c>
      <c r="G98">
        <v>643</v>
      </c>
      <c r="H98">
        <v>636</v>
      </c>
      <c r="I98">
        <v>633</v>
      </c>
      <c r="J98">
        <v>628</v>
      </c>
      <c r="K98">
        <v>623</v>
      </c>
      <c r="L98">
        <v>626</v>
      </c>
      <c r="M98">
        <v>626</v>
      </c>
    </row>
    <row r="99" spans="1:13" x14ac:dyDescent="0.25">
      <c r="A99">
        <v>171700</v>
      </c>
      <c r="B99" t="str">
        <f>VLOOKUP(Tabela3[[#This Row],[IBGE]],procv!$A$2:$D$142,4,FALSE)</f>
        <v>Amor Perfeito</v>
      </c>
      <c r="C99" t="s">
        <v>102</v>
      </c>
      <c r="D99">
        <v>427</v>
      </c>
      <c r="E99">
        <v>416</v>
      </c>
      <c r="F99">
        <v>405</v>
      </c>
      <c r="G99">
        <v>397</v>
      </c>
      <c r="H99">
        <v>391</v>
      </c>
      <c r="I99">
        <v>390</v>
      </c>
      <c r="J99">
        <v>386</v>
      </c>
      <c r="K99">
        <v>378</v>
      </c>
      <c r="L99">
        <v>367</v>
      </c>
      <c r="M99">
        <v>356</v>
      </c>
    </row>
    <row r="100" spans="1:13" x14ac:dyDescent="0.25">
      <c r="A100">
        <v>171720</v>
      </c>
      <c r="B100" t="str">
        <f>VLOOKUP(Tabela3[[#This Row],[IBGE]],procv!$A$2:$D$142,4,FALSE)</f>
        <v>Médio Norte Araguaia</v>
      </c>
      <c r="C100" t="s">
        <v>103</v>
      </c>
      <c r="D100">
        <v>210</v>
      </c>
      <c r="E100">
        <v>193</v>
      </c>
      <c r="F100">
        <v>185</v>
      </c>
      <c r="G100">
        <v>180</v>
      </c>
      <c r="H100">
        <v>178</v>
      </c>
      <c r="I100">
        <v>177</v>
      </c>
      <c r="J100">
        <v>176</v>
      </c>
      <c r="K100">
        <v>173</v>
      </c>
      <c r="L100">
        <v>170</v>
      </c>
      <c r="M100">
        <v>168</v>
      </c>
    </row>
    <row r="101" spans="1:13" x14ac:dyDescent="0.25">
      <c r="A101">
        <v>171750</v>
      </c>
      <c r="B101" t="str">
        <f>VLOOKUP(Tabela3[[#This Row],[IBGE]],procv!$A$2:$D$142,4,FALSE)</f>
        <v>Cantão</v>
      </c>
      <c r="C101" t="s">
        <v>104</v>
      </c>
      <c r="D101">
        <v>631</v>
      </c>
      <c r="E101">
        <v>619</v>
      </c>
      <c r="F101">
        <v>615</v>
      </c>
      <c r="G101">
        <v>613</v>
      </c>
      <c r="H101">
        <v>616</v>
      </c>
      <c r="I101">
        <v>625</v>
      </c>
      <c r="J101">
        <v>631</v>
      </c>
      <c r="K101">
        <v>633</v>
      </c>
      <c r="L101">
        <v>639</v>
      </c>
      <c r="M101">
        <v>640</v>
      </c>
    </row>
    <row r="102" spans="1:13" x14ac:dyDescent="0.25">
      <c r="A102">
        <v>171780</v>
      </c>
      <c r="B102" t="str">
        <f>VLOOKUP(Tabela3[[#This Row],[IBGE]],procv!$A$2:$D$142,4,FALSE)</f>
        <v>Sudeste</v>
      </c>
      <c r="C102" t="s">
        <v>105</v>
      </c>
      <c r="D102">
        <v>383</v>
      </c>
      <c r="E102">
        <v>371</v>
      </c>
      <c r="F102">
        <v>360</v>
      </c>
      <c r="G102">
        <v>352</v>
      </c>
      <c r="H102">
        <v>345</v>
      </c>
      <c r="I102">
        <v>338</v>
      </c>
      <c r="J102">
        <v>329</v>
      </c>
      <c r="K102">
        <v>319</v>
      </c>
      <c r="L102">
        <v>306</v>
      </c>
      <c r="M102">
        <v>298</v>
      </c>
    </row>
    <row r="103" spans="1:13" x14ac:dyDescent="0.25">
      <c r="A103">
        <v>171790</v>
      </c>
      <c r="B103" t="str">
        <f>VLOOKUP(Tabela3[[#This Row],[IBGE]],procv!$A$2:$D$142,4,FALSE)</f>
        <v>Amor Perfeito</v>
      </c>
      <c r="C103" t="s">
        <v>106</v>
      </c>
      <c r="D103">
        <v>712</v>
      </c>
      <c r="E103">
        <v>698</v>
      </c>
      <c r="F103">
        <v>690</v>
      </c>
      <c r="G103">
        <v>684</v>
      </c>
      <c r="H103">
        <v>678</v>
      </c>
      <c r="I103">
        <v>679</v>
      </c>
      <c r="J103">
        <v>674</v>
      </c>
      <c r="K103">
        <v>666</v>
      </c>
      <c r="L103">
        <v>662</v>
      </c>
      <c r="M103">
        <v>657</v>
      </c>
    </row>
    <row r="104" spans="1:13" x14ac:dyDescent="0.25">
      <c r="A104">
        <v>171800</v>
      </c>
      <c r="B104" t="str">
        <f>VLOOKUP(Tabela3[[#This Row],[IBGE]],procv!$A$2:$D$142,4,FALSE)</f>
        <v>Sudeste</v>
      </c>
      <c r="C104" t="s">
        <v>107</v>
      </c>
      <c r="D104">
        <v>264</v>
      </c>
      <c r="E104">
        <v>261</v>
      </c>
      <c r="F104">
        <v>261</v>
      </c>
      <c r="G104">
        <v>260</v>
      </c>
      <c r="H104">
        <v>260</v>
      </c>
      <c r="I104">
        <v>262</v>
      </c>
      <c r="J104">
        <v>264</v>
      </c>
      <c r="K104">
        <v>261</v>
      </c>
      <c r="L104">
        <v>259</v>
      </c>
      <c r="M104">
        <v>255</v>
      </c>
    </row>
    <row r="105" spans="1:13" x14ac:dyDescent="0.25">
      <c r="A105">
        <v>171820</v>
      </c>
      <c r="B105" t="str">
        <f>VLOOKUP(Tabela3[[#This Row],[IBGE]],procv!$A$2:$D$142,4,FALSE)</f>
        <v>Amor Perfeito</v>
      </c>
      <c r="C105" t="s">
        <v>108</v>
      </c>
      <c r="D105">
        <v>4863</v>
      </c>
      <c r="E105">
        <v>4900</v>
      </c>
      <c r="F105">
        <v>4971</v>
      </c>
      <c r="G105">
        <v>5047</v>
      </c>
      <c r="H105">
        <v>5137</v>
      </c>
      <c r="I105">
        <v>5276</v>
      </c>
      <c r="J105">
        <v>5375</v>
      </c>
      <c r="K105">
        <v>5455</v>
      </c>
      <c r="L105">
        <v>5570</v>
      </c>
      <c r="M105">
        <v>5652</v>
      </c>
    </row>
    <row r="106" spans="1:13" x14ac:dyDescent="0.25">
      <c r="A106">
        <v>171830</v>
      </c>
      <c r="B106" t="str">
        <f>VLOOKUP(Tabela3[[#This Row],[IBGE]],procv!$A$2:$D$142,4,FALSE)</f>
        <v>Bico do Papagaio</v>
      </c>
      <c r="C106" t="s">
        <v>109</v>
      </c>
      <c r="D106">
        <v>942</v>
      </c>
      <c r="E106">
        <v>932</v>
      </c>
      <c r="F106">
        <v>928</v>
      </c>
      <c r="G106">
        <v>927</v>
      </c>
      <c r="H106">
        <v>927</v>
      </c>
      <c r="I106">
        <v>934</v>
      </c>
      <c r="J106">
        <v>931</v>
      </c>
      <c r="K106">
        <v>919</v>
      </c>
      <c r="L106">
        <v>905</v>
      </c>
      <c r="M106">
        <v>883</v>
      </c>
    </row>
    <row r="107" spans="1:13" x14ac:dyDescent="0.25">
      <c r="A107">
        <v>171840</v>
      </c>
      <c r="B107" t="str">
        <f>VLOOKUP(Tabela3[[#This Row],[IBGE]],procv!$A$2:$D$142,4,FALSE)</f>
        <v>Cerrado Tocantins Araguaia</v>
      </c>
      <c r="C107" t="s">
        <v>110</v>
      </c>
      <c r="D107">
        <v>278</v>
      </c>
      <c r="E107">
        <v>259</v>
      </c>
      <c r="F107">
        <v>247</v>
      </c>
      <c r="G107">
        <v>240</v>
      </c>
      <c r="H107">
        <v>236</v>
      </c>
      <c r="I107">
        <v>238</v>
      </c>
      <c r="J107">
        <v>235</v>
      </c>
      <c r="K107">
        <v>232</v>
      </c>
      <c r="L107">
        <v>223</v>
      </c>
      <c r="M107">
        <v>216</v>
      </c>
    </row>
    <row r="108" spans="1:13" x14ac:dyDescent="0.25">
      <c r="A108">
        <v>171845</v>
      </c>
      <c r="B108" t="str">
        <f>VLOOKUP(Tabela3[[#This Row],[IBGE]],procv!$A$2:$D$142,4,FALSE)</f>
        <v>Cantão</v>
      </c>
      <c r="C108" t="s">
        <v>111</v>
      </c>
      <c r="D108">
        <v>227</v>
      </c>
      <c r="E108">
        <v>217</v>
      </c>
      <c r="F108">
        <v>211</v>
      </c>
      <c r="G108">
        <v>203</v>
      </c>
      <c r="H108">
        <v>198</v>
      </c>
      <c r="I108">
        <v>192</v>
      </c>
      <c r="J108">
        <v>187</v>
      </c>
      <c r="K108">
        <v>182</v>
      </c>
      <c r="L108">
        <v>171</v>
      </c>
      <c r="M108">
        <v>166</v>
      </c>
    </row>
    <row r="109" spans="1:13" x14ac:dyDescent="0.25">
      <c r="A109">
        <v>171850</v>
      </c>
      <c r="B109" t="str">
        <f>VLOOKUP(Tabela3[[#This Row],[IBGE]],procv!$A$2:$D$142,4,FALSE)</f>
        <v>Cerrado Tocantins Araguaia</v>
      </c>
      <c r="C109" t="s">
        <v>112</v>
      </c>
      <c r="D109">
        <v>417</v>
      </c>
      <c r="E109">
        <v>394</v>
      </c>
      <c r="F109">
        <v>371</v>
      </c>
      <c r="G109">
        <v>354</v>
      </c>
      <c r="H109">
        <v>336</v>
      </c>
      <c r="I109">
        <v>320</v>
      </c>
      <c r="J109">
        <v>306</v>
      </c>
      <c r="K109">
        <v>293</v>
      </c>
      <c r="L109">
        <v>287</v>
      </c>
      <c r="M109">
        <v>285</v>
      </c>
    </row>
    <row r="110" spans="1:13" x14ac:dyDescent="0.25">
      <c r="A110">
        <v>171855</v>
      </c>
      <c r="B110" t="str">
        <f>VLOOKUP(Tabela3[[#This Row],[IBGE]],procv!$A$2:$D$142,4,FALSE)</f>
        <v>Bico do Papagaio</v>
      </c>
      <c r="C110" t="s">
        <v>113</v>
      </c>
      <c r="D110">
        <v>401</v>
      </c>
      <c r="E110">
        <v>391</v>
      </c>
      <c r="F110">
        <v>382</v>
      </c>
      <c r="G110">
        <v>371</v>
      </c>
      <c r="H110">
        <v>362</v>
      </c>
      <c r="I110">
        <v>358</v>
      </c>
      <c r="J110">
        <v>350</v>
      </c>
      <c r="K110">
        <v>341</v>
      </c>
      <c r="L110">
        <v>330</v>
      </c>
      <c r="M110">
        <v>319</v>
      </c>
    </row>
    <row r="111" spans="1:13" x14ac:dyDescent="0.25">
      <c r="A111">
        <v>171865</v>
      </c>
      <c r="B111" t="str">
        <f>VLOOKUP(Tabela3[[#This Row],[IBGE]],procv!$A$2:$D$142,4,FALSE)</f>
        <v>Sudeste</v>
      </c>
      <c r="C111" t="s">
        <v>114</v>
      </c>
      <c r="D111">
        <v>161</v>
      </c>
      <c r="E111">
        <v>155</v>
      </c>
      <c r="F111">
        <v>153</v>
      </c>
      <c r="G111">
        <v>157</v>
      </c>
      <c r="H111">
        <v>161</v>
      </c>
      <c r="I111">
        <v>172</v>
      </c>
      <c r="J111">
        <v>178</v>
      </c>
      <c r="K111">
        <v>181</v>
      </c>
      <c r="L111">
        <v>178</v>
      </c>
      <c r="M111">
        <v>165</v>
      </c>
    </row>
    <row r="112" spans="1:13" x14ac:dyDescent="0.25">
      <c r="A112">
        <v>171870</v>
      </c>
      <c r="B112" t="str">
        <f>VLOOKUP(Tabela3[[#This Row],[IBGE]],procv!$A$2:$D$142,4,FALSE)</f>
        <v>Capim Dourado</v>
      </c>
      <c r="C112" t="s">
        <v>115</v>
      </c>
      <c r="D112">
        <v>242</v>
      </c>
      <c r="E112">
        <v>236</v>
      </c>
      <c r="F112">
        <v>231</v>
      </c>
      <c r="G112">
        <v>225</v>
      </c>
      <c r="H112">
        <v>220</v>
      </c>
      <c r="I112">
        <v>217</v>
      </c>
      <c r="J112">
        <v>213</v>
      </c>
      <c r="K112">
        <v>210</v>
      </c>
      <c r="L112">
        <v>212</v>
      </c>
      <c r="M112">
        <v>217</v>
      </c>
    </row>
    <row r="113" spans="1:13" x14ac:dyDescent="0.25">
      <c r="A113">
        <v>171875</v>
      </c>
      <c r="B113" t="str">
        <f>VLOOKUP(Tabela3[[#This Row],[IBGE]],procv!$A$2:$D$142,4,FALSE)</f>
        <v>Capim Dourado</v>
      </c>
      <c r="C113" t="s">
        <v>116</v>
      </c>
      <c r="D113">
        <v>489</v>
      </c>
      <c r="E113">
        <v>460</v>
      </c>
      <c r="F113">
        <v>438</v>
      </c>
      <c r="G113">
        <v>419</v>
      </c>
      <c r="H113">
        <v>406</v>
      </c>
      <c r="I113">
        <v>394</v>
      </c>
      <c r="J113">
        <v>383</v>
      </c>
      <c r="K113">
        <v>376</v>
      </c>
      <c r="L113">
        <v>372</v>
      </c>
      <c r="M113">
        <v>367</v>
      </c>
    </row>
    <row r="114" spans="1:13" x14ac:dyDescent="0.25">
      <c r="A114">
        <v>171880</v>
      </c>
      <c r="B114" t="str">
        <f>VLOOKUP(Tabela3[[#This Row],[IBGE]],procv!$A$2:$D$142,4,FALSE)</f>
        <v>Bico do Papagaio</v>
      </c>
      <c r="C114" t="s">
        <v>117</v>
      </c>
      <c r="D114">
        <v>431</v>
      </c>
      <c r="E114">
        <v>419</v>
      </c>
      <c r="F114">
        <v>409</v>
      </c>
      <c r="G114">
        <v>404</v>
      </c>
      <c r="H114">
        <v>401</v>
      </c>
      <c r="I114">
        <v>400</v>
      </c>
      <c r="J114">
        <v>398</v>
      </c>
      <c r="K114">
        <v>393</v>
      </c>
      <c r="L114">
        <v>388</v>
      </c>
      <c r="M114">
        <v>386</v>
      </c>
    </row>
    <row r="115" spans="1:13" x14ac:dyDescent="0.25">
      <c r="A115">
        <v>171884</v>
      </c>
      <c r="B115" t="str">
        <f>VLOOKUP(Tabela3[[#This Row],[IBGE]],procv!$A$2:$D$142,4,FALSE)</f>
        <v>Ilha do Bananal</v>
      </c>
      <c r="C115" t="s">
        <v>118</v>
      </c>
      <c r="D115">
        <v>319</v>
      </c>
      <c r="E115">
        <v>315</v>
      </c>
      <c r="F115">
        <v>310</v>
      </c>
      <c r="G115">
        <v>302</v>
      </c>
      <c r="H115">
        <v>293</v>
      </c>
      <c r="I115">
        <v>288</v>
      </c>
      <c r="J115">
        <v>281</v>
      </c>
      <c r="K115">
        <v>275</v>
      </c>
      <c r="L115">
        <v>276</v>
      </c>
      <c r="M115">
        <v>279</v>
      </c>
    </row>
    <row r="116" spans="1:13" x14ac:dyDescent="0.25">
      <c r="A116">
        <v>171886</v>
      </c>
      <c r="B116" t="str">
        <f>VLOOKUP(Tabela3[[#This Row],[IBGE]],procv!$A$2:$D$142,4,FALSE)</f>
        <v>Médio Norte Araguaia</v>
      </c>
      <c r="C116" t="s">
        <v>119</v>
      </c>
      <c r="D116">
        <v>661</v>
      </c>
      <c r="E116">
        <v>645</v>
      </c>
      <c r="F116">
        <v>638</v>
      </c>
      <c r="G116">
        <v>630</v>
      </c>
      <c r="H116">
        <v>627</v>
      </c>
      <c r="I116">
        <v>628</v>
      </c>
      <c r="J116">
        <v>628</v>
      </c>
      <c r="K116">
        <v>627</v>
      </c>
      <c r="L116">
        <v>632</v>
      </c>
      <c r="M116">
        <v>636</v>
      </c>
    </row>
    <row r="117" spans="1:13" x14ac:dyDescent="0.25">
      <c r="A117">
        <v>171888</v>
      </c>
      <c r="B117" t="str">
        <f>VLOOKUP(Tabela3[[#This Row],[IBGE]],procv!$A$2:$D$142,4,FALSE)</f>
        <v>Cerrado Tocantins Araguaia</v>
      </c>
      <c r="C117" t="s">
        <v>120</v>
      </c>
      <c r="D117">
        <v>273</v>
      </c>
      <c r="E117">
        <v>268</v>
      </c>
      <c r="F117">
        <v>257</v>
      </c>
      <c r="G117">
        <v>248</v>
      </c>
      <c r="H117">
        <v>238</v>
      </c>
      <c r="I117">
        <v>231</v>
      </c>
      <c r="J117">
        <v>225</v>
      </c>
      <c r="K117">
        <v>220</v>
      </c>
      <c r="L117">
        <v>215</v>
      </c>
      <c r="M117">
        <v>216</v>
      </c>
    </row>
    <row r="118" spans="1:13" x14ac:dyDescent="0.25">
      <c r="A118">
        <v>171889</v>
      </c>
      <c r="B118" t="str">
        <f>VLOOKUP(Tabela3[[#This Row],[IBGE]],procv!$A$2:$D$142,4,FALSE)</f>
        <v>Ilha do Bananal</v>
      </c>
      <c r="C118" t="s">
        <v>121</v>
      </c>
      <c r="D118">
        <v>190</v>
      </c>
      <c r="E118">
        <v>183</v>
      </c>
      <c r="F118">
        <v>178</v>
      </c>
      <c r="G118">
        <v>175</v>
      </c>
      <c r="H118">
        <v>173</v>
      </c>
      <c r="I118">
        <v>173</v>
      </c>
      <c r="J118">
        <v>171</v>
      </c>
      <c r="K118">
        <v>171</v>
      </c>
      <c r="L118">
        <v>170</v>
      </c>
      <c r="M118">
        <v>172</v>
      </c>
    </row>
    <row r="119" spans="1:13" x14ac:dyDescent="0.25">
      <c r="A119">
        <v>171890</v>
      </c>
      <c r="B119" t="str">
        <f>VLOOKUP(Tabela3[[#This Row],[IBGE]],procv!$A$2:$D$142,4,FALSE)</f>
        <v>Amor Perfeito</v>
      </c>
      <c r="C119" t="s">
        <v>122</v>
      </c>
      <c r="D119">
        <v>461</v>
      </c>
      <c r="E119">
        <v>445</v>
      </c>
      <c r="F119">
        <v>435</v>
      </c>
      <c r="G119">
        <v>424</v>
      </c>
      <c r="H119">
        <v>417</v>
      </c>
      <c r="I119">
        <v>413</v>
      </c>
      <c r="J119">
        <v>406</v>
      </c>
      <c r="K119">
        <v>401</v>
      </c>
      <c r="L119">
        <v>402</v>
      </c>
      <c r="M119">
        <v>401</v>
      </c>
    </row>
    <row r="120" spans="1:13" x14ac:dyDescent="0.25">
      <c r="A120">
        <v>171900</v>
      </c>
      <c r="B120" t="str">
        <f>VLOOKUP(Tabela3[[#This Row],[IBGE]],procv!$A$2:$D$142,4,FALSE)</f>
        <v>Capim Dourado</v>
      </c>
      <c r="C120" t="s">
        <v>123</v>
      </c>
      <c r="D120">
        <v>262</v>
      </c>
      <c r="E120">
        <v>264</v>
      </c>
      <c r="F120">
        <v>268</v>
      </c>
      <c r="G120">
        <v>268</v>
      </c>
      <c r="H120">
        <v>269</v>
      </c>
      <c r="I120">
        <v>269</v>
      </c>
      <c r="J120">
        <v>268</v>
      </c>
      <c r="K120">
        <v>268</v>
      </c>
      <c r="L120">
        <v>271</v>
      </c>
      <c r="M120">
        <v>278</v>
      </c>
    </row>
    <row r="121" spans="1:13" x14ac:dyDescent="0.25">
      <c r="A121">
        <v>172000</v>
      </c>
      <c r="B121" t="str">
        <f>VLOOKUP(Tabela3[[#This Row],[IBGE]],procv!$A$2:$D$142,4,FALSE)</f>
        <v>Bico do Papagaio</v>
      </c>
      <c r="C121" t="s">
        <v>124</v>
      </c>
      <c r="D121">
        <v>223</v>
      </c>
      <c r="E121">
        <v>217</v>
      </c>
      <c r="F121">
        <v>214</v>
      </c>
      <c r="G121">
        <v>215</v>
      </c>
      <c r="H121">
        <v>215</v>
      </c>
      <c r="I121">
        <v>218</v>
      </c>
      <c r="J121">
        <v>218</v>
      </c>
      <c r="K121">
        <v>217</v>
      </c>
      <c r="L121">
        <v>205</v>
      </c>
      <c r="M121">
        <v>197</v>
      </c>
    </row>
    <row r="122" spans="1:13" x14ac:dyDescent="0.25">
      <c r="A122">
        <v>172010</v>
      </c>
      <c r="B122" t="str">
        <f>VLOOKUP(Tabela3[[#This Row],[IBGE]],procv!$A$2:$D$142,4,FALSE)</f>
        <v>Bico do Papagaio</v>
      </c>
      <c r="C122" t="s">
        <v>125</v>
      </c>
      <c r="D122">
        <v>527</v>
      </c>
      <c r="E122">
        <v>523</v>
      </c>
      <c r="F122">
        <v>522</v>
      </c>
      <c r="G122">
        <v>522</v>
      </c>
      <c r="H122">
        <v>521</v>
      </c>
      <c r="I122">
        <v>525</v>
      </c>
      <c r="J122">
        <v>526</v>
      </c>
      <c r="K122">
        <v>526</v>
      </c>
      <c r="L122">
        <v>528</v>
      </c>
      <c r="M122">
        <v>528</v>
      </c>
    </row>
    <row r="123" spans="1:13" x14ac:dyDescent="0.25">
      <c r="A123">
        <v>172015</v>
      </c>
      <c r="B123" t="str">
        <f>VLOOKUP(Tabela3[[#This Row],[IBGE]],procv!$A$2:$D$142,4,FALSE)</f>
        <v>Capim Dourado</v>
      </c>
      <c r="C123" t="s">
        <v>126</v>
      </c>
      <c r="D123">
        <v>180</v>
      </c>
      <c r="E123">
        <v>182</v>
      </c>
      <c r="F123">
        <v>181</v>
      </c>
      <c r="G123">
        <v>177</v>
      </c>
      <c r="H123">
        <v>172</v>
      </c>
      <c r="I123">
        <v>167</v>
      </c>
      <c r="J123">
        <v>162</v>
      </c>
      <c r="K123">
        <v>160</v>
      </c>
      <c r="L123">
        <v>160</v>
      </c>
      <c r="M123">
        <v>167</v>
      </c>
    </row>
    <row r="124" spans="1:13" x14ac:dyDescent="0.25">
      <c r="A124">
        <v>172020</v>
      </c>
      <c r="B124" t="str">
        <f>VLOOKUP(Tabela3[[#This Row],[IBGE]],procv!$A$2:$D$142,4,FALSE)</f>
        <v>Bico do Papagaio</v>
      </c>
      <c r="C124" t="s">
        <v>127</v>
      </c>
      <c r="D124">
        <v>1192</v>
      </c>
      <c r="E124">
        <v>1176</v>
      </c>
      <c r="F124">
        <v>1173</v>
      </c>
      <c r="G124">
        <v>1176</v>
      </c>
      <c r="H124">
        <v>1186</v>
      </c>
      <c r="I124">
        <v>1206</v>
      </c>
      <c r="J124">
        <v>1215</v>
      </c>
      <c r="K124">
        <v>1220</v>
      </c>
      <c r="L124">
        <v>1224</v>
      </c>
      <c r="M124">
        <v>1223</v>
      </c>
    </row>
    <row r="125" spans="1:13" x14ac:dyDescent="0.25">
      <c r="A125">
        <v>172025</v>
      </c>
      <c r="B125" t="str">
        <f>VLOOKUP(Tabela3[[#This Row],[IBGE]],procv!$A$2:$D$142,4,FALSE)</f>
        <v>Ilha do Bananal</v>
      </c>
      <c r="C125" t="s">
        <v>128</v>
      </c>
      <c r="D125">
        <v>241</v>
      </c>
      <c r="E125">
        <v>227</v>
      </c>
      <c r="F125">
        <v>221</v>
      </c>
      <c r="G125">
        <v>211</v>
      </c>
      <c r="H125">
        <v>204</v>
      </c>
      <c r="I125">
        <v>201</v>
      </c>
      <c r="J125">
        <v>197</v>
      </c>
      <c r="K125">
        <v>191</v>
      </c>
      <c r="L125">
        <v>187</v>
      </c>
      <c r="M125">
        <v>189</v>
      </c>
    </row>
    <row r="126" spans="1:13" x14ac:dyDescent="0.25">
      <c r="A126">
        <v>172030</v>
      </c>
      <c r="B126" t="str">
        <f>VLOOKUP(Tabela3[[#This Row],[IBGE]],procv!$A$2:$D$142,4,FALSE)</f>
        <v>Bico do Papagaio</v>
      </c>
      <c r="C126" t="s">
        <v>129</v>
      </c>
      <c r="D126">
        <v>446</v>
      </c>
      <c r="E126">
        <v>433</v>
      </c>
      <c r="F126">
        <v>420</v>
      </c>
      <c r="G126">
        <v>409</v>
      </c>
      <c r="H126">
        <v>397</v>
      </c>
      <c r="I126">
        <v>389</v>
      </c>
      <c r="J126">
        <v>380</v>
      </c>
      <c r="K126">
        <v>371</v>
      </c>
      <c r="L126">
        <v>363</v>
      </c>
      <c r="M126">
        <v>356</v>
      </c>
    </row>
    <row r="127" spans="1:13" x14ac:dyDescent="0.25">
      <c r="A127">
        <v>172049</v>
      </c>
      <c r="B127" t="str">
        <f>VLOOKUP(Tabela3[[#This Row],[IBGE]],procv!$A$2:$D$142,4,FALSE)</f>
        <v>Ilha do Bananal</v>
      </c>
      <c r="C127" t="s">
        <v>130</v>
      </c>
      <c r="D127">
        <v>386</v>
      </c>
      <c r="E127">
        <v>371</v>
      </c>
      <c r="F127">
        <v>367</v>
      </c>
      <c r="G127">
        <v>364</v>
      </c>
      <c r="H127">
        <v>366</v>
      </c>
      <c r="I127">
        <v>371</v>
      </c>
      <c r="J127">
        <v>370</v>
      </c>
      <c r="K127">
        <v>367</v>
      </c>
      <c r="L127">
        <v>358</v>
      </c>
      <c r="M127">
        <v>349</v>
      </c>
    </row>
    <row r="128" spans="1:13" x14ac:dyDescent="0.25">
      <c r="A128">
        <v>172065</v>
      </c>
      <c r="B128" t="str">
        <f>VLOOKUP(Tabela3[[#This Row],[IBGE]],procv!$A$2:$D$142,4,FALSE)</f>
        <v>Amor Perfeito</v>
      </c>
      <c r="C128" t="s">
        <v>131</v>
      </c>
      <c r="D128">
        <v>460</v>
      </c>
      <c r="E128">
        <v>458</v>
      </c>
      <c r="F128">
        <v>453</v>
      </c>
      <c r="G128">
        <v>449</v>
      </c>
      <c r="H128">
        <v>446</v>
      </c>
      <c r="I128">
        <v>445</v>
      </c>
      <c r="J128">
        <v>439</v>
      </c>
      <c r="K128">
        <v>433</v>
      </c>
      <c r="L128">
        <v>428</v>
      </c>
      <c r="M128">
        <v>420</v>
      </c>
    </row>
    <row r="129" spans="1:13" x14ac:dyDescent="0.25">
      <c r="A129">
        <v>172080</v>
      </c>
      <c r="B129" t="str">
        <f>VLOOKUP(Tabela3[[#This Row],[IBGE]],procv!$A$2:$D$142,4,FALSE)</f>
        <v>Bico do Papagaio</v>
      </c>
      <c r="C129" t="s">
        <v>132</v>
      </c>
      <c r="D129">
        <v>931</v>
      </c>
      <c r="E129">
        <v>917</v>
      </c>
      <c r="F129">
        <v>916</v>
      </c>
      <c r="G129">
        <v>921</v>
      </c>
      <c r="H129">
        <v>933</v>
      </c>
      <c r="I129">
        <v>956</v>
      </c>
      <c r="J129">
        <v>968</v>
      </c>
      <c r="K129">
        <v>969</v>
      </c>
      <c r="L129">
        <v>962</v>
      </c>
      <c r="M129">
        <v>948</v>
      </c>
    </row>
    <row r="130" spans="1:13" x14ac:dyDescent="0.25">
      <c r="A130">
        <v>172085</v>
      </c>
      <c r="B130" t="str">
        <f>VLOOKUP(Tabela3[[#This Row],[IBGE]],procv!$A$2:$D$142,4,FALSE)</f>
        <v>Ilha do Bananal</v>
      </c>
      <c r="C130" t="s">
        <v>133</v>
      </c>
      <c r="D130">
        <v>143</v>
      </c>
      <c r="E130">
        <v>137</v>
      </c>
      <c r="F130">
        <v>133</v>
      </c>
      <c r="G130">
        <v>129</v>
      </c>
      <c r="H130">
        <v>126</v>
      </c>
      <c r="I130">
        <v>126</v>
      </c>
      <c r="J130">
        <v>126</v>
      </c>
      <c r="K130">
        <v>124</v>
      </c>
      <c r="L130">
        <v>117</v>
      </c>
      <c r="M130">
        <v>115</v>
      </c>
    </row>
    <row r="131" spans="1:13" x14ac:dyDescent="0.25">
      <c r="A131">
        <v>172090</v>
      </c>
      <c r="B131" t="str">
        <f>VLOOKUP(Tabela3[[#This Row],[IBGE]],procv!$A$2:$D$142,4,FALSE)</f>
        <v>Sudeste</v>
      </c>
      <c r="C131" t="s">
        <v>135</v>
      </c>
      <c r="D131">
        <v>1234</v>
      </c>
      <c r="E131">
        <v>1181</v>
      </c>
      <c r="F131">
        <v>1142</v>
      </c>
      <c r="G131">
        <v>1112</v>
      </c>
      <c r="H131">
        <v>1088</v>
      </c>
      <c r="I131">
        <v>1081</v>
      </c>
      <c r="J131">
        <v>1060</v>
      </c>
      <c r="K131">
        <v>1037</v>
      </c>
      <c r="L131">
        <v>1021</v>
      </c>
      <c r="M131">
        <v>999</v>
      </c>
    </row>
    <row r="132" spans="1:13" x14ac:dyDescent="0.25">
      <c r="A132">
        <v>172093</v>
      </c>
      <c r="B132" t="str">
        <f>VLOOKUP(Tabela3[[#This Row],[IBGE]],procv!$A$2:$D$142,4,FALSE)</f>
        <v>Sudeste</v>
      </c>
      <c r="C132" t="s">
        <v>136</v>
      </c>
      <c r="D132">
        <v>184</v>
      </c>
      <c r="E132">
        <v>178</v>
      </c>
      <c r="F132">
        <v>176</v>
      </c>
      <c r="G132">
        <v>172</v>
      </c>
      <c r="H132">
        <v>172</v>
      </c>
      <c r="I132">
        <v>173</v>
      </c>
      <c r="J132">
        <v>174</v>
      </c>
      <c r="K132">
        <v>175</v>
      </c>
      <c r="L132">
        <v>175</v>
      </c>
      <c r="M132">
        <v>177</v>
      </c>
    </row>
    <row r="133" spans="1:13" x14ac:dyDescent="0.25">
      <c r="A133">
        <v>172097</v>
      </c>
      <c r="B133" t="str">
        <f>VLOOKUP(Tabela3[[#This Row],[IBGE]],procv!$A$2:$D$142,4,FALSE)</f>
        <v>Ilha do Bananal</v>
      </c>
      <c r="C133" t="s">
        <v>137</v>
      </c>
      <c r="D133">
        <v>195</v>
      </c>
      <c r="E133">
        <v>185</v>
      </c>
      <c r="F133">
        <v>179</v>
      </c>
      <c r="G133">
        <v>178</v>
      </c>
      <c r="H133">
        <v>180</v>
      </c>
      <c r="I133">
        <v>183</v>
      </c>
      <c r="J133">
        <v>183</v>
      </c>
      <c r="K133">
        <v>185</v>
      </c>
      <c r="L133">
        <v>181</v>
      </c>
      <c r="M133">
        <v>181</v>
      </c>
    </row>
    <row r="134" spans="1:13" x14ac:dyDescent="0.25">
      <c r="A134">
        <v>172100</v>
      </c>
      <c r="B134" t="str">
        <f>VLOOKUP(Tabela3[[#This Row],[IBGE]],procv!$A$2:$D$142,4,FALSE)</f>
        <v>Capim Dourado</v>
      </c>
      <c r="C134" t="s">
        <v>92</v>
      </c>
      <c r="D134">
        <v>22232</v>
      </c>
      <c r="E134">
        <v>22414</v>
      </c>
      <c r="F134">
        <v>22688</v>
      </c>
      <c r="G134">
        <v>22887</v>
      </c>
      <c r="H134">
        <v>23037</v>
      </c>
      <c r="I134">
        <v>23417</v>
      </c>
      <c r="J134">
        <v>23665</v>
      </c>
      <c r="K134">
        <v>23879</v>
      </c>
      <c r="L134">
        <v>24582</v>
      </c>
      <c r="M134">
        <v>24925</v>
      </c>
    </row>
    <row r="135" spans="1:13" x14ac:dyDescent="0.25">
      <c r="A135">
        <v>172110</v>
      </c>
      <c r="B135" t="str">
        <f>VLOOKUP(Tabela3[[#This Row],[IBGE]],procv!$A$2:$D$142,4,FALSE)</f>
        <v>Capim Dourado</v>
      </c>
      <c r="C135" t="s">
        <v>138</v>
      </c>
      <c r="D135">
        <v>865</v>
      </c>
      <c r="E135">
        <v>859</v>
      </c>
      <c r="F135">
        <v>863</v>
      </c>
      <c r="G135">
        <v>866</v>
      </c>
      <c r="H135">
        <v>876</v>
      </c>
      <c r="I135">
        <v>893</v>
      </c>
      <c r="J135">
        <v>901</v>
      </c>
      <c r="K135">
        <v>902</v>
      </c>
      <c r="L135">
        <v>908</v>
      </c>
      <c r="M135">
        <v>903</v>
      </c>
    </row>
    <row r="136" spans="1:13" x14ac:dyDescent="0.25">
      <c r="A136">
        <v>172120</v>
      </c>
      <c r="B136" t="str">
        <f>VLOOKUP(Tabela3[[#This Row],[IBGE]],procv!$A$2:$D$142,4,FALSE)</f>
        <v>Bico do Papagaio</v>
      </c>
      <c r="C136" t="s">
        <v>139</v>
      </c>
      <c r="D136">
        <v>2156</v>
      </c>
      <c r="E136">
        <v>2117</v>
      </c>
      <c r="F136">
        <v>2093</v>
      </c>
      <c r="G136">
        <v>2072</v>
      </c>
      <c r="H136">
        <v>2055</v>
      </c>
      <c r="I136">
        <v>2057</v>
      </c>
      <c r="J136">
        <v>2042</v>
      </c>
      <c r="K136">
        <v>2015</v>
      </c>
      <c r="L136">
        <v>2000</v>
      </c>
      <c r="M136">
        <v>1971</v>
      </c>
    </row>
    <row r="137" spans="1:13" x14ac:dyDescent="0.25">
      <c r="A137">
        <v>172125</v>
      </c>
      <c r="B137" t="str">
        <f>VLOOKUP(Tabela3[[#This Row],[IBGE]],procv!$A$2:$D$142,4,FALSE)</f>
        <v>Cerrado Tocantins Araguaia</v>
      </c>
      <c r="C137" t="s">
        <v>140</v>
      </c>
      <c r="D137">
        <v>154</v>
      </c>
      <c r="E137">
        <v>153</v>
      </c>
      <c r="F137">
        <v>156</v>
      </c>
      <c r="G137">
        <v>156</v>
      </c>
      <c r="H137">
        <v>158</v>
      </c>
      <c r="I137">
        <v>160</v>
      </c>
      <c r="J137">
        <v>160</v>
      </c>
      <c r="K137">
        <v>160</v>
      </c>
      <c r="L137">
        <v>161</v>
      </c>
      <c r="M137">
        <v>163</v>
      </c>
    </row>
    <row r="138" spans="1:13" x14ac:dyDescent="0.25">
      <c r="A138">
        <v>172130</v>
      </c>
      <c r="B138" t="str">
        <f>VLOOKUP(Tabela3[[#This Row],[IBGE]],procv!$A$2:$D$142,4,FALSE)</f>
        <v>Cerrado Tocantins Araguaia</v>
      </c>
      <c r="C138" t="s">
        <v>141</v>
      </c>
      <c r="D138">
        <v>173</v>
      </c>
      <c r="E138">
        <v>165</v>
      </c>
      <c r="F138">
        <v>158</v>
      </c>
      <c r="G138">
        <v>152</v>
      </c>
      <c r="H138">
        <v>146</v>
      </c>
      <c r="I138">
        <v>142</v>
      </c>
      <c r="J138">
        <v>138</v>
      </c>
      <c r="K138">
        <v>132</v>
      </c>
      <c r="L138">
        <v>130</v>
      </c>
      <c r="M138">
        <v>128</v>
      </c>
    </row>
    <row r="139" spans="1:13" x14ac:dyDescent="0.25">
      <c r="A139">
        <v>172208</v>
      </c>
      <c r="B139" t="str">
        <f>VLOOKUP(Tabela3[[#This Row],[IBGE]],procv!$A$2:$D$142,4,FALSE)</f>
        <v>Médio Norte Araguaia</v>
      </c>
      <c r="C139" t="s">
        <v>142</v>
      </c>
      <c r="D139">
        <v>945</v>
      </c>
      <c r="E139">
        <v>913</v>
      </c>
      <c r="F139">
        <v>891</v>
      </c>
      <c r="G139">
        <v>878</v>
      </c>
      <c r="H139">
        <v>872</v>
      </c>
      <c r="I139">
        <v>875</v>
      </c>
      <c r="J139">
        <v>872</v>
      </c>
      <c r="K139">
        <v>868</v>
      </c>
      <c r="L139">
        <v>874</v>
      </c>
      <c r="M139">
        <v>871</v>
      </c>
    </row>
    <row r="140" spans="1:13" x14ac:dyDescent="0.25">
      <c r="A140">
        <v>172210</v>
      </c>
      <c r="B140" t="str">
        <f>VLOOKUP(Tabela3[[#This Row],[IBGE]],procv!$A$2:$D$142,4,FALSE)</f>
        <v>Médio Norte Araguaia</v>
      </c>
      <c r="C140" t="s">
        <v>143</v>
      </c>
      <c r="D140">
        <v>965</v>
      </c>
      <c r="E140">
        <v>940</v>
      </c>
      <c r="F140">
        <v>920</v>
      </c>
      <c r="G140">
        <v>899</v>
      </c>
      <c r="H140">
        <v>882</v>
      </c>
      <c r="I140">
        <v>870</v>
      </c>
      <c r="J140">
        <v>857</v>
      </c>
      <c r="K140">
        <v>840</v>
      </c>
      <c r="L140">
        <v>836</v>
      </c>
      <c r="M140">
        <v>828</v>
      </c>
    </row>
    <row r="141" spans="1:13" x14ac:dyDescent="0.25">
      <c r="A141">
        <v>17</v>
      </c>
      <c r="B141" t="s">
        <v>366</v>
      </c>
      <c r="C141" t="s">
        <v>365</v>
      </c>
      <c r="D141">
        <v>127622</v>
      </c>
      <c r="E141">
        <v>125451</v>
      </c>
      <c r="F141">
        <v>124254</v>
      </c>
      <c r="G141">
        <v>123204</v>
      </c>
      <c r="H141">
        <v>122582</v>
      </c>
      <c r="I141">
        <v>123117</v>
      </c>
      <c r="J141">
        <v>122883</v>
      </c>
      <c r="K141">
        <v>122418</v>
      </c>
      <c r="L141">
        <v>123155</v>
      </c>
      <c r="M141">
        <v>123370</v>
      </c>
    </row>
    <row r="142" spans="1:13" x14ac:dyDescent="0.25">
      <c r="D142" s="8"/>
    </row>
    <row r="143" spans="1:13" x14ac:dyDescent="0.25">
      <c r="D143" s="8"/>
    </row>
    <row r="144" spans="1:13" x14ac:dyDescent="0.25">
      <c r="D144" s="8"/>
    </row>
    <row r="145" spans="4:4" x14ac:dyDescent="0.25">
      <c r="D145" s="8"/>
    </row>
    <row r="146" spans="4:4" x14ac:dyDescent="0.25">
      <c r="D146" s="8"/>
    </row>
    <row r="147" spans="4:4" x14ac:dyDescent="0.25">
      <c r="D147" s="8"/>
    </row>
    <row r="148" spans="4:4" x14ac:dyDescent="0.25">
      <c r="D148" s="8"/>
    </row>
    <row r="149" spans="4:4" x14ac:dyDescent="0.25">
      <c r="D149" s="8"/>
    </row>
    <row r="150" spans="4:4" x14ac:dyDescent="0.25">
      <c r="D150" s="8"/>
    </row>
    <row r="151" spans="4:4" x14ac:dyDescent="0.25">
      <c r="D151" s="8"/>
    </row>
    <row r="152" spans="4:4" x14ac:dyDescent="0.25">
      <c r="D152" s="8"/>
    </row>
    <row r="153" spans="4:4" x14ac:dyDescent="0.25">
      <c r="D153" s="8"/>
    </row>
    <row r="154" spans="4:4" x14ac:dyDescent="0.25">
      <c r="D154" s="8"/>
    </row>
    <row r="155" spans="4:4" x14ac:dyDescent="0.25">
      <c r="D155" s="8"/>
    </row>
    <row r="156" spans="4:4" x14ac:dyDescent="0.25">
      <c r="D156" s="8"/>
    </row>
    <row r="157" spans="4:4" x14ac:dyDescent="0.25">
      <c r="D157" s="8"/>
    </row>
    <row r="158" spans="4:4" x14ac:dyDescent="0.25">
      <c r="D158" s="8"/>
    </row>
    <row r="159" spans="4:4" x14ac:dyDescent="0.25">
      <c r="D159" s="8"/>
    </row>
    <row r="160" spans="4:4" x14ac:dyDescent="0.25">
      <c r="D160" s="8"/>
    </row>
    <row r="161" spans="4:4" x14ac:dyDescent="0.25">
      <c r="D161" s="8"/>
    </row>
    <row r="162" spans="4:4" x14ac:dyDescent="0.25">
      <c r="D162" s="8"/>
    </row>
    <row r="163" spans="4:4" x14ac:dyDescent="0.25">
      <c r="D163" s="8"/>
    </row>
    <row r="164" spans="4:4" x14ac:dyDescent="0.25">
      <c r="D164" s="8"/>
    </row>
    <row r="165" spans="4:4" x14ac:dyDescent="0.25">
      <c r="D165" s="8"/>
    </row>
    <row r="166" spans="4:4" x14ac:dyDescent="0.25">
      <c r="D166" s="8"/>
    </row>
    <row r="167" spans="4:4" x14ac:dyDescent="0.25">
      <c r="D167" s="8"/>
    </row>
    <row r="168" spans="4:4" x14ac:dyDescent="0.25">
      <c r="D168" s="8"/>
    </row>
    <row r="169" spans="4:4" x14ac:dyDescent="0.25">
      <c r="D169" s="8"/>
    </row>
    <row r="170" spans="4:4" x14ac:dyDescent="0.25">
      <c r="D170" s="8"/>
    </row>
    <row r="171" spans="4:4" x14ac:dyDescent="0.25">
      <c r="D171" s="8"/>
    </row>
    <row r="172" spans="4:4" x14ac:dyDescent="0.25">
      <c r="D172" s="8"/>
    </row>
    <row r="173" spans="4:4" x14ac:dyDescent="0.25">
      <c r="D173" s="8"/>
    </row>
    <row r="174" spans="4:4" x14ac:dyDescent="0.25">
      <c r="D174" s="8"/>
    </row>
    <row r="175" spans="4:4" x14ac:dyDescent="0.25">
      <c r="D175" s="8"/>
    </row>
    <row r="176" spans="4:4" x14ac:dyDescent="0.25">
      <c r="D176" s="8"/>
    </row>
    <row r="177" spans="4:4" x14ac:dyDescent="0.25">
      <c r="D177" s="8"/>
    </row>
    <row r="178" spans="4:4" x14ac:dyDescent="0.25">
      <c r="D178" s="8"/>
    </row>
    <row r="179" spans="4:4" x14ac:dyDescent="0.25">
      <c r="D179" s="8"/>
    </row>
    <row r="180" spans="4:4" x14ac:dyDescent="0.25">
      <c r="D180" s="8"/>
    </row>
    <row r="181" spans="4:4" x14ac:dyDescent="0.25">
      <c r="D181" s="8"/>
    </row>
    <row r="182" spans="4:4" x14ac:dyDescent="0.25">
      <c r="D182" s="8"/>
    </row>
    <row r="183" spans="4:4" x14ac:dyDescent="0.25">
      <c r="D183" s="8"/>
    </row>
    <row r="184" spans="4:4" x14ac:dyDescent="0.25">
      <c r="D184" s="8"/>
    </row>
    <row r="185" spans="4:4" x14ac:dyDescent="0.25">
      <c r="D185" s="8"/>
    </row>
    <row r="186" spans="4:4" x14ac:dyDescent="0.25">
      <c r="D186" s="8"/>
    </row>
    <row r="187" spans="4:4" x14ac:dyDescent="0.25">
      <c r="D187" s="8"/>
    </row>
    <row r="188" spans="4:4" x14ac:dyDescent="0.25">
      <c r="D188" s="8"/>
    </row>
    <row r="189" spans="4:4" x14ac:dyDescent="0.25">
      <c r="D189" s="8"/>
    </row>
    <row r="190" spans="4:4" x14ac:dyDescent="0.25">
      <c r="D190" s="8"/>
    </row>
    <row r="191" spans="4:4" x14ac:dyDescent="0.25">
      <c r="D191" s="8"/>
    </row>
    <row r="192" spans="4:4" x14ac:dyDescent="0.25">
      <c r="D192" s="8"/>
    </row>
    <row r="193" spans="4:4" x14ac:dyDescent="0.25">
      <c r="D193" s="8"/>
    </row>
    <row r="194" spans="4:4" x14ac:dyDescent="0.25">
      <c r="D194" s="8"/>
    </row>
    <row r="195" spans="4:4" x14ac:dyDescent="0.25">
      <c r="D195" s="8"/>
    </row>
    <row r="196" spans="4:4" x14ac:dyDescent="0.25">
      <c r="D196" s="8"/>
    </row>
    <row r="197" spans="4:4" x14ac:dyDescent="0.25">
      <c r="D197" s="8"/>
    </row>
    <row r="198" spans="4:4" x14ac:dyDescent="0.25">
      <c r="D198" s="8"/>
    </row>
    <row r="199" spans="4:4" x14ac:dyDescent="0.25">
      <c r="D199" s="8"/>
    </row>
    <row r="200" spans="4:4" x14ac:dyDescent="0.25">
      <c r="D200" s="8"/>
    </row>
    <row r="201" spans="4:4" x14ac:dyDescent="0.25">
      <c r="D201" s="8"/>
    </row>
    <row r="202" spans="4:4" x14ac:dyDescent="0.25">
      <c r="D202" s="8"/>
    </row>
    <row r="203" spans="4:4" x14ac:dyDescent="0.25">
      <c r="D203" s="8"/>
    </row>
    <row r="204" spans="4:4" x14ac:dyDescent="0.25">
      <c r="D204" s="8"/>
    </row>
    <row r="205" spans="4:4" x14ac:dyDescent="0.25">
      <c r="D205" s="8"/>
    </row>
    <row r="206" spans="4:4" x14ac:dyDescent="0.25">
      <c r="D206" s="8"/>
    </row>
    <row r="207" spans="4:4" x14ac:dyDescent="0.25">
      <c r="D207" s="8"/>
    </row>
    <row r="208" spans="4:4" x14ac:dyDescent="0.25">
      <c r="D208" s="8"/>
    </row>
    <row r="209" spans="4:4" x14ac:dyDescent="0.25">
      <c r="D209" s="8"/>
    </row>
    <row r="210" spans="4:4" x14ac:dyDescent="0.25">
      <c r="D210" s="8"/>
    </row>
    <row r="211" spans="4:4" x14ac:dyDescent="0.25">
      <c r="D211" s="8"/>
    </row>
    <row r="212" spans="4:4" x14ac:dyDescent="0.25">
      <c r="D212" s="8"/>
    </row>
    <row r="213" spans="4:4" x14ac:dyDescent="0.25">
      <c r="D213" s="8"/>
    </row>
    <row r="214" spans="4:4" x14ac:dyDescent="0.25">
      <c r="D214" s="8"/>
    </row>
    <row r="215" spans="4:4" x14ac:dyDescent="0.25">
      <c r="D215" s="8"/>
    </row>
    <row r="216" spans="4:4" x14ac:dyDescent="0.25">
      <c r="D216" s="8"/>
    </row>
    <row r="217" spans="4:4" x14ac:dyDescent="0.25">
      <c r="D217" s="8"/>
    </row>
    <row r="218" spans="4:4" x14ac:dyDescent="0.25">
      <c r="D218" s="8"/>
    </row>
    <row r="219" spans="4:4" x14ac:dyDescent="0.25">
      <c r="D219" s="8"/>
    </row>
    <row r="220" spans="4:4" x14ac:dyDescent="0.25">
      <c r="D220" s="8"/>
    </row>
    <row r="221" spans="4:4" x14ac:dyDescent="0.25">
      <c r="D221" s="8"/>
    </row>
    <row r="222" spans="4:4" x14ac:dyDescent="0.25">
      <c r="D222" s="8"/>
    </row>
    <row r="223" spans="4:4" x14ac:dyDescent="0.25">
      <c r="D223" s="8"/>
    </row>
    <row r="224" spans="4:4" x14ac:dyDescent="0.25">
      <c r="D224" s="8"/>
    </row>
    <row r="225" spans="4:4" x14ac:dyDescent="0.25">
      <c r="D225" s="8"/>
    </row>
    <row r="226" spans="4:4" x14ac:dyDescent="0.25">
      <c r="D226" s="8"/>
    </row>
    <row r="227" spans="4:4" x14ac:dyDescent="0.25">
      <c r="D227" s="8"/>
    </row>
    <row r="228" spans="4:4" x14ac:dyDescent="0.25">
      <c r="D228" s="8"/>
    </row>
    <row r="229" spans="4:4" x14ac:dyDescent="0.25">
      <c r="D229" s="8"/>
    </row>
    <row r="230" spans="4:4" x14ac:dyDescent="0.25">
      <c r="D230" s="8"/>
    </row>
    <row r="231" spans="4:4" x14ac:dyDescent="0.25">
      <c r="D231" s="8"/>
    </row>
    <row r="232" spans="4:4" x14ac:dyDescent="0.25">
      <c r="D232" s="8"/>
    </row>
    <row r="233" spans="4:4" x14ac:dyDescent="0.25">
      <c r="D233" s="8"/>
    </row>
    <row r="234" spans="4:4" x14ac:dyDescent="0.25">
      <c r="D234" s="8"/>
    </row>
    <row r="235" spans="4:4" x14ac:dyDescent="0.25">
      <c r="D235" s="8"/>
    </row>
    <row r="236" spans="4:4" x14ac:dyDescent="0.25">
      <c r="D236" s="8"/>
    </row>
    <row r="237" spans="4:4" x14ac:dyDescent="0.25">
      <c r="D237" s="8"/>
    </row>
    <row r="238" spans="4:4" x14ac:dyDescent="0.25">
      <c r="D238" s="8"/>
    </row>
    <row r="239" spans="4:4" x14ac:dyDescent="0.25">
      <c r="D239" s="8"/>
    </row>
    <row r="240" spans="4:4" x14ac:dyDescent="0.25">
      <c r="D240" s="8"/>
    </row>
    <row r="241" spans="4:4" x14ac:dyDescent="0.25">
      <c r="D241" s="8"/>
    </row>
    <row r="242" spans="4:4" x14ac:dyDescent="0.25">
      <c r="D242" s="8"/>
    </row>
    <row r="243" spans="4:4" x14ac:dyDescent="0.25">
      <c r="D243" s="8"/>
    </row>
    <row r="244" spans="4:4" x14ac:dyDescent="0.25">
      <c r="D244" s="8"/>
    </row>
    <row r="245" spans="4:4" x14ac:dyDescent="0.25">
      <c r="D245" s="8"/>
    </row>
    <row r="246" spans="4:4" x14ac:dyDescent="0.25">
      <c r="D246" s="8"/>
    </row>
    <row r="247" spans="4:4" x14ac:dyDescent="0.25">
      <c r="D247" s="8"/>
    </row>
    <row r="248" spans="4:4" x14ac:dyDescent="0.25">
      <c r="D248" s="8"/>
    </row>
    <row r="249" spans="4:4" x14ac:dyDescent="0.25">
      <c r="D249" s="8"/>
    </row>
    <row r="250" spans="4:4" x14ac:dyDescent="0.25">
      <c r="D250" s="8"/>
    </row>
    <row r="251" spans="4:4" x14ac:dyDescent="0.25">
      <c r="D251" s="8"/>
    </row>
    <row r="252" spans="4:4" x14ac:dyDescent="0.25">
      <c r="D252" s="8"/>
    </row>
    <row r="253" spans="4:4" x14ac:dyDescent="0.25">
      <c r="D253" s="8"/>
    </row>
    <row r="254" spans="4:4" x14ac:dyDescent="0.25">
      <c r="D254" s="8"/>
    </row>
    <row r="255" spans="4:4" x14ac:dyDescent="0.25">
      <c r="D255" s="8"/>
    </row>
    <row r="256" spans="4:4" x14ac:dyDescent="0.25">
      <c r="D256" s="8"/>
    </row>
    <row r="257" spans="4:4" x14ac:dyDescent="0.25">
      <c r="D257" s="8"/>
    </row>
    <row r="258" spans="4:4" x14ac:dyDescent="0.25">
      <c r="D258" s="8"/>
    </row>
    <row r="259" spans="4:4" x14ac:dyDescent="0.25">
      <c r="D259" s="8"/>
    </row>
    <row r="260" spans="4:4" x14ac:dyDescent="0.25">
      <c r="D260" s="8"/>
    </row>
    <row r="261" spans="4:4" x14ac:dyDescent="0.25">
      <c r="D261" s="8"/>
    </row>
    <row r="262" spans="4:4" x14ac:dyDescent="0.25">
      <c r="D262" s="8"/>
    </row>
    <row r="263" spans="4:4" x14ac:dyDescent="0.25">
      <c r="D263" s="8"/>
    </row>
    <row r="264" spans="4:4" x14ac:dyDescent="0.25">
      <c r="D264" s="8"/>
    </row>
    <row r="265" spans="4:4" x14ac:dyDescent="0.25">
      <c r="D265" s="8"/>
    </row>
    <row r="266" spans="4:4" x14ac:dyDescent="0.25">
      <c r="D266" s="8"/>
    </row>
    <row r="267" spans="4:4" x14ac:dyDescent="0.25">
      <c r="D267" s="8"/>
    </row>
    <row r="268" spans="4:4" x14ac:dyDescent="0.25">
      <c r="D268" s="8"/>
    </row>
    <row r="269" spans="4:4" x14ac:dyDescent="0.25">
      <c r="D269" s="8"/>
    </row>
    <row r="270" spans="4:4" x14ac:dyDescent="0.25">
      <c r="D270" s="8"/>
    </row>
    <row r="271" spans="4:4" x14ac:dyDescent="0.25">
      <c r="D271" s="8"/>
    </row>
    <row r="272" spans="4:4" x14ac:dyDescent="0.25">
      <c r="D272" s="8"/>
    </row>
    <row r="273" spans="4:4" x14ac:dyDescent="0.25">
      <c r="D273" s="8"/>
    </row>
    <row r="274" spans="4:4" x14ac:dyDescent="0.25">
      <c r="D274" s="8"/>
    </row>
    <row r="275" spans="4:4" x14ac:dyDescent="0.25">
      <c r="D275" s="8"/>
    </row>
    <row r="276" spans="4:4" x14ac:dyDescent="0.25">
      <c r="D276" s="8"/>
    </row>
    <row r="277" spans="4:4" x14ac:dyDescent="0.25">
      <c r="D277" s="8"/>
    </row>
    <row r="278" spans="4:4" x14ac:dyDescent="0.25">
      <c r="D278" s="8"/>
    </row>
    <row r="279" spans="4:4" x14ac:dyDescent="0.25">
      <c r="D279" s="8"/>
    </row>
    <row r="280" spans="4:4" x14ac:dyDescent="0.25">
      <c r="D280" s="8"/>
    </row>
    <row r="281" spans="4:4" x14ac:dyDescent="0.25">
      <c r="D281" s="8"/>
    </row>
    <row r="282" spans="4:4" x14ac:dyDescent="0.25">
      <c r="D282" s="8"/>
    </row>
    <row r="283" spans="4:4" x14ac:dyDescent="0.25">
      <c r="D283" s="8"/>
    </row>
    <row r="284" spans="4:4" x14ac:dyDescent="0.25">
      <c r="D284" s="8"/>
    </row>
    <row r="285" spans="4:4" x14ac:dyDescent="0.25">
      <c r="D285" s="8"/>
    </row>
    <row r="286" spans="4:4" x14ac:dyDescent="0.25">
      <c r="D286" s="8"/>
    </row>
    <row r="287" spans="4:4" x14ac:dyDescent="0.25">
      <c r="D287" s="8"/>
    </row>
    <row r="288" spans="4:4" x14ac:dyDescent="0.25">
      <c r="D288" s="8"/>
    </row>
    <row r="289" spans="4:4" x14ac:dyDescent="0.25">
      <c r="D289" s="8"/>
    </row>
    <row r="290" spans="4:4" x14ac:dyDescent="0.25">
      <c r="D290" s="8"/>
    </row>
    <row r="291" spans="4:4" x14ac:dyDescent="0.25">
      <c r="D291" s="8"/>
    </row>
    <row r="292" spans="4:4" x14ac:dyDescent="0.25">
      <c r="D292" s="8"/>
    </row>
    <row r="293" spans="4:4" x14ac:dyDescent="0.25">
      <c r="D293" s="8"/>
    </row>
    <row r="294" spans="4:4" x14ac:dyDescent="0.25">
      <c r="D294" s="8"/>
    </row>
    <row r="295" spans="4:4" x14ac:dyDescent="0.25">
      <c r="D295" s="8"/>
    </row>
    <row r="296" spans="4:4" x14ac:dyDescent="0.25">
      <c r="D296" s="8"/>
    </row>
    <row r="297" spans="4:4" x14ac:dyDescent="0.25">
      <c r="D297" s="8"/>
    </row>
    <row r="298" spans="4:4" x14ac:dyDescent="0.25">
      <c r="D298" s="8"/>
    </row>
    <row r="299" spans="4:4" x14ac:dyDescent="0.25">
      <c r="D299" s="8"/>
    </row>
    <row r="300" spans="4:4" x14ac:dyDescent="0.25">
      <c r="D300" s="8"/>
    </row>
    <row r="301" spans="4:4" x14ac:dyDescent="0.25">
      <c r="D301" s="8"/>
    </row>
    <row r="302" spans="4:4" x14ac:dyDescent="0.25">
      <c r="D302" s="8"/>
    </row>
    <row r="303" spans="4:4" x14ac:dyDescent="0.25">
      <c r="D303" s="8"/>
    </row>
    <row r="304" spans="4:4" x14ac:dyDescent="0.25">
      <c r="D304" s="8"/>
    </row>
    <row r="305" spans="4:4" x14ac:dyDescent="0.25">
      <c r="D305" s="8"/>
    </row>
    <row r="306" spans="4:4" x14ac:dyDescent="0.25">
      <c r="D306" s="8"/>
    </row>
    <row r="307" spans="4:4" x14ac:dyDescent="0.25">
      <c r="D307" s="8"/>
    </row>
    <row r="308" spans="4:4" x14ac:dyDescent="0.25">
      <c r="D308" s="8"/>
    </row>
    <row r="309" spans="4:4" x14ac:dyDescent="0.25">
      <c r="D309" s="8"/>
    </row>
    <row r="310" spans="4:4" x14ac:dyDescent="0.25">
      <c r="D310" s="8"/>
    </row>
    <row r="311" spans="4:4" x14ac:dyDescent="0.25">
      <c r="D311" s="8"/>
    </row>
    <row r="312" spans="4:4" x14ac:dyDescent="0.25">
      <c r="D312" s="8"/>
    </row>
    <row r="313" spans="4:4" x14ac:dyDescent="0.25">
      <c r="D313" s="8"/>
    </row>
    <row r="314" spans="4:4" x14ac:dyDescent="0.25">
      <c r="D314" s="8"/>
    </row>
    <row r="315" spans="4:4" x14ac:dyDescent="0.25">
      <c r="D315" s="8"/>
    </row>
    <row r="316" spans="4:4" x14ac:dyDescent="0.25">
      <c r="D316" s="8"/>
    </row>
    <row r="317" spans="4:4" x14ac:dyDescent="0.25">
      <c r="D317" s="8"/>
    </row>
    <row r="318" spans="4:4" x14ac:dyDescent="0.25">
      <c r="D318" s="8"/>
    </row>
    <row r="319" spans="4:4" x14ac:dyDescent="0.25">
      <c r="D319" s="8"/>
    </row>
    <row r="320" spans="4:4" x14ac:dyDescent="0.25">
      <c r="D320" s="8"/>
    </row>
    <row r="321" spans="4:4" x14ac:dyDescent="0.25">
      <c r="D321" s="8"/>
    </row>
    <row r="322" spans="4:4" x14ac:dyDescent="0.25">
      <c r="D322" s="8"/>
    </row>
    <row r="323" spans="4:4" x14ac:dyDescent="0.25">
      <c r="D323" s="8"/>
    </row>
    <row r="324" spans="4:4" x14ac:dyDescent="0.25">
      <c r="D324" s="8"/>
    </row>
    <row r="325" spans="4:4" x14ac:dyDescent="0.25">
      <c r="D325" s="8"/>
    </row>
    <row r="326" spans="4:4" x14ac:dyDescent="0.25">
      <c r="D326" s="8"/>
    </row>
    <row r="327" spans="4:4" x14ac:dyDescent="0.25">
      <c r="D327" s="8"/>
    </row>
    <row r="328" spans="4:4" x14ac:dyDescent="0.25">
      <c r="D328" s="8"/>
    </row>
    <row r="329" spans="4:4" x14ac:dyDescent="0.25">
      <c r="D329" s="8"/>
    </row>
    <row r="330" spans="4:4" x14ac:dyDescent="0.25">
      <c r="D330" s="8"/>
    </row>
    <row r="331" spans="4:4" x14ac:dyDescent="0.25">
      <c r="D331" s="8"/>
    </row>
    <row r="332" spans="4:4" x14ac:dyDescent="0.25">
      <c r="D332" s="8"/>
    </row>
    <row r="333" spans="4:4" x14ac:dyDescent="0.25">
      <c r="D333" s="8"/>
    </row>
    <row r="334" spans="4:4" x14ac:dyDescent="0.25">
      <c r="D334" s="8"/>
    </row>
    <row r="335" spans="4:4" x14ac:dyDescent="0.25">
      <c r="D335" s="8"/>
    </row>
    <row r="336" spans="4:4" x14ac:dyDescent="0.25">
      <c r="D336" s="8"/>
    </row>
    <row r="337" spans="4:4" x14ac:dyDescent="0.25">
      <c r="D337" s="8"/>
    </row>
    <row r="338" spans="4:4" x14ac:dyDescent="0.25">
      <c r="D338" s="8"/>
    </row>
    <row r="339" spans="4:4" x14ac:dyDescent="0.25">
      <c r="D339" s="8"/>
    </row>
    <row r="340" spans="4:4" x14ac:dyDescent="0.25">
      <c r="D340" s="8"/>
    </row>
    <row r="341" spans="4:4" x14ac:dyDescent="0.25">
      <c r="D341" s="8"/>
    </row>
    <row r="342" spans="4:4" x14ac:dyDescent="0.25">
      <c r="D342" s="8"/>
    </row>
    <row r="343" spans="4:4" x14ac:dyDescent="0.25">
      <c r="D343" s="8"/>
    </row>
    <row r="344" spans="4:4" x14ac:dyDescent="0.25">
      <c r="D344" s="8"/>
    </row>
    <row r="345" spans="4:4" x14ac:dyDescent="0.25">
      <c r="D345" s="8"/>
    </row>
    <row r="346" spans="4:4" x14ac:dyDescent="0.25">
      <c r="D346" s="8"/>
    </row>
    <row r="347" spans="4:4" x14ac:dyDescent="0.25">
      <c r="D347" s="8"/>
    </row>
    <row r="348" spans="4:4" x14ac:dyDescent="0.25">
      <c r="D348" s="8"/>
    </row>
    <row r="349" spans="4:4" x14ac:dyDescent="0.25">
      <c r="D349" s="8"/>
    </row>
    <row r="350" spans="4:4" x14ac:dyDescent="0.25">
      <c r="D350" s="8"/>
    </row>
    <row r="351" spans="4:4" x14ac:dyDescent="0.25">
      <c r="D351" s="8"/>
    </row>
    <row r="352" spans="4:4" x14ac:dyDescent="0.25">
      <c r="D352" s="8"/>
    </row>
    <row r="353" spans="4:4" x14ac:dyDescent="0.25">
      <c r="D353" s="8"/>
    </row>
    <row r="354" spans="4:4" x14ac:dyDescent="0.25">
      <c r="D354" s="8"/>
    </row>
    <row r="355" spans="4:4" x14ac:dyDescent="0.25">
      <c r="D355" s="8"/>
    </row>
    <row r="356" spans="4:4" x14ac:dyDescent="0.25">
      <c r="D356" s="8"/>
    </row>
    <row r="357" spans="4:4" x14ac:dyDescent="0.25">
      <c r="D357" s="8"/>
    </row>
    <row r="358" spans="4:4" x14ac:dyDescent="0.25">
      <c r="D358" s="8"/>
    </row>
    <row r="359" spans="4:4" x14ac:dyDescent="0.25">
      <c r="D359" s="8"/>
    </row>
    <row r="360" spans="4:4" x14ac:dyDescent="0.25">
      <c r="D360" s="8"/>
    </row>
    <row r="361" spans="4:4" x14ac:dyDescent="0.25">
      <c r="D361" s="8"/>
    </row>
    <row r="362" spans="4:4" x14ac:dyDescent="0.25">
      <c r="D362" s="8"/>
    </row>
    <row r="363" spans="4:4" x14ac:dyDescent="0.25">
      <c r="D363" s="8"/>
    </row>
    <row r="364" spans="4:4" x14ac:dyDescent="0.25">
      <c r="D364" s="8"/>
    </row>
    <row r="365" spans="4:4" x14ac:dyDescent="0.25">
      <c r="D365" s="8"/>
    </row>
    <row r="366" spans="4:4" x14ac:dyDescent="0.25">
      <c r="D366" s="8"/>
    </row>
    <row r="367" spans="4:4" x14ac:dyDescent="0.25">
      <c r="D367" s="8"/>
    </row>
    <row r="368" spans="4:4" x14ac:dyDescent="0.25">
      <c r="D368" s="8"/>
    </row>
    <row r="369" spans="4:4" x14ac:dyDescent="0.25">
      <c r="D369" s="8"/>
    </row>
    <row r="370" spans="4:4" x14ac:dyDescent="0.25">
      <c r="D370" s="8"/>
    </row>
    <row r="371" spans="4:4" x14ac:dyDescent="0.25">
      <c r="D371" s="8"/>
    </row>
    <row r="372" spans="4:4" x14ac:dyDescent="0.25">
      <c r="D372" s="8"/>
    </row>
    <row r="373" spans="4:4" x14ac:dyDescent="0.25">
      <c r="D373" s="8"/>
    </row>
    <row r="374" spans="4:4" x14ac:dyDescent="0.25">
      <c r="D374" s="8"/>
    </row>
    <row r="375" spans="4:4" x14ac:dyDescent="0.25">
      <c r="D375" s="8"/>
    </row>
    <row r="376" spans="4:4" x14ac:dyDescent="0.25">
      <c r="D376" s="8"/>
    </row>
    <row r="377" spans="4:4" x14ac:dyDescent="0.25">
      <c r="D377" s="8"/>
    </row>
    <row r="378" spans="4:4" x14ac:dyDescent="0.25">
      <c r="D378" s="8"/>
    </row>
    <row r="379" spans="4:4" x14ac:dyDescent="0.25">
      <c r="D379" s="8"/>
    </row>
    <row r="380" spans="4:4" x14ac:dyDescent="0.25">
      <c r="D380" s="8"/>
    </row>
    <row r="381" spans="4:4" x14ac:dyDescent="0.25">
      <c r="D381" s="8"/>
    </row>
    <row r="382" spans="4:4" x14ac:dyDescent="0.25">
      <c r="D382" s="8"/>
    </row>
    <row r="383" spans="4:4" x14ac:dyDescent="0.25">
      <c r="D383" s="8"/>
    </row>
    <row r="384" spans="4:4" x14ac:dyDescent="0.25">
      <c r="D384" s="8"/>
    </row>
    <row r="385" spans="4:4" x14ac:dyDescent="0.25">
      <c r="D385" s="8"/>
    </row>
    <row r="386" spans="4:4" x14ac:dyDescent="0.25">
      <c r="D386" s="8"/>
    </row>
    <row r="387" spans="4:4" x14ac:dyDescent="0.25">
      <c r="D387" s="8"/>
    </row>
    <row r="388" spans="4:4" x14ac:dyDescent="0.25">
      <c r="D388" s="8"/>
    </row>
    <row r="389" spans="4:4" x14ac:dyDescent="0.25">
      <c r="D389" s="8"/>
    </row>
    <row r="390" spans="4:4" x14ac:dyDescent="0.25">
      <c r="D390" s="8"/>
    </row>
    <row r="391" spans="4:4" x14ac:dyDescent="0.25">
      <c r="D391" s="8"/>
    </row>
    <row r="392" spans="4:4" x14ac:dyDescent="0.25">
      <c r="D392" s="8"/>
    </row>
    <row r="393" spans="4:4" x14ac:dyDescent="0.25">
      <c r="D393" s="8"/>
    </row>
    <row r="394" spans="4:4" x14ac:dyDescent="0.25">
      <c r="D394" s="8"/>
    </row>
    <row r="395" spans="4:4" x14ac:dyDescent="0.25">
      <c r="D395" s="8"/>
    </row>
    <row r="396" spans="4:4" x14ac:dyDescent="0.25">
      <c r="D396" s="8"/>
    </row>
    <row r="397" spans="4:4" x14ac:dyDescent="0.25">
      <c r="D397" s="8"/>
    </row>
    <row r="398" spans="4:4" x14ac:dyDescent="0.25">
      <c r="D398" s="8"/>
    </row>
    <row r="399" spans="4:4" x14ac:dyDescent="0.25">
      <c r="D399" s="8"/>
    </row>
    <row r="400" spans="4:4" x14ac:dyDescent="0.25">
      <c r="D400" s="8"/>
    </row>
    <row r="401" spans="4:4" x14ac:dyDescent="0.25">
      <c r="D401" s="8"/>
    </row>
    <row r="402" spans="4:4" x14ac:dyDescent="0.25">
      <c r="D402" s="8"/>
    </row>
    <row r="403" spans="4:4" x14ac:dyDescent="0.25">
      <c r="D403" s="8"/>
    </row>
    <row r="404" spans="4:4" x14ac:dyDescent="0.25">
      <c r="D404" s="8"/>
    </row>
    <row r="405" spans="4:4" x14ac:dyDescent="0.25">
      <c r="D405" s="8"/>
    </row>
    <row r="406" spans="4:4" x14ac:dyDescent="0.25">
      <c r="D406" s="8"/>
    </row>
    <row r="407" spans="4:4" x14ac:dyDescent="0.25">
      <c r="D407" s="8"/>
    </row>
    <row r="408" spans="4:4" x14ac:dyDescent="0.25">
      <c r="D408" s="8"/>
    </row>
    <row r="409" spans="4:4" x14ac:dyDescent="0.25">
      <c r="D409" s="8"/>
    </row>
    <row r="410" spans="4:4" x14ac:dyDescent="0.25">
      <c r="D410" s="8"/>
    </row>
    <row r="411" spans="4:4" x14ac:dyDescent="0.25">
      <c r="D411" s="8"/>
    </row>
    <row r="412" spans="4:4" x14ac:dyDescent="0.25">
      <c r="D412" s="8"/>
    </row>
    <row r="413" spans="4:4" x14ac:dyDescent="0.25">
      <c r="D413" s="8"/>
    </row>
    <row r="414" spans="4:4" x14ac:dyDescent="0.25">
      <c r="D414" s="8"/>
    </row>
    <row r="415" spans="4:4" x14ac:dyDescent="0.25">
      <c r="D415" s="8"/>
    </row>
    <row r="416" spans="4:4" x14ac:dyDescent="0.25">
      <c r="D416" s="8"/>
    </row>
    <row r="417" spans="4:4" x14ac:dyDescent="0.25">
      <c r="D417" s="8"/>
    </row>
    <row r="418" spans="4:4" x14ac:dyDescent="0.25">
      <c r="D418" s="8"/>
    </row>
    <row r="419" spans="4:4" x14ac:dyDescent="0.25">
      <c r="D419" s="8"/>
    </row>
    <row r="420" spans="4:4" x14ac:dyDescent="0.25">
      <c r="D420" s="8"/>
    </row>
    <row r="421" spans="4:4" x14ac:dyDescent="0.25">
      <c r="D421" s="8"/>
    </row>
    <row r="422" spans="4:4" x14ac:dyDescent="0.25">
      <c r="D422" s="8"/>
    </row>
    <row r="423" spans="4:4" x14ac:dyDescent="0.25">
      <c r="D423" s="8"/>
    </row>
    <row r="424" spans="4:4" x14ac:dyDescent="0.25">
      <c r="D424" s="8"/>
    </row>
    <row r="425" spans="4:4" x14ac:dyDescent="0.25">
      <c r="D425" s="8"/>
    </row>
    <row r="426" spans="4:4" x14ac:dyDescent="0.25">
      <c r="D426" s="8"/>
    </row>
    <row r="427" spans="4:4" x14ac:dyDescent="0.25">
      <c r="D427" s="8"/>
    </row>
    <row r="428" spans="4:4" x14ac:dyDescent="0.25">
      <c r="D428" s="8"/>
    </row>
    <row r="429" spans="4:4" x14ac:dyDescent="0.25">
      <c r="D429" s="8"/>
    </row>
    <row r="430" spans="4:4" x14ac:dyDescent="0.25">
      <c r="D430" s="8"/>
    </row>
    <row r="431" spans="4:4" x14ac:dyDescent="0.25">
      <c r="D431" s="8"/>
    </row>
    <row r="432" spans="4:4" x14ac:dyDescent="0.25">
      <c r="D432" s="8"/>
    </row>
    <row r="433" spans="4:4" x14ac:dyDescent="0.25">
      <c r="D433" s="8"/>
    </row>
    <row r="434" spans="4:4" x14ac:dyDescent="0.25">
      <c r="D434" s="8"/>
    </row>
    <row r="435" spans="4:4" x14ac:dyDescent="0.25">
      <c r="D435" s="8"/>
    </row>
    <row r="436" spans="4:4" x14ac:dyDescent="0.25">
      <c r="D436" s="8"/>
    </row>
    <row r="437" spans="4:4" x14ac:dyDescent="0.25">
      <c r="D437" s="8"/>
    </row>
    <row r="438" spans="4:4" x14ac:dyDescent="0.25">
      <c r="D438" s="8"/>
    </row>
    <row r="439" spans="4:4" x14ac:dyDescent="0.25">
      <c r="D439" s="8"/>
    </row>
    <row r="440" spans="4:4" x14ac:dyDescent="0.25">
      <c r="D440" s="8"/>
    </row>
    <row r="441" spans="4:4" x14ac:dyDescent="0.25">
      <c r="D441" s="8"/>
    </row>
    <row r="442" spans="4:4" x14ac:dyDescent="0.25">
      <c r="D442" s="8"/>
    </row>
    <row r="443" spans="4:4" x14ac:dyDescent="0.25">
      <c r="D443" s="8"/>
    </row>
    <row r="444" spans="4:4" x14ac:dyDescent="0.25">
      <c r="D444" s="8"/>
    </row>
    <row r="445" spans="4:4" x14ac:dyDescent="0.25">
      <c r="D445" s="8"/>
    </row>
    <row r="446" spans="4:4" x14ac:dyDescent="0.25">
      <c r="D446" s="8"/>
    </row>
    <row r="447" spans="4:4" x14ac:dyDescent="0.25">
      <c r="D447" s="8"/>
    </row>
    <row r="448" spans="4:4" x14ac:dyDescent="0.25">
      <c r="D448" s="8"/>
    </row>
    <row r="449" spans="4:4" x14ac:dyDescent="0.25">
      <c r="D449" s="8"/>
    </row>
    <row r="450" spans="4:4" x14ac:dyDescent="0.25">
      <c r="D450" s="8"/>
    </row>
    <row r="451" spans="4:4" x14ac:dyDescent="0.25">
      <c r="D451" s="8"/>
    </row>
    <row r="452" spans="4:4" x14ac:dyDescent="0.25">
      <c r="D452" s="8"/>
    </row>
    <row r="453" spans="4:4" x14ac:dyDescent="0.25">
      <c r="D453" s="8"/>
    </row>
    <row r="454" spans="4:4" x14ac:dyDescent="0.25">
      <c r="D454" s="8"/>
    </row>
    <row r="455" spans="4:4" x14ac:dyDescent="0.25">
      <c r="D455" s="8"/>
    </row>
    <row r="456" spans="4:4" x14ac:dyDescent="0.25">
      <c r="D456" s="8"/>
    </row>
    <row r="457" spans="4:4" x14ac:dyDescent="0.25">
      <c r="D457" s="8"/>
    </row>
    <row r="458" spans="4:4" x14ac:dyDescent="0.25">
      <c r="D458" s="8"/>
    </row>
    <row r="459" spans="4:4" x14ac:dyDescent="0.25">
      <c r="D459" s="8"/>
    </row>
    <row r="460" spans="4:4" x14ac:dyDescent="0.25">
      <c r="D460" s="8"/>
    </row>
    <row r="461" spans="4:4" x14ac:dyDescent="0.25">
      <c r="D461" s="8"/>
    </row>
    <row r="462" spans="4:4" x14ac:dyDescent="0.25">
      <c r="D462" s="8"/>
    </row>
    <row r="463" spans="4:4" x14ac:dyDescent="0.25">
      <c r="D463" s="8"/>
    </row>
    <row r="464" spans="4:4" x14ac:dyDescent="0.25">
      <c r="D464" s="8"/>
    </row>
    <row r="465" spans="4:4" x14ac:dyDescent="0.25">
      <c r="D465" s="8"/>
    </row>
    <row r="466" spans="4:4" x14ac:dyDescent="0.25">
      <c r="D466" s="8"/>
    </row>
    <row r="467" spans="4:4" x14ac:dyDescent="0.25">
      <c r="D467" s="8"/>
    </row>
    <row r="468" spans="4:4" x14ac:dyDescent="0.25">
      <c r="D468" s="8"/>
    </row>
    <row r="469" spans="4:4" x14ac:dyDescent="0.25">
      <c r="D469" s="8"/>
    </row>
    <row r="470" spans="4:4" x14ac:dyDescent="0.25">
      <c r="D470" s="8"/>
    </row>
    <row r="471" spans="4:4" x14ac:dyDescent="0.25">
      <c r="D471" s="8"/>
    </row>
    <row r="472" spans="4:4" x14ac:dyDescent="0.25">
      <c r="D472" s="8"/>
    </row>
    <row r="473" spans="4:4" x14ac:dyDescent="0.25">
      <c r="D473" s="8"/>
    </row>
    <row r="474" spans="4:4" x14ac:dyDescent="0.25">
      <c r="D474" s="8"/>
    </row>
    <row r="475" spans="4:4" x14ac:dyDescent="0.25">
      <c r="D475" s="8"/>
    </row>
    <row r="476" spans="4:4" x14ac:dyDescent="0.25">
      <c r="D476" s="8"/>
    </row>
    <row r="477" spans="4:4" x14ac:dyDescent="0.25">
      <c r="D477" s="8"/>
    </row>
    <row r="478" spans="4:4" x14ac:dyDescent="0.25">
      <c r="D478" s="8"/>
    </row>
    <row r="479" spans="4:4" x14ac:dyDescent="0.25">
      <c r="D479" s="8"/>
    </row>
    <row r="480" spans="4:4" x14ac:dyDescent="0.25">
      <c r="D480" s="8"/>
    </row>
    <row r="481" spans="4:4" x14ac:dyDescent="0.25">
      <c r="D481" s="8"/>
    </row>
    <row r="482" spans="4:4" x14ac:dyDescent="0.25">
      <c r="D482" s="8"/>
    </row>
    <row r="483" spans="4:4" x14ac:dyDescent="0.25">
      <c r="D483" s="8"/>
    </row>
    <row r="484" spans="4:4" x14ac:dyDescent="0.25">
      <c r="D484" s="8"/>
    </row>
    <row r="485" spans="4:4" x14ac:dyDescent="0.25">
      <c r="D485" s="8"/>
    </row>
    <row r="486" spans="4:4" x14ac:dyDescent="0.25">
      <c r="D486" s="8"/>
    </row>
    <row r="487" spans="4:4" x14ac:dyDescent="0.25">
      <c r="D487" s="8"/>
    </row>
    <row r="488" spans="4:4" x14ac:dyDescent="0.25">
      <c r="D488" s="8"/>
    </row>
    <row r="489" spans="4:4" x14ac:dyDescent="0.25">
      <c r="D489" s="8"/>
    </row>
    <row r="490" spans="4:4" x14ac:dyDescent="0.25">
      <c r="D490" s="8"/>
    </row>
    <row r="491" spans="4:4" x14ac:dyDescent="0.25">
      <c r="D491" s="8"/>
    </row>
    <row r="492" spans="4:4" x14ac:dyDescent="0.25">
      <c r="D492" s="8"/>
    </row>
    <row r="493" spans="4:4" x14ac:dyDescent="0.25">
      <c r="D493" s="8"/>
    </row>
    <row r="494" spans="4:4" x14ac:dyDescent="0.25">
      <c r="D494" s="8"/>
    </row>
    <row r="495" spans="4:4" x14ac:dyDescent="0.25">
      <c r="D495" s="8"/>
    </row>
    <row r="496" spans="4:4" x14ac:dyDescent="0.25">
      <c r="D496" s="8"/>
    </row>
    <row r="497" spans="4:4" x14ac:dyDescent="0.25">
      <c r="D497" s="8"/>
    </row>
    <row r="498" spans="4:4" x14ac:dyDescent="0.25">
      <c r="D498" s="8"/>
    </row>
    <row r="499" spans="4:4" x14ac:dyDescent="0.25">
      <c r="D499" s="8"/>
    </row>
    <row r="500" spans="4:4" x14ac:dyDescent="0.25">
      <c r="D500" s="8"/>
    </row>
    <row r="501" spans="4:4" x14ac:dyDescent="0.25">
      <c r="D501" s="8"/>
    </row>
    <row r="502" spans="4:4" x14ac:dyDescent="0.25">
      <c r="D502" s="8"/>
    </row>
    <row r="503" spans="4:4" x14ac:dyDescent="0.25">
      <c r="D503" s="8"/>
    </row>
    <row r="504" spans="4:4" x14ac:dyDescent="0.25">
      <c r="D504" s="8"/>
    </row>
    <row r="505" spans="4:4" x14ac:dyDescent="0.25">
      <c r="D505" s="8"/>
    </row>
    <row r="506" spans="4:4" x14ac:dyDescent="0.25">
      <c r="D506" s="8"/>
    </row>
    <row r="507" spans="4:4" x14ac:dyDescent="0.25">
      <c r="D507" s="8"/>
    </row>
    <row r="508" spans="4:4" x14ac:dyDescent="0.25">
      <c r="D508" s="8"/>
    </row>
    <row r="509" spans="4:4" x14ac:dyDescent="0.25">
      <c r="D509" s="8"/>
    </row>
    <row r="510" spans="4:4" x14ac:dyDescent="0.25">
      <c r="D510" s="8"/>
    </row>
    <row r="511" spans="4:4" x14ac:dyDescent="0.25">
      <c r="D511" s="8"/>
    </row>
    <row r="512" spans="4:4" x14ac:dyDescent="0.25">
      <c r="D512" s="8"/>
    </row>
    <row r="513" spans="4:4" x14ac:dyDescent="0.25">
      <c r="D513" s="8"/>
    </row>
    <row r="514" spans="4:4" x14ac:dyDescent="0.25">
      <c r="D514" s="8"/>
    </row>
    <row r="515" spans="4:4" x14ac:dyDescent="0.25">
      <c r="D515" s="8"/>
    </row>
    <row r="516" spans="4:4" x14ac:dyDescent="0.25">
      <c r="D516" s="8"/>
    </row>
    <row r="517" spans="4:4" x14ac:dyDescent="0.25">
      <c r="D517" s="8"/>
    </row>
    <row r="518" spans="4:4" x14ac:dyDescent="0.25">
      <c r="D518" s="8"/>
    </row>
    <row r="519" spans="4:4" x14ac:dyDescent="0.25">
      <c r="D519" s="8"/>
    </row>
    <row r="520" spans="4:4" x14ac:dyDescent="0.25">
      <c r="D520" s="8"/>
    </row>
    <row r="521" spans="4:4" x14ac:dyDescent="0.25">
      <c r="D521" s="8"/>
    </row>
    <row r="522" spans="4:4" x14ac:dyDescent="0.25">
      <c r="D522" s="8"/>
    </row>
    <row r="523" spans="4:4" x14ac:dyDescent="0.25">
      <c r="D523" s="8"/>
    </row>
    <row r="524" spans="4:4" x14ac:dyDescent="0.25">
      <c r="D524" s="8"/>
    </row>
    <row r="525" spans="4:4" x14ac:dyDescent="0.25">
      <c r="D525" s="8"/>
    </row>
    <row r="526" spans="4:4" x14ac:dyDescent="0.25">
      <c r="D526" s="8"/>
    </row>
    <row r="527" spans="4:4" x14ac:dyDescent="0.25">
      <c r="D527" s="8"/>
    </row>
    <row r="528" spans="4:4" x14ac:dyDescent="0.25">
      <c r="D528" s="8"/>
    </row>
    <row r="529" spans="4:4" x14ac:dyDescent="0.25">
      <c r="D529" s="8"/>
    </row>
    <row r="530" spans="4:4" x14ac:dyDescent="0.25">
      <c r="D530" s="8"/>
    </row>
    <row r="531" spans="4:4" x14ac:dyDescent="0.25">
      <c r="D531" s="8"/>
    </row>
    <row r="532" spans="4:4" x14ac:dyDescent="0.25">
      <c r="D532" s="8"/>
    </row>
    <row r="533" spans="4:4" x14ac:dyDescent="0.25">
      <c r="D533" s="8"/>
    </row>
    <row r="534" spans="4:4" x14ac:dyDescent="0.25">
      <c r="D534" s="8"/>
    </row>
    <row r="535" spans="4:4" x14ac:dyDescent="0.25">
      <c r="D535" s="8"/>
    </row>
    <row r="536" spans="4:4" x14ac:dyDescent="0.25">
      <c r="D536" s="8"/>
    </row>
    <row r="537" spans="4:4" x14ac:dyDescent="0.25">
      <c r="D537" s="8"/>
    </row>
    <row r="538" spans="4:4" x14ac:dyDescent="0.25">
      <c r="D538" s="8"/>
    </row>
    <row r="539" spans="4:4" x14ac:dyDescent="0.25">
      <c r="D539" s="8"/>
    </row>
    <row r="540" spans="4:4" x14ac:dyDescent="0.25">
      <c r="D540" s="8"/>
    </row>
    <row r="541" spans="4:4" x14ac:dyDescent="0.25">
      <c r="D541" s="8"/>
    </row>
    <row r="542" spans="4:4" x14ac:dyDescent="0.25">
      <c r="D542" s="8"/>
    </row>
    <row r="543" spans="4:4" x14ac:dyDescent="0.25">
      <c r="D543" s="8"/>
    </row>
    <row r="544" spans="4:4" x14ac:dyDescent="0.25">
      <c r="D544" s="8"/>
    </row>
    <row r="545" spans="4:4" x14ac:dyDescent="0.25">
      <c r="D545" s="8"/>
    </row>
    <row r="546" spans="4:4" x14ac:dyDescent="0.25">
      <c r="D546" s="8"/>
    </row>
    <row r="547" spans="4:4" x14ac:dyDescent="0.25">
      <c r="D547" s="8"/>
    </row>
    <row r="548" spans="4:4" x14ac:dyDescent="0.25">
      <c r="D548" s="8"/>
    </row>
    <row r="549" spans="4:4" x14ac:dyDescent="0.25">
      <c r="D549" s="8"/>
    </row>
    <row r="550" spans="4:4" x14ac:dyDescent="0.25">
      <c r="D550" s="8"/>
    </row>
    <row r="551" spans="4:4" x14ac:dyDescent="0.25">
      <c r="D551" s="8"/>
    </row>
    <row r="552" spans="4:4" x14ac:dyDescent="0.25">
      <c r="D552" s="8"/>
    </row>
    <row r="553" spans="4:4" x14ac:dyDescent="0.25">
      <c r="D553" s="8"/>
    </row>
    <row r="554" spans="4:4" x14ac:dyDescent="0.25">
      <c r="D554" s="8"/>
    </row>
    <row r="555" spans="4:4" x14ac:dyDescent="0.25">
      <c r="D555" s="8"/>
    </row>
    <row r="556" spans="4:4" x14ac:dyDescent="0.25">
      <c r="D556" s="8"/>
    </row>
    <row r="557" spans="4:4" x14ac:dyDescent="0.25">
      <c r="D557" s="8"/>
    </row>
    <row r="558" spans="4:4" x14ac:dyDescent="0.25">
      <c r="D558" s="8"/>
    </row>
    <row r="559" spans="4:4" x14ac:dyDescent="0.25">
      <c r="D559" s="8"/>
    </row>
    <row r="560" spans="4:4" x14ac:dyDescent="0.25">
      <c r="D560" s="8"/>
    </row>
    <row r="561" spans="4:4" x14ac:dyDescent="0.25">
      <c r="D561" s="8"/>
    </row>
    <row r="562" spans="4:4" x14ac:dyDescent="0.25">
      <c r="D562" s="8"/>
    </row>
    <row r="563" spans="4:4" x14ac:dyDescent="0.25">
      <c r="D563" s="8"/>
    </row>
    <row r="564" spans="4:4" x14ac:dyDescent="0.25">
      <c r="D564" s="8"/>
    </row>
    <row r="565" spans="4:4" x14ac:dyDescent="0.25">
      <c r="D565" s="8"/>
    </row>
    <row r="566" spans="4:4" x14ac:dyDescent="0.25">
      <c r="D566" s="8"/>
    </row>
    <row r="567" spans="4:4" x14ac:dyDescent="0.25">
      <c r="D567" s="8"/>
    </row>
    <row r="568" spans="4:4" x14ac:dyDescent="0.25">
      <c r="D568" s="8"/>
    </row>
    <row r="569" spans="4:4" x14ac:dyDescent="0.25">
      <c r="D569" s="8"/>
    </row>
    <row r="570" spans="4:4" x14ac:dyDescent="0.25">
      <c r="D570" s="8"/>
    </row>
    <row r="571" spans="4:4" x14ac:dyDescent="0.25">
      <c r="D571" s="8"/>
    </row>
    <row r="572" spans="4:4" x14ac:dyDescent="0.25">
      <c r="D572" s="8"/>
    </row>
    <row r="573" spans="4:4" x14ac:dyDescent="0.25">
      <c r="D573" s="8"/>
    </row>
    <row r="574" spans="4:4" x14ac:dyDescent="0.25">
      <c r="D574" s="8"/>
    </row>
    <row r="575" spans="4:4" x14ac:dyDescent="0.25">
      <c r="D575" s="8"/>
    </row>
    <row r="576" spans="4:4" x14ac:dyDescent="0.25">
      <c r="D576" s="8"/>
    </row>
    <row r="577" spans="4:4" x14ac:dyDescent="0.25">
      <c r="D577" s="8"/>
    </row>
    <row r="578" spans="4:4" x14ac:dyDescent="0.25">
      <c r="D578" s="8"/>
    </row>
    <row r="579" spans="4:4" x14ac:dyDescent="0.25">
      <c r="D579" s="8"/>
    </row>
    <row r="580" spans="4:4" x14ac:dyDescent="0.25">
      <c r="D580" s="8"/>
    </row>
    <row r="581" spans="4:4" x14ac:dyDescent="0.25">
      <c r="D581" s="8"/>
    </row>
    <row r="582" spans="4:4" x14ac:dyDescent="0.25">
      <c r="D582" s="8"/>
    </row>
    <row r="583" spans="4:4" x14ac:dyDescent="0.25">
      <c r="D583" s="8"/>
    </row>
    <row r="584" spans="4:4" x14ac:dyDescent="0.25">
      <c r="D584" s="8"/>
    </row>
    <row r="585" spans="4:4" x14ac:dyDescent="0.25">
      <c r="D585" s="8"/>
    </row>
    <row r="586" spans="4:4" x14ac:dyDescent="0.25">
      <c r="D586" s="8"/>
    </row>
    <row r="587" spans="4:4" x14ac:dyDescent="0.25">
      <c r="D587" s="8"/>
    </row>
    <row r="588" spans="4:4" x14ac:dyDescent="0.25">
      <c r="D588" s="8"/>
    </row>
    <row r="589" spans="4:4" x14ac:dyDescent="0.25">
      <c r="D589" s="8"/>
    </row>
    <row r="590" spans="4:4" x14ac:dyDescent="0.25">
      <c r="D590" s="8"/>
    </row>
    <row r="591" spans="4:4" x14ac:dyDescent="0.25">
      <c r="D591" s="8"/>
    </row>
    <row r="592" spans="4:4" x14ac:dyDescent="0.25">
      <c r="D592" s="8"/>
    </row>
    <row r="593" spans="4:4" x14ac:dyDescent="0.25">
      <c r="D593" s="8"/>
    </row>
    <row r="594" spans="4:4" x14ac:dyDescent="0.25">
      <c r="D594" s="8"/>
    </row>
    <row r="595" spans="4:4" x14ac:dyDescent="0.25">
      <c r="D595" s="8"/>
    </row>
    <row r="596" spans="4:4" x14ac:dyDescent="0.25">
      <c r="D596" s="8"/>
    </row>
    <row r="597" spans="4:4" x14ac:dyDescent="0.25">
      <c r="D597" s="8"/>
    </row>
    <row r="598" spans="4:4" x14ac:dyDescent="0.25">
      <c r="D598" s="8"/>
    </row>
    <row r="599" spans="4:4" x14ac:dyDescent="0.25">
      <c r="D599" s="8"/>
    </row>
    <row r="600" spans="4:4" x14ac:dyDescent="0.25">
      <c r="D600" s="8"/>
    </row>
    <row r="601" spans="4:4" x14ac:dyDescent="0.25">
      <c r="D601" s="8"/>
    </row>
    <row r="602" spans="4:4" x14ac:dyDescent="0.25">
      <c r="D602" s="8"/>
    </row>
    <row r="603" spans="4:4" x14ac:dyDescent="0.25">
      <c r="D603" s="8"/>
    </row>
    <row r="604" spans="4:4" x14ac:dyDescent="0.25">
      <c r="D604" s="8"/>
    </row>
    <row r="605" spans="4:4" x14ac:dyDescent="0.25">
      <c r="D605" s="8"/>
    </row>
    <row r="606" spans="4:4" x14ac:dyDescent="0.25">
      <c r="D606" s="8"/>
    </row>
    <row r="607" spans="4:4" x14ac:dyDescent="0.25">
      <c r="D607" s="8"/>
    </row>
    <row r="608" spans="4:4" x14ac:dyDescent="0.25">
      <c r="D608" s="8"/>
    </row>
    <row r="609" spans="4:4" x14ac:dyDescent="0.25">
      <c r="D609" s="8"/>
    </row>
    <row r="610" spans="4:4" x14ac:dyDescent="0.25">
      <c r="D610" s="8"/>
    </row>
    <row r="611" spans="4:4" x14ac:dyDescent="0.25">
      <c r="D611" s="8"/>
    </row>
    <row r="612" spans="4:4" x14ac:dyDescent="0.25">
      <c r="D612" s="8"/>
    </row>
    <row r="613" spans="4:4" x14ac:dyDescent="0.25">
      <c r="D613" s="8"/>
    </row>
    <row r="614" spans="4:4" x14ac:dyDescent="0.25">
      <c r="D614" s="8"/>
    </row>
    <row r="615" spans="4:4" x14ac:dyDescent="0.25">
      <c r="D615" s="8"/>
    </row>
    <row r="616" spans="4:4" x14ac:dyDescent="0.25">
      <c r="D616" s="8"/>
    </row>
    <row r="617" spans="4:4" x14ac:dyDescent="0.25">
      <c r="D617" s="8"/>
    </row>
    <row r="618" spans="4:4" x14ac:dyDescent="0.25">
      <c r="D618" s="8"/>
    </row>
    <row r="619" spans="4:4" x14ac:dyDescent="0.25">
      <c r="D619" s="8"/>
    </row>
    <row r="620" spans="4:4" x14ac:dyDescent="0.25">
      <c r="D620" s="8"/>
    </row>
    <row r="621" spans="4:4" x14ac:dyDescent="0.25">
      <c r="D621" s="8"/>
    </row>
    <row r="622" spans="4:4" x14ac:dyDescent="0.25">
      <c r="D622" s="8"/>
    </row>
    <row r="623" spans="4:4" x14ac:dyDescent="0.25">
      <c r="D623" s="8"/>
    </row>
    <row r="624" spans="4:4" x14ac:dyDescent="0.25">
      <c r="D624" s="8"/>
    </row>
    <row r="625" spans="4:4" x14ac:dyDescent="0.25">
      <c r="D625" s="8"/>
    </row>
    <row r="626" spans="4:4" x14ac:dyDescent="0.25">
      <c r="D626" s="8"/>
    </row>
    <row r="627" spans="4:4" x14ac:dyDescent="0.25">
      <c r="D627" s="8"/>
    </row>
    <row r="628" spans="4:4" x14ac:dyDescent="0.25">
      <c r="D628" s="8"/>
    </row>
    <row r="629" spans="4:4" x14ac:dyDescent="0.25">
      <c r="D629" s="8"/>
    </row>
    <row r="630" spans="4:4" x14ac:dyDescent="0.25">
      <c r="D630" s="8"/>
    </row>
    <row r="631" spans="4:4" x14ac:dyDescent="0.25">
      <c r="D631" s="8"/>
    </row>
    <row r="632" spans="4:4" x14ac:dyDescent="0.25">
      <c r="D632" s="8"/>
    </row>
    <row r="633" spans="4:4" x14ac:dyDescent="0.25">
      <c r="D633" s="8"/>
    </row>
    <row r="634" spans="4:4" x14ac:dyDescent="0.25">
      <c r="D634" s="8"/>
    </row>
    <row r="635" spans="4:4" x14ac:dyDescent="0.25">
      <c r="D635" s="8"/>
    </row>
    <row r="636" spans="4:4" x14ac:dyDescent="0.25">
      <c r="D636" s="8"/>
    </row>
    <row r="637" spans="4:4" x14ac:dyDescent="0.25">
      <c r="D637" s="8"/>
    </row>
    <row r="638" spans="4:4" x14ac:dyDescent="0.25">
      <c r="D638" s="8"/>
    </row>
    <row r="639" spans="4:4" x14ac:dyDescent="0.25">
      <c r="D639" s="8"/>
    </row>
    <row r="640" spans="4:4" x14ac:dyDescent="0.25">
      <c r="D640" s="8"/>
    </row>
    <row r="641" spans="4:4" x14ac:dyDescent="0.25">
      <c r="D641" s="8"/>
    </row>
    <row r="642" spans="4:4" x14ac:dyDescent="0.25">
      <c r="D642" s="8"/>
    </row>
    <row r="643" spans="4:4" x14ac:dyDescent="0.25">
      <c r="D643" s="8"/>
    </row>
    <row r="644" spans="4:4" x14ac:dyDescent="0.25">
      <c r="D644" s="8"/>
    </row>
    <row r="645" spans="4:4" x14ac:dyDescent="0.25">
      <c r="D645" s="8"/>
    </row>
    <row r="646" spans="4:4" x14ac:dyDescent="0.25">
      <c r="D646" s="8"/>
    </row>
    <row r="647" spans="4:4" x14ac:dyDescent="0.25">
      <c r="D647" s="8"/>
    </row>
    <row r="648" spans="4:4" x14ac:dyDescent="0.25">
      <c r="D648" s="8"/>
    </row>
    <row r="649" spans="4:4" x14ac:dyDescent="0.25">
      <c r="D649" s="8"/>
    </row>
    <row r="650" spans="4:4" x14ac:dyDescent="0.25">
      <c r="D650" s="8"/>
    </row>
    <row r="651" spans="4:4" x14ac:dyDescent="0.25">
      <c r="D651" s="8"/>
    </row>
    <row r="652" spans="4:4" x14ac:dyDescent="0.25">
      <c r="D652" s="8"/>
    </row>
    <row r="653" spans="4:4" x14ac:dyDescent="0.25">
      <c r="D653" s="8"/>
    </row>
    <row r="654" spans="4:4" x14ac:dyDescent="0.25">
      <c r="D654" s="8"/>
    </row>
    <row r="655" spans="4:4" x14ac:dyDescent="0.25">
      <c r="D655" s="8"/>
    </row>
    <row r="656" spans="4:4" x14ac:dyDescent="0.25">
      <c r="D656" s="8"/>
    </row>
    <row r="657" spans="4:4" x14ac:dyDescent="0.25">
      <c r="D657" s="8"/>
    </row>
    <row r="658" spans="4:4" x14ac:dyDescent="0.25">
      <c r="D658" s="8"/>
    </row>
    <row r="659" spans="4:4" x14ac:dyDescent="0.25">
      <c r="D659" s="8"/>
    </row>
    <row r="660" spans="4:4" x14ac:dyDescent="0.25">
      <c r="D660" s="8"/>
    </row>
    <row r="661" spans="4:4" x14ac:dyDescent="0.25">
      <c r="D661" s="8"/>
    </row>
    <row r="662" spans="4:4" x14ac:dyDescent="0.25">
      <c r="D662" s="8"/>
    </row>
    <row r="663" spans="4:4" x14ac:dyDescent="0.25">
      <c r="D663" s="8"/>
    </row>
    <row r="664" spans="4:4" x14ac:dyDescent="0.25">
      <c r="D664" s="8"/>
    </row>
    <row r="665" spans="4:4" x14ac:dyDescent="0.25">
      <c r="D665" s="8"/>
    </row>
    <row r="666" spans="4:4" x14ac:dyDescent="0.25">
      <c r="D666" s="8"/>
    </row>
    <row r="667" spans="4:4" x14ac:dyDescent="0.25">
      <c r="D667" s="8"/>
    </row>
    <row r="668" spans="4:4" x14ac:dyDescent="0.25">
      <c r="D668" s="8"/>
    </row>
    <row r="669" spans="4:4" x14ac:dyDescent="0.25">
      <c r="D669" s="8"/>
    </row>
    <row r="670" spans="4:4" x14ac:dyDescent="0.25">
      <c r="D670" s="8"/>
    </row>
    <row r="671" spans="4:4" x14ac:dyDescent="0.25">
      <c r="D671" s="8"/>
    </row>
    <row r="672" spans="4:4" x14ac:dyDescent="0.25">
      <c r="D672" s="8"/>
    </row>
    <row r="673" spans="4:4" x14ac:dyDescent="0.25">
      <c r="D673" s="8"/>
    </row>
    <row r="674" spans="4:4" x14ac:dyDescent="0.25">
      <c r="D674" s="8"/>
    </row>
    <row r="675" spans="4:4" x14ac:dyDescent="0.25">
      <c r="D675" s="8"/>
    </row>
    <row r="676" spans="4:4" x14ac:dyDescent="0.25">
      <c r="D676" s="8"/>
    </row>
    <row r="677" spans="4:4" x14ac:dyDescent="0.25">
      <c r="D677" s="8"/>
    </row>
    <row r="678" spans="4:4" x14ac:dyDescent="0.25">
      <c r="D678" s="8"/>
    </row>
    <row r="679" spans="4:4" x14ac:dyDescent="0.25">
      <c r="D679" s="8"/>
    </row>
    <row r="680" spans="4:4" x14ac:dyDescent="0.25">
      <c r="D680" s="8"/>
    </row>
    <row r="681" spans="4:4" x14ac:dyDescent="0.25">
      <c r="D681" s="8"/>
    </row>
    <row r="682" spans="4:4" x14ac:dyDescent="0.25">
      <c r="D682" s="8"/>
    </row>
    <row r="683" spans="4:4" x14ac:dyDescent="0.25">
      <c r="D683" s="8"/>
    </row>
    <row r="684" spans="4:4" x14ac:dyDescent="0.25">
      <c r="D684" s="8"/>
    </row>
    <row r="685" spans="4:4" x14ac:dyDescent="0.25">
      <c r="D685" s="8"/>
    </row>
    <row r="686" spans="4:4" x14ac:dyDescent="0.25">
      <c r="D686" s="8"/>
    </row>
    <row r="687" spans="4:4" x14ac:dyDescent="0.25">
      <c r="D687" s="8"/>
    </row>
    <row r="688" spans="4:4" x14ac:dyDescent="0.25">
      <c r="D688" s="8"/>
    </row>
    <row r="689" spans="4:4" x14ac:dyDescent="0.25">
      <c r="D689" s="8"/>
    </row>
    <row r="690" spans="4:4" x14ac:dyDescent="0.25">
      <c r="D690" s="8"/>
    </row>
    <row r="691" spans="4:4" x14ac:dyDescent="0.25">
      <c r="D691" s="8"/>
    </row>
    <row r="692" spans="4:4" x14ac:dyDescent="0.25">
      <c r="D692" s="8"/>
    </row>
    <row r="693" spans="4:4" x14ac:dyDescent="0.25">
      <c r="D693" s="8"/>
    </row>
    <row r="694" spans="4:4" x14ac:dyDescent="0.25">
      <c r="D694" s="8"/>
    </row>
    <row r="695" spans="4:4" x14ac:dyDescent="0.25">
      <c r="D695" s="8"/>
    </row>
    <row r="696" spans="4:4" x14ac:dyDescent="0.25">
      <c r="D696" s="8"/>
    </row>
    <row r="697" spans="4:4" x14ac:dyDescent="0.25">
      <c r="D697" s="8"/>
    </row>
    <row r="698" spans="4:4" x14ac:dyDescent="0.25">
      <c r="D698" s="8"/>
    </row>
    <row r="699" spans="4:4" x14ac:dyDescent="0.25">
      <c r="D699" s="8"/>
    </row>
    <row r="700" spans="4:4" x14ac:dyDescent="0.25">
      <c r="D700" s="8"/>
    </row>
    <row r="701" spans="4:4" x14ac:dyDescent="0.25">
      <c r="D701" s="8"/>
    </row>
    <row r="702" spans="4:4" x14ac:dyDescent="0.25">
      <c r="D702" s="8"/>
    </row>
    <row r="703" spans="4:4" x14ac:dyDescent="0.25">
      <c r="D703" s="8"/>
    </row>
    <row r="704" spans="4:4" x14ac:dyDescent="0.25">
      <c r="D704" s="8"/>
    </row>
    <row r="705" spans="4:4" x14ac:dyDescent="0.25">
      <c r="D705" s="8"/>
    </row>
    <row r="706" spans="4:4" x14ac:dyDescent="0.25">
      <c r="D706" s="8"/>
    </row>
    <row r="707" spans="4:4" x14ac:dyDescent="0.25">
      <c r="D707" s="8"/>
    </row>
    <row r="708" spans="4:4" x14ac:dyDescent="0.25">
      <c r="D708" s="8"/>
    </row>
    <row r="709" spans="4:4" x14ac:dyDescent="0.25">
      <c r="D709" s="8"/>
    </row>
    <row r="710" spans="4:4" x14ac:dyDescent="0.25">
      <c r="D710" s="8"/>
    </row>
    <row r="711" spans="4:4" x14ac:dyDescent="0.25">
      <c r="D711" s="8"/>
    </row>
    <row r="712" spans="4:4" x14ac:dyDescent="0.25">
      <c r="D712" s="8"/>
    </row>
    <row r="713" spans="4:4" x14ac:dyDescent="0.25">
      <c r="D713" s="8"/>
    </row>
    <row r="714" spans="4:4" x14ac:dyDescent="0.25">
      <c r="D714" s="8"/>
    </row>
    <row r="715" spans="4:4" x14ac:dyDescent="0.25">
      <c r="D715" s="8"/>
    </row>
    <row r="716" spans="4:4" x14ac:dyDescent="0.25">
      <c r="D716" s="8"/>
    </row>
    <row r="717" spans="4:4" x14ac:dyDescent="0.25">
      <c r="D717" s="8"/>
    </row>
    <row r="718" spans="4:4" x14ac:dyDescent="0.25">
      <c r="D718" s="8"/>
    </row>
    <row r="719" spans="4:4" x14ac:dyDescent="0.25">
      <c r="D719" s="8"/>
    </row>
    <row r="720" spans="4:4" x14ac:dyDescent="0.25">
      <c r="D720" s="8"/>
    </row>
    <row r="721" spans="4:4" x14ac:dyDescent="0.25">
      <c r="D721" s="8"/>
    </row>
    <row r="722" spans="4:4" x14ac:dyDescent="0.25">
      <c r="D722" s="8"/>
    </row>
    <row r="723" spans="4:4" x14ac:dyDescent="0.25">
      <c r="D723" s="8"/>
    </row>
    <row r="724" spans="4:4" x14ac:dyDescent="0.25">
      <c r="D724" s="8"/>
    </row>
    <row r="725" spans="4:4" x14ac:dyDescent="0.25">
      <c r="D725" s="8"/>
    </row>
    <row r="726" spans="4:4" x14ac:dyDescent="0.25">
      <c r="D726" s="8"/>
    </row>
    <row r="727" spans="4:4" x14ac:dyDescent="0.25">
      <c r="D727" s="8"/>
    </row>
    <row r="728" spans="4:4" x14ac:dyDescent="0.25">
      <c r="D728" s="8"/>
    </row>
    <row r="729" spans="4:4" x14ac:dyDescent="0.25">
      <c r="D729" s="8"/>
    </row>
    <row r="730" spans="4:4" x14ac:dyDescent="0.25">
      <c r="D730" s="8"/>
    </row>
    <row r="731" spans="4:4" x14ac:dyDescent="0.25">
      <c r="D731" s="8"/>
    </row>
    <row r="732" spans="4:4" x14ac:dyDescent="0.25">
      <c r="D732" s="8"/>
    </row>
    <row r="733" spans="4:4" x14ac:dyDescent="0.25">
      <c r="D733" s="8"/>
    </row>
    <row r="734" spans="4:4" x14ac:dyDescent="0.25">
      <c r="D734" s="8"/>
    </row>
    <row r="735" spans="4:4" x14ac:dyDescent="0.25">
      <c r="D735" s="8"/>
    </row>
    <row r="736" spans="4:4" x14ac:dyDescent="0.25">
      <c r="D736" s="8"/>
    </row>
    <row r="737" spans="4:4" x14ac:dyDescent="0.25">
      <c r="D737" s="8"/>
    </row>
    <row r="738" spans="4:4" x14ac:dyDescent="0.25">
      <c r="D738" s="8"/>
    </row>
    <row r="739" spans="4:4" x14ac:dyDescent="0.25">
      <c r="D739" s="8"/>
    </row>
    <row r="740" spans="4:4" x14ac:dyDescent="0.25">
      <c r="D740" s="8"/>
    </row>
    <row r="741" spans="4:4" x14ac:dyDescent="0.25">
      <c r="D741" s="8"/>
    </row>
    <row r="742" spans="4:4" x14ac:dyDescent="0.25">
      <c r="D742" s="8"/>
    </row>
    <row r="743" spans="4:4" x14ac:dyDescent="0.25">
      <c r="D743" s="8"/>
    </row>
    <row r="744" spans="4:4" x14ac:dyDescent="0.25">
      <c r="D744" s="8"/>
    </row>
    <row r="745" spans="4:4" x14ac:dyDescent="0.25">
      <c r="D745" s="8"/>
    </row>
    <row r="746" spans="4:4" x14ac:dyDescent="0.25">
      <c r="D746" s="8"/>
    </row>
    <row r="747" spans="4:4" x14ac:dyDescent="0.25">
      <c r="D747" s="8"/>
    </row>
    <row r="748" spans="4:4" x14ac:dyDescent="0.25">
      <c r="D748" s="8"/>
    </row>
    <row r="749" spans="4:4" x14ac:dyDescent="0.25">
      <c r="D749" s="8"/>
    </row>
    <row r="750" spans="4:4" x14ac:dyDescent="0.25">
      <c r="D750" s="8"/>
    </row>
    <row r="751" spans="4:4" x14ac:dyDescent="0.25">
      <c r="D751" s="8"/>
    </row>
    <row r="752" spans="4:4" x14ac:dyDescent="0.25">
      <c r="D752" s="8"/>
    </row>
    <row r="753" spans="4:4" x14ac:dyDescent="0.25">
      <c r="D753" s="8"/>
    </row>
    <row r="754" spans="4:4" x14ac:dyDescent="0.25">
      <c r="D754" s="8"/>
    </row>
    <row r="755" spans="4:4" x14ac:dyDescent="0.25">
      <c r="D755" s="8"/>
    </row>
    <row r="756" spans="4:4" x14ac:dyDescent="0.25">
      <c r="D756" s="8"/>
    </row>
    <row r="757" spans="4:4" x14ac:dyDescent="0.25">
      <c r="D757" s="8"/>
    </row>
    <row r="758" spans="4:4" x14ac:dyDescent="0.25">
      <c r="D758" s="8"/>
    </row>
    <row r="759" spans="4:4" x14ac:dyDescent="0.25">
      <c r="D759" s="8"/>
    </row>
    <row r="760" spans="4:4" x14ac:dyDescent="0.25">
      <c r="D760" s="8"/>
    </row>
    <row r="761" spans="4:4" x14ac:dyDescent="0.25">
      <c r="D761" s="8"/>
    </row>
    <row r="762" spans="4:4" x14ac:dyDescent="0.25">
      <c r="D762" s="8"/>
    </row>
    <row r="763" spans="4:4" x14ac:dyDescent="0.25">
      <c r="D763" s="8"/>
    </row>
    <row r="764" spans="4:4" x14ac:dyDescent="0.25">
      <c r="D764" s="8"/>
    </row>
    <row r="765" spans="4:4" x14ac:dyDescent="0.25">
      <c r="D765" s="8"/>
    </row>
    <row r="766" spans="4:4" x14ac:dyDescent="0.25">
      <c r="D766" s="8"/>
    </row>
    <row r="767" spans="4:4" x14ac:dyDescent="0.25">
      <c r="D767" s="8"/>
    </row>
    <row r="768" spans="4:4" x14ac:dyDescent="0.25">
      <c r="D768" s="8"/>
    </row>
    <row r="769" spans="4:4" x14ac:dyDescent="0.25">
      <c r="D769" s="8"/>
    </row>
    <row r="770" spans="4:4" x14ac:dyDescent="0.25">
      <c r="D770" s="8"/>
    </row>
    <row r="771" spans="4:4" x14ac:dyDescent="0.25">
      <c r="D771" s="8"/>
    </row>
    <row r="772" spans="4:4" x14ac:dyDescent="0.25">
      <c r="D772" s="8"/>
    </row>
    <row r="773" spans="4:4" x14ac:dyDescent="0.25">
      <c r="D773" s="8"/>
    </row>
    <row r="774" spans="4:4" x14ac:dyDescent="0.25">
      <c r="D774" s="8"/>
    </row>
    <row r="775" spans="4:4" x14ac:dyDescent="0.25">
      <c r="D775" s="8"/>
    </row>
    <row r="776" spans="4:4" x14ac:dyDescent="0.25">
      <c r="D776" s="8"/>
    </row>
    <row r="777" spans="4:4" x14ac:dyDescent="0.25">
      <c r="D777" s="8"/>
    </row>
    <row r="778" spans="4:4" x14ac:dyDescent="0.25">
      <c r="D778" s="8"/>
    </row>
    <row r="779" spans="4:4" x14ac:dyDescent="0.25">
      <c r="D779" s="8"/>
    </row>
    <row r="780" spans="4:4" x14ac:dyDescent="0.25">
      <c r="D780" s="8"/>
    </row>
    <row r="781" spans="4:4" x14ac:dyDescent="0.25">
      <c r="D781" s="8"/>
    </row>
    <row r="782" spans="4:4" x14ac:dyDescent="0.25">
      <c r="D782" s="8"/>
    </row>
    <row r="783" spans="4:4" x14ac:dyDescent="0.25">
      <c r="D783" s="8"/>
    </row>
    <row r="784" spans="4:4" x14ac:dyDescent="0.25">
      <c r="D784" s="8"/>
    </row>
    <row r="785" spans="4:4" x14ac:dyDescent="0.25">
      <c r="D785" s="8"/>
    </row>
    <row r="786" spans="4:4" x14ac:dyDescent="0.25">
      <c r="D786" s="8"/>
    </row>
    <row r="787" spans="4:4" x14ac:dyDescent="0.25">
      <c r="D787" s="8"/>
    </row>
    <row r="788" spans="4:4" x14ac:dyDescent="0.25">
      <c r="D788" s="8"/>
    </row>
    <row r="789" spans="4:4" x14ac:dyDescent="0.25">
      <c r="D789" s="8"/>
    </row>
    <row r="790" spans="4:4" x14ac:dyDescent="0.25">
      <c r="D790" s="8"/>
    </row>
    <row r="791" spans="4:4" x14ac:dyDescent="0.25">
      <c r="D791" s="8"/>
    </row>
    <row r="792" spans="4:4" x14ac:dyDescent="0.25">
      <c r="D792" s="8"/>
    </row>
    <row r="793" spans="4:4" x14ac:dyDescent="0.25">
      <c r="D793" s="8"/>
    </row>
    <row r="794" spans="4:4" x14ac:dyDescent="0.25">
      <c r="D794" s="8"/>
    </row>
    <row r="795" spans="4:4" x14ac:dyDescent="0.25">
      <c r="D795" s="8"/>
    </row>
    <row r="796" spans="4:4" x14ac:dyDescent="0.25">
      <c r="D796" s="8"/>
    </row>
    <row r="797" spans="4:4" x14ac:dyDescent="0.25">
      <c r="D797" s="8"/>
    </row>
    <row r="798" spans="4:4" x14ac:dyDescent="0.25">
      <c r="D798" s="8"/>
    </row>
    <row r="799" spans="4:4" x14ac:dyDescent="0.25">
      <c r="D799" s="8"/>
    </row>
    <row r="800" spans="4:4" x14ac:dyDescent="0.25">
      <c r="D800" s="8"/>
    </row>
    <row r="801" spans="4:4" x14ac:dyDescent="0.25">
      <c r="D801" s="8"/>
    </row>
    <row r="802" spans="4:4" x14ac:dyDescent="0.25">
      <c r="D802" s="8"/>
    </row>
    <row r="803" spans="4:4" x14ac:dyDescent="0.25">
      <c r="D803" s="8"/>
    </row>
    <row r="804" spans="4:4" x14ac:dyDescent="0.25">
      <c r="D804" s="8"/>
    </row>
    <row r="805" spans="4:4" x14ac:dyDescent="0.25">
      <c r="D805" s="8"/>
    </row>
    <row r="806" spans="4:4" x14ac:dyDescent="0.25">
      <c r="D806" s="8"/>
    </row>
    <row r="807" spans="4:4" x14ac:dyDescent="0.25">
      <c r="D807" s="8"/>
    </row>
    <row r="808" spans="4:4" x14ac:dyDescent="0.25">
      <c r="D808" s="8"/>
    </row>
    <row r="809" spans="4:4" x14ac:dyDescent="0.25">
      <c r="D809" s="8"/>
    </row>
    <row r="810" spans="4:4" x14ac:dyDescent="0.25">
      <c r="D810" s="8"/>
    </row>
    <row r="811" spans="4:4" x14ac:dyDescent="0.25">
      <c r="D811" s="8"/>
    </row>
    <row r="812" spans="4:4" x14ac:dyDescent="0.25">
      <c r="D812" s="8"/>
    </row>
    <row r="813" spans="4:4" x14ac:dyDescent="0.25">
      <c r="D813" s="8"/>
    </row>
    <row r="814" spans="4:4" x14ac:dyDescent="0.25">
      <c r="D814" s="8"/>
    </row>
    <row r="815" spans="4:4" x14ac:dyDescent="0.25">
      <c r="D815" s="8"/>
    </row>
    <row r="816" spans="4:4" x14ac:dyDescent="0.25">
      <c r="D816" s="8"/>
    </row>
    <row r="817" spans="4:4" x14ac:dyDescent="0.25">
      <c r="D817" s="8"/>
    </row>
    <row r="818" spans="4:4" x14ac:dyDescent="0.25">
      <c r="D818" s="8"/>
    </row>
    <row r="819" spans="4:4" x14ac:dyDescent="0.25">
      <c r="D819" s="8"/>
    </row>
    <row r="820" spans="4:4" x14ac:dyDescent="0.25">
      <c r="D820" s="8"/>
    </row>
    <row r="821" spans="4:4" x14ac:dyDescent="0.25">
      <c r="D821" s="8"/>
    </row>
    <row r="822" spans="4:4" x14ac:dyDescent="0.25">
      <c r="D822" s="8"/>
    </row>
    <row r="823" spans="4:4" x14ac:dyDescent="0.25">
      <c r="D823" s="8"/>
    </row>
    <row r="824" spans="4:4" x14ac:dyDescent="0.25">
      <c r="D824" s="8"/>
    </row>
    <row r="825" spans="4:4" x14ac:dyDescent="0.25">
      <c r="D825" s="8"/>
    </row>
    <row r="826" spans="4:4" x14ac:dyDescent="0.25">
      <c r="D826" s="8"/>
    </row>
    <row r="827" spans="4:4" x14ac:dyDescent="0.25">
      <c r="D827" s="8"/>
    </row>
    <row r="828" spans="4:4" x14ac:dyDescent="0.25">
      <c r="D828" s="8"/>
    </row>
    <row r="829" spans="4:4" x14ac:dyDescent="0.25">
      <c r="D829" s="8"/>
    </row>
    <row r="830" spans="4:4" x14ac:dyDescent="0.25">
      <c r="D830" s="8"/>
    </row>
    <row r="831" spans="4:4" x14ac:dyDescent="0.25">
      <c r="D831" s="8"/>
    </row>
    <row r="832" spans="4:4" x14ac:dyDescent="0.25">
      <c r="D832" s="8"/>
    </row>
    <row r="833" spans="4:4" x14ac:dyDescent="0.25">
      <c r="D833" s="8"/>
    </row>
    <row r="834" spans="4:4" x14ac:dyDescent="0.25">
      <c r="D834" s="8"/>
    </row>
    <row r="835" spans="4:4" x14ac:dyDescent="0.25">
      <c r="D835" s="8"/>
    </row>
    <row r="836" spans="4:4" x14ac:dyDescent="0.25">
      <c r="D836" s="8"/>
    </row>
    <row r="837" spans="4:4" x14ac:dyDescent="0.25">
      <c r="D837" s="8"/>
    </row>
    <row r="838" spans="4:4" x14ac:dyDescent="0.25">
      <c r="D838" s="8"/>
    </row>
    <row r="839" spans="4:4" x14ac:dyDescent="0.25">
      <c r="D839" s="8"/>
    </row>
    <row r="840" spans="4:4" x14ac:dyDescent="0.25">
      <c r="D840" s="8"/>
    </row>
    <row r="841" spans="4:4" x14ac:dyDescent="0.25">
      <c r="D841" s="8"/>
    </row>
    <row r="842" spans="4:4" x14ac:dyDescent="0.25">
      <c r="D842" s="8"/>
    </row>
    <row r="843" spans="4:4" x14ac:dyDescent="0.25">
      <c r="D843" s="8"/>
    </row>
    <row r="844" spans="4:4" x14ac:dyDescent="0.25">
      <c r="D844" s="8"/>
    </row>
    <row r="845" spans="4:4" x14ac:dyDescent="0.25">
      <c r="D845" s="8"/>
    </row>
    <row r="846" spans="4:4" x14ac:dyDescent="0.25">
      <c r="D846" s="8"/>
    </row>
    <row r="847" spans="4:4" x14ac:dyDescent="0.25">
      <c r="D847" s="8"/>
    </row>
    <row r="848" spans="4:4" x14ac:dyDescent="0.25">
      <c r="D848" s="8"/>
    </row>
    <row r="849" spans="4:4" x14ac:dyDescent="0.25">
      <c r="D849" s="8"/>
    </row>
    <row r="850" spans="4:4" x14ac:dyDescent="0.25">
      <c r="D850" s="8"/>
    </row>
    <row r="851" spans="4:4" x14ac:dyDescent="0.25">
      <c r="D851" s="8"/>
    </row>
    <row r="852" spans="4:4" x14ac:dyDescent="0.25">
      <c r="D852" s="8"/>
    </row>
    <row r="853" spans="4:4" x14ac:dyDescent="0.25">
      <c r="D853" s="8"/>
    </row>
    <row r="854" spans="4:4" x14ac:dyDescent="0.25">
      <c r="D854" s="8"/>
    </row>
    <row r="855" spans="4:4" x14ac:dyDescent="0.25">
      <c r="D855" s="8"/>
    </row>
    <row r="856" spans="4:4" x14ac:dyDescent="0.25">
      <c r="D856" s="8"/>
    </row>
    <row r="857" spans="4:4" x14ac:dyDescent="0.25">
      <c r="D857" s="8"/>
    </row>
    <row r="858" spans="4:4" x14ac:dyDescent="0.25">
      <c r="D858" s="8"/>
    </row>
    <row r="859" spans="4:4" x14ac:dyDescent="0.25">
      <c r="D859" s="8"/>
    </row>
    <row r="860" spans="4:4" x14ac:dyDescent="0.25">
      <c r="D860" s="8"/>
    </row>
    <row r="861" spans="4:4" x14ac:dyDescent="0.25">
      <c r="D861" s="8"/>
    </row>
    <row r="862" spans="4:4" x14ac:dyDescent="0.25">
      <c r="D862" s="8"/>
    </row>
    <row r="863" spans="4:4" x14ac:dyDescent="0.25">
      <c r="D863" s="8"/>
    </row>
    <row r="864" spans="4:4" x14ac:dyDescent="0.25">
      <c r="D864" s="8"/>
    </row>
    <row r="865" spans="4:4" x14ac:dyDescent="0.25">
      <c r="D865" s="8"/>
    </row>
    <row r="866" spans="4:4" x14ac:dyDescent="0.25">
      <c r="D866" s="8"/>
    </row>
    <row r="867" spans="4:4" x14ac:dyDescent="0.25">
      <c r="D867" s="8"/>
    </row>
    <row r="868" spans="4:4" x14ac:dyDescent="0.25">
      <c r="D868" s="8"/>
    </row>
    <row r="869" spans="4:4" x14ac:dyDescent="0.25">
      <c r="D869" s="8"/>
    </row>
    <row r="870" spans="4:4" x14ac:dyDescent="0.25">
      <c r="D870" s="8"/>
    </row>
    <row r="871" spans="4:4" x14ac:dyDescent="0.25">
      <c r="D871" s="8"/>
    </row>
    <row r="872" spans="4:4" x14ac:dyDescent="0.25">
      <c r="D872" s="8"/>
    </row>
    <row r="873" spans="4:4" x14ac:dyDescent="0.25">
      <c r="D873" s="8"/>
    </row>
    <row r="874" spans="4:4" x14ac:dyDescent="0.25">
      <c r="D874" s="8"/>
    </row>
    <row r="875" spans="4:4" x14ac:dyDescent="0.25">
      <c r="D875" s="8"/>
    </row>
    <row r="876" spans="4:4" x14ac:dyDescent="0.25">
      <c r="D876" s="8"/>
    </row>
    <row r="877" spans="4:4" x14ac:dyDescent="0.25">
      <c r="D877" s="8"/>
    </row>
    <row r="878" spans="4:4" x14ac:dyDescent="0.25">
      <c r="D878" s="8"/>
    </row>
    <row r="879" spans="4:4" x14ac:dyDescent="0.25">
      <c r="D879" s="8"/>
    </row>
    <row r="880" spans="4:4" x14ac:dyDescent="0.25">
      <c r="D880" s="8"/>
    </row>
    <row r="881" spans="4:4" x14ac:dyDescent="0.25">
      <c r="D881" s="8"/>
    </row>
    <row r="882" spans="4:4" x14ac:dyDescent="0.25">
      <c r="D882" s="8"/>
    </row>
    <row r="883" spans="4:4" x14ac:dyDescent="0.25">
      <c r="D883" s="8"/>
    </row>
    <row r="884" spans="4:4" x14ac:dyDescent="0.25">
      <c r="D884" s="8"/>
    </row>
    <row r="885" spans="4:4" x14ac:dyDescent="0.25">
      <c r="D885" s="8"/>
    </row>
    <row r="886" spans="4:4" x14ac:dyDescent="0.25">
      <c r="D886" s="8"/>
    </row>
    <row r="887" spans="4:4" x14ac:dyDescent="0.25">
      <c r="D887" s="8"/>
    </row>
    <row r="888" spans="4:4" x14ac:dyDescent="0.25">
      <c r="D888" s="8"/>
    </row>
    <row r="889" spans="4:4" x14ac:dyDescent="0.25">
      <c r="D889" s="8"/>
    </row>
    <row r="890" spans="4:4" x14ac:dyDescent="0.25">
      <c r="D890" s="8"/>
    </row>
    <row r="891" spans="4:4" x14ac:dyDescent="0.25">
      <c r="D891" s="8"/>
    </row>
    <row r="892" spans="4:4" x14ac:dyDescent="0.25">
      <c r="D892" s="8"/>
    </row>
    <row r="893" spans="4:4" x14ac:dyDescent="0.25">
      <c r="D893" s="8"/>
    </row>
    <row r="894" spans="4:4" x14ac:dyDescent="0.25">
      <c r="D894" s="8"/>
    </row>
    <row r="895" spans="4:4" x14ac:dyDescent="0.25">
      <c r="D895" s="8"/>
    </row>
    <row r="896" spans="4:4" x14ac:dyDescent="0.25">
      <c r="D896" s="8"/>
    </row>
    <row r="897" spans="4:4" x14ac:dyDescent="0.25">
      <c r="D897" s="8"/>
    </row>
    <row r="898" spans="4:4" x14ac:dyDescent="0.25">
      <c r="D898" s="8"/>
    </row>
    <row r="899" spans="4:4" x14ac:dyDescent="0.25">
      <c r="D899" s="8"/>
    </row>
    <row r="900" spans="4:4" x14ac:dyDescent="0.25">
      <c r="D900" s="8"/>
    </row>
    <row r="901" spans="4:4" x14ac:dyDescent="0.25">
      <c r="D901" s="8"/>
    </row>
    <row r="902" spans="4:4" x14ac:dyDescent="0.25">
      <c r="D902" s="8"/>
    </row>
    <row r="903" spans="4:4" x14ac:dyDescent="0.25">
      <c r="D903" s="8"/>
    </row>
    <row r="904" spans="4:4" x14ac:dyDescent="0.25">
      <c r="D904" s="8"/>
    </row>
    <row r="905" spans="4:4" x14ac:dyDescent="0.25">
      <c r="D905" s="8"/>
    </row>
    <row r="906" spans="4:4" x14ac:dyDescent="0.25">
      <c r="D906" s="8"/>
    </row>
    <row r="907" spans="4:4" x14ac:dyDescent="0.25">
      <c r="D907" s="8"/>
    </row>
    <row r="908" spans="4:4" x14ac:dyDescent="0.25">
      <c r="D908" s="8"/>
    </row>
    <row r="909" spans="4:4" x14ac:dyDescent="0.25">
      <c r="D909" s="8"/>
    </row>
    <row r="910" spans="4:4" x14ac:dyDescent="0.25">
      <c r="D910" s="8"/>
    </row>
    <row r="911" spans="4:4" x14ac:dyDescent="0.25">
      <c r="D911" s="8"/>
    </row>
    <row r="912" spans="4:4" x14ac:dyDescent="0.25">
      <c r="D912" s="8"/>
    </row>
    <row r="913" spans="4:4" x14ac:dyDescent="0.25">
      <c r="D913" s="8"/>
    </row>
    <row r="914" spans="4:4" x14ac:dyDescent="0.25">
      <c r="D914" s="8"/>
    </row>
    <row r="915" spans="4:4" x14ac:dyDescent="0.25">
      <c r="D915" s="8"/>
    </row>
    <row r="916" spans="4:4" x14ac:dyDescent="0.25">
      <c r="D916" s="8"/>
    </row>
    <row r="917" spans="4:4" x14ac:dyDescent="0.25">
      <c r="D917" s="8"/>
    </row>
    <row r="918" spans="4:4" x14ac:dyDescent="0.25">
      <c r="D918" s="8"/>
    </row>
    <row r="919" spans="4:4" x14ac:dyDescent="0.25">
      <c r="D919" s="8"/>
    </row>
    <row r="920" spans="4:4" x14ac:dyDescent="0.25">
      <c r="D920" s="8"/>
    </row>
    <row r="921" spans="4:4" x14ac:dyDescent="0.25">
      <c r="D921" s="8"/>
    </row>
    <row r="922" spans="4:4" x14ac:dyDescent="0.25">
      <c r="D922" s="8"/>
    </row>
    <row r="923" spans="4:4" x14ac:dyDescent="0.25">
      <c r="D923" s="8"/>
    </row>
    <row r="924" spans="4:4" x14ac:dyDescent="0.25">
      <c r="D924" s="8"/>
    </row>
    <row r="925" spans="4:4" x14ac:dyDescent="0.25">
      <c r="D925" s="8"/>
    </row>
    <row r="926" spans="4:4" x14ac:dyDescent="0.25">
      <c r="D926" s="8"/>
    </row>
    <row r="927" spans="4:4" x14ac:dyDescent="0.25">
      <c r="D927" s="8"/>
    </row>
    <row r="928" spans="4:4" x14ac:dyDescent="0.25">
      <c r="D928" s="8"/>
    </row>
    <row r="929" spans="4:4" x14ac:dyDescent="0.25">
      <c r="D929" s="8"/>
    </row>
    <row r="930" spans="4:4" x14ac:dyDescent="0.25">
      <c r="D930" s="8"/>
    </row>
    <row r="931" spans="4:4" x14ac:dyDescent="0.25">
      <c r="D931" s="8"/>
    </row>
    <row r="932" spans="4:4" x14ac:dyDescent="0.25">
      <c r="D932" s="8"/>
    </row>
    <row r="933" spans="4:4" x14ac:dyDescent="0.25">
      <c r="D933" s="8"/>
    </row>
    <row r="934" spans="4:4" x14ac:dyDescent="0.25">
      <c r="D934" s="8"/>
    </row>
    <row r="935" spans="4:4" x14ac:dyDescent="0.25">
      <c r="D935" s="8"/>
    </row>
    <row r="936" spans="4:4" x14ac:dyDescent="0.25">
      <c r="D936" s="8"/>
    </row>
    <row r="937" spans="4:4" x14ac:dyDescent="0.25">
      <c r="D937" s="8"/>
    </row>
    <row r="938" spans="4:4" x14ac:dyDescent="0.25">
      <c r="D938" s="8"/>
    </row>
    <row r="939" spans="4:4" x14ac:dyDescent="0.25">
      <c r="D939" s="8"/>
    </row>
    <row r="940" spans="4:4" x14ac:dyDescent="0.25">
      <c r="D940" s="8"/>
    </row>
    <row r="941" spans="4:4" x14ac:dyDescent="0.25">
      <c r="D941" s="8"/>
    </row>
    <row r="942" spans="4:4" x14ac:dyDescent="0.25">
      <c r="D942" s="8"/>
    </row>
    <row r="943" spans="4:4" x14ac:dyDescent="0.25">
      <c r="D943" s="8"/>
    </row>
    <row r="944" spans="4:4" x14ac:dyDescent="0.25">
      <c r="D944" s="8"/>
    </row>
    <row r="945" spans="4:4" x14ac:dyDescent="0.25">
      <c r="D945" s="8"/>
    </row>
    <row r="946" spans="4:4" x14ac:dyDescent="0.25">
      <c r="D946" s="8"/>
    </row>
    <row r="947" spans="4:4" x14ac:dyDescent="0.25">
      <c r="D947" s="8"/>
    </row>
    <row r="948" spans="4:4" x14ac:dyDescent="0.25">
      <c r="D948" s="8"/>
    </row>
    <row r="949" spans="4:4" x14ac:dyDescent="0.25">
      <c r="D949" s="8"/>
    </row>
    <row r="950" spans="4:4" x14ac:dyDescent="0.25">
      <c r="D950" s="8"/>
    </row>
    <row r="951" spans="4:4" x14ac:dyDescent="0.25">
      <c r="D951" s="8"/>
    </row>
    <row r="952" spans="4:4" x14ac:dyDescent="0.25">
      <c r="D952" s="8"/>
    </row>
    <row r="953" spans="4:4" x14ac:dyDescent="0.25">
      <c r="D953" s="8"/>
    </row>
    <row r="954" spans="4:4" x14ac:dyDescent="0.25">
      <c r="D954" s="8"/>
    </row>
    <row r="955" spans="4:4" x14ac:dyDescent="0.25">
      <c r="D955" s="8"/>
    </row>
    <row r="956" spans="4:4" x14ac:dyDescent="0.25">
      <c r="D956" s="8"/>
    </row>
    <row r="957" spans="4:4" x14ac:dyDescent="0.25">
      <c r="D957" s="8"/>
    </row>
    <row r="958" spans="4:4" x14ac:dyDescent="0.25">
      <c r="D958" s="8"/>
    </row>
    <row r="959" spans="4:4" x14ac:dyDescent="0.25">
      <c r="D959" s="8"/>
    </row>
    <row r="960" spans="4:4" x14ac:dyDescent="0.25">
      <c r="D960" s="8"/>
    </row>
    <row r="961" spans="4:4" x14ac:dyDescent="0.25">
      <c r="D961" s="8"/>
    </row>
    <row r="962" spans="4:4" x14ac:dyDescent="0.25">
      <c r="D962" s="8"/>
    </row>
    <row r="963" spans="4:4" x14ac:dyDescent="0.25">
      <c r="D963" s="8"/>
    </row>
    <row r="964" spans="4:4" x14ac:dyDescent="0.25">
      <c r="D964" s="8"/>
    </row>
    <row r="965" spans="4:4" x14ac:dyDescent="0.25">
      <c r="D965" s="8"/>
    </row>
    <row r="966" spans="4:4" x14ac:dyDescent="0.25">
      <c r="D966" s="8"/>
    </row>
    <row r="967" spans="4:4" x14ac:dyDescent="0.25">
      <c r="D967" s="8"/>
    </row>
    <row r="968" spans="4:4" x14ac:dyDescent="0.25">
      <c r="D968" s="8"/>
    </row>
    <row r="969" spans="4:4" x14ac:dyDescent="0.25">
      <c r="D969" s="8"/>
    </row>
    <row r="970" spans="4:4" x14ac:dyDescent="0.25">
      <c r="D970" s="8"/>
    </row>
    <row r="971" spans="4:4" x14ac:dyDescent="0.25">
      <c r="D971" s="8"/>
    </row>
    <row r="972" spans="4:4" x14ac:dyDescent="0.25">
      <c r="D972" s="8"/>
    </row>
    <row r="973" spans="4:4" x14ac:dyDescent="0.25">
      <c r="D973" s="8"/>
    </row>
    <row r="974" spans="4:4" x14ac:dyDescent="0.25">
      <c r="D974" s="8"/>
    </row>
    <row r="975" spans="4:4" x14ac:dyDescent="0.25">
      <c r="D975" s="8"/>
    </row>
    <row r="976" spans="4:4" x14ac:dyDescent="0.25">
      <c r="D976" s="8"/>
    </row>
    <row r="977" spans="4:4" x14ac:dyDescent="0.25">
      <c r="D977" s="8"/>
    </row>
    <row r="978" spans="4:4" x14ac:dyDescent="0.25">
      <c r="D978" s="8"/>
    </row>
    <row r="979" spans="4:4" x14ac:dyDescent="0.25">
      <c r="D979" s="8"/>
    </row>
    <row r="980" spans="4:4" x14ac:dyDescent="0.25">
      <c r="D980" s="8"/>
    </row>
    <row r="981" spans="4:4" x14ac:dyDescent="0.25">
      <c r="D981" s="8"/>
    </row>
    <row r="982" spans="4:4" x14ac:dyDescent="0.25">
      <c r="D982" s="8"/>
    </row>
    <row r="983" spans="4:4" x14ac:dyDescent="0.25">
      <c r="D983" s="8"/>
    </row>
    <row r="984" spans="4:4" x14ac:dyDescent="0.25">
      <c r="D984" s="8"/>
    </row>
    <row r="985" spans="4:4" x14ac:dyDescent="0.25">
      <c r="D985" s="8"/>
    </row>
    <row r="986" spans="4:4" x14ac:dyDescent="0.25">
      <c r="D986" s="8"/>
    </row>
    <row r="987" spans="4:4" x14ac:dyDescent="0.25">
      <c r="D987" s="8"/>
    </row>
    <row r="988" spans="4:4" x14ac:dyDescent="0.25">
      <c r="D988" s="8"/>
    </row>
    <row r="989" spans="4:4" x14ac:dyDescent="0.25">
      <c r="D989" s="8"/>
    </row>
    <row r="990" spans="4:4" x14ac:dyDescent="0.25">
      <c r="D990" s="8"/>
    </row>
    <row r="991" spans="4:4" x14ac:dyDescent="0.25">
      <c r="D991" s="8"/>
    </row>
    <row r="992" spans="4:4" x14ac:dyDescent="0.25">
      <c r="D992" s="8"/>
    </row>
    <row r="993" spans="4:4" x14ac:dyDescent="0.25">
      <c r="D993" s="8"/>
    </row>
    <row r="994" spans="4:4" x14ac:dyDescent="0.25">
      <c r="D994" s="8"/>
    </row>
    <row r="995" spans="4:4" x14ac:dyDescent="0.25">
      <c r="D995" s="8"/>
    </row>
    <row r="996" spans="4:4" x14ac:dyDescent="0.25">
      <c r="D996" s="8"/>
    </row>
    <row r="997" spans="4:4" x14ac:dyDescent="0.25">
      <c r="D997" s="8"/>
    </row>
    <row r="998" spans="4:4" x14ac:dyDescent="0.25">
      <c r="D998" s="8"/>
    </row>
    <row r="999" spans="4:4" x14ac:dyDescent="0.25">
      <c r="D999" s="8"/>
    </row>
    <row r="1000" spans="4:4" x14ac:dyDescent="0.25">
      <c r="D1000" s="8"/>
    </row>
    <row r="1001" spans="4:4" x14ac:dyDescent="0.25">
      <c r="D1001" s="8"/>
    </row>
    <row r="1002" spans="4:4" x14ac:dyDescent="0.25">
      <c r="D1002" s="8"/>
    </row>
    <row r="1003" spans="4:4" x14ac:dyDescent="0.25">
      <c r="D1003" s="8"/>
    </row>
    <row r="1004" spans="4:4" x14ac:dyDescent="0.25">
      <c r="D1004" s="8"/>
    </row>
    <row r="1005" spans="4:4" x14ac:dyDescent="0.25">
      <c r="D1005" s="8"/>
    </row>
    <row r="1006" spans="4:4" x14ac:dyDescent="0.25">
      <c r="D1006" s="8"/>
    </row>
    <row r="1007" spans="4:4" x14ac:dyDescent="0.25">
      <c r="D1007" s="8"/>
    </row>
    <row r="1008" spans="4:4" x14ac:dyDescent="0.25">
      <c r="D1008" s="8"/>
    </row>
    <row r="1009" spans="4:4" x14ac:dyDescent="0.25">
      <c r="D1009" s="8"/>
    </row>
    <row r="1010" spans="4:4" x14ac:dyDescent="0.25">
      <c r="D1010" s="8"/>
    </row>
    <row r="1011" spans="4:4" x14ac:dyDescent="0.25">
      <c r="D1011" s="8"/>
    </row>
    <row r="1012" spans="4:4" x14ac:dyDescent="0.25">
      <c r="D1012" s="8"/>
    </row>
    <row r="1013" spans="4:4" x14ac:dyDescent="0.25">
      <c r="D1013" s="8"/>
    </row>
    <row r="1014" spans="4:4" x14ac:dyDescent="0.25">
      <c r="D1014" s="8"/>
    </row>
    <row r="1015" spans="4:4" x14ac:dyDescent="0.25">
      <c r="D1015" s="8"/>
    </row>
    <row r="1016" spans="4:4" x14ac:dyDescent="0.25">
      <c r="D1016" s="8"/>
    </row>
    <row r="1017" spans="4:4" x14ac:dyDescent="0.25">
      <c r="D1017" s="8"/>
    </row>
    <row r="1018" spans="4:4" x14ac:dyDescent="0.25">
      <c r="D1018" s="8"/>
    </row>
    <row r="1019" spans="4:4" x14ac:dyDescent="0.25">
      <c r="D1019" s="8"/>
    </row>
    <row r="1020" spans="4:4" x14ac:dyDescent="0.25">
      <c r="D1020" s="8"/>
    </row>
    <row r="1021" spans="4:4" x14ac:dyDescent="0.25">
      <c r="D1021" s="8"/>
    </row>
    <row r="1022" spans="4:4" x14ac:dyDescent="0.25">
      <c r="D1022" s="8"/>
    </row>
    <row r="1023" spans="4:4" x14ac:dyDescent="0.25">
      <c r="D1023" s="8"/>
    </row>
    <row r="1024" spans="4:4" x14ac:dyDescent="0.25">
      <c r="D1024" s="8"/>
    </row>
    <row r="1025" spans="4:4" x14ac:dyDescent="0.25">
      <c r="D1025" s="8"/>
    </row>
    <row r="1026" spans="4:4" x14ac:dyDescent="0.25">
      <c r="D1026" s="8"/>
    </row>
    <row r="1027" spans="4:4" x14ac:dyDescent="0.25">
      <c r="D1027" s="8"/>
    </row>
    <row r="1028" spans="4:4" x14ac:dyDescent="0.25">
      <c r="D1028" s="8"/>
    </row>
    <row r="1029" spans="4:4" x14ac:dyDescent="0.25">
      <c r="D1029" s="8"/>
    </row>
    <row r="1030" spans="4:4" x14ac:dyDescent="0.25">
      <c r="D1030" s="8"/>
    </row>
    <row r="1031" spans="4:4" x14ac:dyDescent="0.25">
      <c r="D1031" s="8"/>
    </row>
    <row r="1032" spans="4:4" x14ac:dyDescent="0.25">
      <c r="D1032" s="8"/>
    </row>
    <row r="1033" spans="4:4" x14ac:dyDescent="0.25">
      <c r="D1033" s="8"/>
    </row>
    <row r="1034" spans="4:4" x14ac:dyDescent="0.25">
      <c r="D1034" s="8"/>
    </row>
    <row r="1035" spans="4:4" x14ac:dyDescent="0.25">
      <c r="D1035" s="8"/>
    </row>
    <row r="1036" spans="4:4" x14ac:dyDescent="0.25">
      <c r="D1036" s="8"/>
    </row>
    <row r="1037" spans="4:4" x14ac:dyDescent="0.25">
      <c r="D1037" s="8"/>
    </row>
    <row r="1038" spans="4:4" x14ac:dyDescent="0.25">
      <c r="D1038" s="8"/>
    </row>
    <row r="1039" spans="4:4" x14ac:dyDescent="0.25">
      <c r="D1039" s="8"/>
    </row>
    <row r="1040" spans="4:4" x14ac:dyDescent="0.25">
      <c r="D1040" s="8"/>
    </row>
    <row r="1041" spans="4:4" x14ac:dyDescent="0.25">
      <c r="D1041" s="8"/>
    </row>
    <row r="1042" spans="4:4" x14ac:dyDescent="0.25">
      <c r="D1042" s="8"/>
    </row>
    <row r="1043" spans="4:4" x14ac:dyDescent="0.25">
      <c r="D1043" s="8"/>
    </row>
    <row r="1044" spans="4:4" x14ac:dyDescent="0.25">
      <c r="D1044" s="8"/>
    </row>
    <row r="1045" spans="4:4" x14ac:dyDescent="0.25">
      <c r="D1045" s="8"/>
    </row>
    <row r="1046" spans="4:4" x14ac:dyDescent="0.25">
      <c r="D1046" s="8"/>
    </row>
    <row r="1047" spans="4:4" x14ac:dyDescent="0.25">
      <c r="D1047" s="8"/>
    </row>
    <row r="1048" spans="4:4" x14ac:dyDescent="0.25">
      <c r="D1048" s="8"/>
    </row>
    <row r="1049" spans="4:4" x14ac:dyDescent="0.25">
      <c r="D1049" s="8"/>
    </row>
    <row r="1050" spans="4:4" x14ac:dyDescent="0.25">
      <c r="D1050" s="8"/>
    </row>
    <row r="1051" spans="4:4" x14ac:dyDescent="0.25">
      <c r="D1051" s="8"/>
    </row>
    <row r="1052" spans="4:4" x14ac:dyDescent="0.25">
      <c r="D1052" s="8"/>
    </row>
    <row r="1053" spans="4:4" x14ac:dyDescent="0.25">
      <c r="D1053" s="8"/>
    </row>
    <row r="1054" spans="4:4" x14ac:dyDescent="0.25">
      <c r="D1054" s="8"/>
    </row>
    <row r="1055" spans="4:4" x14ac:dyDescent="0.25">
      <c r="D1055" s="8"/>
    </row>
    <row r="1056" spans="4:4" x14ac:dyDescent="0.25">
      <c r="D1056" s="8"/>
    </row>
    <row r="1057" spans="4:4" x14ac:dyDescent="0.25">
      <c r="D1057" s="8"/>
    </row>
    <row r="1058" spans="4:4" x14ac:dyDescent="0.25">
      <c r="D1058" s="8"/>
    </row>
    <row r="1059" spans="4:4" x14ac:dyDescent="0.25">
      <c r="D1059" s="8"/>
    </row>
    <row r="1060" spans="4:4" x14ac:dyDescent="0.25">
      <c r="D1060" s="8"/>
    </row>
    <row r="1061" spans="4:4" x14ac:dyDescent="0.25">
      <c r="D1061" s="8"/>
    </row>
    <row r="1062" spans="4:4" x14ac:dyDescent="0.25">
      <c r="D1062" s="8"/>
    </row>
    <row r="1063" spans="4:4" x14ac:dyDescent="0.25">
      <c r="D1063" s="8"/>
    </row>
    <row r="1064" spans="4:4" x14ac:dyDescent="0.25">
      <c r="D1064" s="8"/>
    </row>
    <row r="1065" spans="4:4" x14ac:dyDescent="0.25">
      <c r="D1065" s="8"/>
    </row>
    <row r="1066" spans="4:4" x14ac:dyDescent="0.25">
      <c r="D1066" s="8"/>
    </row>
    <row r="1067" spans="4:4" x14ac:dyDescent="0.25">
      <c r="D1067" s="8"/>
    </row>
    <row r="1068" spans="4:4" x14ac:dyDescent="0.25">
      <c r="D1068" s="8"/>
    </row>
    <row r="1069" spans="4:4" x14ac:dyDescent="0.25">
      <c r="D1069" s="8"/>
    </row>
    <row r="1070" spans="4:4" x14ac:dyDescent="0.25">
      <c r="D1070" s="8"/>
    </row>
    <row r="1071" spans="4:4" x14ac:dyDescent="0.25">
      <c r="D1071" s="8"/>
    </row>
    <row r="1072" spans="4:4" x14ac:dyDescent="0.25">
      <c r="D1072" s="8"/>
    </row>
    <row r="1073" spans="4:4" x14ac:dyDescent="0.25">
      <c r="D1073" s="8"/>
    </row>
    <row r="1074" spans="4:4" x14ac:dyDescent="0.25">
      <c r="D1074" s="8"/>
    </row>
    <row r="1075" spans="4:4" x14ac:dyDescent="0.25">
      <c r="D1075" s="8"/>
    </row>
    <row r="1076" spans="4:4" x14ac:dyDescent="0.25">
      <c r="D1076" s="8"/>
    </row>
    <row r="1077" spans="4:4" x14ac:dyDescent="0.25">
      <c r="D1077" s="8"/>
    </row>
    <row r="1078" spans="4:4" x14ac:dyDescent="0.25">
      <c r="D1078" s="8"/>
    </row>
    <row r="1079" spans="4:4" x14ac:dyDescent="0.25">
      <c r="D1079" s="8"/>
    </row>
    <row r="1080" spans="4:4" x14ac:dyDescent="0.25">
      <c r="D1080" s="8"/>
    </row>
    <row r="1081" spans="4:4" x14ac:dyDescent="0.25">
      <c r="D1081" s="8"/>
    </row>
    <row r="1082" spans="4:4" x14ac:dyDescent="0.25">
      <c r="D1082" s="8"/>
    </row>
    <row r="1083" spans="4:4" x14ac:dyDescent="0.25">
      <c r="D1083" s="8"/>
    </row>
    <row r="1084" spans="4:4" x14ac:dyDescent="0.25">
      <c r="D1084" s="8"/>
    </row>
    <row r="1085" spans="4:4" x14ac:dyDescent="0.25">
      <c r="D1085" s="8"/>
    </row>
    <row r="1086" spans="4:4" x14ac:dyDescent="0.25">
      <c r="D1086" s="8"/>
    </row>
    <row r="1087" spans="4:4" x14ac:dyDescent="0.25">
      <c r="D1087" s="8"/>
    </row>
    <row r="1088" spans="4:4" x14ac:dyDescent="0.25">
      <c r="D1088" s="8"/>
    </row>
    <row r="1089" spans="4:4" x14ac:dyDescent="0.25">
      <c r="D1089" s="8"/>
    </row>
    <row r="1090" spans="4:4" x14ac:dyDescent="0.25">
      <c r="D1090" s="8"/>
    </row>
    <row r="1091" spans="4:4" x14ac:dyDescent="0.25">
      <c r="D1091" s="8"/>
    </row>
    <row r="1092" spans="4:4" x14ac:dyDescent="0.25">
      <c r="D1092" s="8"/>
    </row>
    <row r="1093" spans="4:4" x14ac:dyDescent="0.25">
      <c r="D1093" s="8"/>
    </row>
    <row r="1094" spans="4:4" x14ac:dyDescent="0.25">
      <c r="D1094" s="8"/>
    </row>
    <row r="1095" spans="4:4" x14ac:dyDescent="0.25">
      <c r="D1095" s="8"/>
    </row>
    <row r="1096" spans="4:4" x14ac:dyDescent="0.25">
      <c r="D1096" s="8"/>
    </row>
    <row r="1097" spans="4:4" x14ac:dyDescent="0.25">
      <c r="D1097" s="8"/>
    </row>
    <row r="1098" spans="4:4" x14ac:dyDescent="0.25">
      <c r="D1098" s="8"/>
    </row>
    <row r="1099" spans="4:4" x14ac:dyDescent="0.25">
      <c r="D1099" s="8"/>
    </row>
    <row r="1100" spans="4:4" x14ac:dyDescent="0.25">
      <c r="D1100" s="8"/>
    </row>
    <row r="1101" spans="4:4" x14ac:dyDescent="0.25">
      <c r="D1101" s="8"/>
    </row>
    <row r="1102" spans="4:4" x14ac:dyDescent="0.25">
      <c r="D1102" s="8"/>
    </row>
    <row r="1103" spans="4:4" x14ac:dyDescent="0.25">
      <c r="D1103" s="8"/>
    </row>
    <row r="1104" spans="4:4" x14ac:dyDescent="0.25">
      <c r="D1104" s="8"/>
    </row>
    <row r="1105" spans="4:4" x14ac:dyDescent="0.25">
      <c r="D1105" s="8"/>
    </row>
    <row r="1106" spans="4:4" x14ac:dyDescent="0.25">
      <c r="D1106" s="8"/>
    </row>
    <row r="1107" spans="4:4" x14ac:dyDescent="0.25">
      <c r="D1107" s="8"/>
    </row>
    <row r="1108" spans="4:4" x14ac:dyDescent="0.25">
      <c r="D1108" s="8"/>
    </row>
    <row r="1109" spans="4:4" x14ac:dyDescent="0.25">
      <c r="D1109" s="8"/>
    </row>
    <row r="1110" spans="4:4" x14ac:dyDescent="0.25">
      <c r="D1110" s="8"/>
    </row>
    <row r="1111" spans="4:4" x14ac:dyDescent="0.25">
      <c r="D1111" s="8"/>
    </row>
    <row r="1112" spans="4:4" x14ac:dyDescent="0.25">
      <c r="D1112" s="8"/>
    </row>
    <row r="1113" spans="4:4" x14ac:dyDescent="0.25">
      <c r="D1113" s="8"/>
    </row>
    <row r="1114" spans="4:4" x14ac:dyDescent="0.25">
      <c r="D1114" s="8"/>
    </row>
    <row r="1115" spans="4:4" x14ac:dyDescent="0.25">
      <c r="D1115" s="8"/>
    </row>
    <row r="1116" spans="4:4" x14ac:dyDescent="0.25">
      <c r="D1116" s="8"/>
    </row>
    <row r="1117" spans="4:4" x14ac:dyDescent="0.25">
      <c r="D1117" s="8"/>
    </row>
    <row r="1118" spans="4:4" x14ac:dyDescent="0.25">
      <c r="D1118" s="8"/>
    </row>
    <row r="1119" spans="4:4" x14ac:dyDescent="0.25">
      <c r="D1119" s="8"/>
    </row>
    <row r="1120" spans="4:4" x14ac:dyDescent="0.25">
      <c r="D1120" s="8"/>
    </row>
    <row r="1121" spans="4:4" x14ac:dyDescent="0.25">
      <c r="D1121" s="8"/>
    </row>
    <row r="1122" spans="4:4" x14ac:dyDescent="0.25">
      <c r="D1122" s="8"/>
    </row>
    <row r="1123" spans="4:4" x14ac:dyDescent="0.25">
      <c r="D1123" s="8"/>
    </row>
    <row r="1124" spans="4:4" x14ac:dyDescent="0.25">
      <c r="D1124" s="8"/>
    </row>
    <row r="1125" spans="4:4" x14ac:dyDescent="0.25">
      <c r="D1125" s="8"/>
    </row>
    <row r="1126" spans="4:4" x14ac:dyDescent="0.25">
      <c r="D1126" s="8"/>
    </row>
    <row r="1127" spans="4:4" x14ac:dyDescent="0.25">
      <c r="D1127" s="8"/>
    </row>
    <row r="1128" spans="4:4" x14ac:dyDescent="0.25">
      <c r="D1128" s="8"/>
    </row>
    <row r="1129" spans="4:4" x14ac:dyDescent="0.25">
      <c r="D1129" s="8"/>
    </row>
    <row r="1130" spans="4:4" x14ac:dyDescent="0.25">
      <c r="D1130" s="8"/>
    </row>
    <row r="1131" spans="4:4" x14ac:dyDescent="0.25">
      <c r="D1131" s="8"/>
    </row>
    <row r="1132" spans="4:4" x14ac:dyDescent="0.25">
      <c r="D1132" s="8"/>
    </row>
    <row r="1133" spans="4:4" x14ac:dyDescent="0.25">
      <c r="D1133" s="8"/>
    </row>
    <row r="1134" spans="4:4" x14ac:dyDescent="0.25">
      <c r="D1134" s="8"/>
    </row>
    <row r="1135" spans="4:4" x14ac:dyDescent="0.25">
      <c r="D1135" s="8"/>
    </row>
    <row r="1136" spans="4:4" x14ac:dyDescent="0.25">
      <c r="D1136" s="8"/>
    </row>
    <row r="1137" spans="4:4" x14ac:dyDescent="0.25">
      <c r="D1137" s="8"/>
    </row>
    <row r="1138" spans="4:4" x14ac:dyDescent="0.25">
      <c r="D1138" s="8"/>
    </row>
    <row r="1139" spans="4:4" x14ac:dyDescent="0.25">
      <c r="D1139" s="8"/>
    </row>
    <row r="1140" spans="4:4" x14ac:dyDescent="0.25">
      <c r="D1140" s="8"/>
    </row>
    <row r="1141" spans="4:4" x14ac:dyDescent="0.25">
      <c r="D1141" s="8"/>
    </row>
    <row r="1142" spans="4:4" x14ac:dyDescent="0.25">
      <c r="D1142" s="8"/>
    </row>
    <row r="1143" spans="4:4" x14ac:dyDescent="0.25">
      <c r="D1143" s="8"/>
    </row>
    <row r="1144" spans="4:4" x14ac:dyDescent="0.25">
      <c r="D1144" s="8"/>
    </row>
    <row r="1145" spans="4:4" x14ac:dyDescent="0.25">
      <c r="D1145" s="8"/>
    </row>
    <row r="1146" spans="4:4" x14ac:dyDescent="0.25">
      <c r="D1146" s="8"/>
    </row>
    <row r="1147" spans="4:4" x14ac:dyDescent="0.25">
      <c r="D1147" s="8"/>
    </row>
    <row r="1148" spans="4:4" x14ac:dyDescent="0.25">
      <c r="D1148" s="8"/>
    </row>
    <row r="1149" spans="4:4" x14ac:dyDescent="0.25">
      <c r="D1149" s="8"/>
    </row>
    <row r="1150" spans="4:4" x14ac:dyDescent="0.25">
      <c r="D1150" s="8"/>
    </row>
    <row r="1151" spans="4:4" x14ac:dyDescent="0.25">
      <c r="D1151" s="8"/>
    </row>
    <row r="1152" spans="4:4" x14ac:dyDescent="0.25">
      <c r="D1152" s="8"/>
    </row>
    <row r="1153" spans="4:4" x14ac:dyDescent="0.25">
      <c r="D1153" s="8"/>
    </row>
    <row r="1154" spans="4:4" x14ac:dyDescent="0.25">
      <c r="D1154" s="8"/>
    </row>
    <row r="1155" spans="4:4" x14ac:dyDescent="0.25">
      <c r="D1155" s="8"/>
    </row>
    <row r="1156" spans="4:4" x14ac:dyDescent="0.25">
      <c r="D1156" s="8"/>
    </row>
    <row r="1157" spans="4:4" x14ac:dyDescent="0.25">
      <c r="D1157" s="8"/>
    </row>
    <row r="1158" spans="4:4" x14ac:dyDescent="0.25">
      <c r="D1158" s="8"/>
    </row>
    <row r="1159" spans="4:4" x14ac:dyDescent="0.25">
      <c r="D1159" s="8"/>
    </row>
    <row r="1160" spans="4:4" x14ac:dyDescent="0.25">
      <c r="D1160" s="8"/>
    </row>
    <row r="1161" spans="4:4" x14ac:dyDescent="0.25">
      <c r="D1161" s="8"/>
    </row>
    <row r="1162" spans="4:4" x14ac:dyDescent="0.25">
      <c r="D1162" s="8"/>
    </row>
    <row r="1163" spans="4:4" x14ac:dyDescent="0.25">
      <c r="D1163" s="8"/>
    </row>
    <row r="1164" spans="4:4" x14ac:dyDescent="0.25">
      <c r="D1164" s="8"/>
    </row>
    <row r="1165" spans="4:4" x14ac:dyDescent="0.25">
      <c r="D1165" s="8"/>
    </row>
    <row r="1166" spans="4:4" x14ac:dyDescent="0.25">
      <c r="D1166" s="8"/>
    </row>
    <row r="1167" spans="4:4" x14ac:dyDescent="0.25">
      <c r="D1167" s="8"/>
    </row>
    <row r="1168" spans="4:4" x14ac:dyDescent="0.25">
      <c r="D1168" s="8"/>
    </row>
    <row r="1169" spans="4:4" x14ac:dyDescent="0.25">
      <c r="D1169" s="8"/>
    </row>
    <row r="1170" spans="4:4" x14ac:dyDescent="0.25">
      <c r="D1170" s="8"/>
    </row>
    <row r="1171" spans="4:4" x14ac:dyDescent="0.25">
      <c r="D1171" s="8"/>
    </row>
    <row r="1172" spans="4:4" x14ac:dyDescent="0.25">
      <c r="D1172" s="8"/>
    </row>
    <row r="1173" spans="4:4" x14ac:dyDescent="0.25">
      <c r="D1173" s="8"/>
    </row>
    <row r="1174" spans="4:4" x14ac:dyDescent="0.25">
      <c r="D1174" s="8"/>
    </row>
    <row r="1175" spans="4:4" x14ac:dyDescent="0.25">
      <c r="D1175" s="8"/>
    </row>
    <row r="1176" spans="4:4" x14ac:dyDescent="0.25">
      <c r="D1176" s="8"/>
    </row>
    <row r="1177" spans="4:4" x14ac:dyDescent="0.25">
      <c r="D1177" s="8"/>
    </row>
    <row r="1178" spans="4:4" x14ac:dyDescent="0.25">
      <c r="D1178" s="8"/>
    </row>
    <row r="1179" spans="4:4" x14ac:dyDescent="0.25">
      <c r="D1179" s="8"/>
    </row>
    <row r="1180" spans="4:4" x14ac:dyDescent="0.25">
      <c r="D1180" s="8"/>
    </row>
    <row r="1181" spans="4:4" x14ac:dyDescent="0.25">
      <c r="D1181" s="8"/>
    </row>
    <row r="1182" spans="4:4" x14ac:dyDescent="0.25">
      <c r="D1182" s="8"/>
    </row>
    <row r="1183" spans="4:4" x14ac:dyDescent="0.25">
      <c r="D1183" s="8"/>
    </row>
    <row r="1184" spans="4:4" x14ac:dyDescent="0.25">
      <c r="D1184" s="8"/>
    </row>
    <row r="1185" spans="4:4" x14ac:dyDescent="0.25">
      <c r="D1185" s="8"/>
    </row>
    <row r="1186" spans="4:4" x14ac:dyDescent="0.25">
      <c r="D1186" s="8"/>
    </row>
    <row r="1187" spans="4:4" x14ac:dyDescent="0.25">
      <c r="D1187" s="8"/>
    </row>
    <row r="1188" spans="4:4" x14ac:dyDescent="0.25">
      <c r="D1188" s="8"/>
    </row>
    <row r="1189" spans="4:4" x14ac:dyDescent="0.25">
      <c r="D1189" s="8"/>
    </row>
    <row r="1190" spans="4:4" x14ac:dyDescent="0.25">
      <c r="D1190" s="8"/>
    </row>
    <row r="1191" spans="4:4" x14ac:dyDescent="0.25">
      <c r="D1191" s="8"/>
    </row>
    <row r="1192" spans="4:4" x14ac:dyDescent="0.25">
      <c r="D1192" s="8"/>
    </row>
    <row r="1193" spans="4:4" x14ac:dyDescent="0.25">
      <c r="D1193" s="8"/>
    </row>
    <row r="1194" spans="4:4" x14ac:dyDescent="0.25">
      <c r="D1194" s="8"/>
    </row>
    <row r="1195" spans="4:4" x14ac:dyDescent="0.25">
      <c r="D1195" s="8"/>
    </row>
    <row r="1196" spans="4:4" x14ac:dyDescent="0.25">
      <c r="D1196" s="8"/>
    </row>
    <row r="1197" spans="4:4" x14ac:dyDescent="0.25">
      <c r="D1197" s="8"/>
    </row>
    <row r="1198" spans="4:4" x14ac:dyDescent="0.25">
      <c r="D1198" s="8"/>
    </row>
    <row r="1199" spans="4:4" x14ac:dyDescent="0.25">
      <c r="D1199" s="8"/>
    </row>
    <row r="1200" spans="4:4" x14ac:dyDescent="0.25">
      <c r="D1200" s="8"/>
    </row>
    <row r="1201" spans="4:4" x14ac:dyDescent="0.25">
      <c r="D1201" s="8"/>
    </row>
    <row r="1202" spans="4:4" x14ac:dyDescent="0.25">
      <c r="D1202" s="8"/>
    </row>
    <row r="1203" spans="4:4" x14ac:dyDescent="0.25">
      <c r="D1203" s="8"/>
    </row>
    <row r="1204" spans="4:4" x14ac:dyDescent="0.25">
      <c r="D1204" s="8"/>
    </row>
    <row r="1205" spans="4:4" x14ac:dyDescent="0.25">
      <c r="D1205" s="8"/>
    </row>
    <row r="1206" spans="4:4" x14ac:dyDescent="0.25">
      <c r="D1206" s="8"/>
    </row>
    <row r="1207" spans="4:4" x14ac:dyDescent="0.25">
      <c r="D1207" s="8"/>
    </row>
    <row r="1208" spans="4:4" x14ac:dyDescent="0.25">
      <c r="D1208" s="8"/>
    </row>
    <row r="1209" spans="4:4" x14ac:dyDescent="0.25">
      <c r="D1209" s="8"/>
    </row>
    <row r="1210" spans="4:4" x14ac:dyDescent="0.25">
      <c r="D1210" s="8"/>
    </row>
    <row r="1211" spans="4:4" x14ac:dyDescent="0.25">
      <c r="D1211" s="8"/>
    </row>
    <row r="1212" spans="4:4" x14ac:dyDescent="0.25">
      <c r="D1212" s="8"/>
    </row>
    <row r="1213" spans="4:4" x14ac:dyDescent="0.25">
      <c r="D1213" s="8"/>
    </row>
    <row r="1214" spans="4:4" x14ac:dyDescent="0.25">
      <c r="D1214" s="8"/>
    </row>
    <row r="1215" spans="4:4" x14ac:dyDescent="0.25">
      <c r="D1215" s="8"/>
    </row>
    <row r="1216" spans="4:4" x14ac:dyDescent="0.25">
      <c r="D1216" s="8"/>
    </row>
    <row r="1217" spans="4:4" x14ac:dyDescent="0.25">
      <c r="D1217" s="8"/>
    </row>
    <row r="1218" spans="4:4" x14ac:dyDescent="0.25">
      <c r="D1218" s="8"/>
    </row>
    <row r="1219" spans="4:4" x14ac:dyDescent="0.25">
      <c r="D1219" s="8"/>
    </row>
    <row r="1220" spans="4:4" x14ac:dyDescent="0.25">
      <c r="D1220" s="8"/>
    </row>
    <row r="1221" spans="4:4" x14ac:dyDescent="0.25">
      <c r="D1221" s="8"/>
    </row>
    <row r="1222" spans="4:4" x14ac:dyDescent="0.25">
      <c r="D1222" s="8"/>
    </row>
    <row r="1223" spans="4:4" x14ac:dyDescent="0.25">
      <c r="D1223" s="8"/>
    </row>
    <row r="1224" spans="4:4" x14ac:dyDescent="0.25">
      <c r="D1224" s="8"/>
    </row>
    <row r="1225" spans="4:4" x14ac:dyDescent="0.25">
      <c r="D1225" s="8"/>
    </row>
    <row r="1226" spans="4:4" x14ac:dyDescent="0.25">
      <c r="D1226" s="8"/>
    </row>
    <row r="1227" spans="4:4" x14ac:dyDescent="0.25">
      <c r="D1227" s="8"/>
    </row>
    <row r="1228" spans="4:4" x14ac:dyDescent="0.25">
      <c r="D1228" s="8"/>
    </row>
    <row r="1229" spans="4:4" x14ac:dyDescent="0.25">
      <c r="D1229" s="8"/>
    </row>
    <row r="1230" spans="4:4" x14ac:dyDescent="0.25">
      <c r="D1230" s="8"/>
    </row>
    <row r="1231" spans="4:4" x14ac:dyDescent="0.25">
      <c r="D1231" s="8"/>
    </row>
    <row r="1232" spans="4:4" x14ac:dyDescent="0.25">
      <c r="D1232" s="8"/>
    </row>
    <row r="1233" spans="4:4" x14ac:dyDescent="0.25">
      <c r="D1233" s="8"/>
    </row>
    <row r="1234" spans="4:4" x14ac:dyDescent="0.25">
      <c r="D1234" s="8"/>
    </row>
    <row r="1235" spans="4:4" x14ac:dyDescent="0.25">
      <c r="D1235" s="8"/>
    </row>
    <row r="1236" spans="4:4" x14ac:dyDescent="0.25">
      <c r="D1236" s="8"/>
    </row>
    <row r="1237" spans="4:4" x14ac:dyDescent="0.25">
      <c r="D1237" s="8"/>
    </row>
    <row r="1238" spans="4:4" x14ac:dyDescent="0.25">
      <c r="D1238" s="8"/>
    </row>
    <row r="1239" spans="4:4" x14ac:dyDescent="0.25">
      <c r="D1239" s="8"/>
    </row>
    <row r="1240" spans="4:4" x14ac:dyDescent="0.25">
      <c r="D1240" s="8"/>
    </row>
    <row r="1241" spans="4:4" x14ac:dyDescent="0.25">
      <c r="D1241" s="8"/>
    </row>
    <row r="1242" spans="4:4" x14ac:dyDescent="0.25">
      <c r="D1242" s="8"/>
    </row>
    <row r="1243" spans="4:4" x14ac:dyDescent="0.25">
      <c r="D1243" s="8"/>
    </row>
    <row r="1244" spans="4:4" x14ac:dyDescent="0.25">
      <c r="D1244" s="8"/>
    </row>
    <row r="1245" spans="4:4" x14ac:dyDescent="0.25">
      <c r="D1245" s="8"/>
    </row>
    <row r="1246" spans="4:4" x14ac:dyDescent="0.25">
      <c r="D1246" s="8"/>
    </row>
    <row r="1247" spans="4:4" x14ac:dyDescent="0.25">
      <c r="D1247" s="8"/>
    </row>
    <row r="1248" spans="4:4" x14ac:dyDescent="0.25">
      <c r="D1248" s="8"/>
    </row>
    <row r="1249" spans="4:4" x14ac:dyDescent="0.25">
      <c r="D1249" s="8"/>
    </row>
    <row r="1250" spans="4:4" x14ac:dyDescent="0.25">
      <c r="D1250" s="8"/>
    </row>
    <row r="1251" spans="4:4" x14ac:dyDescent="0.25">
      <c r="D1251" s="8"/>
    </row>
    <row r="1252" spans="4:4" x14ac:dyDescent="0.25">
      <c r="D1252" s="8"/>
    </row>
    <row r="1253" spans="4:4" x14ac:dyDescent="0.25">
      <c r="D1253" s="8"/>
    </row>
    <row r="1254" spans="4:4" x14ac:dyDescent="0.25">
      <c r="D1254" s="8"/>
    </row>
    <row r="1255" spans="4:4" x14ac:dyDescent="0.25">
      <c r="D1255" s="8"/>
    </row>
    <row r="1256" spans="4:4" x14ac:dyDescent="0.25">
      <c r="D1256" s="8"/>
    </row>
    <row r="1257" spans="4:4" x14ac:dyDescent="0.25">
      <c r="D1257" s="8"/>
    </row>
    <row r="1258" spans="4:4" x14ac:dyDescent="0.25">
      <c r="D1258" s="8"/>
    </row>
    <row r="1259" spans="4:4" x14ac:dyDescent="0.25">
      <c r="D1259" s="8"/>
    </row>
    <row r="1260" spans="4:4" x14ac:dyDescent="0.25">
      <c r="D1260" s="8"/>
    </row>
    <row r="1261" spans="4:4" x14ac:dyDescent="0.25">
      <c r="D1261" s="8"/>
    </row>
    <row r="1262" spans="4:4" x14ac:dyDescent="0.25">
      <c r="D1262" s="8"/>
    </row>
    <row r="1263" spans="4:4" x14ac:dyDescent="0.25">
      <c r="D1263" s="8"/>
    </row>
    <row r="1264" spans="4:4" x14ac:dyDescent="0.25">
      <c r="D1264" s="8"/>
    </row>
    <row r="1265" spans="4:4" x14ac:dyDescent="0.25">
      <c r="D1265" s="8"/>
    </row>
    <row r="1266" spans="4:4" x14ac:dyDescent="0.25">
      <c r="D1266" s="8"/>
    </row>
    <row r="1267" spans="4:4" x14ac:dyDescent="0.25">
      <c r="D1267" s="8"/>
    </row>
    <row r="1268" spans="4:4" x14ac:dyDescent="0.25">
      <c r="D1268" s="8"/>
    </row>
    <row r="1269" spans="4:4" x14ac:dyDescent="0.25">
      <c r="D1269" s="8"/>
    </row>
    <row r="1270" spans="4:4" x14ac:dyDescent="0.25">
      <c r="D1270" s="8"/>
    </row>
    <row r="1271" spans="4:4" x14ac:dyDescent="0.25">
      <c r="D1271" s="8"/>
    </row>
    <row r="1272" spans="4:4" x14ac:dyDescent="0.25">
      <c r="D1272" s="8"/>
    </row>
    <row r="1273" spans="4:4" x14ac:dyDescent="0.25">
      <c r="D1273" s="8"/>
    </row>
    <row r="1274" spans="4:4" x14ac:dyDescent="0.25">
      <c r="D1274" s="8"/>
    </row>
    <row r="1275" spans="4:4" x14ac:dyDescent="0.25">
      <c r="D1275" s="8"/>
    </row>
    <row r="1276" spans="4:4" x14ac:dyDescent="0.25">
      <c r="D1276" s="8"/>
    </row>
    <row r="1277" spans="4:4" x14ac:dyDescent="0.25">
      <c r="D1277" s="8"/>
    </row>
    <row r="1278" spans="4:4" x14ac:dyDescent="0.25">
      <c r="D1278" s="8"/>
    </row>
    <row r="1279" spans="4:4" x14ac:dyDescent="0.25">
      <c r="D1279" s="8"/>
    </row>
    <row r="1280" spans="4:4" x14ac:dyDescent="0.25">
      <c r="D1280" s="8"/>
    </row>
    <row r="1281" spans="4:4" x14ac:dyDescent="0.25">
      <c r="D1281" s="8"/>
    </row>
    <row r="1282" spans="4:4" x14ac:dyDescent="0.25">
      <c r="D1282" s="8"/>
    </row>
    <row r="1283" spans="4:4" x14ac:dyDescent="0.25">
      <c r="D1283" s="8"/>
    </row>
    <row r="1284" spans="4:4" x14ac:dyDescent="0.25">
      <c r="D1284" s="8"/>
    </row>
    <row r="1285" spans="4:4" x14ac:dyDescent="0.25">
      <c r="D1285" s="8"/>
    </row>
    <row r="1286" spans="4:4" x14ac:dyDescent="0.25">
      <c r="D1286" s="8"/>
    </row>
    <row r="1287" spans="4:4" x14ac:dyDescent="0.25">
      <c r="D1287" s="8"/>
    </row>
    <row r="1288" spans="4:4" x14ac:dyDescent="0.25">
      <c r="D1288" s="8"/>
    </row>
    <row r="1289" spans="4:4" x14ac:dyDescent="0.25">
      <c r="D1289" s="8"/>
    </row>
    <row r="1290" spans="4:4" x14ac:dyDescent="0.25">
      <c r="D1290" s="8"/>
    </row>
    <row r="1291" spans="4:4" x14ac:dyDescent="0.25">
      <c r="D1291" s="8"/>
    </row>
    <row r="1292" spans="4:4" x14ac:dyDescent="0.25">
      <c r="D1292" s="8"/>
    </row>
    <row r="1293" spans="4:4" x14ac:dyDescent="0.25">
      <c r="D1293" s="8"/>
    </row>
    <row r="1294" spans="4:4" x14ac:dyDescent="0.25">
      <c r="D1294" s="8"/>
    </row>
    <row r="1295" spans="4:4" x14ac:dyDescent="0.25">
      <c r="D1295" s="8"/>
    </row>
    <row r="1296" spans="4:4" x14ac:dyDescent="0.25">
      <c r="D1296" s="8"/>
    </row>
    <row r="1297" spans="4:4" x14ac:dyDescent="0.25">
      <c r="D1297" s="8"/>
    </row>
    <row r="1298" spans="4:4" x14ac:dyDescent="0.25">
      <c r="D1298" s="8"/>
    </row>
    <row r="1299" spans="4:4" x14ac:dyDescent="0.25">
      <c r="D1299" s="8"/>
    </row>
    <row r="1300" spans="4:4" x14ac:dyDescent="0.25">
      <c r="D1300" s="8"/>
    </row>
    <row r="1301" spans="4:4" x14ac:dyDescent="0.25">
      <c r="D1301" s="8"/>
    </row>
    <row r="1302" spans="4:4" x14ac:dyDescent="0.25">
      <c r="D1302" s="8"/>
    </row>
    <row r="1303" spans="4:4" x14ac:dyDescent="0.25">
      <c r="D1303" s="8"/>
    </row>
    <row r="1304" spans="4:4" x14ac:dyDescent="0.25">
      <c r="D1304" s="8"/>
    </row>
    <row r="1305" spans="4:4" x14ac:dyDescent="0.25">
      <c r="D1305" s="8"/>
    </row>
    <row r="1306" spans="4:4" x14ac:dyDescent="0.25">
      <c r="D1306" s="8"/>
    </row>
    <row r="1307" spans="4:4" x14ac:dyDescent="0.25">
      <c r="D1307" s="8"/>
    </row>
    <row r="1308" spans="4:4" x14ac:dyDescent="0.25">
      <c r="D1308" s="8"/>
    </row>
    <row r="1309" spans="4:4" x14ac:dyDescent="0.25">
      <c r="D1309" s="8"/>
    </row>
    <row r="1310" spans="4:4" x14ac:dyDescent="0.25">
      <c r="D1310" s="8"/>
    </row>
    <row r="1311" spans="4:4" x14ac:dyDescent="0.25">
      <c r="D1311" s="8"/>
    </row>
    <row r="1312" spans="4:4" x14ac:dyDescent="0.25">
      <c r="D1312" s="8"/>
    </row>
    <row r="1313" spans="4:4" x14ac:dyDescent="0.25">
      <c r="D1313" s="8"/>
    </row>
    <row r="1314" spans="4:4" x14ac:dyDescent="0.25">
      <c r="D1314" s="8"/>
    </row>
    <row r="1315" spans="4:4" x14ac:dyDescent="0.25">
      <c r="D1315" s="8"/>
    </row>
    <row r="1316" spans="4:4" x14ac:dyDescent="0.25">
      <c r="D1316" s="8"/>
    </row>
    <row r="1317" spans="4:4" x14ac:dyDescent="0.25">
      <c r="D1317" s="8"/>
    </row>
    <row r="1318" spans="4:4" x14ac:dyDescent="0.25">
      <c r="D1318" s="8"/>
    </row>
    <row r="1319" spans="4:4" x14ac:dyDescent="0.25">
      <c r="D1319" s="8"/>
    </row>
    <row r="1320" spans="4:4" x14ac:dyDescent="0.25">
      <c r="D1320" s="8"/>
    </row>
    <row r="1321" spans="4:4" x14ac:dyDescent="0.25">
      <c r="D1321" s="8"/>
    </row>
    <row r="1322" spans="4:4" x14ac:dyDescent="0.25">
      <c r="D1322" s="8"/>
    </row>
    <row r="1323" spans="4:4" x14ac:dyDescent="0.25">
      <c r="D1323" s="8"/>
    </row>
    <row r="1324" spans="4:4" x14ac:dyDescent="0.25">
      <c r="D1324" s="8"/>
    </row>
    <row r="1325" spans="4:4" x14ac:dyDescent="0.25">
      <c r="D1325" s="8"/>
    </row>
    <row r="1326" spans="4:4" x14ac:dyDescent="0.25">
      <c r="D1326" s="8"/>
    </row>
    <row r="1327" spans="4:4" x14ac:dyDescent="0.25">
      <c r="D1327" s="8"/>
    </row>
    <row r="1328" spans="4:4" x14ac:dyDescent="0.25">
      <c r="D1328" s="8"/>
    </row>
    <row r="1329" spans="4:4" x14ac:dyDescent="0.25">
      <c r="D1329" s="8"/>
    </row>
    <row r="1330" spans="4:4" x14ac:dyDescent="0.25">
      <c r="D1330" s="8"/>
    </row>
    <row r="1331" spans="4:4" x14ac:dyDescent="0.25">
      <c r="D1331" s="8"/>
    </row>
    <row r="1332" spans="4:4" x14ac:dyDescent="0.25">
      <c r="D1332" s="8"/>
    </row>
    <row r="1333" spans="4:4" x14ac:dyDescent="0.25">
      <c r="D1333" s="8"/>
    </row>
    <row r="1334" spans="4:4" x14ac:dyDescent="0.25">
      <c r="D1334" s="8"/>
    </row>
    <row r="1335" spans="4:4" x14ac:dyDescent="0.25">
      <c r="D1335" s="8"/>
    </row>
    <row r="1336" spans="4:4" x14ac:dyDescent="0.25">
      <c r="D1336" s="8"/>
    </row>
    <row r="1337" spans="4:4" x14ac:dyDescent="0.25">
      <c r="D1337" s="8"/>
    </row>
    <row r="1338" spans="4:4" x14ac:dyDescent="0.25">
      <c r="D1338" s="8"/>
    </row>
    <row r="1339" spans="4:4" x14ac:dyDescent="0.25">
      <c r="D1339" s="8"/>
    </row>
    <row r="1340" spans="4:4" x14ac:dyDescent="0.25">
      <c r="D1340" s="8"/>
    </row>
    <row r="1341" spans="4:4" x14ac:dyDescent="0.25">
      <c r="D1341" s="8"/>
    </row>
    <row r="1342" spans="4:4" x14ac:dyDescent="0.25">
      <c r="D1342" s="8"/>
    </row>
    <row r="1343" spans="4:4" x14ac:dyDescent="0.25">
      <c r="D1343" s="8"/>
    </row>
    <row r="1344" spans="4:4" x14ac:dyDescent="0.25">
      <c r="D1344" s="8"/>
    </row>
    <row r="1345" spans="4:4" x14ac:dyDescent="0.25">
      <c r="D1345" s="8"/>
    </row>
    <row r="1346" spans="4:4" x14ac:dyDescent="0.25">
      <c r="D1346" s="8"/>
    </row>
    <row r="1347" spans="4:4" x14ac:dyDescent="0.25">
      <c r="D1347" s="8"/>
    </row>
    <row r="1348" spans="4:4" x14ac:dyDescent="0.25">
      <c r="D1348" s="8"/>
    </row>
    <row r="1349" spans="4:4" x14ac:dyDescent="0.25">
      <c r="D1349" s="8"/>
    </row>
    <row r="1350" spans="4:4" x14ac:dyDescent="0.25">
      <c r="D1350" s="8"/>
    </row>
    <row r="1351" spans="4:4" x14ac:dyDescent="0.25">
      <c r="D1351" s="8"/>
    </row>
    <row r="1352" spans="4:4" x14ac:dyDescent="0.25">
      <c r="D1352" s="8"/>
    </row>
    <row r="1353" spans="4:4" x14ac:dyDescent="0.25">
      <c r="D1353" s="8"/>
    </row>
    <row r="1354" spans="4:4" x14ac:dyDescent="0.25">
      <c r="D1354" s="8"/>
    </row>
    <row r="1355" spans="4:4" x14ac:dyDescent="0.25">
      <c r="D1355" s="8"/>
    </row>
    <row r="1356" spans="4:4" x14ac:dyDescent="0.25">
      <c r="D1356" s="8"/>
    </row>
    <row r="1357" spans="4:4" x14ac:dyDescent="0.25">
      <c r="D1357" s="8"/>
    </row>
    <row r="1358" spans="4:4" x14ac:dyDescent="0.25">
      <c r="D1358" s="8"/>
    </row>
    <row r="1359" spans="4:4" x14ac:dyDescent="0.25">
      <c r="D1359" s="8"/>
    </row>
    <row r="1360" spans="4:4" x14ac:dyDescent="0.25">
      <c r="D1360" s="8"/>
    </row>
    <row r="1361" spans="4:4" x14ac:dyDescent="0.25">
      <c r="D1361" s="8"/>
    </row>
    <row r="1362" spans="4:4" x14ac:dyDescent="0.25">
      <c r="D1362" s="8"/>
    </row>
    <row r="1363" spans="4:4" x14ac:dyDescent="0.25">
      <c r="D1363" s="8"/>
    </row>
    <row r="1364" spans="4:4" x14ac:dyDescent="0.25">
      <c r="D1364" s="8"/>
    </row>
    <row r="1365" spans="4:4" x14ac:dyDescent="0.25">
      <c r="D1365" s="8"/>
    </row>
    <row r="1366" spans="4:4" x14ac:dyDescent="0.25">
      <c r="D1366" s="8"/>
    </row>
    <row r="1367" spans="4:4" x14ac:dyDescent="0.25">
      <c r="D1367" s="8"/>
    </row>
    <row r="1368" spans="4:4" x14ac:dyDescent="0.25">
      <c r="D1368" s="8"/>
    </row>
    <row r="1369" spans="4:4" x14ac:dyDescent="0.25">
      <c r="D1369" s="8"/>
    </row>
    <row r="1370" spans="4:4" x14ac:dyDescent="0.25">
      <c r="D1370" s="8"/>
    </row>
    <row r="1371" spans="4:4" x14ac:dyDescent="0.25">
      <c r="D1371" s="8"/>
    </row>
    <row r="1372" spans="4:4" x14ac:dyDescent="0.25">
      <c r="D1372" s="8"/>
    </row>
    <row r="1373" spans="4:4" x14ac:dyDescent="0.25">
      <c r="D1373" s="8"/>
    </row>
    <row r="1374" spans="4:4" x14ac:dyDescent="0.25">
      <c r="D1374" s="8"/>
    </row>
    <row r="1375" spans="4:4" x14ac:dyDescent="0.25">
      <c r="D1375" s="8"/>
    </row>
    <row r="1376" spans="4:4" x14ac:dyDescent="0.25">
      <c r="D1376" s="8"/>
    </row>
    <row r="1377" spans="4:4" x14ac:dyDescent="0.25">
      <c r="D1377" s="8"/>
    </row>
    <row r="1378" spans="4:4" x14ac:dyDescent="0.25">
      <c r="D1378" s="8"/>
    </row>
    <row r="1379" spans="4:4" x14ac:dyDescent="0.25">
      <c r="D1379" s="8"/>
    </row>
    <row r="1380" spans="4:4" x14ac:dyDescent="0.25">
      <c r="D1380" s="8"/>
    </row>
    <row r="1381" spans="4:4" x14ac:dyDescent="0.25">
      <c r="D1381" s="8"/>
    </row>
    <row r="1382" spans="4:4" x14ac:dyDescent="0.25">
      <c r="D1382" s="8"/>
    </row>
    <row r="1383" spans="4:4" x14ac:dyDescent="0.25">
      <c r="D1383" s="8"/>
    </row>
    <row r="1384" spans="4:4" x14ac:dyDescent="0.25">
      <c r="D1384" s="8"/>
    </row>
    <row r="1385" spans="4:4" x14ac:dyDescent="0.25">
      <c r="D1385" s="8"/>
    </row>
    <row r="1386" spans="4:4" x14ac:dyDescent="0.25">
      <c r="D1386" s="8"/>
    </row>
    <row r="1387" spans="4:4" x14ac:dyDescent="0.25">
      <c r="D1387" s="8"/>
    </row>
    <row r="1388" spans="4:4" x14ac:dyDescent="0.25">
      <c r="D1388" s="8"/>
    </row>
    <row r="1389" spans="4:4" x14ac:dyDescent="0.25">
      <c r="D1389" s="8"/>
    </row>
    <row r="1390" spans="4:4" x14ac:dyDescent="0.25">
      <c r="D1390" s="8"/>
    </row>
    <row r="1391" spans="4:4" x14ac:dyDescent="0.25">
      <c r="D1391" s="8"/>
    </row>
    <row r="1392" spans="4:4" x14ac:dyDescent="0.25">
      <c r="D1392" s="8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banco</vt:lpstr>
      <vt:lpstr>procv</vt:lpstr>
      <vt:lpstr>banco regsau</vt:lpstr>
      <vt:lpstr>população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Milena Alves de Carvalho Costa</dc:creator>
  <cp:lastModifiedBy>WALTER SOARES BORGES NETO</cp:lastModifiedBy>
  <dcterms:created xsi:type="dcterms:W3CDTF">2025-12-17T20:07:50Z</dcterms:created>
  <dcterms:modified xsi:type="dcterms:W3CDTF">2026-02-03T14:13:47Z</dcterms:modified>
</cp:coreProperties>
</file>