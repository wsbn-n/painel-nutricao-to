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4385" yWindow="-15" windowWidth="14430" windowHeight="12720" tabRatio="671"/>
  </bookViews>
  <sheets>
    <sheet name="banco" sheetId="1" r:id="rId1"/>
    <sheet name="procv" sheetId="2" r:id="rId2"/>
    <sheet name="banco regsau" sheetId="6" r:id="rId3"/>
    <sheet name="população" sheetId="8" r:id="rId4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9" i="1" l="1"/>
  <c r="H419" i="1"/>
  <c r="J419" i="1"/>
  <c r="L419" i="1"/>
  <c r="N419" i="1"/>
  <c r="P419" i="1"/>
  <c r="AA38" i="8" l="1"/>
  <c r="AA37" i="8"/>
  <c r="AA36" i="8"/>
  <c r="AA35" i="8"/>
  <c r="AA34" i="8"/>
  <c r="AA33" i="8"/>
  <c r="AA32" i="8"/>
  <c r="AA31" i="8"/>
  <c r="AA30" i="8"/>
  <c r="AA26" i="8"/>
  <c r="AA25" i="8"/>
  <c r="AA24" i="8"/>
  <c r="AA23" i="8"/>
  <c r="AA22" i="8"/>
  <c r="AA21" i="8"/>
  <c r="AA20" i="8"/>
  <c r="AA19" i="8"/>
  <c r="AA18" i="8"/>
  <c r="AA5" i="8"/>
  <c r="AA6" i="8"/>
  <c r="AA7" i="8"/>
  <c r="AA8" i="8"/>
  <c r="AA9" i="8"/>
  <c r="AA10" i="8"/>
  <c r="AA11" i="8"/>
  <c r="AA12" i="8"/>
  <c r="AA4" i="8"/>
  <c r="Q38" i="8"/>
  <c r="R38" i="8"/>
  <c r="S38" i="8"/>
  <c r="T38" i="8"/>
  <c r="U38" i="8"/>
  <c r="V38" i="8"/>
  <c r="W38" i="8"/>
  <c r="X38" i="8"/>
  <c r="Y38" i="8"/>
  <c r="Z38" i="8"/>
  <c r="Z37" i="8"/>
  <c r="Y37" i="8"/>
  <c r="X37" i="8"/>
  <c r="W37" i="8"/>
  <c r="V37" i="8"/>
  <c r="U37" i="8"/>
  <c r="T37" i="8"/>
  <c r="S37" i="8"/>
  <c r="R37" i="8"/>
  <c r="Z36" i="8"/>
  <c r="Y36" i="8"/>
  <c r="X36" i="8"/>
  <c r="W36" i="8"/>
  <c r="V36" i="8"/>
  <c r="U36" i="8"/>
  <c r="T36" i="8"/>
  <c r="S36" i="8"/>
  <c r="R36" i="8"/>
  <c r="Z35" i="8"/>
  <c r="Y35" i="8"/>
  <c r="X35" i="8"/>
  <c r="W35" i="8"/>
  <c r="V35" i="8"/>
  <c r="U35" i="8"/>
  <c r="T35" i="8"/>
  <c r="S35" i="8"/>
  <c r="R35" i="8"/>
  <c r="Z34" i="8"/>
  <c r="Y34" i="8"/>
  <c r="X34" i="8"/>
  <c r="W34" i="8"/>
  <c r="V34" i="8"/>
  <c r="U34" i="8"/>
  <c r="T34" i="8"/>
  <c r="S34" i="8"/>
  <c r="R34" i="8"/>
  <c r="Z33" i="8"/>
  <c r="Y33" i="8"/>
  <c r="X33" i="8"/>
  <c r="W33" i="8"/>
  <c r="V33" i="8"/>
  <c r="U33" i="8"/>
  <c r="T33" i="8"/>
  <c r="S33" i="8"/>
  <c r="R33" i="8"/>
  <c r="Z32" i="8"/>
  <c r="Y32" i="8"/>
  <c r="X32" i="8"/>
  <c r="W32" i="8"/>
  <c r="V32" i="8"/>
  <c r="U32" i="8"/>
  <c r="T32" i="8"/>
  <c r="S32" i="8"/>
  <c r="R32" i="8"/>
  <c r="Z31" i="8"/>
  <c r="Y31" i="8"/>
  <c r="X31" i="8"/>
  <c r="W31" i="8"/>
  <c r="V31" i="8"/>
  <c r="U31" i="8"/>
  <c r="T31" i="8"/>
  <c r="S31" i="8"/>
  <c r="R31" i="8"/>
  <c r="Z30" i="8"/>
  <c r="Y30" i="8"/>
  <c r="X30" i="8"/>
  <c r="W30" i="8"/>
  <c r="V30" i="8"/>
  <c r="U30" i="8"/>
  <c r="T30" i="8"/>
  <c r="S30" i="8"/>
  <c r="R30" i="8"/>
  <c r="Q35" i="8"/>
  <c r="Q34" i="8"/>
  <c r="Q33" i="8"/>
  <c r="Q32" i="8"/>
  <c r="Q31" i="8"/>
  <c r="Q37" i="8"/>
  <c r="Q36" i="8"/>
  <c r="Q30" i="8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J2" i="1"/>
  <c r="F2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O74" i="6" l="1"/>
  <c r="O62" i="6"/>
  <c r="O34" i="6"/>
  <c r="O22" i="6"/>
  <c r="C74" i="6"/>
  <c r="O75" i="6"/>
  <c r="O63" i="6"/>
  <c r="O35" i="6"/>
  <c r="O23" i="6"/>
  <c r="O76" i="6"/>
  <c r="O64" i="6"/>
  <c r="O36" i="6"/>
  <c r="O24" i="6"/>
  <c r="O77" i="6"/>
  <c r="O65" i="6"/>
  <c r="O37" i="6"/>
  <c r="O25" i="6"/>
  <c r="O78" i="6"/>
  <c r="O50" i="6"/>
  <c r="O38" i="6"/>
  <c r="O10" i="6"/>
  <c r="O48" i="6"/>
  <c r="O8" i="6"/>
  <c r="O49" i="6"/>
  <c r="O21" i="6"/>
  <c r="O9" i="6"/>
  <c r="O79" i="6"/>
  <c r="O51" i="6"/>
  <c r="O39" i="6"/>
  <c r="O11" i="6"/>
  <c r="O80" i="6"/>
  <c r="O52" i="6"/>
  <c r="O40" i="6"/>
  <c r="O12" i="6"/>
  <c r="O81" i="6"/>
  <c r="O53" i="6"/>
  <c r="O41" i="6"/>
  <c r="O13" i="6"/>
  <c r="O66" i="6"/>
  <c r="O54" i="6"/>
  <c r="O26" i="6"/>
  <c r="O14" i="6"/>
  <c r="O67" i="6"/>
  <c r="O55" i="6"/>
  <c r="O27" i="6"/>
  <c r="O15" i="6"/>
  <c r="O68" i="6"/>
  <c r="O56" i="6"/>
  <c r="O28" i="6"/>
  <c r="O16" i="6"/>
  <c r="O69" i="6"/>
  <c r="O57" i="6"/>
  <c r="O29" i="6"/>
  <c r="O17" i="6"/>
  <c r="O70" i="6"/>
  <c r="O42" i="6"/>
  <c r="O30" i="6"/>
  <c r="O2" i="6"/>
  <c r="O71" i="6"/>
  <c r="O43" i="6"/>
  <c r="O31" i="6"/>
  <c r="O3" i="6"/>
  <c r="O72" i="6"/>
  <c r="O44" i="6"/>
  <c r="O32" i="6"/>
  <c r="O4" i="6"/>
  <c r="O73" i="6"/>
  <c r="O45" i="6"/>
  <c r="O33" i="6"/>
  <c r="O5" i="6"/>
  <c r="O58" i="6"/>
  <c r="O46" i="6"/>
  <c r="O18" i="6"/>
  <c r="O6" i="6"/>
  <c r="O59" i="6"/>
  <c r="O47" i="6"/>
  <c r="O19" i="6"/>
  <c r="O7" i="6"/>
  <c r="O60" i="6"/>
  <c r="O20" i="6"/>
  <c r="O61" i="6"/>
  <c r="P74" i="6"/>
  <c r="P75" i="6"/>
  <c r="P76" i="6"/>
  <c r="P77" i="6"/>
  <c r="P71" i="6"/>
  <c r="P65" i="6"/>
  <c r="P43" i="6"/>
  <c r="P37" i="6"/>
  <c r="P31" i="6"/>
  <c r="P25" i="6"/>
  <c r="P3" i="6"/>
  <c r="P78" i="6"/>
  <c r="P79" i="6"/>
  <c r="P80" i="6"/>
  <c r="P81" i="6"/>
  <c r="P59" i="6"/>
  <c r="P53" i="6"/>
  <c r="P47" i="6"/>
  <c r="P41" i="6"/>
  <c r="P19" i="6"/>
  <c r="P13" i="6"/>
  <c r="P7" i="6"/>
  <c r="K2" i="6"/>
  <c r="K24" i="6"/>
  <c r="K30" i="6"/>
  <c r="K36" i="6"/>
  <c r="K42" i="6"/>
  <c r="K64" i="6"/>
  <c r="K70" i="6"/>
  <c r="K76" i="6"/>
  <c r="G2" i="6"/>
  <c r="G24" i="6"/>
  <c r="G30" i="6"/>
  <c r="G36" i="6"/>
  <c r="G42" i="6"/>
  <c r="G64" i="6"/>
  <c r="G70" i="6"/>
  <c r="G76" i="6"/>
  <c r="C2" i="6"/>
  <c r="C24" i="6"/>
  <c r="C30" i="6"/>
  <c r="C36" i="6"/>
  <c r="C42" i="6"/>
  <c r="C64" i="6"/>
  <c r="C70" i="6"/>
  <c r="C76" i="6"/>
  <c r="M17" i="6"/>
  <c r="M23" i="6"/>
  <c r="M29" i="6"/>
  <c r="M35" i="6"/>
  <c r="M57" i="6"/>
  <c r="M63" i="6"/>
  <c r="M69" i="6"/>
  <c r="M75" i="6"/>
  <c r="I17" i="6"/>
  <c r="I23" i="6"/>
  <c r="I29" i="6"/>
  <c r="I35" i="6"/>
  <c r="I57" i="6"/>
  <c r="I63" i="6"/>
  <c r="I69" i="6"/>
  <c r="I75" i="6"/>
  <c r="E17" i="6"/>
  <c r="E23" i="6"/>
  <c r="E29" i="6"/>
  <c r="E35" i="6"/>
  <c r="E57" i="6"/>
  <c r="E63" i="6"/>
  <c r="E69" i="6"/>
  <c r="E75" i="6"/>
  <c r="P66" i="6"/>
  <c r="P67" i="6"/>
  <c r="P63" i="6"/>
  <c r="P18" i="6"/>
  <c r="M7" i="6"/>
  <c r="M12" i="6"/>
  <c r="M33" i="6"/>
  <c r="M38" i="6"/>
  <c r="M43" i="6"/>
  <c r="M64" i="6"/>
  <c r="M68" i="6"/>
  <c r="I9" i="6"/>
  <c r="I14" i="6"/>
  <c r="I19" i="6"/>
  <c r="I40" i="6"/>
  <c r="I45" i="6"/>
  <c r="I50" i="6"/>
  <c r="I71" i="6"/>
  <c r="I76" i="6"/>
  <c r="E16" i="6"/>
  <c r="E21" i="6"/>
  <c r="E26" i="6"/>
  <c r="E47" i="6"/>
  <c r="E52" i="6"/>
  <c r="E73" i="6"/>
  <c r="E78" i="6"/>
  <c r="P68" i="6"/>
  <c r="P52" i="6"/>
  <c r="P28" i="6"/>
  <c r="K3" i="6"/>
  <c r="K23" i="6"/>
  <c r="K28" i="6"/>
  <c r="K49" i="6"/>
  <c r="K54" i="6"/>
  <c r="K59" i="6"/>
  <c r="K80" i="6"/>
  <c r="P42" i="6"/>
  <c r="P35" i="6"/>
  <c r="P32" i="6"/>
  <c r="K5" i="6"/>
  <c r="K25" i="6"/>
  <c r="M27" i="6"/>
  <c r="M47" i="6"/>
  <c r="M51" i="6"/>
  <c r="M71" i="6"/>
  <c r="M74" i="6"/>
  <c r="G15" i="6"/>
  <c r="G19" i="6"/>
  <c r="I39" i="6"/>
  <c r="G44" i="6"/>
  <c r="I64" i="6"/>
  <c r="G68" i="6"/>
  <c r="E8" i="6"/>
  <c r="C13" i="6"/>
  <c r="E33" i="6"/>
  <c r="C38" i="6"/>
  <c r="E42" i="6"/>
  <c r="C62" i="6"/>
  <c r="E66" i="6"/>
  <c r="G14" i="6"/>
  <c r="G63" i="6"/>
  <c r="C8" i="6"/>
  <c r="E12" i="6"/>
  <c r="E37" i="6"/>
  <c r="C57" i="6"/>
  <c r="E61" i="6"/>
  <c r="P69" i="6"/>
  <c r="P54" i="6"/>
  <c r="P14" i="6"/>
  <c r="M4" i="6"/>
  <c r="M24" i="6"/>
  <c r="K27" i="6"/>
  <c r="K47" i="6"/>
  <c r="K51" i="6"/>
  <c r="K71" i="6"/>
  <c r="K74" i="6"/>
  <c r="I18" i="6"/>
  <c r="G39" i="6"/>
  <c r="I43" i="6"/>
  <c r="I67" i="6"/>
  <c r="C33" i="6"/>
  <c r="C66" i="6"/>
  <c r="P70" i="6"/>
  <c r="P36" i="6"/>
  <c r="P33" i="6"/>
  <c r="P15" i="6"/>
  <c r="K4" i="6"/>
  <c r="M22" i="6"/>
  <c r="M26" i="6"/>
  <c r="M46" i="6"/>
  <c r="M50" i="6"/>
  <c r="M70" i="6"/>
  <c r="G9" i="6"/>
  <c r="I13" i="6"/>
  <c r="G18" i="6"/>
  <c r="I38" i="6"/>
  <c r="G43" i="6"/>
  <c r="I62" i="6"/>
  <c r="G67" i="6"/>
  <c r="E7" i="6"/>
  <c r="C12" i="6"/>
  <c r="E32" i="6"/>
  <c r="C37" i="6"/>
  <c r="E56" i="6"/>
  <c r="C61" i="6"/>
  <c r="E81" i="6"/>
  <c r="P55" i="6"/>
  <c r="M3" i="6"/>
  <c r="K22" i="6"/>
  <c r="K26" i="6"/>
  <c r="K46" i="6"/>
  <c r="K50" i="6"/>
  <c r="K69" i="6"/>
  <c r="I8" i="6"/>
  <c r="G13" i="6"/>
  <c r="I33" i="6"/>
  <c r="G38" i="6"/>
  <c r="I42" i="6"/>
  <c r="G62" i="6"/>
  <c r="I66" i="6"/>
  <c r="C7" i="6"/>
  <c r="E11" i="6"/>
  <c r="C32" i="6"/>
  <c r="E36" i="6"/>
  <c r="C56" i="6"/>
  <c r="E60" i="6"/>
  <c r="C81" i="6"/>
  <c r="P16" i="6"/>
  <c r="P73" i="6"/>
  <c r="P39" i="6"/>
  <c r="P17" i="6"/>
  <c r="P57" i="6"/>
  <c r="P21" i="6"/>
  <c r="P60" i="6"/>
  <c r="P44" i="6"/>
  <c r="P22" i="6"/>
  <c r="K15" i="6"/>
  <c r="K19" i="6"/>
  <c r="K39" i="6"/>
  <c r="M42" i="6"/>
  <c r="M61" i="6"/>
  <c r="M81" i="6"/>
  <c r="I5" i="6"/>
  <c r="G10" i="6"/>
  <c r="I30" i="6"/>
  <c r="G34" i="6"/>
  <c r="I54" i="6"/>
  <c r="G59" i="6"/>
  <c r="I79" i="6"/>
  <c r="C4" i="6"/>
  <c r="E24" i="6"/>
  <c r="C28" i="6"/>
  <c r="E48" i="6"/>
  <c r="C53" i="6"/>
  <c r="C73" i="6"/>
  <c r="E77" i="6"/>
  <c r="P62" i="6"/>
  <c r="P46" i="6"/>
  <c r="P72" i="6"/>
  <c r="P34" i="6"/>
  <c r="K11" i="6"/>
  <c r="K41" i="6"/>
  <c r="M56" i="6"/>
  <c r="M73" i="6"/>
  <c r="I7" i="6"/>
  <c r="G25" i="6"/>
  <c r="G26" i="6"/>
  <c r="I56" i="6"/>
  <c r="G58" i="6"/>
  <c r="I74" i="6"/>
  <c r="E10" i="6"/>
  <c r="C27" i="6"/>
  <c r="E44" i="6"/>
  <c r="E59" i="6"/>
  <c r="E76" i="6"/>
  <c r="M10" i="6"/>
  <c r="K56" i="6"/>
  <c r="K73" i="6"/>
  <c r="I24" i="6"/>
  <c r="I41" i="6"/>
  <c r="G56" i="6"/>
  <c r="G74" i="6"/>
  <c r="H74" i="6" s="1"/>
  <c r="C10" i="6"/>
  <c r="C26" i="6"/>
  <c r="C44" i="6"/>
  <c r="C75" i="6"/>
  <c r="P58" i="6"/>
  <c r="P11" i="6"/>
  <c r="M9" i="6"/>
  <c r="M40" i="6"/>
  <c r="G7" i="6"/>
  <c r="I73" i="6"/>
  <c r="C59" i="6"/>
  <c r="P38" i="6"/>
  <c r="P61" i="6"/>
  <c r="P40" i="6"/>
  <c r="P12" i="6"/>
  <c r="M8" i="6"/>
  <c r="M25" i="6"/>
  <c r="M39" i="6"/>
  <c r="K55" i="6"/>
  <c r="K72" i="6"/>
  <c r="G6" i="6"/>
  <c r="I22" i="6"/>
  <c r="G40" i="6"/>
  <c r="G55" i="6"/>
  <c r="I72" i="6"/>
  <c r="C9" i="6"/>
  <c r="C25" i="6"/>
  <c r="C41" i="6"/>
  <c r="C43" i="6"/>
  <c r="C58" i="6"/>
  <c r="P26" i="6"/>
  <c r="P50" i="6"/>
  <c r="K6" i="6"/>
  <c r="P29" i="6"/>
  <c r="P5" i="6"/>
  <c r="M5" i="6"/>
  <c r="M19" i="6"/>
  <c r="K35" i="6"/>
  <c r="K52" i="6"/>
  <c r="K66" i="6"/>
  <c r="G3" i="6"/>
  <c r="G20" i="6"/>
  <c r="I34" i="6"/>
  <c r="G52" i="6"/>
  <c r="I68" i="6"/>
  <c r="E4" i="6"/>
  <c r="E20" i="6"/>
  <c r="E38" i="6"/>
  <c r="E53" i="6"/>
  <c r="E70" i="6"/>
  <c r="P51" i="6"/>
  <c r="P6" i="6"/>
  <c r="M2" i="6"/>
  <c r="M18" i="6"/>
  <c r="M34" i="6"/>
  <c r="M65" i="6"/>
  <c r="K81" i="6"/>
  <c r="I2" i="6"/>
  <c r="G33" i="6"/>
  <c r="I49" i="6"/>
  <c r="I51" i="6"/>
  <c r="G66" i="6"/>
  <c r="E3" i="6"/>
  <c r="C20" i="6"/>
  <c r="C35" i="6"/>
  <c r="C52" i="6"/>
  <c r="C69" i="6"/>
  <c r="P30" i="6"/>
  <c r="P49" i="6"/>
  <c r="P10" i="6"/>
  <c r="M11" i="6"/>
  <c r="M41" i="6"/>
  <c r="K57" i="6"/>
  <c r="K58" i="6"/>
  <c r="G8" i="6"/>
  <c r="I25" i="6"/>
  <c r="I26" i="6"/>
  <c r="G57" i="6"/>
  <c r="I58" i="6"/>
  <c r="G75" i="6"/>
  <c r="H75" i="6" s="1"/>
  <c r="C11" i="6"/>
  <c r="E27" i="6"/>
  <c r="C45" i="6"/>
  <c r="C60" i="6"/>
  <c r="C77" i="6"/>
  <c r="P64" i="6"/>
  <c r="P8" i="6"/>
  <c r="K20" i="6"/>
  <c r="K45" i="6"/>
  <c r="M67" i="6"/>
  <c r="I15" i="6"/>
  <c r="G41" i="6"/>
  <c r="G50" i="6"/>
  <c r="I77" i="6"/>
  <c r="C21" i="6"/>
  <c r="C47" i="6"/>
  <c r="C72" i="6"/>
  <c r="K18" i="6"/>
  <c r="K67" i="6"/>
  <c r="I12" i="6"/>
  <c r="I65" i="6"/>
  <c r="G77" i="6"/>
  <c r="E19" i="6"/>
  <c r="E71" i="6"/>
  <c r="P56" i="6"/>
  <c r="K33" i="6"/>
  <c r="K44" i="6"/>
  <c r="G12" i="6"/>
  <c r="G37" i="6"/>
  <c r="E9" i="6"/>
  <c r="C19" i="6"/>
  <c r="C46" i="6"/>
  <c r="M44" i="6"/>
  <c r="I37" i="6"/>
  <c r="E46" i="6"/>
  <c r="P9" i="6"/>
  <c r="M66" i="6"/>
  <c r="G65" i="6"/>
  <c r="C71" i="6"/>
  <c r="K9" i="6"/>
  <c r="M32" i="6"/>
  <c r="K43" i="6"/>
  <c r="M80" i="6"/>
  <c r="I11" i="6"/>
  <c r="I36" i="6"/>
  <c r="I61" i="6"/>
  <c r="E6" i="6"/>
  <c r="E18" i="6"/>
  <c r="E45" i="6"/>
  <c r="E68" i="6"/>
  <c r="P45" i="6"/>
  <c r="K7" i="6"/>
  <c r="M54" i="6"/>
  <c r="I10" i="6"/>
  <c r="I60" i="6"/>
  <c r="E31" i="6"/>
  <c r="E67" i="6"/>
  <c r="K31" i="6"/>
  <c r="M78" i="6"/>
  <c r="I48" i="6"/>
  <c r="C5" i="6"/>
  <c r="C55" i="6"/>
  <c r="K8" i="6"/>
  <c r="K32" i="6"/>
  <c r="M55" i="6"/>
  <c r="M79" i="6"/>
  <c r="G11" i="6"/>
  <c r="G35" i="6"/>
  <c r="G61" i="6"/>
  <c r="C6" i="6"/>
  <c r="C18" i="6"/>
  <c r="E43" i="6"/>
  <c r="C68" i="6"/>
  <c r="M31" i="6"/>
  <c r="K79" i="6"/>
  <c r="G49" i="6"/>
  <c r="E5" i="6"/>
  <c r="E55" i="6"/>
  <c r="M6" i="6"/>
  <c r="M53" i="6"/>
  <c r="G23" i="6"/>
  <c r="G60" i="6"/>
  <c r="C31" i="6"/>
  <c r="C67" i="6"/>
  <c r="M30" i="6"/>
  <c r="P48" i="6"/>
  <c r="M16" i="6"/>
  <c r="K29" i="6"/>
  <c r="M52" i="6"/>
  <c r="M77" i="6"/>
  <c r="I21" i="6"/>
  <c r="I47" i="6"/>
  <c r="G73" i="6"/>
  <c r="E2" i="6"/>
  <c r="C29" i="6"/>
  <c r="C54" i="6"/>
  <c r="C80" i="6"/>
  <c r="K40" i="6"/>
  <c r="M76" i="6"/>
  <c r="N76" i="6" s="1"/>
  <c r="I46" i="6"/>
  <c r="C16" i="6"/>
  <c r="C51" i="6"/>
  <c r="K16" i="6"/>
  <c r="M28" i="6"/>
  <c r="K65" i="6"/>
  <c r="K77" i="6"/>
  <c r="G21" i="6"/>
  <c r="G47" i="6"/>
  <c r="G72" i="6"/>
  <c r="C17" i="6"/>
  <c r="E28" i="6"/>
  <c r="E51" i="6"/>
  <c r="E79" i="6"/>
  <c r="P27" i="6"/>
  <c r="M15" i="6"/>
  <c r="K63" i="6"/>
  <c r="I20" i="6"/>
  <c r="G71" i="6"/>
  <c r="E41" i="6"/>
  <c r="C79" i="6"/>
  <c r="K37" i="6"/>
  <c r="G5" i="6"/>
  <c r="I44" i="6"/>
  <c r="E14" i="6"/>
  <c r="E65" i="6"/>
  <c r="M36" i="6"/>
  <c r="I4" i="6"/>
  <c r="I55" i="6"/>
  <c r="C14" i="6"/>
  <c r="C65" i="6"/>
  <c r="G4" i="6"/>
  <c r="G54" i="6"/>
  <c r="E13" i="6"/>
  <c r="P2" i="6"/>
  <c r="G22" i="6"/>
  <c r="E80" i="6"/>
  <c r="M60" i="6"/>
  <c r="G29" i="6"/>
  <c r="I28" i="6"/>
  <c r="C49" i="6"/>
  <c r="G27" i="6"/>
  <c r="M20" i="6"/>
  <c r="C50" i="6"/>
  <c r="E64" i="6"/>
  <c r="C39" i="6"/>
  <c r="K21" i="6"/>
  <c r="P20" i="6"/>
  <c r="K34" i="6"/>
  <c r="K13" i="6"/>
  <c r="M59" i="6"/>
  <c r="G46" i="6"/>
  <c r="M49" i="6"/>
  <c r="I3" i="6"/>
  <c r="I53" i="6"/>
  <c r="E25" i="6"/>
  <c r="C63" i="6"/>
  <c r="I16" i="6"/>
  <c r="E58" i="6"/>
  <c r="P24" i="6"/>
  <c r="G16" i="6"/>
  <c r="C22" i="6"/>
  <c r="K53" i="6"/>
  <c r="E30" i="6"/>
  <c r="G81" i="6"/>
  <c r="K60" i="6"/>
  <c r="C34" i="6"/>
  <c r="M72" i="6"/>
  <c r="K78" i="6"/>
  <c r="E15" i="6"/>
  <c r="C15" i="6"/>
  <c r="M48" i="6"/>
  <c r="G17" i="6"/>
  <c r="G53" i="6"/>
  <c r="C23" i="6"/>
  <c r="E62" i="6"/>
  <c r="P23" i="6"/>
  <c r="K48" i="6"/>
  <c r="I52" i="6"/>
  <c r="M45" i="6"/>
  <c r="G51" i="6"/>
  <c r="E72" i="6"/>
  <c r="I59" i="6"/>
  <c r="E34" i="6"/>
  <c r="E49" i="6"/>
  <c r="I27" i="6"/>
  <c r="G78" i="6"/>
  <c r="C3" i="6"/>
  <c r="G45" i="6"/>
  <c r="E22" i="6"/>
  <c r="M13" i="6"/>
  <c r="K10" i="6"/>
  <c r="K75" i="6"/>
  <c r="L75" i="6" s="1"/>
  <c r="I80" i="6"/>
  <c r="K12" i="6"/>
  <c r="M58" i="6"/>
  <c r="K68" i="6"/>
  <c r="K38" i="6"/>
  <c r="M37" i="6"/>
  <c r="P4" i="6"/>
  <c r="K17" i="6"/>
  <c r="M62" i="6"/>
  <c r="I32" i="6"/>
  <c r="I70" i="6"/>
  <c r="E40" i="6"/>
  <c r="C78" i="6"/>
  <c r="K62" i="6"/>
  <c r="G32" i="6"/>
  <c r="C40" i="6"/>
  <c r="E74" i="6"/>
  <c r="K61" i="6"/>
  <c r="I81" i="6"/>
  <c r="G79" i="6"/>
  <c r="I78" i="6"/>
  <c r="C48" i="6"/>
  <c r="G48" i="6"/>
  <c r="I6" i="6"/>
  <c r="M14" i="6"/>
  <c r="G69" i="6"/>
  <c r="K14" i="6"/>
  <c r="I31" i="6"/>
  <c r="E39" i="6"/>
  <c r="G31" i="6"/>
  <c r="G80" i="6"/>
  <c r="G28" i="6"/>
  <c r="M21" i="6"/>
  <c r="E54" i="6"/>
  <c r="E50" i="6"/>
  <c r="J68" i="6" l="1"/>
  <c r="F68" i="6"/>
  <c r="D63" i="6"/>
  <c r="N74" i="6"/>
  <c r="L79" i="6"/>
  <c r="F74" i="6"/>
  <c r="J74" i="6"/>
  <c r="L63" i="6"/>
  <c r="F80" i="6"/>
  <c r="H81" i="6"/>
  <c r="D50" i="6"/>
  <c r="D71" i="6"/>
  <c r="H71" i="6"/>
  <c r="H59" i="6"/>
  <c r="L60" i="6"/>
  <c r="H60" i="6"/>
  <c r="D75" i="6"/>
  <c r="L78" i="6"/>
  <c r="H78" i="6"/>
  <c r="D39" i="6"/>
  <c r="F18" i="6"/>
  <c r="N36" i="6"/>
  <c r="F72" i="6"/>
  <c r="F79" i="6"/>
  <c r="J55" i="6"/>
  <c r="N55" i="6"/>
  <c r="J18" i="6"/>
  <c r="N30" i="6"/>
  <c r="J42" i="6"/>
  <c r="F15" i="6"/>
  <c r="N79" i="6"/>
  <c r="J70" i="6"/>
  <c r="F30" i="6"/>
  <c r="F70" i="6"/>
  <c r="D15" i="6"/>
  <c r="D78" i="6"/>
  <c r="H15" i="6"/>
  <c r="D16" i="6"/>
  <c r="L34" i="6"/>
  <c r="L53" i="6"/>
  <c r="L37" i="6"/>
  <c r="D55" i="6"/>
  <c r="H53" i="6"/>
  <c r="H77" i="6"/>
  <c r="F22" i="6"/>
  <c r="N15" i="6"/>
  <c r="N59" i="6"/>
  <c r="H55" i="6"/>
  <c r="F33" i="6"/>
  <c r="L13" i="6"/>
  <c r="D80" i="6"/>
  <c r="H73" i="6"/>
  <c r="D73" i="6"/>
  <c r="L50" i="6"/>
  <c r="L77" i="6"/>
  <c r="D34" i="6"/>
  <c r="D77" i="6"/>
  <c r="H80" i="6"/>
  <c r="J15" i="6"/>
  <c r="J80" i="6"/>
  <c r="N75" i="6"/>
  <c r="J21" i="6"/>
  <c r="F55" i="6"/>
  <c r="N77" i="6"/>
  <c r="N80" i="6"/>
  <c r="F75" i="6"/>
  <c r="N78" i="6"/>
  <c r="J78" i="6"/>
  <c r="D26" i="6"/>
  <c r="D74" i="6"/>
  <c r="N18" i="6"/>
  <c r="J25" i="6"/>
  <c r="J72" i="6"/>
  <c r="J36" i="6"/>
  <c r="J32" i="6"/>
  <c r="F65" i="6"/>
  <c r="J3" i="6"/>
  <c r="F25" i="6"/>
  <c r="F41" i="6"/>
  <c r="N41" i="6"/>
  <c r="N25" i="6"/>
  <c r="H69" i="6"/>
  <c r="H79" i="6"/>
  <c r="L44" i="6"/>
  <c r="D69" i="6"/>
  <c r="H51" i="6"/>
  <c r="L15" i="6"/>
  <c r="L58" i="6"/>
  <c r="H31" i="6"/>
  <c r="D79" i="6"/>
  <c r="L40" i="6"/>
  <c r="L76" i="6"/>
  <c r="D40" i="6"/>
  <c r="H11" i="6"/>
  <c r="D76" i="6"/>
  <c r="N81" i="6"/>
  <c r="J53" i="6"/>
  <c r="N58" i="6"/>
  <c r="F58" i="6"/>
  <c r="J44" i="6"/>
  <c r="F78" i="6"/>
  <c r="F5" i="6"/>
  <c r="N72" i="6"/>
  <c r="N32" i="6"/>
  <c r="J41" i="6"/>
  <c r="J79" i="6"/>
  <c r="J75" i="6"/>
  <c r="J76" i="6"/>
  <c r="J58" i="6"/>
  <c r="L26" i="6"/>
  <c r="H26" i="6"/>
  <c r="J66" i="6"/>
  <c r="F3" i="6"/>
  <c r="J28" i="6"/>
  <c r="J65" i="6"/>
  <c r="N65" i="6"/>
  <c r="F81" i="6"/>
  <c r="N14" i="6"/>
  <c r="F14" i="6"/>
  <c r="J81" i="6"/>
  <c r="J19" i="6"/>
  <c r="N28" i="6"/>
  <c r="H27" i="6"/>
  <c r="H35" i="6"/>
  <c r="D49" i="6"/>
  <c r="L20" i="6"/>
  <c r="D20" i="6"/>
  <c r="H49" i="6"/>
  <c r="H16" i="6"/>
  <c r="L7" i="6"/>
  <c r="D6" i="6"/>
  <c r="H41" i="6"/>
  <c r="D41" i="6"/>
  <c r="L19" i="6"/>
  <c r="D59" i="6"/>
  <c r="H72" i="6"/>
  <c r="L81" i="6"/>
  <c r="D72" i="6"/>
  <c r="J33" i="6"/>
  <c r="J10" i="6"/>
  <c r="D51" i="6"/>
  <c r="F34" i="6"/>
  <c r="H66" i="6"/>
  <c r="F76" i="6"/>
  <c r="H13" i="6"/>
  <c r="D53" i="6"/>
  <c r="D66" i="6"/>
  <c r="L69" i="6"/>
  <c r="L18" i="6"/>
  <c r="L66" i="6"/>
  <c r="L38" i="6"/>
  <c r="L16" i="6"/>
  <c r="L80" i="6"/>
  <c r="D18" i="6"/>
  <c r="H50" i="6"/>
  <c r="L39" i="6"/>
  <c r="N24" i="6"/>
  <c r="F64" i="6"/>
  <c r="D65" i="6"/>
  <c r="H6" i="6"/>
  <c r="H5" i="6"/>
  <c r="H39" i="6"/>
  <c r="L74" i="6"/>
  <c r="L65" i="6"/>
  <c r="H12" i="6"/>
  <c r="L54" i="6"/>
  <c r="D54" i="6"/>
  <c r="J37" i="6"/>
  <c r="L12" i="6"/>
  <c r="J16" i="6"/>
  <c r="F53" i="6"/>
  <c r="N53" i="6"/>
  <c r="F7" i="6"/>
  <c r="N70" i="6"/>
  <c r="F49" i="6"/>
  <c r="N5" i="6"/>
  <c r="H61" i="6"/>
  <c r="F59" i="6"/>
  <c r="F28" i="6"/>
  <c r="J43" i="6"/>
  <c r="N33" i="6"/>
  <c r="J59" i="6"/>
  <c r="D60" i="6"/>
  <c r="L61" i="6"/>
  <c r="D19" i="6"/>
  <c r="F43" i="6"/>
  <c r="N13" i="6"/>
  <c r="H44" i="6"/>
  <c r="J71" i="6"/>
  <c r="N67" i="6"/>
  <c r="N42" i="6"/>
  <c r="F6" i="6"/>
  <c r="N44" i="6"/>
  <c r="H40" i="6"/>
  <c r="J6" i="6"/>
  <c r="N62" i="6"/>
  <c r="J47" i="6"/>
  <c r="F77" i="6"/>
  <c r="N71" i="6"/>
  <c r="N52" i="6"/>
  <c r="F71" i="6"/>
  <c r="L55" i="6"/>
  <c r="H17" i="6"/>
  <c r="N6" i="6"/>
  <c r="D44" i="6"/>
  <c r="F62" i="6"/>
  <c r="H48" i="6"/>
  <c r="N31" i="6"/>
  <c r="N21" i="6"/>
  <c r="J52" i="6"/>
  <c r="L21" i="6"/>
  <c r="H54" i="6"/>
  <c r="J60" i="6"/>
  <c r="L4" i="6"/>
  <c r="N16" i="6"/>
  <c r="F67" i="6"/>
  <c r="D4" i="6"/>
  <c r="D48" i="6"/>
  <c r="L48" i="6"/>
  <c r="H4" i="6"/>
  <c r="H21" i="6"/>
  <c r="J73" i="6"/>
  <c r="H56" i="6"/>
  <c r="F42" i="6"/>
  <c r="N47" i="6"/>
  <c r="J7" i="6"/>
  <c r="F37" i="6"/>
  <c r="L17" i="6"/>
  <c r="L8" i="6"/>
  <c r="J31" i="6"/>
  <c r="F31" i="6"/>
  <c r="D81" i="6"/>
  <c r="N37" i="6"/>
  <c r="L10" i="6"/>
  <c r="D21" i="6"/>
  <c r="L73" i="6"/>
  <c r="N60" i="6"/>
  <c r="J77" i="6"/>
  <c r="N45" i="6"/>
  <c r="H8" i="6"/>
  <c r="H37" i="6"/>
  <c r="H76" i="6"/>
  <c r="D52" i="6"/>
  <c r="F50" i="6"/>
  <c r="H45" i="6"/>
  <c r="F40" i="6"/>
  <c r="H28" i="6"/>
  <c r="D11" i="6"/>
  <c r="D58" i="6"/>
  <c r="D14" i="6"/>
  <c r="D67" i="6"/>
  <c r="D17" i="6"/>
  <c r="D5" i="6"/>
  <c r="L6" i="6"/>
  <c r="H46" i="6"/>
  <c r="F38" i="6"/>
  <c r="L72" i="6"/>
  <c r="F44" i="6"/>
  <c r="H14" i="6"/>
  <c r="H57" i="6"/>
  <c r="N49" i="6"/>
  <c r="D35" i="6"/>
  <c r="L57" i="6"/>
  <c r="J13" i="6"/>
  <c r="H32" i="6"/>
  <c r="L62" i="6"/>
  <c r="F19" i="6"/>
  <c r="F39" i="6"/>
  <c r="D3" i="6"/>
  <c r="F13" i="6"/>
  <c r="L14" i="6"/>
  <c r="N34" i="6"/>
  <c r="J34" i="6"/>
  <c r="H65" i="6"/>
  <c r="L67" i="6"/>
  <c r="H20" i="6"/>
  <c r="N3" i="6"/>
  <c r="N66" i="6"/>
  <c r="J24" i="6"/>
  <c r="J27" i="6"/>
  <c r="N19" i="6"/>
  <c r="H70" i="6"/>
  <c r="L49" i="6"/>
  <c r="H38" i="6"/>
  <c r="H18" i="6"/>
  <c r="F51" i="6"/>
  <c r="F47" i="6"/>
  <c r="N73" i="6"/>
  <c r="D56" i="6"/>
  <c r="D37" i="6"/>
  <c r="D13" i="6"/>
  <c r="L35" i="6"/>
  <c r="L56" i="6"/>
  <c r="F36" i="6"/>
  <c r="F32" i="6"/>
  <c r="L68" i="6"/>
  <c r="H22" i="6"/>
  <c r="D29" i="6"/>
  <c r="F46" i="6"/>
  <c r="L45" i="6"/>
  <c r="H43" i="6"/>
  <c r="J35" i="6"/>
  <c r="J46" i="6"/>
  <c r="J38" i="6"/>
  <c r="H24" i="6"/>
  <c r="L32" i="6"/>
  <c r="J61" i="6"/>
  <c r="J20" i="6"/>
  <c r="H33" i="6"/>
  <c r="D33" i="6"/>
  <c r="N63" i="6"/>
  <c r="L64" i="6"/>
  <c r="L43" i="6"/>
  <c r="J12" i="6"/>
  <c r="L33" i="6"/>
  <c r="F54" i="6"/>
  <c r="H29" i="6"/>
  <c r="N54" i="6"/>
  <c r="D38" i="6"/>
  <c r="F52" i="6"/>
  <c r="L52" i="6"/>
  <c r="D22" i="6"/>
  <c r="D68" i="6"/>
  <c r="D43" i="6"/>
  <c r="H63" i="6"/>
  <c r="L11" i="6"/>
  <c r="F11" i="6"/>
  <c r="N4" i="6"/>
  <c r="J64" i="6"/>
  <c r="J69" i="6"/>
  <c r="D25" i="6"/>
  <c r="N61" i="6"/>
  <c r="D7" i="6"/>
  <c r="H67" i="6"/>
  <c r="J63" i="6"/>
  <c r="H64" i="6"/>
  <c r="J26" i="6"/>
  <c r="D9" i="6"/>
  <c r="J62" i="6"/>
  <c r="J39" i="6"/>
  <c r="L28" i="6"/>
  <c r="J50" i="6"/>
  <c r="J57" i="6"/>
  <c r="H42" i="6"/>
  <c r="F45" i="6"/>
  <c r="H62" i="6"/>
  <c r="H19" i="6"/>
  <c r="L23" i="6"/>
  <c r="J45" i="6"/>
  <c r="H36" i="6"/>
  <c r="L3" i="6"/>
  <c r="J40" i="6"/>
  <c r="J29" i="6"/>
  <c r="H30" i="6"/>
  <c r="J23" i="6"/>
  <c r="D31" i="6"/>
  <c r="J22" i="6"/>
  <c r="J14" i="6"/>
  <c r="J17" i="6"/>
  <c r="H2" i="6"/>
  <c r="J51" i="6"/>
  <c r="H9" i="6"/>
  <c r="N51" i="6"/>
  <c r="J9" i="6"/>
  <c r="D23" i="6"/>
  <c r="H23" i="6"/>
  <c r="J11" i="6"/>
  <c r="N11" i="6"/>
  <c r="J49" i="6"/>
  <c r="J8" i="6"/>
  <c r="N68" i="6"/>
  <c r="N69" i="6"/>
  <c r="L70" i="6"/>
  <c r="F20" i="6"/>
  <c r="D27" i="6"/>
  <c r="F48" i="6"/>
  <c r="N50" i="6"/>
  <c r="N27" i="6"/>
  <c r="N64" i="6"/>
  <c r="J2" i="6"/>
  <c r="L29" i="6"/>
  <c r="F4" i="6"/>
  <c r="N39" i="6"/>
  <c r="F10" i="6"/>
  <c r="D28" i="6"/>
  <c r="N46" i="6"/>
  <c r="J67" i="6"/>
  <c r="L25" i="6"/>
  <c r="N43" i="6"/>
  <c r="N57" i="6"/>
  <c r="L42" i="6"/>
  <c r="F2" i="6"/>
  <c r="N2" i="6"/>
  <c r="J4" i="6"/>
  <c r="N48" i="6"/>
  <c r="F24" i="6"/>
  <c r="L46" i="6"/>
  <c r="N26" i="6"/>
  <c r="L5" i="6"/>
  <c r="N38" i="6"/>
  <c r="N35" i="6"/>
  <c r="L36" i="6"/>
  <c r="J48" i="6"/>
  <c r="L9" i="6"/>
  <c r="H52" i="6"/>
  <c r="N8" i="6"/>
  <c r="D10" i="6"/>
  <c r="H58" i="6"/>
  <c r="N22" i="6"/>
  <c r="F66" i="6"/>
  <c r="F69" i="6"/>
  <c r="N29" i="6"/>
  <c r="D70" i="6"/>
  <c r="L30" i="6"/>
  <c r="H47" i="6"/>
  <c r="J56" i="6"/>
  <c r="L22" i="6"/>
  <c r="D62" i="6"/>
  <c r="N12" i="6"/>
  <c r="F63" i="6"/>
  <c r="N23" i="6"/>
  <c r="D64" i="6"/>
  <c r="L24" i="6"/>
  <c r="L31" i="6"/>
  <c r="F61" i="6"/>
  <c r="F73" i="6"/>
  <c r="N7" i="6"/>
  <c r="F57" i="6"/>
  <c r="N17" i="6"/>
  <c r="D42" i="6"/>
  <c r="L2" i="6"/>
  <c r="H3" i="6"/>
  <c r="H7" i="6"/>
  <c r="H25" i="6"/>
  <c r="J54" i="6"/>
  <c r="D61" i="6"/>
  <c r="L71" i="6"/>
  <c r="D57" i="6"/>
  <c r="F35" i="6"/>
  <c r="D36" i="6"/>
  <c r="D46" i="6"/>
  <c r="D47" i="6"/>
  <c r="D45" i="6"/>
  <c r="N40" i="6"/>
  <c r="H34" i="6"/>
  <c r="F60" i="6"/>
  <c r="F56" i="6"/>
  <c r="L51" i="6"/>
  <c r="F29" i="6"/>
  <c r="D30" i="6"/>
  <c r="F27" i="6"/>
  <c r="N9" i="6"/>
  <c r="J30" i="6"/>
  <c r="L47" i="6"/>
  <c r="F12" i="6"/>
  <c r="F26" i="6"/>
  <c r="F23" i="6"/>
  <c r="D24" i="6"/>
  <c r="F9" i="6"/>
  <c r="N56" i="6"/>
  <c r="H10" i="6"/>
  <c r="L27" i="6"/>
  <c r="D8" i="6"/>
  <c r="F8" i="6"/>
  <c r="F21" i="6"/>
  <c r="F17" i="6"/>
  <c r="D2" i="6"/>
  <c r="P82" i="6"/>
  <c r="N20" i="6"/>
  <c r="N10" i="6"/>
  <c r="L41" i="6"/>
  <c r="J5" i="6"/>
  <c r="D32" i="6"/>
  <c r="D12" i="6"/>
  <c r="H68" i="6"/>
  <c r="L59" i="6"/>
  <c r="F16" i="6"/>
</calcChain>
</file>

<file path=xl/sharedStrings.xml><?xml version="1.0" encoding="utf-8"?>
<sst xmlns="http://schemas.openxmlformats.org/spreadsheetml/2006/main" count="3091" uniqueCount="332">
  <si>
    <t>Ano</t>
  </si>
  <si>
    <t>Código IBGE</t>
  </si>
  <si>
    <t>REGIÃO DE SAÚDE</t>
  </si>
  <si>
    <t>MUNICIPIO</t>
  </si>
  <si>
    <t>TOTAL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</si>
  <si>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</si>
  <si>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</si>
  <si>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</si>
  <si>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</si>
  <si>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</si>
  <si>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</si>
  <si>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</si>
  <si>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</si>
  <si>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</si>
  <si>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</si>
  <si>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</si>
  <si>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</si>
  <si>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</si>
  <si>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</si>
  <si>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</si>
  <si>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</si>
  <si>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</si>
  <si>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</si>
  <si>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</si>
  <si>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</si>
  <si>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</si>
  <si>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</si>
  <si>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</si>
  <si>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</si>
  <si>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BOM JESUS DO TOCANTINS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</si>
  <si>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</si>
  <si>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</si>
  <si>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</si>
  <si>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</si>
  <si>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</si>
  <si>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</si>
  <si>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</si>
  <si>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</si>
  <si>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</si>
  <si>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</si>
  <si>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</si>
  <si>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</si>
  <si>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</si>
  <si>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</si>
  <si>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</si>
  <si>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</si>
  <si>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</si>
  <si>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</si>
  <si>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</si>
  <si>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</si>
  <si>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</si>
  <si>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</si>
  <si>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</si>
  <si>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</si>
  <si>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</si>
  <si>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</si>
  <si>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</si>
  <si>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</si>
  <si>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</si>
  <si>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</si>
  <si>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</si>
  <si>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</si>
  <si>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</si>
  <si>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</si>
  <si>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</si>
  <si>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</si>
  <si>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</si>
  <si>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</si>
  <si>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</si>
  <si>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</si>
  <si>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</si>
  <si>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</si>
  <si>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</si>
  <si>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</si>
  <si>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</si>
  <si>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</si>
  <si>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</si>
  <si>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</si>
  <si>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</si>
  <si>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</si>
  <si>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</si>
  <si>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</si>
  <si>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</si>
  <si>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</si>
  <si>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</si>
  <si>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</si>
  <si>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</si>
  <si>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</si>
  <si>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</si>
  <si>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</si>
  <si>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</si>
  <si>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</si>
  <si>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PALMAS</t>
  </si>
  <si>
    <t>PALMEIRANTE</t>
  </si>
  <si>
    <t>PALMEIRAS DO TOCANTINS</t>
  </si>
  <si>
    <t>PALMEIROPOLIS</t>
  </si>
  <si>
    <t>PARAISO DO TOCANTINS</t>
  </si>
  <si>
    <t>PARANA</t>
  </si>
  <si>
    <t>PAU D'ARCO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</si>
  <si>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</si>
  <si>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</si>
  <si>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</si>
  <si>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</si>
  <si>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</si>
  <si>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</si>
  <si>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</si>
  <si>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</si>
  <si>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</si>
  <si>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</si>
  <si>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</si>
  <si>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</si>
  <si>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</si>
  <si>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</si>
  <si>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</si>
  <si>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</si>
  <si>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</si>
  <si>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</si>
  <si>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</si>
  <si>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</si>
  <si>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</si>
  <si>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</si>
  <si>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</si>
  <si>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</si>
  <si>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</si>
  <si>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</si>
  <si>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</si>
  <si>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</si>
  <si>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</si>
  <si>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</si>
  <si>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</si>
  <si>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</si>
  <si>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</si>
  <si>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</si>
  <si>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</si>
  <si>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TABOCAO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</si>
  <si>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</si>
  <si>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</si>
  <si>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</si>
  <si>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</si>
  <si>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</si>
  <si>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</si>
  <si>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</si>
  <si>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</si>
  <si>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</si>
  <si>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Cantão</t>
  </si>
  <si>
    <t>Bico do Papagaio</t>
  </si>
  <si>
    <t>Ilha do Bananal</t>
  </si>
  <si>
    <t>Sudeste</t>
  </si>
  <si>
    <t>Capim Dourado</t>
  </si>
  <si>
    <t>Médio Norte Araguaia</t>
  </si>
  <si>
    <t>Cerrado Tocantins Araguaia</t>
  </si>
  <si>
    <t>Amor Perfeito</t>
  </si>
  <si>
    <t>IBGE</t>
  </si>
  <si>
    <t>MACRORREGIÃO</t>
  </si>
  <si>
    <t>Municipios</t>
  </si>
  <si>
    <t>Novas Regionais de Saúde</t>
  </si>
  <si>
    <t>Brejinho de Nazaré</t>
  </si>
  <si>
    <t>Chapada da Natividade</t>
  </si>
  <si>
    <t>Fátima</t>
  </si>
  <si>
    <t>Ipueiras</t>
  </si>
  <si>
    <t>Mateiros</t>
  </si>
  <si>
    <t>Monte do Carmo</t>
  </si>
  <si>
    <t>Natividade</t>
  </si>
  <si>
    <t>Pindorama do Tocantins</t>
  </si>
  <si>
    <t>Ponte Alta do Tocantins</t>
  </si>
  <si>
    <t>Porto Nacional</t>
  </si>
  <si>
    <t>Santa Rosa do Tocantins</t>
  </si>
  <si>
    <t>Silvanópolis</t>
  </si>
  <si>
    <t>Oliveira de Fátima</t>
  </si>
  <si>
    <t>ARAGUAÍNA</t>
  </si>
  <si>
    <t>Araguatins</t>
  </si>
  <si>
    <t>Augustinópolis</t>
  </si>
  <si>
    <t>Axixá do Tocantins</t>
  </si>
  <si>
    <t>Buriti do Tocantins</t>
  </si>
  <si>
    <t>Carrasco Bonito</t>
  </si>
  <si>
    <t>Esperantina</t>
  </si>
  <si>
    <t>Itaguatins</t>
  </si>
  <si>
    <t>Maurilândia do Tocantins</t>
  </si>
  <si>
    <t>Praia Norte</t>
  </si>
  <si>
    <t>Sampaio</t>
  </si>
  <si>
    <t>São Bento do Tocantins</t>
  </si>
  <si>
    <t>São Miguel do Tocantins</t>
  </si>
  <si>
    <t>São Sebastião do Tocantins</t>
  </si>
  <si>
    <t>Sítio Novo do Tocantins</t>
  </si>
  <si>
    <t>Aguiarnópolis</t>
  </si>
  <si>
    <t>Luzinópolis</t>
  </si>
  <si>
    <t>Nazaré</t>
  </si>
  <si>
    <t>Palmeiras do Tocantins</t>
  </si>
  <si>
    <t>Santa Terezinha do Tocantins</t>
  </si>
  <si>
    <t>Tocantinópolis</t>
  </si>
  <si>
    <t>Ananás</t>
  </si>
  <si>
    <t>Angico</t>
  </si>
  <si>
    <t>Cachoeirinha</t>
  </si>
  <si>
    <t>Riachinho</t>
  </si>
  <si>
    <t>Abreulândia</t>
  </si>
  <si>
    <t>Araguacema</t>
  </si>
  <si>
    <t>Barrolândia</t>
  </si>
  <si>
    <t>Caseara</t>
  </si>
  <si>
    <t>Chapada de Areia</t>
  </si>
  <si>
    <t>Cristalândia</t>
  </si>
  <si>
    <t>Divinópolis do Tocantins</t>
  </si>
  <si>
    <t>Dois Irmãos do Tocantins</t>
  </si>
  <si>
    <t>Lagoa da Confusão</t>
  </si>
  <si>
    <t>Marianópolis do Tocantins</t>
  </si>
  <si>
    <t>Monte Santo do Tocantins</t>
  </si>
  <si>
    <t>Nova Rosalândia</t>
  </si>
  <si>
    <t>Paraíso do Tocantins</t>
  </si>
  <si>
    <t>Pium</t>
  </si>
  <si>
    <t>Pugmil</t>
  </si>
  <si>
    <t>Aparecida do Rio Negro</t>
  </si>
  <si>
    <t>Lagoa do Tocantins</t>
  </si>
  <si>
    <t>Lajeado</t>
  </si>
  <si>
    <t>Lizarda</t>
  </si>
  <si>
    <t>Novo Acordo</t>
  </si>
  <si>
    <t>Palmas</t>
  </si>
  <si>
    <t>Santa Tereza do Tocantins</t>
  </si>
  <si>
    <t>São Félix do Tocantins</t>
  </si>
  <si>
    <t>Miracema do Tocantins</t>
  </si>
  <si>
    <t>Miranorte</t>
  </si>
  <si>
    <t>Rio dos Bois</t>
  </si>
  <si>
    <t>Rio Sono</t>
  </si>
  <si>
    <t>Tocantínia</t>
  </si>
  <si>
    <t>Arapoema</t>
  </si>
  <si>
    <t>Bandeirantes do Tocantins</t>
  </si>
  <si>
    <t>Bernardo Sayão</t>
  </si>
  <si>
    <t>Brasilândia do Tocantins</t>
  </si>
  <si>
    <t>Colinas do Tocantins</t>
  </si>
  <si>
    <t>Colméia</t>
  </si>
  <si>
    <t>Couto Magalhães</t>
  </si>
  <si>
    <t>Itapiratins</t>
  </si>
  <si>
    <t>Juarina</t>
  </si>
  <si>
    <t>Palmeirante</t>
  </si>
  <si>
    <t>Tupiratins</t>
  </si>
  <si>
    <t>Goianorte</t>
  </si>
  <si>
    <t>Guaraí</t>
  </si>
  <si>
    <t>Itacajá</t>
  </si>
  <si>
    <t>Itaporã do Tocantins</t>
  </si>
  <si>
    <t>Pequizeiro</t>
  </si>
  <si>
    <t>Presidente Kennedy</t>
  </si>
  <si>
    <t>Bom Jesus do Tocantins</t>
  </si>
  <si>
    <t>Centenário</t>
  </si>
  <si>
    <t>Pedro Afonso</t>
  </si>
  <si>
    <t>Recursolândia</t>
  </si>
  <si>
    <t>Santa Maria do Tocantins</t>
  </si>
  <si>
    <t>Tupirama</t>
  </si>
  <si>
    <t>Em Branco</t>
  </si>
  <si>
    <t>Aliança do Tocantins</t>
  </si>
  <si>
    <t>Alvorada</t>
  </si>
  <si>
    <t>Araguaçu</t>
  </si>
  <si>
    <t>Cariri do Tocantins</t>
  </si>
  <si>
    <t>Crixás do Tocantins</t>
  </si>
  <si>
    <t>Dueré</t>
  </si>
  <si>
    <t>Figueirópolis</t>
  </si>
  <si>
    <t>Formoso do Araguaia</t>
  </si>
  <si>
    <t>Gurupi</t>
  </si>
  <si>
    <t>Jaú do Tocantins</t>
  </si>
  <si>
    <t>Palmeirópolis</t>
  </si>
  <si>
    <t>Peixe</t>
  </si>
  <si>
    <t>Sandolândia</t>
  </si>
  <si>
    <t>Santa Rita do Tocantins</t>
  </si>
  <si>
    <t>São Salvador do Tocantins</t>
  </si>
  <si>
    <t>São Valério da Natividade</t>
  </si>
  <si>
    <t>Sucupira</t>
  </si>
  <si>
    <t>Talismã</t>
  </si>
  <si>
    <t>Aragominas</t>
  </si>
  <si>
    <t>Araguaína</t>
  </si>
  <si>
    <t>Babaçulândia</t>
  </si>
  <si>
    <t>Barra do Ouro</t>
  </si>
  <si>
    <t>Campos Lindos</t>
  </si>
  <si>
    <t>Carmolândia</t>
  </si>
  <si>
    <t>Filadélfia</t>
  </si>
  <si>
    <t>Goiatins</t>
  </si>
  <si>
    <t>Muricilândia</t>
  </si>
  <si>
    <t>Nova Olinda</t>
  </si>
  <si>
    <t>Pau D'Arco</t>
  </si>
  <si>
    <t>Santa Fé do Araguaia</t>
  </si>
  <si>
    <t>Wanderlândia</t>
  </si>
  <si>
    <t>Xambioá</t>
  </si>
  <si>
    <t>Araguanã</t>
  </si>
  <si>
    <t>Piraquê</t>
  </si>
  <si>
    <t>Darcinópolis</t>
  </si>
  <si>
    <t>Almas</t>
  </si>
  <si>
    <t>Arraias</t>
  </si>
  <si>
    <t>Aurora do Tocantins</t>
  </si>
  <si>
    <t>Combinado</t>
  </si>
  <si>
    <t>Conceição do Tocantins</t>
  </si>
  <si>
    <t>Dianópolis</t>
  </si>
  <si>
    <t>Lavandeira</t>
  </si>
  <si>
    <t>Novo Alegre</t>
  </si>
  <si>
    <t>Novo Jardim</t>
  </si>
  <si>
    <t>Paranã</t>
  </si>
  <si>
    <t>Ponte Alta do Bom Jesus</t>
  </si>
  <si>
    <t>Porto Alegre do Tocantins</t>
  </si>
  <si>
    <t>Rio da Conceição</t>
  </si>
  <si>
    <t>Taguatinga</t>
  </si>
  <si>
    <t>Taipas do Tocantins</t>
  </si>
  <si>
    <t>E</t>
  </si>
  <si>
    <t>S</t>
  </si>
  <si>
    <t>E_PBF</t>
  </si>
  <si>
    <t>S_PBF</t>
  </si>
  <si>
    <t>TOTAL_PBF</t>
  </si>
  <si>
    <t>Total Geral</t>
  </si>
  <si>
    <t>2015</t>
  </si>
  <si>
    <t>2016</t>
  </si>
  <si>
    <t>2017</t>
  </si>
  <si>
    <t>2018</t>
  </si>
  <si>
    <t>2019</t>
  </si>
  <si>
    <t>2020</t>
  </si>
  <si>
    <t>2021</t>
  </si>
  <si>
    <t>2024</t>
  </si>
  <si>
    <t>Tabocão</t>
  </si>
  <si>
    <t>população</t>
  </si>
  <si>
    <t>Município</t>
  </si>
  <si>
    <t>2022</t>
  </si>
  <si>
    <t>2023</t>
  </si>
  <si>
    <t>FORTALEZA DO TABOCAO</t>
  </si>
  <si>
    <t>Região de Saúde</t>
  </si>
  <si>
    <t>Tocantins</t>
  </si>
  <si>
    <t>TO</t>
  </si>
  <si>
    <t>População atendida SISVAN</t>
  </si>
  <si>
    <t>Cobertura SISVAN</t>
  </si>
  <si>
    <t>média</t>
  </si>
  <si>
    <t>BP_PBF</t>
  </si>
  <si>
    <t>BP</t>
  </si>
  <si>
    <t>BP%</t>
  </si>
  <si>
    <t>BP_PBF%</t>
  </si>
  <si>
    <t>E%</t>
  </si>
  <si>
    <t>E_PBF%</t>
  </si>
  <si>
    <t>S%</t>
  </si>
  <si>
    <t>S_PBF%</t>
  </si>
  <si>
    <t>TOTAL4</t>
  </si>
  <si>
    <t>TOTAL_PBF5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</si>
</sst>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5">
    <xf numFmtId="0" fontId="0" fillId="0" borderId="0"/>
    <xf numFmtId="9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1" fillId="0" borderId="9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10" applyNumberFormat="0" applyAlignment="0" applyProtection="0"/>
    <xf numFmtId="0" fontId="16" fillId="6" borderId="11" applyNumberFormat="0" applyAlignment="0" applyProtection="0"/>
    <xf numFmtId="0" fontId="17" fillId="6" borderId="10" applyNumberFormat="0" applyAlignment="0" applyProtection="0"/>
    <xf numFmtId="0" fontId="18" fillId="0" borderId="12" applyNumberFormat="0" applyFill="0" applyAlignment="0" applyProtection="0"/>
    <xf numFmtId="0" fontId="19" fillId="7" borderId="13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5" applyNumberFormat="0" applyFill="0" applyAlignment="0" applyProtection="0"/>
    <xf numFmtId="0" fontId="23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3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3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3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3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3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14" applyNumberFormat="0" applyFont="0" applyAlignment="0" applyProtection="0"/>
    <xf numFmtId="0" fontId="27" fillId="0" borderId="0" applyNumberFormat="0" applyFill="0" applyBorder="0" applyAlignment="0" applyProtection="0"/>
  </cellStyleXfs>
  <cellXfs count="45">
    <xf numFmtId="0" fontId="0" fillId="0" borderId="0" xfId="0"/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6" xfId="0" applyFont="1" applyBorder="1" applyAlignment="1">
      <alignment horizontal="right"/>
    </xf>
    <xf numFmtId="0" fontId="7" fillId="0" borderId="1" xfId="0" applyFont="1" applyBorder="1"/>
    <xf numFmtId="0" fontId="0" fillId="0" borderId="0" xfId="0" applyNumberFormat="1"/>
    <xf numFmtId="0" fontId="4" fillId="0" borderId="0" xfId="0" applyNumberFormat="1" applyFont="1"/>
    <xf numFmtId="0" fontId="3" fillId="0" borderId="16" xfId="0" applyNumberFormat="1" applyFont="1" applyBorder="1" applyAlignment="1">
      <alignment vertical="center" wrapText="1"/>
    </xf>
    <xf numFmtId="0" fontId="5" fillId="0" borderId="5" xfId="0" applyNumberFormat="1" applyFont="1" applyBorder="1" applyAlignment="1">
      <alignment horizontal="center" wrapText="1"/>
    </xf>
    <xf numFmtId="10" fontId="0" fillId="0" borderId="0" xfId="0" applyNumberFormat="1"/>
    <xf numFmtId="0" fontId="24" fillId="0" borderId="5" xfId="0" applyNumberFormat="1" applyFont="1" applyBorder="1" applyAlignment="1">
      <alignment wrapText="1"/>
    </xf>
    <xf numFmtId="10" fontId="24" fillId="0" borderId="5" xfId="0" applyNumberFormat="1" applyFont="1" applyBorder="1" applyAlignment="1">
      <alignment wrapText="1"/>
    </xf>
    <xf numFmtId="0" fontId="24" fillId="0" borderId="16" xfId="0" applyNumberFormat="1" applyFont="1" applyBorder="1" applyAlignment="1">
      <alignment wrapText="1"/>
    </xf>
    <xf numFmtId="3" fontId="26" fillId="0" borderId="3" xfId="0" applyNumberFormat="1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0" fillId="0" borderId="0" xfId="0" applyAlignment="1">
      <alignment horizontal="left"/>
    </xf>
    <xf numFmtId="0" fontId="22" fillId="33" borderId="18" xfId="0" applyFont="1" applyFill="1" applyBorder="1"/>
    <xf numFmtId="0" fontId="22" fillId="33" borderId="0" xfId="0" applyFont="1" applyFill="1" applyBorder="1"/>
    <xf numFmtId="0" fontId="6" fillId="33" borderId="0" xfId="0" applyFont="1" applyFill="1"/>
    <xf numFmtId="0" fontId="6" fillId="33" borderId="19" xfId="0" applyFont="1" applyFill="1" applyBorder="1" applyAlignment="1">
      <alignment horizontal="left"/>
    </xf>
    <xf numFmtId="0" fontId="6" fillId="33" borderId="19" xfId="0" applyNumberFormat="1" applyFont="1" applyFill="1" applyBorder="1"/>
    <xf numFmtId="0" fontId="5" fillId="0" borderId="0" xfId="0" applyNumberFormat="1" applyFont="1" applyAlignment="1">
      <alignment wrapText="1"/>
    </xf>
    <xf numFmtId="0" fontId="6" fillId="33" borderId="18" xfId="0" applyFont="1" applyFill="1" applyBorder="1"/>
    <xf numFmtId="0" fontId="0" fillId="0" borderId="17" xfId="0" applyBorder="1"/>
    <xf numFmtId="0" fontId="22" fillId="0" borderId="17" xfId="0" applyFont="1" applyBorder="1"/>
    <xf numFmtId="0" fontId="0" fillId="0" borderId="17" xfId="0" applyBorder="1" applyAlignment="1">
      <alignment horizontal="left"/>
    </xf>
    <xf numFmtId="0" fontId="0" fillId="0" borderId="17" xfId="0" applyFont="1" applyBorder="1" applyAlignment="1">
      <alignment horizontal="left"/>
    </xf>
    <xf numFmtId="9" fontId="0" fillId="0" borderId="17" xfId="1" applyFont="1" applyBorder="1" applyAlignment="1">
      <alignment horizontal="center" vertical="center"/>
    </xf>
    <xf numFmtId="0" fontId="1" fillId="0" borderId="17" xfId="0" applyFont="1" applyBorder="1"/>
    <xf numFmtId="9" fontId="0" fillId="0" borderId="0" xfId="0" applyNumberFormat="1"/>
    <xf numFmtId="0" fontId="28" fillId="0" borderId="17" xfId="0" applyNumberFormat="1" applyFont="1" applyBorder="1" applyAlignment="1">
      <alignment horizontal="left" vertical="center"/>
    </xf>
    <xf numFmtId="0" fontId="26" fillId="0" borderId="17" xfId="0" applyNumberFormat="1" applyFont="1" applyBorder="1" applyAlignment="1">
      <alignment horizontal="left" vertical="center"/>
    </xf>
    <xf numFmtId="0" fontId="28" fillId="0" borderId="17" xfId="0" applyNumberFormat="1" applyFont="1" applyBorder="1" applyAlignment="1">
      <alignment horizontal="right" vertical="center"/>
    </xf>
    <xf numFmtId="10" fontId="28" fillId="0" borderId="17" xfId="0" applyNumberFormat="1" applyFont="1" applyBorder="1" applyAlignment="1">
      <alignment horizontal="right" vertical="center"/>
    </xf>
    <xf numFmtId="0" fontId="26" fillId="0" borderId="17" xfId="0" applyNumberFormat="1" applyFont="1" applyBorder="1" applyAlignment="1">
      <alignment horizontal="right" vertical="center"/>
    </xf>
    <xf numFmtId="0" fontId="26" fillId="0" borderId="3" xfId="42" applyFont="1" applyBorder="1" applyAlignment="1">
      <alignment horizontal="right" vertical="center"/>
    </xf>
    <xf numFmtId="3" fontId="26" fillId="0" borderId="3" xfId="42" applyNumberFormat="1" applyFont="1" applyBorder="1" applyAlignment="1">
      <alignment horizontal="right" vertical="center"/>
    </xf>
    <xf numFmtId="0" fontId="26" fillId="0" borderId="17" xfId="42" applyFont="1" applyBorder="1" applyAlignment="1">
      <alignment horizontal="right" vertical="center"/>
    </xf>
    <xf numFmtId="3" fontId="26" fillId="0" borderId="17" xfId="42" applyNumberFormat="1" applyFont="1" applyBorder="1" applyAlignment="1">
      <alignment horizontal="right" vertical="center"/>
    </xf>
    <xf numFmtId="0" fontId="3" fillId="0" borderId="16" xfId="0" applyNumberFormat="1" applyFont="1" applyBorder="1" applyAlignment="1">
      <alignment horizontal="left" vertical="center" wrapText="1"/>
    </xf>
    <xf numFmtId="0" fontId="6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Hiperlink 2" xfId="44"/>
    <cellStyle name="Incorreto" xfId="8" builtinId="27" customBuiltin="1"/>
    <cellStyle name="Neutra" xfId="9" builtinId="28" customBuiltin="1"/>
    <cellStyle name="Normal" xfId="0" builtinId="0"/>
    <cellStyle name="Normal 2" xfId="42"/>
    <cellStyle name="Nota 2" xfId="43"/>
    <cellStyle name="Porcentagem" xfId="1" builtinId="5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população!$P$30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população!$Q$30:$Z$30</c:f>
              <c:numCache>
                <c:formatCode>0%</c:formatCode>
                <c:ptCount val="10"/>
                <c:pt idx="0">
                  <c:v>0.41345182791355284</c:v>
                </c:pt>
                <c:pt idx="1">
                  <c:v>0.42552540297898389</c:v>
                </c:pt>
                <c:pt idx="2">
                  <c:v>0.42312813684318346</c:v>
                </c:pt>
                <c:pt idx="3">
                  <c:v>0.57119358486686544</c:v>
                </c:pt>
                <c:pt idx="4">
                  <c:v>0.6237389334980441</c:v>
                </c:pt>
                <c:pt idx="5">
                  <c:v>0.1211595386342758</c:v>
                </c:pt>
                <c:pt idx="6">
                  <c:v>0.30385556915544676</c:v>
                </c:pt>
                <c:pt idx="7">
                  <c:v>0.65360277607675032</c:v>
                </c:pt>
                <c:pt idx="8">
                  <c:v>0.75058346017250122</c:v>
                </c:pt>
                <c:pt idx="9">
                  <c:v>0.69272727272727275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população!$P$31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população!$Q$31:$Z$31</c:f>
              <c:numCache>
                <c:formatCode>0%</c:formatCode>
                <c:ptCount val="10"/>
                <c:pt idx="0">
                  <c:v>0.54395547232625885</c:v>
                </c:pt>
                <c:pt idx="1">
                  <c:v>0.5143725667964375</c:v>
                </c:pt>
                <c:pt idx="2">
                  <c:v>0.59056573012336289</c:v>
                </c:pt>
                <c:pt idx="3">
                  <c:v>0.68676364843188231</c:v>
                </c:pt>
                <c:pt idx="4">
                  <c:v>0.65721186250280839</c:v>
                </c:pt>
                <c:pt idx="5">
                  <c:v>0.27390370705244121</c:v>
                </c:pt>
                <c:pt idx="6">
                  <c:v>0.51433476394849786</c:v>
                </c:pt>
                <c:pt idx="7">
                  <c:v>0.75409265064437481</c:v>
                </c:pt>
                <c:pt idx="8">
                  <c:v>0.75996488147497809</c:v>
                </c:pt>
                <c:pt idx="9">
                  <c:v>0.77764650283553871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população!$P$32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população!$Q$32:$Z$32</c:f>
              <c:numCache>
                <c:formatCode>0%</c:formatCode>
                <c:ptCount val="10"/>
                <c:pt idx="0">
                  <c:v>0.39601277460563244</c:v>
                </c:pt>
                <c:pt idx="1">
                  <c:v>0.32809876543209876</c:v>
                </c:pt>
                <c:pt idx="2">
                  <c:v>0.4015755883526127</c:v>
                </c:pt>
                <c:pt idx="3">
                  <c:v>0.45438139161820734</c:v>
                </c:pt>
                <c:pt idx="4">
                  <c:v>0.42982982982982981</c:v>
                </c:pt>
                <c:pt idx="5">
                  <c:v>0.19667590027700832</c:v>
                </c:pt>
                <c:pt idx="6">
                  <c:v>0.28634708140565018</c:v>
                </c:pt>
                <c:pt idx="7">
                  <c:v>0.56645694062131335</c:v>
                </c:pt>
                <c:pt idx="8">
                  <c:v>0.6336286632265602</c:v>
                </c:pt>
                <c:pt idx="9">
                  <c:v>0.59200231816864679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população!$P$33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população!$Q$33:$Z$33</c:f>
              <c:numCache>
                <c:formatCode>0%</c:formatCode>
                <c:ptCount val="10"/>
                <c:pt idx="0">
                  <c:v>0.28959042608067675</c:v>
                </c:pt>
                <c:pt idx="1">
                  <c:v>0.42652773479143025</c:v>
                </c:pt>
                <c:pt idx="2">
                  <c:v>0.43925137715126422</c:v>
                </c:pt>
                <c:pt idx="3">
                  <c:v>0.42007574465181341</c:v>
                </c:pt>
                <c:pt idx="4">
                  <c:v>0.42118880642745282</c:v>
                </c:pt>
                <c:pt idx="5">
                  <c:v>0.17009962304792675</c:v>
                </c:pt>
                <c:pt idx="6">
                  <c:v>0.20877392584660687</c:v>
                </c:pt>
                <c:pt idx="7">
                  <c:v>0.4398774232229698</c:v>
                </c:pt>
                <c:pt idx="8">
                  <c:v>0.48170711842319597</c:v>
                </c:pt>
                <c:pt idx="9">
                  <c:v>0.48466475312026319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população!$P$34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população!$Q$34:$Z$34</c:f>
              <c:numCache>
                <c:formatCode>0%</c:formatCode>
                <c:ptCount val="10"/>
                <c:pt idx="0">
                  <c:v>0.55642113382182801</c:v>
                </c:pt>
                <c:pt idx="1">
                  <c:v>0.44724135201456505</c:v>
                </c:pt>
                <c:pt idx="2">
                  <c:v>0.47101449275362317</c:v>
                </c:pt>
                <c:pt idx="3">
                  <c:v>0.54572921770373994</c:v>
                </c:pt>
                <c:pt idx="4">
                  <c:v>0.57069958847736624</c:v>
                </c:pt>
                <c:pt idx="5">
                  <c:v>0.19085977313825414</c:v>
                </c:pt>
                <c:pt idx="6">
                  <c:v>0.26302319821679188</c:v>
                </c:pt>
                <c:pt idx="7">
                  <c:v>0.56154357950765132</c:v>
                </c:pt>
                <c:pt idx="8">
                  <c:v>0.5972522897585345</c:v>
                </c:pt>
                <c:pt idx="9">
                  <c:v>0.63080256688057335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população!$P$35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população!$Q$35:$Z$35</c:f>
              <c:numCache>
                <c:formatCode>0%</c:formatCode>
                <c:ptCount val="10"/>
                <c:pt idx="0">
                  <c:v>0.4592742226390592</c:v>
                </c:pt>
                <c:pt idx="1">
                  <c:v>0.38460968196308104</c:v>
                </c:pt>
                <c:pt idx="2">
                  <c:v>0.38597680373550236</c:v>
                </c:pt>
                <c:pt idx="3">
                  <c:v>0.5047248894985521</c:v>
                </c:pt>
                <c:pt idx="4">
                  <c:v>0.43427301976405697</c:v>
                </c:pt>
                <c:pt idx="5">
                  <c:v>0.17911811743203107</c:v>
                </c:pt>
                <c:pt idx="6">
                  <c:v>0.32634228187919462</c:v>
                </c:pt>
                <c:pt idx="7">
                  <c:v>0.50520116261281933</c:v>
                </c:pt>
                <c:pt idx="8">
                  <c:v>0.56718464351005482</c:v>
                </c:pt>
                <c:pt idx="9">
                  <c:v>0.61681106551147591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população!$P$36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população!$Q$36:$Z$36</c:f>
              <c:numCache>
                <c:formatCode>0%</c:formatCode>
                <c:ptCount val="10"/>
                <c:pt idx="0">
                  <c:v>0.40013312809418811</c:v>
                </c:pt>
                <c:pt idx="1">
                  <c:v>0.39271957671957675</c:v>
                </c:pt>
                <c:pt idx="2">
                  <c:v>0.46356993290885007</c:v>
                </c:pt>
                <c:pt idx="3">
                  <c:v>0.4979760571871501</c:v>
                </c:pt>
                <c:pt idx="4">
                  <c:v>0.44770380610878302</c:v>
                </c:pt>
                <c:pt idx="5">
                  <c:v>0.15781330582774625</c:v>
                </c:pt>
                <c:pt idx="6">
                  <c:v>0.32659469224482773</c:v>
                </c:pt>
                <c:pt idx="7">
                  <c:v>0.5427166033828098</c:v>
                </c:pt>
                <c:pt idx="8">
                  <c:v>0.59204706488598791</c:v>
                </c:pt>
                <c:pt idx="9">
                  <c:v>0.63317596566523604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população!$P$37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população!$Q$37:$Z$37</c:f>
              <c:numCache>
                <c:formatCode>0%</c:formatCode>
                <c:ptCount val="10"/>
                <c:pt idx="0">
                  <c:v>0.55638000243279406</c:v>
                </c:pt>
                <c:pt idx="1">
                  <c:v>0.53403800176167104</c:v>
                </c:pt>
                <c:pt idx="2">
                  <c:v>0.57859358841778696</c:v>
                </c:pt>
                <c:pt idx="3">
                  <c:v>0.62591362126245842</c:v>
                </c:pt>
                <c:pt idx="4">
                  <c:v>0.59586338277316642</c:v>
                </c:pt>
                <c:pt idx="5">
                  <c:v>0.2275176129299627</c:v>
                </c:pt>
                <c:pt idx="6">
                  <c:v>0.34937208974178074</c:v>
                </c:pt>
                <c:pt idx="7">
                  <c:v>0.67889113485417263</c:v>
                </c:pt>
                <c:pt idx="8">
                  <c:v>0.66266119577960136</c:v>
                </c:pt>
                <c:pt idx="9">
                  <c:v>0.71434944237918219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população!$P$38</c:f>
              <c:strCache>
                <c:ptCount val="1"/>
                <c:pt idx="0">
                  <c:v>Tocantins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população!$Q$38:$Z$38</c:f>
              <c:numCache>
                <c:formatCode>0%</c:formatCode>
                <c:ptCount val="10"/>
                <c:pt idx="0">
                  <c:v>0.42967513438121951</c:v>
                </c:pt>
                <c:pt idx="1">
                  <c:v>0.42965779467680609</c:v>
                </c:pt>
                <c:pt idx="2">
                  <c:v>0.46808955848503869</c:v>
                </c:pt>
                <c:pt idx="3">
                  <c:v>0.52267783513522292</c:v>
                </c:pt>
                <c:pt idx="4">
                  <c:v>0.50391574619438417</c:v>
                </c:pt>
                <c:pt idx="5">
                  <c:v>0.18737461114224679</c:v>
                </c:pt>
                <c:pt idx="6">
                  <c:v>0.31451868850858133</c:v>
                </c:pt>
                <c:pt idx="7">
                  <c:v>0.56363443284484305</c:v>
                </c:pt>
                <c:pt idx="8">
                  <c:v>0.60576509276927448</c:v>
                </c:pt>
                <c:pt idx="9">
                  <c:v>0.61944557023587588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3487232"/>
        <c:axId val="193755904"/>
      </c:lineChart>
      <c:catAx>
        <c:axId val="243487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3755904"/>
        <c:crosses val="autoZero"/>
        <c:auto val="1"/>
        <c:lblAlgn val="ctr"/>
        <c:lblOffset val="100"/>
        <c:noMultiLvlLbl val="0"/>
      </c:catAx>
      <c:valAx>
        <c:axId val="193755904"/>
        <c:scaling>
          <c:orientation val="minMax"/>
          <c:max val="0.85000000000000009"/>
          <c:min val="0.1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434872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141</xdr:row>
      <xdr:rowOff>0</xdr:rowOff>
    </xdr:from>
    <xdr:ext cx="180975" cy="14287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3" name="image1.png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4" name="image1.png">
          <a:extLst>
            <a:ext uri="{FF2B5EF4-FFF2-40B4-BE49-F238E27FC236}">
              <a16:creationId xmlns=""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41</xdr:row>
      <xdr:rowOff>0</xdr:rowOff>
    </xdr:from>
    <xdr:to>
      <xdr:col>19</xdr:col>
      <xdr:colOff>371475</xdr:colOff>
      <xdr:row>61</xdr:row>
      <xdr:rowOff>95250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ela2" displayName="Tabela2" ref="A1:R1391" totalsRowShown="0" headerRowDxfId="40" dataDxfId="39" tableBorderDxfId="38">
  <autoFilter ref="A1:R1391"/>
  <tableColumns count="18">
    <tableColumn id="1" name="Ano" dataDxfId="37"/>
    <tableColumn id="2" name="Código IBGE" dataDxfId="36"/>
    <tableColumn id="3" name="REGIÃO DE SAÚDE" dataDxfId="35"/>
    <tableColumn id="4" name="MUNICIPIO" dataDxfId="34"/>
    <tableColumn id="13" name="BP" dataDxfId="33"/>
    <tableColumn id="14" name="BP%" dataDxfId="32">
      <calculatedColumnFormula>IFERROR(E2/$Q2,0)</calculatedColumnFormula>
    </tableColumn>
    <tableColumn id="40" name="BP_PBF" dataDxfId="31"/>
    <tableColumn id="41" name="BP_PBF%" dataDxfId="30">
      <calculatedColumnFormula>IFERROR(G2/$R2,0)</calculatedColumnFormula>
    </tableColumn>
    <tableColumn id="15" name="E" dataDxfId="29"/>
    <tableColumn id="16" name="E%" dataDxfId="28">
      <calculatedColumnFormula>IFERROR(I2/$Q2,0)</calculatedColumnFormula>
    </tableColumn>
    <tableColumn id="42" name="E_PBF" dataDxfId="27"/>
    <tableColumn id="43" name="E_PBF%" dataDxfId="26">
      <calculatedColumnFormula>IFERROR(K2/$R2,0)</calculatedColumnFormula>
    </tableColumn>
    <tableColumn id="17" name="S" dataDxfId="25"/>
    <tableColumn id="18" name="S%" dataDxfId="24">
      <calculatedColumnFormula>IFERROR(M2/$Q2,0)</calculatedColumnFormula>
    </tableColumn>
    <tableColumn id="46" name="S_PBF" dataDxfId="23"/>
    <tableColumn id="47" name="S_PBF%" dataDxfId="22">
      <calculatedColumnFormula>IFERROR(O2/$R2,0)</calculatedColumnFormula>
    </tableColumn>
    <tableColumn id="31" name="TOTAL" dataDxfId="21"/>
    <tableColumn id="60" name="TOTAL_PBF" dataDxfId="20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Q82" totalsRowCount="1" headerRowDxfId="19">
  <autoFilter ref="A1:Q81"/>
  <sortState ref="A2:AO81">
    <sortCondition descending="1" ref="A1:A81"/>
  </sortState>
  <tableColumns count="17">
    <tableColumn id="1" name="Ano" dataDxfId="18" totalsRowDxfId="17"/>
    <tableColumn id="2" name="REGIÃO DE SAÚDE" dataDxfId="16" totalsRowDxfId="15"/>
    <tableColumn id="19" name="BP">
      <calculatedColumnFormula>SUMIFS(banco!E:E,banco!$C:$C,$B2,banco!$A:$A,$A2)</calculatedColumnFormula>
    </tableColumn>
    <tableColumn id="20" name="BP%" dataDxfId="14" totalsRowDxfId="13">
      <calculatedColumnFormula>IFERROR(C2/$O2,0)</calculatedColumnFormula>
    </tableColumn>
    <tableColumn id="21" name="BP_PBF">
      <calculatedColumnFormula>SUMIFS(banco!G:G,banco!$C:$C,$B2,banco!$A:$A,$A2)</calculatedColumnFormula>
    </tableColumn>
    <tableColumn id="22" name="BP_PBF%" dataDxfId="12" totalsRowDxfId="11">
      <calculatedColumnFormula>IFERROR(E2/$P2,0)</calculatedColumnFormula>
    </tableColumn>
    <tableColumn id="23" name="E">
      <calculatedColumnFormula>SUMIFS(banco!I:I,banco!$C:$C,$B2,banco!$A:$A,$A2)</calculatedColumnFormula>
    </tableColumn>
    <tableColumn id="24" name="E%" dataDxfId="10" totalsRowDxfId="9">
      <calculatedColumnFormula>IFERROR(G2/$O2,0)</calculatedColumnFormula>
    </tableColumn>
    <tableColumn id="25" name="E_PBF">
      <calculatedColumnFormula>SUMIFS(banco!K:K,banco!$C:$C,$B2,banco!$A:$A,$A2)</calculatedColumnFormula>
    </tableColumn>
    <tableColumn id="26" name="E_PBF%" dataDxfId="8" totalsRowDxfId="7">
      <calculatedColumnFormula>IFERROR(I2/$P2,0)</calculatedColumnFormula>
    </tableColumn>
    <tableColumn id="27" name="S">
      <calculatedColumnFormula>SUMIFS(banco!M:M,banco!$C:$C,$B2,banco!$A:$A,$A2)</calculatedColumnFormula>
    </tableColumn>
    <tableColumn id="28" name="S%" dataDxfId="6" totalsRowDxfId="5">
      <calculatedColumnFormula>IFERROR(K2/$O2,0)</calculatedColumnFormula>
    </tableColumn>
    <tableColumn id="29" name="S_PBF">
      <calculatedColumnFormula>SUMIFS(banco!O:O,banco!$C:$C,$B2,banco!$A:$A,$A2)</calculatedColumnFormula>
    </tableColumn>
    <tableColumn id="30" name="S_PBF%" dataDxfId="4" totalsRowDxfId="3">
      <calculatedColumnFormula>IFERROR(M2/$P2,0)</calculatedColumnFormula>
    </tableColumn>
    <tableColumn id="55" name="TOTAL4" dataDxfId="2">
      <calculatedColumnFormula>SUMIFS(banco!Q:Q,banco!$C:$C,$B2,banco!$A:$A,$A2)</calculatedColumnFormula>
    </tableColumn>
    <tableColumn id="56" name="TOTAL_PBF5" totalsRowFunction="sum">
      <calculatedColumnFormula>SUMIFS(banco!R:R,banco!$C:$C,$B2,banco!$A:$A,$A2)</calculatedColumnFormula>
    </tableColumn>
    <tableColumn id="57" name="populaçã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ela3" displayName="Tabela3" ref="A1:M1392" totalsRowShown="0">
  <autoFilter ref="A1:M1392"/>
  <sortState ref="A3:M142">
    <sortCondition ref="D2:D142"/>
  </sortState>
  <tableColumns count="13">
    <tableColumn id="1" name="IBGE"/>
    <tableColumn id="13" name="Região de Saúde" dataDxfId="1">
      <calculatedColumnFormula>VLOOKUP(Tabela3[[#This Row],[IBGE]],procv!$A$2:$D$142,4,FALSE)</calculatedColumnFormula>
    </tableColumn>
    <tableColumn id="12" name="Município"/>
    <tableColumn id="11" name="2015" dataDxfId="0"/>
    <tableColumn id="2" name="2016"/>
    <tableColumn id="3" name="2017"/>
    <tableColumn id="4" name="2018"/>
    <tableColumn id="5" name="2019"/>
    <tableColumn id="6" name="2020"/>
    <tableColumn id="7" name="2021"/>
    <tableColumn id="8" name="2022"/>
    <tableColumn id="9" name="2023"/>
    <tableColumn id="10" name="20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65"/>
  <sheetViews>
    <sheetView tabSelected="1" zoomScale="70" zoomScaleNormal="70" workbookViewId="0">
      <pane ySplit="1" topLeftCell="A2" activePane="bottomLeft" state="frozen"/>
      <selection pane="bottomLeft"/>
    </sheetView>
  </sheetViews>
  <sheetFormatPr defaultColWidth="15.7109375" defaultRowHeight="15" customHeight="1" x14ac:dyDescent="0.25"/>
  <cols>
    <col min="1" max="2" width="15.7109375" style="8"/>
    <col min="3" max="4" width="15.7109375" style="44"/>
    <col min="5" max="5" width="15.7109375" style="8"/>
    <col min="6" max="8" width="15.7109375" style="12"/>
    <col min="9" max="9" width="15.7109375" style="8"/>
    <col min="10" max="12" width="15.7109375" style="12"/>
    <col min="13" max="16384" width="15.7109375" style="8"/>
  </cols>
  <sheetData>
    <row r="1" spans="1:18" ht="15" customHeight="1" x14ac:dyDescent="0.25">
      <c r="A1" s="10" t="s">
        <v>0</v>
      </c>
      <c r="B1" s="10" t="s">
        <v>1</v>
      </c>
      <c r="C1" s="42" t="s">
        <v>2</v>
      </c>
      <c r="D1" s="42" t="s">
        <v>3</v>
      </c>
      <c r="E1" s="13" t="s">
        <v>323</v>
      </c>
      <c r="F1" s="14" t="s">
        <v>324</v>
      </c>
      <c r="G1" s="14" t="s">
        <v>322</v>
      </c>
      <c r="H1" s="14" t="s">
        <v>325</v>
      </c>
      <c r="I1" s="13" t="s">
        <v>296</v>
      </c>
      <c r="J1" s="14" t="s">
        <v>326</v>
      </c>
      <c r="K1" s="14" t="s">
        <v>298</v>
      </c>
      <c r="L1" s="14" t="s">
        <v>327</v>
      </c>
      <c r="M1" s="13" t="s">
        <v>297</v>
      </c>
      <c r="N1" s="13" t="s">
        <v>328</v>
      </c>
      <c r="O1" s="13" t="s">
        <v>299</v>
      </c>
      <c r="P1" s="13" t="s">
        <v>329</v>
      </c>
      <c r="Q1" s="11" t="s">
        <v>4</v>
      </c>
      <c r="R1" s="15" t="s">
        <v>300</v>
      </c>
    </row>
    <row r="2" spans="1:18" x14ac:dyDescent="0.25">
      <c r="A2" s="35">
        <v>2024</v>
      </c>
      <c r="B2" s="35">
        <v>170025</v>
      </c>
      <c r="C2" s="33" t="str">
        <f>VLOOKUP(B2,procv!$A$2:$D$142,4,FALSE)</f>
        <v>Cantão</v>
      </c>
      <c r="D2" s="33" t="s">
        <v>5</v>
      </c>
      <c r="E2" s="17">
        <v>33</v>
      </c>
      <c r="F2" s="36">
        <f>IFERROR(E2/$Q2,0)</f>
        <v>0.10855263157894737</v>
      </c>
      <c r="G2" s="17">
        <v>0</v>
      </c>
      <c r="H2" s="36">
        <f>IFERROR(G2/$R2,0)</f>
        <v>0</v>
      </c>
      <c r="I2" s="17">
        <v>125</v>
      </c>
      <c r="J2" s="36">
        <f>IFERROR(I2/$Q2,0)</f>
        <v>0.41118421052631576</v>
      </c>
      <c r="K2" s="17">
        <v>0</v>
      </c>
      <c r="L2" s="36">
        <f>IFERROR(K2/$R2,0)</f>
        <v>0</v>
      </c>
      <c r="M2" s="17">
        <v>146</v>
      </c>
      <c r="N2" s="36">
        <f>IFERROR(M2/$Q2,0)</f>
        <v>0.48026315789473684</v>
      </c>
      <c r="O2" s="17">
        <v>0</v>
      </c>
      <c r="P2" s="36">
        <f>IFERROR(O2/$R2,0)</f>
        <v>0</v>
      </c>
      <c r="Q2" s="17">
        <v>304</v>
      </c>
      <c r="R2" s="17">
        <v>0</v>
      </c>
    </row>
    <row r="3" spans="1:18" ht="26.25" customHeight="1" x14ac:dyDescent="0.25">
      <c r="A3" s="35">
        <v>2024</v>
      </c>
      <c r="B3" s="35">
        <v>170030</v>
      </c>
      <c r="C3" s="33" t="str">
        <f>VLOOKUP(B3,procv!$A$2:$D$142,4,FALSE)</f>
        <v>Bico do Papagaio</v>
      </c>
      <c r="D3" s="33" t="s">
        <v>6</v>
      </c>
      <c r="E3" s="17">
        <v>45</v>
      </c>
      <c r="F3" s="36">
        <f>IFERROR(E3/$Q3,0)</f>
        <v>0.15625</v>
      </c>
      <c r="G3" s="17">
        <v>1</v>
      </c>
      <c r="H3" s="36">
        <f>IFERROR(G3/$R3,0)</f>
        <v>1</v>
      </c>
      <c r="I3" s="17">
        <v>107</v>
      </c>
      <c r="J3" s="36">
        <f>IFERROR(I3/$Q3,0)</f>
        <v>0.37152777777777779</v>
      </c>
      <c r="K3" s="17">
        <v>0</v>
      </c>
      <c r="L3" s="36">
        <f>IFERROR(K3/$R3,0)</f>
        <v>0</v>
      </c>
      <c r="M3" s="17">
        <v>136</v>
      </c>
      <c r="N3" s="36">
        <f>IFERROR(M3/$Q3,0)</f>
        <v>0.47222222222222221</v>
      </c>
      <c r="O3" s="17">
        <v>0</v>
      </c>
      <c r="P3" s="36">
        <f>IFERROR(O3/$R3,0)</f>
        <v>0</v>
      </c>
      <c r="Q3" s="17">
        <v>288</v>
      </c>
      <c r="R3" s="17">
        <v>1</v>
      </c>
    </row>
    <row r="4" spans="1:18" ht="26.25" customHeight="1" x14ac:dyDescent="0.25">
      <c r="A4" s="35">
        <v>2024</v>
      </c>
      <c r="B4" s="35">
        <v>170035</v>
      </c>
      <c r="C4" s="33" t="str">
        <f>VLOOKUP(B4,procv!$A$2:$D$142,4,FALSE)</f>
        <v>Ilha do Bananal</v>
      </c>
      <c r="D4" s="33" t="s">
        <v>7</v>
      </c>
      <c r="E4" s="17">
        <v>107</v>
      </c>
      <c r="F4" s="36">
        <f>IFERROR(E4/$Q4,0)</f>
        <v>0.1544011544011544</v>
      </c>
      <c r="G4" s="17">
        <v>0</v>
      </c>
      <c r="H4" s="36">
        <f>IFERROR(G4/$R4,0)</f>
        <v>0</v>
      </c>
      <c r="I4" s="17">
        <v>300</v>
      </c>
      <c r="J4" s="36">
        <f>IFERROR(I4/$Q4,0)</f>
        <v>0.4329004329004329</v>
      </c>
      <c r="K4" s="17">
        <v>0</v>
      </c>
      <c r="L4" s="36">
        <f>IFERROR(K4/$R4,0)</f>
        <v>0</v>
      </c>
      <c r="M4" s="17">
        <v>286</v>
      </c>
      <c r="N4" s="36">
        <f>IFERROR(M4/$Q4,0)</f>
        <v>0.41269841269841268</v>
      </c>
      <c r="O4" s="17">
        <v>1</v>
      </c>
      <c r="P4" s="36">
        <f>IFERROR(O4/$R4,0)</f>
        <v>1</v>
      </c>
      <c r="Q4" s="17">
        <v>693</v>
      </c>
      <c r="R4" s="17">
        <v>1</v>
      </c>
    </row>
    <row r="5" spans="1:18" x14ac:dyDescent="0.25">
      <c r="A5" s="35">
        <v>2024</v>
      </c>
      <c r="B5" s="35">
        <v>170040</v>
      </c>
      <c r="C5" s="33" t="str">
        <f>VLOOKUP(B5,procv!$A$2:$D$142,4,FALSE)</f>
        <v>Sudeste</v>
      </c>
      <c r="D5" s="33" t="s">
        <v>8</v>
      </c>
      <c r="E5" s="17">
        <v>100</v>
      </c>
      <c r="F5" s="36">
        <f>IFERROR(E5/$Q5,0)</f>
        <v>0.18975332068311196</v>
      </c>
      <c r="G5" s="17">
        <v>0</v>
      </c>
      <c r="H5" s="36">
        <f>IFERROR(G5/$R5,0)</f>
        <v>0</v>
      </c>
      <c r="I5" s="17">
        <v>236</v>
      </c>
      <c r="J5" s="36">
        <f>IFERROR(I5/$Q5,0)</f>
        <v>0.44781783681214421</v>
      </c>
      <c r="K5" s="17">
        <v>3</v>
      </c>
      <c r="L5" s="36">
        <f>IFERROR(K5/$R5,0)</f>
        <v>0.75</v>
      </c>
      <c r="M5" s="17">
        <v>191</v>
      </c>
      <c r="N5" s="36">
        <f>IFERROR(M5/$Q5,0)</f>
        <v>0.36242884250474383</v>
      </c>
      <c r="O5" s="17">
        <v>1</v>
      </c>
      <c r="P5" s="36">
        <f>IFERROR(O5/$R5,0)</f>
        <v>0.25</v>
      </c>
      <c r="Q5" s="17">
        <v>527</v>
      </c>
      <c r="R5" s="17">
        <v>4</v>
      </c>
    </row>
    <row r="6" spans="1:18" x14ac:dyDescent="0.25">
      <c r="A6" s="35">
        <v>2024</v>
      </c>
      <c r="B6" s="35">
        <v>170070</v>
      </c>
      <c r="C6" s="33" t="str">
        <f>VLOOKUP(B6,procv!$A$2:$D$142,4,FALSE)</f>
        <v>Ilha do Bananal</v>
      </c>
      <c r="D6" s="33" t="s">
        <v>9</v>
      </c>
      <c r="E6" s="17">
        <v>112</v>
      </c>
      <c r="F6" s="36">
        <f>IFERROR(E6/$Q6,0)</f>
        <v>0.11654526534859522</v>
      </c>
      <c r="G6" s="17">
        <v>0</v>
      </c>
      <c r="H6" s="36">
        <f>IFERROR(G6/$R6,0)</f>
        <v>0</v>
      </c>
      <c r="I6" s="17">
        <v>409</v>
      </c>
      <c r="J6" s="36">
        <f>IFERROR(I6/$Q6,0)</f>
        <v>0.42559833506763789</v>
      </c>
      <c r="K6" s="17">
        <v>5</v>
      </c>
      <c r="L6" s="36">
        <f>IFERROR(K6/$R6,0)</f>
        <v>0.7142857142857143</v>
      </c>
      <c r="M6" s="17">
        <v>440</v>
      </c>
      <c r="N6" s="36">
        <f>IFERROR(M6/$Q6,0)</f>
        <v>0.45785639958376689</v>
      </c>
      <c r="O6" s="17">
        <v>2</v>
      </c>
      <c r="P6" s="36">
        <f>IFERROR(O6/$R6,0)</f>
        <v>0.2857142857142857</v>
      </c>
      <c r="Q6" s="17">
        <v>961</v>
      </c>
      <c r="R6" s="17">
        <v>7</v>
      </c>
    </row>
    <row r="7" spans="1:18" x14ac:dyDescent="0.25">
      <c r="A7" s="35">
        <v>2024</v>
      </c>
      <c r="B7" s="35">
        <v>170100</v>
      </c>
      <c r="C7" s="33" t="str">
        <f>VLOOKUP(B7,procv!$A$2:$D$142,4,FALSE)</f>
        <v>Bico do Papagaio</v>
      </c>
      <c r="D7" s="33" t="s">
        <v>10</v>
      </c>
      <c r="E7" s="17">
        <v>101</v>
      </c>
      <c r="F7" s="36">
        <f>IFERROR(E7/$Q7,0)</f>
        <v>0.14326241134751774</v>
      </c>
      <c r="G7" s="17">
        <v>2</v>
      </c>
      <c r="H7" s="36">
        <f>IFERROR(G7/$R7,0)</f>
        <v>0.66666666666666663</v>
      </c>
      <c r="I7" s="17">
        <v>283</v>
      </c>
      <c r="J7" s="36">
        <f>IFERROR(I7/$Q7,0)</f>
        <v>0.40141843971631208</v>
      </c>
      <c r="K7" s="17">
        <v>1</v>
      </c>
      <c r="L7" s="36">
        <f>IFERROR(K7/$R7,0)</f>
        <v>0.33333333333333331</v>
      </c>
      <c r="M7" s="17">
        <v>321</v>
      </c>
      <c r="N7" s="36">
        <f>IFERROR(M7/$Q7,0)</f>
        <v>0.4553191489361702</v>
      </c>
      <c r="O7" s="17">
        <v>0</v>
      </c>
      <c r="P7" s="36">
        <f>IFERROR(O7/$R7,0)</f>
        <v>0</v>
      </c>
      <c r="Q7" s="17">
        <v>705</v>
      </c>
      <c r="R7" s="17">
        <v>3</v>
      </c>
    </row>
    <row r="8" spans="1:18" x14ac:dyDescent="0.25">
      <c r="A8" s="35">
        <v>2024</v>
      </c>
      <c r="B8" s="35">
        <v>170105</v>
      </c>
      <c r="C8" s="33" t="str">
        <f>VLOOKUP(B8,procv!$A$2:$D$142,4,FALSE)</f>
        <v>Bico do Papagaio</v>
      </c>
      <c r="D8" s="33" t="s">
        <v>11</v>
      </c>
      <c r="E8" s="17">
        <v>45</v>
      </c>
      <c r="F8" s="36">
        <f>IFERROR(E8/$Q8,0)</f>
        <v>0.15734265734265734</v>
      </c>
      <c r="G8" s="17">
        <v>1</v>
      </c>
      <c r="H8" s="36">
        <f>IFERROR(G8/$R8,0)</f>
        <v>0.33333333333333331</v>
      </c>
      <c r="I8" s="17">
        <v>133</v>
      </c>
      <c r="J8" s="36">
        <f>IFERROR(I8/$Q8,0)</f>
        <v>0.46503496503496505</v>
      </c>
      <c r="K8" s="17">
        <v>2</v>
      </c>
      <c r="L8" s="36">
        <f>IFERROR(K8/$R8,0)</f>
        <v>0.66666666666666663</v>
      </c>
      <c r="M8" s="17">
        <v>108</v>
      </c>
      <c r="N8" s="36">
        <f>IFERROR(M8/$Q8,0)</f>
        <v>0.3776223776223776</v>
      </c>
      <c r="O8" s="17">
        <v>0</v>
      </c>
      <c r="P8" s="36">
        <f>IFERROR(O8/$R8,0)</f>
        <v>0</v>
      </c>
      <c r="Q8" s="17">
        <v>286</v>
      </c>
      <c r="R8" s="17">
        <v>3</v>
      </c>
    </row>
    <row r="9" spans="1:18" ht="39" customHeight="1" x14ac:dyDescent="0.25">
      <c r="A9" s="35">
        <v>2024</v>
      </c>
      <c r="B9" s="35">
        <v>170110</v>
      </c>
      <c r="C9" s="33" t="str">
        <f>VLOOKUP(B9,procv!$A$2:$D$142,4,FALSE)</f>
        <v>Capim Dourado</v>
      </c>
      <c r="D9" s="33" t="s">
        <v>12</v>
      </c>
      <c r="E9" s="17">
        <v>68</v>
      </c>
      <c r="F9" s="36">
        <f>IFERROR(E9/$Q9,0)</f>
        <v>0.16152019002375298</v>
      </c>
      <c r="G9" s="17">
        <v>0</v>
      </c>
      <c r="H9" s="36">
        <f>IFERROR(G9/$R9,0)</f>
        <v>0</v>
      </c>
      <c r="I9" s="17">
        <v>154</v>
      </c>
      <c r="J9" s="36">
        <f>IFERROR(I9/$Q9,0)</f>
        <v>0.36579572446555819</v>
      </c>
      <c r="K9" s="17">
        <v>1</v>
      </c>
      <c r="L9" s="36">
        <f>IFERROR(K9/$R9,0)</f>
        <v>1</v>
      </c>
      <c r="M9" s="17">
        <v>199</v>
      </c>
      <c r="N9" s="36">
        <f>IFERROR(M9/$Q9,0)</f>
        <v>0.47268408551068886</v>
      </c>
      <c r="O9" s="17">
        <v>0</v>
      </c>
      <c r="P9" s="36">
        <f>IFERROR(O9/$R9,0)</f>
        <v>0</v>
      </c>
      <c r="Q9" s="17">
        <v>421</v>
      </c>
      <c r="R9" s="17">
        <v>1</v>
      </c>
    </row>
    <row r="10" spans="1:18" x14ac:dyDescent="0.25">
      <c r="A10" s="35">
        <v>2024</v>
      </c>
      <c r="B10" s="35">
        <v>170130</v>
      </c>
      <c r="C10" s="33" t="str">
        <f>VLOOKUP(B10,procv!$A$2:$D$142,4,FALSE)</f>
        <v>Médio Norte Araguaia</v>
      </c>
      <c r="D10" s="33" t="s">
        <v>13</v>
      </c>
      <c r="E10" s="17">
        <v>78</v>
      </c>
      <c r="F10" s="36">
        <f>IFERROR(E10/$Q10,0)</f>
        <v>0.12055641421947449</v>
      </c>
      <c r="G10" s="17">
        <v>1</v>
      </c>
      <c r="H10" s="36">
        <f>IFERROR(G10/$R10,0)</f>
        <v>0.1111111111111111</v>
      </c>
      <c r="I10" s="17">
        <v>274</v>
      </c>
      <c r="J10" s="36">
        <f>IFERROR(I10/$Q10,0)</f>
        <v>0.42349304482225658</v>
      </c>
      <c r="K10" s="17">
        <v>4</v>
      </c>
      <c r="L10" s="36">
        <f>IFERROR(K10/$R10,0)</f>
        <v>0.44444444444444442</v>
      </c>
      <c r="M10" s="17">
        <v>295</v>
      </c>
      <c r="N10" s="36">
        <f>IFERROR(M10/$Q10,0)</f>
        <v>0.45595054095826892</v>
      </c>
      <c r="O10" s="17">
        <v>4</v>
      </c>
      <c r="P10" s="36">
        <f>IFERROR(O10/$R10,0)</f>
        <v>0.44444444444444442</v>
      </c>
      <c r="Q10" s="17">
        <v>647</v>
      </c>
      <c r="R10" s="17">
        <v>9</v>
      </c>
    </row>
    <row r="11" spans="1:18" ht="15.75" customHeight="1" x14ac:dyDescent="0.25">
      <c r="A11" s="35">
        <v>2024</v>
      </c>
      <c r="B11" s="35">
        <v>170190</v>
      </c>
      <c r="C11" s="33" t="str">
        <f>VLOOKUP(B11,procv!$A$2:$D$142,4,FALSE)</f>
        <v>Cantão</v>
      </c>
      <c r="D11" s="33" t="s">
        <v>14</v>
      </c>
      <c r="E11" s="17">
        <v>81</v>
      </c>
      <c r="F11" s="36">
        <f>IFERROR(E11/$Q11,0)</f>
        <v>0.1386986301369863</v>
      </c>
      <c r="G11" s="17">
        <v>1</v>
      </c>
      <c r="H11" s="36">
        <f>IFERROR(G11/$R11,0)</f>
        <v>0.25</v>
      </c>
      <c r="I11" s="17">
        <v>217</v>
      </c>
      <c r="J11" s="36">
        <f>IFERROR(I11/$Q11,0)</f>
        <v>0.37157534246575341</v>
      </c>
      <c r="K11" s="17">
        <v>3</v>
      </c>
      <c r="L11" s="36">
        <f>IFERROR(K11/$R11,0)</f>
        <v>0.75</v>
      </c>
      <c r="M11" s="17">
        <v>286</v>
      </c>
      <c r="N11" s="36">
        <f>IFERROR(M11/$Q11,0)</f>
        <v>0.48972602739726029</v>
      </c>
      <c r="O11" s="17">
        <v>0</v>
      </c>
      <c r="P11" s="36">
        <f>IFERROR(O11/$R11,0)</f>
        <v>0</v>
      </c>
      <c r="Q11" s="17">
        <v>584</v>
      </c>
      <c r="R11" s="17">
        <v>4</v>
      </c>
    </row>
    <row r="12" spans="1:18" ht="15.75" customHeight="1" x14ac:dyDescent="0.25">
      <c r="A12" s="35">
        <v>2024</v>
      </c>
      <c r="B12" s="35">
        <v>170200</v>
      </c>
      <c r="C12" s="33" t="str">
        <f>VLOOKUP(B12,procv!$A$2:$D$142,4,FALSE)</f>
        <v>Ilha do Bananal</v>
      </c>
      <c r="D12" s="33" t="s">
        <v>15</v>
      </c>
      <c r="E12" s="17">
        <v>151</v>
      </c>
      <c r="F12" s="36">
        <f>IFERROR(E12/$Q12,0)</f>
        <v>0.13119026933101652</v>
      </c>
      <c r="G12" s="17">
        <v>1</v>
      </c>
      <c r="H12" s="36">
        <f>IFERROR(G12/$R12,0)</f>
        <v>0.33333333333333331</v>
      </c>
      <c r="I12" s="17">
        <v>423</v>
      </c>
      <c r="J12" s="36">
        <f>IFERROR(I12/$Q12,0)</f>
        <v>0.36750651607298002</v>
      </c>
      <c r="K12" s="17">
        <v>0</v>
      </c>
      <c r="L12" s="36">
        <f>IFERROR(K12/$R12,0)</f>
        <v>0</v>
      </c>
      <c r="M12" s="17">
        <v>577</v>
      </c>
      <c r="N12" s="36">
        <f>IFERROR(M12/$Q12,0)</f>
        <v>0.50130321459600347</v>
      </c>
      <c r="O12" s="17">
        <v>2</v>
      </c>
      <c r="P12" s="36">
        <f>IFERROR(O12/$R12,0)</f>
        <v>0.66666666666666663</v>
      </c>
      <c r="Q12" s="16">
        <v>1151</v>
      </c>
      <c r="R12" s="17">
        <v>3</v>
      </c>
    </row>
    <row r="13" spans="1:18" ht="15.75" customHeight="1" x14ac:dyDescent="0.25">
      <c r="A13" s="35">
        <v>2024</v>
      </c>
      <c r="B13" s="35">
        <v>170210</v>
      </c>
      <c r="C13" s="33" t="str">
        <f>VLOOKUP(B13,procv!$A$2:$D$142,4,FALSE)</f>
        <v>Médio Norte Araguaia</v>
      </c>
      <c r="D13" s="33" t="s">
        <v>16</v>
      </c>
      <c r="E13" s="16">
        <v>1291</v>
      </c>
      <c r="F13" s="36">
        <f>IFERROR(E13/$Q13,0)</f>
        <v>0.12407496395963478</v>
      </c>
      <c r="G13" s="17">
        <v>15</v>
      </c>
      <c r="H13" s="36">
        <f>IFERROR(G13/$R13,0)</f>
        <v>0.11363636363636363</v>
      </c>
      <c r="I13" s="16">
        <v>3870</v>
      </c>
      <c r="J13" s="36">
        <f>IFERROR(I13/$Q13,0)</f>
        <v>0.37193656895723209</v>
      </c>
      <c r="K13" s="17">
        <v>39</v>
      </c>
      <c r="L13" s="36">
        <f>IFERROR(K13/$R13,0)</f>
        <v>0.29545454545454547</v>
      </c>
      <c r="M13" s="16">
        <v>5244</v>
      </c>
      <c r="N13" s="36">
        <f>IFERROR(M13/$Q13,0)</f>
        <v>0.50398846708313316</v>
      </c>
      <c r="O13" s="17">
        <v>78</v>
      </c>
      <c r="P13" s="36">
        <f>IFERROR(O13/$R13,0)</f>
        <v>0.59090909090909094</v>
      </c>
      <c r="Q13" s="16">
        <v>10405</v>
      </c>
      <c r="R13" s="17">
        <v>132</v>
      </c>
    </row>
    <row r="14" spans="1:18" ht="15.75" customHeight="1" x14ac:dyDescent="0.25">
      <c r="A14" s="35">
        <v>2024</v>
      </c>
      <c r="B14" s="35">
        <v>170215</v>
      </c>
      <c r="C14" s="33" t="str">
        <f>VLOOKUP(B14,procv!$A$2:$D$142,4,FALSE)</f>
        <v>Médio Norte Araguaia</v>
      </c>
      <c r="D14" s="33" t="s">
        <v>17</v>
      </c>
      <c r="E14" s="17">
        <v>22</v>
      </c>
      <c r="F14" s="36">
        <f>IFERROR(E14/$Q14,0)</f>
        <v>0.10377358490566038</v>
      </c>
      <c r="G14" s="17">
        <v>1</v>
      </c>
      <c r="H14" s="36">
        <f>IFERROR(G14/$R14,0)</f>
        <v>0.25</v>
      </c>
      <c r="I14" s="17">
        <v>79</v>
      </c>
      <c r="J14" s="36">
        <f>IFERROR(I14/$Q14,0)</f>
        <v>0.37264150943396224</v>
      </c>
      <c r="K14" s="17">
        <v>1</v>
      </c>
      <c r="L14" s="36">
        <f>IFERROR(K14/$R14,0)</f>
        <v>0.25</v>
      </c>
      <c r="M14" s="17">
        <v>111</v>
      </c>
      <c r="N14" s="36">
        <f>IFERROR(M14/$Q14,0)</f>
        <v>0.52358490566037741</v>
      </c>
      <c r="O14" s="17">
        <v>2</v>
      </c>
      <c r="P14" s="36">
        <f>IFERROR(O14/$R14,0)</f>
        <v>0.5</v>
      </c>
      <c r="Q14" s="17">
        <v>212</v>
      </c>
      <c r="R14" s="17">
        <v>4</v>
      </c>
    </row>
    <row r="15" spans="1:18" ht="15.75" customHeight="1" x14ac:dyDescent="0.25">
      <c r="A15" s="35">
        <v>2024</v>
      </c>
      <c r="B15" s="35">
        <v>170220</v>
      </c>
      <c r="C15" s="33" t="str">
        <f>VLOOKUP(B15,procv!$A$2:$D$142,4,FALSE)</f>
        <v>Bico do Papagaio</v>
      </c>
      <c r="D15" s="33" t="s">
        <v>18</v>
      </c>
      <c r="E15" s="17">
        <v>493</v>
      </c>
      <c r="F15" s="36">
        <f>IFERROR(E15/$Q15,0)</f>
        <v>0.18998073217726397</v>
      </c>
      <c r="G15" s="17">
        <v>2</v>
      </c>
      <c r="H15" s="36">
        <f>IFERROR(G15/$R15,0)</f>
        <v>0.25</v>
      </c>
      <c r="I15" s="16">
        <v>1142</v>
      </c>
      <c r="J15" s="36">
        <f>IFERROR(I15/$Q15,0)</f>
        <v>0.44007707129094414</v>
      </c>
      <c r="K15" s="17">
        <v>3</v>
      </c>
      <c r="L15" s="36">
        <f>IFERROR(K15/$R15,0)</f>
        <v>0.375</v>
      </c>
      <c r="M15" s="17">
        <v>960</v>
      </c>
      <c r="N15" s="36">
        <f>IFERROR(M15/$Q15,0)</f>
        <v>0.36994219653179189</v>
      </c>
      <c r="O15" s="17">
        <v>3</v>
      </c>
      <c r="P15" s="36">
        <f>IFERROR(O15/$R15,0)</f>
        <v>0.375</v>
      </c>
      <c r="Q15" s="16">
        <v>2595</v>
      </c>
      <c r="R15" s="17">
        <v>8</v>
      </c>
    </row>
    <row r="16" spans="1:18" ht="15.75" customHeight="1" x14ac:dyDescent="0.25">
      <c r="A16" s="35">
        <v>2024</v>
      </c>
      <c r="B16" s="35">
        <v>170230</v>
      </c>
      <c r="C16" s="33" t="str">
        <f>VLOOKUP(B16,procv!$A$2:$D$142,4,FALSE)</f>
        <v>Cerrado Tocantins Araguaia</v>
      </c>
      <c r="D16" s="33" t="s">
        <v>19</v>
      </c>
      <c r="E16" s="17">
        <v>5</v>
      </c>
      <c r="F16" s="36">
        <f>IFERROR(E16/$Q16,0)</f>
        <v>7.3529411764705885E-2</v>
      </c>
      <c r="G16" s="17">
        <v>0</v>
      </c>
      <c r="H16" s="36">
        <f>IFERROR(G16/$R16,0)</f>
        <v>0</v>
      </c>
      <c r="I16" s="17">
        <v>29</v>
      </c>
      <c r="J16" s="36">
        <f>IFERROR(I16/$Q16,0)</f>
        <v>0.4264705882352941</v>
      </c>
      <c r="K16" s="17">
        <v>0</v>
      </c>
      <c r="L16" s="36">
        <f>IFERROR(K16/$R16,0)</f>
        <v>0</v>
      </c>
      <c r="M16" s="17">
        <v>34</v>
      </c>
      <c r="N16" s="36">
        <f>IFERROR(M16/$Q16,0)</f>
        <v>0.5</v>
      </c>
      <c r="O16" s="17">
        <v>0</v>
      </c>
      <c r="P16" s="36">
        <f>IFERROR(O16/$R16,0)</f>
        <v>0</v>
      </c>
      <c r="Q16" s="17">
        <v>68</v>
      </c>
      <c r="R16" s="17">
        <v>0</v>
      </c>
    </row>
    <row r="17" spans="1:18" ht="15.75" customHeight="1" x14ac:dyDescent="0.25">
      <c r="A17" s="35">
        <v>2024</v>
      </c>
      <c r="B17" s="35">
        <v>170240</v>
      </c>
      <c r="C17" s="33" t="str">
        <f>VLOOKUP(B17,procv!$A$2:$D$142,4,FALSE)</f>
        <v>Sudeste</v>
      </c>
      <c r="D17" s="33" t="s">
        <v>20</v>
      </c>
      <c r="E17" s="17">
        <v>256</v>
      </c>
      <c r="F17" s="36">
        <f>IFERROR(E17/$Q17,0)</f>
        <v>0.24242424242424243</v>
      </c>
      <c r="G17" s="17">
        <v>0</v>
      </c>
      <c r="H17" s="36">
        <f>IFERROR(G17/$R17,0)</f>
        <v>0</v>
      </c>
      <c r="I17" s="17">
        <v>460</v>
      </c>
      <c r="J17" s="36">
        <f>IFERROR(I17/$Q17,0)</f>
        <v>0.43560606060606061</v>
      </c>
      <c r="K17" s="17">
        <v>0</v>
      </c>
      <c r="L17" s="36">
        <f>IFERROR(K17/$R17,0)</f>
        <v>0</v>
      </c>
      <c r="M17" s="17">
        <v>340</v>
      </c>
      <c r="N17" s="36">
        <f>IFERROR(M17/$Q17,0)</f>
        <v>0.32196969696969696</v>
      </c>
      <c r="O17" s="17">
        <v>0</v>
      </c>
      <c r="P17" s="36">
        <f>IFERROR(O17/$R17,0)</f>
        <v>0</v>
      </c>
      <c r="Q17" s="16">
        <v>1056</v>
      </c>
      <c r="R17" s="17">
        <v>0</v>
      </c>
    </row>
    <row r="18" spans="1:18" ht="15.75" customHeight="1" x14ac:dyDescent="0.25">
      <c r="A18" s="35">
        <v>2024</v>
      </c>
      <c r="B18" s="35">
        <v>170255</v>
      </c>
      <c r="C18" s="33" t="str">
        <f>VLOOKUP(B18,procv!$A$2:$D$142,4,FALSE)</f>
        <v>Bico do Papagaio</v>
      </c>
      <c r="D18" s="33" t="s">
        <v>21</v>
      </c>
      <c r="E18" s="17">
        <v>200</v>
      </c>
      <c r="F18" s="36">
        <f>IFERROR(E18/$Q18,0)</f>
        <v>0.15015015015015015</v>
      </c>
      <c r="G18" s="17">
        <v>0</v>
      </c>
      <c r="H18" s="36">
        <f>IFERROR(G18/$R18,0)</f>
        <v>0</v>
      </c>
      <c r="I18" s="17">
        <v>530</v>
      </c>
      <c r="J18" s="36">
        <f>IFERROR(I18/$Q18,0)</f>
        <v>0.39789789789789792</v>
      </c>
      <c r="K18" s="17">
        <v>1</v>
      </c>
      <c r="L18" s="36">
        <f>IFERROR(K18/$R18,0)</f>
        <v>0.33333333333333331</v>
      </c>
      <c r="M18" s="17">
        <v>602</v>
      </c>
      <c r="N18" s="36">
        <f>IFERROR(M18/$Q18,0)</f>
        <v>0.45195195195195192</v>
      </c>
      <c r="O18" s="17">
        <v>2</v>
      </c>
      <c r="P18" s="36">
        <f>IFERROR(O18/$R18,0)</f>
        <v>0.66666666666666663</v>
      </c>
      <c r="Q18" s="16">
        <v>1332</v>
      </c>
      <c r="R18" s="17">
        <v>3</v>
      </c>
    </row>
    <row r="19" spans="1:18" ht="15.75" customHeight="1" x14ac:dyDescent="0.25">
      <c r="A19" s="35">
        <v>2024</v>
      </c>
      <c r="B19" s="35">
        <v>170270</v>
      </c>
      <c r="C19" s="33" t="str">
        <f>VLOOKUP(B19,procv!$A$2:$D$142,4,FALSE)</f>
        <v>Sudeste</v>
      </c>
      <c r="D19" s="33" t="s">
        <v>22</v>
      </c>
      <c r="E19" s="17">
        <v>131</v>
      </c>
      <c r="F19" s="36">
        <f>IFERROR(E19/$Q19,0)</f>
        <v>0.24214417744916822</v>
      </c>
      <c r="G19" s="17">
        <v>1</v>
      </c>
      <c r="H19" s="36">
        <f>IFERROR(G19/$R19,0)</f>
        <v>0.25</v>
      </c>
      <c r="I19" s="17">
        <v>232</v>
      </c>
      <c r="J19" s="36">
        <f>IFERROR(I19/$Q19,0)</f>
        <v>0.42883548983364139</v>
      </c>
      <c r="K19" s="17">
        <v>1</v>
      </c>
      <c r="L19" s="36">
        <f>IFERROR(K19/$R19,0)</f>
        <v>0.25</v>
      </c>
      <c r="M19" s="17">
        <v>178</v>
      </c>
      <c r="N19" s="36">
        <f>IFERROR(M19/$Q19,0)</f>
        <v>0.32902033271719039</v>
      </c>
      <c r="O19" s="17">
        <v>2</v>
      </c>
      <c r="P19" s="36">
        <f>IFERROR(O19/$R19,0)</f>
        <v>0.5</v>
      </c>
      <c r="Q19" s="17">
        <v>541</v>
      </c>
      <c r="R19" s="17">
        <v>4</v>
      </c>
    </row>
    <row r="20" spans="1:18" ht="15.75" customHeight="1" x14ac:dyDescent="0.25">
      <c r="A20" s="35">
        <v>2024</v>
      </c>
      <c r="B20" s="35">
        <v>170290</v>
      </c>
      <c r="C20" s="33" t="str">
        <f>VLOOKUP(B20,procv!$A$2:$D$142,4,FALSE)</f>
        <v>Bico do Papagaio</v>
      </c>
      <c r="D20" s="33" t="s">
        <v>23</v>
      </c>
      <c r="E20" s="17">
        <v>31</v>
      </c>
      <c r="F20" s="36">
        <f>IFERROR(E20/$Q20,0)</f>
        <v>0.12156862745098039</v>
      </c>
      <c r="G20" s="17">
        <v>0</v>
      </c>
      <c r="H20" s="36">
        <f>IFERROR(G20/$R20,0)</f>
        <v>0</v>
      </c>
      <c r="I20" s="17">
        <v>110</v>
      </c>
      <c r="J20" s="36">
        <f>IFERROR(I20/$Q20,0)</f>
        <v>0.43137254901960786</v>
      </c>
      <c r="K20" s="17">
        <v>3</v>
      </c>
      <c r="L20" s="36">
        <f>IFERROR(K20/$R20,0)</f>
        <v>0.75</v>
      </c>
      <c r="M20" s="17">
        <v>114</v>
      </c>
      <c r="N20" s="36">
        <f>IFERROR(M20/$Q20,0)</f>
        <v>0.44705882352941179</v>
      </c>
      <c r="O20" s="17">
        <v>1</v>
      </c>
      <c r="P20" s="36">
        <f>IFERROR(O20/$R20,0)</f>
        <v>0.25</v>
      </c>
      <c r="Q20" s="17">
        <v>255</v>
      </c>
      <c r="R20" s="17">
        <v>4</v>
      </c>
    </row>
    <row r="21" spans="1:18" ht="15.75" customHeight="1" x14ac:dyDescent="0.25">
      <c r="A21" s="35">
        <v>2024</v>
      </c>
      <c r="B21" s="35">
        <v>170300</v>
      </c>
      <c r="C21" s="33" t="str">
        <f>VLOOKUP(B21,procv!$A$2:$D$142,4,FALSE)</f>
        <v>Médio Norte Araguaia</v>
      </c>
      <c r="D21" s="33" t="s">
        <v>24</v>
      </c>
      <c r="E21" s="17">
        <v>98</v>
      </c>
      <c r="F21" s="36">
        <f>IFERROR(E21/$Q21,0)</f>
        <v>0.18014705882352941</v>
      </c>
      <c r="G21" s="17">
        <v>0</v>
      </c>
      <c r="H21" s="36">
        <f>IFERROR(G21/$R21,0)</f>
        <v>0</v>
      </c>
      <c r="I21" s="17">
        <v>240</v>
      </c>
      <c r="J21" s="36">
        <f>IFERROR(I21/$Q21,0)</f>
        <v>0.44117647058823528</v>
      </c>
      <c r="K21" s="17">
        <v>2</v>
      </c>
      <c r="L21" s="36">
        <f>IFERROR(K21/$R21,0)</f>
        <v>0.66666666666666663</v>
      </c>
      <c r="M21" s="17">
        <v>206</v>
      </c>
      <c r="N21" s="36">
        <f>IFERROR(M21/$Q21,0)</f>
        <v>0.37867647058823528</v>
      </c>
      <c r="O21" s="17">
        <v>1</v>
      </c>
      <c r="P21" s="36">
        <f>IFERROR(O21/$R21,0)</f>
        <v>0.33333333333333331</v>
      </c>
      <c r="Q21" s="17">
        <v>544</v>
      </c>
      <c r="R21" s="17">
        <v>3</v>
      </c>
    </row>
    <row r="22" spans="1:18" ht="15.75" customHeight="1" x14ac:dyDescent="0.25">
      <c r="A22" s="35">
        <v>2024</v>
      </c>
      <c r="B22" s="35">
        <v>170305</v>
      </c>
      <c r="C22" s="33" t="str">
        <f>VLOOKUP(B22,procv!$A$2:$D$142,4,FALSE)</f>
        <v>Cerrado Tocantins Araguaia</v>
      </c>
      <c r="D22" s="33" t="s">
        <v>25</v>
      </c>
      <c r="E22" s="17">
        <v>28</v>
      </c>
      <c r="F22" s="36">
        <f>IFERROR(E22/$Q22,0)</f>
        <v>0.12669683257918551</v>
      </c>
      <c r="G22" s="17">
        <v>0</v>
      </c>
      <c r="H22" s="36">
        <f>IFERROR(G22/$R22,0)</f>
        <v>0</v>
      </c>
      <c r="I22" s="17">
        <v>80</v>
      </c>
      <c r="J22" s="36">
        <f>IFERROR(I22/$Q22,0)</f>
        <v>0.36199095022624433</v>
      </c>
      <c r="K22" s="17">
        <v>0</v>
      </c>
      <c r="L22" s="36">
        <f>IFERROR(K22/$R22,0)</f>
        <v>0</v>
      </c>
      <c r="M22" s="17">
        <v>113</v>
      </c>
      <c r="N22" s="36">
        <f>IFERROR(M22/$Q22,0)</f>
        <v>0.5113122171945701</v>
      </c>
      <c r="O22" s="17">
        <v>0</v>
      </c>
      <c r="P22" s="36">
        <f>IFERROR(O22/$R22,0)</f>
        <v>0</v>
      </c>
      <c r="Q22" s="17">
        <v>221</v>
      </c>
      <c r="R22" s="17">
        <v>0</v>
      </c>
    </row>
    <row r="23" spans="1:18" ht="15.75" customHeight="1" x14ac:dyDescent="0.25">
      <c r="A23" s="35">
        <v>2024</v>
      </c>
      <c r="B23" s="35">
        <v>170307</v>
      </c>
      <c r="C23" s="33" t="str">
        <f>VLOOKUP(B23,procv!$A$2:$D$142,4,FALSE)</f>
        <v>Médio Norte Araguaia</v>
      </c>
      <c r="D23" s="33" t="s">
        <v>26</v>
      </c>
      <c r="E23" s="17">
        <v>53</v>
      </c>
      <c r="F23" s="36">
        <f>IFERROR(E23/$Q23,0)</f>
        <v>0.14363143631436315</v>
      </c>
      <c r="G23" s="17">
        <v>0</v>
      </c>
      <c r="H23" s="36">
        <f>IFERROR(G23/$R23,0)</f>
        <v>0</v>
      </c>
      <c r="I23" s="17">
        <v>145</v>
      </c>
      <c r="J23" s="36">
        <f>IFERROR(I23/$Q23,0)</f>
        <v>0.39295392953929537</v>
      </c>
      <c r="K23" s="17">
        <v>0</v>
      </c>
      <c r="L23" s="36">
        <f>IFERROR(K23/$R23,0)</f>
        <v>0</v>
      </c>
      <c r="M23" s="17">
        <v>171</v>
      </c>
      <c r="N23" s="36">
        <f>IFERROR(M23/$Q23,0)</f>
        <v>0.46341463414634149</v>
      </c>
      <c r="O23" s="17">
        <v>1</v>
      </c>
      <c r="P23" s="36">
        <f>IFERROR(O23/$R23,0)</f>
        <v>1</v>
      </c>
      <c r="Q23" s="17">
        <v>369</v>
      </c>
      <c r="R23" s="17">
        <v>1</v>
      </c>
    </row>
    <row r="24" spans="1:18" ht="15.75" customHeight="1" x14ac:dyDescent="0.25">
      <c r="A24" s="35">
        <v>2024</v>
      </c>
      <c r="B24" s="35">
        <v>170310</v>
      </c>
      <c r="C24" s="33" t="str">
        <f>VLOOKUP(B24,procv!$A$2:$D$142,4,FALSE)</f>
        <v>Cantão</v>
      </c>
      <c r="D24" s="33" t="s">
        <v>27</v>
      </c>
      <c r="E24" s="17">
        <v>29</v>
      </c>
      <c r="F24" s="36">
        <f>IFERROR(E24/$Q24,0)</f>
        <v>0.13679245283018868</v>
      </c>
      <c r="G24" s="17">
        <v>1</v>
      </c>
      <c r="H24" s="36">
        <f>IFERROR(G24/$R24,0)</f>
        <v>1</v>
      </c>
      <c r="I24" s="17">
        <v>81</v>
      </c>
      <c r="J24" s="36">
        <f>IFERROR(I24/$Q24,0)</f>
        <v>0.38207547169811323</v>
      </c>
      <c r="K24" s="17">
        <v>0</v>
      </c>
      <c r="L24" s="36">
        <f>IFERROR(K24/$R24,0)</f>
        <v>0</v>
      </c>
      <c r="M24" s="17">
        <v>102</v>
      </c>
      <c r="N24" s="36">
        <f>IFERROR(M24/$Q24,0)</f>
        <v>0.48113207547169812</v>
      </c>
      <c r="O24" s="17">
        <v>0</v>
      </c>
      <c r="P24" s="36">
        <f>IFERROR(O24/$R24,0)</f>
        <v>0</v>
      </c>
      <c r="Q24" s="17">
        <v>212</v>
      </c>
      <c r="R24" s="17">
        <v>1</v>
      </c>
    </row>
    <row r="25" spans="1:18" ht="15.75" customHeight="1" x14ac:dyDescent="0.25">
      <c r="A25" s="35">
        <v>2024</v>
      </c>
      <c r="B25" s="35">
        <v>170320</v>
      </c>
      <c r="C25" s="33" t="str">
        <f>VLOOKUP(B25,procv!$A$2:$D$142,4,FALSE)</f>
        <v>Cerrado Tocantins Araguaia</v>
      </c>
      <c r="D25" s="33" t="s">
        <v>28</v>
      </c>
      <c r="E25" s="17">
        <v>5</v>
      </c>
      <c r="F25" s="36">
        <f>IFERROR(E25/$Q25,0)</f>
        <v>0.17241379310344829</v>
      </c>
      <c r="G25" s="17">
        <v>0</v>
      </c>
      <c r="H25" s="36">
        <f>IFERROR(G25/$R25,0)</f>
        <v>0</v>
      </c>
      <c r="I25" s="17">
        <v>6</v>
      </c>
      <c r="J25" s="36">
        <f>IFERROR(I25/$Q25,0)</f>
        <v>0.20689655172413793</v>
      </c>
      <c r="K25" s="17">
        <v>0</v>
      </c>
      <c r="L25" s="36">
        <f>IFERROR(K25/$R25,0)</f>
        <v>0</v>
      </c>
      <c r="M25" s="17">
        <v>18</v>
      </c>
      <c r="N25" s="36">
        <f>IFERROR(M25/$Q25,0)</f>
        <v>0.62068965517241381</v>
      </c>
      <c r="O25" s="17">
        <v>0</v>
      </c>
      <c r="P25" s="36">
        <f>IFERROR(O25/$R25,0)</f>
        <v>0</v>
      </c>
      <c r="Q25" s="17">
        <v>29</v>
      </c>
      <c r="R25" s="17">
        <v>0</v>
      </c>
    </row>
    <row r="26" spans="1:18" ht="15.75" customHeight="1" x14ac:dyDescent="0.25">
      <c r="A26" s="35">
        <v>2024</v>
      </c>
      <c r="B26" s="35">
        <v>170330</v>
      </c>
      <c r="C26" s="33" t="str">
        <f>VLOOKUP(B26,procv!$A$2:$D$142,4,FALSE)</f>
        <v>Cerrado Tocantins Araguaia</v>
      </c>
      <c r="D26" s="33" t="s">
        <v>29</v>
      </c>
      <c r="E26" s="17">
        <v>21</v>
      </c>
      <c r="F26" s="36">
        <f>IFERROR(E26/$Q26,0)</f>
        <v>0.18421052631578946</v>
      </c>
      <c r="G26" s="17">
        <v>0</v>
      </c>
      <c r="H26" s="36">
        <f>IFERROR(G26/$R26,0)</f>
        <v>0</v>
      </c>
      <c r="I26" s="17">
        <v>52</v>
      </c>
      <c r="J26" s="36">
        <f>IFERROR(I26/$Q26,0)</f>
        <v>0.45614035087719296</v>
      </c>
      <c r="K26" s="17">
        <v>2</v>
      </c>
      <c r="L26" s="36">
        <f>IFERROR(K26/$R26,0)</f>
        <v>0.33333333333333331</v>
      </c>
      <c r="M26" s="17">
        <v>41</v>
      </c>
      <c r="N26" s="36">
        <f>IFERROR(M26/$Q26,0)</f>
        <v>0.35964912280701755</v>
      </c>
      <c r="O26" s="17">
        <v>4</v>
      </c>
      <c r="P26" s="36">
        <f>IFERROR(O26/$R26,0)</f>
        <v>0.66666666666666663</v>
      </c>
      <c r="Q26" s="17">
        <v>114</v>
      </c>
      <c r="R26" s="17">
        <v>6</v>
      </c>
    </row>
    <row r="27" spans="1:18" ht="15.75" customHeight="1" x14ac:dyDescent="0.25">
      <c r="A27" s="35">
        <v>2024</v>
      </c>
      <c r="B27" s="35">
        <v>170360</v>
      </c>
      <c r="C27" s="33" t="str">
        <f>VLOOKUP(B27,procv!$A$2:$D$142,4,FALSE)</f>
        <v>Cerrado Tocantins Araguaia</v>
      </c>
      <c r="D27" s="33" t="s">
        <v>30</v>
      </c>
      <c r="E27" s="17">
        <v>31</v>
      </c>
      <c r="F27" s="36">
        <f>IFERROR(E27/$Q27,0)</f>
        <v>0.13419913419913421</v>
      </c>
      <c r="G27" s="17">
        <v>0</v>
      </c>
      <c r="H27" s="36">
        <f>IFERROR(G27/$R27,0)</f>
        <v>0</v>
      </c>
      <c r="I27" s="17">
        <v>83</v>
      </c>
      <c r="J27" s="36">
        <f>IFERROR(I27/$Q27,0)</f>
        <v>0.3593073593073593</v>
      </c>
      <c r="K27" s="17">
        <v>0</v>
      </c>
      <c r="L27" s="36">
        <f>IFERROR(K27/$R27,0)</f>
        <v>0</v>
      </c>
      <c r="M27" s="17">
        <v>117</v>
      </c>
      <c r="N27" s="36">
        <f>IFERROR(M27/$Q27,0)</f>
        <v>0.50649350649350644</v>
      </c>
      <c r="O27" s="17">
        <v>2</v>
      </c>
      <c r="P27" s="36">
        <f>IFERROR(O27/$R27,0)</f>
        <v>1</v>
      </c>
      <c r="Q27" s="17">
        <v>231</v>
      </c>
      <c r="R27" s="17">
        <v>2</v>
      </c>
    </row>
    <row r="28" spans="1:18" ht="15.75" customHeight="1" x14ac:dyDescent="0.25">
      <c r="A28" s="35">
        <v>2024</v>
      </c>
      <c r="B28" s="35">
        <v>170370</v>
      </c>
      <c r="C28" s="33" t="str">
        <f>VLOOKUP(B28,procv!$A$2:$D$142,4,FALSE)</f>
        <v>Amor Perfeito</v>
      </c>
      <c r="D28" s="33" t="s">
        <v>31</v>
      </c>
      <c r="E28" s="17">
        <v>63</v>
      </c>
      <c r="F28" s="36">
        <f>IFERROR(E28/$Q28,0)</f>
        <v>0.18260869565217391</v>
      </c>
      <c r="G28" s="17">
        <v>0</v>
      </c>
      <c r="H28" s="36">
        <f>IFERROR(G28/$R28,0)</f>
        <v>0</v>
      </c>
      <c r="I28" s="17">
        <v>137</v>
      </c>
      <c r="J28" s="36">
        <f>IFERROR(I28/$Q28,0)</f>
        <v>0.39710144927536234</v>
      </c>
      <c r="K28" s="17">
        <v>1</v>
      </c>
      <c r="L28" s="36">
        <f>IFERROR(K28/$R28,0)</f>
        <v>0.33333333333333331</v>
      </c>
      <c r="M28" s="17">
        <v>145</v>
      </c>
      <c r="N28" s="36">
        <f>IFERROR(M28/$Q28,0)</f>
        <v>0.42028985507246375</v>
      </c>
      <c r="O28" s="17">
        <v>2</v>
      </c>
      <c r="P28" s="36">
        <f>IFERROR(O28/$R28,0)</f>
        <v>0.66666666666666663</v>
      </c>
      <c r="Q28" s="17">
        <v>345</v>
      </c>
      <c r="R28" s="17">
        <v>3</v>
      </c>
    </row>
    <row r="29" spans="1:18" ht="15.75" customHeight="1" x14ac:dyDescent="0.25">
      <c r="A29" s="35">
        <v>2024</v>
      </c>
      <c r="B29" s="35">
        <v>170380</v>
      </c>
      <c r="C29" s="33" t="str">
        <f>VLOOKUP(B29,procv!$A$2:$D$142,4,FALSE)</f>
        <v>Bico do Papagaio</v>
      </c>
      <c r="D29" s="33" t="s">
        <v>32</v>
      </c>
      <c r="E29" s="17">
        <v>140</v>
      </c>
      <c r="F29" s="36">
        <f>IFERROR(E29/$Q29,0)</f>
        <v>0.14537902388369678</v>
      </c>
      <c r="G29" s="17">
        <v>1</v>
      </c>
      <c r="H29" s="36">
        <f>IFERROR(G29/$R29,0)</f>
        <v>0.5</v>
      </c>
      <c r="I29" s="17">
        <v>372</v>
      </c>
      <c r="J29" s="36">
        <f>IFERROR(I29/$Q29,0)</f>
        <v>0.38629283489096572</v>
      </c>
      <c r="K29" s="17">
        <v>0</v>
      </c>
      <c r="L29" s="36">
        <f>IFERROR(K29/$R29,0)</f>
        <v>0</v>
      </c>
      <c r="M29" s="17">
        <v>451</v>
      </c>
      <c r="N29" s="36">
        <f>IFERROR(M29/$Q29,0)</f>
        <v>0.4683281412253375</v>
      </c>
      <c r="O29" s="17">
        <v>1</v>
      </c>
      <c r="P29" s="36">
        <f>IFERROR(O29/$R29,0)</f>
        <v>0.5</v>
      </c>
      <c r="Q29" s="17">
        <v>963</v>
      </c>
      <c r="R29" s="17">
        <v>2</v>
      </c>
    </row>
    <row r="30" spans="1:18" ht="15.75" customHeight="1" x14ac:dyDescent="0.25">
      <c r="A30" s="35">
        <v>2024</v>
      </c>
      <c r="B30" s="35">
        <v>170382</v>
      </c>
      <c r="C30" s="33" t="str">
        <f>VLOOKUP(B30,procv!$A$2:$D$142,4,FALSE)</f>
        <v>Bico do Papagaio</v>
      </c>
      <c r="D30" s="33" t="s">
        <v>33</v>
      </c>
      <c r="E30" s="17">
        <v>33</v>
      </c>
      <c r="F30" s="36">
        <f>IFERROR(E30/$Q30,0)</f>
        <v>0.17837837837837839</v>
      </c>
      <c r="G30" s="17">
        <v>0</v>
      </c>
      <c r="H30" s="36">
        <f>IFERROR(G30/$R30,0)</f>
        <v>0</v>
      </c>
      <c r="I30" s="17">
        <v>77</v>
      </c>
      <c r="J30" s="36">
        <f>IFERROR(I30/$Q30,0)</f>
        <v>0.41621621621621624</v>
      </c>
      <c r="K30" s="17">
        <v>0</v>
      </c>
      <c r="L30" s="36">
        <f>IFERROR(K30/$R30,0)</f>
        <v>0</v>
      </c>
      <c r="M30" s="17">
        <v>75</v>
      </c>
      <c r="N30" s="36">
        <f>IFERROR(M30/$Q30,0)</f>
        <v>0.40540540540540543</v>
      </c>
      <c r="O30" s="17">
        <v>0</v>
      </c>
      <c r="P30" s="36">
        <f>IFERROR(O30/$R30,0)</f>
        <v>0</v>
      </c>
      <c r="Q30" s="17">
        <v>185</v>
      </c>
      <c r="R30" s="17">
        <v>0</v>
      </c>
    </row>
    <row r="31" spans="1:18" ht="15.75" customHeight="1" x14ac:dyDescent="0.25">
      <c r="A31" s="35">
        <v>2024</v>
      </c>
      <c r="B31" s="35">
        <v>170384</v>
      </c>
      <c r="C31" s="33" t="str">
        <f>VLOOKUP(B31,procv!$A$2:$D$142,4,FALSE)</f>
        <v>Médio Norte Araguaia</v>
      </c>
      <c r="D31" s="33" t="s">
        <v>34</v>
      </c>
      <c r="E31" s="17">
        <v>72</v>
      </c>
      <c r="F31" s="36">
        <f>IFERROR(E31/$Q31,0)</f>
        <v>0.15</v>
      </c>
      <c r="G31" s="17">
        <v>0</v>
      </c>
      <c r="H31" s="36">
        <f>IFERROR(G31/$R31,0)</f>
        <v>0</v>
      </c>
      <c r="I31" s="17">
        <v>213</v>
      </c>
      <c r="J31" s="36">
        <f>IFERROR(I31/$Q31,0)</f>
        <v>0.44374999999999998</v>
      </c>
      <c r="K31" s="17">
        <v>1</v>
      </c>
      <c r="L31" s="36">
        <f>IFERROR(K31/$R31,0)</f>
        <v>0.33333333333333331</v>
      </c>
      <c r="M31" s="17">
        <v>195</v>
      </c>
      <c r="N31" s="36">
        <f>IFERROR(M31/$Q31,0)</f>
        <v>0.40625</v>
      </c>
      <c r="O31" s="17">
        <v>2</v>
      </c>
      <c r="P31" s="36">
        <f>IFERROR(O31/$R31,0)</f>
        <v>0.66666666666666663</v>
      </c>
      <c r="Q31" s="17">
        <v>480</v>
      </c>
      <c r="R31" s="17">
        <v>3</v>
      </c>
    </row>
    <row r="32" spans="1:18" ht="15.75" customHeight="1" x14ac:dyDescent="0.25">
      <c r="A32" s="35">
        <v>2024</v>
      </c>
      <c r="B32" s="35">
        <v>170386</v>
      </c>
      <c r="C32" s="33" t="str">
        <f>VLOOKUP(B32,procv!$A$2:$D$142,4,FALSE)</f>
        <v>Ilha do Bananal</v>
      </c>
      <c r="D32" s="33" t="s">
        <v>35</v>
      </c>
      <c r="E32" s="17">
        <v>74</v>
      </c>
      <c r="F32" s="36">
        <f>IFERROR(E32/$Q32,0)</f>
        <v>0.15982721382289417</v>
      </c>
      <c r="G32" s="17">
        <v>3</v>
      </c>
      <c r="H32" s="36">
        <f>IFERROR(G32/$R32,0)</f>
        <v>0.6</v>
      </c>
      <c r="I32" s="17">
        <v>168</v>
      </c>
      <c r="J32" s="36">
        <f>IFERROR(I32/$Q32,0)</f>
        <v>0.36285097192224625</v>
      </c>
      <c r="K32" s="17">
        <v>0</v>
      </c>
      <c r="L32" s="36">
        <f>IFERROR(K32/$R32,0)</f>
        <v>0</v>
      </c>
      <c r="M32" s="17">
        <v>221</v>
      </c>
      <c r="N32" s="36">
        <f>IFERROR(M32/$Q32,0)</f>
        <v>0.47732181425485959</v>
      </c>
      <c r="O32" s="17">
        <v>2</v>
      </c>
      <c r="P32" s="36">
        <f>IFERROR(O32/$R32,0)</f>
        <v>0.4</v>
      </c>
      <c r="Q32" s="17">
        <v>463</v>
      </c>
      <c r="R32" s="17">
        <v>5</v>
      </c>
    </row>
    <row r="33" spans="1:18" ht="15.75" customHeight="1" x14ac:dyDescent="0.25">
      <c r="A33" s="35">
        <v>2024</v>
      </c>
      <c r="B33" s="35">
        <v>170388</v>
      </c>
      <c r="C33" s="33" t="str">
        <f>VLOOKUP(B33,procv!$A$2:$D$142,4,FALSE)</f>
        <v>Médio Norte Araguaia</v>
      </c>
      <c r="D33" s="33" t="s">
        <v>36</v>
      </c>
      <c r="E33" s="17">
        <v>35</v>
      </c>
      <c r="F33" s="36">
        <f>IFERROR(E33/$Q33,0)</f>
        <v>0.13779527559055119</v>
      </c>
      <c r="G33" s="17">
        <v>2</v>
      </c>
      <c r="H33" s="36">
        <f>IFERROR(G33/$R33,0)</f>
        <v>0.2857142857142857</v>
      </c>
      <c r="I33" s="17">
        <v>95</v>
      </c>
      <c r="J33" s="36">
        <f>IFERROR(I33/$Q33,0)</f>
        <v>0.37401574803149606</v>
      </c>
      <c r="K33" s="17">
        <v>4</v>
      </c>
      <c r="L33" s="36">
        <f>IFERROR(K33/$R33,0)</f>
        <v>0.5714285714285714</v>
      </c>
      <c r="M33" s="17">
        <v>124</v>
      </c>
      <c r="N33" s="36">
        <f>IFERROR(M33/$Q33,0)</f>
        <v>0.48818897637795278</v>
      </c>
      <c r="O33" s="17">
        <v>1</v>
      </c>
      <c r="P33" s="36">
        <f>IFERROR(O33/$R33,0)</f>
        <v>0.14285714285714285</v>
      </c>
      <c r="Q33" s="17">
        <v>254</v>
      </c>
      <c r="R33" s="17">
        <v>7</v>
      </c>
    </row>
    <row r="34" spans="1:18" ht="15.75" customHeight="1" x14ac:dyDescent="0.25">
      <c r="A34" s="35">
        <v>2024</v>
      </c>
      <c r="B34" s="35">
        <v>170389</v>
      </c>
      <c r="C34" s="33" t="str">
        <f>VLOOKUP(B34,procv!$A$2:$D$142,4,FALSE)</f>
        <v>Bico do Papagaio</v>
      </c>
      <c r="D34" s="33" t="s">
        <v>37</v>
      </c>
      <c r="E34" s="17">
        <v>50</v>
      </c>
      <c r="F34" s="36">
        <f>IFERROR(E34/$Q34,0)</f>
        <v>0.16339869281045752</v>
      </c>
      <c r="G34" s="17">
        <v>0</v>
      </c>
      <c r="H34" s="36">
        <f>IFERROR(G34/$R34,0)</f>
        <v>0</v>
      </c>
      <c r="I34" s="17">
        <v>122</v>
      </c>
      <c r="J34" s="36">
        <f>IFERROR(I34/$Q34,0)</f>
        <v>0.39869281045751637</v>
      </c>
      <c r="K34" s="17">
        <v>1</v>
      </c>
      <c r="L34" s="36">
        <f>IFERROR(K34/$R34,0)</f>
        <v>0.5</v>
      </c>
      <c r="M34" s="17">
        <v>134</v>
      </c>
      <c r="N34" s="36">
        <f>IFERROR(M34/$Q34,0)</f>
        <v>0.43790849673202614</v>
      </c>
      <c r="O34" s="17">
        <v>1</v>
      </c>
      <c r="P34" s="36">
        <f>IFERROR(O34/$R34,0)</f>
        <v>0.5</v>
      </c>
      <c r="Q34" s="17">
        <v>306</v>
      </c>
      <c r="R34" s="17">
        <v>2</v>
      </c>
    </row>
    <row r="35" spans="1:18" ht="15.75" customHeight="1" x14ac:dyDescent="0.25">
      <c r="A35" s="35">
        <v>2024</v>
      </c>
      <c r="B35" s="35">
        <v>170390</v>
      </c>
      <c r="C35" s="33" t="str">
        <f>VLOOKUP(B35,procv!$A$2:$D$142,4,FALSE)</f>
        <v>Cantão</v>
      </c>
      <c r="D35" s="33" t="s">
        <v>38</v>
      </c>
      <c r="E35" s="17">
        <v>76</v>
      </c>
      <c r="F35" s="36">
        <f>IFERROR(E35/$Q35,0)</f>
        <v>0.17155756207674944</v>
      </c>
      <c r="G35" s="17">
        <v>1</v>
      </c>
      <c r="H35" s="36">
        <f>IFERROR(G35/$R35,0)</f>
        <v>0.5</v>
      </c>
      <c r="I35" s="17">
        <v>171</v>
      </c>
      <c r="J35" s="36">
        <f>IFERROR(I35/$Q35,0)</f>
        <v>0.38600451467268621</v>
      </c>
      <c r="K35" s="17">
        <v>0</v>
      </c>
      <c r="L35" s="36">
        <f>IFERROR(K35/$R35,0)</f>
        <v>0</v>
      </c>
      <c r="M35" s="17">
        <v>196</v>
      </c>
      <c r="N35" s="36">
        <f>IFERROR(M35/$Q35,0)</f>
        <v>0.44243792325056436</v>
      </c>
      <c r="O35" s="17">
        <v>1</v>
      </c>
      <c r="P35" s="36">
        <f>IFERROR(O35/$R35,0)</f>
        <v>0.5</v>
      </c>
      <c r="Q35" s="17">
        <v>443</v>
      </c>
      <c r="R35" s="17">
        <v>2</v>
      </c>
    </row>
    <row r="36" spans="1:18" ht="15.75" customHeight="1" x14ac:dyDescent="0.25">
      <c r="A36" s="35">
        <v>2024</v>
      </c>
      <c r="B36" s="35">
        <v>170410</v>
      </c>
      <c r="C36" s="33" t="str">
        <f>VLOOKUP(B36,procv!$A$2:$D$142,4,FALSE)</f>
        <v>Cerrado Tocantins Araguaia</v>
      </c>
      <c r="D36" s="33" t="s">
        <v>39</v>
      </c>
      <c r="E36" s="17">
        <v>20</v>
      </c>
      <c r="F36" s="36">
        <f>IFERROR(E36/$Q36,0)</f>
        <v>9.8522167487684734E-2</v>
      </c>
      <c r="G36" s="17">
        <v>0</v>
      </c>
      <c r="H36" s="36">
        <f>IFERROR(G36/$R36,0)</f>
        <v>0</v>
      </c>
      <c r="I36" s="17">
        <v>94</v>
      </c>
      <c r="J36" s="36">
        <f>IFERROR(I36/$Q36,0)</f>
        <v>0.46305418719211822</v>
      </c>
      <c r="K36" s="17">
        <v>0</v>
      </c>
      <c r="L36" s="36">
        <f>IFERROR(K36/$R36,0)</f>
        <v>0</v>
      </c>
      <c r="M36" s="17">
        <v>89</v>
      </c>
      <c r="N36" s="36">
        <f>IFERROR(M36/$Q36,0)</f>
        <v>0.43842364532019706</v>
      </c>
      <c r="O36" s="17">
        <v>0</v>
      </c>
      <c r="P36" s="36">
        <f>IFERROR(O36/$R36,0)</f>
        <v>0</v>
      </c>
      <c r="Q36" s="17">
        <v>203</v>
      </c>
      <c r="R36" s="17">
        <v>0</v>
      </c>
    </row>
    <row r="37" spans="1:18" ht="15.75" customHeight="1" x14ac:dyDescent="0.25">
      <c r="A37" s="35">
        <v>2024</v>
      </c>
      <c r="B37" s="35">
        <v>170510</v>
      </c>
      <c r="C37" s="33" t="str">
        <f>VLOOKUP(B37,procv!$A$2:$D$142,4,FALSE)</f>
        <v>Amor Perfeito</v>
      </c>
      <c r="D37" s="33" t="s">
        <v>40</v>
      </c>
      <c r="E37" s="17">
        <v>73</v>
      </c>
      <c r="F37" s="36">
        <f>IFERROR(E37/$Q37,0)</f>
        <v>0.21921921921921922</v>
      </c>
      <c r="G37" s="17">
        <v>0</v>
      </c>
      <c r="H37" s="36">
        <f>IFERROR(G37/$R37,0)</f>
        <v>0</v>
      </c>
      <c r="I37" s="17">
        <v>146</v>
      </c>
      <c r="J37" s="36">
        <f>IFERROR(I37/$Q37,0)</f>
        <v>0.43843843843843844</v>
      </c>
      <c r="K37" s="17">
        <v>0</v>
      </c>
      <c r="L37" s="36">
        <f>IFERROR(K37/$R37,0)</f>
        <v>0</v>
      </c>
      <c r="M37" s="17">
        <v>114</v>
      </c>
      <c r="N37" s="36">
        <f>IFERROR(M37/$Q37,0)</f>
        <v>0.34234234234234234</v>
      </c>
      <c r="O37" s="17">
        <v>1</v>
      </c>
      <c r="P37" s="36">
        <f>IFERROR(O37/$R37,0)</f>
        <v>1</v>
      </c>
      <c r="Q37" s="17">
        <v>333</v>
      </c>
      <c r="R37" s="17">
        <v>1</v>
      </c>
    </row>
    <row r="38" spans="1:18" ht="15.75" customHeight="1" x14ac:dyDescent="0.25">
      <c r="A38" s="35">
        <v>2024</v>
      </c>
      <c r="B38" s="35">
        <v>170460</v>
      </c>
      <c r="C38" s="33" t="str">
        <f>VLOOKUP(B38,procv!$A$2:$D$142,4,FALSE)</f>
        <v>Cantão</v>
      </c>
      <c r="D38" s="33" t="s">
        <v>41</v>
      </c>
      <c r="E38" s="17">
        <v>44</v>
      </c>
      <c r="F38" s="36">
        <f>IFERROR(E38/$Q38,0)</f>
        <v>0.16417910447761194</v>
      </c>
      <c r="G38" s="17">
        <v>1</v>
      </c>
      <c r="H38" s="36">
        <f>IFERROR(G38/$R38,0)</f>
        <v>1</v>
      </c>
      <c r="I38" s="17">
        <v>116</v>
      </c>
      <c r="J38" s="36">
        <f>IFERROR(I38/$Q38,0)</f>
        <v>0.43283582089552236</v>
      </c>
      <c r="K38" s="17">
        <v>0</v>
      </c>
      <c r="L38" s="36">
        <f>IFERROR(K38/$R38,0)</f>
        <v>0</v>
      </c>
      <c r="M38" s="17">
        <v>108</v>
      </c>
      <c r="N38" s="36">
        <f>IFERROR(M38/$Q38,0)</f>
        <v>0.40298507462686567</v>
      </c>
      <c r="O38" s="17">
        <v>0</v>
      </c>
      <c r="P38" s="36">
        <f>IFERROR(O38/$R38,0)</f>
        <v>0</v>
      </c>
      <c r="Q38" s="17">
        <v>268</v>
      </c>
      <c r="R38" s="17">
        <v>1</v>
      </c>
    </row>
    <row r="39" spans="1:18" ht="15.75" customHeight="1" x14ac:dyDescent="0.25">
      <c r="A39" s="35">
        <v>2024</v>
      </c>
      <c r="B39" s="35">
        <v>170550</v>
      </c>
      <c r="C39" s="33" t="str">
        <f>VLOOKUP(B39,procv!$A$2:$D$142,4,FALSE)</f>
        <v>Cerrado Tocantins Araguaia</v>
      </c>
      <c r="D39" s="33" t="s">
        <v>42</v>
      </c>
      <c r="E39" s="17">
        <v>235</v>
      </c>
      <c r="F39" s="36">
        <f>IFERROR(E39/$Q39,0)</f>
        <v>0.17317612380250552</v>
      </c>
      <c r="G39" s="17">
        <v>2</v>
      </c>
      <c r="H39" s="36">
        <f>IFERROR(G39/$R39,0)</f>
        <v>0.2</v>
      </c>
      <c r="I39" s="17">
        <v>550</v>
      </c>
      <c r="J39" s="36">
        <f>IFERROR(I39/$Q39,0)</f>
        <v>0.40530582166543849</v>
      </c>
      <c r="K39" s="17">
        <v>3</v>
      </c>
      <c r="L39" s="36">
        <f>IFERROR(K39/$R39,0)</f>
        <v>0.3</v>
      </c>
      <c r="M39" s="17">
        <v>572</v>
      </c>
      <c r="N39" s="36">
        <f>IFERROR(M39/$Q39,0)</f>
        <v>0.42151805453205599</v>
      </c>
      <c r="O39" s="17">
        <v>5</v>
      </c>
      <c r="P39" s="36">
        <f>IFERROR(O39/$R39,0)</f>
        <v>0.5</v>
      </c>
      <c r="Q39" s="16">
        <v>1357</v>
      </c>
      <c r="R39" s="17">
        <v>10</v>
      </c>
    </row>
    <row r="40" spans="1:18" ht="15.75" customHeight="1" x14ac:dyDescent="0.25">
      <c r="A40" s="35">
        <v>2024</v>
      </c>
      <c r="B40" s="35">
        <v>171670</v>
      </c>
      <c r="C40" s="33" t="str">
        <f>VLOOKUP(B40,procv!$A$2:$D$142,4,FALSE)</f>
        <v>Cerrado Tocantins Araguaia</v>
      </c>
      <c r="D40" s="33" t="s">
        <v>43</v>
      </c>
      <c r="E40" s="17">
        <v>124</v>
      </c>
      <c r="F40" s="36">
        <f>IFERROR(E40/$Q40,0)</f>
        <v>0.17103448275862068</v>
      </c>
      <c r="G40" s="17">
        <v>0</v>
      </c>
      <c r="H40" s="36">
        <f>IFERROR(G40/$R40,0)</f>
        <v>0</v>
      </c>
      <c r="I40" s="17">
        <v>256</v>
      </c>
      <c r="J40" s="36">
        <f>IFERROR(I40/$Q40,0)</f>
        <v>0.35310344827586204</v>
      </c>
      <c r="K40" s="17">
        <v>3</v>
      </c>
      <c r="L40" s="36">
        <f>IFERROR(K40/$R40,0)</f>
        <v>0.5</v>
      </c>
      <c r="M40" s="17">
        <v>345</v>
      </c>
      <c r="N40" s="36">
        <f>IFERROR(M40/$Q40,0)</f>
        <v>0.47586206896551725</v>
      </c>
      <c r="O40" s="17">
        <v>3</v>
      </c>
      <c r="P40" s="36">
        <f>IFERROR(O40/$R40,0)</f>
        <v>0.5</v>
      </c>
      <c r="Q40" s="17">
        <v>725</v>
      </c>
      <c r="R40" s="17">
        <v>6</v>
      </c>
    </row>
    <row r="41" spans="1:18" ht="15.75" customHeight="1" x14ac:dyDescent="0.25">
      <c r="A41" s="35">
        <v>2024</v>
      </c>
      <c r="B41" s="35">
        <v>170555</v>
      </c>
      <c r="C41" s="33" t="str">
        <f>VLOOKUP(B41,procv!$A$2:$D$142,4,FALSE)</f>
        <v>Sudeste</v>
      </c>
      <c r="D41" s="33" t="s">
        <v>44</v>
      </c>
      <c r="E41" s="17">
        <v>87</v>
      </c>
      <c r="F41" s="36">
        <f>IFERROR(E41/$Q41,0)</f>
        <v>0.17901234567901234</v>
      </c>
      <c r="G41" s="17">
        <v>0</v>
      </c>
      <c r="H41" s="36">
        <f>IFERROR(G41/$R41,0)</f>
        <v>0</v>
      </c>
      <c r="I41" s="17">
        <v>193</v>
      </c>
      <c r="J41" s="36">
        <f>IFERROR(I41/$Q41,0)</f>
        <v>0.39711934156378603</v>
      </c>
      <c r="K41" s="17">
        <v>3</v>
      </c>
      <c r="L41" s="36">
        <f>IFERROR(K41/$R41,0)</f>
        <v>0.75</v>
      </c>
      <c r="M41" s="17">
        <v>206</v>
      </c>
      <c r="N41" s="36">
        <f>IFERROR(M41/$Q41,0)</f>
        <v>0.42386831275720166</v>
      </c>
      <c r="O41" s="17">
        <v>1</v>
      </c>
      <c r="P41" s="36">
        <f>IFERROR(O41/$R41,0)</f>
        <v>0.25</v>
      </c>
      <c r="Q41" s="17">
        <v>486</v>
      </c>
      <c r="R41" s="17">
        <v>4</v>
      </c>
    </row>
    <row r="42" spans="1:18" ht="15.75" customHeight="1" x14ac:dyDescent="0.25">
      <c r="A42" s="35">
        <v>2024</v>
      </c>
      <c r="B42" s="35">
        <v>170560</v>
      </c>
      <c r="C42" s="33" t="str">
        <f>VLOOKUP(B42,procv!$A$2:$D$142,4,FALSE)</f>
        <v>Sudeste</v>
      </c>
      <c r="D42" s="33" t="s">
        <v>45</v>
      </c>
      <c r="E42" s="17">
        <v>82</v>
      </c>
      <c r="F42" s="36">
        <f>IFERROR(E42/$Q42,0)</f>
        <v>0.19203747072599531</v>
      </c>
      <c r="G42" s="17">
        <v>0</v>
      </c>
      <c r="H42" s="36">
        <f>IFERROR(G42/$R42,0)</f>
        <v>0</v>
      </c>
      <c r="I42" s="17">
        <v>168</v>
      </c>
      <c r="J42" s="36">
        <f>IFERROR(I42/$Q42,0)</f>
        <v>0.39344262295081966</v>
      </c>
      <c r="K42" s="17">
        <v>1</v>
      </c>
      <c r="L42" s="36">
        <f>IFERROR(K42/$R42,0)</f>
        <v>0.2</v>
      </c>
      <c r="M42" s="17">
        <v>177</v>
      </c>
      <c r="N42" s="36">
        <f>IFERROR(M42/$Q42,0)</f>
        <v>0.41451990632318503</v>
      </c>
      <c r="O42" s="17">
        <v>4</v>
      </c>
      <c r="P42" s="36">
        <f>IFERROR(O42/$R42,0)</f>
        <v>0.8</v>
      </c>
      <c r="Q42" s="17">
        <v>427</v>
      </c>
      <c r="R42" s="17">
        <v>5</v>
      </c>
    </row>
    <row r="43" spans="1:18" ht="15.75" customHeight="1" x14ac:dyDescent="0.25">
      <c r="A43" s="35">
        <v>2024</v>
      </c>
      <c r="B43" s="35">
        <v>170600</v>
      </c>
      <c r="C43" s="33" t="str">
        <f>VLOOKUP(B43,procv!$A$2:$D$142,4,FALSE)</f>
        <v>Cerrado Tocantins Araguaia</v>
      </c>
      <c r="D43" s="33" t="s">
        <v>46</v>
      </c>
      <c r="E43" s="17">
        <v>95</v>
      </c>
      <c r="F43" s="36">
        <f>IFERROR(E43/$Q43,0)</f>
        <v>0.1441578148710167</v>
      </c>
      <c r="G43" s="17">
        <v>1</v>
      </c>
      <c r="H43" s="36">
        <f>IFERROR(G43/$R43,0)</f>
        <v>0.1111111111111111</v>
      </c>
      <c r="I43" s="17">
        <v>280</v>
      </c>
      <c r="J43" s="36">
        <f>IFERROR(I43/$Q43,0)</f>
        <v>0.42488619119878601</v>
      </c>
      <c r="K43" s="17">
        <v>2</v>
      </c>
      <c r="L43" s="36">
        <f>IFERROR(K43/$R43,0)</f>
        <v>0.22222222222222221</v>
      </c>
      <c r="M43" s="17">
        <v>284</v>
      </c>
      <c r="N43" s="36">
        <f>IFERROR(M43/$Q43,0)</f>
        <v>0.43095599393019729</v>
      </c>
      <c r="O43" s="17">
        <v>6</v>
      </c>
      <c r="P43" s="36">
        <f>IFERROR(O43/$R43,0)</f>
        <v>0.66666666666666663</v>
      </c>
      <c r="Q43" s="17">
        <v>659</v>
      </c>
      <c r="R43" s="17">
        <v>9</v>
      </c>
    </row>
    <row r="44" spans="1:18" ht="15.75" customHeight="1" x14ac:dyDescent="0.25">
      <c r="A44" s="35">
        <v>2024</v>
      </c>
      <c r="B44" s="35">
        <v>170610</v>
      </c>
      <c r="C44" s="33" t="str">
        <f>VLOOKUP(B44,procv!$A$2:$D$142,4,FALSE)</f>
        <v>Cantão</v>
      </c>
      <c r="D44" s="33" t="s">
        <v>47</v>
      </c>
      <c r="E44" s="17">
        <v>135</v>
      </c>
      <c r="F44" s="36">
        <f>IFERROR(E44/$Q44,0)</f>
        <v>0.15826494724501758</v>
      </c>
      <c r="G44" s="17">
        <v>0</v>
      </c>
      <c r="H44" s="36">
        <f>IFERROR(G44/$R44,0)</f>
        <v>0</v>
      </c>
      <c r="I44" s="17">
        <v>338</v>
      </c>
      <c r="J44" s="36">
        <f>IFERROR(I44/$Q44,0)</f>
        <v>0.39624853458382181</v>
      </c>
      <c r="K44" s="17">
        <v>2</v>
      </c>
      <c r="L44" s="36">
        <f>IFERROR(K44/$R44,0)</f>
        <v>0.66666666666666663</v>
      </c>
      <c r="M44" s="17">
        <v>380</v>
      </c>
      <c r="N44" s="36">
        <f>IFERROR(M44/$Q44,0)</f>
        <v>0.44548651817116058</v>
      </c>
      <c r="O44" s="17">
        <v>1</v>
      </c>
      <c r="P44" s="36">
        <f>IFERROR(O44/$R44,0)</f>
        <v>0.33333333333333331</v>
      </c>
      <c r="Q44" s="17">
        <v>853</v>
      </c>
      <c r="R44" s="17">
        <v>3</v>
      </c>
    </row>
    <row r="45" spans="1:18" ht="15.75" customHeight="1" x14ac:dyDescent="0.25">
      <c r="A45" s="35">
        <v>2024</v>
      </c>
      <c r="B45" s="35">
        <v>170625</v>
      </c>
      <c r="C45" s="33" t="str">
        <f>VLOOKUP(B45,procv!$A$2:$D$142,4,FALSE)</f>
        <v>Ilha do Bananal</v>
      </c>
      <c r="D45" s="33" t="s">
        <v>48</v>
      </c>
      <c r="E45" s="17">
        <v>25</v>
      </c>
      <c r="F45" s="36">
        <f>IFERROR(E45/$Q45,0)</f>
        <v>0.16129032258064516</v>
      </c>
      <c r="G45" s="17">
        <v>0</v>
      </c>
      <c r="H45" s="36">
        <f>IFERROR(G45/$R45,0)</f>
        <v>0</v>
      </c>
      <c r="I45" s="17">
        <v>59</v>
      </c>
      <c r="J45" s="36">
        <f>IFERROR(I45/$Q45,0)</f>
        <v>0.38064516129032255</v>
      </c>
      <c r="K45" s="17">
        <v>0</v>
      </c>
      <c r="L45" s="36">
        <f>IFERROR(K45/$R45,0)</f>
        <v>0</v>
      </c>
      <c r="M45" s="17">
        <v>71</v>
      </c>
      <c r="N45" s="36">
        <f>IFERROR(M45/$Q45,0)</f>
        <v>0.45806451612903226</v>
      </c>
      <c r="O45" s="17">
        <v>2</v>
      </c>
      <c r="P45" s="36">
        <f>IFERROR(O45/$R45,0)</f>
        <v>1</v>
      </c>
      <c r="Q45" s="17">
        <v>155</v>
      </c>
      <c r="R45" s="17">
        <v>2</v>
      </c>
    </row>
    <row r="46" spans="1:18" ht="15.75" customHeight="1" x14ac:dyDescent="0.25">
      <c r="A46" s="35">
        <v>2024</v>
      </c>
      <c r="B46" s="35">
        <v>170650</v>
      </c>
      <c r="C46" s="33" t="str">
        <f>VLOOKUP(B46,procv!$A$2:$D$142,4,FALSE)</f>
        <v>Médio Norte Araguaia</v>
      </c>
      <c r="D46" s="33" t="s">
        <v>49</v>
      </c>
      <c r="E46" s="17">
        <v>2</v>
      </c>
      <c r="F46" s="36">
        <f>IFERROR(E46/$Q46,0)</f>
        <v>9.5238095238095233E-2</v>
      </c>
      <c r="G46" s="17">
        <v>1</v>
      </c>
      <c r="H46" s="36">
        <f>IFERROR(G46/$R46,0)</f>
        <v>0.2</v>
      </c>
      <c r="I46" s="17">
        <v>7</v>
      </c>
      <c r="J46" s="36">
        <f>IFERROR(I46/$Q46,0)</f>
        <v>0.33333333333333331</v>
      </c>
      <c r="K46" s="17">
        <v>0</v>
      </c>
      <c r="L46" s="36">
        <f>IFERROR(K46/$R46,0)</f>
        <v>0</v>
      </c>
      <c r="M46" s="17">
        <v>12</v>
      </c>
      <c r="N46" s="36">
        <f>IFERROR(M46/$Q46,0)</f>
        <v>0.5714285714285714</v>
      </c>
      <c r="O46" s="17">
        <v>4</v>
      </c>
      <c r="P46" s="36">
        <f>IFERROR(O46/$R46,0)</f>
        <v>0.8</v>
      </c>
      <c r="Q46" s="17">
        <v>21</v>
      </c>
      <c r="R46" s="17">
        <v>5</v>
      </c>
    </row>
    <row r="47" spans="1:18" ht="15.75" customHeight="1" x14ac:dyDescent="0.25">
      <c r="A47" s="35">
        <v>2024</v>
      </c>
      <c r="B47" s="35">
        <v>170700</v>
      </c>
      <c r="C47" s="33" t="str">
        <f>VLOOKUP(B47,procv!$A$2:$D$142,4,FALSE)</f>
        <v>Sudeste</v>
      </c>
      <c r="D47" s="33" t="s">
        <v>50</v>
      </c>
      <c r="E47" s="17">
        <v>215</v>
      </c>
      <c r="F47" s="36">
        <f>IFERROR(E47/$Q47,0)</f>
        <v>0.17227564102564102</v>
      </c>
      <c r="G47" s="17">
        <v>2</v>
      </c>
      <c r="H47" s="36">
        <f>IFERROR(G47/$R47,0)</f>
        <v>0.25</v>
      </c>
      <c r="I47" s="17">
        <v>505</v>
      </c>
      <c r="J47" s="36">
        <f>IFERROR(I47/$Q47,0)</f>
        <v>0.4046474358974359</v>
      </c>
      <c r="K47" s="17">
        <v>4</v>
      </c>
      <c r="L47" s="36">
        <f>IFERROR(K47/$R47,0)</f>
        <v>0.5</v>
      </c>
      <c r="M47" s="17">
        <v>528</v>
      </c>
      <c r="N47" s="36">
        <f>IFERROR(M47/$Q47,0)</f>
        <v>0.42307692307692307</v>
      </c>
      <c r="O47" s="17">
        <v>2</v>
      </c>
      <c r="P47" s="36">
        <f>IFERROR(O47/$R47,0)</f>
        <v>0.25</v>
      </c>
      <c r="Q47" s="16">
        <v>1248</v>
      </c>
      <c r="R47" s="17">
        <v>8</v>
      </c>
    </row>
    <row r="48" spans="1:18" ht="15.75" customHeight="1" x14ac:dyDescent="0.25">
      <c r="A48" s="35">
        <v>2024</v>
      </c>
      <c r="B48" s="35">
        <v>170710</v>
      </c>
      <c r="C48" s="33" t="str">
        <f>VLOOKUP(B48,procv!$A$2:$D$142,4,FALSE)</f>
        <v>Cantão</v>
      </c>
      <c r="D48" s="33" t="s">
        <v>51</v>
      </c>
      <c r="E48" s="17">
        <v>82</v>
      </c>
      <c r="F48" s="36">
        <f>IFERROR(E48/$Q48,0)</f>
        <v>0.13376835236541598</v>
      </c>
      <c r="G48" s="17">
        <v>1</v>
      </c>
      <c r="H48" s="36">
        <f>IFERROR(G48/$R48,0)</f>
        <v>0.14285714285714285</v>
      </c>
      <c r="I48" s="17">
        <v>237</v>
      </c>
      <c r="J48" s="36">
        <f>IFERROR(I48/$Q48,0)</f>
        <v>0.38662316476345843</v>
      </c>
      <c r="K48" s="17">
        <v>4</v>
      </c>
      <c r="L48" s="36">
        <f>IFERROR(K48/$R48,0)</f>
        <v>0.5714285714285714</v>
      </c>
      <c r="M48" s="17">
        <v>294</v>
      </c>
      <c r="N48" s="36">
        <f>IFERROR(M48/$Q48,0)</f>
        <v>0.47960848287112562</v>
      </c>
      <c r="O48" s="17">
        <v>2</v>
      </c>
      <c r="P48" s="36">
        <f>IFERROR(O48/$R48,0)</f>
        <v>0.2857142857142857</v>
      </c>
      <c r="Q48" s="17">
        <v>613</v>
      </c>
      <c r="R48" s="17">
        <v>7</v>
      </c>
    </row>
    <row r="49" spans="1:18" ht="15.75" customHeight="1" x14ac:dyDescent="0.25">
      <c r="A49" s="35">
        <v>2024</v>
      </c>
      <c r="B49" s="35">
        <v>170720</v>
      </c>
      <c r="C49" s="33" t="str">
        <f>VLOOKUP(B49,procv!$A$2:$D$142,4,FALSE)</f>
        <v>Cantão</v>
      </c>
      <c r="D49" s="33" t="s">
        <v>52</v>
      </c>
      <c r="E49" s="17">
        <v>11</v>
      </c>
      <c r="F49" s="36">
        <f>IFERROR(E49/$Q49,0)</f>
        <v>0.10377358490566038</v>
      </c>
      <c r="G49" s="17">
        <v>0</v>
      </c>
      <c r="H49" s="36">
        <f>IFERROR(G49/$R49,0)</f>
        <v>0</v>
      </c>
      <c r="I49" s="17">
        <v>43</v>
      </c>
      <c r="J49" s="36">
        <f>IFERROR(I49/$Q49,0)</f>
        <v>0.40566037735849059</v>
      </c>
      <c r="K49" s="17">
        <v>1</v>
      </c>
      <c r="L49" s="36">
        <f>IFERROR(K49/$R49,0)</f>
        <v>0.14285714285714285</v>
      </c>
      <c r="M49" s="17">
        <v>52</v>
      </c>
      <c r="N49" s="36">
        <f>IFERROR(M49/$Q49,0)</f>
        <v>0.49056603773584906</v>
      </c>
      <c r="O49" s="17">
        <v>6</v>
      </c>
      <c r="P49" s="36">
        <f>IFERROR(O49/$R49,0)</f>
        <v>0.8571428571428571</v>
      </c>
      <c r="Q49" s="17">
        <v>106</v>
      </c>
      <c r="R49" s="17">
        <v>7</v>
      </c>
    </row>
    <row r="50" spans="1:18" ht="15.75" customHeight="1" x14ac:dyDescent="0.25">
      <c r="A50" s="35">
        <v>2024</v>
      </c>
      <c r="B50" s="35">
        <v>170730</v>
      </c>
      <c r="C50" s="33" t="str">
        <f>VLOOKUP(B50,procv!$A$2:$D$142,4,FALSE)</f>
        <v>Ilha do Bananal</v>
      </c>
      <c r="D50" s="33" t="s">
        <v>53</v>
      </c>
      <c r="E50" s="17">
        <v>65</v>
      </c>
      <c r="F50" s="36">
        <f>IFERROR(E50/$Q50,0)</f>
        <v>0.12333965844402277</v>
      </c>
      <c r="G50" s="17">
        <v>0</v>
      </c>
      <c r="H50" s="36">
        <f>IFERROR(G50/$R50,0)</f>
        <v>0</v>
      </c>
      <c r="I50" s="17">
        <v>195</v>
      </c>
      <c r="J50" s="36">
        <f>IFERROR(I50/$Q50,0)</f>
        <v>0.37001897533206829</v>
      </c>
      <c r="K50" s="17">
        <v>1</v>
      </c>
      <c r="L50" s="36">
        <f>IFERROR(K50/$R50,0)</f>
        <v>0.25</v>
      </c>
      <c r="M50" s="17">
        <v>267</v>
      </c>
      <c r="N50" s="36">
        <f>IFERROR(M50/$Q50,0)</f>
        <v>0.50664136622390887</v>
      </c>
      <c r="O50" s="17">
        <v>3</v>
      </c>
      <c r="P50" s="36">
        <f>IFERROR(O50/$R50,0)</f>
        <v>0.75</v>
      </c>
      <c r="Q50" s="17">
        <v>527</v>
      </c>
      <c r="R50" s="17">
        <v>4</v>
      </c>
    </row>
    <row r="51" spans="1:18" ht="15.75" customHeight="1" x14ac:dyDescent="0.25">
      <c r="A51" s="35">
        <v>2024</v>
      </c>
      <c r="B51" s="35">
        <v>170740</v>
      </c>
      <c r="C51" s="33" t="str">
        <f>VLOOKUP(B51,procv!$A$2:$D$142,4,FALSE)</f>
        <v>Bico do Papagaio</v>
      </c>
      <c r="D51" s="33" t="s">
        <v>54</v>
      </c>
      <c r="E51" s="17">
        <v>96</v>
      </c>
      <c r="F51" s="36">
        <f>IFERROR(E51/$Q51,0)</f>
        <v>0.1158021712907117</v>
      </c>
      <c r="G51" s="17">
        <v>0</v>
      </c>
      <c r="H51" s="36">
        <f>IFERROR(G51/$R51,0)</f>
        <v>0</v>
      </c>
      <c r="I51" s="17">
        <v>347</v>
      </c>
      <c r="J51" s="36">
        <f>IFERROR(I51/$Q51,0)</f>
        <v>0.41857659831121835</v>
      </c>
      <c r="K51" s="17">
        <v>5</v>
      </c>
      <c r="L51" s="36">
        <f>IFERROR(K51/$R51,0)</f>
        <v>0.83333333333333337</v>
      </c>
      <c r="M51" s="17">
        <v>386</v>
      </c>
      <c r="N51" s="36">
        <f>IFERROR(M51/$Q51,0)</f>
        <v>0.46562123039806996</v>
      </c>
      <c r="O51" s="17">
        <v>1</v>
      </c>
      <c r="P51" s="36">
        <f>IFERROR(O51/$R51,0)</f>
        <v>0.16666666666666666</v>
      </c>
      <c r="Q51" s="17">
        <v>829</v>
      </c>
      <c r="R51" s="17">
        <v>6</v>
      </c>
    </row>
    <row r="52" spans="1:18" ht="15.75" customHeight="1" x14ac:dyDescent="0.25">
      <c r="A52" s="35">
        <v>2024</v>
      </c>
      <c r="B52" s="35">
        <v>170755</v>
      </c>
      <c r="C52" s="33" t="str">
        <f>VLOOKUP(B52,procv!$A$2:$D$142,4,FALSE)</f>
        <v>Amor Perfeito</v>
      </c>
      <c r="D52" s="33" t="s">
        <v>55</v>
      </c>
      <c r="E52" s="17">
        <v>48</v>
      </c>
      <c r="F52" s="36">
        <f>IFERROR(E52/$Q52,0)</f>
        <v>0.19834710743801653</v>
      </c>
      <c r="G52" s="17">
        <v>1</v>
      </c>
      <c r="H52" s="36">
        <f>IFERROR(G52/$R52,0)</f>
        <v>0.33333333333333331</v>
      </c>
      <c r="I52" s="17">
        <v>110</v>
      </c>
      <c r="J52" s="36">
        <f>IFERROR(I52/$Q52,0)</f>
        <v>0.45454545454545453</v>
      </c>
      <c r="K52" s="17">
        <v>0</v>
      </c>
      <c r="L52" s="36">
        <f>IFERROR(K52/$R52,0)</f>
        <v>0</v>
      </c>
      <c r="M52" s="17">
        <v>84</v>
      </c>
      <c r="N52" s="36">
        <f>IFERROR(M52/$Q52,0)</f>
        <v>0.34710743801652894</v>
      </c>
      <c r="O52" s="17">
        <v>2</v>
      </c>
      <c r="P52" s="36">
        <f>IFERROR(O52/$R52,0)</f>
        <v>0.66666666666666663</v>
      </c>
      <c r="Q52" s="17">
        <v>242</v>
      </c>
      <c r="R52" s="17">
        <v>3</v>
      </c>
    </row>
    <row r="53" spans="1:18" ht="15.75" customHeight="1" x14ac:dyDescent="0.25">
      <c r="A53" s="35">
        <v>2024</v>
      </c>
      <c r="B53" s="35">
        <v>170765</v>
      </c>
      <c r="C53" s="33" t="str">
        <f>VLOOKUP(B53,procv!$A$2:$D$142,4,FALSE)</f>
        <v>Ilha do Bananal</v>
      </c>
      <c r="D53" s="33" t="s">
        <v>56</v>
      </c>
      <c r="E53" s="17">
        <v>50</v>
      </c>
      <c r="F53" s="36">
        <f>IFERROR(E53/$Q53,0)</f>
        <v>0.11792452830188679</v>
      </c>
      <c r="G53" s="17">
        <v>0</v>
      </c>
      <c r="H53" s="36">
        <f>IFERROR(G53/$R53,0)</f>
        <v>0</v>
      </c>
      <c r="I53" s="17">
        <v>140</v>
      </c>
      <c r="J53" s="36">
        <f>IFERROR(I53/$Q53,0)</f>
        <v>0.330188679245283</v>
      </c>
      <c r="K53" s="17">
        <v>1</v>
      </c>
      <c r="L53" s="36">
        <f>IFERROR(K53/$R53,0)</f>
        <v>0.5</v>
      </c>
      <c r="M53" s="17">
        <v>234</v>
      </c>
      <c r="N53" s="36">
        <f>IFERROR(M53/$Q53,0)</f>
        <v>0.55188679245283023</v>
      </c>
      <c r="O53" s="17">
        <v>1</v>
      </c>
      <c r="P53" s="36">
        <f>IFERROR(O53/$R53,0)</f>
        <v>0.5</v>
      </c>
      <c r="Q53" s="17">
        <v>424</v>
      </c>
      <c r="R53" s="17">
        <v>2</v>
      </c>
    </row>
    <row r="54" spans="1:18" ht="15.75" customHeight="1" x14ac:dyDescent="0.25">
      <c r="A54" s="35">
        <v>2024</v>
      </c>
      <c r="B54" s="35">
        <v>170770</v>
      </c>
      <c r="C54" s="33" t="str">
        <f>VLOOKUP(B54,procv!$A$2:$D$142,4,FALSE)</f>
        <v>Médio Norte Araguaia</v>
      </c>
      <c r="D54" s="33" t="s">
        <v>57</v>
      </c>
      <c r="E54" s="17">
        <v>153</v>
      </c>
      <c r="F54" s="36">
        <f>IFERROR(E54/$Q54,0)</f>
        <v>0.19615384615384615</v>
      </c>
      <c r="G54" s="17">
        <v>0</v>
      </c>
      <c r="H54" s="36">
        <f>IFERROR(G54/$R54,0)</f>
        <v>0</v>
      </c>
      <c r="I54" s="17">
        <v>305</v>
      </c>
      <c r="J54" s="36">
        <f>IFERROR(I54/$Q54,0)</f>
        <v>0.39102564102564102</v>
      </c>
      <c r="K54" s="17">
        <v>3</v>
      </c>
      <c r="L54" s="36">
        <f>IFERROR(K54/$R54,0)</f>
        <v>1</v>
      </c>
      <c r="M54" s="17">
        <v>322</v>
      </c>
      <c r="N54" s="36">
        <f>IFERROR(M54/$Q54,0)</f>
        <v>0.4128205128205128</v>
      </c>
      <c r="O54" s="17">
        <v>0</v>
      </c>
      <c r="P54" s="36">
        <f>IFERROR(O54/$R54,0)</f>
        <v>0</v>
      </c>
      <c r="Q54" s="17">
        <v>780</v>
      </c>
      <c r="R54" s="17">
        <v>3</v>
      </c>
    </row>
    <row r="55" spans="1:18" ht="15.75" customHeight="1" x14ac:dyDescent="0.25">
      <c r="A55" s="35">
        <v>2024</v>
      </c>
      <c r="B55" s="35">
        <v>170820</v>
      </c>
      <c r="C55" s="33" t="str">
        <f>VLOOKUP(B55,procv!$A$2:$D$142,4,FALSE)</f>
        <v>Ilha do Bananal</v>
      </c>
      <c r="D55" s="33" t="s">
        <v>58</v>
      </c>
      <c r="E55" s="17">
        <v>157</v>
      </c>
      <c r="F55" s="36">
        <f>IFERROR(E55/$Q55,0)</f>
        <v>0.12095531587057011</v>
      </c>
      <c r="G55" s="17">
        <v>2</v>
      </c>
      <c r="H55" s="36">
        <f>IFERROR(G55/$R55,0)</f>
        <v>0.25</v>
      </c>
      <c r="I55" s="17">
        <v>513</v>
      </c>
      <c r="J55" s="36">
        <f>IFERROR(I55/$Q55,0)</f>
        <v>0.39522342064714944</v>
      </c>
      <c r="K55" s="17">
        <v>4</v>
      </c>
      <c r="L55" s="36">
        <f>IFERROR(K55/$R55,0)</f>
        <v>0.5</v>
      </c>
      <c r="M55" s="17">
        <v>628</v>
      </c>
      <c r="N55" s="36">
        <f>IFERROR(M55/$Q55,0)</f>
        <v>0.48382126348228044</v>
      </c>
      <c r="O55" s="17">
        <v>2</v>
      </c>
      <c r="P55" s="36">
        <f>IFERROR(O55/$R55,0)</f>
        <v>0.25</v>
      </c>
      <c r="Q55" s="16">
        <v>1298</v>
      </c>
      <c r="R55" s="17">
        <v>8</v>
      </c>
    </row>
    <row r="56" spans="1:18" ht="15.75" customHeight="1" x14ac:dyDescent="0.25">
      <c r="A56" s="35">
        <v>2024</v>
      </c>
      <c r="B56" s="35">
        <v>170830</v>
      </c>
      <c r="C56" s="33" t="str">
        <f>VLOOKUP(B56,procv!$A$2:$D$142,4,FALSE)</f>
        <v>Cerrado Tocantins Araguaia</v>
      </c>
      <c r="D56" s="33" t="s">
        <v>59</v>
      </c>
      <c r="E56" s="17">
        <v>94</v>
      </c>
      <c r="F56" s="36">
        <f>IFERROR(E56/$Q56,0)</f>
        <v>0.16549295774647887</v>
      </c>
      <c r="G56" s="17">
        <v>0</v>
      </c>
      <c r="H56" s="36">
        <f>IFERROR(G56/$R56,0)</f>
        <v>0</v>
      </c>
      <c r="I56" s="17">
        <v>214</v>
      </c>
      <c r="J56" s="36">
        <f>IFERROR(I56/$Q56,0)</f>
        <v>0.37676056338028169</v>
      </c>
      <c r="K56" s="17">
        <v>1</v>
      </c>
      <c r="L56" s="36">
        <f>IFERROR(K56/$R56,0)</f>
        <v>1</v>
      </c>
      <c r="M56" s="17">
        <v>260</v>
      </c>
      <c r="N56" s="36">
        <f>IFERROR(M56/$Q56,0)</f>
        <v>0.45774647887323944</v>
      </c>
      <c r="O56" s="17">
        <v>0</v>
      </c>
      <c r="P56" s="36">
        <f>IFERROR(O56/$R56,0)</f>
        <v>0</v>
      </c>
      <c r="Q56" s="17">
        <v>568</v>
      </c>
      <c r="R56" s="17">
        <v>1</v>
      </c>
    </row>
    <row r="57" spans="1:18" ht="15.75" customHeight="1" x14ac:dyDescent="0.25">
      <c r="A57" s="35">
        <v>2024</v>
      </c>
      <c r="B57" s="35">
        <v>170900</v>
      </c>
      <c r="C57" s="33" t="str">
        <f>VLOOKUP(B57,procv!$A$2:$D$142,4,FALSE)</f>
        <v>Médio Norte Araguaia</v>
      </c>
      <c r="D57" s="33" t="s">
        <v>60</v>
      </c>
      <c r="E57" s="17">
        <v>32</v>
      </c>
      <c r="F57" s="36">
        <f>IFERROR(E57/$Q57,0)</f>
        <v>0.16753926701570682</v>
      </c>
      <c r="G57" s="17">
        <v>1</v>
      </c>
      <c r="H57" s="36">
        <f>IFERROR(G57/$R57,0)</f>
        <v>0.5</v>
      </c>
      <c r="I57" s="17">
        <v>68</v>
      </c>
      <c r="J57" s="36">
        <f>IFERROR(I57/$Q57,0)</f>
        <v>0.35602094240837695</v>
      </c>
      <c r="K57" s="17">
        <v>0</v>
      </c>
      <c r="L57" s="36">
        <f>IFERROR(K57/$R57,0)</f>
        <v>0</v>
      </c>
      <c r="M57" s="17">
        <v>91</v>
      </c>
      <c r="N57" s="36">
        <f>IFERROR(M57/$Q57,0)</f>
        <v>0.47643979057591623</v>
      </c>
      <c r="O57" s="17">
        <v>1</v>
      </c>
      <c r="P57" s="36">
        <f>IFERROR(O57/$R57,0)</f>
        <v>0.5</v>
      </c>
      <c r="Q57" s="17">
        <v>191</v>
      </c>
      <c r="R57" s="17">
        <v>2</v>
      </c>
    </row>
    <row r="58" spans="1:18" ht="15.75" customHeight="1" x14ac:dyDescent="0.25">
      <c r="A58" s="35">
        <v>2024</v>
      </c>
      <c r="B58" s="35">
        <v>170930</v>
      </c>
      <c r="C58" s="33" t="str">
        <f>VLOOKUP(B58,procv!$A$2:$D$142,4,FALSE)</f>
        <v>Cerrado Tocantins Araguaia</v>
      </c>
      <c r="D58" s="33" t="s">
        <v>61</v>
      </c>
      <c r="E58" s="17">
        <v>210</v>
      </c>
      <c r="F58" s="36">
        <f>IFERROR(E58/$Q58,0)</f>
        <v>0.10665312341289995</v>
      </c>
      <c r="G58" s="17">
        <v>1</v>
      </c>
      <c r="H58" s="36">
        <f>IFERROR(G58/$R58,0)</f>
        <v>9.0909090909090912E-2</v>
      </c>
      <c r="I58" s="17">
        <v>722</v>
      </c>
      <c r="J58" s="36">
        <f>IFERROR(I58/$Q58,0)</f>
        <v>0.36668359573387505</v>
      </c>
      <c r="K58" s="17">
        <v>2</v>
      </c>
      <c r="L58" s="36">
        <f>IFERROR(K58/$R58,0)</f>
        <v>0.18181818181818182</v>
      </c>
      <c r="M58" s="16">
        <v>1037</v>
      </c>
      <c r="N58" s="36">
        <f>IFERROR(M58/$Q58,0)</f>
        <v>0.526663280853225</v>
      </c>
      <c r="O58" s="17">
        <v>8</v>
      </c>
      <c r="P58" s="36">
        <f>IFERROR(O58/$R58,0)</f>
        <v>0.72727272727272729</v>
      </c>
      <c r="Q58" s="16">
        <v>1969</v>
      </c>
      <c r="R58" s="17">
        <v>11</v>
      </c>
    </row>
    <row r="59" spans="1:18" ht="15.75" customHeight="1" x14ac:dyDescent="0.25">
      <c r="A59" s="35">
        <v>2024</v>
      </c>
      <c r="B59" s="35">
        <v>170950</v>
      </c>
      <c r="C59" s="33" t="str">
        <f>VLOOKUP(B59,procv!$A$2:$D$142,4,FALSE)</f>
        <v>Ilha do Bananal</v>
      </c>
      <c r="D59" s="33" t="s">
        <v>62</v>
      </c>
      <c r="E59" s="17">
        <v>630</v>
      </c>
      <c r="F59" s="36">
        <f>IFERROR(E59/$Q59,0)</f>
        <v>0.12952302631578946</v>
      </c>
      <c r="G59" s="17">
        <v>5</v>
      </c>
      <c r="H59" s="36">
        <f>IFERROR(G59/$R59,0)</f>
        <v>0.19230769230769232</v>
      </c>
      <c r="I59" s="16">
        <v>1862</v>
      </c>
      <c r="J59" s="36">
        <f>IFERROR(I59/$Q59,0)</f>
        <v>0.3828125</v>
      </c>
      <c r="K59" s="17">
        <v>13</v>
      </c>
      <c r="L59" s="36">
        <f>IFERROR(K59/$R59,0)</f>
        <v>0.5</v>
      </c>
      <c r="M59" s="16">
        <v>2372</v>
      </c>
      <c r="N59" s="36">
        <f>IFERROR(M59/$Q59,0)</f>
        <v>0.48766447368421051</v>
      </c>
      <c r="O59" s="17">
        <v>8</v>
      </c>
      <c r="P59" s="36">
        <f>IFERROR(O59/$R59,0)</f>
        <v>0.30769230769230771</v>
      </c>
      <c r="Q59" s="16">
        <v>4864</v>
      </c>
      <c r="R59" s="17">
        <v>26</v>
      </c>
    </row>
    <row r="60" spans="1:18" ht="15.75" customHeight="1" x14ac:dyDescent="0.25">
      <c r="A60" s="35">
        <v>2024</v>
      </c>
      <c r="B60" s="35">
        <v>170980</v>
      </c>
      <c r="C60" s="33" t="str">
        <f>VLOOKUP(B60,procv!$A$2:$D$142,4,FALSE)</f>
        <v>Amor Perfeito</v>
      </c>
      <c r="D60" s="33" t="s">
        <v>63</v>
      </c>
      <c r="E60" s="17">
        <v>27</v>
      </c>
      <c r="F60" s="36">
        <f>IFERROR(E60/$Q60,0)</f>
        <v>0.15697674418604651</v>
      </c>
      <c r="G60" s="17">
        <v>0</v>
      </c>
      <c r="H60" s="36">
        <f>IFERROR(G60/$R60,0)</f>
        <v>0</v>
      </c>
      <c r="I60" s="17">
        <v>57</v>
      </c>
      <c r="J60" s="36">
        <f>IFERROR(I60/$Q60,0)</f>
        <v>0.33139534883720928</v>
      </c>
      <c r="K60" s="17">
        <v>0</v>
      </c>
      <c r="L60" s="36">
        <f>IFERROR(K60/$R60,0)</f>
        <v>0</v>
      </c>
      <c r="M60" s="17">
        <v>88</v>
      </c>
      <c r="N60" s="36">
        <f>IFERROR(M60/$Q60,0)</f>
        <v>0.51162790697674421</v>
      </c>
      <c r="O60" s="17">
        <v>1</v>
      </c>
      <c r="P60" s="36">
        <f>IFERROR(O60/$R60,0)</f>
        <v>1</v>
      </c>
      <c r="Q60" s="17">
        <v>172</v>
      </c>
      <c r="R60" s="17">
        <v>1</v>
      </c>
    </row>
    <row r="61" spans="1:18" ht="15.75" customHeight="1" x14ac:dyDescent="0.25">
      <c r="A61" s="35">
        <v>2024</v>
      </c>
      <c r="B61" s="35">
        <v>171050</v>
      </c>
      <c r="C61" s="33" t="str">
        <f>VLOOKUP(B61,procv!$A$2:$D$142,4,FALSE)</f>
        <v>Cerrado Tocantins Araguaia</v>
      </c>
      <c r="D61" s="33" t="s">
        <v>64</v>
      </c>
      <c r="E61" s="17">
        <v>61</v>
      </c>
      <c r="F61" s="36">
        <f>IFERROR(E61/$Q61,0)</f>
        <v>0.1337719298245614</v>
      </c>
      <c r="G61" s="17">
        <v>0</v>
      </c>
      <c r="H61" s="36">
        <f>IFERROR(G61/$R61,0)</f>
        <v>0</v>
      </c>
      <c r="I61" s="17">
        <v>171</v>
      </c>
      <c r="J61" s="36">
        <f>IFERROR(I61/$Q61,0)</f>
        <v>0.375</v>
      </c>
      <c r="K61" s="17">
        <v>0</v>
      </c>
      <c r="L61" s="36">
        <f>IFERROR(K61/$R61,0)</f>
        <v>0</v>
      </c>
      <c r="M61" s="17">
        <v>224</v>
      </c>
      <c r="N61" s="36">
        <f>IFERROR(M61/$Q61,0)</f>
        <v>0.49122807017543857</v>
      </c>
      <c r="O61" s="17">
        <v>0</v>
      </c>
      <c r="P61" s="36">
        <f>IFERROR(O61/$R61,0)</f>
        <v>0</v>
      </c>
      <c r="Q61" s="17">
        <v>456</v>
      </c>
      <c r="R61" s="17">
        <v>0</v>
      </c>
    </row>
    <row r="62" spans="1:18" ht="15.75" customHeight="1" x14ac:dyDescent="0.25">
      <c r="A62" s="35">
        <v>2024</v>
      </c>
      <c r="B62" s="35">
        <v>171070</v>
      </c>
      <c r="C62" s="33" t="str">
        <f>VLOOKUP(B62,procv!$A$2:$D$142,4,FALSE)</f>
        <v>Bico do Papagaio</v>
      </c>
      <c r="D62" s="33" t="s">
        <v>65</v>
      </c>
      <c r="E62" s="17">
        <v>79</v>
      </c>
      <c r="F62" s="36">
        <f>IFERROR(E62/$Q62,0)</f>
        <v>0.18990384615384615</v>
      </c>
      <c r="G62" s="17">
        <v>0</v>
      </c>
      <c r="H62" s="36">
        <f>IFERROR(G62/$R62,0)</f>
        <v>0</v>
      </c>
      <c r="I62" s="17">
        <v>158</v>
      </c>
      <c r="J62" s="36">
        <f>IFERROR(I62/$Q62,0)</f>
        <v>0.37980769230769229</v>
      </c>
      <c r="K62" s="17">
        <v>0</v>
      </c>
      <c r="L62" s="36">
        <f>IFERROR(K62/$R62,0)</f>
        <v>0</v>
      </c>
      <c r="M62" s="17">
        <v>179</v>
      </c>
      <c r="N62" s="36">
        <f>IFERROR(M62/$Q62,0)</f>
        <v>0.43028846153846156</v>
      </c>
      <c r="O62" s="17">
        <v>0</v>
      </c>
      <c r="P62" s="36">
        <f>IFERROR(O62/$R62,0)</f>
        <v>0</v>
      </c>
      <c r="Q62" s="17">
        <v>416</v>
      </c>
      <c r="R62" s="17">
        <v>0</v>
      </c>
    </row>
    <row r="63" spans="1:18" ht="15.75" customHeight="1" x14ac:dyDescent="0.25">
      <c r="A63" s="35">
        <v>2024</v>
      </c>
      <c r="B63" s="35">
        <v>171090</v>
      </c>
      <c r="C63" s="33" t="str">
        <f>VLOOKUP(B63,procv!$A$2:$D$142,4,FALSE)</f>
        <v>Cerrado Tocantins Araguaia</v>
      </c>
      <c r="D63" s="33" t="s">
        <v>66</v>
      </c>
      <c r="E63" s="17">
        <v>56</v>
      </c>
      <c r="F63" s="36">
        <f>IFERROR(E63/$Q63,0)</f>
        <v>0.13725490196078433</v>
      </c>
      <c r="G63" s="17">
        <v>0</v>
      </c>
      <c r="H63" s="36">
        <f>IFERROR(G63/$R63,0)</f>
        <v>0</v>
      </c>
      <c r="I63" s="17">
        <v>152</v>
      </c>
      <c r="J63" s="36">
        <f>IFERROR(I63/$Q63,0)</f>
        <v>0.37254901960784315</v>
      </c>
      <c r="K63" s="17">
        <v>0</v>
      </c>
      <c r="L63" s="36">
        <f>IFERROR(K63/$R63,0)</f>
        <v>0</v>
      </c>
      <c r="M63" s="17">
        <v>200</v>
      </c>
      <c r="N63" s="36">
        <f>IFERROR(M63/$Q63,0)</f>
        <v>0.49019607843137253</v>
      </c>
      <c r="O63" s="17">
        <v>1</v>
      </c>
      <c r="P63" s="36">
        <f>IFERROR(O63/$R63,0)</f>
        <v>1</v>
      </c>
      <c r="Q63" s="17">
        <v>408</v>
      </c>
      <c r="R63" s="17">
        <v>1</v>
      </c>
    </row>
    <row r="64" spans="1:18" ht="15.75" customHeight="1" x14ac:dyDescent="0.25">
      <c r="A64" s="35">
        <v>2024</v>
      </c>
      <c r="B64" s="35">
        <v>171110</v>
      </c>
      <c r="C64" s="33" t="str">
        <f>VLOOKUP(B64,procv!$A$2:$D$142,4,FALSE)</f>
        <v>Cerrado Tocantins Araguaia</v>
      </c>
      <c r="D64" s="33" t="s">
        <v>67</v>
      </c>
      <c r="E64" s="17">
        <v>28</v>
      </c>
      <c r="F64" s="36">
        <f>IFERROR(E64/$Q64,0)</f>
        <v>0.11965811965811966</v>
      </c>
      <c r="G64" s="17">
        <v>0</v>
      </c>
      <c r="H64" s="36">
        <f>IFERROR(G64/$R64,0)</f>
        <v>0</v>
      </c>
      <c r="I64" s="17">
        <v>91</v>
      </c>
      <c r="J64" s="36">
        <f>IFERROR(I64/$Q64,0)</f>
        <v>0.3888888888888889</v>
      </c>
      <c r="K64" s="17">
        <v>1</v>
      </c>
      <c r="L64" s="36">
        <f>IFERROR(K64/$R64,0)</f>
        <v>1</v>
      </c>
      <c r="M64" s="17">
        <v>115</v>
      </c>
      <c r="N64" s="36">
        <f>IFERROR(M64/$Q64,0)</f>
        <v>0.49145299145299143</v>
      </c>
      <c r="O64" s="17">
        <v>0</v>
      </c>
      <c r="P64" s="36">
        <f>IFERROR(O64/$R64,0)</f>
        <v>0</v>
      </c>
      <c r="Q64" s="17">
        <v>234</v>
      </c>
      <c r="R64" s="17">
        <v>1</v>
      </c>
    </row>
    <row r="65" spans="1:18" ht="15.75" customHeight="1" x14ac:dyDescent="0.25">
      <c r="A65" s="35">
        <v>2024</v>
      </c>
      <c r="B65" s="35">
        <v>171150</v>
      </c>
      <c r="C65" s="33" t="str">
        <f>VLOOKUP(B65,procv!$A$2:$D$142,4,FALSE)</f>
        <v>Ilha do Bananal</v>
      </c>
      <c r="D65" s="33" t="s">
        <v>68</v>
      </c>
      <c r="E65" s="17">
        <v>83</v>
      </c>
      <c r="F65" s="36">
        <f>IFERROR(E65/$Q65,0)</f>
        <v>0.1732776617954071</v>
      </c>
      <c r="G65" s="17">
        <v>0</v>
      </c>
      <c r="H65" s="36">
        <f>IFERROR(G65/$R65,0)</f>
        <v>0</v>
      </c>
      <c r="I65" s="17">
        <v>219</v>
      </c>
      <c r="J65" s="36">
        <f>IFERROR(I65/$Q65,0)</f>
        <v>0.45720250521920669</v>
      </c>
      <c r="K65" s="17">
        <v>0</v>
      </c>
      <c r="L65" s="36">
        <f>IFERROR(K65/$R65,0)</f>
        <v>0</v>
      </c>
      <c r="M65" s="17">
        <v>177</v>
      </c>
      <c r="N65" s="36">
        <f>IFERROR(M65/$Q65,0)</f>
        <v>0.36951983298538621</v>
      </c>
      <c r="O65" s="17">
        <v>1</v>
      </c>
      <c r="P65" s="36">
        <f>IFERROR(O65/$R65,0)</f>
        <v>1</v>
      </c>
      <c r="Q65" s="17">
        <v>479</v>
      </c>
      <c r="R65" s="17">
        <v>1</v>
      </c>
    </row>
    <row r="66" spans="1:18" ht="15.75" customHeight="1" x14ac:dyDescent="0.25">
      <c r="A66" s="35">
        <v>2024</v>
      </c>
      <c r="B66" s="35">
        <v>171180</v>
      </c>
      <c r="C66" s="33" t="str">
        <f>VLOOKUP(B66,procv!$A$2:$D$142,4,FALSE)</f>
        <v>Cerrado Tocantins Araguaia</v>
      </c>
      <c r="D66" s="33" t="s">
        <v>69</v>
      </c>
      <c r="E66" s="17">
        <v>46</v>
      </c>
      <c r="F66" s="36">
        <f>IFERROR(E66/$Q66,0)</f>
        <v>0.16727272727272727</v>
      </c>
      <c r="G66" s="17">
        <v>0</v>
      </c>
      <c r="H66" s="36">
        <f>IFERROR(G66/$R66,0)</f>
        <v>0</v>
      </c>
      <c r="I66" s="17">
        <v>105</v>
      </c>
      <c r="J66" s="36">
        <f>IFERROR(I66/$Q66,0)</f>
        <v>0.38181818181818183</v>
      </c>
      <c r="K66" s="17">
        <v>0</v>
      </c>
      <c r="L66" s="36">
        <f>IFERROR(K66/$R66,0)</f>
        <v>0</v>
      </c>
      <c r="M66" s="17">
        <v>124</v>
      </c>
      <c r="N66" s="36">
        <f>IFERROR(M66/$Q66,0)</f>
        <v>0.45090909090909093</v>
      </c>
      <c r="O66" s="17">
        <v>0</v>
      </c>
      <c r="P66" s="36">
        <f>IFERROR(O66/$R66,0)</f>
        <v>0</v>
      </c>
      <c r="Q66" s="17">
        <v>275</v>
      </c>
      <c r="R66" s="17">
        <v>0</v>
      </c>
    </row>
    <row r="67" spans="1:18" ht="15.75" customHeight="1" x14ac:dyDescent="0.25">
      <c r="A67" s="35">
        <v>2024</v>
      </c>
      <c r="B67" s="35">
        <v>171190</v>
      </c>
      <c r="C67" s="33" t="str">
        <f>VLOOKUP(B67,procv!$A$2:$D$142,4,FALSE)</f>
        <v>Cantão</v>
      </c>
      <c r="D67" s="33" t="s">
        <v>70</v>
      </c>
      <c r="E67" s="17">
        <v>0</v>
      </c>
      <c r="F67" s="36">
        <f>IFERROR(E67/$Q67,0)</f>
        <v>0</v>
      </c>
      <c r="G67" s="17">
        <v>0</v>
      </c>
      <c r="H67" s="36">
        <f>IFERROR(G67/$R67,0)</f>
        <v>0</v>
      </c>
      <c r="I67" s="17">
        <v>5</v>
      </c>
      <c r="J67" s="36">
        <f>IFERROR(I67/$Q67,0)</f>
        <v>0.33333333333333331</v>
      </c>
      <c r="K67" s="17">
        <v>1</v>
      </c>
      <c r="L67" s="36">
        <f>IFERROR(K67/$R67,0)</f>
        <v>0.33333333333333331</v>
      </c>
      <c r="M67" s="17">
        <v>10</v>
      </c>
      <c r="N67" s="36">
        <f>IFERROR(M67/$Q67,0)</f>
        <v>0.66666666666666663</v>
      </c>
      <c r="O67" s="17">
        <v>2</v>
      </c>
      <c r="P67" s="36">
        <f>IFERROR(O67/$R67,0)</f>
        <v>0.66666666666666663</v>
      </c>
      <c r="Q67" s="17">
        <v>15</v>
      </c>
      <c r="R67" s="17">
        <v>3</v>
      </c>
    </row>
    <row r="68" spans="1:18" ht="15.75" customHeight="1" x14ac:dyDescent="0.25">
      <c r="A68" s="35">
        <v>2024</v>
      </c>
      <c r="B68" s="35">
        <v>171195</v>
      </c>
      <c r="C68" s="33" t="str">
        <f>VLOOKUP(B68,procv!$A$2:$D$142,4,FALSE)</f>
        <v>Capim Dourado</v>
      </c>
      <c r="D68" s="33" t="s">
        <v>71</v>
      </c>
      <c r="E68" s="17">
        <v>77</v>
      </c>
      <c r="F68" s="36">
        <f>IFERROR(E68/$Q68,0)</f>
        <v>0.20923913043478262</v>
      </c>
      <c r="G68" s="17">
        <v>0</v>
      </c>
      <c r="H68" s="36">
        <f>IFERROR(G68/$R68,0)</f>
        <v>0</v>
      </c>
      <c r="I68" s="17">
        <v>166</v>
      </c>
      <c r="J68" s="36">
        <f>IFERROR(I68/$Q68,0)</f>
        <v>0.45108695652173914</v>
      </c>
      <c r="K68" s="17">
        <v>1</v>
      </c>
      <c r="L68" s="36">
        <f>IFERROR(K68/$R68,0)</f>
        <v>0.5</v>
      </c>
      <c r="M68" s="17">
        <v>125</v>
      </c>
      <c r="N68" s="36">
        <f>IFERROR(M68/$Q68,0)</f>
        <v>0.33967391304347827</v>
      </c>
      <c r="O68" s="17">
        <v>1</v>
      </c>
      <c r="P68" s="36">
        <f>IFERROR(O68/$R68,0)</f>
        <v>0.5</v>
      </c>
      <c r="Q68" s="17">
        <v>368</v>
      </c>
      <c r="R68" s="17">
        <v>2</v>
      </c>
    </row>
    <row r="69" spans="1:18" ht="15.75" customHeight="1" x14ac:dyDescent="0.25">
      <c r="A69" s="35">
        <v>2024</v>
      </c>
      <c r="B69" s="35">
        <v>171200</v>
      </c>
      <c r="C69" s="33" t="str">
        <f>VLOOKUP(B69,procv!$A$2:$D$142,4,FALSE)</f>
        <v>Capim Dourado</v>
      </c>
      <c r="D69" s="33" t="s">
        <v>72</v>
      </c>
      <c r="E69" s="17">
        <v>1</v>
      </c>
      <c r="F69" s="36">
        <f>IFERROR(E69/$Q69,0)</f>
        <v>0.1</v>
      </c>
      <c r="G69" s="17">
        <v>0</v>
      </c>
      <c r="H69" s="36">
        <f>IFERROR(G69/$R69,0)</f>
        <v>0</v>
      </c>
      <c r="I69" s="17">
        <v>6</v>
      </c>
      <c r="J69" s="36">
        <f>IFERROR(I69/$Q69,0)</f>
        <v>0.6</v>
      </c>
      <c r="K69" s="17">
        <v>1</v>
      </c>
      <c r="L69" s="36">
        <f>IFERROR(K69/$R69,0)</f>
        <v>1</v>
      </c>
      <c r="M69" s="17">
        <v>3</v>
      </c>
      <c r="N69" s="36">
        <f>IFERROR(M69/$Q69,0)</f>
        <v>0.3</v>
      </c>
      <c r="O69" s="17">
        <v>0</v>
      </c>
      <c r="P69" s="36">
        <f>IFERROR(O69/$R69,0)</f>
        <v>0</v>
      </c>
      <c r="Q69" s="17">
        <v>10</v>
      </c>
      <c r="R69" s="17">
        <v>1</v>
      </c>
    </row>
    <row r="70" spans="1:18" ht="15.75" customHeight="1" x14ac:dyDescent="0.25">
      <c r="A70" s="35">
        <v>2024</v>
      </c>
      <c r="B70" s="35">
        <v>171215</v>
      </c>
      <c r="C70" s="33" t="str">
        <f>VLOOKUP(B70,procv!$A$2:$D$142,4,FALSE)</f>
        <v>Sudeste</v>
      </c>
      <c r="D70" s="33" t="s">
        <v>73</v>
      </c>
      <c r="E70" s="17">
        <v>43</v>
      </c>
      <c r="F70" s="36">
        <f>IFERROR(E70/$Q70,0)</f>
        <v>0.22872340425531915</v>
      </c>
      <c r="G70" s="17">
        <v>0</v>
      </c>
      <c r="H70" s="36">
        <f>IFERROR(G70/$R70,0)</f>
        <v>0</v>
      </c>
      <c r="I70" s="17">
        <v>73</v>
      </c>
      <c r="J70" s="36">
        <f>IFERROR(I70/$Q70,0)</f>
        <v>0.38829787234042551</v>
      </c>
      <c r="K70" s="17">
        <v>0</v>
      </c>
      <c r="L70" s="36">
        <f>IFERROR(K70/$R70,0)</f>
        <v>0</v>
      </c>
      <c r="M70" s="17">
        <v>72</v>
      </c>
      <c r="N70" s="36">
        <f>IFERROR(M70/$Q70,0)</f>
        <v>0.38297872340425532</v>
      </c>
      <c r="O70" s="17">
        <v>0</v>
      </c>
      <c r="P70" s="36">
        <f>IFERROR(O70/$R70,0)</f>
        <v>0</v>
      </c>
      <c r="Q70" s="17">
        <v>188</v>
      </c>
      <c r="R70" s="17">
        <v>0</v>
      </c>
    </row>
    <row r="71" spans="1:18" ht="15.75" customHeight="1" x14ac:dyDescent="0.25">
      <c r="A71" s="35">
        <v>2024</v>
      </c>
      <c r="B71" s="35">
        <v>171240</v>
      </c>
      <c r="C71" s="33" t="str">
        <f>VLOOKUP(B71,procv!$A$2:$D$142,4,FALSE)</f>
        <v>Capim Dourado</v>
      </c>
      <c r="D71" s="33" t="s">
        <v>74</v>
      </c>
      <c r="E71" s="17">
        <v>62</v>
      </c>
      <c r="F71" s="36">
        <f>IFERROR(E71/$Q71,0)</f>
        <v>0.2551440329218107</v>
      </c>
      <c r="G71" s="17">
        <v>0</v>
      </c>
      <c r="H71" s="36">
        <f>IFERROR(G71/$R71,0)</f>
        <v>0</v>
      </c>
      <c r="I71" s="17">
        <v>89</v>
      </c>
      <c r="J71" s="36">
        <f>IFERROR(I71/$Q71,0)</f>
        <v>0.36625514403292181</v>
      </c>
      <c r="K71" s="17">
        <v>0</v>
      </c>
      <c r="L71" s="36">
        <f>IFERROR(K71/$R71,0)</f>
        <v>0</v>
      </c>
      <c r="M71" s="17">
        <v>92</v>
      </c>
      <c r="N71" s="36">
        <f>IFERROR(M71/$Q71,0)</f>
        <v>0.37860082304526749</v>
      </c>
      <c r="O71" s="17">
        <v>0</v>
      </c>
      <c r="P71" s="36">
        <f>IFERROR(O71/$R71,0)</f>
        <v>0</v>
      </c>
      <c r="Q71" s="17">
        <v>243</v>
      </c>
      <c r="R71" s="17">
        <v>0</v>
      </c>
    </row>
    <row r="72" spans="1:18" ht="15.75" customHeight="1" x14ac:dyDescent="0.25">
      <c r="A72" s="35">
        <v>2024</v>
      </c>
      <c r="B72" s="35">
        <v>171245</v>
      </c>
      <c r="C72" s="33" t="str">
        <f>VLOOKUP(B72,procv!$A$2:$D$142,4,FALSE)</f>
        <v>Bico do Papagaio</v>
      </c>
      <c r="D72" s="33" t="s">
        <v>75</v>
      </c>
      <c r="E72" s="17">
        <v>67</v>
      </c>
      <c r="F72" s="36">
        <f>IFERROR(E72/$Q72,0)</f>
        <v>0.18611111111111112</v>
      </c>
      <c r="G72" s="17">
        <v>0</v>
      </c>
      <c r="H72" s="36">
        <f>IFERROR(G72/$R72,0)</f>
        <v>0</v>
      </c>
      <c r="I72" s="17">
        <v>131</v>
      </c>
      <c r="J72" s="36">
        <f>IFERROR(I72/$Q72,0)</f>
        <v>0.36388888888888887</v>
      </c>
      <c r="K72" s="17">
        <v>1</v>
      </c>
      <c r="L72" s="36">
        <f>IFERROR(K72/$R72,0)</f>
        <v>1</v>
      </c>
      <c r="M72" s="17">
        <v>162</v>
      </c>
      <c r="N72" s="36">
        <f>IFERROR(M72/$Q72,0)</f>
        <v>0.45</v>
      </c>
      <c r="O72" s="17">
        <v>0</v>
      </c>
      <c r="P72" s="36">
        <f>IFERROR(O72/$R72,0)</f>
        <v>0</v>
      </c>
      <c r="Q72" s="17">
        <v>360</v>
      </c>
      <c r="R72" s="17">
        <v>1</v>
      </c>
    </row>
    <row r="73" spans="1:18" ht="15.75" customHeight="1" x14ac:dyDescent="0.25">
      <c r="A73" s="35">
        <v>2024</v>
      </c>
      <c r="B73" s="35">
        <v>171250</v>
      </c>
      <c r="C73" s="33" t="str">
        <f>VLOOKUP(B73,procv!$A$2:$D$142,4,FALSE)</f>
        <v>Cantão</v>
      </c>
      <c r="D73" s="33" t="s">
        <v>76</v>
      </c>
      <c r="E73" s="17">
        <v>72</v>
      </c>
      <c r="F73" s="36">
        <f>IFERROR(E73/$Q73,0)</f>
        <v>0.15351812366737741</v>
      </c>
      <c r="G73" s="17">
        <v>0</v>
      </c>
      <c r="H73" s="36">
        <f>IFERROR(G73/$R73,0)</f>
        <v>0</v>
      </c>
      <c r="I73" s="17">
        <v>206</v>
      </c>
      <c r="J73" s="36">
        <f>IFERROR(I73/$Q73,0)</f>
        <v>0.43923240938166314</v>
      </c>
      <c r="K73" s="17">
        <v>1</v>
      </c>
      <c r="L73" s="36">
        <f>IFERROR(K73/$R73,0)</f>
        <v>1</v>
      </c>
      <c r="M73" s="17">
        <v>191</v>
      </c>
      <c r="N73" s="36">
        <f>IFERROR(M73/$Q73,0)</f>
        <v>0.40724946695095948</v>
      </c>
      <c r="O73" s="17">
        <v>0</v>
      </c>
      <c r="P73" s="36">
        <f>IFERROR(O73/$R73,0)</f>
        <v>0</v>
      </c>
      <c r="Q73" s="17">
        <v>469</v>
      </c>
      <c r="R73" s="17">
        <v>1</v>
      </c>
    </row>
    <row r="74" spans="1:18" ht="15.75" customHeight="1" x14ac:dyDescent="0.25">
      <c r="A74" s="35">
        <v>2024</v>
      </c>
      <c r="B74" s="35">
        <v>171270</v>
      </c>
      <c r="C74" s="33" t="str">
        <f>VLOOKUP(B74,procv!$A$2:$D$142,4,FALSE)</f>
        <v>Amor Perfeito</v>
      </c>
      <c r="D74" s="33" t="s">
        <v>77</v>
      </c>
      <c r="E74" s="17">
        <v>36</v>
      </c>
      <c r="F74" s="36">
        <f>IFERROR(E74/$Q74,0)</f>
        <v>0.20454545454545456</v>
      </c>
      <c r="G74" s="17">
        <v>1</v>
      </c>
      <c r="H74" s="36">
        <f>IFERROR(G74/$R74,0)</f>
        <v>0.5</v>
      </c>
      <c r="I74" s="17">
        <v>79</v>
      </c>
      <c r="J74" s="36">
        <f>IFERROR(I74/$Q74,0)</f>
        <v>0.44886363636363635</v>
      </c>
      <c r="K74" s="17">
        <v>0</v>
      </c>
      <c r="L74" s="36">
        <f>IFERROR(K74/$R74,0)</f>
        <v>0</v>
      </c>
      <c r="M74" s="17">
        <v>61</v>
      </c>
      <c r="N74" s="36">
        <f>IFERROR(M74/$Q74,0)</f>
        <v>0.34659090909090912</v>
      </c>
      <c r="O74" s="17">
        <v>1</v>
      </c>
      <c r="P74" s="36">
        <f>IFERROR(O74/$R74,0)</f>
        <v>0.5</v>
      </c>
      <c r="Q74" s="17">
        <v>176</v>
      </c>
      <c r="R74" s="17">
        <v>2</v>
      </c>
    </row>
    <row r="75" spans="1:18" ht="15.75" customHeight="1" x14ac:dyDescent="0.25">
      <c r="A75" s="35">
        <v>2024</v>
      </c>
      <c r="B75" s="35">
        <v>171280</v>
      </c>
      <c r="C75" s="33" t="str">
        <f>VLOOKUP(B75,procv!$A$2:$D$142,4,FALSE)</f>
        <v>Bico do Papagaio</v>
      </c>
      <c r="D75" s="33" t="s">
        <v>78</v>
      </c>
      <c r="E75" s="17">
        <v>66</v>
      </c>
      <c r="F75" s="36">
        <f>IFERROR(E75/$Q75,0)</f>
        <v>0.17098445595854922</v>
      </c>
      <c r="G75" s="17">
        <v>0</v>
      </c>
      <c r="H75" s="36">
        <f>IFERROR(G75/$R75,0)</f>
        <v>0</v>
      </c>
      <c r="I75" s="17">
        <v>154</v>
      </c>
      <c r="J75" s="36">
        <f>IFERROR(I75/$Q75,0)</f>
        <v>0.39896373056994816</v>
      </c>
      <c r="K75" s="17">
        <v>0</v>
      </c>
      <c r="L75" s="36">
        <f>IFERROR(K75/$R75,0)</f>
        <v>0</v>
      </c>
      <c r="M75" s="17">
        <v>166</v>
      </c>
      <c r="N75" s="36">
        <f>IFERROR(M75/$Q75,0)</f>
        <v>0.43005181347150256</v>
      </c>
      <c r="O75" s="17">
        <v>0</v>
      </c>
      <c r="P75" s="36">
        <f>IFERROR(O75/$R75,0)</f>
        <v>0</v>
      </c>
      <c r="Q75" s="17">
        <v>386</v>
      </c>
      <c r="R75" s="17">
        <v>0</v>
      </c>
    </row>
    <row r="76" spans="1:18" ht="15.75" customHeight="1" x14ac:dyDescent="0.25">
      <c r="A76" s="35">
        <v>2024</v>
      </c>
      <c r="B76" s="35">
        <v>171320</v>
      </c>
      <c r="C76" s="33" t="str">
        <f>VLOOKUP(B76,procv!$A$2:$D$142,4,FALSE)</f>
        <v>Capim Dourado</v>
      </c>
      <c r="D76" s="33" t="s">
        <v>79</v>
      </c>
      <c r="E76" s="17">
        <v>204</v>
      </c>
      <c r="F76" s="36">
        <f>IFERROR(E76/$Q76,0)</f>
        <v>0.12789968652037617</v>
      </c>
      <c r="G76" s="17">
        <v>1</v>
      </c>
      <c r="H76" s="36">
        <f>IFERROR(G76/$R76,0)</f>
        <v>0.14285714285714285</v>
      </c>
      <c r="I76" s="17">
        <v>689</v>
      </c>
      <c r="J76" s="36">
        <f>IFERROR(I76/$Q76,0)</f>
        <v>0.43197492163009404</v>
      </c>
      <c r="K76" s="17">
        <v>2</v>
      </c>
      <c r="L76" s="36">
        <f>IFERROR(K76/$R76,0)</f>
        <v>0.2857142857142857</v>
      </c>
      <c r="M76" s="17">
        <v>702</v>
      </c>
      <c r="N76" s="36">
        <f>IFERROR(M76/$Q76,0)</f>
        <v>0.44012539184952976</v>
      </c>
      <c r="O76" s="17">
        <v>4</v>
      </c>
      <c r="P76" s="36">
        <f>IFERROR(O76/$R76,0)</f>
        <v>0.5714285714285714</v>
      </c>
      <c r="Q76" s="16">
        <v>1595</v>
      </c>
      <c r="R76" s="17">
        <v>7</v>
      </c>
    </row>
    <row r="77" spans="1:18" ht="15.75" customHeight="1" x14ac:dyDescent="0.25">
      <c r="A77" s="35">
        <v>2024</v>
      </c>
      <c r="B77" s="35">
        <v>171330</v>
      </c>
      <c r="C77" s="33" t="str">
        <f>VLOOKUP(B77,procv!$A$2:$D$142,4,FALSE)</f>
        <v>Capim Dourado</v>
      </c>
      <c r="D77" s="33" t="s">
        <v>80</v>
      </c>
      <c r="E77" s="17">
        <v>157</v>
      </c>
      <c r="F77" s="36">
        <f>IFERROR(E77/$Q77,0)</f>
        <v>0.13628472222222221</v>
      </c>
      <c r="G77" s="17">
        <v>0</v>
      </c>
      <c r="H77" s="36">
        <f>IFERROR(G77/$R77,0)</f>
        <v>0</v>
      </c>
      <c r="I77" s="17">
        <v>495</v>
      </c>
      <c r="J77" s="36">
        <f>IFERROR(I77/$Q77,0)</f>
        <v>0.4296875</v>
      </c>
      <c r="K77" s="17">
        <v>6</v>
      </c>
      <c r="L77" s="36">
        <f>IFERROR(K77/$R77,0)</f>
        <v>0.5</v>
      </c>
      <c r="M77" s="17">
        <v>500</v>
      </c>
      <c r="N77" s="36">
        <f>IFERROR(M77/$Q77,0)</f>
        <v>0.43402777777777779</v>
      </c>
      <c r="O77" s="17">
        <v>6</v>
      </c>
      <c r="P77" s="36">
        <f>IFERROR(O77/$R77,0)</f>
        <v>0.5</v>
      </c>
      <c r="Q77" s="16">
        <v>1152</v>
      </c>
      <c r="R77" s="17">
        <v>12</v>
      </c>
    </row>
    <row r="78" spans="1:18" ht="15.75" customHeight="1" x14ac:dyDescent="0.25">
      <c r="A78" s="35">
        <v>2024</v>
      </c>
      <c r="B78" s="35">
        <v>171360</v>
      </c>
      <c r="C78" s="33" t="str">
        <f>VLOOKUP(B78,procv!$A$2:$D$142,4,FALSE)</f>
        <v>Amor Perfeito</v>
      </c>
      <c r="D78" s="33" t="s">
        <v>81</v>
      </c>
      <c r="E78" s="17">
        <v>74</v>
      </c>
      <c r="F78" s="36">
        <f>IFERROR(E78/$Q78,0)</f>
        <v>0.15163934426229508</v>
      </c>
      <c r="G78" s="17">
        <v>0</v>
      </c>
      <c r="H78" s="36">
        <f>IFERROR(G78/$R78,0)</f>
        <v>0</v>
      </c>
      <c r="I78" s="17">
        <v>185</v>
      </c>
      <c r="J78" s="36">
        <f>IFERROR(I78/$Q78,0)</f>
        <v>0.37909836065573771</v>
      </c>
      <c r="K78" s="17">
        <v>0</v>
      </c>
      <c r="L78" s="36">
        <f>IFERROR(K78/$R78,0)</f>
        <v>0</v>
      </c>
      <c r="M78" s="17">
        <v>229</v>
      </c>
      <c r="N78" s="36">
        <f>IFERROR(M78/$Q78,0)</f>
        <v>0.46926229508196721</v>
      </c>
      <c r="O78" s="17">
        <v>2</v>
      </c>
      <c r="P78" s="36">
        <f>IFERROR(O78/$R78,0)</f>
        <v>1</v>
      </c>
      <c r="Q78" s="17">
        <v>488</v>
      </c>
      <c r="R78" s="17">
        <v>2</v>
      </c>
    </row>
    <row r="79" spans="1:18" ht="15.75" customHeight="1" x14ac:dyDescent="0.25">
      <c r="A79" s="35">
        <v>2024</v>
      </c>
      <c r="B79" s="35">
        <v>171370</v>
      </c>
      <c r="C79" s="33" t="str">
        <f>VLOOKUP(B79,procv!$A$2:$D$142,4,FALSE)</f>
        <v>Cantão</v>
      </c>
      <c r="D79" s="33" t="s">
        <v>82</v>
      </c>
      <c r="E79" s="17">
        <v>45</v>
      </c>
      <c r="F79" s="36">
        <f>IFERROR(E79/$Q79,0)</f>
        <v>0.15789473684210525</v>
      </c>
      <c r="G79" s="17">
        <v>0</v>
      </c>
      <c r="H79" s="36">
        <f>IFERROR(G79/$R79,0)</f>
        <v>0</v>
      </c>
      <c r="I79" s="17">
        <v>107</v>
      </c>
      <c r="J79" s="36">
        <f>IFERROR(I79/$Q79,0)</f>
        <v>0.37543859649122807</v>
      </c>
      <c r="K79" s="17">
        <v>0</v>
      </c>
      <c r="L79" s="36">
        <f>IFERROR(K79/$R79,0)</f>
        <v>0</v>
      </c>
      <c r="M79" s="17">
        <v>133</v>
      </c>
      <c r="N79" s="36">
        <f>IFERROR(M79/$Q79,0)</f>
        <v>0.46666666666666667</v>
      </c>
      <c r="O79" s="17">
        <v>0</v>
      </c>
      <c r="P79" s="36">
        <f>IFERROR(O79/$R79,0)</f>
        <v>0</v>
      </c>
      <c r="Q79" s="17">
        <v>285</v>
      </c>
      <c r="R79" s="17">
        <v>0</v>
      </c>
    </row>
    <row r="80" spans="1:18" ht="15.75" customHeight="1" x14ac:dyDescent="0.25">
      <c r="A80" s="35">
        <v>2024</v>
      </c>
      <c r="B80" s="35">
        <v>171395</v>
      </c>
      <c r="C80" s="33" t="str">
        <f>VLOOKUP(B80,procv!$A$2:$D$142,4,FALSE)</f>
        <v>Médio Norte Araguaia</v>
      </c>
      <c r="D80" s="33" t="s">
        <v>83</v>
      </c>
      <c r="E80" s="17">
        <v>46</v>
      </c>
      <c r="F80" s="36">
        <f>IFERROR(E80/$Q80,0)</f>
        <v>0.115</v>
      </c>
      <c r="G80" s="17">
        <v>0</v>
      </c>
      <c r="H80" s="36">
        <f>IFERROR(G80/$R80,0)</f>
        <v>0</v>
      </c>
      <c r="I80" s="17">
        <v>166</v>
      </c>
      <c r="J80" s="36">
        <f>IFERROR(I80/$Q80,0)</f>
        <v>0.41499999999999998</v>
      </c>
      <c r="K80" s="17">
        <v>0</v>
      </c>
      <c r="L80" s="36">
        <f>IFERROR(K80/$R80,0)</f>
        <v>0</v>
      </c>
      <c r="M80" s="17">
        <v>188</v>
      </c>
      <c r="N80" s="36">
        <f>IFERROR(M80/$Q80,0)</f>
        <v>0.47</v>
      </c>
      <c r="O80" s="17">
        <v>0</v>
      </c>
      <c r="P80" s="36">
        <f>IFERROR(O80/$R80,0)</f>
        <v>0</v>
      </c>
      <c r="Q80" s="17">
        <v>400</v>
      </c>
      <c r="R80" s="17">
        <v>0</v>
      </c>
    </row>
    <row r="81" spans="1:18" ht="15.75" customHeight="1" x14ac:dyDescent="0.25">
      <c r="A81" s="35">
        <v>2024</v>
      </c>
      <c r="B81" s="35">
        <v>171420</v>
      </c>
      <c r="C81" s="33" t="str">
        <f>VLOOKUP(B81,procv!$A$2:$D$142,4,FALSE)</f>
        <v>Amor Perfeito</v>
      </c>
      <c r="D81" s="33" t="s">
        <v>84</v>
      </c>
      <c r="E81" s="17">
        <v>163</v>
      </c>
      <c r="F81" s="36">
        <f>IFERROR(E81/$Q81,0)</f>
        <v>0.16267465069860279</v>
      </c>
      <c r="G81" s="17">
        <v>0</v>
      </c>
      <c r="H81" s="36">
        <f>IFERROR(G81/$R81,0)</f>
        <v>0</v>
      </c>
      <c r="I81" s="17">
        <v>439</v>
      </c>
      <c r="J81" s="36">
        <f>IFERROR(I81/$Q81,0)</f>
        <v>0.43812375249500995</v>
      </c>
      <c r="K81" s="17">
        <v>4</v>
      </c>
      <c r="L81" s="36">
        <f>IFERROR(K81/$R81,0)</f>
        <v>0.36363636363636365</v>
      </c>
      <c r="M81" s="17">
        <v>400</v>
      </c>
      <c r="N81" s="36">
        <f>IFERROR(M81/$Q81,0)</f>
        <v>0.39920159680638723</v>
      </c>
      <c r="O81" s="17">
        <v>7</v>
      </c>
      <c r="P81" s="36">
        <f>IFERROR(O81/$R81,0)</f>
        <v>0.63636363636363635</v>
      </c>
      <c r="Q81" s="16">
        <v>1002</v>
      </c>
      <c r="R81" s="17">
        <v>11</v>
      </c>
    </row>
    <row r="82" spans="1:18" ht="15.75" customHeight="1" x14ac:dyDescent="0.25">
      <c r="A82" s="35">
        <v>2024</v>
      </c>
      <c r="B82" s="35">
        <v>171430</v>
      </c>
      <c r="C82" s="33" t="str">
        <f>VLOOKUP(B82,procv!$A$2:$D$142,4,FALSE)</f>
        <v>Bico do Papagaio</v>
      </c>
      <c r="D82" s="33" t="s">
        <v>85</v>
      </c>
      <c r="E82" s="17">
        <v>95</v>
      </c>
      <c r="F82" s="36">
        <f>IFERROR(E82/$Q82,0)</f>
        <v>0.16903914590747332</v>
      </c>
      <c r="G82" s="17">
        <v>1</v>
      </c>
      <c r="H82" s="36">
        <f>IFERROR(G82/$R82,0)</f>
        <v>0.5</v>
      </c>
      <c r="I82" s="17">
        <v>240</v>
      </c>
      <c r="J82" s="36">
        <f>IFERROR(I82/$Q82,0)</f>
        <v>0.42704626334519574</v>
      </c>
      <c r="K82" s="17">
        <v>0</v>
      </c>
      <c r="L82" s="36">
        <f>IFERROR(K82/$R82,0)</f>
        <v>0</v>
      </c>
      <c r="M82" s="17">
        <v>227</v>
      </c>
      <c r="N82" s="36">
        <f>IFERROR(M82/$Q82,0)</f>
        <v>0.40391459074733094</v>
      </c>
      <c r="O82" s="17">
        <v>1</v>
      </c>
      <c r="P82" s="36">
        <f>IFERROR(O82/$R82,0)</f>
        <v>0.5</v>
      </c>
      <c r="Q82" s="17">
        <v>562</v>
      </c>
      <c r="R82" s="17">
        <v>2</v>
      </c>
    </row>
    <row r="83" spans="1:18" ht="15.75" customHeight="1" x14ac:dyDescent="0.25">
      <c r="A83" s="35">
        <v>2024</v>
      </c>
      <c r="B83" s="35">
        <v>171488</v>
      </c>
      <c r="C83" s="33" t="str">
        <f>VLOOKUP(B83,procv!$A$2:$D$142,4,FALSE)</f>
        <v>Médio Norte Araguaia</v>
      </c>
      <c r="D83" s="33" t="s">
        <v>86</v>
      </c>
      <c r="E83" s="17">
        <v>116</v>
      </c>
      <c r="F83" s="36">
        <f>IFERROR(E83/$Q83,0)</f>
        <v>0.15446071904127828</v>
      </c>
      <c r="G83" s="17">
        <v>1</v>
      </c>
      <c r="H83" s="36">
        <f>IFERROR(G83/$R83,0)</f>
        <v>0.16666666666666666</v>
      </c>
      <c r="I83" s="17">
        <v>302</v>
      </c>
      <c r="J83" s="36">
        <f>IFERROR(I83/$Q83,0)</f>
        <v>0.40213049267643142</v>
      </c>
      <c r="K83" s="17">
        <v>4</v>
      </c>
      <c r="L83" s="36">
        <f>IFERROR(K83/$R83,0)</f>
        <v>0.66666666666666663</v>
      </c>
      <c r="M83" s="17">
        <v>333</v>
      </c>
      <c r="N83" s="36">
        <f>IFERROR(M83/$Q83,0)</f>
        <v>0.4434087882822903</v>
      </c>
      <c r="O83" s="17">
        <v>1</v>
      </c>
      <c r="P83" s="36">
        <f>IFERROR(O83/$R83,0)</f>
        <v>0.16666666666666666</v>
      </c>
      <c r="Q83" s="17">
        <v>751</v>
      </c>
      <c r="R83" s="17">
        <v>6</v>
      </c>
    </row>
    <row r="84" spans="1:18" ht="15.75" customHeight="1" x14ac:dyDescent="0.25">
      <c r="A84" s="35">
        <v>2024</v>
      </c>
      <c r="B84" s="35">
        <v>171500</v>
      </c>
      <c r="C84" s="33" t="str">
        <f>VLOOKUP(B84,procv!$A$2:$D$142,4,FALSE)</f>
        <v>Cantão</v>
      </c>
      <c r="D84" s="33" t="s">
        <v>87</v>
      </c>
      <c r="E84" s="17">
        <v>82</v>
      </c>
      <c r="F84" s="36">
        <f>IFERROR(E84/$Q84,0)</f>
        <v>0.15830115830115829</v>
      </c>
      <c r="G84" s="17">
        <v>1</v>
      </c>
      <c r="H84" s="36">
        <f>IFERROR(G84/$R84,0)</f>
        <v>0.33333333333333331</v>
      </c>
      <c r="I84" s="17">
        <v>192</v>
      </c>
      <c r="J84" s="36">
        <f>IFERROR(I84/$Q84,0)</f>
        <v>0.37065637065637064</v>
      </c>
      <c r="K84" s="17">
        <v>0</v>
      </c>
      <c r="L84" s="36">
        <f>IFERROR(K84/$R84,0)</f>
        <v>0</v>
      </c>
      <c r="M84" s="17">
        <v>244</v>
      </c>
      <c r="N84" s="36">
        <f>IFERROR(M84/$Q84,0)</f>
        <v>0.47104247104247104</v>
      </c>
      <c r="O84" s="17">
        <v>2</v>
      </c>
      <c r="P84" s="36">
        <f>IFERROR(O84/$R84,0)</f>
        <v>0.66666666666666663</v>
      </c>
      <c r="Q84" s="17">
        <v>518</v>
      </c>
      <c r="R84" s="17">
        <v>3</v>
      </c>
    </row>
    <row r="85" spans="1:18" ht="15.75" customHeight="1" x14ac:dyDescent="0.25">
      <c r="A85" s="35">
        <v>2024</v>
      </c>
      <c r="B85" s="35">
        <v>171510</v>
      </c>
      <c r="C85" s="33" t="str">
        <f>VLOOKUP(B85,procv!$A$2:$D$142,4,FALSE)</f>
        <v>Capim Dourado</v>
      </c>
      <c r="D85" s="33" t="s">
        <v>88</v>
      </c>
      <c r="E85" s="17">
        <v>33</v>
      </c>
      <c r="F85" s="36">
        <f>IFERROR(E85/$Q85,0)</f>
        <v>0.22448979591836735</v>
      </c>
      <c r="G85" s="17">
        <v>0</v>
      </c>
      <c r="H85" s="36">
        <f>IFERROR(G85/$R85,0)</f>
        <v>0</v>
      </c>
      <c r="I85" s="17">
        <v>57</v>
      </c>
      <c r="J85" s="36">
        <f>IFERROR(I85/$Q85,0)</f>
        <v>0.38775510204081631</v>
      </c>
      <c r="K85" s="17">
        <v>0</v>
      </c>
      <c r="L85" s="36">
        <f>IFERROR(K85/$R85,0)</f>
        <v>0</v>
      </c>
      <c r="M85" s="17">
        <v>57</v>
      </c>
      <c r="N85" s="36">
        <f>IFERROR(M85/$Q85,0)</f>
        <v>0.38775510204081631</v>
      </c>
      <c r="O85" s="17">
        <v>1</v>
      </c>
      <c r="P85" s="36">
        <f>IFERROR(O85/$R85,0)</f>
        <v>1</v>
      </c>
      <c r="Q85" s="17">
        <v>147</v>
      </c>
      <c r="R85" s="17">
        <v>1</v>
      </c>
    </row>
    <row r="86" spans="1:18" ht="15.75" customHeight="1" x14ac:dyDescent="0.25">
      <c r="A86" s="35">
        <v>2024</v>
      </c>
      <c r="B86" s="35">
        <v>171515</v>
      </c>
      <c r="C86" s="33" t="str">
        <f>VLOOKUP(B86,procv!$A$2:$D$142,4,FALSE)</f>
        <v>Sudeste</v>
      </c>
      <c r="D86" s="33" t="s">
        <v>89</v>
      </c>
      <c r="E86" s="17">
        <v>70</v>
      </c>
      <c r="F86" s="36">
        <f>IFERROR(E86/$Q86,0)</f>
        <v>0.22435897435897437</v>
      </c>
      <c r="G86" s="17">
        <v>0</v>
      </c>
      <c r="H86" s="36">
        <f>IFERROR(G86/$R86,0)</f>
        <v>0</v>
      </c>
      <c r="I86" s="17">
        <v>135</v>
      </c>
      <c r="J86" s="36">
        <f>IFERROR(I86/$Q86,0)</f>
        <v>0.43269230769230771</v>
      </c>
      <c r="K86" s="17">
        <v>1</v>
      </c>
      <c r="L86" s="36">
        <f>IFERROR(K86/$R86,0)</f>
        <v>1</v>
      </c>
      <c r="M86" s="17">
        <v>107</v>
      </c>
      <c r="N86" s="36">
        <f>IFERROR(M86/$Q86,0)</f>
        <v>0.34294871794871795</v>
      </c>
      <c r="O86" s="17">
        <v>0</v>
      </c>
      <c r="P86" s="36">
        <f>IFERROR(O86/$R86,0)</f>
        <v>0</v>
      </c>
      <c r="Q86" s="17">
        <v>312</v>
      </c>
      <c r="R86" s="17">
        <v>1</v>
      </c>
    </row>
    <row r="87" spans="1:18" ht="15.75" customHeight="1" x14ac:dyDescent="0.25">
      <c r="A87" s="35">
        <v>2024</v>
      </c>
      <c r="B87" s="35">
        <v>171525</v>
      </c>
      <c r="C87" s="33" t="str">
        <f>VLOOKUP(B87,procv!$A$2:$D$142,4,FALSE)</f>
        <v>Sudeste</v>
      </c>
      <c r="D87" s="33" t="s">
        <v>90</v>
      </c>
      <c r="E87" s="17">
        <v>0</v>
      </c>
      <c r="F87" s="36">
        <f>IFERROR(E87/$Q87,0)</f>
        <v>0</v>
      </c>
      <c r="G87" s="17">
        <v>0</v>
      </c>
      <c r="H87" s="36">
        <f>IFERROR(G87/$R87,0)</f>
        <v>0</v>
      </c>
      <c r="I87" s="17">
        <v>0</v>
      </c>
      <c r="J87" s="36">
        <f>IFERROR(I87/$Q87,0)</f>
        <v>0</v>
      </c>
      <c r="K87" s="17">
        <v>0</v>
      </c>
      <c r="L87" s="36">
        <f>IFERROR(K87/$R87,0)</f>
        <v>0</v>
      </c>
      <c r="M87" s="17">
        <v>0</v>
      </c>
      <c r="N87" s="36">
        <f>IFERROR(M87/$Q87,0)</f>
        <v>0</v>
      </c>
      <c r="O87" s="17">
        <v>0</v>
      </c>
      <c r="P87" s="36">
        <f>IFERROR(O87/$R87,0)</f>
        <v>0</v>
      </c>
      <c r="Q87" s="17">
        <v>0</v>
      </c>
      <c r="R87" s="17">
        <v>0</v>
      </c>
    </row>
    <row r="88" spans="1:18" ht="15.75" customHeight="1" x14ac:dyDescent="0.25">
      <c r="A88" s="35">
        <v>2024</v>
      </c>
      <c r="B88" s="35">
        <v>171550</v>
      </c>
      <c r="C88" s="33" t="str">
        <f>VLOOKUP(B88,procv!$A$2:$D$142,4,FALSE)</f>
        <v>Amor Perfeito</v>
      </c>
      <c r="D88" s="33" t="s">
        <v>91</v>
      </c>
      <c r="E88" s="17">
        <v>26</v>
      </c>
      <c r="F88" s="36">
        <f>IFERROR(E88/$Q88,0)</f>
        <v>0.16883116883116883</v>
      </c>
      <c r="G88" s="17">
        <v>2</v>
      </c>
      <c r="H88" s="36">
        <f>IFERROR(G88/$R88,0)</f>
        <v>0.66666666666666663</v>
      </c>
      <c r="I88" s="17">
        <v>59</v>
      </c>
      <c r="J88" s="36">
        <f>IFERROR(I88/$Q88,0)</f>
        <v>0.38311688311688313</v>
      </c>
      <c r="K88" s="17">
        <v>0</v>
      </c>
      <c r="L88" s="36">
        <f>IFERROR(K88/$R88,0)</f>
        <v>0</v>
      </c>
      <c r="M88" s="17">
        <v>69</v>
      </c>
      <c r="N88" s="36">
        <f>IFERROR(M88/$Q88,0)</f>
        <v>0.44805194805194803</v>
      </c>
      <c r="O88" s="17">
        <v>1</v>
      </c>
      <c r="P88" s="36">
        <f>IFERROR(O88/$R88,0)</f>
        <v>0.33333333333333331</v>
      </c>
      <c r="Q88" s="17">
        <v>154</v>
      </c>
      <c r="R88" s="17">
        <v>3</v>
      </c>
    </row>
    <row r="89" spans="1:18" ht="15.75" customHeight="1" x14ac:dyDescent="0.25">
      <c r="A89" s="35">
        <v>2024</v>
      </c>
      <c r="B89" s="35">
        <v>172100</v>
      </c>
      <c r="C89" s="33" t="str">
        <f>VLOOKUP(B89,procv!$A$2:$D$142,4,FALSE)</f>
        <v>Capim Dourado</v>
      </c>
      <c r="D89" s="33" t="s">
        <v>92</v>
      </c>
      <c r="E89" s="16">
        <v>1434</v>
      </c>
      <c r="F89" s="36">
        <f>IFERROR(E89/$Q89,0)</f>
        <v>0.12304788055603226</v>
      </c>
      <c r="G89" s="17">
        <v>19</v>
      </c>
      <c r="H89" s="36">
        <f>IFERROR(G89/$R89,0)</f>
        <v>0.15322580645161291</v>
      </c>
      <c r="I89" s="16">
        <v>4694</v>
      </c>
      <c r="J89" s="36">
        <f>IFERROR(I89/$Q89,0)</f>
        <v>0.40278016131800243</v>
      </c>
      <c r="K89" s="17">
        <v>44</v>
      </c>
      <c r="L89" s="36">
        <f>IFERROR(K89/$R89,0)</f>
        <v>0.35483870967741937</v>
      </c>
      <c r="M89" s="16">
        <v>5526</v>
      </c>
      <c r="N89" s="36">
        <f>IFERROR(M89/$Q89,0)</f>
        <v>0.47417195812596535</v>
      </c>
      <c r="O89" s="17">
        <v>61</v>
      </c>
      <c r="P89" s="36">
        <f>IFERROR(O89/$R89,0)</f>
        <v>0.49193548387096775</v>
      </c>
      <c r="Q89" s="16">
        <v>11654</v>
      </c>
      <c r="R89" s="17">
        <v>124</v>
      </c>
    </row>
    <row r="90" spans="1:18" ht="15.75" customHeight="1" x14ac:dyDescent="0.25">
      <c r="A90" s="35">
        <v>2024</v>
      </c>
      <c r="B90" s="35">
        <v>171570</v>
      </c>
      <c r="C90" s="33" t="str">
        <f>VLOOKUP(B90,procv!$A$2:$D$142,4,FALSE)</f>
        <v>Cerrado Tocantins Araguaia</v>
      </c>
      <c r="D90" s="33" t="s">
        <v>93</v>
      </c>
      <c r="E90" s="17">
        <v>96</v>
      </c>
      <c r="F90" s="36">
        <f>IFERROR(E90/$Q90,0)</f>
        <v>0.16326530612244897</v>
      </c>
      <c r="G90" s="17">
        <v>0</v>
      </c>
      <c r="H90" s="36">
        <f>IFERROR(G90/$R90,0)</f>
        <v>0</v>
      </c>
      <c r="I90" s="17">
        <v>267</v>
      </c>
      <c r="J90" s="36">
        <f>IFERROR(I90/$Q90,0)</f>
        <v>0.45408163265306123</v>
      </c>
      <c r="K90" s="17">
        <v>1</v>
      </c>
      <c r="L90" s="36">
        <f>IFERROR(K90/$R90,0)</f>
        <v>0.5</v>
      </c>
      <c r="M90" s="17">
        <v>225</v>
      </c>
      <c r="N90" s="36">
        <f>IFERROR(M90/$Q90,0)</f>
        <v>0.38265306122448978</v>
      </c>
      <c r="O90" s="17">
        <v>1</v>
      </c>
      <c r="P90" s="36">
        <f>IFERROR(O90/$R90,0)</f>
        <v>0.5</v>
      </c>
      <c r="Q90" s="17">
        <v>588</v>
      </c>
      <c r="R90" s="17">
        <v>2</v>
      </c>
    </row>
    <row r="91" spans="1:18" ht="15.75" customHeight="1" x14ac:dyDescent="0.25">
      <c r="A91" s="35">
        <v>2024</v>
      </c>
      <c r="B91" s="35">
        <v>171380</v>
      </c>
      <c r="C91" s="33" t="str">
        <f>VLOOKUP(B91,procv!$A$2:$D$142,4,FALSE)</f>
        <v>Bico do Papagaio</v>
      </c>
      <c r="D91" s="33" t="s">
        <v>94</v>
      </c>
      <c r="E91" s="17">
        <v>23</v>
      </c>
      <c r="F91" s="36">
        <f>IFERROR(E91/$Q91,0)</f>
        <v>0.18852459016393441</v>
      </c>
      <c r="G91" s="17">
        <v>0</v>
      </c>
      <c r="H91" s="36">
        <f>IFERROR(G91/$R91,0)</f>
        <v>0</v>
      </c>
      <c r="I91" s="17">
        <v>43</v>
      </c>
      <c r="J91" s="36">
        <f>IFERROR(I91/$Q91,0)</f>
        <v>0.35245901639344263</v>
      </c>
      <c r="K91" s="17">
        <v>0</v>
      </c>
      <c r="L91" s="36">
        <f>IFERROR(K91/$R91,0)</f>
        <v>0</v>
      </c>
      <c r="M91" s="17">
        <v>56</v>
      </c>
      <c r="N91" s="36">
        <f>IFERROR(M91/$Q91,0)</f>
        <v>0.45901639344262296</v>
      </c>
      <c r="O91" s="17">
        <v>0</v>
      </c>
      <c r="P91" s="36">
        <f>IFERROR(O91/$R91,0)</f>
        <v>0</v>
      </c>
      <c r="Q91" s="17">
        <v>122</v>
      </c>
      <c r="R91" s="17">
        <v>0</v>
      </c>
    </row>
    <row r="92" spans="1:18" ht="15.75" customHeight="1" x14ac:dyDescent="0.25">
      <c r="A92" s="35">
        <v>2024</v>
      </c>
      <c r="B92" s="35">
        <v>171575</v>
      </c>
      <c r="C92" s="33" t="str">
        <f>VLOOKUP(B92,procv!$A$2:$D$142,4,FALSE)</f>
        <v>Ilha do Bananal</v>
      </c>
      <c r="D92" s="33" t="s">
        <v>95</v>
      </c>
      <c r="E92" s="17">
        <v>109</v>
      </c>
      <c r="F92" s="36">
        <f>IFERROR(E92/$Q92,0)</f>
        <v>0.14304461942257218</v>
      </c>
      <c r="G92" s="17">
        <v>0</v>
      </c>
      <c r="H92" s="36">
        <f>IFERROR(G92/$R92,0)</f>
        <v>0</v>
      </c>
      <c r="I92" s="17">
        <v>333</v>
      </c>
      <c r="J92" s="36">
        <f>IFERROR(I92/$Q92,0)</f>
        <v>0.43700787401574803</v>
      </c>
      <c r="K92" s="17">
        <v>1</v>
      </c>
      <c r="L92" s="36">
        <f>IFERROR(K92/$R92,0)</f>
        <v>0.33333333333333331</v>
      </c>
      <c r="M92" s="17">
        <v>320</v>
      </c>
      <c r="N92" s="36">
        <f>IFERROR(M92/$Q92,0)</f>
        <v>0.41994750656167978</v>
      </c>
      <c r="O92" s="17">
        <v>2</v>
      </c>
      <c r="P92" s="36">
        <f>IFERROR(O92/$R92,0)</f>
        <v>0.66666666666666663</v>
      </c>
      <c r="Q92" s="17">
        <v>762</v>
      </c>
      <c r="R92" s="17">
        <v>3</v>
      </c>
    </row>
    <row r="93" spans="1:18" ht="15.75" customHeight="1" x14ac:dyDescent="0.25">
      <c r="A93" s="35">
        <v>2024</v>
      </c>
      <c r="B93" s="35">
        <v>171610</v>
      </c>
      <c r="C93" s="33" t="str">
        <f>VLOOKUP(B93,procv!$A$2:$D$142,4,FALSE)</f>
        <v>Cantão</v>
      </c>
      <c r="D93" s="33" t="s">
        <v>96</v>
      </c>
      <c r="E93" s="17">
        <v>489</v>
      </c>
      <c r="F93" s="36">
        <f>IFERROR(E93/$Q93,0)</f>
        <v>0.14019495412844038</v>
      </c>
      <c r="G93" s="17">
        <v>1</v>
      </c>
      <c r="H93" s="36">
        <f>IFERROR(G93/$R93,0)</f>
        <v>7.6923076923076927E-2</v>
      </c>
      <c r="I93" s="16">
        <v>1371</v>
      </c>
      <c r="J93" s="36">
        <f>IFERROR(I93/$Q93,0)</f>
        <v>0.3930619266055046</v>
      </c>
      <c r="K93" s="17">
        <v>4</v>
      </c>
      <c r="L93" s="36">
        <f>IFERROR(K93/$R93,0)</f>
        <v>0.30769230769230771</v>
      </c>
      <c r="M93" s="16">
        <v>1628</v>
      </c>
      <c r="N93" s="36">
        <f>IFERROR(M93/$Q93,0)</f>
        <v>0.46674311926605505</v>
      </c>
      <c r="O93" s="17">
        <v>8</v>
      </c>
      <c r="P93" s="36">
        <f>IFERROR(O93/$R93,0)</f>
        <v>0.61538461538461542</v>
      </c>
      <c r="Q93" s="16">
        <v>3488</v>
      </c>
      <c r="R93" s="17">
        <v>13</v>
      </c>
    </row>
    <row r="94" spans="1:18" ht="15.75" customHeight="1" x14ac:dyDescent="0.25">
      <c r="A94" s="35">
        <v>2024</v>
      </c>
      <c r="B94" s="35">
        <v>171620</v>
      </c>
      <c r="C94" s="33" t="str">
        <f>VLOOKUP(B94,procv!$A$2:$D$142,4,FALSE)</f>
        <v>Sudeste</v>
      </c>
      <c r="D94" s="33" t="s">
        <v>97</v>
      </c>
      <c r="E94" s="17">
        <v>139</v>
      </c>
      <c r="F94" s="36">
        <f>IFERROR(E94/$Q94,0)</f>
        <v>0.1963276836158192</v>
      </c>
      <c r="G94" s="17">
        <v>0</v>
      </c>
      <c r="H94" s="36">
        <f>IFERROR(G94/$R94,0)</f>
        <v>0</v>
      </c>
      <c r="I94" s="17">
        <v>288</v>
      </c>
      <c r="J94" s="36">
        <f>IFERROR(I94/$Q94,0)</f>
        <v>0.40677966101694918</v>
      </c>
      <c r="K94" s="17">
        <v>4</v>
      </c>
      <c r="L94" s="36">
        <f>IFERROR(K94/$R94,0)</f>
        <v>0.66666666666666663</v>
      </c>
      <c r="M94" s="17">
        <v>281</v>
      </c>
      <c r="N94" s="36">
        <f>IFERROR(M94/$Q94,0)</f>
        <v>0.39689265536723162</v>
      </c>
      <c r="O94" s="17">
        <v>2</v>
      </c>
      <c r="P94" s="36">
        <f>IFERROR(O94/$R94,0)</f>
        <v>0.33333333333333331</v>
      </c>
      <c r="Q94" s="17">
        <v>708</v>
      </c>
      <c r="R94" s="17">
        <v>6</v>
      </c>
    </row>
    <row r="95" spans="1:18" ht="15.75" customHeight="1" x14ac:dyDescent="0.25">
      <c r="A95" s="35">
        <v>2024</v>
      </c>
      <c r="B95" s="35">
        <v>171630</v>
      </c>
      <c r="C95" s="33" t="str">
        <f>VLOOKUP(B95,procv!$A$2:$D$142,4,FALSE)</f>
        <v>Médio Norte Araguaia</v>
      </c>
      <c r="D95" s="33" t="s">
        <v>98</v>
      </c>
      <c r="E95" s="17">
        <v>70</v>
      </c>
      <c r="F95" s="36">
        <f>IFERROR(E95/$Q95,0)</f>
        <v>0.16431924882629109</v>
      </c>
      <c r="G95" s="17">
        <v>0</v>
      </c>
      <c r="H95" s="36">
        <f>IFERROR(G95/$R95,0)</f>
        <v>0</v>
      </c>
      <c r="I95" s="17">
        <v>165</v>
      </c>
      <c r="J95" s="36">
        <f>IFERROR(I95/$Q95,0)</f>
        <v>0.38732394366197181</v>
      </c>
      <c r="K95" s="17">
        <v>0</v>
      </c>
      <c r="L95" s="36">
        <f>IFERROR(K95/$R95,0)</f>
        <v>0</v>
      </c>
      <c r="M95" s="17">
        <v>191</v>
      </c>
      <c r="N95" s="36">
        <f>IFERROR(M95/$Q95,0)</f>
        <v>0.44835680751173707</v>
      </c>
      <c r="O95" s="17">
        <v>0</v>
      </c>
      <c r="P95" s="36">
        <f>IFERROR(O95/$R95,0)</f>
        <v>0</v>
      </c>
      <c r="Q95" s="17">
        <v>426</v>
      </c>
      <c r="R95" s="17">
        <v>0</v>
      </c>
    </row>
    <row r="96" spans="1:18" ht="15.75" customHeight="1" x14ac:dyDescent="0.25">
      <c r="A96" s="35">
        <v>2024</v>
      </c>
      <c r="B96" s="35">
        <v>171650</v>
      </c>
      <c r="C96" s="33" t="str">
        <f>VLOOKUP(B96,procv!$A$2:$D$142,4,FALSE)</f>
        <v>Cerrado Tocantins Araguaia</v>
      </c>
      <c r="D96" s="33" t="s">
        <v>99</v>
      </c>
      <c r="E96" s="17">
        <v>159</v>
      </c>
      <c r="F96" s="36">
        <f>IFERROR(E96/$Q96,0)</f>
        <v>0.12884927066450566</v>
      </c>
      <c r="G96" s="17">
        <v>1</v>
      </c>
      <c r="H96" s="36">
        <f>IFERROR(G96/$R96,0)</f>
        <v>0.14285714285714285</v>
      </c>
      <c r="I96" s="17">
        <v>497</v>
      </c>
      <c r="J96" s="36">
        <f>IFERROR(I96/$Q96,0)</f>
        <v>0.4027552674230146</v>
      </c>
      <c r="K96" s="17">
        <v>0</v>
      </c>
      <c r="L96" s="36">
        <f>IFERROR(K96/$R96,0)</f>
        <v>0</v>
      </c>
      <c r="M96" s="17">
        <v>578</v>
      </c>
      <c r="N96" s="36">
        <f>IFERROR(M96/$Q96,0)</f>
        <v>0.46839546191247972</v>
      </c>
      <c r="O96" s="17">
        <v>6</v>
      </c>
      <c r="P96" s="36">
        <f>IFERROR(O96/$R96,0)</f>
        <v>0.8571428571428571</v>
      </c>
      <c r="Q96" s="16">
        <v>1234</v>
      </c>
      <c r="R96" s="17">
        <v>7</v>
      </c>
    </row>
    <row r="97" spans="1:18" ht="15.75" customHeight="1" x14ac:dyDescent="0.25">
      <c r="A97" s="35">
        <v>2024</v>
      </c>
      <c r="B97" s="35">
        <v>171660</v>
      </c>
      <c r="C97" s="33" t="str">
        <f>VLOOKUP(B97,procv!$A$2:$D$142,4,FALSE)</f>
        <v>Ilha do Bananal</v>
      </c>
      <c r="D97" s="33" t="s">
        <v>100</v>
      </c>
      <c r="E97" s="17">
        <v>164</v>
      </c>
      <c r="F97" s="36">
        <f>IFERROR(E97/$Q97,0)</f>
        <v>0.16205533596837945</v>
      </c>
      <c r="G97" s="17">
        <v>2</v>
      </c>
      <c r="H97" s="36">
        <f>IFERROR(G97/$R97,0)</f>
        <v>0.22222222222222221</v>
      </c>
      <c r="I97" s="17">
        <v>380</v>
      </c>
      <c r="J97" s="36">
        <f>IFERROR(I97/$Q97,0)</f>
        <v>0.37549407114624506</v>
      </c>
      <c r="K97" s="17">
        <v>3</v>
      </c>
      <c r="L97" s="36">
        <f>IFERROR(K97/$R97,0)</f>
        <v>0.33333333333333331</v>
      </c>
      <c r="M97" s="17">
        <v>468</v>
      </c>
      <c r="N97" s="36">
        <f>IFERROR(M97/$Q97,0)</f>
        <v>0.46245059288537549</v>
      </c>
      <c r="O97" s="17">
        <v>4</v>
      </c>
      <c r="P97" s="36">
        <f>IFERROR(O97/$R97,0)</f>
        <v>0.44444444444444442</v>
      </c>
      <c r="Q97" s="16">
        <v>1012</v>
      </c>
      <c r="R97" s="17">
        <v>9</v>
      </c>
    </row>
    <row r="98" spans="1:18" ht="15.75" customHeight="1" x14ac:dyDescent="0.25">
      <c r="A98" s="35">
        <v>2024</v>
      </c>
      <c r="B98" s="35">
        <v>171665</v>
      </c>
      <c r="C98" s="33" t="str">
        <f>VLOOKUP(B98,procv!$A$2:$D$142,4,FALSE)</f>
        <v>Cerrado Tocantins Araguaia</v>
      </c>
      <c r="D98" s="33" t="s">
        <v>101</v>
      </c>
      <c r="E98" s="17">
        <v>73</v>
      </c>
      <c r="F98" s="36">
        <f>IFERROR(E98/$Q98,0)</f>
        <v>0.13468634686346864</v>
      </c>
      <c r="G98" s="17">
        <v>0</v>
      </c>
      <c r="H98" s="36">
        <f>IFERROR(G98/$R98,0)</f>
        <v>0</v>
      </c>
      <c r="I98" s="17">
        <v>215</v>
      </c>
      <c r="J98" s="36">
        <f>IFERROR(I98/$Q98,0)</f>
        <v>0.39667896678966791</v>
      </c>
      <c r="K98" s="17">
        <v>0</v>
      </c>
      <c r="L98" s="36">
        <f>IFERROR(K98/$R98,0)</f>
        <v>0</v>
      </c>
      <c r="M98" s="17">
        <v>254</v>
      </c>
      <c r="N98" s="36">
        <f>IFERROR(M98/$Q98,0)</f>
        <v>0.46863468634686345</v>
      </c>
      <c r="O98" s="17">
        <v>2</v>
      </c>
      <c r="P98" s="36">
        <f>IFERROR(O98/$R98,0)</f>
        <v>1</v>
      </c>
      <c r="Q98" s="17">
        <v>542</v>
      </c>
      <c r="R98" s="17">
        <v>2</v>
      </c>
    </row>
    <row r="99" spans="1:18" ht="15.75" customHeight="1" x14ac:dyDescent="0.25">
      <c r="A99" s="35">
        <v>2024</v>
      </c>
      <c r="B99" s="35">
        <v>171700</v>
      </c>
      <c r="C99" s="33" t="str">
        <f>VLOOKUP(B99,procv!$A$2:$D$142,4,FALSE)</f>
        <v>Amor Perfeito</v>
      </c>
      <c r="D99" s="33" t="s">
        <v>102</v>
      </c>
      <c r="E99" s="17">
        <v>111</v>
      </c>
      <c r="F99" s="36">
        <f>IFERROR(E99/$Q99,0)</f>
        <v>0.17452830188679244</v>
      </c>
      <c r="G99" s="17">
        <v>0</v>
      </c>
      <c r="H99" s="36">
        <f>IFERROR(G99/$R99,0)</f>
        <v>0</v>
      </c>
      <c r="I99" s="17">
        <v>268</v>
      </c>
      <c r="J99" s="36">
        <f>IFERROR(I99/$Q99,0)</f>
        <v>0.42138364779874216</v>
      </c>
      <c r="K99" s="17">
        <v>1</v>
      </c>
      <c r="L99" s="36">
        <f>IFERROR(K99/$R99,0)</f>
        <v>0.16666666666666666</v>
      </c>
      <c r="M99" s="17">
        <v>257</v>
      </c>
      <c r="N99" s="36">
        <f>IFERROR(M99/$Q99,0)</f>
        <v>0.40408805031446543</v>
      </c>
      <c r="O99" s="17">
        <v>5</v>
      </c>
      <c r="P99" s="36">
        <f>IFERROR(O99/$R99,0)</f>
        <v>0.83333333333333337</v>
      </c>
      <c r="Q99" s="17">
        <v>636</v>
      </c>
      <c r="R99" s="17">
        <v>6</v>
      </c>
    </row>
    <row r="100" spans="1:18" ht="15.75" customHeight="1" x14ac:dyDescent="0.25">
      <c r="A100" s="35">
        <v>2024</v>
      </c>
      <c r="B100" s="35">
        <v>171720</v>
      </c>
      <c r="C100" s="33" t="str">
        <f>VLOOKUP(B100,procv!$A$2:$D$142,4,FALSE)</f>
        <v>Médio Norte Araguaia</v>
      </c>
      <c r="D100" s="33" t="s">
        <v>103</v>
      </c>
      <c r="E100" s="17">
        <v>33</v>
      </c>
      <c r="F100" s="36">
        <f>IFERROR(E100/$Q100,0)</f>
        <v>0.13147410358565736</v>
      </c>
      <c r="G100" s="17">
        <v>0</v>
      </c>
      <c r="H100" s="36">
        <f>IFERROR(G100/$R100,0)</f>
        <v>0</v>
      </c>
      <c r="I100" s="17">
        <v>98</v>
      </c>
      <c r="J100" s="36">
        <f>IFERROR(I100/$Q100,0)</f>
        <v>0.39043824701195218</v>
      </c>
      <c r="K100" s="17">
        <v>0</v>
      </c>
      <c r="L100" s="36">
        <f>IFERROR(K100/$R100,0)</f>
        <v>0</v>
      </c>
      <c r="M100" s="17">
        <v>120</v>
      </c>
      <c r="N100" s="36">
        <f>IFERROR(M100/$Q100,0)</f>
        <v>0.47808764940239046</v>
      </c>
      <c r="O100" s="17">
        <v>0</v>
      </c>
      <c r="P100" s="36">
        <f>IFERROR(O100/$R100,0)</f>
        <v>0</v>
      </c>
      <c r="Q100" s="17">
        <v>251</v>
      </c>
      <c r="R100" s="17">
        <v>0</v>
      </c>
    </row>
    <row r="101" spans="1:18" ht="15.75" customHeight="1" x14ac:dyDescent="0.25">
      <c r="A101" s="35">
        <v>2024</v>
      </c>
      <c r="B101" s="35">
        <v>171750</v>
      </c>
      <c r="C101" s="33" t="str">
        <f>VLOOKUP(B101,procv!$A$2:$D$142,4,FALSE)</f>
        <v>Cantão</v>
      </c>
      <c r="D101" s="33" t="s">
        <v>104</v>
      </c>
      <c r="E101" s="17">
        <v>108</v>
      </c>
      <c r="F101" s="36">
        <f>IFERROR(E101/$Q101,0)</f>
        <v>0.1758957654723127</v>
      </c>
      <c r="G101" s="17">
        <v>3</v>
      </c>
      <c r="H101" s="36">
        <f>IFERROR(G101/$R101,0)</f>
        <v>0.42857142857142855</v>
      </c>
      <c r="I101" s="17">
        <v>239</v>
      </c>
      <c r="J101" s="36">
        <f>IFERROR(I101/$Q101,0)</f>
        <v>0.38925081433224756</v>
      </c>
      <c r="K101" s="17">
        <v>2</v>
      </c>
      <c r="L101" s="36">
        <f>IFERROR(K101/$R101,0)</f>
        <v>0.2857142857142857</v>
      </c>
      <c r="M101" s="17">
        <v>267</v>
      </c>
      <c r="N101" s="36">
        <f>IFERROR(M101/$Q101,0)</f>
        <v>0.43485342019543977</v>
      </c>
      <c r="O101" s="17">
        <v>2</v>
      </c>
      <c r="P101" s="36">
        <f>IFERROR(O101/$R101,0)</f>
        <v>0.2857142857142857</v>
      </c>
      <c r="Q101" s="17">
        <v>614</v>
      </c>
      <c r="R101" s="17">
        <v>7</v>
      </c>
    </row>
    <row r="102" spans="1:18" ht="15.75" customHeight="1" x14ac:dyDescent="0.25">
      <c r="A102" s="35">
        <v>2024</v>
      </c>
      <c r="B102" s="35">
        <v>171780</v>
      </c>
      <c r="C102" s="33" t="str">
        <f>VLOOKUP(B102,procv!$A$2:$D$142,4,FALSE)</f>
        <v>Sudeste</v>
      </c>
      <c r="D102" s="33" t="s">
        <v>105</v>
      </c>
      <c r="E102" s="17">
        <v>82</v>
      </c>
      <c r="F102" s="36">
        <f>IFERROR(E102/$Q102,0)</f>
        <v>0.18850574712643678</v>
      </c>
      <c r="G102" s="17">
        <v>0</v>
      </c>
      <c r="H102" s="36">
        <f>IFERROR(G102/$R102,0)</f>
        <v>0</v>
      </c>
      <c r="I102" s="17">
        <v>188</v>
      </c>
      <c r="J102" s="36">
        <f>IFERROR(I102/$Q102,0)</f>
        <v>0.43218390804597701</v>
      </c>
      <c r="K102" s="17">
        <v>0</v>
      </c>
      <c r="L102" s="36">
        <f>IFERROR(K102/$R102,0)</f>
        <v>0</v>
      </c>
      <c r="M102" s="17">
        <v>165</v>
      </c>
      <c r="N102" s="36">
        <f>IFERROR(M102/$Q102,0)</f>
        <v>0.37931034482758619</v>
      </c>
      <c r="O102" s="17">
        <v>1</v>
      </c>
      <c r="P102" s="36">
        <f>IFERROR(O102/$R102,0)</f>
        <v>1</v>
      </c>
      <c r="Q102" s="17">
        <v>435</v>
      </c>
      <c r="R102" s="17">
        <v>1</v>
      </c>
    </row>
    <row r="103" spans="1:18" ht="15.75" customHeight="1" x14ac:dyDescent="0.25">
      <c r="A103" s="35">
        <v>2024</v>
      </c>
      <c r="B103" s="35">
        <v>171790</v>
      </c>
      <c r="C103" s="33" t="str">
        <f>VLOOKUP(B103,procv!$A$2:$D$142,4,FALSE)</f>
        <v>Amor Perfeito</v>
      </c>
      <c r="D103" s="33" t="s">
        <v>106</v>
      </c>
      <c r="E103" s="17">
        <v>92</v>
      </c>
      <c r="F103" s="36">
        <f>IFERROR(E103/$Q103,0)</f>
        <v>0.16576576576576577</v>
      </c>
      <c r="G103" s="17">
        <v>0</v>
      </c>
      <c r="H103" s="36">
        <f>IFERROR(G103/$R103,0)</f>
        <v>0</v>
      </c>
      <c r="I103" s="17">
        <v>203</v>
      </c>
      <c r="J103" s="36">
        <f>IFERROR(I103/$Q103,0)</f>
        <v>0.36576576576576575</v>
      </c>
      <c r="K103" s="17">
        <v>0</v>
      </c>
      <c r="L103" s="36">
        <f>IFERROR(K103/$R103,0)</f>
        <v>0</v>
      </c>
      <c r="M103" s="17">
        <v>260</v>
      </c>
      <c r="N103" s="36">
        <f>IFERROR(M103/$Q103,0)</f>
        <v>0.46846846846846846</v>
      </c>
      <c r="O103" s="17">
        <v>3</v>
      </c>
      <c r="P103" s="36">
        <f>IFERROR(O103/$R103,0)</f>
        <v>1</v>
      </c>
      <c r="Q103" s="17">
        <v>555</v>
      </c>
      <c r="R103" s="17">
        <v>3</v>
      </c>
    </row>
    <row r="104" spans="1:18" ht="15.75" customHeight="1" x14ac:dyDescent="0.25">
      <c r="A104" s="35">
        <v>2024</v>
      </c>
      <c r="B104" s="35">
        <v>171800</v>
      </c>
      <c r="C104" s="33" t="str">
        <f>VLOOKUP(B104,procv!$A$2:$D$142,4,FALSE)</f>
        <v>Sudeste</v>
      </c>
      <c r="D104" s="33" t="s">
        <v>107</v>
      </c>
      <c r="E104" s="17">
        <v>0</v>
      </c>
      <c r="F104" s="36">
        <f>IFERROR(E104/$Q104,0)</f>
        <v>0</v>
      </c>
      <c r="G104" s="17">
        <v>0</v>
      </c>
      <c r="H104" s="36">
        <f>IFERROR(G104/$R104,0)</f>
        <v>0</v>
      </c>
      <c r="I104" s="17">
        <v>1</v>
      </c>
      <c r="J104" s="36">
        <f>IFERROR(I104/$Q104,0)</f>
        <v>0.33333333333333331</v>
      </c>
      <c r="K104" s="17">
        <v>0</v>
      </c>
      <c r="L104" s="36">
        <f>IFERROR(K104/$R104,0)</f>
        <v>0</v>
      </c>
      <c r="M104" s="17">
        <v>2</v>
      </c>
      <c r="N104" s="36">
        <f>IFERROR(M104/$Q104,0)</f>
        <v>0.66666666666666663</v>
      </c>
      <c r="O104" s="17">
        <v>2</v>
      </c>
      <c r="P104" s="36">
        <f>IFERROR(O104/$R104,0)</f>
        <v>1</v>
      </c>
      <c r="Q104" s="17">
        <v>3</v>
      </c>
      <c r="R104" s="17">
        <v>2</v>
      </c>
    </row>
    <row r="105" spans="1:18" ht="15.75" customHeight="1" x14ac:dyDescent="0.25">
      <c r="A105" s="35">
        <v>2024</v>
      </c>
      <c r="B105" s="35">
        <v>171820</v>
      </c>
      <c r="C105" s="33" t="str">
        <f>VLOOKUP(B105,procv!$A$2:$D$142,4,FALSE)</f>
        <v>Amor Perfeito</v>
      </c>
      <c r="D105" s="33" t="s">
        <v>108</v>
      </c>
      <c r="E105" s="17">
        <v>564</v>
      </c>
      <c r="F105" s="36">
        <f>IFERROR(E105/$Q105,0)</f>
        <v>0.14107053526763383</v>
      </c>
      <c r="G105" s="17">
        <v>0</v>
      </c>
      <c r="H105" s="36">
        <f>IFERROR(G105/$R105,0)</f>
        <v>0</v>
      </c>
      <c r="I105" s="16">
        <v>1541</v>
      </c>
      <c r="J105" s="36">
        <f>IFERROR(I105/$Q105,0)</f>
        <v>0.38544272136068036</v>
      </c>
      <c r="K105" s="17">
        <v>9</v>
      </c>
      <c r="L105" s="36">
        <f>IFERROR(K105/$R105,0)</f>
        <v>0.375</v>
      </c>
      <c r="M105" s="16">
        <v>1893</v>
      </c>
      <c r="N105" s="36">
        <f>IFERROR(M105/$Q105,0)</f>
        <v>0.47348674337168584</v>
      </c>
      <c r="O105" s="17">
        <v>15</v>
      </c>
      <c r="P105" s="36">
        <f>IFERROR(O105/$R105,0)</f>
        <v>0.625</v>
      </c>
      <c r="Q105" s="16">
        <v>3998</v>
      </c>
      <c r="R105" s="17">
        <v>24</v>
      </c>
    </row>
    <row r="106" spans="1:18" ht="15.75" customHeight="1" x14ac:dyDescent="0.25">
      <c r="A106" s="35">
        <v>2024</v>
      </c>
      <c r="B106" s="35">
        <v>171830</v>
      </c>
      <c r="C106" s="33" t="str">
        <f>VLOOKUP(B106,procv!$A$2:$D$142,4,FALSE)</f>
        <v>Bico do Papagaio</v>
      </c>
      <c r="D106" s="33" t="s">
        <v>109</v>
      </c>
      <c r="E106" s="17">
        <v>61</v>
      </c>
      <c r="F106" s="36">
        <f>IFERROR(E106/$Q106,0)</f>
        <v>0.12681912681912683</v>
      </c>
      <c r="G106" s="17">
        <v>0</v>
      </c>
      <c r="H106" s="36">
        <f>IFERROR(G106/$R106,0)</f>
        <v>0</v>
      </c>
      <c r="I106" s="17">
        <v>187</v>
      </c>
      <c r="J106" s="36">
        <f>IFERROR(I106/$Q106,0)</f>
        <v>0.38877338877338879</v>
      </c>
      <c r="K106" s="17">
        <v>2</v>
      </c>
      <c r="L106" s="36">
        <f>IFERROR(K106/$R106,0)</f>
        <v>1</v>
      </c>
      <c r="M106" s="17">
        <v>233</v>
      </c>
      <c r="N106" s="36">
        <f>IFERROR(M106/$Q106,0)</f>
        <v>0.48440748440748443</v>
      </c>
      <c r="O106" s="17">
        <v>0</v>
      </c>
      <c r="P106" s="36">
        <f>IFERROR(O106/$R106,0)</f>
        <v>0</v>
      </c>
      <c r="Q106" s="17">
        <v>481</v>
      </c>
      <c r="R106" s="17">
        <v>2</v>
      </c>
    </row>
    <row r="107" spans="1:18" ht="15.75" customHeight="1" x14ac:dyDescent="0.25">
      <c r="A107" s="35">
        <v>2024</v>
      </c>
      <c r="B107" s="35">
        <v>171840</v>
      </c>
      <c r="C107" s="33" t="str">
        <f>VLOOKUP(B107,procv!$A$2:$D$142,4,FALSE)</f>
        <v>Cerrado Tocantins Araguaia</v>
      </c>
      <c r="D107" s="33" t="s">
        <v>110</v>
      </c>
      <c r="E107" s="17">
        <v>57</v>
      </c>
      <c r="F107" s="36">
        <f>IFERROR(E107/$Q107,0)</f>
        <v>0.13255813953488371</v>
      </c>
      <c r="G107" s="17">
        <v>0</v>
      </c>
      <c r="H107" s="36">
        <f>IFERROR(G107/$R107,0)</f>
        <v>0</v>
      </c>
      <c r="I107" s="17">
        <v>162</v>
      </c>
      <c r="J107" s="36">
        <f>IFERROR(I107/$Q107,0)</f>
        <v>0.37674418604651161</v>
      </c>
      <c r="K107" s="17">
        <v>0</v>
      </c>
      <c r="L107" s="36">
        <f>IFERROR(K107/$R107,0)</f>
        <v>0</v>
      </c>
      <c r="M107" s="17">
        <v>211</v>
      </c>
      <c r="N107" s="36">
        <f>IFERROR(M107/$Q107,0)</f>
        <v>0.49069767441860462</v>
      </c>
      <c r="O107" s="17">
        <v>1</v>
      </c>
      <c r="P107" s="36">
        <f>IFERROR(O107/$R107,0)</f>
        <v>1</v>
      </c>
      <c r="Q107" s="17">
        <v>430</v>
      </c>
      <c r="R107" s="17">
        <v>1</v>
      </c>
    </row>
    <row r="108" spans="1:18" ht="15.75" customHeight="1" x14ac:dyDescent="0.25">
      <c r="A108" s="35">
        <v>2024</v>
      </c>
      <c r="B108" s="35">
        <v>171845</v>
      </c>
      <c r="C108" s="33" t="str">
        <f>VLOOKUP(B108,procv!$A$2:$D$142,4,FALSE)</f>
        <v>Cantão</v>
      </c>
      <c r="D108" s="33" t="s">
        <v>111</v>
      </c>
      <c r="E108" s="17">
        <v>24</v>
      </c>
      <c r="F108" s="36">
        <f>IFERROR(E108/$Q108,0)</f>
        <v>0.12</v>
      </c>
      <c r="G108" s="17">
        <v>0</v>
      </c>
      <c r="H108" s="36">
        <f>IFERROR(G108/$R108,0)</f>
        <v>0</v>
      </c>
      <c r="I108" s="17">
        <v>78</v>
      </c>
      <c r="J108" s="36">
        <f>IFERROR(I108/$Q108,0)</f>
        <v>0.39</v>
      </c>
      <c r="K108" s="17">
        <v>0</v>
      </c>
      <c r="L108" s="36">
        <f>IFERROR(K108/$R108,0)</f>
        <v>0</v>
      </c>
      <c r="M108" s="17">
        <v>98</v>
      </c>
      <c r="N108" s="36">
        <f>IFERROR(M108/$Q108,0)</f>
        <v>0.49</v>
      </c>
      <c r="O108" s="17">
        <v>1</v>
      </c>
      <c r="P108" s="36">
        <f>IFERROR(O108/$R108,0)</f>
        <v>1</v>
      </c>
      <c r="Q108" s="17">
        <v>200</v>
      </c>
      <c r="R108" s="17">
        <v>1</v>
      </c>
    </row>
    <row r="109" spans="1:18" ht="15.75" customHeight="1" x14ac:dyDescent="0.25">
      <c r="A109" s="35">
        <v>2024</v>
      </c>
      <c r="B109" s="35">
        <v>171850</v>
      </c>
      <c r="C109" s="33" t="str">
        <f>VLOOKUP(B109,procv!$A$2:$D$142,4,FALSE)</f>
        <v>Cerrado Tocantins Araguaia</v>
      </c>
      <c r="D109" s="33" t="s">
        <v>112</v>
      </c>
      <c r="E109" s="17">
        <v>67</v>
      </c>
      <c r="F109" s="36">
        <f>IFERROR(E109/$Q109,0)</f>
        <v>0.16584158415841585</v>
      </c>
      <c r="G109" s="17">
        <v>0</v>
      </c>
      <c r="H109" s="36">
        <f>IFERROR(G109/$R109,0)</f>
        <v>0</v>
      </c>
      <c r="I109" s="17">
        <v>200</v>
      </c>
      <c r="J109" s="36">
        <f>IFERROR(I109/$Q109,0)</f>
        <v>0.49504950495049505</v>
      </c>
      <c r="K109" s="17">
        <v>1</v>
      </c>
      <c r="L109" s="36">
        <f>IFERROR(K109/$R109,0)</f>
        <v>1</v>
      </c>
      <c r="M109" s="17">
        <v>137</v>
      </c>
      <c r="N109" s="36">
        <f>IFERROR(M109/$Q109,0)</f>
        <v>0.33910891089108913</v>
      </c>
      <c r="O109" s="17">
        <v>0</v>
      </c>
      <c r="P109" s="36">
        <f>IFERROR(O109/$R109,0)</f>
        <v>0</v>
      </c>
      <c r="Q109" s="17">
        <v>404</v>
      </c>
      <c r="R109" s="17">
        <v>1</v>
      </c>
    </row>
    <row r="110" spans="1:18" ht="15.75" customHeight="1" x14ac:dyDescent="0.25">
      <c r="A110" s="35">
        <v>2024</v>
      </c>
      <c r="B110" s="35">
        <v>171855</v>
      </c>
      <c r="C110" s="33" t="str">
        <f>VLOOKUP(B110,procv!$A$2:$D$142,4,FALSE)</f>
        <v>Bico do Papagaio</v>
      </c>
      <c r="D110" s="33" t="s">
        <v>113</v>
      </c>
      <c r="E110" s="17">
        <v>75</v>
      </c>
      <c r="F110" s="36">
        <f>IFERROR(E110/$Q110,0)</f>
        <v>0.13786764705882354</v>
      </c>
      <c r="G110" s="17">
        <v>1</v>
      </c>
      <c r="H110" s="36">
        <f>IFERROR(G110/$R110,0)</f>
        <v>0.25</v>
      </c>
      <c r="I110" s="17">
        <v>226</v>
      </c>
      <c r="J110" s="36">
        <f>IFERROR(I110/$Q110,0)</f>
        <v>0.41544117647058826</v>
      </c>
      <c r="K110" s="17">
        <v>3</v>
      </c>
      <c r="L110" s="36">
        <f>IFERROR(K110/$R110,0)</f>
        <v>0.75</v>
      </c>
      <c r="M110" s="17">
        <v>243</v>
      </c>
      <c r="N110" s="36">
        <f>IFERROR(M110/$Q110,0)</f>
        <v>0.44669117647058826</v>
      </c>
      <c r="O110" s="17">
        <v>0</v>
      </c>
      <c r="P110" s="36">
        <f>IFERROR(O110/$R110,0)</f>
        <v>0</v>
      </c>
      <c r="Q110" s="17">
        <v>544</v>
      </c>
      <c r="R110" s="17">
        <v>4</v>
      </c>
    </row>
    <row r="111" spans="1:18" ht="15.75" customHeight="1" x14ac:dyDescent="0.25">
      <c r="A111" s="35">
        <v>2024</v>
      </c>
      <c r="B111" s="35">
        <v>171865</v>
      </c>
      <c r="C111" s="33" t="str">
        <f>VLOOKUP(B111,procv!$A$2:$D$142,4,FALSE)</f>
        <v>Sudeste</v>
      </c>
      <c r="D111" s="33" t="s">
        <v>114</v>
      </c>
      <c r="E111" s="17">
        <v>44</v>
      </c>
      <c r="F111" s="36">
        <f>IFERROR(E111/$Q111,0)</f>
        <v>0.18884120171673821</v>
      </c>
      <c r="G111" s="17">
        <v>0</v>
      </c>
      <c r="H111" s="36">
        <f>IFERROR(G111/$R111,0)</f>
        <v>0</v>
      </c>
      <c r="I111" s="17">
        <v>85</v>
      </c>
      <c r="J111" s="36">
        <f>IFERROR(I111/$Q111,0)</f>
        <v>0.36480686695278969</v>
      </c>
      <c r="K111" s="17">
        <v>0</v>
      </c>
      <c r="L111" s="36">
        <f>IFERROR(K111/$R111,0)</f>
        <v>0</v>
      </c>
      <c r="M111" s="17">
        <v>104</v>
      </c>
      <c r="N111" s="36">
        <f>IFERROR(M111/$Q111,0)</f>
        <v>0.44635193133047213</v>
      </c>
      <c r="O111" s="17">
        <v>1</v>
      </c>
      <c r="P111" s="36">
        <f>IFERROR(O111/$R111,0)</f>
        <v>1</v>
      </c>
      <c r="Q111" s="17">
        <v>233</v>
      </c>
      <c r="R111" s="17">
        <v>1</v>
      </c>
    </row>
    <row r="112" spans="1:18" ht="15.75" customHeight="1" x14ac:dyDescent="0.25">
      <c r="A112" s="35">
        <v>2024</v>
      </c>
      <c r="B112" s="35">
        <v>171870</v>
      </c>
      <c r="C112" s="33" t="str">
        <f>VLOOKUP(B112,procv!$A$2:$D$142,4,FALSE)</f>
        <v>Capim Dourado</v>
      </c>
      <c r="D112" s="33" t="s">
        <v>115</v>
      </c>
      <c r="E112" s="17">
        <v>21</v>
      </c>
      <c r="F112" s="36">
        <f>IFERROR(E112/$Q112,0)</f>
        <v>8.3003952569169967E-2</v>
      </c>
      <c r="G112" s="17">
        <v>0</v>
      </c>
      <c r="H112" s="36">
        <f>IFERROR(G112/$R112,0)</f>
        <v>0</v>
      </c>
      <c r="I112" s="17">
        <v>94</v>
      </c>
      <c r="J112" s="36">
        <f>IFERROR(I112/$Q112,0)</f>
        <v>0.3715415019762846</v>
      </c>
      <c r="K112" s="17">
        <v>0</v>
      </c>
      <c r="L112" s="36">
        <f>IFERROR(K112/$R112,0)</f>
        <v>0</v>
      </c>
      <c r="M112" s="17">
        <v>138</v>
      </c>
      <c r="N112" s="36">
        <f>IFERROR(M112/$Q112,0)</f>
        <v>0.54545454545454541</v>
      </c>
      <c r="O112" s="17">
        <v>1</v>
      </c>
      <c r="P112" s="36">
        <f>IFERROR(O112/$R112,0)</f>
        <v>1</v>
      </c>
      <c r="Q112" s="17">
        <v>253</v>
      </c>
      <c r="R112" s="17">
        <v>1</v>
      </c>
    </row>
    <row r="113" spans="1:18" ht="15.75" customHeight="1" x14ac:dyDescent="0.25">
      <c r="A113" s="35">
        <v>2024</v>
      </c>
      <c r="B113" s="35">
        <v>171875</v>
      </c>
      <c r="C113" s="33" t="str">
        <f>VLOOKUP(B113,procv!$A$2:$D$142,4,FALSE)</f>
        <v>Capim Dourado</v>
      </c>
      <c r="D113" s="33" t="s">
        <v>116</v>
      </c>
      <c r="E113" s="17">
        <v>117</v>
      </c>
      <c r="F113" s="36">
        <f>IFERROR(E113/$Q113,0)</f>
        <v>0.17862595419847327</v>
      </c>
      <c r="G113" s="17">
        <v>2</v>
      </c>
      <c r="H113" s="36">
        <f>IFERROR(G113/$R113,0)</f>
        <v>0.33333333333333331</v>
      </c>
      <c r="I113" s="17">
        <v>257</v>
      </c>
      <c r="J113" s="36">
        <f>IFERROR(I113/$Q113,0)</f>
        <v>0.39236641221374047</v>
      </c>
      <c r="K113" s="17">
        <v>0</v>
      </c>
      <c r="L113" s="36">
        <f>IFERROR(K113/$R113,0)</f>
        <v>0</v>
      </c>
      <c r="M113" s="17">
        <v>281</v>
      </c>
      <c r="N113" s="36">
        <f>IFERROR(M113/$Q113,0)</f>
        <v>0.42900763358778626</v>
      </c>
      <c r="O113" s="17">
        <v>4</v>
      </c>
      <c r="P113" s="36">
        <f>IFERROR(O113/$R113,0)</f>
        <v>0.66666666666666663</v>
      </c>
      <c r="Q113" s="17">
        <v>655</v>
      </c>
      <c r="R113" s="17">
        <v>6</v>
      </c>
    </row>
    <row r="114" spans="1:18" ht="15.75" customHeight="1" x14ac:dyDescent="0.25">
      <c r="A114" s="35">
        <v>2024</v>
      </c>
      <c r="B114" s="35">
        <v>171880</v>
      </c>
      <c r="C114" s="33" t="str">
        <f>VLOOKUP(B114,procv!$A$2:$D$142,4,FALSE)</f>
        <v>Bico do Papagaio</v>
      </c>
      <c r="D114" s="33" t="s">
        <v>117</v>
      </c>
      <c r="E114" s="17">
        <v>49</v>
      </c>
      <c r="F114" s="36">
        <f>IFERROR(E114/$Q114,0)</f>
        <v>0.11556603773584906</v>
      </c>
      <c r="G114" s="17">
        <v>0</v>
      </c>
      <c r="H114" s="36">
        <f>IFERROR(G114/$R114,0)</f>
        <v>0</v>
      </c>
      <c r="I114" s="17">
        <v>168</v>
      </c>
      <c r="J114" s="36">
        <f>IFERROR(I114/$Q114,0)</f>
        <v>0.39622641509433965</v>
      </c>
      <c r="K114" s="17">
        <v>0</v>
      </c>
      <c r="L114" s="36">
        <f>IFERROR(K114/$R114,0)</f>
        <v>0</v>
      </c>
      <c r="M114" s="17">
        <v>207</v>
      </c>
      <c r="N114" s="36">
        <f>IFERROR(M114/$Q114,0)</f>
        <v>0.4882075471698113</v>
      </c>
      <c r="O114" s="17">
        <v>0</v>
      </c>
      <c r="P114" s="36">
        <f>IFERROR(O114/$R114,0)</f>
        <v>0</v>
      </c>
      <c r="Q114" s="17">
        <v>424</v>
      </c>
      <c r="R114" s="17">
        <v>0</v>
      </c>
    </row>
    <row r="115" spans="1:18" ht="15.75" customHeight="1" x14ac:dyDescent="0.25">
      <c r="A115" s="35">
        <v>2024</v>
      </c>
      <c r="B115" s="35">
        <v>171884</v>
      </c>
      <c r="C115" s="33" t="str">
        <f>VLOOKUP(B115,procv!$A$2:$D$142,4,FALSE)</f>
        <v>Ilha do Bananal</v>
      </c>
      <c r="D115" s="33" t="s">
        <v>118</v>
      </c>
      <c r="E115" s="17">
        <v>65</v>
      </c>
      <c r="F115" s="36">
        <f>IFERROR(E115/$Q115,0)</f>
        <v>0.14380530973451328</v>
      </c>
      <c r="G115" s="17">
        <v>0</v>
      </c>
      <c r="H115" s="36">
        <f>IFERROR(G115/$R115,0)</f>
        <v>0</v>
      </c>
      <c r="I115" s="17">
        <v>174</v>
      </c>
      <c r="J115" s="36">
        <f>IFERROR(I115/$Q115,0)</f>
        <v>0.38495575221238937</v>
      </c>
      <c r="K115" s="17">
        <v>0</v>
      </c>
      <c r="L115" s="36">
        <f>IFERROR(K115/$R115,0)</f>
        <v>0</v>
      </c>
      <c r="M115" s="17">
        <v>213</v>
      </c>
      <c r="N115" s="36">
        <f>IFERROR(M115/$Q115,0)</f>
        <v>0.47123893805309736</v>
      </c>
      <c r="O115" s="17">
        <v>1</v>
      </c>
      <c r="P115" s="36">
        <f>IFERROR(O115/$R115,0)</f>
        <v>1</v>
      </c>
      <c r="Q115" s="17">
        <v>452</v>
      </c>
      <c r="R115" s="17">
        <v>1</v>
      </c>
    </row>
    <row r="116" spans="1:18" ht="15.75" customHeight="1" x14ac:dyDescent="0.25">
      <c r="A116" s="35">
        <v>2024</v>
      </c>
      <c r="B116" s="35">
        <v>171886</v>
      </c>
      <c r="C116" s="33" t="str">
        <f>VLOOKUP(B116,procv!$A$2:$D$142,4,FALSE)</f>
        <v>Médio Norte Araguaia</v>
      </c>
      <c r="D116" s="33" t="s">
        <v>119</v>
      </c>
      <c r="E116" s="17">
        <v>100</v>
      </c>
      <c r="F116" s="36">
        <f>IFERROR(E116/$Q116,0)</f>
        <v>0.16556291390728478</v>
      </c>
      <c r="G116" s="17">
        <v>0</v>
      </c>
      <c r="H116" s="36">
        <f>IFERROR(G116/$R116,0)</f>
        <v>0</v>
      </c>
      <c r="I116" s="17">
        <v>215</v>
      </c>
      <c r="J116" s="36">
        <f>IFERROR(I116/$Q116,0)</f>
        <v>0.35596026490066224</v>
      </c>
      <c r="K116" s="17">
        <v>2</v>
      </c>
      <c r="L116" s="36">
        <f>IFERROR(K116/$R116,0)</f>
        <v>0.4</v>
      </c>
      <c r="M116" s="17">
        <v>289</v>
      </c>
      <c r="N116" s="36">
        <f>IFERROR(M116/$Q116,0)</f>
        <v>0.47847682119205298</v>
      </c>
      <c r="O116" s="17">
        <v>3</v>
      </c>
      <c r="P116" s="36">
        <f>IFERROR(O116/$R116,0)</f>
        <v>0.6</v>
      </c>
      <c r="Q116" s="17">
        <v>604</v>
      </c>
      <c r="R116" s="17">
        <v>5</v>
      </c>
    </row>
    <row r="117" spans="1:18" ht="15.75" customHeight="1" x14ac:dyDescent="0.25">
      <c r="A117" s="35">
        <v>2024</v>
      </c>
      <c r="B117" s="35">
        <v>171888</v>
      </c>
      <c r="C117" s="33" t="str">
        <f>VLOOKUP(B117,procv!$A$2:$D$142,4,FALSE)</f>
        <v>Cerrado Tocantins Araguaia</v>
      </c>
      <c r="D117" s="33" t="s">
        <v>120</v>
      </c>
      <c r="E117" s="17">
        <v>39</v>
      </c>
      <c r="F117" s="36">
        <f>IFERROR(E117/$Q117,0)</f>
        <v>0.1407942238267148</v>
      </c>
      <c r="G117" s="17">
        <v>2</v>
      </c>
      <c r="H117" s="36">
        <f>IFERROR(G117/$R117,0)</f>
        <v>1</v>
      </c>
      <c r="I117" s="17">
        <v>115</v>
      </c>
      <c r="J117" s="36">
        <f>IFERROR(I117/$Q117,0)</f>
        <v>0.41516245487364623</v>
      </c>
      <c r="K117" s="17">
        <v>0</v>
      </c>
      <c r="L117" s="36">
        <f>IFERROR(K117/$R117,0)</f>
        <v>0</v>
      </c>
      <c r="M117" s="17">
        <v>123</v>
      </c>
      <c r="N117" s="36">
        <f>IFERROR(M117/$Q117,0)</f>
        <v>0.44404332129963897</v>
      </c>
      <c r="O117" s="17">
        <v>0</v>
      </c>
      <c r="P117" s="36">
        <f>IFERROR(O117/$R117,0)</f>
        <v>0</v>
      </c>
      <c r="Q117" s="17">
        <v>277</v>
      </c>
      <c r="R117" s="17">
        <v>2</v>
      </c>
    </row>
    <row r="118" spans="1:18" ht="15.75" customHeight="1" x14ac:dyDescent="0.25">
      <c r="A118" s="35">
        <v>2024</v>
      </c>
      <c r="B118" s="35">
        <v>171889</v>
      </c>
      <c r="C118" s="33" t="str">
        <f>VLOOKUP(B118,procv!$A$2:$D$142,4,FALSE)</f>
        <v>Ilha do Bananal</v>
      </c>
      <c r="D118" s="33" t="s">
        <v>121</v>
      </c>
      <c r="E118" s="17">
        <v>28</v>
      </c>
      <c r="F118" s="36">
        <f>IFERROR(E118/$Q118,0)</f>
        <v>0.14507772020725387</v>
      </c>
      <c r="G118" s="17">
        <v>0</v>
      </c>
      <c r="H118" s="36">
        <f>IFERROR(G118/$R118,0)</f>
        <v>0</v>
      </c>
      <c r="I118" s="17">
        <v>98</v>
      </c>
      <c r="J118" s="36">
        <f>IFERROR(I118/$Q118,0)</f>
        <v>0.50777202072538863</v>
      </c>
      <c r="K118" s="17">
        <v>0</v>
      </c>
      <c r="L118" s="36">
        <f>IFERROR(K118/$R118,0)</f>
        <v>0</v>
      </c>
      <c r="M118" s="17">
        <v>67</v>
      </c>
      <c r="N118" s="36">
        <f>IFERROR(M118/$Q118,0)</f>
        <v>0.34715025906735753</v>
      </c>
      <c r="O118" s="17">
        <v>0</v>
      </c>
      <c r="P118" s="36">
        <f>IFERROR(O118/$R118,0)</f>
        <v>0</v>
      </c>
      <c r="Q118" s="17">
        <v>193</v>
      </c>
      <c r="R118" s="17">
        <v>0</v>
      </c>
    </row>
    <row r="119" spans="1:18" ht="15.75" customHeight="1" x14ac:dyDescent="0.25">
      <c r="A119" s="35">
        <v>2024</v>
      </c>
      <c r="B119" s="35">
        <v>171890</v>
      </c>
      <c r="C119" s="33" t="str">
        <f>VLOOKUP(B119,procv!$A$2:$D$142,4,FALSE)</f>
        <v>Amor Perfeito</v>
      </c>
      <c r="D119" s="33" t="s">
        <v>122</v>
      </c>
      <c r="E119" s="17">
        <v>87</v>
      </c>
      <c r="F119" s="36">
        <f>IFERROR(E119/$Q119,0)</f>
        <v>0.18277310924369747</v>
      </c>
      <c r="G119" s="17">
        <v>1</v>
      </c>
      <c r="H119" s="36">
        <f>IFERROR(G119/$R119,0)</f>
        <v>1</v>
      </c>
      <c r="I119" s="17">
        <v>186</v>
      </c>
      <c r="J119" s="36">
        <f>IFERROR(I119/$Q119,0)</f>
        <v>0.3907563025210084</v>
      </c>
      <c r="K119" s="17">
        <v>0</v>
      </c>
      <c r="L119" s="36">
        <f>IFERROR(K119/$R119,0)</f>
        <v>0</v>
      </c>
      <c r="M119" s="17">
        <v>203</v>
      </c>
      <c r="N119" s="36">
        <f>IFERROR(M119/$Q119,0)</f>
        <v>0.4264705882352941</v>
      </c>
      <c r="O119" s="17">
        <v>0</v>
      </c>
      <c r="P119" s="36">
        <f>IFERROR(O119/$R119,0)</f>
        <v>0</v>
      </c>
      <c r="Q119" s="17">
        <v>476</v>
      </c>
      <c r="R119" s="17">
        <v>1</v>
      </c>
    </row>
    <row r="120" spans="1:18" ht="15.75" customHeight="1" x14ac:dyDescent="0.25">
      <c r="A120" s="35">
        <v>2024</v>
      </c>
      <c r="B120" s="35">
        <v>171900</v>
      </c>
      <c r="C120" s="33" t="str">
        <f>VLOOKUP(B120,procv!$A$2:$D$142,4,FALSE)</f>
        <v>Capim Dourado</v>
      </c>
      <c r="D120" s="33" t="s">
        <v>123</v>
      </c>
      <c r="E120" s="17">
        <v>53</v>
      </c>
      <c r="F120" s="36">
        <f>IFERROR(E120/$Q120,0)</f>
        <v>0.14520547945205478</v>
      </c>
      <c r="G120" s="17">
        <v>0</v>
      </c>
      <c r="H120" s="36">
        <f>IFERROR(G120/$R120,0)</f>
        <v>0</v>
      </c>
      <c r="I120" s="17">
        <v>139</v>
      </c>
      <c r="J120" s="36">
        <f>IFERROR(I120/$Q120,0)</f>
        <v>0.38082191780821917</v>
      </c>
      <c r="K120" s="17">
        <v>0</v>
      </c>
      <c r="L120" s="36">
        <f>IFERROR(K120/$R120,0)</f>
        <v>0</v>
      </c>
      <c r="M120" s="17">
        <v>173</v>
      </c>
      <c r="N120" s="36">
        <f>IFERROR(M120/$Q120,0)</f>
        <v>0.47397260273972602</v>
      </c>
      <c r="O120" s="17">
        <v>0</v>
      </c>
      <c r="P120" s="36">
        <f>IFERROR(O120/$R120,0)</f>
        <v>0</v>
      </c>
      <c r="Q120" s="17">
        <v>365</v>
      </c>
      <c r="R120" s="17">
        <v>0</v>
      </c>
    </row>
    <row r="121" spans="1:18" ht="15.75" customHeight="1" x14ac:dyDescent="0.25">
      <c r="A121" s="35">
        <v>2024</v>
      </c>
      <c r="B121" s="35">
        <v>172000</v>
      </c>
      <c r="C121" s="33" t="str">
        <f>VLOOKUP(B121,procv!$A$2:$D$142,4,FALSE)</f>
        <v>Bico do Papagaio</v>
      </c>
      <c r="D121" s="33" t="s">
        <v>124</v>
      </c>
      <c r="E121" s="17">
        <v>43</v>
      </c>
      <c r="F121" s="36">
        <f>IFERROR(E121/$Q121,0)</f>
        <v>0.13782051282051283</v>
      </c>
      <c r="G121" s="17">
        <v>0</v>
      </c>
      <c r="H121" s="36">
        <f>IFERROR(G121/$R121,0)</f>
        <v>0</v>
      </c>
      <c r="I121" s="17">
        <v>134</v>
      </c>
      <c r="J121" s="36">
        <f>IFERROR(I121/$Q121,0)</f>
        <v>0.42948717948717946</v>
      </c>
      <c r="K121" s="17">
        <v>0</v>
      </c>
      <c r="L121" s="36">
        <f>IFERROR(K121/$R121,0)</f>
        <v>0</v>
      </c>
      <c r="M121" s="17">
        <v>135</v>
      </c>
      <c r="N121" s="36">
        <f>IFERROR(M121/$Q121,0)</f>
        <v>0.43269230769230771</v>
      </c>
      <c r="O121" s="17">
        <v>0</v>
      </c>
      <c r="P121" s="36">
        <f>IFERROR(O121/$R121,0)</f>
        <v>0</v>
      </c>
      <c r="Q121" s="17">
        <v>312</v>
      </c>
      <c r="R121" s="17">
        <v>0</v>
      </c>
    </row>
    <row r="122" spans="1:18" ht="15.75" customHeight="1" x14ac:dyDescent="0.25">
      <c r="A122" s="35">
        <v>2024</v>
      </c>
      <c r="B122" s="35">
        <v>172010</v>
      </c>
      <c r="C122" s="33" t="str">
        <f>VLOOKUP(B122,procv!$A$2:$D$142,4,FALSE)</f>
        <v>Bico do Papagaio</v>
      </c>
      <c r="D122" s="33" t="s">
        <v>125</v>
      </c>
      <c r="E122" s="17">
        <v>91</v>
      </c>
      <c r="F122" s="36">
        <f>IFERROR(E122/$Q122,0)</f>
        <v>0.15964912280701754</v>
      </c>
      <c r="G122" s="17">
        <v>0</v>
      </c>
      <c r="H122" s="36">
        <f>IFERROR(G122/$R122,0)</f>
        <v>0</v>
      </c>
      <c r="I122" s="17">
        <v>248</v>
      </c>
      <c r="J122" s="36">
        <f>IFERROR(I122/$Q122,0)</f>
        <v>0.43508771929824563</v>
      </c>
      <c r="K122" s="17">
        <v>1</v>
      </c>
      <c r="L122" s="36">
        <f>IFERROR(K122/$R122,0)</f>
        <v>0.25</v>
      </c>
      <c r="M122" s="17">
        <v>231</v>
      </c>
      <c r="N122" s="36">
        <f>IFERROR(M122/$Q122,0)</f>
        <v>0.40526315789473683</v>
      </c>
      <c r="O122" s="17">
        <v>3</v>
      </c>
      <c r="P122" s="36">
        <f>IFERROR(O122/$R122,0)</f>
        <v>0.75</v>
      </c>
      <c r="Q122" s="17">
        <v>570</v>
      </c>
      <c r="R122" s="17">
        <v>4</v>
      </c>
    </row>
    <row r="123" spans="1:18" ht="15.75" customHeight="1" x14ac:dyDescent="0.25">
      <c r="A123" s="35">
        <v>2024</v>
      </c>
      <c r="B123" s="35">
        <v>172015</v>
      </c>
      <c r="C123" s="33" t="str">
        <f>VLOOKUP(B123,procv!$A$2:$D$142,4,FALSE)</f>
        <v>Capim Dourado</v>
      </c>
      <c r="D123" s="33" t="s">
        <v>126</v>
      </c>
      <c r="E123" s="17">
        <v>44</v>
      </c>
      <c r="F123" s="36">
        <f>IFERROR(E123/$Q123,0)</f>
        <v>0.2391304347826087</v>
      </c>
      <c r="G123" s="17">
        <v>0</v>
      </c>
      <c r="H123" s="36">
        <f>IFERROR(G123/$R123,0)</f>
        <v>0</v>
      </c>
      <c r="I123" s="17">
        <v>85</v>
      </c>
      <c r="J123" s="36">
        <f>IFERROR(I123/$Q123,0)</f>
        <v>0.46195652173913043</v>
      </c>
      <c r="K123" s="17">
        <v>0</v>
      </c>
      <c r="L123" s="36">
        <f>IFERROR(K123/$R123,0)</f>
        <v>0</v>
      </c>
      <c r="M123" s="17">
        <v>55</v>
      </c>
      <c r="N123" s="36">
        <f>IFERROR(M123/$Q123,0)</f>
        <v>0.29891304347826086</v>
      </c>
      <c r="O123" s="17">
        <v>1</v>
      </c>
      <c r="P123" s="36">
        <f>IFERROR(O123/$R123,0)</f>
        <v>1</v>
      </c>
      <c r="Q123" s="17">
        <v>184</v>
      </c>
      <c r="R123" s="17">
        <v>1</v>
      </c>
    </row>
    <row r="124" spans="1:18" ht="15.75" customHeight="1" x14ac:dyDescent="0.25">
      <c r="A124" s="35">
        <v>2024</v>
      </c>
      <c r="B124" s="35">
        <v>172020</v>
      </c>
      <c r="C124" s="33" t="str">
        <f>VLOOKUP(B124,procv!$A$2:$D$142,4,FALSE)</f>
        <v>Bico do Papagaio</v>
      </c>
      <c r="D124" s="33" t="s">
        <v>127</v>
      </c>
      <c r="E124" s="17">
        <v>208</v>
      </c>
      <c r="F124" s="36">
        <f>IFERROR(E124/$Q124,0)</f>
        <v>0.18909090909090909</v>
      </c>
      <c r="G124" s="17">
        <v>2</v>
      </c>
      <c r="H124" s="36">
        <f>IFERROR(G124/$R124,0)</f>
        <v>0.22222222222222221</v>
      </c>
      <c r="I124" s="17">
        <v>460</v>
      </c>
      <c r="J124" s="36">
        <f>IFERROR(I124/$Q124,0)</f>
        <v>0.41818181818181815</v>
      </c>
      <c r="K124" s="17">
        <v>2</v>
      </c>
      <c r="L124" s="36">
        <f>IFERROR(K124/$R124,0)</f>
        <v>0.22222222222222221</v>
      </c>
      <c r="M124" s="17">
        <v>432</v>
      </c>
      <c r="N124" s="36">
        <f>IFERROR(M124/$Q124,0)</f>
        <v>0.3927272727272727</v>
      </c>
      <c r="O124" s="17">
        <v>5</v>
      </c>
      <c r="P124" s="36">
        <f>IFERROR(O124/$R124,0)</f>
        <v>0.55555555555555558</v>
      </c>
      <c r="Q124" s="16">
        <v>1100</v>
      </c>
      <c r="R124" s="17">
        <v>9</v>
      </c>
    </row>
    <row r="125" spans="1:18" ht="15.75" customHeight="1" x14ac:dyDescent="0.25">
      <c r="A125" s="35">
        <v>2024</v>
      </c>
      <c r="B125" s="35">
        <v>172025</v>
      </c>
      <c r="C125" s="33" t="str">
        <f>VLOOKUP(B125,procv!$A$2:$D$142,4,FALSE)</f>
        <v>Ilha do Bananal</v>
      </c>
      <c r="D125" s="33" t="s">
        <v>128</v>
      </c>
      <c r="E125" s="17">
        <v>61</v>
      </c>
      <c r="F125" s="36">
        <f>IFERROR(E125/$Q125,0)</f>
        <v>0.18047337278106509</v>
      </c>
      <c r="G125" s="17">
        <v>0</v>
      </c>
      <c r="H125" s="36">
        <f>IFERROR(G125/$R125,0)</f>
        <v>0</v>
      </c>
      <c r="I125" s="17">
        <v>133</v>
      </c>
      <c r="J125" s="36">
        <f>IFERROR(I125/$Q125,0)</f>
        <v>0.39349112426035504</v>
      </c>
      <c r="K125" s="17">
        <v>1</v>
      </c>
      <c r="L125" s="36">
        <f>IFERROR(K125/$R125,0)</f>
        <v>0.25</v>
      </c>
      <c r="M125" s="17">
        <v>144</v>
      </c>
      <c r="N125" s="36">
        <f>IFERROR(M125/$Q125,0)</f>
        <v>0.42603550295857989</v>
      </c>
      <c r="O125" s="17">
        <v>3</v>
      </c>
      <c r="P125" s="36">
        <f>IFERROR(O125/$R125,0)</f>
        <v>0.75</v>
      </c>
      <c r="Q125" s="17">
        <v>338</v>
      </c>
      <c r="R125" s="17">
        <v>4</v>
      </c>
    </row>
    <row r="126" spans="1:18" ht="15.75" customHeight="1" x14ac:dyDescent="0.25">
      <c r="A126" s="35">
        <v>2024</v>
      </c>
      <c r="B126" s="35">
        <v>172030</v>
      </c>
      <c r="C126" s="33" t="str">
        <f>VLOOKUP(B126,procv!$A$2:$D$142,4,FALSE)</f>
        <v>Bico do Papagaio</v>
      </c>
      <c r="D126" s="33" t="s">
        <v>129</v>
      </c>
      <c r="E126" s="17">
        <v>18</v>
      </c>
      <c r="F126" s="36">
        <f>IFERROR(E126/$Q126,0)</f>
        <v>0.16822429906542055</v>
      </c>
      <c r="G126" s="17">
        <v>0</v>
      </c>
      <c r="H126" s="36">
        <f>IFERROR(G126/$R126,0)</f>
        <v>0</v>
      </c>
      <c r="I126" s="17">
        <v>43</v>
      </c>
      <c r="J126" s="36">
        <f>IFERROR(I126/$Q126,0)</f>
        <v>0.40186915887850466</v>
      </c>
      <c r="K126" s="17">
        <v>2</v>
      </c>
      <c r="L126" s="36">
        <f>IFERROR(K126/$R126,0)</f>
        <v>1</v>
      </c>
      <c r="M126" s="17">
        <v>46</v>
      </c>
      <c r="N126" s="36">
        <f>IFERROR(M126/$Q126,0)</f>
        <v>0.42990654205607476</v>
      </c>
      <c r="O126" s="17">
        <v>0</v>
      </c>
      <c r="P126" s="36">
        <f>IFERROR(O126/$R126,0)</f>
        <v>0</v>
      </c>
      <c r="Q126" s="17">
        <v>107</v>
      </c>
      <c r="R126" s="17">
        <v>2</v>
      </c>
    </row>
    <row r="127" spans="1:18" ht="15.75" customHeight="1" x14ac:dyDescent="0.25">
      <c r="A127" s="35">
        <v>2024</v>
      </c>
      <c r="B127" s="35">
        <v>172049</v>
      </c>
      <c r="C127" s="33" t="str">
        <f>VLOOKUP(B127,procv!$A$2:$D$142,4,FALSE)</f>
        <v>Ilha do Bananal</v>
      </c>
      <c r="D127" s="33" t="s">
        <v>130</v>
      </c>
      <c r="E127" s="17">
        <v>66</v>
      </c>
      <c r="F127" s="36">
        <f>IFERROR(E127/$Q127,0)</f>
        <v>0.12452830188679245</v>
      </c>
      <c r="G127" s="17">
        <v>0</v>
      </c>
      <c r="H127" s="36">
        <f>IFERROR(G127/$R127,0)</f>
        <v>0</v>
      </c>
      <c r="I127" s="17">
        <v>195</v>
      </c>
      <c r="J127" s="36">
        <f>IFERROR(I127/$Q127,0)</f>
        <v>0.36792452830188677</v>
      </c>
      <c r="K127" s="17">
        <v>0</v>
      </c>
      <c r="L127" s="36">
        <f>IFERROR(K127/$R127,0)</f>
        <v>0</v>
      </c>
      <c r="M127" s="17">
        <v>269</v>
      </c>
      <c r="N127" s="36">
        <f>IFERROR(M127/$Q127,0)</f>
        <v>0.50754716981132075</v>
      </c>
      <c r="O127" s="17">
        <v>1</v>
      </c>
      <c r="P127" s="36">
        <f>IFERROR(O127/$R127,0)</f>
        <v>1</v>
      </c>
      <c r="Q127" s="17">
        <v>530</v>
      </c>
      <c r="R127" s="17">
        <v>1</v>
      </c>
    </row>
    <row r="128" spans="1:18" ht="15.75" customHeight="1" x14ac:dyDescent="0.25">
      <c r="A128" s="35">
        <v>2024</v>
      </c>
      <c r="B128" s="35">
        <v>172065</v>
      </c>
      <c r="C128" s="33" t="str">
        <f>VLOOKUP(B128,procv!$A$2:$D$142,4,FALSE)</f>
        <v>Amor Perfeito</v>
      </c>
      <c r="D128" s="33" t="s">
        <v>131</v>
      </c>
      <c r="E128" s="17">
        <v>103</v>
      </c>
      <c r="F128" s="36">
        <f>IFERROR(E128/$Q128,0)</f>
        <v>0.17369308600337269</v>
      </c>
      <c r="G128" s="17">
        <v>1</v>
      </c>
      <c r="H128" s="36">
        <f>IFERROR(G128/$R128,0)</f>
        <v>0.25</v>
      </c>
      <c r="I128" s="17">
        <v>254</v>
      </c>
      <c r="J128" s="36">
        <f>IFERROR(I128/$Q128,0)</f>
        <v>0.42833052276559863</v>
      </c>
      <c r="K128" s="17">
        <v>1</v>
      </c>
      <c r="L128" s="36">
        <f>IFERROR(K128/$R128,0)</f>
        <v>0.25</v>
      </c>
      <c r="M128" s="17">
        <v>236</v>
      </c>
      <c r="N128" s="36">
        <f>IFERROR(M128/$Q128,0)</f>
        <v>0.39797639123102868</v>
      </c>
      <c r="O128" s="17">
        <v>2</v>
      </c>
      <c r="P128" s="36">
        <f>IFERROR(O128/$R128,0)</f>
        <v>0.5</v>
      </c>
      <c r="Q128" s="17">
        <v>593</v>
      </c>
      <c r="R128" s="17">
        <v>4</v>
      </c>
    </row>
    <row r="129" spans="1:18" ht="15.75" customHeight="1" x14ac:dyDescent="0.25">
      <c r="A129" s="35">
        <v>2024</v>
      </c>
      <c r="B129" s="35">
        <v>172080</v>
      </c>
      <c r="C129" s="33" t="str">
        <f>VLOOKUP(B129,procv!$A$2:$D$142,4,FALSE)</f>
        <v>Bico do Papagaio</v>
      </c>
      <c r="D129" s="33" t="s">
        <v>132</v>
      </c>
      <c r="E129" s="17">
        <v>247</v>
      </c>
      <c r="F129" s="36">
        <f>IFERROR(E129/$Q129,0)</f>
        <v>0.18697956093868282</v>
      </c>
      <c r="G129" s="17">
        <v>0</v>
      </c>
      <c r="H129" s="36">
        <f>IFERROR(G129/$R129,0)</f>
        <v>0</v>
      </c>
      <c r="I129" s="17">
        <v>557</v>
      </c>
      <c r="J129" s="36">
        <f>IFERROR(I129/$Q129,0)</f>
        <v>0.42165026495079483</v>
      </c>
      <c r="K129" s="17">
        <v>3</v>
      </c>
      <c r="L129" s="36">
        <f>IFERROR(K129/$R129,0)</f>
        <v>0.6</v>
      </c>
      <c r="M129" s="17">
        <v>517</v>
      </c>
      <c r="N129" s="36">
        <f>IFERROR(M129/$Q129,0)</f>
        <v>0.39137017411052233</v>
      </c>
      <c r="O129" s="17">
        <v>2</v>
      </c>
      <c r="P129" s="36">
        <f>IFERROR(O129/$R129,0)</f>
        <v>0.4</v>
      </c>
      <c r="Q129" s="16">
        <v>1321</v>
      </c>
      <c r="R129" s="17">
        <v>5</v>
      </c>
    </row>
    <row r="130" spans="1:18" ht="15.75" customHeight="1" x14ac:dyDescent="0.25">
      <c r="A130" s="35">
        <v>2024</v>
      </c>
      <c r="B130" s="35">
        <v>172085</v>
      </c>
      <c r="C130" s="33" t="str">
        <f>VLOOKUP(B130,procv!$A$2:$D$142,4,FALSE)</f>
        <v>Ilha do Bananal</v>
      </c>
      <c r="D130" s="33" t="s">
        <v>133</v>
      </c>
      <c r="E130" s="17">
        <v>37</v>
      </c>
      <c r="F130" s="36">
        <f>IFERROR(E130/$Q130,0)</f>
        <v>0.14919354838709678</v>
      </c>
      <c r="G130" s="17">
        <v>0</v>
      </c>
      <c r="H130" s="36">
        <f>IFERROR(G130/$R130,0)</f>
        <v>0</v>
      </c>
      <c r="I130" s="17">
        <v>86</v>
      </c>
      <c r="J130" s="36">
        <f>IFERROR(I130/$Q130,0)</f>
        <v>0.34677419354838712</v>
      </c>
      <c r="K130" s="17">
        <v>1</v>
      </c>
      <c r="L130" s="36">
        <f>IFERROR(K130/$R130,0)</f>
        <v>1</v>
      </c>
      <c r="M130" s="17">
        <v>125</v>
      </c>
      <c r="N130" s="36">
        <f>IFERROR(M130/$Q130,0)</f>
        <v>0.50403225806451613</v>
      </c>
      <c r="O130" s="17">
        <v>0</v>
      </c>
      <c r="P130" s="36">
        <f>IFERROR(O130/$R130,0)</f>
        <v>0</v>
      </c>
      <c r="Q130" s="17">
        <v>248</v>
      </c>
      <c r="R130" s="17">
        <v>1</v>
      </c>
    </row>
    <row r="131" spans="1:18" ht="15.75" customHeight="1" x14ac:dyDescent="0.25">
      <c r="A131" s="35">
        <v>2024</v>
      </c>
      <c r="B131" s="35">
        <v>170825</v>
      </c>
      <c r="C131" s="33" t="str">
        <f>VLOOKUP(B131,procv!$A$2:$D$142,4,FALSE)</f>
        <v>Capim Dourado</v>
      </c>
      <c r="D131" s="33" t="s">
        <v>134</v>
      </c>
      <c r="E131" s="17">
        <v>14</v>
      </c>
      <c r="F131" s="36">
        <f>IFERROR(E131/$Q131,0)</f>
        <v>0.16091954022988506</v>
      </c>
      <c r="G131" s="17">
        <v>0</v>
      </c>
      <c r="H131" s="36">
        <f>IFERROR(G131/$R131,0)</f>
        <v>0</v>
      </c>
      <c r="I131" s="17">
        <v>32</v>
      </c>
      <c r="J131" s="36">
        <f>IFERROR(I131/$Q131,0)</f>
        <v>0.36781609195402298</v>
      </c>
      <c r="K131" s="17">
        <v>0</v>
      </c>
      <c r="L131" s="36">
        <f>IFERROR(K131/$R131,0)</f>
        <v>0</v>
      </c>
      <c r="M131" s="17">
        <v>41</v>
      </c>
      <c r="N131" s="36">
        <f>IFERROR(M131/$Q131,0)</f>
        <v>0.47126436781609193</v>
      </c>
      <c r="O131" s="17">
        <v>0</v>
      </c>
      <c r="P131" s="36">
        <f>IFERROR(O131/$R131,0)</f>
        <v>0</v>
      </c>
      <c r="Q131" s="17">
        <v>87</v>
      </c>
      <c r="R131" s="17">
        <v>0</v>
      </c>
    </row>
    <row r="132" spans="1:18" ht="15.75" customHeight="1" x14ac:dyDescent="0.25">
      <c r="A132" s="35">
        <v>2024</v>
      </c>
      <c r="B132" s="35">
        <v>172090</v>
      </c>
      <c r="C132" s="33" t="str">
        <f>VLOOKUP(B132,procv!$A$2:$D$142,4,FALSE)</f>
        <v>Sudeste</v>
      </c>
      <c r="D132" s="33" t="s">
        <v>135</v>
      </c>
      <c r="E132" s="17">
        <v>196</v>
      </c>
      <c r="F132" s="36">
        <f>IFERROR(E132/$Q132,0)</f>
        <v>0.17208077260755048</v>
      </c>
      <c r="G132" s="17">
        <v>1</v>
      </c>
      <c r="H132" s="36">
        <f>IFERROR(G132/$R132,0)</f>
        <v>0.1111111111111111</v>
      </c>
      <c r="I132" s="17">
        <v>479</v>
      </c>
      <c r="J132" s="36">
        <f>IFERROR(I132/$Q132,0)</f>
        <v>0.42054433713784023</v>
      </c>
      <c r="K132" s="17">
        <v>2</v>
      </c>
      <c r="L132" s="36">
        <f>IFERROR(K132/$R132,0)</f>
        <v>0.22222222222222221</v>
      </c>
      <c r="M132" s="17">
        <v>464</v>
      </c>
      <c r="N132" s="36">
        <f>IFERROR(M132/$Q132,0)</f>
        <v>0.40737489025460932</v>
      </c>
      <c r="O132" s="17">
        <v>6</v>
      </c>
      <c r="P132" s="36">
        <f>IFERROR(O132/$R132,0)</f>
        <v>0.66666666666666663</v>
      </c>
      <c r="Q132" s="16">
        <v>1139</v>
      </c>
      <c r="R132" s="17">
        <v>9</v>
      </c>
    </row>
    <row r="133" spans="1:18" ht="15.75" customHeight="1" x14ac:dyDescent="0.25">
      <c r="A133" s="35">
        <v>2024</v>
      </c>
      <c r="B133" s="35">
        <v>172093</v>
      </c>
      <c r="C133" s="33" t="str">
        <f>VLOOKUP(B133,procv!$A$2:$D$142,4,FALSE)</f>
        <v>Sudeste</v>
      </c>
      <c r="D133" s="33" t="s">
        <v>136</v>
      </c>
      <c r="E133" s="17">
        <v>25</v>
      </c>
      <c r="F133" s="36">
        <f>IFERROR(E133/$Q133,0)</f>
        <v>0.17985611510791366</v>
      </c>
      <c r="G133" s="17">
        <v>0</v>
      </c>
      <c r="H133" s="36">
        <f>IFERROR(G133/$R133,0)</f>
        <v>0</v>
      </c>
      <c r="I133" s="17">
        <v>57</v>
      </c>
      <c r="J133" s="36">
        <f>IFERROR(I133/$Q133,0)</f>
        <v>0.41007194244604317</v>
      </c>
      <c r="K133" s="17">
        <v>0</v>
      </c>
      <c r="L133" s="36">
        <f>IFERROR(K133/$R133,0)</f>
        <v>0</v>
      </c>
      <c r="M133" s="17">
        <v>57</v>
      </c>
      <c r="N133" s="36">
        <f>IFERROR(M133/$Q133,0)</f>
        <v>0.41007194244604317</v>
      </c>
      <c r="O133" s="17">
        <v>0</v>
      </c>
      <c r="P133" s="36">
        <f>IFERROR(O133/$R133,0)</f>
        <v>0</v>
      </c>
      <c r="Q133" s="17">
        <v>139</v>
      </c>
      <c r="R133" s="17">
        <v>0</v>
      </c>
    </row>
    <row r="134" spans="1:18" ht="15.75" customHeight="1" x14ac:dyDescent="0.25">
      <c r="A134" s="35">
        <v>2024</v>
      </c>
      <c r="B134" s="35">
        <v>172097</v>
      </c>
      <c r="C134" s="33" t="str">
        <f>VLOOKUP(B134,procv!$A$2:$D$142,4,FALSE)</f>
        <v>Ilha do Bananal</v>
      </c>
      <c r="D134" s="33" t="s">
        <v>137</v>
      </c>
      <c r="E134" s="17">
        <v>48</v>
      </c>
      <c r="F134" s="36">
        <f>IFERROR(E134/$Q134,0)</f>
        <v>0.1702127659574468</v>
      </c>
      <c r="G134" s="17">
        <v>0</v>
      </c>
      <c r="H134" s="36">
        <f>IFERROR(G134/$R134,0)</f>
        <v>0</v>
      </c>
      <c r="I134" s="17">
        <v>95</v>
      </c>
      <c r="J134" s="36">
        <f>IFERROR(I134/$Q134,0)</f>
        <v>0.33687943262411346</v>
      </c>
      <c r="K134" s="17">
        <v>0</v>
      </c>
      <c r="L134" s="36">
        <f>IFERROR(K134/$R134,0)</f>
        <v>0</v>
      </c>
      <c r="M134" s="17">
        <v>139</v>
      </c>
      <c r="N134" s="36">
        <f>IFERROR(M134/$Q134,0)</f>
        <v>0.49290780141843971</v>
      </c>
      <c r="O134" s="17">
        <v>1</v>
      </c>
      <c r="P134" s="36">
        <f>IFERROR(O134/$R134,0)</f>
        <v>1</v>
      </c>
      <c r="Q134" s="17">
        <v>282</v>
      </c>
      <c r="R134" s="17">
        <v>1</v>
      </c>
    </row>
    <row r="135" spans="1:18" ht="15.75" customHeight="1" x14ac:dyDescent="0.25">
      <c r="A135" s="35">
        <v>2024</v>
      </c>
      <c r="B135" s="35">
        <v>172110</v>
      </c>
      <c r="C135" s="33" t="str">
        <f>VLOOKUP(B135,procv!$A$2:$D$142,4,FALSE)</f>
        <v>Capim Dourado</v>
      </c>
      <c r="D135" s="33" t="s">
        <v>138</v>
      </c>
      <c r="E135" s="17">
        <v>60</v>
      </c>
      <c r="F135" s="36">
        <f>IFERROR(E135/$Q135,0)</f>
        <v>0.15189873417721519</v>
      </c>
      <c r="G135" s="17">
        <v>2</v>
      </c>
      <c r="H135" s="36">
        <f>IFERROR(G135/$R135,0)</f>
        <v>0.2857142857142857</v>
      </c>
      <c r="I135" s="17">
        <v>167</v>
      </c>
      <c r="J135" s="36">
        <f>IFERROR(I135/$Q135,0)</f>
        <v>0.42278481012658226</v>
      </c>
      <c r="K135" s="17">
        <v>1</v>
      </c>
      <c r="L135" s="36">
        <f>IFERROR(K135/$R135,0)</f>
        <v>0.14285714285714285</v>
      </c>
      <c r="M135" s="17">
        <v>168</v>
      </c>
      <c r="N135" s="36">
        <f>IFERROR(M135/$Q135,0)</f>
        <v>0.42531645569620252</v>
      </c>
      <c r="O135" s="17">
        <v>4</v>
      </c>
      <c r="P135" s="36">
        <f>IFERROR(O135/$R135,0)</f>
        <v>0.5714285714285714</v>
      </c>
      <c r="Q135" s="17">
        <v>395</v>
      </c>
      <c r="R135" s="17">
        <v>7</v>
      </c>
    </row>
    <row r="136" spans="1:18" ht="15.75" customHeight="1" x14ac:dyDescent="0.25">
      <c r="A136" s="35">
        <v>2024</v>
      </c>
      <c r="B136" s="35">
        <v>172120</v>
      </c>
      <c r="C136" s="33" t="str">
        <f>VLOOKUP(B136,procv!$A$2:$D$142,4,FALSE)</f>
        <v>Bico do Papagaio</v>
      </c>
      <c r="D136" s="33" t="s">
        <v>139</v>
      </c>
      <c r="E136" s="17">
        <v>184</v>
      </c>
      <c r="F136" s="36">
        <f>IFERROR(E136/$Q136,0)</f>
        <v>0.16819012797074953</v>
      </c>
      <c r="G136" s="17">
        <v>2</v>
      </c>
      <c r="H136" s="36">
        <f>IFERROR(G136/$R136,0)</f>
        <v>0.13333333333333333</v>
      </c>
      <c r="I136" s="17">
        <v>470</v>
      </c>
      <c r="J136" s="36">
        <f>IFERROR(I136/$Q136,0)</f>
        <v>0.42961608775137111</v>
      </c>
      <c r="K136" s="17">
        <v>8</v>
      </c>
      <c r="L136" s="36">
        <f>IFERROR(K136/$R136,0)</f>
        <v>0.53333333333333333</v>
      </c>
      <c r="M136" s="17">
        <v>440</v>
      </c>
      <c r="N136" s="36">
        <f>IFERROR(M136/$Q136,0)</f>
        <v>0.40219378427787933</v>
      </c>
      <c r="O136" s="17">
        <v>5</v>
      </c>
      <c r="P136" s="36">
        <f>IFERROR(O136/$R136,0)</f>
        <v>0.33333333333333331</v>
      </c>
      <c r="Q136" s="16">
        <v>1094</v>
      </c>
      <c r="R136" s="17">
        <v>15</v>
      </c>
    </row>
    <row r="137" spans="1:18" ht="15.75" customHeight="1" x14ac:dyDescent="0.25">
      <c r="A137" s="35">
        <v>2024</v>
      </c>
      <c r="B137" s="35">
        <v>172125</v>
      </c>
      <c r="C137" s="33" t="str">
        <f>VLOOKUP(B137,procv!$A$2:$D$142,4,FALSE)</f>
        <v>Cerrado Tocantins Araguaia</v>
      </c>
      <c r="D137" s="33" t="s">
        <v>140</v>
      </c>
      <c r="E137" s="17">
        <v>36</v>
      </c>
      <c r="F137" s="36">
        <f>IFERROR(E137/$Q137,0)</f>
        <v>0.18274111675126903</v>
      </c>
      <c r="G137" s="17">
        <v>2</v>
      </c>
      <c r="H137" s="36">
        <f>IFERROR(G137/$R137,0)</f>
        <v>1</v>
      </c>
      <c r="I137" s="17">
        <v>78</v>
      </c>
      <c r="J137" s="36">
        <f>IFERROR(I137/$Q137,0)</f>
        <v>0.39593908629441626</v>
      </c>
      <c r="K137" s="17">
        <v>0</v>
      </c>
      <c r="L137" s="36">
        <f>IFERROR(K137/$R137,0)</f>
        <v>0</v>
      </c>
      <c r="M137" s="17">
        <v>83</v>
      </c>
      <c r="N137" s="36">
        <f>IFERROR(M137/$Q137,0)</f>
        <v>0.42131979695431471</v>
      </c>
      <c r="O137" s="17">
        <v>0</v>
      </c>
      <c r="P137" s="36">
        <f>IFERROR(O137/$R137,0)</f>
        <v>0</v>
      </c>
      <c r="Q137" s="17">
        <v>197</v>
      </c>
      <c r="R137" s="17">
        <v>2</v>
      </c>
    </row>
    <row r="138" spans="1:18" ht="15.75" customHeight="1" x14ac:dyDescent="0.25">
      <c r="A138" s="35">
        <v>2024</v>
      </c>
      <c r="B138" s="35">
        <v>172130</v>
      </c>
      <c r="C138" s="33" t="str">
        <f>VLOOKUP(B138,procv!$A$2:$D$142,4,FALSE)</f>
        <v>Cerrado Tocantins Araguaia</v>
      </c>
      <c r="D138" s="33" t="s">
        <v>141</v>
      </c>
      <c r="E138" s="17">
        <v>34</v>
      </c>
      <c r="F138" s="36">
        <f>IFERROR(E138/$Q138,0)</f>
        <v>0.1471861471861472</v>
      </c>
      <c r="G138" s="17">
        <v>0</v>
      </c>
      <c r="H138" s="36">
        <f>IFERROR(G138/$R138,0)</f>
        <v>0</v>
      </c>
      <c r="I138" s="17">
        <v>102</v>
      </c>
      <c r="J138" s="36">
        <f>IFERROR(I138/$Q138,0)</f>
        <v>0.44155844155844154</v>
      </c>
      <c r="K138" s="17">
        <v>0</v>
      </c>
      <c r="L138" s="36">
        <f>IFERROR(K138/$R138,0)</f>
        <v>0</v>
      </c>
      <c r="M138" s="17">
        <v>95</v>
      </c>
      <c r="N138" s="36">
        <f>IFERROR(M138/$Q138,0)</f>
        <v>0.41125541125541126</v>
      </c>
      <c r="O138" s="17">
        <v>1</v>
      </c>
      <c r="P138" s="36">
        <f>IFERROR(O138/$R138,0)</f>
        <v>1</v>
      </c>
      <c r="Q138" s="17">
        <v>231</v>
      </c>
      <c r="R138" s="17">
        <v>1</v>
      </c>
    </row>
    <row r="139" spans="1:18" ht="15.75" customHeight="1" x14ac:dyDescent="0.25">
      <c r="A139" s="35">
        <v>2024</v>
      </c>
      <c r="B139" s="35">
        <v>172208</v>
      </c>
      <c r="C139" s="33" t="str">
        <f>VLOOKUP(B139,procv!$A$2:$D$142,4,FALSE)</f>
        <v>Médio Norte Araguaia</v>
      </c>
      <c r="D139" s="33" t="s">
        <v>142</v>
      </c>
      <c r="E139" s="17">
        <v>139</v>
      </c>
      <c r="F139" s="36">
        <f>IFERROR(E139/$Q139,0)</f>
        <v>0.17288557213930347</v>
      </c>
      <c r="G139" s="17">
        <v>0</v>
      </c>
      <c r="H139" s="36">
        <f>IFERROR(G139/$R139,0)</f>
        <v>0</v>
      </c>
      <c r="I139" s="17">
        <v>331</v>
      </c>
      <c r="J139" s="36">
        <f>IFERROR(I139/$Q139,0)</f>
        <v>0.4116915422885572</v>
      </c>
      <c r="K139" s="17">
        <v>3</v>
      </c>
      <c r="L139" s="36">
        <f>IFERROR(K139/$R139,0)</f>
        <v>0.75</v>
      </c>
      <c r="M139" s="17">
        <v>334</v>
      </c>
      <c r="N139" s="36">
        <f>IFERROR(M139/$Q139,0)</f>
        <v>0.4154228855721393</v>
      </c>
      <c r="O139" s="17">
        <v>1</v>
      </c>
      <c r="P139" s="36">
        <f>IFERROR(O139/$R139,0)</f>
        <v>0.25</v>
      </c>
      <c r="Q139" s="17">
        <v>804</v>
      </c>
      <c r="R139" s="17">
        <v>4</v>
      </c>
    </row>
    <row r="140" spans="1:18" ht="15.75" customHeight="1" x14ac:dyDescent="0.25">
      <c r="A140" s="35">
        <v>2024</v>
      </c>
      <c r="B140" s="35">
        <v>172210</v>
      </c>
      <c r="C140" s="33" t="str">
        <f>VLOOKUP(B140,procv!$A$2:$D$142,4,FALSE)</f>
        <v>Médio Norte Araguaia</v>
      </c>
      <c r="D140" s="33" t="s">
        <v>143</v>
      </c>
      <c r="E140" s="17">
        <v>137</v>
      </c>
      <c r="F140" s="36">
        <f>IFERROR(E140/$Q140,0)</f>
        <v>0.1446673706441394</v>
      </c>
      <c r="G140" s="17">
        <v>0</v>
      </c>
      <c r="H140" s="36">
        <f>IFERROR(G140/$R140,0)</f>
        <v>0</v>
      </c>
      <c r="I140" s="17">
        <v>350</v>
      </c>
      <c r="J140" s="36">
        <f>IFERROR(I140/$Q140,0)</f>
        <v>0.36958817317845827</v>
      </c>
      <c r="K140" s="17">
        <v>4</v>
      </c>
      <c r="L140" s="36">
        <f>IFERROR(K140/$R140,0)</f>
        <v>0.66666666666666663</v>
      </c>
      <c r="M140" s="17">
        <v>460</v>
      </c>
      <c r="N140" s="36">
        <f>IFERROR(M140/$Q140,0)</f>
        <v>0.48574445617740231</v>
      </c>
      <c r="O140" s="17">
        <v>2</v>
      </c>
      <c r="P140" s="36">
        <f>IFERROR(O140/$R140,0)</f>
        <v>0.33333333333333331</v>
      </c>
      <c r="Q140" s="17">
        <v>947</v>
      </c>
      <c r="R140" s="17">
        <v>6</v>
      </c>
    </row>
    <row r="141" spans="1:18" ht="15.75" customHeight="1" x14ac:dyDescent="0.25">
      <c r="A141" s="37">
        <v>2023</v>
      </c>
      <c r="B141" s="35">
        <v>170025</v>
      </c>
      <c r="C141" s="33" t="str">
        <f>VLOOKUP(B141,procv!$A$2:$D$142,4,FALSE)</f>
        <v>Cantão</v>
      </c>
      <c r="D141" s="33" t="s">
        <v>5</v>
      </c>
      <c r="E141" s="17">
        <v>42</v>
      </c>
      <c r="F141" s="36">
        <f>IFERROR(E141/$Q141,0)</f>
        <v>0.1206896551724138</v>
      </c>
      <c r="G141" s="17">
        <v>0</v>
      </c>
      <c r="H141" s="36">
        <f>IFERROR(G141/$R141,0)</f>
        <v>0</v>
      </c>
      <c r="I141" s="17">
        <v>158</v>
      </c>
      <c r="J141" s="36">
        <f>IFERROR(I141/$Q141,0)</f>
        <v>0.45402298850574713</v>
      </c>
      <c r="K141" s="17">
        <v>1</v>
      </c>
      <c r="L141" s="36">
        <f>IFERROR(K141/$R141,0)</f>
        <v>1</v>
      </c>
      <c r="M141" s="17">
        <v>148</v>
      </c>
      <c r="N141" s="36">
        <f>IFERROR(M141/$Q141,0)</f>
        <v>0.42528735632183906</v>
      </c>
      <c r="O141" s="17">
        <v>0</v>
      </c>
      <c r="P141" s="36">
        <f>IFERROR(O141/$R141,0)</f>
        <v>0</v>
      </c>
      <c r="Q141" s="17">
        <v>348</v>
      </c>
      <c r="R141" s="17">
        <v>1</v>
      </c>
    </row>
    <row r="142" spans="1:18" ht="15.75" customHeight="1" x14ac:dyDescent="0.25">
      <c r="A142" s="37">
        <v>2023</v>
      </c>
      <c r="B142" s="35">
        <v>170030</v>
      </c>
      <c r="C142" s="33" t="str">
        <f>VLOOKUP(B142,procv!$A$2:$D$142,4,FALSE)</f>
        <v>Bico do Papagaio</v>
      </c>
      <c r="D142" s="33" t="s">
        <v>6</v>
      </c>
      <c r="E142" s="17">
        <v>58</v>
      </c>
      <c r="F142" s="36">
        <f>IFERROR(E142/$Q142,0)</f>
        <v>0.16714697406340057</v>
      </c>
      <c r="G142" s="17">
        <v>0</v>
      </c>
      <c r="H142" s="36">
        <f>IFERROR(G142/$R142,0)</f>
        <v>0</v>
      </c>
      <c r="I142" s="17">
        <v>129</v>
      </c>
      <c r="J142" s="36">
        <f>IFERROR(I142/$Q142,0)</f>
        <v>0.37175792507204614</v>
      </c>
      <c r="K142" s="17">
        <v>1</v>
      </c>
      <c r="L142" s="36">
        <f>IFERROR(K142/$R142,0)</f>
        <v>0.5</v>
      </c>
      <c r="M142" s="17">
        <v>160</v>
      </c>
      <c r="N142" s="36">
        <f>IFERROR(M142/$Q142,0)</f>
        <v>0.4610951008645533</v>
      </c>
      <c r="O142" s="17">
        <v>1</v>
      </c>
      <c r="P142" s="36">
        <f>IFERROR(O142/$R142,0)</f>
        <v>0.5</v>
      </c>
      <c r="Q142" s="17">
        <v>347</v>
      </c>
      <c r="R142" s="17">
        <v>2</v>
      </c>
    </row>
    <row r="143" spans="1:18" ht="15.75" customHeight="1" x14ac:dyDescent="0.25">
      <c r="A143" s="37">
        <v>2023</v>
      </c>
      <c r="B143" s="35">
        <v>170035</v>
      </c>
      <c r="C143" s="33" t="str">
        <f>VLOOKUP(B143,procv!$A$2:$D$142,4,FALSE)</f>
        <v>Ilha do Bananal</v>
      </c>
      <c r="D143" s="33" t="s">
        <v>7</v>
      </c>
      <c r="E143" s="17">
        <v>111</v>
      </c>
      <c r="F143" s="36">
        <f>IFERROR(E143/$Q143,0)</f>
        <v>0.17024539877300612</v>
      </c>
      <c r="G143" s="17">
        <v>1</v>
      </c>
      <c r="H143" s="36">
        <f>IFERROR(G143/$R143,0)</f>
        <v>0.33333333333333331</v>
      </c>
      <c r="I143" s="17">
        <v>293</v>
      </c>
      <c r="J143" s="36">
        <f>IFERROR(I143/$Q143,0)</f>
        <v>0.44938650306748468</v>
      </c>
      <c r="K143" s="17">
        <v>0</v>
      </c>
      <c r="L143" s="36">
        <f>IFERROR(K143/$R143,0)</f>
        <v>0</v>
      </c>
      <c r="M143" s="17">
        <v>248</v>
      </c>
      <c r="N143" s="36">
        <f>IFERROR(M143/$Q143,0)</f>
        <v>0.38036809815950923</v>
      </c>
      <c r="O143" s="17">
        <v>2</v>
      </c>
      <c r="P143" s="36">
        <f>IFERROR(O143/$R143,0)</f>
        <v>0.66666666666666663</v>
      </c>
      <c r="Q143" s="17">
        <v>652</v>
      </c>
      <c r="R143" s="17">
        <v>3</v>
      </c>
    </row>
    <row r="144" spans="1:18" ht="15.75" customHeight="1" x14ac:dyDescent="0.25">
      <c r="A144" s="37">
        <v>2023</v>
      </c>
      <c r="B144" s="35">
        <v>170040</v>
      </c>
      <c r="C144" s="33" t="str">
        <f>VLOOKUP(B144,procv!$A$2:$D$142,4,FALSE)</f>
        <v>Sudeste</v>
      </c>
      <c r="D144" s="33" t="s">
        <v>8</v>
      </c>
      <c r="E144" s="17">
        <v>79</v>
      </c>
      <c r="F144" s="36">
        <f>IFERROR(E144/$Q144,0)</f>
        <v>0.16844349680170576</v>
      </c>
      <c r="G144" s="17">
        <v>0</v>
      </c>
      <c r="H144" s="36">
        <f>IFERROR(G144/$R144,0)</f>
        <v>0</v>
      </c>
      <c r="I144" s="17">
        <v>191</v>
      </c>
      <c r="J144" s="36">
        <f>IFERROR(I144/$Q144,0)</f>
        <v>0.40724946695095948</v>
      </c>
      <c r="K144" s="17">
        <v>2</v>
      </c>
      <c r="L144" s="36">
        <f>IFERROR(K144/$R144,0)</f>
        <v>0.5</v>
      </c>
      <c r="M144" s="17">
        <v>199</v>
      </c>
      <c r="N144" s="36">
        <f>IFERROR(M144/$Q144,0)</f>
        <v>0.42430703624733473</v>
      </c>
      <c r="O144" s="17">
        <v>2</v>
      </c>
      <c r="P144" s="36">
        <f>IFERROR(O144/$R144,0)</f>
        <v>0.5</v>
      </c>
      <c r="Q144" s="17">
        <v>469</v>
      </c>
      <c r="R144" s="17">
        <v>4</v>
      </c>
    </row>
    <row r="145" spans="1:18" ht="15.75" customHeight="1" x14ac:dyDescent="0.25">
      <c r="A145" s="37">
        <v>2023</v>
      </c>
      <c r="B145" s="35">
        <v>170070</v>
      </c>
      <c r="C145" s="33" t="str">
        <f>VLOOKUP(B145,procv!$A$2:$D$142,4,FALSE)</f>
        <v>Ilha do Bananal</v>
      </c>
      <c r="D145" s="33" t="s">
        <v>9</v>
      </c>
      <c r="E145" s="17">
        <v>116</v>
      </c>
      <c r="F145" s="36">
        <f>IFERROR(E145/$Q145,0)</f>
        <v>0.12172088142707241</v>
      </c>
      <c r="G145" s="17">
        <v>2</v>
      </c>
      <c r="H145" s="36">
        <f>IFERROR(G145/$R145,0)</f>
        <v>0.2</v>
      </c>
      <c r="I145" s="17">
        <v>404</v>
      </c>
      <c r="J145" s="36">
        <f>IFERROR(I145/$Q145,0)</f>
        <v>0.42392444910807975</v>
      </c>
      <c r="K145" s="17">
        <v>4</v>
      </c>
      <c r="L145" s="36">
        <f>IFERROR(K145/$R145,0)</f>
        <v>0.4</v>
      </c>
      <c r="M145" s="17">
        <v>433</v>
      </c>
      <c r="N145" s="36">
        <f>IFERROR(M145/$Q145,0)</f>
        <v>0.45435466946484787</v>
      </c>
      <c r="O145" s="17">
        <v>4</v>
      </c>
      <c r="P145" s="36">
        <f>IFERROR(O145/$R145,0)</f>
        <v>0.4</v>
      </c>
      <c r="Q145" s="17">
        <v>953</v>
      </c>
      <c r="R145" s="17">
        <v>10</v>
      </c>
    </row>
    <row r="146" spans="1:18" ht="15.75" customHeight="1" x14ac:dyDescent="0.25">
      <c r="A146" s="37">
        <v>2023</v>
      </c>
      <c r="B146" s="35">
        <v>170100</v>
      </c>
      <c r="C146" s="33" t="str">
        <f>VLOOKUP(B146,procv!$A$2:$D$142,4,FALSE)</f>
        <v>Bico do Papagaio</v>
      </c>
      <c r="D146" s="33" t="s">
        <v>10</v>
      </c>
      <c r="E146" s="17">
        <v>97</v>
      </c>
      <c r="F146" s="36">
        <f>IFERROR(E146/$Q146,0)</f>
        <v>0.14139941690962099</v>
      </c>
      <c r="G146" s="17">
        <v>1</v>
      </c>
      <c r="H146" s="36">
        <f>IFERROR(G146/$R146,0)</f>
        <v>0.25</v>
      </c>
      <c r="I146" s="17">
        <v>255</v>
      </c>
      <c r="J146" s="36">
        <f>IFERROR(I146/$Q146,0)</f>
        <v>0.3717201166180758</v>
      </c>
      <c r="K146" s="17">
        <v>2</v>
      </c>
      <c r="L146" s="36">
        <f>IFERROR(K146/$R146,0)</f>
        <v>0.5</v>
      </c>
      <c r="M146" s="17">
        <v>334</v>
      </c>
      <c r="N146" s="36">
        <f>IFERROR(M146/$Q146,0)</f>
        <v>0.48688046647230321</v>
      </c>
      <c r="O146" s="17">
        <v>1</v>
      </c>
      <c r="P146" s="36">
        <f>IFERROR(O146/$R146,0)</f>
        <v>0.25</v>
      </c>
      <c r="Q146" s="17">
        <v>686</v>
      </c>
      <c r="R146" s="17">
        <v>4</v>
      </c>
    </row>
    <row r="147" spans="1:18" ht="15.75" customHeight="1" x14ac:dyDescent="0.25">
      <c r="A147" s="37">
        <v>2023</v>
      </c>
      <c r="B147" s="35">
        <v>170105</v>
      </c>
      <c r="C147" s="33" t="str">
        <f>VLOOKUP(B147,procv!$A$2:$D$142,4,FALSE)</f>
        <v>Bico do Papagaio</v>
      </c>
      <c r="D147" s="33" t="s">
        <v>11</v>
      </c>
      <c r="E147" s="17">
        <v>39</v>
      </c>
      <c r="F147" s="36">
        <f>IFERROR(E147/$Q147,0)</f>
        <v>0.14130434782608695</v>
      </c>
      <c r="G147" s="17">
        <v>1</v>
      </c>
      <c r="H147" s="36">
        <f>IFERROR(G147/$R147,0)</f>
        <v>0.5</v>
      </c>
      <c r="I147" s="17">
        <v>134</v>
      </c>
      <c r="J147" s="36">
        <f>IFERROR(I147/$Q147,0)</f>
        <v>0.48550724637681159</v>
      </c>
      <c r="K147" s="17">
        <v>0</v>
      </c>
      <c r="L147" s="36">
        <f>IFERROR(K147/$R147,0)</f>
        <v>0</v>
      </c>
      <c r="M147" s="17">
        <v>103</v>
      </c>
      <c r="N147" s="36">
        <f>IFERROR(M147/$Q147,0)</f>
        <v>0.37318840579710144</v>
      </c>
      <c r="O147" s="17">
        <v>1</v>
      </c>
      <c r="P147" s="36">
        <f>IFERROR(O147/$R147,0)</f>
        <v>0.5</v>
      </c>
      <c r="Q147" s="17">
        <v>276</v>
      </c>
      <c r="R147" s="17">
        <v>2</v>
      </c>
    </row>
    <row r="148" spans="1:18" ht="15.75" customHeight="1" x14ac:dyDescent="0.25">
      <c r="A148" s="37">
        <v>2023</v>
      </c>
      <c r="B148" s="35">
        <v>170110</v>
      </c>
      <c r="C148" s="33" t="str">
        <f>VLOOKUP(B148,procv!$A$2:$D$142,4,FALSE)</f>
        <v>Capim Dourado</v>
      </c>
      <c r="D148" s="33" t="s">
        <v>12</v>
      </c>
      <c r="E148" s="17">
        <v>73</v>
      </c>
      <c r="F148" s="36">
        <f>IFERROR(E148/$Q148,0)</f>
        <v>0.15051546391752577</v>
      </c>
      <c r="G148" s="17">
        <v>0</v>
      </c>
      <c r="H148" s="36">
        <f>IFERROR(G148/$R148,0)</f>
        <v>0</v>
      </c>
      <c r="I148" s="17">
        <v>192</v>
      </c>
      <c r="J148" s="36">
        <f>IFERROR(I148/$Q148,0)</f>
        <v>0.3958762886597938</v>
      </c>
      <c r="K148" s="17">
        <v>0</v>
      </c>
      <c r="L148" s="36">
        <f>IFERROR(K148/$R148,0)</f>
        <v>0</v>
      </c>
      <c r="M148" s="17">
        <v>220</v>
      </c>
      <c r="N148" s="36">
        <f>IFERROR(M148/$Q148,0)</f>
        <v>0.45360824742268041</v>
      </c>
      <c r="O148" s="17">
        <v>1</v>
      </c>
      <c r="P148" s="36">
        <f>IFERROR(O148/$R148,0)</f>
        <v>1</v>
      </c>
      <c r="Q148" s="17">
        <v>485</v>
      </c>
      <c r="R148" s="17">
        <v>1</v>
      </c>
    </row>
    <row r="149" spans="1:18" ht="15.75" customHeight="1" x14ac:dyDescent="0.25">
      <c r="A149" s="37">
        <v>2023</v>
      </c>
      <c r="B149" s="35">
        <v>170130</v>
      </c>
      <c r="C149" s="33" t="str">
        <f>VLOOKUP(B149,procv!$A$2:$D$142,4,FALSE)</f>
        <v>Médio Norte Araguaia</v>
      </c>
      <c r="D149" s="33" t="s">
        <v>13</v>
      </c>
      <c r="E149" s="17">
        <v>77</v>
      </c>
      <c r="F149" s="36">
        <f>IFERROR(E149/$Q149,0)</f>
        <v>0.1233974358974359</v>
      </c>
      <c r="G149" s="17">
        <v>0</v>
      </c>
      <c r="H149" s="36">
        <f>IFERROR(G149/$R149,0)</f>
        <v>0</v>
      </c>
      <c r="I149" s="17">
        <v>250</v>
      </c>
      <c r="J149" s="36">
        <f>IFERROR(I149/$Q149,0)</f>
        <v>0.40064102564102566</v>
      </c>
      <c r="K149" s="17">
        <v>3</v>
      </c>
      <c r="L149" s="36">
        <f>IFERROR(K149/$R149,0)</f>
        <v>1</v>
      </c>
      <c r="M149" s="17">
        <v>297</v>
      </c>
      <c r="N149" s="36">
        <f>IFERROR(M149/$Q149,0)</f>
        <v>0.47596153846153844</v>
      </c>
      <c r="O149" s="17">
        <v>0</v>
      </c>
      <c r="P149" s="36">
        <f>IFERROR(O149/$R149,0)</f>
        <v>0</v>
      </c>
      <c r="Q149" s="17">
        <v>624</v>
      </c>
      <c r="R149" s="17">
        <v>3</v>
      </c>
    </row>
    <row r="150" spans="1:18" ht="15.75" customHeight="1" x14ac:dyDescent="0.25">
      <c r="A150" s="37">
        <v>2023</v>
      </c>
      <c r="B150" s="35">
        <v>170190</v>
      </c>
      <c r="C150" s="33" t="str">
        <f>VLOOKUP(B150,procv!$A$2:$D$142,4,FALSE)</f>
        <v>Cantão</v>
      </c>
      <c r="D150" s="33" t="s">
        <v>14</v>
      </c>
      <c r="E150" s="17">
        <v>77</v>
      </c>
      <c r="F150" s="36">
        <f>IFERROR(E150/$Q150,0)</f>
        <v>0.13095238095238096</v>
      </c>
      <c r="G150" s="17">
        <v>0</v>
      </c>
      <c r="H150" s="36">
        <f>IFERROR(G150/$R150,0)</f>
        <v>0</v>
      </c>
      <c r="I150" s="17">
        <v>220</v>
      </c>
      <c r="J150" s="36">
        <f>IFERROR(I150/$Q150,0)</f>
        <v>0.37414965986394561</v>
      </c>
      <c r="K150" s="17">
        <v>3</v>
      </c>
      <c r="L150" s="36">
        <f>IFERROR(K150/$R150,0)</f>
        <v>0.42857142857142855</v>
      </c>
      <c r="M150" s="17">
        <v>291</v>
      </c>
      <c r="N150" s="36">
        <f>IFERROR(M150/$Q150,0)</f>
        <v>0.49489795918367346</v>
      </c>
      <c r="O150" s="17">
        <v>4</v>
      </c>
      <c r="P150" s="36">
        <f>IFERROR(O150/$R150,0)</f>
        <v>0.5714285714285714</v>
      </c>
      <c r="Q150" s="17">
        <v>588</v>
      </c>
      <c r="R150" s="17">
        <v>7</v>
      </c>
    </row>
    <row r="151" spans="1:18" ht="15.75" customHeight="1" x14ac:dyDescent="0.25">
      <c r="A151" s="37">
        <v>2023</v>
      </c>
      <c r="B151" s="35">
        <v>170200</v>
      </c>
      <c r="C151" s="33" t="str">
        <f>VLOOKUP(B151,procv!$A$2:$D$142,4,FALSE)</f>
        <v>Ilha do Bananal</v>
      </c>
      <c r="D151" s="33" t="s">
        <v>15</v>
      </c>
      <c r="E151" s="17">
        <v>125</v>
      </c>
      <c r="F151" s="36">
        <f>IFERROR(E151/$Q151,0)</f>
        <v>0.12278978388998035</v>
      </c>
      <c r="G151" s="17">
        <v>0</v>
      </c>
      <c r="H151" s="36">
        <f>IFERROR(G151/$R151,0)</f>
        <v>0</v>
      </c>
      <c r="I151" s="17">
        <v>365</v>
      </c>
      <c r="J151" s="36">
        <f>IFERROR(I151/$Q151,0)</f>
        <v>0.35854616895874264</v>
      </c>
      <c r="K151" s="17">
        <v>1</v>
      </c>
      <c r="L151" s="36">
        <f>IFERROR(K151/$R151,0)</f>
        <v>0.125</v>
      </c>
      <c r="M151" s="17">
        <v>528</v>
      </c>
      <c r="N151" s="36">
        <f>IFERROR(M151/$Q151,0)</f>
        <v>0.51866404715127701</v>
      </c>
      <c r="O151" s="17">
        <v>7</v>
      </c>
      <c r="P151" s="36">
        <f>IFERROR(O151/$R151,0)</f>
        <v>0.875</v>
      </c>
      <c r="Q151" s="16">
        <v>1018</v>
      </c>
      <c r="R151" s="17">
        <v>8</v>
      </c>
    </row>
    <row r="152" spans="1:18" ht="15.75" customHeight="1" x14ac:dyDescent="0.25">
      <c r="A152" s="37">
        <v>2023</v>
      </c>
      <c r="B152" s="35">
        <v>170210</v>
      </c>
      <c r="C152" s="33" t="str">
        <f>VLOOKUP(B152,procv!$A$2:$D$142,4,FALSE)</f>
        <v>Médio Norte Araguaia</v>
      </c>
      <c r="D152" s="33" t="s">
        <v>16</v>
      </c>
      <c r="E152" s="16">
        <v>1180</v>
      </c>
      <c r="F152" s="36">
        <f>IFERROR(E152/$Q152,0)</f>
        <v>0.12345679012345678</v>
      </c>
      <c r="G152" s="17">
        <v>13</v>
      </c>
      <c r="H152" s="36">
        <f>IFERROR(G152/$R152,0)</f>
        <v>0.14942528735632185</v>
      </c>
      <c r="I152" s="16">
        <v>3601</v>
      </c>
      <c r="J152" s="36">
        <f>IFERROR(I152/$Q152,0)</f>
        <v>0.37675245867336266</v>
      </c>
      <c r="K152" s="17">
        <v>23</v>
      </c>
      <c r="L152" s="36">
        <f>IFERROR(K152/$R152,0)</f>
        <v>0.26436781609195403</v>
      </c>
      <c r="M152" s="16">
        <v>4777</v>
      </c>
      <c r="N152" s="36">
        <f>IFERROR(M152/$Q152,0)</f>
        <v>0.49979075120318056</v>
      </c>
      <c r="O152" s="17">
        <v>51</v>
      </c>
      <c r="P152" s="36">
        <f>IFERROR(O152/$R152,0)</f>
        <v>0.58620689655172409</v>
      </c>
      <c r="Q152" s="16">
        <v>9558</v>
      </c>
      <c r="R152" s="17">
        <v>87</v>
      </c>
    </row>
    <row r="153" spans="1:18" ht="15.75" customHeight="1" x14ac:dyDescent="0.25">
      <c r="A153" s="37">
        <v>2023</v>
      </c>
      <c r="B153" s="35">
        <v>170215</v>
      </c>
      <c r="C153" s="33" t="str">
        <f>VLOOKUP(B153,procv!$A$2:$D$142,4,FALSE)</f>
        <v>Médio Norte Araguaia</v>
      </c>
      <c r="D153" s="33" t="s">
        <v>17</v>
      </c>
      <c r="E153" s="17">
        <v>38</v>
      </c>
      <c r="F153" s="36">
        <f>IFERROR(E153/$Q153,0)</f>
        <v>0.12925170068027211</v>
      </c>
      <c r="G153" s="17">
        <v>2</v>
      </c>
      <c r="H153" s="36">
        <f>IFERROR(G153/$R153,0)</f>
        <v>0.5</v>
      </c>
      <c r="I153" s="17">
        <v>100</v>
      </c>
      <c r="J153" s="36">
        <f>IFERROR(I153/$Q153,0)</f>
        <v>0.3401360544217687</v>
      </c>
      <c r="K153" s="17">
        <v>1</v>
      </c>
      <c r="L153" s="36">
        <f>IFERROR(K153/$R153,0)</f>
        <v>0.25</v>
      </c>
      <c r="M153" s="17">
        <v>156</v>
      </c>
      <c r="N153" s="36">
        <f>IFERROR(M153/$Q153,0)</f>
        <v>0.53061224489795922</v>
      </c>
      <c r="O153" s="17">
        <v>1</v>
      </c>
      <c r="P153" s="36">
        <f>IFERROR(O153/$R153,0)</f>
        <v>0.25</v>
      </c>
      <c r="Q153" s="17">
        <v>294</v>
      </c>
      <c r="R153" s="17">
        <v>4</v>
      </c>
    </row>
    <row r="154" spans="1:18" ht="15.75" customHeight="1" x14ac:dyDescent="0.25">
      <c r="A154" s="37">
        <v>2023</v>
      </c>
      <c r="B154" s="35">
        <v>170220</v>
      </c>
      <c r="C154" s="33" t="str">
        <f>VLOOKUP(B154,procv!$A$2:$D$142,4,FALSE)</f>
        <v>Bico do Papagaio</v>
      </c>
      <c r="D154" s="33" t="s">
        <v>18</v>
      </c>
      <c r="E154" s="17">
        <v>410</v>
      </c>
      <c r="F154" s="36">
        <f>IFERROR(E154/$Q154,0)</f>
        <v>0.16984258492129245</v>
      </c>
      <c r="G154" s="17">
        <v>1</v>
      </c>
      <c r="H154" s="36">
        <f>IFERROR(G154/$R154,0)</f>
        <v>0.14285714285714285</v>
      </c>
      <c r="I154" s="16">
        <v>1049</v>
      </c>
      <c r="J154" s="36">
        <f>IFERROR(I154/$Q154,0)</f>
        <v>0.43454846727423363</v>
      </c>
      <c r="K154" s="17">
        <v>2</v>
      </c>
      <c r="L154" s="36">
        <f>IFERROR(K154/$R154,0)</f>
        <v>0.2857142857142857</v>
      </c>
      <c r="M154" s="17">
        <v>955</v>
      </c>
      <c r="N154" s="36">
        <f>IFERROR(M154/$Q154,0)</f>
        <v>0.39560894780447392</v>
      </c>
      <c r="O154" s="17">
        <v>4</v>
      </c>
      <c r="P154" s="36">
        <f>IFERROR(O154/$R154,0)</f>
        <v>0.5714285714285714</v>
      </c>
      <c r="Q154" s="16">
        <v>2414</v>
      </c>
      <c r="R154" s="17">
        <v>7</v>
      </c>
    </row>
    <row r="155" spans="1:18" ht="15.75" customHeight="1" x14ac:dyDescent="0.25">
      <c r="A155" s="37">
        <v>2023</v>
      </c>
      <c r="B155" s="35">
        <v>170230</v>
      </c>
      <c r="C155" s="33" t="str">
        <f>VLOOKUP(B155,procv!$A$2:$D$142,4,FALSE)</f>
        <v>Cerrado Tocantins Araguaia</v>
      </c>
      <c r="D155" s="33" t="s">
        <v>19</v>
      </c>
      <c r="E155" s="17">
        <v>23</v>
      </c>
      <c r="F155" s="36">
        <f>IFERROR(E155/$Q155,0)</f>
        <v>0.10550458715596331</v>
      </c>
      <c r="G155" s="17">
        <v>0</v>
      </c>
      <c r="H155" s="36">
        <f>IFERROR(G155/$R155,0)</f>
        <v>0</v>
      </c>
      <c r="I155" s="17">
        <v>88</v>
      </c>
      <c r="J155" s="36">
        <f>IFERROR(I155/$Q155,0)</f>
        <v>0.40366972477064222</v>
      </c>
      <c r="K155" s="17">
        <v>0</v>
      </c>
      <c r="L155" s="36">
        <f>IFERROR(K155/$R155,0)</f>
        <v>0</v>
      </c>
      <c r="M155" s="17">
        <v>107</v>
      </c>
      <c r="N155" s="36">
        <f>IFERROR(M155/$Q155,0)</f>
        <v>0.49082568807339449</v>
      </c>
      <c r="O155" s="17">
        <v>0</v>
      </c>
      <c r="P155" s="36">
        <f>IFERROR(O155/$R155,0)</f>
        <v>0</v>
      </c>
      <c r="Q155" s="17">
        <v>218</v>
      </c>
      <c r="R155" s="17">
        <v>0</v>
      </c>
    </row>
    <row r="156" spans="1:18" ht="15.75" customHeight="1" x14ac:dyDescent="0.25">
      <c r="A156" s="37">
        <v>2023</v>
      </c>
      <c r="B156" s="35">
        <v>170240</v>
      </c>
      <c r="C156" s="33" t="str">
        <f>VLOOKUP(B156,procv!$A$2:$D$142,4,FALSE)</f>
        <v>Sudeste</v>
      </c>
      <c r="D156" s="33" t="s">
        <v>20</v>
      </c>
      <c r="E156" s="17">
        <v>223</v>
      </c>
      <c r="F156" s="36">
        <f>IFERROR(E156/$Q156,0)</f>
        <v>0.22166998011928429</v>
      </c>
      <c r="G156" s="17">
        <v>1</v>
      </c>
      <c r="H156" s="36">
        <f>IFERROR(G156/$R156,0)</f>
        <v>0.33333333333333331</v>
      </c>
      <c r="I156" s="17">
        <v>452</v>
      </c>
      <c r="J156" s="36">
        <f>IFERROR(I156/$Q156,0)</f>
        <v>0.44930417495029823</v>
      </c>
      <c r="K156" s="17">
        <v>1</v>
      </c>
      <c r="L156" s="36">
        <f>IFERROR(K156/$R156,0)</f>
        <v>0.33333333333333331</v>
      </c>
      <c r="M156" s="17">
        <v>331</v>
      </c>
      <c r="N156" s="36">
        <f>IFERROR(M156/$Q156,0)</f>
        <v>0.32902584493041748</v>
      </c>
      <c r="O156" s="17">
        <v>1</v>
      </c>
      <c r="P156" s="36">
        <f>IFERROR(O156/$R156,0)</f>
        <v>0.33333333333333331</v>
      </c>
      <c r="Q156" s="16">
        <v>1006</v>
      </c>
      <c r="R156" s="17">
        <v>3</v>
      </c>
    </row>
    <row r="157" spans="1:18" ht="15.75" customHeight="1" x14ac:dyDescent="0.25">
      <c r="A157" s="37">
        <v>2023</v>
      </c>
      <c r="B157" s="35">
        <v>170255</v>
      </c>
      <c r="C157" s="33" t="str">
        <f>VLOOKUP(B157,procv!$A$2:$D$142,4,FALSE)</f>
        <v>Bico do Papagaio</v>
      </c>
      <c r="D157" s="33" t="s">
        <v>21</v>
      </c>
      <c r="E157" s="17">
        <v>173</v>
      </c>
      <c r="F157" s="36">
        <f>IFERROR(E157/$Q157,0)</f>
        <v>0.13066465256797583</v>
      </c>
      <c r="G157" s="17">
        <v>1</v>
      </c>
      <c r="H157" s="36">
        <f>IFERROR(G157/$R157,0)</f>
        <v>0.16666666666666666</v>
      </c>
      <c r="I157" s="17">
        <v>546</v>
      </c>
      <c r="J157" s="36">
        <f>IFERROR(I157/$Q157,0)</f>
        <v>0.41238670694864049</v>
      </c>
      <c r="K157" s="17">
        <v>1</v>
      </c>
      <c r="L157" s="36">
        <f>IFERROR(K157/$R157,0)</f>
        <v>0.16666666666666666</v>
      </c>
      <c r="M157" s="17">
        <v>605</v>
      </c>
      <c r="N157" s="36">
        <f>IFERROR(M157/$Q157,0)</f>
        <v>0.45694864048338368</v>
      </c>
      <c r="O157" s="17">
        <v>4</v>
      </c>
      <c r="P157" s="36">
        <f>IFERROR(O157/$R157,0)</f>
        <v>0.66666666666666663</v>
      </c>
      <c r="Q157" s="16">
        <v>1324</v>
      </c>
      <c r="R157" s="17">
        <v>6</v>
      </c>
    </row>
    <row r="158" spans="1:18" ht="15.75" customHeight="1" x14ac:dyDescent="0.25">
      <c r="A158" s="37">
        <v>2023</v>
      </c>
      <c r="B158" s="35">
        <v>170270</v>
      </c>
      <c r="C158" s="33" t="str">
        <f>VLOOKUP(B158,procv!$A$2:$D$142,4,FALSE)</f>
        <v>Sudeste</v>
      </c>
      <c r="D158" s="33" t="s">
        <v>22</v>
      </c>
      <c r="E158" s="17">
        <v>126</v>
      </c>
      <c r="F158" s="36">
        <f>IFERROR(E158/$Q158,0)</f>
        <v>0.2437137330754352</v>
      </c>
      <c r="G158" s="17">
        <v>0</v>
      </c>
      <c r="H158" s="36">
        <f>IFERROR(G158/$R158,0)</f>
        <v>0</v>
      </c>
      <c r="I158" s="17">
        <v>221</v>
      </c>
      <c r="J158" s="36">
        <f>IFERROR(I158/$Q158,0)</f>
        <v>0.42746615087040618</v>
      </c>
      <c r="K158" s="17">
        <v>1</v>
      </c>
      <c r="L158" s="36">
        <f>IFERROR(K158/$R158,0)</f>
        <v>0.2</v>
      </c>
      <c r="M158" s="17">
        <v>170</v>
      </c>
      <c r="N158" s="36">
        <f>IFERROR(M158/$Q158,0)</f>
        <v>0.32882011605415862</v>
      </c>
      <c r="O158" s="17">
        <v>4</v>
      </c>
      <c r="P158" s="36">
        <f>IFERROR(O158/$R158,0)</f>
        <v>0.8</v>
      </c>
      <c r="Q158" s="17">
        <v>517</v>
      </c>
      <c r="R158" s="17">
        <v>5</v>
      </c>
    </row>
    <row r="159" spans="1:18" ht="15.75" customHeight="1" x14ac:dyDescent="0.25">
      <c r="A159" s="37">
        <v>2023</v>
      </c>
      <c r="B159" s="35">
        <v>170290</v>
      </c>
      <c r="C159" s="33" t="str">
        <f>VLOOKUP(B159,procv!$A$2:$D$142,4,FALSE)</f>
        <v>Bico do Papagaio</v>
      </c>
      <c r="D159" s="33" t="s">
        <v>23</v>
      </c>
      <c r="E159" s="17">
        <v>26</v>
      </c>
      <c r="F159" s="36">
        <f>IFERROR(E159/$Q159,0)</f>
        <v>9.7744360902255634E-2</v>
      </c>
      <c r="G159" s="17">
        <v>2</v>
      </c>
      <c r="H159" s="36">
        <f>IFERROR(G159/$R159,0)</f>
        <v>0.2857142857142857</v>
      </c>
      <c r="I159" s="17">
        <v>114</v>
      </c>
      <c r="J159" s="36">
        <f>IFERROR(I159/$Q159,0)</f>
        <v>0.42857142857142855</v>
      </c>
      <c r="K159" s="17">
        <v>3</v>
      </c>
      <c r="L159" s="36">
        <f>IFERROR(K159/$R159,0)</f>
        <v>0.42857142857142855</v>
      </c>
      <c r="M159" s="17">
        <v>126</v>
      </c>
      <c r="N159" s="36">
        <f>IFERROR(M159/$Q159,0)</f>
        <v>0.47368421052631576</v>
      </c>
      <c r="O159" s="17">
        <v>2</v>
      </c>
      <c r="P159" s="36">
        <f>IFERROR(O159/$R159,0)</f>
        <v>0.2857142857142857</v>
      </c>
      <c r="Q159" s="17">
        <v>266</v>
      </c>
      <c r="R159" s="17">
        <v>7</v>
      </c>
    </row>
    <row r="160" spans="1:18" ht="15.75" customHeight="1" x14ac:dyDescent="0.25">
      <c r="A160" s="37">
        <v>2023</v>
      </c>
      <c r="B160" s="35">
        <v>170300</v>
      </c>
      <c r="C160" s="33" t="str">
        <f>VLOOKUP(B160,procv!$A$2:$D$142,4,FALSE)</f>
        <v>Médio Norte Araguaia</v>
      </c>
      <c r="D160" s="33" t="s">
        <v>24</v>
      </c>
      <c r="E160" s="17">
        <v>94</v>
      </c>
      <c r="F160" s="36">
        <f>IFERROR(E160/$Q160,0)</f>
        <v>0.14220877458396369</v>
      </c>
      <c r="G160" s="17">
        <v>0</v>
      </c>
      <c r="H160" s="36">
        <f>IFERROR(G160/$R160,0)</f>
        <v>0</v>
      </c>
      <c r="I160" s="17">
        <v>280</v>
      </c>
      <c r="J160" s="36">
        <f>IFERROR(I160/$Q160,0)</f>
        <v>0.42360060514372161</v>
      </c>
      <c r="K160" s="17">
        <v>1</v>
      </c>
      <c r="L160" s="36">
        <f>IFERROR(K160/$R160,0)</f>
        <v>0.25</v>
      </c>
      <c r="M160" s="17">
        <v>287</v>
      </c>
      <c r="N160" s="36">
        <f>IFERROR(M160/$Q160,0)</f>
        <v>0.4341906202723147</v>
      </c>
      <c r="O160" s="17">
        <v>3</v>
      </c>
      <c r="P160" s="36">
        <f>IFERROR(O160/$R160,0)</f>
        <v>0.75</v>
      </c>
      <c r="Q160" s="17">
        <v>661</v>
      </c>
      <c r="R160" s="17">
        <v>4</v>
      </c>
    </row>
    <row r="161" spans="1:18" ht="15.75" customHeight="1" x14ac:dyDescent="0.25">
      <c r="A161" s="37">
        <v>2023</v>
      </c>
      <c r="B161" s="35">
        <v>170305</v>
      </c>
      <c r="C161" s="33" t="str">
        <f>VLOOKUP(B161,procv!$A$2:$D$142,4,FALSE)</f>
        <v>Cerrado Tocantins Araguaia</v>
      </c>
      <c r="D161" s="33" t="s">
        <v>25</v>
      </c>
      <c r="E161" s="17">
        <v>45</v>
      </c>
      <c r="F161" s="36">
        <f>IFERROR(E161/$Q161,0)</f>
        <v>0.16245487364620939</v>
      </c>
      <c r="G161" s="17">
        <v>0</v>
      </c>
      <c r="H161" s="36">
        <f>IFERROR(G161/$R161,0)</f>
        <v>0</v>
      </c>
      <c r="I161" s="17">
        <v>104</v>
      </c>
      <c r="J161" s="36">
        <f>IFERROR(I161/$Q161,0)</f>
        <v>0.37545126353790614</v>
      </c>
      <c r="K161" s="17">
        <v>1</v>
      </c>
      <c r="L161" s="36">
        <f>IFERROR(K161/$R161,0)</f>
        <v>0.5</v>
      </c>
      <c r="M161" s="17">
        <v>128</v>
      </c>
      <c r="N161" s="36">
        <f>IFERROR(M161/$Q161,0)</f>
        <v>0.46209386281588449</v>
      </c>
      <c r="O161" s="17">
        <v>1</v>
      </c>
      <c r="P161" s="36">
        <f>IFERROR(O161/$R161,0)</f>
        <v>0.5</v>
      </c>
      <c r="Q161" s="17">
        <v>277</v>
      </c>
      <c r="R161" s="17">
        <v>2</v>
      </c>
    </row>
    <row r="162" spans="1:18" ht="15.75" customHeight="1" x14ac:dyDescent="0.25">
      <c r="A162" s="37">
        <v>2023</v>
      </c>
      <c r="B162" s="35">
        <v>170307</v>
      </c>
      <c r="C162" s="33" t="str">
        <f>VLOOKUP(B162,procv!$A$2:$D$142,4,FALSE)</f>
        <v>Médio Norte Araguaia</v>
      </c>
      <c r="D162" s="33" t="s">
        <v>26</v>
      </c>
      <c r="E162" s="17">
        <v>51</v>
      </c>
      <c r="F162" s="36">
        <f>IFERROR(E162/$Q162,0)</f>
        <v>0.13456464379947231</v>
      </c>
      <c r="G162" s="17">
        <v>0</v>
      </c>
      <c r="H162" s="36">
        <f>IFERROR(G162/$R162,0)</f>
        <v>0</v>
      </c>
      <c r="I162" s="17">
        <v>158</v>
      </c>
      <c r="J162" s="36">
        <f>IFERROR(I162/$Q162,0)</f>
        <v>0.41688654353562005</v>
      </c>
      <c r="K162" s="17">
        <v>0</v>
      </c>
      <c r="L162" s="36">
        <f>IFERROR(K162/$R162,0)</f>
        <v>0</v>
      </c>
      <c r="M162" s="17">
        <v>170</v>
      </c>
      <c r="N162" s="36">
        <f>IFERROR(M162/$Q162,0)</f>
        <v>0.44854881266490765</v>
      </c>
      <c r="O162" s="17">
        <v>1</v>
      </c>
      <c r="P162" s="36">
        <f>IFERROR(O162/$R162,0)</f>
        <v>1</v>
      </c>
      <c r="Q162" s="17">
        <v>379</v>
      </c>
      <c r="R162" s="17">
        <v>1</v>
      </c>
    </row>
    <row r="163" spans="1:18" ht="15.75" customHeight="1" x14ac:dyDescent="0.25">
      <c r="A163" s="37">
        <v>2023</v>
      </c>
      <c r="B163" s="35">
        <v>170310</v>
      </c>
      <c r="C163" s="33" t="str">
        <f>VLOOKUP(B163,procv!$A$2:$D$142,4,FALSE)</f>
        <v>Cantão</v>
      </c>
      <c r="D163" s="33" t="s">
        <v>27</v>
      </c>
      <c r="E163" s="17">
        <v>47</v>
      </c>
      <c r="F163" s="36">
        <f>IFERROR(E163/$Q163,0)</f>
        <v>0.10904872389791183</v>
      </c>
      <c r="G163" s="17">
        <v>0</v>
      </c>
      <c r="H163" s="36">
        <f>IFERROR(G163/$R163,0)</f>
        <v>0</v>
      </c>
      <c r="I163" s="17">
        <v>166</v>
      </c>
      <c r="J163" s="36">
        <f>IFERROR(I163/$Q163,0)</f>
        <v>0.38515081206496521</v>
      </c>
      <c r="K163" s="17">
        <v>2</v>
      </c>
      <c r="L163" s="36">
        <f>IFERROR(K163/$R163,0)</f>
        <v>1</v>
      </c>
      <c r="M163" s="17">
        <v>218</v>
      </c>
      <c r="N163" s="36">
        <f>IFERROR(M163/$Q163,0)</f>
        <v>0.50580046403712298</v>
      </c>
      <c r="O163" s="17">
        <v>0</v>
      </c>
      <c r="P163" s="36">
        <f>IFERROR(O163/$R163,0)</f>
        <v>0</v>
      </c>
      <c r="Q163" s="17">
        <v>431</v>
      </c>
      <c r="R163" s="17">
        <v>2</v>
      </c>
    </row>
    <row r="164" spans="1:18" ht="15.75" customHeight="1" x14ac:dyDescent="0.25">
      <c r="A164" s="37">
        <v>2023</v>
      </c>
      <c r="B164" s="35">
        <v>170320</v>
      </c>
      <c r="C164" s="33" t="str">
        <f>VLOOKUP(B164,procv!$A$2:$D$142,4,FALSE)</f>
        <v>Cerrado Tocantins Araguaia</v>
      </c>
      <c r="D164" s="33" t="s">
        <v>28</v>
      </c>
      <c r="E164" s="17">
        <v>25</v>
      </c>
      <c r="F164" s="36">
        <f>IFERROR(E164/$Q164,0)</f>
        <v>0.13661202185792351</v>
      </c>
      <c r="G164" s="17">
        <v>0</v>
      </c>
      <c r="H164" s="36">
        <f>IFERROR(G164/$R164,0)</f>
        <v>0</v>
      </c>
      <c r="I164" s="17">
        <v>55</v>
      </c>
      <c r="J164" s="36">
        <f>IFERROR(I164/$Q164,0)</f>
        <v>0.30054644808743169</v>
      </c>
      <c r="K164" s="17">
        <v>0</v>
      </c>
      <c r="L164" s="36">
        <f>IFERROR(K164/$R164,0)</f>
        <v>0</v>
      </c>
      <c r="M164" s="17">
        <v>103</v>
      </c>
      <c r="N164" s="36">
        <f>IFERROR(M164/$Q164,0)</f>
        <v>0.56284153005464477</v>
      </c>
      <c r="O164" s="17">
        <v>0</v>
      </c>
      <c r="P164" s="36">
        <f>IFERROR(O164/$R164,0)</f>
        <v>0</v>
      </c>
      <c r="Q164" s="17">
        <v>183</v>
      </c>
      <c r="R164" s="17">
        <v>0</v>
      </c>
    </row>
    <row r="165" spans="1:18" ht="15.75" customHeight="1" x14ac:dyDescent="0.25">
      <c r="A165" s="37">
        <v>2023</v>
      </c>
      <c r="B165" s="35">
        <v>170330</v>
      </c>
      <c r="C165" s="33" t="str">
        <f>VLOOKUP(B165,procv!$A$2:$D$142,4,FALSE)</f>
        <v>Cerrado Tocantins Araguaia</v>
      </c>
      <c r="D165" s="33" t="s">
        <v>29</v>
      </c>
      <c r="E165" s="17">
        <v>25</v>
      </c>
      <c r="F165" s="36">
        <f>IFERROR(E165/$Q165,0)</f>
        <v>0.1736111111111111</v>
      </c>
      <c r="G165" s="17">
        <v>0</v>
      </c>
      <c r="H165" s="36">
        <f>IFERROR(G165/$R165,0)</f>
        <v>0</v>
      </c>
      <c r="I165" s="17">
        <v>58</v>
      </c>
      <c r="J165" s="36">
        <f>IFERROR(I165/$Q165,0)</f>
        <v>0.40277777777777779</v>
      </c>
      <c r="K165" s="17">
        <v>0</v>
      </c>
      <c r="L165" s="36">
        <f>IFERROR(K165/$R165,0)</f>
        <v>0</v>
      </c>
      <c r="M165" s="17">
        <v>61</v>
      </c>
      <c r="N165" s="36">
        <f>IFERROR(M165/$Q165,0)</f>
        <v>0.4236111111111111</v>
      </c>
      <c r="O165" s="17">
        <v>3</v>
      </c>
      <c r="P165" s="36">
        <f>IFERROR(O165/$R165,0)</f>
        <v>1</v>
      </c>
      <c r="Q165" s="17">
        <v>144</v>
      </c>
      <c r="R165" s="17">
        <v>3</v>
      </c>
    </row>
    <row r="166" spans="1:18" ht="15.75" customHeight="1" x14ac:dyDescent="0.25">
      <c r="A166" s="37">
        <v>2023</v>
      </c>
      <c r="B166" s="35">
        <v>170360</v>
      </c>
      <c r="C166" s="33" t="str">
        <f>VLOOKUP(B166,procv!$A$2:$D$142,4,FALSE)</f>
        <v>Cerrado Tocantins Araguaia</v>
      </c>
      <c r="D166" s="33" t="s">
        <v>30</v>
      </c>
      <c r="E166" s="17">
        <v>31</v>
      </c>
      <c r="F166" s="36">
        <f>IFERROR(E166/$Q166,0)</f>
        <v>0.14351851851851852</v>
      </c>
      <c r="G166" s="17">
        <v>0</v>
      </c>
      <c r="H166" s="36">
        <f>IFERROR(G166/$R166,0)</f>
        <v>0</v>
      </c>
      <c r="I166" s="17">
        <v>92</v>
      </c>
      <c r="J166" s="36">
        <f>IFERROR(I166/$Q166,0)</f>
        <v>0.42592592592592593</v>
      </c>
      <c r="K166" s="17">
        <v>0</v>
      </c>
      <c r="L166" s="36">
        <f>IFERROR(K166/$R166,0)</f>
        <v>0</v>
      </c>
      <c r="M166" s="17">
        <v>93</v>
      </c>
      <c r="N166" s="36">
        <f>IFERROR(M166/$Q166,0)</f>
        <v>0.43055555555555558</v>
      </c>
      <c r="O166" s="17">
        <v>0</v>
      </c>
      <c r="P166" s="36">
        <f>IFERROR(O166/$R166,0)</f>
        <v>0</v>
      </c>
      <c r="Q166" s="17">
        <v>216</v>
      </c>
      <c r="R166" s="17">
        <v>0</v>
      </c>
    </row>
    <row r="167" spans="1:18" ht="15.75" customHeight="1" x14ac:dyDescent="0.25">
      <c r="A167" s="37">
        <v>2023</v>
      </c>
      <c r="B167" s="35">
        <v>170370</v>
      </c>
      <c r="C167" s="33" t="str">
        <f>VLOOKUP(B167,procv!$A$2:$D$142,4,FALSE)</f>
        <v>Amor Perfeito</v>
      </c>
      <c r="D167" s="33" t="s">
        <v>31</v>
      </c>
      <c r="E167" s="17">
        <v>65</v>
      </c>
      <c r="F167" s="36">
        <f>IFERROR(E167/$Q167,0)</f>
        <v>0.18840579710144928</v>
      </c>
      <c r="G167" s="17">
        <v>1</v>
      </c>
      <c r="H167" s="36">
        <f>IFERROR(G167/$R167,0)</f>
        <v>0.5</v>
      </c>
      <c r="I167" s="17">
        <v>144</v>
      </c>
      <c r="J167" s="36">
        <f>IFERROR(I167/$Q167,0)</f>
        <v>0.41739130434782606</v>
      </c>
      <c r="K167" s="17">
        <v>0</v>
      </c>
      <c r="L167" s="36">
        <f>IFERROR(K167/$R167,0)</f>
        <v>0</v>
      </c>
      <c r="M167" s="17">
        <v>136</v>
      </c>
      <c r="N167" s="36">
        <f>IFERROR(M167/$Q167,0)</f>
        <v>0.39420289855072466</v>
      </c>
      <c r="O167" s="17">
        <v>1</v>
      </c>
      <c r="P167" s="36">
        <f>IFERROR(O167/$R167,0)</f>
        <v>0.5</v>
      </c>
      <c r="Q167" s="17">
        <v>345</v>
      </c>
      <c r="R167" s="17">
        <v>2</v>
      </c>
    </row>
    <row r="168" spans="1:18" ht="15.75" customHeight="1" x14ac:dyDescent="0.25">
      <c r="A168" s="37">
        <v>2023</v>
      </c>
      <c r="B168" s="35">
        <v>170380</v>
      </c>
      <c r="C168" s="33" t="str">
        <f>VLOOKUP(B168,procv!$A$2:$D$142,4,FALSE)</f>
        <v>Bico do Papagaio</v>
      </c>
      <c r="D168" s="33" t="s">
        <v>32</v>
      </c>
      <c r="E168" s="17">
        <v>136</v>
      </c>
      <c r="F168" s="36">
        <f>IFERROR(E168/$Q168,0)</f>
        <v>0.1522956326987682</v>
      </c>
      <c r="G168" s="17">
        <v>0</v>
      </c>
      <c r="H168" s="36">
        <f>IFERROR(G168/$R168,0)</f>
        <v>0</v>
      </c>
      <c r="I168" s="17">
        <v>376</v>
      </c>
      <c r="J168" s="36">
        <f>IFERROR(I168/$Q168,0)</f>
        <v>0.42105263157894735</v>
      </c>
      <c r="K168" s="17">
        <v>0</v>
      </c>
      <c r="L168" s="36">
        <f>IFERROR(K168/$R168,0)</f>
        <v>0</v>
      </c>
      <c r="M168" s="17">
        <v>381</v>
      </c>
      <c r="N168" s="36">
        <f>IFERROR(M168/$Q168,0)</f>
        <v>0.42665173572228443</v>
      </c>
      <c r="O168" s="17">
        <v>1</v>
      </c>
      <c r="P168" s="36">
        <f>IFERROR(O168/$R168,0)</f>
        <v>1</v>
      </c>
      <c r="Q168" s="17">
        <v>893</v>
      </c>
      <c r="R168" s="17">
        <v>1</v>
      </c>
    </row>
    <row r="169" spans="1:18" ht="15.75" customHeight="1" x14ac:dyDescent="0.25">
      <c r="A169" s="37">
        <v>2023</v>
      </c>
      <c r="B169" s="35">
        <v>170382</v>
      </c>
      <c r="C169" s="33" t="str">
        <f>VLOOKUP(B169,procv!$A$2:$D$142,4,FALSE)</f>
        <v>Bico do Papagaio</v>
      </c>
      <c r="D169" s="33" t="s">
        <v>33</v>
      </c>
      <c r="E169" s="17">
        <v>35</v>
      </c>
      <c r="F169" s="36">
        <f>IFERROR(E169/$Q169,0)</f>
        <v>0.18817204301075269</v>
      </c>
      <c r="G169" s="17">
        <v>0</v>
      </c>
      <c r="H169" s="36">
        <f>IFERROR(G169/$R169,0)</f>
        <v>0</v>
      </c>
      <c r="I169" s="17">
        <v>75</v>
      </c>
      <c r="J169" s="36">
        <f>IFERROR(I169/$Q169,0)</f>
        <v>0.40322580645161288</v>
      </c>
      <c r="K169" s="17">
        <v>0</v>
      </c>
      <c r="L169" s="36">
        <f>IFERROR(K169/$R169,0)</f>
        <v>0</v>
      </c>
      <c r="M169" s="17">
        <v>76</v>
      </c>
      <c r="N169" s="36">
        <f>IFERROR(M169/$Q169,0)</f>
        <v>0.40860215053763443</v>
      </c>
      <c r="O169" s="17">
        <v>0</v>
      </c>
      <c r="P169" s="36">
        <f>IFERROR(O169/$R169,0)</f>
        <v>0</v>
      </c>
      <c r="Q169" s="17">
        <v>186</v>
      </c>
      <c r="R169" s="17">
        <v>0</v>
      </c>
    </row>
    <row r="170" spans="1:18" ht="15.75" customHeight="1" x14ac:dyDescent="0.25">
      <c r="A170" s="37">
        <v>2023</v>
      </c>
      <c r="B170" s="35">
        <v>170384</v>
      </c>
      <c r="C170" s="33" t="str">
        <f>VLOOKUP(B170,procv!$A$2:$D$142,4,FALSE)</f>
        <v>Médio Norte Araguaia</v>
      </c>
      <c r="D170" s="33" t="s">
        <v>34</v>
      </c>
      <c r="E170" s="17">
        <v>68</v>
      </c>
      <c r="F170" s="36">
        <f>IFERROR(E170/$Q170,0)</f>
        <v>0.15280898876404495</v>
      </c>
      <c r="G170" s="17">
        <v>1</v>
      </c>
      <c r="H170" s="36">
        <f>IFERROR(G170/$R170,0)</f>
        <v>0.33333333333333331</v>
      </c>
      <c r="I170" s="17">
        <v>192</v>
      </c>
      <c r="J170" s="36">
        <f>IFERROR(I170/$Q170,0)</f>
        <v>0.43146067415730338</v>
      </c>
      <c r="K170" s="17">
        <v>1</v>
      </c>
      <c r="L170" s="36">
        <f>IFERROR(K170/$R170,0)</f>
        <v>0.33333333333333331</v>
      </c>
      <c r="M170" s="17">
        <v>185</v>
      </c>
      <c r="N170" s="36">
        <f>IFERROR(M170/$Q170,0)</f>
        <v>0.4157303370786517</v>
      </c>
      <c r="O170" s="17">
        <v>1</v>
      </c>
      <c r="P170" s="36">
        <f>IFERROR(O170/$R170,0)</f>
        <v>0.33333333333333331</v>
      </c>
      <c r="Q170" s="17">
        <v>445</v>
      </c>
      <c r="R170" s="17">
        <v>3</v>
      </c>
    </row>
    <row r="171" spans="1:18" ht="15.75" customHeight="1" x14ac:dyDescent="0.25">
      <c r="A171" s="37">
        <v>2023</v>
      </c>
      <c r="B171" s="35">
        <v>170386</v>
      </c>
      <c r="C171" s="33" t="str">
        <f>VLOOKUP(B171,procv!$A$2:$D$142,4,FALSE)</f>
        <v>Ilha do Bananal</v>
      </c>
      <c r="D171" s="33" t="s">
        <v>35</v>
      </c>
      <c r="E171" s="17">
        <v>70</v>
      </c>
      <c r="F171" s="36">
        <f>IFERROR(E171/$Q171,0)</f>
        <v>0.15317286652078774</v>
      </c>
      <c r="G171" s="17">
        <v>1</v>
      </c>
      <c r="H171" s="36">
        <f>IFERROR(G171/$R171,0)</f>
        <v>0.25</v>
      </c>
      <c r="I171" s="17">
        <v>175</v>
      </c>
      <c r="J171" s="36">
        <f>IFERROR(I171/$Q171,0)</f>
        <v>0.38293216630196936</v>
      </c>
      <c r="K171" s="17">
        <v>2</v>
      </c>
      <c r="L171" s="36">
        <f>IFERROR(K171/$R171,0)</f>
        <v>0.5</v>
      </c>
      <c r="M171" s="17">
        <v>212</v>
      </c>
      <c r="N171" s="36">
        <f>IFERROR(M171/$Q171,0)</f>
        <v>0.46389496717724288</v>
      </c>
      <c r="O171" s="17">
        <v>1</v>
      </c>
      <c r="P171" s="36">
        <f>IFERROR(O171/$R171,0)</f>
        <v>0.25</v>
      </c>
      <c r="Q171" s="17">
        <v>457</v>
      </c>
      <c r="R171" s="17">
        <v>4</v>
      </c>
    </row>
    <row r="172" spans="1:18" ht="15.75" customHeight="1" x14ac:dyDescent="0.25">
      <c r="A172" s="37">
        <v>2023</v>
      </c>
      <c r="B172" s="35">
        <v>170388</v>
      </c>
      <c r="C172" s="33" t="str">
        <f>VLOOKUP(B172,procv!$A$2:$D$142,4,FALSE)</f>
        <v>Médio Norte Araguaia</v>
      </c>
      <c r="D172" s="33" t="s">
        <v>36</v>
      </c>
      <c r="E172" s="17">
        <v>37</v>
      </c>
      <c r="F172" s="36">
        <f>IFERROR(E172/$Q172,0)</f>
        <v>0.14919354838709678</v>
      </c>
      <c r="G172" s="17">
        <v>1</v>
      </c>
      <c r="H172" s="36">
        <f>IFERROR(G172/$R172,0)</f>
        <v>0.125</v>
      </c>
      <c r="I172" s="17">
        <v>92</v>
      </c>
      <c r="J172" s="36">
        <f>IFERROR(I172/$Q172,0)</f>
        <v>0.37096774193548387</v>
      </c>
      <c r="K172" s="17">
        <v>2</v>
      </c>
      <c r="L172" s="36">
        <f>IFERROR(K172/$R172,0)</f>
        <v>0.25</v>
      </c>
      <c r="M172" s="17">
        <v>119</v>
      </c>
      <c r="N172" s="36">
        <f>IFERROR(M172/$Q172,0)</f>
        <v>0.47983870967741937</v>
      </c>
      <c r="O172" s="17">
        <v>5</v>
      </c>
      <c r="P172" s="36">
        <f>IFERROR(O172/$R172,0)</f>
        <v>0.625</v>
      </c>
      <c r="Q172" s="17">
        <v>248</v>
      </c>
      <c r="R172" s="17">
        <v>8</v>
      </c>
    </row>
    <row r="173" spans="1:18" ht="15.75" customHeight="1" x14ac:dyDescent="0.25">
      <c r="A173" s="37">
        <v>2023</v>
      </c>
      <c r="B173" s="35">
        <v>170389</v>
      </c>
      <c r="C173" s="33" t="str">
        <f>VLOOKUP(B173,procv!$A$2:$D$142,4,FALSE)</f>
        <v>Bico do Papagaio</v>
      </c>
      <c r="D173" s="33" t="s">
        <v>37</v>
      </c>
      <c r="E173" s="17">
        <v>48</v>
      </c>
      <c r="F173" s="36">
        <f>IFERROR(E173/$Q173,0)</f>
        <v>0.16382252559726962</v>
      </c>
      <c r="G173" s="17">
        <v>0</v>
      </c>
      <c r="H173" s="36">
        <f>IFERROR(G173/$R173,0)</f>
        <v>0</v>
      </c>
      <c r="I173" s="17">
        <v>121</v>
      </c>
      <c r="J173" s="36">
        <f>IFERROR(I173/$Q173,0)</f>
        <v>0.41296928327645049</v>
      </c>
      <c r="K173" s="17">
        <v>1</v>
      </c>
      <c r="L173" s="36">
        <f>IFERROR(K173/$R173,0)</f>
        <v>1</v>
      </c>
      <c r="M173" s="17">
        <v>124</v>
      </c>
      <c r="N173" s="36">
        <f>IFERROR(M173/$Q173,0)</f>
        <v>0.42320819112627989</v>
      </c>
      <c r="O173" s="17">
        <v>0</v>
      </c>
      <c r="P173" s="36">
        <f>IFERROR(O173/$R173,0)</f>
        <v>0</v>
      </c>
      <c r="Q173" s="17">
        <v>293</v>
      </c>
      <c r="R173" s="17">
        <v>1</v>
      </c>
    </row>
    <row r="174" spans="1:18" ht="15.75" customHeight="1" x14ac:dyDescent="0.25">
      <c r="A174" s="37">
        <v>2023</v>
      </c>
      <c r="B174" s="35">
        <v>170390</v>
      </c>
      <c r="C174" s="33" t="str">
        <f>VLOOKUP(B174,procv!$A$2:$D$142,4,FALSE)</f>
        <v>Cantão</v>
      </c>
      <c r="D174" s="33" t="s">
        <v>38</v>
      </c>
      <c r="E174" s="17">
        <v>61</v>
      </c>
      <c r="F174" s="36">
        <f>IFERROR(E174/$Q174,0)</f>
        <v>0.14352941176470588</v>
      </c>
      <c r="G174" s="17">
        <v>0</v>
      </c>
      <c r="H174" s="36">
        <f>IFERROR(G174/$R174,0)</f>
        <v>0</v>
      </c>
      <c r="I174" s="17">
        <v>179</v>
      </c>
      <c r="J174" s="36">
        <f>IFERROR(I174/$Q174,0)</f>
        <v>0.42117647058823532</v>
      </c>
      <c r="K174" s="17">
        <v>0</v>
      </c>
      <c r="L174" s="36">
        <f>IFERROR(K174/$R174,0)</f>
        <v>0</v>
      </c>
      <c r="M174" s="17">
        <v>185</v>
      </c>
      <c r="N174" s="36">
        <f>IFERROR(M174/$Q174,0)</f>
        <v>0.43529411764705883</v>
      </c>
      <c r="O174" s="17">
        <v>0</v>
      </c>
      <c r="P174" s="36">
        <f>IFERROR(O174/$R174,0)</f>
        <v>0</v>
      </c>
      <c r="Q174" s="17">
        <v>425</v>
      </c>
      <c r="R174" s="17">
        <v>0</v>
      </c>
    </row>
    <row r="175" spans="1:18" ht="15.75" customHeight="1" x14ac:dyDescent="0.25">
      <c r="A175" s="37">
        <v>2023</v>
      </c>
      <c r="B175" s="35">
        <v>170410</v>
      </c>
      <c r="C175" s="33" t="str">
        <f>VLOOKUP(B175,procv!$A$2:$D$142,4,FALSE)</f>
        <v>Cerrado Tocantins Araguaia</v>
      </c>
      <c r="D175" s="33" t="s">
        <v>39</v>
      </c>
      <c r="E175" s="17">
        <v>16</v>
      </c>
      <c r="F175" s="36">
        <f>IFERROR(E175/$Q175,0)</f>
        <v>9.3023255813953487E-2</v>
      </c>
      <c r="G175" s="17">
        <v>0</v>
      </c>
      <c r="H175" s="36">
        <f>IFERROR(G175/$R175,0)</f>
        <v>0</v>
      </c>
      <c r="I175" s="17">
        <v>81</v>
      </c>
      <c r="J175" s="36">
        <f>IFERROR(I175/$Q175,0)</f>
        <v>0.47093023255813954</v>
      </c>
      <c r="K175" s="17">
        <v>0</v>
      </c>
      <c r="L175" s="36">
        <f>IFERROR(K175/$R175,0)</f>
        <v>0</v>
      </c>
      <c r="M175" s="17">
        <v>75</v>
      </c>
      <c r="N175" s="36">
        <f>IFERROR(M175/$Q175,0)</f>
        <v>0.43604651162790697</v>
      </c>
      <c r="O175" s="17">
        <v>0</v>
      </c>
      <c r="P175" s="36">
        <f>IFERROR(O175/$R175,0)</f>
        <v>0</v>
      </c>
      <c r="Q175" s="17">
        <v>172</v>
      </c>
      <c r="R175" s="17">
        <v>0</v>
      </c>
    </row>
    <row r="176" spans="1:18" ht="15.75" customHeight="1" x14ac:dyDescent="0.25">
      <c r="A176" s="37">
        <v>2023</v>
      </c>
      <c r="B176" s="35">
        <v>170510</v>
      </c>
      <c r="C176" s="33" t="str">
        <f>VLOOKUP(B176,procv!$A$2:$D$142,4,FALSE)</f>
        <v>Amor Perfeito</v>
      </c>
      <c r="D176" s="33" t="s">
        <v>40</v>
      </c>
      <c r="E176" s="17">
        <v>64</v>
      </c>
      <c r="F176" s="36">
        <f>IFERROR(E176/$Q176,0)</f>
        <v>0.19814241486068113</v>
      </c>
      <c r="G176" s="17">
        <v>0</v>
      </c>
      <c r="H176" s="36">
        <f>IFERROR(G176/$R176,0)</f>
        <v>0</v>
      </c>
      <c r="I176" s="17">
        <v>147</v>
      </c>
      <c r="J176" s="36">
        <f>IFERROR(I176/$Q176,0)</f>
        <v>0.45510835913312692</v>
      </c>
      <c r="K176" s="17">
        <v>1</v>
      </c>
      <c r="L176" s="36">
        <f>IFERROR(K176/$R176,0)</f>
        <v>0.5</v>
      </c>
      <c r="M176" s="17">
        <v>112</v>
      </c>
      <c r="N176" s="36">
        <f>IFERROR(M176/$Q176,0)</f>
        <v>0.34674922600619196</v>
      </c>
      <c r="O176" s="17">
        <v>1</v>
      </c>
      <c r="P176" s="36">
        <f>IFERROR(O176/$R176,0)</f>
        <v>0.5</v>
      </c>
      <c r="Q176" s="17">
        <v>323</v>
      </c>
      <c r="R176" s="17">
        <v>2</v>
      </c>
    </row>
    <row r="177" spans="1:18" ht="15.75" customHeight="1" x14ac:dyDescent="0.25">
      <c r="A177" s="37">
        <v>2023</v>
      </c>
      <c r="B177" s="35">
        <v>170460</v>
      </c>
      <c r="C177" s="33" t="str">
        <f>VLOOKUP(B177,procv!$A$2:$D$142,4,FALSE)</f>
        <v>Cantão</v>
      </c>
      <c r="D177" s="33" t="s">
        <v>41</v>
      </c>
      <c r="E177" s="17">
        <v>43</v>
      </c>
      <c r="F177" s="36">
        <f>IFERROR(E177/$Q177,0)</f>
        <v>0.16796875</v>
      </c>
      <c r="G177" s="17">
        <v>0</v>
      </c>
      <c r="H177" s="36">
        <f>IFERROR(G177/$R177,0)</f>
        <v>0</v>
      </c>
      <c r="I177" s="17">
        <v>115</v>
      </c>
      <c r="J177" s="36">
        <f>IFERROR(I177/$Q177,0)</f>
        <v>0.44921875</v>
      </c>
      <c r="K177" s="17">
        <v>1</v>
      </c>
      <c r="L177" s="36">
        <f>IFERROR(K177/$R177,0)</f>
        <v>1</v>
      </c>
      <c r="M177" s="17">
        <v>98</v>
      </c>
      <c r="N177" s="36">
        <f>IFERROR(M177/$Q177,0)</f>
        <v>0.3828125</v>
      </c>
      <c r="O177" s="17">
        <v>0</v>
      </c>
      <c r="P177" s="36">
        <f>IFERROR(O177/$R177,0)</f>
        <v>0</v>
      </c>
      <c r="Q177" s="17">
        <v>256</v>
      </c>
      <c r="R177" s="17">
        <v>1</v>
      </c>
    </row>
    <row r="178" spans="1:18" ht="15.75" customHeight="1" x14ac:dyDescent="0.25">
      <c r="A178" s="37">
        <v>2023</v>
      </c>
      <c r="B178" s="35">
        <v>170550</v>
      </c>
      <c r="C178" s="33" t="str">
        <f>VLOOKUP(B178,procv!$A$2:$D$142,4,FALSE)</f>
        <v>Cerrado Tocantins Araguaia</v>
      </c>
      <c r="D178" s="33" t="s">
        <v>42</v>
      </c>
      <c r="E178" s="17">
        <v>244</v>
      </c>
      <c r="F178" s="36">
        <f>IFERROR(E178/$Q178,0)</f>
        <v>0.1676975945017182</v>
      </c>
      <c r="G178" s="17">
        <v>3</v>
      </c>
      <c r="H178" s="36">
        <f>IFERROR(G178/$R178,0)</f>
        <v>0.375</v>
      </c>
      <c r="I178" s="17">
        <v>602</v>
      </c>
      <c r="J178" s="36">
        <f>IFERROR(I178/$Q178,0)</f>
        <v>0.41374570446735393</v>
      </c>
      <c r="K178" s="17">
        <v>2</v>
      </c>
      <c r="L178" s="36">
        <f>IFERROR(K178/$R178,0)</f>
        <v>0.25</v>
      </c>
      <c r="M178" s="17">
        <v>609</v>
      </c>
      <c r="N178" s="36">
        <f>IFERROR(M178/$Q178,0)</f>
        <v>0.41855670103092785</v>
      </c>
      <c r="O178" s="17">
        <v>3</v>
      </c>
      <c r="P178" s="36">
        <f>IFERROR(O178/$R178,0)</f>
        <v>0.375</v>
      </c>
      <c r="Q178" s="16">
        <v>1455</v>
      </c>
      <c r="R178" s="17">
        <v>8</v>
      </c>
    </row>
    <row r="179" spans="1:18" ht="15.75" customHeight="1" x14ac:dyDescent="0.25">
      <c r="A179" s="37">
        <v>2023</v>
      </c>
      <c r="B179" s="35">
        <v>171670</v>
      </c>
      <c r="C179" s="33" t="str">
        <f>VLOOKUP(B179,procv!$A$2:$D$142,4,FALSE)</f>
        <v>Cerrado Tocantins Araguaia</v>
      </c>
      <c r="D179" s="33" t="s">
        <v>43</v>
      </c>
      <c r="E179" s="17">
        <v>124</v>
      </c>
      <c r="F179" s="36">
        <f>IFERROR(E179/$Q179,0)</f>
        <v>0.16555407209612816</v>
      </c>
      <c r="G179" s="17">
        <v>1</v>
      </c>
      <c r="H179" s="36">
        <f>IFERROR(G179/$R179,0)</f>
        <v>0.125</v>
      </c>
      <c r="I179" s="17">
        <v>289</v>
      </c>
      <c r="J179" s="36">
        <f>IFERROR(I179/$Q179,0)</f>
        <v>0.38584779706275035</v>
      </c>
      <c r="K179" s="17">
        <v>1</v>
      </c>
      <c r="L179" s="36">
        <f>IFERROR(K179/$R179,0)</f>
        <v>0.125</v>
      </c>
      <c r="M179" s="17">
        <v>336</v>
      </c>
      <c r="N179" s="36">
        <f>IFERROR(M179/$Q179,0)</f>
        <v>0.44859813084112149</v>
      </c>
      <c r="O179" s="17">
        <v>6</v>
      </c>
      <c r="P179" s="36">
        <f>IFERROR(O179/$R179,0)</f>
        <v>0.75</v>
      </c>
      <c r="Q179" s="17">
        <v>749</v>
      </c>
      <c r="R179" s="17">
        <v>8</v>
      </c>
    </row>
    <row r="180" spans="1:18" ht="15.75" customHeight="1" x14ac:dyDescent="0.25">
      <c r="A180" s="37">
        <v>2023</v>
      </c>
      <c r="B180" s="35">
        <v>170555</v>
      </c>
      <c r="C180" s="33" t="str">
        <f>VLOOKUP(B180,procv!$A$2:$D$142,4,FALSE)</f>
        <v>Sudeste</v>
      </c>
      <c r="D180" s="33" t="s">
        <v>44</v>
      </c>
      <c r="E180" s="17">
        <v>82</v>
      </c>
      <c r="F180" s="36">
        <f>IFERROR(E180/$Q180,0)</f>
        <v>0.16400000000000001</v>
      </c>
      <c r="G180" s="17">
        <v>0</v>
      </c>
      <c r="H180" s="36">
        <f>IFERROR(G180/$R180,0)</f>
        <v>0</v>
      </c>
      <c r="I180" s="17">
        <v>183</v>
      </c>
      <c r="J180" s="36">
        <f>IFERROR(I180/$Q180,0)</f>
        <v>0.36599999999999999</v>
      </c>
      <c r="K180" s="17">
        <v>2</v>
      </c>
      <c r="L180" s="36">
        <f>IFERROR(K180/$R180,0)</f>
        <v>0.4</v>
      </c>
      <c r="M180" s="17">
        <v>235</v>
      </c>
      <c r="N180" s="36">
        <f>IFERROR(M180/$Q180,0)</f>
        <v>0.47</v>
      </c>
      <c r="O180" s="17">
        <v>3</v>
      </c>
      <c r="P180" s="36">
        <f>IFERROR(O180/$R180,0)</f>
        <v>0.6</v>
      </c>
      <c r="Q180" s="17">
        <v>500</v>
      </c>
      <c r="R180" s="17">
        <v>5</v>
      </c>
    </row>
    <row r="181" spans="1:18" ht="15.75" customHeight="1" x14ac:dyDescent="0.25">
      <c r="A181" s="37">
        <v>2023</v>
      </c>
      <c r="B181" s="35">
        <v>170560</v>
      </c>
      <c r="C181" s="33" t="str">
        <f>VLOOKUP(B181,procv!$A$2:$D$142,4,FALSE)</f>
        <v>Sudeste</v>
      </c>
      <c r="D181" s="33" t="s">
        <v>45</v>
      </c>
      <c r="E181" s="17">
        <v>105</v>
      </c>
      <c r="F181" s="36">
        <f>IFERROR(E181/$Q181,0)</f>
        <v>0.234375</v>
      </c>
      <c r="G181" s="17">
        <v>0</v>
      </c>
      <c r="H181" s="36">
        <f>IFERROR(G181/$R181,0)</f>
        <v>0</v>
      </c>
      <c r="I181" s="17">
        <v>173</v>
      </c>
      <c r="J181" s="36">
        <f>IFERROR(I181/$Q181,0)</f>
        <v>0.3861607142857143</v>
      </c>
      <c r="K181" s="17">
        <v>0</v>
      </c>
      <c r="L181" s="36">
        <f>IFERROR(K181/$R181,0)</f>
        <v>0</v>
      </c>
      <c r="M181" s="17">
        <v>170</v>
      </c>
      <c r="N181" s="36">
        <f>IFERROR(M181/$Q181,0)</f>
        <v>0.3794642857142857</v>
      </c>
      <c r="O181" s="17">
        <v>2</v>
      </c>
      <c r="P181" s="36">
        <f>IFERROR(O181/$R181,0)</f>
        <v>1</v>
      </c>
      <c r="Q181" s="17">
        <v>448</v>
      </c>
      <c r="R181" s="17">
        <v>2</v>
      </c>
    </row>
    <row r="182" spans="1:18" ht="15.75" customHeight="1" x14ac:dyDescent="0.25">
      <c r="A182" s="37">
        <v>2023</v>
      </c>
      <c r="B182" s="35">
        <v>170600</v>
      </c>
      <c r="C182" s="33" t="str">
        <f>VLOOKUP(B182,procv!$A$2:$D$142,4,FALSE)</f>
        <v>Cerrado Tocantins Araguaia</v>
      </c>
      <c r="D182" s="33" t="s">
        <v>46</v>
      </c>
      <c r="E182" s="17">
        <v>87</v>
      </c>
      <c r="F182" s="36">
        <f>IFERROR(E182/$Q182,0)</f>
        <v>0.15425531914893617</v>
      </c>
      <c r="G182" s="17">
        <v>0</v>
      </c>
      <c r="H182" s="36">
        <f>IFERROR(G182/$R182,0)</f>
        <v>0</v>
      </c>
      <c r="I182" s="17">
        <v>219</v>
      </c>
      <c r="J182" s="36">
        <f>IFERROR(I182/$Q182,0)</f>
        <v>0.38829787234042551</v>
      </c>
      <c r="K182" s="17">
        <v>3</v>
      </c>
      <c r="L182" s="36">
        <f>IFERROR(K182/$R182,0)</f>
        <v>0.5</v>
      </c>
      <c r="M182" s="17">
        <v>258</v>
      </c>
      <c r="N182" s="36">
        <f>IFERROR(M182/$Q182,0)</f>
        <v>0.45744680851063829</v>
      </c>
      <c r="O182" s="17">
        <v>3</v>
      </c>
      <c r="P182" s="36">
        <f>IFERROR(O182/$R182,0)</f>
        <v>0.5</v>
      </c>
      <c r="Q182" s="17">
        <v>564</v>
      </c>
      <c r="R182" s="17">
        <v>6</v>
      </c>
    </row>
    <row r="183" spans="1:18" ht="15.75" customHeight="1" x14ac:dyDescent="0.25">
      <c r="A183" s="37">
        <v>2023</v>
      </c>
      <c r="B183" s="35">
        <v>170610</v>
      </c>
      <c r="C183" s="33" t="str">
        <f>VLOOKUP(B183,procv!$A$2:$D$142,4,FALSE)</f>
        <v>Cantão</v>
      </c>
      <c r="D183" s="33" t="s">
        <v>47</v>
      </c>
      <c r="E183" s="17">
        <v>134</v>
      </c>
      <c r="F183" s="36">
        <f>IFERROR(E183/$Q183,0)</f>
        <v>0.16009557945041816</v>
      </c>
      <c r="G183" s="17">
        <v>0</v>
      </c>
      <c r="H183" s="36">
        <f>IFERROR(G183/$R183,0)</f>
        <v>0</v>
      </c>
      <c r="I183" s="17">
        <v>329</v>
      </c>
      <c r="J183" s="36">
        <f>IFERROR(I183/$Q183,0)</f>
        <v>0.3930704898446834</v>
      </c>
      <c r="K183" s="17">
        <v>3</v>
      </c>
      <c r="L183" s="36">
        <f>IFERROR(K183/$R183,0)</f>
        <v>0.5</v>
      </c>
      <c r="M183" s="17">
        <v>374</v>
      </c>
      <c r="N183" s="36">
        <f>IFERROR(M183/$Q183,0)</f>
        <v>0.44683393070489846</v>
      </c>
      <c r="O183" s="17">
        <v>3</v>
      </c>
      <c r="P183" s="36">
        <f>IFERROR(O183/$R183,0)</f>
        <v>0.5</v>
      </c>
      <c r="Q183" s="17">
        <v>837</v>
      </c>
      <c r="R183" s="17">
        <v>6</v>
      </c>
    </row>
    <row r="184" spans="1:18" ht="15.75" customHeight="1" x14ac:dyDescent="0.25">
      <c r="A184" s="37">
        <v>2023</v>
      </c>
      <c r="B184" s="35">
        <v>170625</v>
      </c>
      <c r="C184" s="33" t="str">
        <f>VLOOKUP(B184,procv!$A$2:$D$142,4,FALSE)</f>
        <v>Ilha do Bananal</v>
      </c>
      <c r="D184" s="33" t="s">
        <v>48</v>
      </c>
      <c r="E184" s="17">
        <v>26</v>
      </c>
      <c r="F184" s="36">
        <f>IFERROR(E184/$Q184,0)</f>
        <v>0.15294117647058825</v>
      </c>
      <c r="G184" s="17">
        <v>0</v>
      </c>
      <c r="H184" s="36">
        <f>IFERROR(G184/$R184,0)</f>
        <v>0</v>
      </c>
      <c r="I184" s="17">
        <v>64</v>
      </c>
      <c r="J184" s="36">
        <f>IFERROR(I184/$Q184,0)</f>
        <v>0.37647058823529411</v>
      </c>
      <c r="K184" s="17">
        <v>0</v>
      </c>
      <c r="L184" s="36">
        <f>IFERROR(K184/$R184,0)</f>
        <v>0</v>
      </c>
      <c r="M184" s="17">
        <v>80</v>
      </c>
      <c r="N184" s="36">
        <f>IFERROR(M184/$Q184,0)</f>
        <v>0.47058823529411764</v>
      </c>
      <c r="O184" s="17">
        <v>2</v>
      </c>
      <c r="P184" s="36">
        <f>IFERROR(O184/$R184,0)</f>
        <v>1</v>
      </c>
      <c r="Q184" s="17">
        <v>170</v>
      </c>
      <c r="R184" s="17">
        <v>2</v>
      </c>
    </row>
    <row r="185" spans="1:18" ht="15.75" customHeight="1" x14ac:dyDescent="0.25">
      <c r="A185" s="37">
        <v>2023</v>
      </c>
      <c r="B185" s="35">
        <v>170650</v>
      </c>
      <c r="C185" s="33" t="str">
        <f>VLOOKUP(B185,procv!$A$2:$D$142,4,FALSE)</f>
        <v>Médio Norte Araguaia</v>
      </c>
      <c r="D185" s="33" t="s">
        <v>49</v>
      </c>
      <c r="E185" s="17">
        <v>4</v>
      </c>
      <c r="F185" s="36">
        <f>IFERROR(E185/$Q185,0)</f>
        <v>8.5106382978723402E-2</v>
      </c>
      <c r="G185" s="17">
        <v>0</v>
      </c>
      <c r="H185" s="36">
        <f>IFERROR(G185/$R185,0)</f>
        <v>0</v>
      </c>
      <c r="I185" s="17">
        <v>25</v>
      </c>
      <c r="J185" s="36">
        <f>IFERROR(I185/$Q185,0)</f>
        <v>0.53191489361702127</v>
      </c>
      <c r="K185" s="17">
        <v>0</v>
      </c>
      <c r="L185" s="36">
        <f>IFERROR(K185/$R185,0)</f>
        <v>0</v>
      </c>
      <c r="M185" s="17">
        <v>18</v>
      </c>
      <c r="N185" s="36">
        <f>IFERROR(M185/$Q185,0)</f>
        <v>0.38297872340425532</v>
      </c>
      <c r="O185" s="17">
        <v>0</v>
      </c>
      <c r="P185" s="36">
        <f>IFERROR(O185/$R185,0)</f>
        <v>0</v>
      </c>
      <c r="Q185" s="17">
        <v>47</v>
      </c>
      <c r="R185" s="17">
        <v>0</v>
      </c>
    </row>
    <row r="186" spans="1:18" ht="15.75" customHeight="1" x14ac:dyDescent="0.25">
      <c r="A186" s="37">
        <v>2023</v>
      </c>
      <c r="B186" s="35">
        <v>170700</v>
      </c>
      <c r="C186" s="33" t="str">
        <f>VLOOKUP(B186,procv!$A$2:$D$142,4,FALSE)</f>
        <v>Sudeste</v>
      </c>
      <c r="D186" s="33" t="s">
        <v>50</v>
      </c>
      <c r="E186" s="17">
        <v>215</v>
      </c>
      <c r="F186" s="36">
        <f>IFERROR(E186/$Q186,0)</f>
        <v>0.18793706293706294</v>
      </c>
      <c r="G186" s="17">
        <v>0</v>
      </c>
      <c r="H186" s="36">
        <f>IFERROR(G186/$R186,0)</f>
        <v>0</v>
      </c>
      <c r="I186" s="17">
        <v>465</v>
      </c>
      <c r="J186" s="36">
        <f>IFERROR(I186/$Q186,0)</f>
        <v>0.40646853146853146</v>
      </c>
      <c r="K186" s="17">
        <v>5</v>
      </c>
      <c r="L186" s="36">
        <f>IFERROR(K186/$R186,0)</f>
        <v>0.625</v>
      </c>
      <c r="M186" s="17">
        <v>464</v>
      </c>
      <c r="N186" s="36">
        <f>IFERROR(M186/$Q186,0)</f>
        <v>0.40559440559440557</v>
      </c>
      <c r="O186" s="17">
        <v>3</v>
      </c>
      <c r="P186" s="36">
        <f>IFERROR(O186/$R186,0)</f>
        <v>0.375</v>
      </c>
      <c r="Q186" s="16">
        <v>1144</v>
      </c>
      <c r="R186" s="17">
        <v>8</v>
      </c>
    </row>
    <row r="187" spans="1:18" ht="15.75" customHeight="1" x14ac:dyDescent="0.25">
      <c r="A187" s="37">
        <v>2023</v>
      </c>
      <c r="B187" s="35">
        <v>170710</v>
      </c>
      <c r="C187" s="33" t="str">
        <f>VLOOKUP(B187,procv!$A$2:$D$142,4,FALSE)</f>
        <v>Cantão</v>
      </c>
      <c r="D187" s="33" t="s">
        <v>51</v>
      </c>
      <c r="E187" s="17">
        <v>96</v>
      </c>
      <c r="F187" s="36">
        <f>IFERROR(E187/$Q187,0)</f>
        <v>0.14014598540145987</v>
      </c>
      <c r="G187" s="17">
        <v>0</v>
      </c>
      <c r="H187" s="36">
        <f>IFERROR(G187/$R187,0)</f>
        <v>0</v>
      </c>
      <c r="I187" s="17">
        <v>267</v>
      </c>
      <c r="J187" s="36">
        <f>IFERROR(I187/$Q187,0)</f>
        <v>0.38978102189781022</v>
      </c>
      <c r="K187" s="17">
        <v>0</v>
      </c>
      <c r="L187" s="36">
        <f>IFERROR(K187/$R187,0)</f>
        <v>0</v>
      </c>
      <c r="M187" s="17">
        <v>322</v>
      </c>
      <c r="N187" s="36">
        <f>IFERROR(M187/$Q187,0)</f>
        <v>0.47007299270072994</v>
      </c>
      <c r="O187" s="17">
        <v>4</v>
      </c>
      <c r="P187" s="36">
        <f>IFERROR(O187/$R187,0)</f>
        <v>1</v>
      </c>
      <c r="Q187" s="17">
        <v>685</v>
      </c>
      <c r="R187" s="17">
        <v>4</v>
      </c>
    </row>
    <row r="188" spans="1:18" ht="15.75" customHeight="1" x14ac:dyDescent="0.25">
      <c r="A188" s="37">
        <v>2023</v>
      </c>
      <c r="B188" s="35">
        <v>170720</v>
      </c>
      <c r="C188" s="33" t="str">
        <f>VLOOKUP(B188,procv!$A$2:$D$142,4,FALSE)</f>
        <v>Cantão</v>
      </c>
      <c r="D188" s="33" t="s">
        <v>52</v>
      </c>
      <c r="E188" s="17">
        <v>8</v>
      </c>
      <c r="F188" s="36">
        <f>IFERROR(E188/$Q188,0)</f>
        <v>9.0909090909090912E-2</v>
      </c>
      <c r="G188" s="17">
        <v>1</v>
      </c>
      <c r="H188" s="36">
        <f>IFERROR(G188/$R188,0)</f>
        <v>0.16666666666666666</v>
      </c>
      <c r="I188" s="17">
        <v>38</v>
      </c>
      <c r="J188" s="36">
        <f>IFERROR(I188/$Q188,0)</f>
        <v>0.43181818181818182</v>
      </c>
      <c r="K188" s="17">
        <v>2</v>
      </c>
      <c r="L188" s="36">
        <f>IFERROR(K188/$R188,0)</f>
        <v>0.33333333333333331</v>
      </c>
      <c r="M188" s="17">
        <v>42</v>
      </c>
      <c r="N188" s="36">
        <f>IFERROR(M188/$Q188,0)</f>
        <v>0.47727272727272729</v>
      </c>
      <c r="O188" s="17">
        <v>3</v>
      </c>
      <c r="P188" s="36">
        <f>IFERROR(O188/$R188,0)</f>
        <v>0.5</v>
      </c>
      <c r="Q188" s="17">
        <v>88</v>
      </c>
      <c r="R188" s="17">
        <v>6</v>
      </c>
    </row>
    <row r="189" spans="1:18" ht="15.75" customHeight="1" x14ac:dyDescent="0.25">
      <c r="A189" s="37">
        <v>2023</v>
      </c>
      <c r="B189" s="35">
        <v>170730</v>
      </c>
      <c r="C189" s="33" t="str">
        <f>VLOOKUP(B189,procv!$A$2:$D$142,4,FALSE)</f>
        <v>Ilha do Bananal</v>
      </c>
      <c r="D189" s="33" t="s">
        <v>53</v>
      </c>
      <c r="E189" s="17">
        <v>71</v>
      </c>
      <c r="F189" s="36">
        <f>IFERROR(E189/$Q189,0)</f>
        <v>0.13320825515947468</v>
      </c>
      <c r="G189" s="17">
        <v>0</v>
      </c>
      <c r="H189" s="36">
        <f>IFERROR(G189/$R189,0)</f>
        <v>0</v>
      </c>
      <c r="I189" s="17">
        <v>201</v>
      </c>
      <c r="J189" s="36">
        <f>IFERROR(I189/$Q189,0)</f>
        <v>0.37711069418386489</v>
      </c>
      <c r="K189" s="17">
        <v>2</v>
      </c>
      <c r="L189" s="36">
        <f>IFERROR(K189/$R189,0)</f>
        <v>0.4</v>
      </c>
      <c r="M189" s="17">
        <v>261</v>
      </c>
      <c r="N189" s="36">
        <f>IFERROR(M189/$Q189,0)</f>
        <v>0.4896810506566604</v>
      </c>
      <c r="O189" s="17">
        <v>3</v>
      </c>
      <c r="P189" s="36">
        <f>IFERROR(O189/$R189,0)</f>
        <v>0.6</v>
      </c>
      <c r="Q189" s="17">
        <v>533</v>
      </c>
      <c r="R189" s="17">
        <v>5</v>
      </c>
    </row>
    <row r="190" spans="1:18" ht="15.75" customHeight="1" x14ac:dyDescent="0.25">
      <c r="A190" s="37">
        <v>2023</v>
      </c>
      <c r="B190" s="35">
        <v>170740</v>
      </c>
      <c r="C190" s="33" t="str">
        <f>VLOOKUP(B190,procv!$A$2:$D$142,4,FALSE)</f>
        <v>Bico do Papagaio</v>
      </c>
      <c r="D190" s="33" t="s">
        <v>54</v>
      </c>
      <c r="E190" s="17">
        <v>96</v>
      </c>
      <c r="F190" s="36">
        <f>IFERROR(E190/$Q190,0)</f>
        <v>0.11307420494699646</v>
      </c>
      <c r="G190" s="17">
        <v>2</v>
      </c>
      <c r="H190" s="36">
        <f>IFERROR(G190/$R190,0)</f>
        <v>0.25</v>
      </c>
      <c r="I190" s="17">
        <v>344</v>
      </c>
      <c r="J190" s="36">
        <f>IFERROR(I190/$Q190,0)</f>
        <v>0.40518256772673733</v>
      </c>
      <c r="K190" s="17">
        <v>3</v>
      </c>
      <c r="L190" s="36">
        <f>IFERROR(K190/$R190,0)</f>
        <v>0.375</v>
      </c>
      <c r="M190" s="17">
        <v>409</v>
      </c>
      <c r="N190" s="36">
        <f>IFERROR(M190/$Q190,0)</f>
        <v>0.48174322732626618</v>
      </c>
      <c r="O190" s="17">
        <v>3</v>
      </c>
      <c r="P190" s="36">
        <f>IFERROR(O190/$R190,0)</f>
        <v>0.375</v>
      </c>
      <c r="Q190" s="17">
        <v>849</v>
      </c>
      <c r="R190" s="17">
        <v>8</v>
      </c>
    </row>
    <row r="191" spans="1:18" ht="15.75" customHeight="1" x14ac:dyDescent="0.25">
      <c r="A191" s="37">
        <v>2023</v>
      </c>
      <c r="B191" s="35">
        <v>170755</v>
      </c>
      <c r="C191" s="33" t="str">
        <f>VLOOKUP(B191,procv!$A$2:$D$142,4,FALSE)</f>
        <v>Amor Perfeito</v>
      </c>
      <c r="D191" s="33" t="s">
        <v>55</v>
      </c>
      <c r="E191" s="17">
        <v>45</v>
      </c>
      <c r="F191" s="36">
        <f>IFERROR(E191/$Q191,0)</f>
        <v>0.16304347826086957</v>
      </c>
      <c r="G191" s="17">
        <v>0</v>
      </c>
      <c r="H191" s="36">
        <f>IFERROR(G191/$R191,0)</f>
        <v>0</v>
      </c>
      <c r="I191" s="17">
        <v>122</v>
      </c>
      <c r="J191" s="36">
        <f>IFERROR(I191/$Q191,0)</f>
        <v>0.4420289855072464</v>
      </c>
      <c r="K191" s="17">
        <v>0</v>
      </c>
      <c r="L191" s="36">
        <f>IFERROR(K191/$R191,0)</f>
        <v>0</v>
      </c>
      <c r="M191" s="17">
        <v>109</v>
      </c>
      <c r="N191" s="36">
        <f>IFERROR(M191/$Q191,0)</f>
        <v>0.39492753623188404</v>
      </c>
      <c r="O191" s="17">
        <v>5</v>
      </c>
      <c r="P191" s="36">
        <f>IFERROR(O191/$R191,0)</f>
        <v>1</v>
      </c>
      <c r="Q191" s="17">
        <v>276</v>
      </c>
      <c r="R191" s="17">
        <v>5</v>
      </c>
    </row>
    <row r="192" spans="1:18" ht="15.75" customHeight="1" x14ac:dyDescent="0.25">
      <c r="A192" s="37">
        <v>2023</v>
      </c>
      <c r="B192" s="35">
        <v>170765</v>
      </c>
      <c r="C192" s="33" t="str">
        <f>VLOOKUP(B192,procv!$A$2:$D$142,4,FALSE)</f>
        <v>Ilha do Bananal</v>
      </c>
      <c r="D192" s="33" t="s">
        <v>56</v>
      </c>
      <c r="E192" s="17">
        <v>55</v>
      </c>
      <c r="F192" s="36">
        <f>IFERROR(E192/$Q192,0)</f>
        <v>0.12195121951219512</v>
      </c>
      <c r="G192" s="17">
        <v>0</v>
      </c>
      <c r="H192" s="36">
        <f>IFERROR(G192/$R192,0)</f>
        <v>0</v>
      </c>
      <c r="I192" s="17">
        <v>159</v>
      </c>
      <c r="J192" s="36">
        <f>IFERROR(I192/$Q192,0)</f>
        <v>0.35254988913525498</v>
      </c>
      <c r="K192" s="17">
        <v>1</v>
      </c>
      <c r="L192" s="36">
        <f>IFERROR(K192/$R192,0)</f>
        <v>1</v>
      </c>
      <c r="M192" s="17">
        <v>237</v>
      </c>
      <c r="N192" s="36">
        <f>IFERROR(M192/$Q192,0)</f>
        <v>0.5254988913525499</v>
      </c>
      <c r="O192" s="17">
        <v>0</v>
      </c>
      <c r="P192" s="36">
        <f>IFERROR(O192/$R192,0)</f>
        <v>0</v>
      </c>
      <c r="Q192" s="17">
        <v>451</v>
      </c>
      <c r="R192" s="17">
        <v>1</v>
      </c>
    </row>
    <row r="193" spans="1:18" ht="15.75" customHeight="1" x14ac:dyDescent="0.25">
      <c r="A193" s="37">
        <v>2023</v>
      </c>
      <c r="B193" s="35">
        <v>170770</v>
      </c>
      <c r="C193" s="33" t="str">
        <f>VLOOKUP(B193,procv!$A$2:$D$142,4,FALSE)</f>
        <v>Médio Norte Araguaia</v>
      </c>
      <c r="D193" s="33" t="s">
        <v>57</v>
      </c>
      <c r="E193" s="17">
        <v>135</v>
      </c>
      <c r="F193" s="36">
        <f>IFERROR(E193/$Q193,0)</f>
        <v>0.18569463548830811</v>
      </c>
      <c r="G193" s="17">
        <v>0</v>
      </c>
      <c r="H193" s="36">
        <f>IFERROR(G193/$R193,0)</f>
        <v>0</v>
      </c>
      <c r="I193" s="17">
        <v>310</v>
      </c>
      <c r="J193" s="36">
        <f>IFERROR(I193/$Q193,0)</f>
        <v>0.4264099037138927</v>
      </c>
      <c r="K193" s="17">
        <v>1</v>
      </c>
      <c r="L193" s="36">
        <f>IFERROR(K193/$R193,0)</f>
        <v>0.25</v>
      </c>
      <c r="M193" s="17">
        <v>282</v>
      </c>
      <c r="N193" s="36">
        <f>IFERROR(M193/$Q193,0)</f>
        <v>0.38789546079779919</v>
      </c>
      <c r="O193" s="17">
        <v>3</v>
      </c>
      <c r="P193" s="36">
        <f>IFERROR(O193/$R193,0)</f>
        <v>0.75</v>
      </c>
      <c r="Q193" s="17">
        <v>727</v>
      </c>
      <c r="R193" s="17">
        <v>4</v>
      </c>
    </row>
    <row r="194" spans="1:18" ht="15.75" customHeight="1" x14ac:dyDescent="0.25">
      <c r="A194" s="37">
        <v>2023</v>
      </c>
      <c r="B194" s="35">
        <v>170820</v>
      </c>
      <c r="C194" s="33" t="str">
        <f>VLOOKUP(B194,procv!$A$2:$D$142,4,FALSE)</f>
        <v>Ilha do Bananal</v>
      </c>
      <c r="D194" s="33" t="s">
        <v>58</v>
      </c>
      <c r="E194" s="17">
        <v>119</v>
      </c>
      <c r="F194" s="36">
        <f>IFERROR(E194/$Q194,0)</f>
        <v>0.11387559808612441</v>
      </c>
      <c r="G194" s="17">
        <v>0</v>
      </c>
      <c r="H194" s="36">
        <f>IFERROR(G194/$R194,0)</f>
        <v>0</v>
      </c>
      <c r="I194" s="17">
        <v>427</v>
      </c>
      <c r="J194" s="36">
        <f>IFERROR(I194/$Q194,0)</f>
        <v>0.40861244019138754</v>
      </c>
      <c r="K194" s="17">
        <v>3</v>
      </c>
      <c r="L194" s="36">
        <f>IFERROR(K194/$R194,0)</f>
        <v>0.25</v>
      </c>
      <c r="M194" s="17">
        <v>499</v>
      </c>
      <c r="N194" s="36">
        <f>IFERROR(M194/$Q194,0)</f>
        <v>0.47751196172248805</v>
      </c>
      <c r="O194" s="17">
        <v>9</v>
      </c>
      <c r="P194" s="36">
        <f>IFERROR(O194/$R194,0)</f>
        <v>0.75</v>
      </c>
      <c r="Q194" s="16">
        <v>1045</v>
      </c>
      <c r="R194" s="17">
        <v>12</v>
      </c>
    </row>
    <row r="195" spans="1:18" ht="15.75" customHeight="1" x14ac:dyDescent="0.25">
      <c r="A195" s="37">
        <v>2023</v>
      </c>
      <c r="B195" s="35">
        <v>170830</v>
      </c>
      <c r="C195" s="33" t="str">
        <f>VLOOKUP(B195,procv!$A$2:$D$142,4,FALSE)</f>
        <v>Cerrado Tocantins Araguaia</v>
      </c>
      <c r="D195" s="33" t="s">
        <v>59</v>
      </c>
      <c r="E195" s="17">
        <v>69</v>
      </c>
      <c r="F195" s="36">
        <f>IFERROR(E195/$Q195,0)</f>
        <v>0.15610859728506787</v>
      </c>
      <c r="G195" s="17">
        <v>0</v>
      </c>
      <c r="H195" s="36">
        <f>IFERROR(G195/$R195,0)</f>
        <v>0</v>
      </c>
      <c r="I195" s="17">
        <v>179</v>
      </c>
      <c r="J195" s="36">
        <f>IFERROR(I195/$Q195,0)</f>
        <v>0.40497737556561086</v>
      </c>
      <c r="K195" s="17">
        <v>1</v>
      </c>
      <c r="L195" s="36">
        <f>IFERROR(K195/$R195,0)</f>
        <v>1</v>
      </c>
      <c r="M195" s="17">
        <v>194</v>
      </c>
      <c r="N195" s="36">
        <f>IFERROR(M195/$Q195,0)</f>
        <v>0.43891402714932126</v>
      </c>
      <c r="O195" s="17">
        <v>0</v>
      </c>
      <c r="P195" s="36">
        <f>IFERROR(O195/$R195,0)</f>
        <v>0</v>
      </c>
      <c r="Q195" s="17">
        <v>442</v>
      </c>
      <c r="R195" s="17">
        <v>1</v>
      </c>
    </row>
    <row r="196" spans="1:18" ht="15.75" customHeight="1" x14ac:dyDescent="0.25">
      <c r="A196" s="37">
        <v>2023</v>
      </c>
      <c r="B196" s="35">
        <v>170900</v>
      </c>
      <c r="C196" s="33" t="str">
        <f>VLOOKUP(B196,procv!$A$2:$D$142,4,FALSE)</f>
        <v>Médio Norte Araguaia</v>
      </c>
      <c r="D196" s="33" t="s">
        <v>60</v>
      </c>
      <c r="E196" s="17">
        <v>49</v>
      </c>
      <c r="F196" s="36">
        <f>IFERROR(E196/$Q196,0)</f>
        <v>0.16279069767441862</v>
      </c>
      <c r="G196" s="17">
        <v>0</v>
      </c>
      <c r="H196" s="36">
        <f>IFERROR(G196/$R196,0)</f>
        <v>0</v>
      </c>
      <c r="I196" s="17">
        <v>130</v>
      </c>
      <c r="J196" s="36">
        <f>IFERROR(I196/$Q196,0)</f>
        <v>0.43189368770764119</v>
      </c>
      <c r="K196" s="17">
        <v>0</v>
      </c>
      <c r="L196" s="36">
        <f>IFERROR(K196/$R196,0)</f>
        <v>0</v>
      </c>
      <c r="M196" s="17">
        <v>122</v>
      </c>
      <c r="N196" s="36">
        <f>IFERROR(M196/$Q196,0)</f>
        <v>0.40531561461794019</v>
      </c>
      <c r="O196" s="17">
        <v>1</v>
      </c>
      <c r="P196" s="36">
        <f>IFERROR(O196/$R196,0)</f>
        <v>1</v>
      </c>
      <c r="Q196" s="17">
        <v>301</v>
      </c>
      <c r="R196" s="17">
        <v>1</v>
      </c>
    </row>
    <row r="197" spans="1:18" ht="15.75" customHeight="1" x14ac:dyDescent="0.25">
      <c r="A197" s="37">
        <v>2023</v>
      </c>
      <c r="B197" s="35">
        <v>170930</v>
      </c>
      <c r="C197" s="33" t="str">
        <f>VLOOKUP(B197,procv!$A$2:$D$142,4,FALSE)</f>
        <v>Cerrado Tocantins Araguaia</v>
      </c>
      <c r="D197" s="33" t="s">
        <v>61</v>
      </c>
      <c r="E197" s="17">
        <v>178</v>
      </c>
      <c r="F197" s="36">
        <f>IFERROR(E197/$Q197,0)</f>
        <v>9.8233995584988965E-2</v>
      </c>
      <c r="G197" s="17">
        <v>0</v>
      </c>
      <c r="H197" s="36">
        <f>IFERROR(G197/$R197,0)</f>
        <v>0</v>
      </c>
      <c r="I197" s="17">
        <v>678</v>
      </c>
      <c r="J197" s="36">
        <f>IFERROR(I197/$Q197,0)</f>
        <v>0.3741721854304636</v>
      </c>
      <c r="K197" s="17">
        <v>6</v>
      </c>
      <c r="L197" s="36">
        <f>IFERROR(K197/$R197,0)</f>
        <v>0.6</v>
      </c>
      <c r="M197" s="17">
        <v>956</v>
      </c>
      <c r="N197" s="36">
        <f>IFERROR(M197/$Q197,0)</f>
        <v>0.52759381898454749</v>
      </c>
      <c r="O197" s="17">
        <v>4</v>
      </c>
      <c r="P197" s="36">
        <f>IFERROR(O197/$R197,0)</f>
        <v>0.4</v>
      </c>
      <c r="Q197" s="16">
        <v>1812</v>
      </c>
      <c r="R197" s="17">
        <v>10</v>
      </c>
    </row>
    <row r="198" spans="1:18" ht="15.75" customHeight="1" x14ac:dyDescent="0.25">
      <c r="A198" s="37">
        <v>2023</v>
      </c>
      <c r="B198" s="35">
        <v>170950</v>
      </c>
      <c r="C198" s="33" t="str">
        <f>VLOOKUP(B198,procv!$A$2:$D$142,4,FALSE)</f>
        <v>Ilha do Bananal</v>
      </c>
      <c r="D198" s="33" t="s">
        <v>62</v>
      </c>
      <c r="E198" s="17">
        <v>501</v>
      </c>
      <c r="F198" s="36">
        <f>IFERROR(E198/$Q198,0)</f>
        <v>0.1296248382923674</v>
      </c>
      <c r="G198" s="17">
        <v>12</v>
      </c>
      <c r="H198" s="36">
        <f>IFERROR(G198/$R198,0)</f>
        <v>0.48</v>
      </c>
      <c r="I198" s="16">
        <v>1395</v>
      </c>
      <c r="J198" s="36">
        <f>IFERROR(I198/$Q198,0)</f>
        <v>0.36093143596377747</v>
      </c>
      <c r="K198" s="17">
        <v>9</v>
      </c>
      <c r="L198" s="36">
        <f>IFERROR(K198/$R198,0)</f>
        <v>0.36</v>
      </c>
      <c r="M198" s="16">
        <v>1969</v>
      </c>
      <c r="N198" s="36">
        <f>IFERROR(M198/$Q198,0)</f>
        <v>0.5094437257438551</v>
      </c>
      <c r="O198" s="17">
        <v>4</v>
      </c>
      <c r="P198" s="36">
        <f>IFERROR(O198/$R198,0)</f>
        <v>0.16</v>
      </c>
      <c r="Q198" s="16">
        <v>3865</v>
      </c>
      <c r="R198" s="17">
        <v>25</v>
      </c>
    </row>
    <row r="199" spans="1:18" ht="15.75" customHeight="1" x14ac:dyDescent="0.25">
      <c r="A199" s="37">
        <v>2023</v>
      </c>
      <c r="B199" s="35">
        <v>170980</v>
      </c>
      <c r="C199" s="33" t="str">
        <f>VLOOKUP(B199,procv!$A$2:$D$142,4,FALSE)</f>
        <v>Amor Perfeito</v>
      </c>
      <c r="D199" s="33" t="s">
        <v>63</v>
      </c>
      <c r="E199" s="17">
        <v>26</v>
      </c>
      <c r="F199" s="36">
        <f>IFERROR(E199/$Q199,0)</f>
        <v>0.13978494623655913</v>
      </c>
      <c r="G199" s="17">
        <v>0</v>
      </c>
      <c r="H199" s="36">
        <f>IFERROR(G199/$R199,0)</f>
        <v>0</v>
      </c>
      <c r="I199" s="17">
        <v>65</v>
      </c>
      <c r="J199" s="36">
        <f>IFERROR(I199/$Q199,0)</f>
        <v>0.34946236559139787</v>
      </c>
      <c r="K199" s="17">
        <v>0</v>
      </c>
      <c r="L199" s="36">
        <f>IFERROR(K199/$R199,0)</f>
        <v>0</v>
      </c>
      <c r="M199" s="17">
        <v>95</v>
      </c>
      <c r="N199" s="36">
        <f>IFERROR(M199/$Q199,0)</f>
        <v>0.510752688172043</v>
      </c>
      <c r="O199" s="17">
        <v>0</v>
      </c>
      <c r="P199" s="36">
        <f>IFERROR(O199/$R199,0)</f>
        <v>0</v>
      </c>
      <c r="Q199" s="17">
        <v>186</v>
      </c>
      <c r="R199" s="17">
        <v>0</v>
      </c>
    </row>
    <row r="200" spans="1:18" ht="15.75" customHeight="1" x14ac:dyDescent="0.25">
      <c r="A200" s="37">
        <v>2023</v>
      </c>
      <c r="B200" s="35">
        <v>171050</v>
      </c>
      <c r="C200" s="33" t="str">
        <f>VLOOKUP(B200,procv!$A$2:$D$142,4,FALSE)</f>
        <v>Cerrado Tocantins Araguaia</v>
      </c>
      <c r="D200" s="33" t="s">
        <v>64</v>
      </c>
      <c r="E200" s="17">
        <v>57</v>
      </c>
      <c r="F200" s="36">
        <f>IFERROR(E200/$Q200,0)</f>
        <v>0.16666666666666666</v>
      </c>
      <c r="G200" s="17">
        <v>1</v>
      </c>
      <c r="H200" s="36">
        <f>IFERROR(G200/$R200,0)</f>
        <v>0.16666666666666666</v>
      </c>
      <c r="I200" s="17">
        <v>142</v>
      </c>
      <c r="J200" s="36">
        <f>IFERROR(I200/$Q200,0)</f>
        <v>0.41520467836257308</v>
      </c>
      <c r="K200" s="17">
        <v>5</v>
      </c>
      <c r="L200" s="36">
        <f>IFERROR(K200/$R200,0)</f>
        <v>0.83333333333333337</v>
      </c>
      <c r="M200" s="17">
        <v>143</v>
      </c>
      <c r="N200" s="36">
        <f>IFERROR(M200/$Q200,0)</f>
        <v>0.41812865497076024</v>
      </c>
      <c r="O200" s="17">
        <v>0</v>
      </c>
      <c r="P200" s="36">
        <f>IFERROR(O200/$R200,0)</f>
        <v>0</v>
      </c>
      <c r="Q200" s="17">
        <v>342</v>
      </c>
      <c r="R200" s="17">
        <v>6</v>
      </c>
    </row>
    <row r="201" spans="1:18" ht="15.75" customHeight="1" x14ac:dyDescent="0.25">
      <c r="A201" s="37">
        <v>2023</v>
      </c>
      <c r="B201" s="35">
        <v>171070</v>
      </c>
      <c r="C201" s="33" t="str">
        <f>VLOOKUP(B201,procv!$A$2:$D$142,4,FALSE)</f>
        <v>Bico do Papagaio</v>
      </c>
      <c r="D201" s="33" t="s">
        <v>65</v>
      </c>
      <c r="E201" s="17">
        <v>66</v>
      </c>
      <c r="F201" s="36">
        <f>IFERROR(E201/$Q201,0)</f>
        <v>0.18435754189944134</v>
      </c>
      <c r="G201" s="17">
        <v>0</v>
      </c>
      <c r="H201" s="36">
        <f>IFERROR(G201/$R201,0)</f>
        <v>0</v>
      </c>
      <c r="I201" s="17">
        <v>128</v>
      </c>
      <c r="J201" s="36">
        <f>IFERROR(I201/$Q201,0)</f>
        <v>0.35754189944134079</v>
      </c>
      <c r="K201" s="17">
        <v>0</v>
      </c>
      <c r="L201" s="36">
        <f>IFERROR(K201/$R201,0)</f>
        <v>0</v>
      </c>
      <c r="M201" s="17">
        <v>164</v>
      </c>
      <c r="N201" s="36">
        <f>IFERROR(M201/$Q201,0)</f>
        <v>0.45810055865921789</v>
      </c>
      <c r="O201" s="17">
        <v>1</v>
      </c>
      <c r="P201" s="36">
        <f>IFERROR(O201/$R201,0)</f>
        <v>1</v>
      </c>
      <c r="Q201" s="17">
        <v>358</v>
      </c>
      <c r="R201" s="17">
        <v>1</v>
      </c>
    </row>
    <row r="202" spans="1:18" ht="15.75" customHeight="1" x14ac:dyDescent="0.25">
      <c r="A202" s="37">
        <v>2023</v>
      </c>
      <c r="B202" s="35">
        <v>171090</v>
      </c>
      <c r="C202" s="33" t="str">
        <f>VLOOKUP(B202,procv!$A$2:$D$142,4,FALSE)</f>
        <v>Cerrado Tocantins Araguaia</v>
      </c>
      <c r="D202" s="33" t="s">
        <v>66</v>
      </c>
      <c r="E202" s="17">
        <v>39</v>
      </c>
      <c r="F202" s="36">
        <f>IFERROR(E202/$Q202,0)</f>
        <v>0.11538461538461539</v>
      </c>
      <c r="G202" s="17">
        <v>0</v>
      </c>
      <c r="H202" s="36">
        <f>IFERROR(G202/$R202,0)</f>
        <v>0</v>
      </c>
      <c r="I202" s="17">
        <v>139</v>
      </c>
      <c r="J202" s="36">
        <f>IFERROR(I202/$Q202,0)</f>
        <v>0.41124260355029585</v>
      </c>
      <c r="K202" s="17">
        <v>0</v>
      </c>
      <c r="L202" s="36">
        <f>IFERROR(K202/$R202,0)</f>
        <v>0</v>
      </c>
      <c r="M202" s="17">
        <v>160</v>
      </c>
      <c r="N202" s="36">
        <f>IFERROR(M202/$Q202,0)</f>
        <v>0.47337278106508873</v>
      </c>
      <c r="O202" s="17">
        <v>0</v>
      </c>
      <c r="P202" s="36">
        <f>IFERROR(O202/$R202,0)</f>
        <v>0</v>
      </c>
      <c r="Q202" s="17">
        <v>338</v>
      </c>
      <c r="R202" s="17">
        <v>0</v>
      </c>
    </row>
    <row r="203" spans="1:18" ht="15.75" customHeight="1" x14ac:dyDescent="0.25">
      <c r="A203" s="37">
        <v>2023</v>
      </c>
      <c r="B203" s="35">
        <v>171110</v>
      </c>
      <c r="C203" s="33" t="str">
        <f>VLOOKUP(B203,procv!$A$2:$D$142,4,FALSE)</f>
        <v>Cerrado Tocantins Araguaia</v>
      </c>
      <c r="D203" s="33" t="s">
        <v>67</v>
      </c>
      <c r="E203" s="17">
        <v>19</v>
      </c>
      <c r="F203" s="36">
        <f>IFERROR(E203/$Q203,0)</f>
        <v>8.2251082251082255E-2</v>
      </c>
      <c r="G203" s="17">
        <v>0</v>
      </c>
      <c r="H203" s="36">
        <f>IFERROR(G203/$R203,0)</f>
        <v>0</v>
      </c>
      <c r="I203" s="17">
        <v>92</v>
      </c>
      <c r="J203" s="36">
        <f>IFERROR(I203/$Q203,0)</f>
        <v>0.39826839826839827</v>
      </c>
      <c r="K203" s="17">
        <v>1</v>
      </c>
      <c r="L203" s="36">
        <f>IFERROR(K203/$R203,0)</f>
        <v>0.5</v>
      </c>
      <c r="M203" s="17">
        <v>120</v>
      </c>
      <c r="N203" s="36">
        <f>IFERROR(M203/$Q203,0)</f>
        <v>0.51948051948051943</v>
      </c>
      <c r="O203" s="17">
        <v>1</v>
      </c>
      <c r="P203" s="36">
        <f>IFERROR(O203/$R203,0)</f>
        <v>0.5</v>
      </c>
      <c r="Q203" s="17">
        <v>231</v>
      </c>
      <c r="R203" s="17">
        <v>2</v>
      </c>
    </row>
    <row r="204" spans="1:18" ht="15.75" customHeight="1" x14ac:dyDescent="0.25">
      <c r="A204" s="37">
        <v>2023</v>
      </c>
      <c r="B204" s="35">
        <v>171150</v>
      </c>
      <c r="C204" s="33" t="str">
        <f>VLOOKUP(B204,procv!$A$2:$D$142,4,FALSE)</f>
        <v>Ilha do Bananal</v>
      </c>
      <c r="D204" s="33" t="s">
        <v>68</v>
      </c>
      <c r="E204" s="17">
        <v>83</v>
      </c>
      <c r="F204" s="36">
        <f>IFERROR(E204/$Q204,0)</f>
        <v>0.19080459770114944</v>
      </c>
      <c r="G204" s="17">
        <v>1</v>
      </c>
      <c r="H204" s="36">
        <f>IFERROR(G204/$R204,0)</f>
        <v>0.25</v>
      </c>
      <c r="I204" s="17">
        <v>206</v>
      </c>
      <c r="J204" s="36">
        <f>IFERROR(I204/$Q204,0)</f>
        <v>0.47356321839080462</v>
      </c>
      <c r="K204" s="17">
        <v>1</v>
      </c>
      <c r="L204" s="36">
        <f>IFERROR(K204/$R204,0)</f>
        <v>0.25</v>
      </c>
      <c r="M204" s="17">
        <v>146</v>
      </c>
      <c r="N204" s="36">
        <f>IFERROR(M204/$Q204,0)</f>
        <v>0.335632183908046</v>
      </c>
      <c r="O204" s="17">
        <v>2</v>
      </c>
      <c r="P204" s="36">
        <f>IFERROR(O204/$R204,0)</f>
        <v>0.5</v>
      </c>
      <c r="Q204" s="17">
        <v>435</v>
      </c>
      <c r="R204" s="17">
        <v>4</v>
      </c>
    </row>
    <row r="205" spans="1:18" ht="15.75" customHeight="1" x14ac:dyDescent="0.25">
      <c r="A205" s="37">
        <v>2023</v>
      </c>
      <c r="B205" s="35">
        <v>171180</v>
      </c>
      <c r="C205" s="33" t="str">
        <f>VLOOKUP(B205,procv!$A$2:$D$142,4,FALSE)</f>
        <v>Cerrado Tocantins Araguaia</v>
      </c>
      <c r="D205" s="33" t="s">
        <v>69</v>
      </c>
      <c r="E205" s="17">
        <v>42</v>
      </c>
      <c r="F205" s="36">
        <f>IFERROR(E205/$Q205,0)</f>
        <v>0.1494661921708185</v>
      </c>
      <c r="G205" s="17">
        <v>0</v>
      </c>
      <c r="H205" s="36">
        <f>IFERROR(G205/$R205,0)</f>
        <v>0</v>
      </c>
      <c r="I205" s="17">
        <v>110</v>
      </c>
      <c r="J205" s="36">
        <f>IFERROR(I205/$Q205,0)</f>
        <v>0.3914590747330961</v>
      </c>
      <c r="K205" s="17">
        <v>0</v>
      </c>
      <c r="L205" s="36">
        <f>IFERROR(K205/$R205,0)</f>
        <v>0</v>
      </c>
      <c r="M205" s="17">
        <v>129</v>
      </c>
      <c r="N205" s="36">
        <f>IFERROR(M205/$Q205,0)</f>
        <v>0.45907473309608543</v>
      </c>
      <c r="O205" s="17">
        <v>0</v>
      </c>
      <c r="P205" s="36">
        <f>IFERROR(O205/$R205,0)</f>
        <v>0</v>
      </c>
      <c r="Q205" s="17">
        <v>281</v>
      </c>
      <c r="R205" s="17">
        <v>0</v>
      </c>
    </row>
    <row r="206" spans="1:18" ht="15.75" customHeight="1" x14ac:dyDescent="0.25">
      <c r="A206" s="37">
        <v>2023</v>
      </c>
      <c r="B206" s="35">
        <v>171190</v>
      </c>
      <c r="C206" s="33" t="str">
        <f>VLOOKUP(B206,procv!$A$2:$D$142,4,FALSE)</f>
        <v>Cantão</v>
      </c>
      <c r="D206" s="33" t="s">
        <v>70</v>
      </c>
      <c r="E206" s="17">
        <v>8</v>
      </c>
      <c r="F206" s="36">
        <f>IFERROR(E206/$Q206,0)</f>
        <v>7.5471698113207544E-2</v>
      </c>
      <c r="G206" s="17">
        <v>1</v>
      </c>
      <c r="H206" s="36">
        <f>IFERROR(G206/$R206,0)</f>
        <v>1</v>
      </c>
      <c r="I206" s="17">
        <v>30</v>
      </c>
      <c r="J206" s="36">
        <f>IFERROR(I206/$Q206,0)</f>
        <v>0.28301886792452829</v>
      </c>
      <c r="K206" s="17">
        <v>0</v>
      </c>
      <c r="L206" s="36">
        <f>IFERROR(K206/$R206,0)</f>
        <v>0</v>
      </c>
      <c r="M206" s="17">
        <v>68</v>
      </c>
      <c r="N206" s="36">
        <f>IFERROR(M206/$Q206,0)</f>
        <v>0.64150943396226412</v>
      </c>
      <c r="O206" s="17">
        <v>0</v>
      </c>
      <c r="P206" s="36">
        <f>IFERROR(O206/$R206,0)</f>
        <v>0</v>
      </c>
      <c r="Q206" s="17">
        <v>106</v>
      </c>
      <c r="R206" s="17">
        <v>1</v>
      </c>
    </row>
    <row r="207" spans="1:18" ht="15.75" customHeight="1" x14ac:dyDescent="0.25">
      <c r="A207" s="37">
        <v>2023</v>
      </c>
      <c r="B207" s="35">
        <v>171195</v>
      </c>
      <c r="C207" s="33" t="str">
        <f>VLOOKUP(B207,procv!$A$2:$D$142,4,FALSE)</f>
        <v>Capim Dourado</v>
      </c>
      <c r="D207" s="33" t="s">
        <v>71</v>
      </c>
      <c r="E207" s="17">
        <v>71</v>
      </c>
      <c r="F207" s="36">
        <f>IFERROR(E207/$Q207,0)</f>
        <v>0.20760233918128654</v>
      </c>
      <c r="G207" s="17">
        <v>0</v>
      </c>
      <c r="H207" s="36">
        <f>IFERROR(G207/$R207,0)</f>
        <v>0</v>
      </c>
      <c r="I207" s="17">
        <v>150</v>
      </c>
      <c r="J207" s="36">
        <f>IFERROR(I207/$Q207,0)</f>
        <v>0.43859649122807015</v>
      </c>
      <c r="K207" s="17">
        <v>0</v>
      </c>
      <c r="L207" s="36">
        <f>IFERROR(K207/$R207,0)</f>
        <v>0</v>
      </c>
      <c r="M207" s="17">
        <v>121</v>
      </c>
      <c r="N207" s="36">
        <f>IFERROR(M207/$Q207,0)</f>
        <v>0.35380116959064328</v>
      </c>
      <c r="O207" s="17">
        <v>2</v>
      </c>
      <c r="P207" s="36">
        <f>IFERROR(O207/$R207,0)</f>
        <v>1</v>
      </c>
      <c r="Q207" s="17">
        <v>342</v>
      </c>
      <c r="R207" s="17">
        <v>2</v>
      </c>
    </row>
    <row r="208" spans="1:18" ht="15.75" customHeight="1" x14ac:dyDescent="0.25">
      <c r="A208" s="37">
        <v>2023</v>
      </c>
      <c r="B208" s="35">
        <v>171200</v>
      </c>
      <c r="C208" s="33" t="str">
        <f>VLOOKUP(B208,procv!$A$2:$D$142,4,FALSE)</f>
        <v>Capim Dourado</v>
      </c>
      <c r="D208" s="33" t="s">
        <v>72</v>
      </c>
      <c r="E208" s="17">
        <v>3</v>
      </c>
      <c r="F208" s="36">
        <f>IFERROR(E208/$Q208,0)</f>
        <v>0.17647058823529413</v>
      </c>
      <c r="G208" s="17">
        <v>2</v>
      </c>
      <c r="H208" s="36">
        <f>IFERROR(G208/$R208,0)</f>
        <v>0.66666666666666663</v>
      </c>
      <c r="I208" s="17">
        <v>6</v>
      </c>
      <c r="J208" s="36">
        <f>IFERROR(I208/$Q208,0)</f>
        <v>0.35294117647058826</v>
      </c>
      <c r="K208" s="17">
        <v>0</v>
      </c>
      <c r="L208" s="36">
        <f>IFERROR(K208/$R208,0)</f>
        <v>0</v>
      </c>
      <c r="M208" s="17">
        <v>8</v>
      </c>
      <c r="N208" s="36">
        <f>IFERROR(M208/$Q208,0)</f>
        <v>0.47058823529411764</v>
      </c>
      <c r="O208" s="17">
        <v>1</v>
      </c>
      <c r="P208" s="36">
        <f>IFERROR(O208/$R208,0)</f>
        <v>0.33333333333333331</v>
      </c>
      <c r="Q208" s="17">
        <v>17</v>
      </c>
      <c r="R208" s="17">
        <v>3</v>
      </c>
    </row>
    <row r="209" spans="1:18" ht="15.75" customHeight="1" x14ac:dyDescent="0.25">
      <c r="A209" s="37">
        <v>2023</v>
      </c>
      <c r="B209" s="35">
        <v>171215</v>
      </c>
      <c r="C209" s="33" t="str">
        <f>VLOOKUP(B209,procv!$A$2:$D$142,4,FALSE)</f>
        <v>Sudeste</v>
      </c>
      <c r="D209" s="33" t="s">
        <v>73</v>
      </c>
      <c r="E209" s="17">
        <v>31</v>
      </c>
      <c r="F209" s="36">
        <f>IFERROR(E209/$Q209,0)</f>
        <v>0.19135802469135801</v>
      </c>
      <c r="G209" s="17">
        <v>0</v>
      </c>
      <c r="H209" s="36">
        <f>IFERROR(G209/$R209,0)</f>
        <v>0</v>
      </c>
      <c r="I209" s="17">
        <v>68</v>
      </c>
      <c r="J209" s="36">
        <f>IFERROR(I209/$Q209,0)</f>
        <v>0.41975308641975306</v>
      </c>
      <c r="K209" s="17">
        <v>0</v>
      </c>
      <c r="L209" s="36">
        <f>IFERROR(K209/$R209,0)</f>
        <v>0</v>
      </c>
      <c r="M209" s="17">
        <v>63</v>
      </c>
      <c r="N209" s="36">
        <f>IFERROR(M209/$Q209,0)</f>
        <v>0.3888888888888889</v>
      </c>
      <c r="O209" s="17">
        <v>1</v>
      </c>
      <c r="P209" s="36">
        <f>IFERROR(O209/$R209,0)</f>
        <v>1</v>
      </c>
      <c r="Q209" s="17">
        <v>162</v>
      </c>
      <c r="R209" s="17">
        <v>1</v>
      </c>
    </row>
    <row r="210" spans="1:18" ht="15.75" customHeight="1" x14ac:dyDescent="0.25">
      <c r="A210" s="37">
        <v>2023</v>
      </c>
      <c r="B210" s="35">
        <v>171240</v>
      </c>
      <c r="C210" s="33" t="str">
        <f>VLOOKUP(B210,procv!$A$2:$D$142,4,FALSE)</f>
        <v>Capim Dourado</v>
      </c>
      <c r="D210" s="33" t="s">
        <v>74</v>
      </c>
      <c r="E210" s="17">
        <v>68</v>
      </c>
      <c r="F210" s="36">
        <f>IFERROR(E210/$Q210,0)</f>
        <v>0.26666666666666666</v>
      </c>
      <c r="G210" s="17">
        <v>0</v>
      </c>
      <c r="H210" s="36">
        <f>IFERROR(G210/$R210,0)</f>
        <v>0</v>
      </c>
      <c r="I210" s="17">
        <v>104</v>
      </c>
      <c r="J210" s="36">
        <f>IFERROR(I210/$Q210,0)</f>
        <v>0.40784313725490196</v>
      </c>
      <c r="K210" s="17">
        <v>0</v>
      </c>
      <c r="L210" s="36">
        <f>IFERROR(K210/$R210,0)</f>
        <v>0</v>
      </c>
      <c r="M210" s="17">
        <v>83</v>
      </c>
      <c r="N210" s="36">
        <f>IFERROR(M210/$Q210,0)</f>
        <v>0.32549019607843138</v>
      </c>
      <c r="O210" s="17">
        <v>0</v>
      </c>
      <c r="P210" s="36">
        <f>IFERROR(O210/$R210,0)</f>
        <v>0</v>
      </c>
      <c r="Q210" s="17">
        <v>255</v>
      </c>
      <c r="R210" s="17">
        <v>0</v>
      </c>
    </row>
    <row r="211" spans="1:18" ht="15.75" customHeight="1" x14ac:dyDescent="0.25">
      <c r="A211" s="37">
        <v>2023</v>
      </c>
      <c r="B211" s="35">
        <v>171245</v>
      </c>
      <c r="C211" s="33" t="str">
        <f>VLOOKUP(B211,procv!$A$2:$D$142,4,FALSE)</f>
        <v>Bico do Papagaio</v>
      </c>
      <c r="D211" s="33" t="s">
        <v>75</v>
      </c>
      <c r="E211" s="17">
        <v>50</v>
      </c>
      <c r="F211" s="36">
        <f>IFERROR(E211/$Q211,0)</f>
        <v>0.16501650165016502</v>
      </c>
      <c r="G211" s="17">
        <v>1</v>
      </c>
      <c r="H211" s="36">
        <f>IFERROR(G211/$R211,0)</f>
        <v>0.14285714285714285</v>
      </c>
      <c r="I211" s="17">
        <v>122</v>
      </c>
      <c r="J211" s="36">
        <f>IFERROR(I211/$Q211,0)</f>
        <v>0.40264026402640263</v>
      </c>
      <c r="K211" s="17">
        <v>5</v>
      </c>
      <c r="L211" s="36">
        <f>IFERROR(K211/$R211,0)</f>
        <v>0.7142857142857143</v>
      </c>
      <c r="M211" s="17">
        <v>131</v>
      </c>
      <c r="N211" s="36">
        <f>IFERROR(M211/$Q211,0)</f>
        <v>0.43234323432343236</v>
      </c>
      <c r="O211" s="17">
        <v>1</v>
      </c>
      <c r="P211" s="36">
        <f>IFERROR(O211/$R211,0)</f>
        <v>0.14285714285714285</v>
      </c>
      <c r="Q211" s="17">
        <v>303</v>
      </c>
      <c r="R211" s="17">
        <v>7</v>
      </c>
    </row>
    <row r="212" spans="1:18" ht="15.75" customHeight="1" x14ac:dyDescent="0.25">
      <c r="A212" s="37">
        <v>2023</v>
      </c>
      <c r="B212" s="35">
        <v>171250</v>
      </c>
      <c r="C212" s="33" t="str">
        <f>VLOOKUP(B212,procv!$A$2:$D$142,4,FALSE)</f>
        <v>Cantão</v>
      </c>
      <c r="D212" s="33" t="s">
        <v>76</v>
      </c>
      <c r="E212" s="17">
        <v>71</v>
      </c>
      <c r="F212" s="36">
        <f>IFERROR(E212/$Q212,0)</f>
        <v>0.15434782608695652</v>
      </c>
      <c r="G212" s="17">
        <v>1</v>
      </c>
      <c r="H212" s="36">
        <f>IFERROR(G212/$R212,0)</f>
        <v>0.33333333333333331</v>
      </c>
      <c r="I212" s="17">
        <v>187</v>
      </c>
      <c r="J212" s="36">
        <f>IFERROR(I212/$Q212,0)</f>
        <v>0.40652173913043477</v>
      </c>
      <c r="K212" s="17">
        <v>2</v>
      </c>
      <c r="L212" s="36">
        <f>IFERROR(K212/$R212,0)</f>
        <v>0.66666666666666663</v>
      </c>
      <c r="M212" s="17">
        <v>202</v>
      </c>
      <c r="N212" s="36">
        <f>IFERROR(M212/$Q212,0)</f>
        <v>0.43913043478260871</v>
      </c>
      <c r="O212" s="17">
        <v>0</v>
      </c>
      <c r="P212" s="36">
        <f>IFERROR(O212/$R212,0)</f>
        <v>0</v>
      </c>
      <c r="Q212" s="17">
        <v>460</v>
      </c>
      <c r="R212" s="17">
        <v>3</v>
      </c>
    </row>
    <row r="213" spans="1:18" ht="15.75" customHeight="1" x14ac:dyDescent="0.25">
      <c r="A213" s="37">
        <v>2023</v>
      </c>
      <c r="B213" s="35">
        <v>171270</v>
      </c>
      <c r="C213" s="33" t="str">
        <f>VLOOKUP(B213,procv!$A$2:$D$142,4,FALSE)</f>
        <v>Amor Perfeito</v>
      </c>
      <c r="D213" s="33" t="s">
        <v>77</v>
      </c>
      <c r="E213" s="17">
        <v>32</v>
      </c>
      <c r="F213" s="36">
        <f>IFERROR(E213/$Q213,0)</f>
        <v>0.1951219512195122</v>
      </c>
      <c r="G213" s="17">
        <v>1</v>
      </c>
      <c r="H213" s="36">
        <f>IFERROR(G213/$R213,0)</f>
        <v>1</v>
      </c>
      <c r="I213" s="17">
        <v>74</v>
      </c>
      <c r="J213" s="36">
        <f>IFERROR(I213/$Q213,0)</f>
        <v>0.45121951219512196</v>
      </c>
      <c r="K213" s="17">
        <v>0</v>
      </c>
      <c r="L213" s="36">
        <f>IFERROR(K213/$R213,0)</f>
        <v>0</v>
      </c>
      <c r="M213" s="17">
        <v>58</v>
      </c>
      <c r="N213" s="36">
        <f>IFERROR(M213/$Q213,0)</f>
        <v>0.35365853658536583</v>
      </c>
      <c r="O213" s="17">
        <v>0</v>
      </c>
      <c r="P213" s="36">
        <f>IFERROR(O213/$R213,0)</f>
        <v>0</v>
      </c>
      <c r="Q213" s="17">
        <v>164</v>
      </c>
      <c r="R213" s="17">
        <v>1</v>
      </c>
    </row>
    <row r="214" spans="1:18" ht="15.75" customHeight="1" x14ac:dyDescent="0.25">
      <c r="A214" s="37">
        <v>2023</v>
      </c>
      <c r="B214" s="35">
        <v>171280</v>
      </c>
      <c r="C214" s="33" t="str">
        <f>VLOOKUP(B214,procv!$A$2:$D$142,4,FALSE)</f>
        <v>Bico do Papagaio</v>
      </c>
      <c r="D214" s="33" t="s">
        <v>78</v>
      </c>
      <c r="E214" s="17">
        <v>61</v>
      </c>
      <c r="F214" s="36">
        <f>IFERROR(E214/$Q214,0)</f>
        <v>0.16266666666666665</v>
      </c>
      <c r="G214" s="17">
        <v>0</v>
      </c>
      <c r="H214" s="36">
        <f>IFERROR(G214/$R214,0)</f>
        <v>0</v>
      </c>
      <c r="I214" s="17">
        <v>150</v>
      </c>
      <c r="J214" s="36">
        <f>IFERROR(I214/$Q214,0)</f>
        <v>0.4</v>
      </c>
      <c r="K214" s="17">
        <v>0</v>
      </c>
      <c r="L214" s="36">
        <f>IFERROR(K214/$R214,0)</f>
        <v>0</v>
      </c>
      <c r="M214" s="17">
        <v>164</v>
      </c>
      <c r="N214" s="36">
        <f>IFERROR(M214/$Q214,0)</f>
        <v>0.43733333333333335</v>
      </c>
      <c r="O214" s="17">
        <v>0</v>
      </c>
      <c r="P214" s="36">
        <f>IFERROR(O214/$R214,0)</f>
        <v>0</v>
      </c>
      <c r="Q214" s="17">
        <v>375</v>
      </c>
      <c r="R214" s="17">
        <v>0</v>
      </c>
    </row>
    <row r="215" spans="1:18" ht="15.75" customHeight="1" x14ac:dyDescent="0.25">
      <c r="A215" s="37">
        <v>2023</v>
      </c>
      <c r="B215" s="35">
        <v>171320</v>
      </c>
      <c r="C215" s="33" t="str">
        <f>VLOOKUP(B215,procv!$A$2:$D$142,4,FALSE)</f>
        <v>Capim Dourado</v>
      </c>
      <c r="D215" s="33" t="s">
        <v>79</v>
      </c>
      <c r="E215" s="17">
        <v>243</v>
      </c>
      <c r="F215" s="36">
        <f>IFERROR(E215/$Q215,0)</f>
        <v>0.14412811387900357</v>
      </c>
      <c r="G215" s="17">
        <v>3</v>
      </c>
      <c r="H215" s="36">
        <f>IFERROR(G215/$R215,0)</f>
        <v>0.3</v>
      </c>
      <c r="I215" s="17">
        <v>684</v>
      </c>
      <c r="J215" s="36">
        <f>IFERROR(I215/$Q215,0)</f>
        <v>0.40569395017793597</v>
      </c>
      <c r="K215" s="17">
        <v>2</v>
      </c>
      <c r="L215" s="36">
        <f>IFERROR(K215/$R215,0)</f>
        <v>0.2</v>
      </c>
      <c r="M215" s="17">
        <v>759</v>
      </c>
      <c r="N215" s="36">
        <f>IFERROR(M215/$Q215,0)</f>
        <v>0.45017793594306049</v>
      </c>
      <c r="O215" s="17">
        <v>5</v>
      </c>
      <c r="P215" s="36">
        <f>IFERROR(O215/$R215,0)</f>
        <v>0.5</v>
      </c>
      <c r="Q215" s="16">
        <v>1686</v>
      </c>
      <c r="R215" s="17">
        <v>10</v>
      </c>
    </row>
    <row r="216" spans="1:18" ht="15.75" customHeight="1" x14ac:dyDescent="0.25">
      <c r="A216" s="37">
        <v>2023</v>
      </c>
      <c r="B216" s="35">
        <v>171330</v>
      </c>
      <c r="C216" s="33" t="str">
        <f>VLOOKUP(B216,procv!$A$2:$D$142,4,FALSE)</f>
        <v>Capim Dourado</v>
      </c>
      <c r="D216" s="33" t="s">
        <v>80</v>
      </c>
      <c r="E216" s="17">
        <v>161</v>
      </c>
      <c r="F216" s="36">
        <f>IFERROR(E216/$Q216,0)</f>
        <v>0.14636363636363636</v>
      </c>
      <c r="G216" s="17">
        <v>0</v>
      </c>
      <c r="H216" s="36">
        <f>IFERROR(G216/$R216,0)</f>
        <v>0</v>
      </c>
      <c r="I216" s="17">
        <v>471</v>
      </c>
      <c r="J216" s="36">
        <f>IFERROR(I216/$Q216,0)</f>
        <v>0.42818181818181816</v>
      </c>
      <c r="K216" s="17">
        <v>6</v>
      </c>
      <c r="L216" s="36">
        <f>IFERROR(K216/$R216,0)</f>
        <v>0.6</v>
      </c>
      <c r="M216" s="17">
        <v>468</v>
      </c>
      <c r="N216" s="36">
        <f>IFERROR(M216/$Q216,0)</f>
        <v>0.42545454545454547</v>
      </c>
      <c r="O216" s="17">
        <v>4</v>
      </c>
      <c r="P216" s="36">
        <f>IFERROR(O216/$R216,0)</f>
        <v>0.4</v>
      </c>
      <c r="Q216" s="16">
        <v>1100</v>
      </c>
      <c r="R216" s="17">
        <v>10</v>
      </c>
    </row>
    <row r="217" spans="1:18" ht="15.75" customHeight="1" x14ac:dyDescent="0.25">
      <c r="A217" s="37">
        <v>2023</v>
      </c>
      <c r="B217" s="35">
        <v>171360</v>
      </c>
      <c r="C217" s="33" t="str">
        <f>VLOOKUP(B217,procv!$A$2:$D$142,4,FALSE)</f>
        <v>Amor Perfeito</v>
      </c>
      <c r="D217" s="33" t="s">
        <v>81</v>
      </c>
      <c r="E217" s="17">
        <v>70</v>
      </c>
      <c r="F217" s="36">
        <f>IFERROR(E217/$Q217,0)</f>
        <v>0.14736842105263157</v>
      </c>
      <c r="G217" s="17">
        <v>0</v>
      </c>
      <c r="H217" s="36">
        <f>IFERROR(G217/$R217,0)</f>
        <v>0</v>
      </c>
      <c r="I217" s="17">
        <v>184</v>
      </c>
      <c r="J217" s="36">
        <f>IFERROR(I217/$Q217,0)</f>
        <v>0.38736842105263158</v>
      </c>
      <c r="K217" s="17">
        <v>0</v>
      </c>
      <c r="L217" s="36">
        <f>IFERROR(K217/$R217,0)</f>
        <v>0</v>
      </c>
      <c r="M217" s="17">
        <v>221</v>
      </c>
      <c r="N217" s="36">
        <f>IFERROR(M217/$Q217,0)</f>
        <v>0.46526315789473682</v>
      </c>
      <c r="O217" s="17">
        <v>1</v>
      </c>
      <c r="P217" s="36">
        <f>IFERROR(O217/$R217,0)</f>
        <v>1</v>
      </c>
      <c r="Q217" s="17">
        <v>475</v>
      </c>
      <c r="R217" s="17">
        <v>1</v>
      </c>
    </row>
    <row r="218" spans="1:18" ht="15.75" customHeight="1" x14ac:dyDescent="0.25">
      <c r="A218" s="37">
        <v>2023</v>
      </c>
      <c r="B218" s="35">
        <v>171370</v>
      </c>
      <c r="C218" s="33" t="str">
        <f>VLOOKUP(B218,procv!$A$2:$D$142,4,FALSE)</f>
        <v>Cantão</v>
      </c>
      <c r="D218" s="33" t="s">
        <v>82</v>
      </c>
      <c r="E218" s="17">
        <v>32</v>
      </c>
      <c r="F218" s="36">
        <f>IFERROR(E218/$Q218,0)</f>
        <v>0.12167300380228137</v>
      </c>
      <c r="G218" s="17">
        <v>0</v>
      </c>
      <c r="H218" s="36">
        <f>IFERROR(G218/$R218,0)</f>
        <v>0</v>
      </c>
      <c r="I218" s="17">
        <v>100</v>
      </c>
      <c r="J218" s="36">
        <f>IFERROR(I218/$Q218,0)</f>
        <v>0.38022813688212925</v>
      </c>
      <c r="K218" s="17">
        <v>0</v>
      </c>
      <c r="L218" s="36">
        <f>IFERROR(K218/$R218,0)</f>
        <v>0</v>
      </c>
      <c r="M218" s="17">
        <v>131</v>
      </c>
      <c r="N218" s="36">
        <f>IFERROR(M218/$Q218,0)</f>
        <v>0.49809885931558934</v>
      </c>
      <c r="O218" s="17">
        <v>1</v>
      </c>
      <c r="P218" s="36">
        <f>IFERROR(O218/$R218,0)</f>
        <v>1</v>
      </c>
      <c r="Q218" s="17">
        <v>263</v>
      </c>
      <c r="R218" s="17">
        <v>1</v>
      </c>
    </row>
    <row r="219" spans="1:18" ht="15.75" customHeight="1" x14ac:dyDescent="0.25">
      <c r="A219" s="37">
        <v>2023</v>
      </c>
      <c r="B219" s="35">
        <v>171395</v>
      </c>
      <c r="C219" s="33" t="str">
        <f>VLOOKUP(B219,procv!$A$2:$D$142,4,FALSE)</f>
        <v>Médio Norte Araguaia</v>
      </c>
      <c r="D219" s="33" t="s">
        <v>83</v>
      </c>
      <c r="E219" s="17">
        <v>57</v>
      </c>
      <c r="F219" s="36">
        <f>IFERROR(E219/$Q219,0)</f>
        <v>0.14393939393939395</v>
      </c>
      <c r="G219" s="17">
        <v>0</v>
      </c>
      <c r="H219" s="36">
        <f>IFERROR(G219/$R219,0)</f>
        <v>0</v>
      </c>
      <c r="I219" s="17">
        <v>166</v>
      </c>
      <c r="J219" s="36">
        <f>IFERROR(I219/$Q219,0)</f>
        <v>0.41919191919191917</v>
      </c>
      <c r="K219" s="17">
        <v>1</v>
      </c>
      <c r="L219" s="36">
        <f>IFERROR(K219/$R219,0)</f>
        <v>0.5</v>
      </c>
      <c r="M219" s="17">
        <v>173</v>
      </c>
      <c r="N219" s="36">
        <f>IFERROR(M219/$Q219,0)</f>
        <v>0.43686868686868685</v>
      </c>
      <c r="O219" s="17">
        <v>1</v>
      </c>
      <c r="P219" s="36">
        <f>IFERROR(O219/$R219,0)</f>
        <v>0.5</v>
      </c>
      <c r="Q219" s="17">
        <v>396</v>
      </c>
      <c r="R219" s="17">
        <v>2</v>
      </c>
    </row>
    <row r="220" spans="1:18" ht="15.75" customHeight="1" x14ac:dyDescent="0.25">
      <c r="A220" s="37">
        <v>2023</v>
      </c>
      <c r="B220" s="35">
        <v>171420</v>
      </c>
      <c r="C220" s="33" t="str">
        <f>VLOOKUP(B220,procv!$A$2:$D$142,4,FALSE)</f>
        <v>Amor Perfeito</v>
      </c>
      <c r="D220" s="33" t="s">
        <v>84</v>
      </c>
      <c r="E220" s="17">
        <v>180</v>
      </c>
      <c r="F220" s="36">
        <f>IFERROR(E220/$Q220,0)</f>
        <v>0.1762977473065622</v>
      </c>
      <c r="G220" s="17">
        <v>2</v>
      </c>
      <c r="H220" s="36">
        <f>IFERROR(G220/$R220,0)</f>
        <v>0.2</v>
      </c>
      <c r="I220" s="17">
        <v>448</v>
      </c>
      <c r="J220" s="36">
        <f>IFERROR(I220/$Q220,0)</f>
        <v>0.43878550440744368</v>
      </c>
      <c r="K220" s="17">
        <v>4</v>
      </c>
      <c r="L220" s="36">
        <f>IFERROR(K220/$R220,0)</f>
        <v>0.4</v>
      </c>
      <c r="M220" s="17">
        <v>393</v>
      </c>
      <c r="N220" s="36">
        <f>IFERROR(M220/$Q220,0)</f>
        <v>0.38491674828599415</v>
      </c>
      <c r="O220" s="17">
        <v>4</v>
      </c>
      <c r="P220" s="36">
        <f>IFERROR(O220/$R220,0)</f>
        <v>0.4</v>
      </c>
      <c r="Q220" s="16">
        <v>1021</v>
      </c>
      <c r="R220" s="17">
        <v>10</v>
      </c>
    </row>
    <row r="221" spans="1:18" ht="15.75" customHeight="1" x14ac:dyDescent="0.25">
      <c r="A221" s="37">
        <v>2023</v>
      </c>
      <c r="B221" s="35">
        <v>171430</v>
      </c>
      <c r="C221" s="33" t="str">
        <f>VLOOKUP(B221,procv!$A$2:$D$142,4,FALSE)</f>
        <v>Bico do Papagaio</v>
      </c>
      <c r="D221" s="33" t="s">
        <v>85</v>
      </c>
      <c r="E221" s="17">
        <v>70</v>
      </c>
      <c r="F221" s="36">
        <f>IFERROR(E221/$Q221,0)</f>
        <v>0.17499999999999999</v>
      </c>
      <c r="G221" s="17">
        <v>0</v>
      </c>
      <c r="H221" s="36">
        <f>IFERROR(G221/$R221,0)</f>
        <v>0</v>
      </c>
      <c r="I221" s="17">
        <v>166</v>
      </c>
      <c r="J221" s="36">
        <f>IFERROR(I221/$Q221,0)</f>
        <v>0.41499999999999998</v>
      </c>
      <c r="K221" s="17">
        <v>2</v>
      </c>
      <c r="L221" s="36">
        <f>IFERROR(K221/$R221,0)</f>
        <v>0.66666666666666663</v>
      </c>
      <c r="M221" s="17">
        <v>164</v>
      </c>
      <c r="N221" s="36">
        <f>IFERROR(M221/$Q221,0)</f>
        <v>0.41</v>
      </c>
      <c r="O221" s="17">
        <v>1</v>
      </c>
      <c r="P221" s="36">
        <f>IFERROR(O221/$R221,0)</f>
        <v>0.33333333333333331</v>
      </c>
      <c r="Q221" s="17">
        <v>400</v>
      </c>
      <c r="R221" s="17">
        <v>3</v>
      </c>
    </row>
    <row r="222" spans="1:18" ht="15.75" customHeight="1" x14ac:dyDescent="0.25">
      <c r="A222" s="37">
        <v>2023</v>
      </c>
      <c r="B222" s="35">
        <v>171488</v>
      </c>
      <c r="C222" s="33" t="str">
        <f>VLOOKUP(B222,procv!$A$2:$D$142,4,FALSE)</f>
        <v>Médio Norte Araguaia</v>
      </c>
      <c r="D222" s="33" t="s">
        <v>86</v>
      </c>
      <c r="E222" s="17">
        <v>73</v>
      </c>
      <c r="F222" s="36">
        <f>IFERROR(E222/$Q222,0)</f>
        <v>0.1483739837398374</v>
      </c>
      <c r="G222" s="17">
        <v>0</v>
      </c>
      <c r="H222" s="36">
        <f>IFERROR(G222/$R222,0)</f>
        <v>0</v>
      </c>
      <c r="I222" s="17">
        <v>190</v>
      </c>
      <c r="J222" s="36">
        <f>IFERROR(I222/$Q222,0)</f>
        <v>0.38617886178861788</v>
      </c>
      <c r="K222" s="17">
        <v>1</v>
      </c>
      <c r="L222" s="36">
        <f>IFERROR(K222/$R222,0)</f>
        <v>0.33333333333333331</v>
      </c>
      <c r="M222" s="17">
        <v>229</v>
      </c>
      <c r="N222" s="36">
        <f>IFERROR(M222/$Q222,0)</f>
        <v>0.46544715447154472</v>
      </c>
      <c r="O222" s="17">
        <v>2</v>
      </c>
      <c r="P222" s="36">
        <f>IFERROR(O222/$R222,0)</f>
        <v>0.66666666666666663</v>
      </c>
      <c r="Q222" s="17">
        <v>492</v>
      </c>
      <c r="R222" s="17">
        <v>3</v>
      </c>
    </row>
    <row r="223" spans="1:18" ht="15.75" customHeight="1" x14ac:dyDescent="0.25">
      <c r="A223" s="37">
        <v>2023</v>
      </c>
      <c r="B223" s="35">
        <v>171500</v>
      </c>
      <c r="C223" s="33" t="str">
        <f>VLOOKUP(B223,procv!$A$2:$D$142,4,FALSE)</f>
        <v>Cantão</v>
      </c>
      <c r="D223" s="33" t="s">
        <v>87</v>
      </c>
      <c r="E223" s="17">
        <v>73</v>
      </c>
      <c r="F223" s="36">
        <f>IFERROR(E223/$Q223,0)</f>
        <v>0.15082644628099173</v>
      </c>
      <c r="G223" s="17">
        <v>2</v>
      </c>
      <c r="H223" s="36">
        <f>IFERROR(G223/$R223,0)</f>
        <v>1</v>
      </c>
      <c r="I223" s="17">
        <v>198</v>
      </c>
      <c r="J223" s="36">
        <f>IFERROR(I223/$Q223,0)</f>
        <v>0.40909090909090912</v>
      </c>
      <c r="K223" s="17">
        <v>0</v>
      </c>
      <c r="L223" s="36">
        <f>IFERROR(K223/$R223,0)</f>
        <v>0</v>
      </c>
      <c r="M223" s="17">
        <v>213</v>
      </c>
      <c r="N223" s="36">
        <f>IFERROR(M223/$Q223,0)</f>
        <v>0.44008264462809915</v>
      </c>
      <c r="O223" s="17">
        <v>0</v>
      </c>
      <c r="P223" s="36">
        <f>IFERROR(O223/$R223,0)</f>
        <v>0</v>
      </c>
      <c r="Q223" s="17">
        <v>484</v>
      </c>
      <c r="R223" s="17">
        <v>2</v>
      </c>
    </row>
    <row r="224" spans="1:18" ht="15.75" customHeight="1" x14ac:dyDescent="0.25">
      <c r="A224" s="37">
        <v>2023</v>
      </c>
      <c r="B224" s="35">
        <v>171510</v>
      </c>
      <c r="C224" s="33" t="str">
        <f>VLOOKUP(B224,procv!$A$2:$D$142,4,FALSE)</f>
        <v>Capim Dourado</v>
      </c>
      <c r="D224" s="33" t="s">
        <v>88</v>
      </c>
      <c r="E224" s="17">
        <v>46</v>
      </c>
      <c r="F224" s="36">
        <f>IFERROR(E224/$Q224,0)</f>
        <v>0.15753424657534246</v>
      </c>
      <c r="G224" s="17">
        <v>0</v>
      </c>
      <c r="H224" s="36">
        <f>IFERROR(G224/$R224,0)</f>
        <v>0</v>
      </c>
      <c r="I224" s="17">
        <v>113</v>
      </c>
      <c r="J224" s="36">
        <f>IFERROR(I224/$Q224,0)</f>
        <v>0.38698630136986301</v>
      </c>
      <c r="K224" s="17">
        <v>0</v>
      </c>
      <c r="L224" s="36">
        <f>IFERROR(K224/$R224,0)</f>
        <v>0</v>
      </c>
      <c r="M224" s="17">
        <v>133</v>
      </c>
      <c r="N224" s="36">
        <f>IFERROR(M224/$Q224,0)</f>
        <v>0.45547945205479451</v>
      </c>
      <c r="O224" s="17">
        <v>1</v>
      </c>
      <c r="P224" s="36">
        <f>IFERROR(O224/$R224,0)</f>
        <v>1</v>
      </c>
      <c r="Q224" s="17">
        <v>292</v>
      </c>
      <c r="R224" s="17">
        <v>1</v>
      </c>
    </row>
    <row r="225" spans="1:18" ht="15.75" customHeight="1" x14ac:dyDescent="0.25">
      <c r="A225" s="37">
        <v>2023</v>
      </c>
      <c r="B225" s="35">
        <v>171515</v>
      </c>
      <c r="C225" s="33" t="str">
        <f>VLOOKUP(B225,procv!$A$2:$D$142,4,FALSE)</f>
        <v>Sudeste</v>
      </c>
      <c r="D225" s="33" t="s">
        <v>89</v>
      </c>
      <c r="E225" s="17">
        <v>68</v>
      </c>
      <c r="F225" s="36">
        <f>IFERROR(E225/$Q225,0)</f>
        <v>0.22972972972972974</v>
      </c>
      <c r="G225" s="17">
        <v>0</v>
      </c>
      <c r="H225" s="36">
        <f>IFERROR(G225/$R225,0)</f>
        <v>0</v>
      </c>
      <c r="I225" s="17">
        <v>130</v>
      </c>
      <c r="J225" s="36">
        <f>IFERROR(I225/$Q225,0)</f>
        <v>0.4391891891891892</v>
      </c>
      <c r="K225" s="17">
        <v>0</v>
      </c>
      <c r="L225" s="36">
        <f>IFERROR(K225/$R225,0)</f>
        <v>0</v>
      </c>
      <c r="M225" s="17">
        <v>98</v>
      </c>
      <c r="N225" s="36">
        <f>IFERROR(M225/$Q225,0)</f>
        <v>0.33108108108108109</v>
      </c>
      <c r="O225" s="17">
        <v>0</v>
      </c>
      <c r="P225" s="36">
        <f>IFERROR(O225/$R225,0)</f>
        <v>0</v>
      </c>
      <c r="Q225" s="17">
        <v>296</v>
      </c>
      <c r="R225" s="17">
        <v>0</v>
      </c>
    </row>
    <row r="226" spans="1:18" ht="15.75" customHeight="1" x14ac:dyDescent="0.25">
      <c r="A226" s="37">
        <v>2023</v>
      </c>
      <c r="B226" s="35">
        <v>171525</v>
      </c>
      <c r="C226" s="33" t="str">
        <f>VLOOKUP(B226,procv!$A$2:$D$142,4,FALSE)</f>
        <v>Sudeste</v>
      </c>
      <c r="D226" s="33" t="s">
        <v>90</v>
      </c>
      <c r="E226" s="17">
        <v>0</v>
      </c>
      <c r="F226" s="36">
        <f>IFERROR(E226/$Q226,0)</f>
        <v>0</v>
      </c>
      <c r="G226" s="17">
        <v>0</v>
      </c>
      <c r="H226" s="36">
        <f>IFERROR(G226/$R226,0)</f>
        <v>0</v>
      </c>
      <c r="I226" s="17">
        <v>1</v>
      </c>
      <c r="J226" s="36">
        <f>IFERROR(I226/$Q226,0)</f>
        <v>1</v>
      </c>
      <c r="K226" s="17">
        <v>0</v>
      </c>
      <c r="L226" s="36">
        <f>IFERROR(K226/$R226,0)</f>
        <v>0</v>
      </c>
      <c r="M226" s="17">
        <v>0</v>
      </c>
      <c r="N226" s="36">
        <f>IFERROR(M226/$Q226,0)</f>
        <v>0</v>
      </c>
      <c r="O226" s="17">
        <v>0</v>
      </c>
      <c r="P226" s="36">
        <f>IFERROR(O226/$R226,0)</f>
        <v>0</v>
      </c>
      <c r="Q226" s="17">
        <v>1</v>
      </c>
      <c r="R226" s="17">
        <v>0</v>
      </c>
    </row>
    <row r="227" spans="1:18" ht="15.75" customHeight="1" x14ac:dyDescent="0.25">
      <c r="A227" s="37">
        <v>2023</v>
      </c>
      <c r="B227" s="35">
        <v>171550</v>
      </c>
      <c r="C227" s="33" t="str">
        <f>VLOOKUP(B227,procv!$A$2:$D$142,4,FALSE)</f>
        <v>Amor Perfeito</v>
      </c>
      <c r="D227" s="33" t="s">
        <v>91</v>
      </c>
      <c r="E227" s="17">
        <v>20</v>
      </c>
      <c r="F227" s="36">
        <f>IFERROR(E227/$Q227,0)</f>
        <v>0.13698630136986301</v>
      </c>
      <c r="G227" s="17">
        <v>0</v>
      </c>
      <c r="H227" s="36">
        <f>IFERROR(G227/$R227,0)</f>
        <v>0</v>
      </c>
      <c r="I227" s="17">
        <v>57</v>
      </c>
      <c r="J227" s="36">
        <f>IFERROR(I227/$Q227,0)</f>
        <v>0.3904109589041096</v>
      </c>
      <c r="K227" s="17">
        <v>0</v>
      </c>
      <c r="L227" s="36">
        <f>IFERROR(K227/$R227,0)</f>
        <v>0</v>
      </c>
      <c r="M227" s="17">
        <v>69</v>
      </c>
      <c r="N227" s="36">
        <f>IFERROR(M227/$Q227,0)</f>
        <v>0.4726027397260274</v>
      </c>
      <c r="O227" s="17">
        <v>0</v>
      </c>
      <c r="P227" s="36">
        <f>IFERROR(O227/$R227,0)</f>
        <v>0</v>
      </c>
      <c r="Q227" s="17">
        <v>146</v>
      </c>
      <c r="R227" s="17">
        <v>0</v>
      </c>
    </row>
    <row r="228" spans="1:18" ht="15.75" customHeight="1" x14ac:dyDescent="0.25">
      <c r="A228" s="37">
        <v>2023</v>
      </c>
      <c r="B228" s="35">
        <v>172100</v>
      </c>
      <c r="C228" s="33" t="str">
        <f>VLOOKUP(B228,procv!$A$2:$D$142,4,FALSE)</f>
        <v>Capim Dourado</v>
      </c>
      <c r="D228" s="33" t="s">
        <v>92</v>
      </c>
      <c r="E228" s="16">
        <v>1406</v>
      </c>
      <c r="F228" s="36">
        <f>IFERROR(E228/$Q228,0)</f>
        <v>0.12764412165229233</v>
      </c>
      <c r="G228" s="17">
        <v>13</v>
      </c>
      <c r="H228" s="36">
        <f>IFERROR(G228/$R228,0)</f>
        <v>0.13978494623655913</v>
      </c>
      <c r="I228" s="16">
        <v>4395</v>
      </c>
      <c r="J228" s="36">
        <f>IFERROR(I228/$Q228,0)</f>
        <v>0.39900136177939172</v>
      </c>
      <c r="K228" s="17">
        <v>37</v>
      </c>
      <c r="L228" s="36">
        <f>IFERROR(K228/$R228,0)</f>
        <v>0.39784946236559138</v>
      </c>
      <c r="M228" s="16">
        <v>5214</v>
      </c>
      <c r="N228" s="36">
        <f>IFERROR(M228/$Q228,0)</f>
        <v>0.47335451656831595</v>
      </c>
      <c r="O228" s="17">
        <v>43</v>
      </c>
      <c r="P228" s="36">
        <f>IFERROR(O228/$R228,0)</f>
        <v>0.46236559139784944</v>
      </c>
      <c r="Q228" s="16">
        <v>11015</v>
      </c>
      <c r="R228" s="17">
        <v>93</v>
      </c>
    </row>
    <row r="229" spans="1:18" ht="15.75" customHeight="1" x14ac:dyDescent="0.25">
      <c r="A229" s="37">
        <v>2023</v>
      </c>
      <c r="B229" s="35">
        <v>171570</v>
      </c>
      <c r="C229" s="33" t="str">
        <f>VLOOKUP(B229,procv!$A$2:$D$142,4,FALSE)</f>
        <v>Cerrado Tocantins Araguaia</v>
      </c>
      <c r="D229" s="33" t="s">
        <v>93</v>
      </c>
      <c r="E229" s="17">
        <v>91</v>
      </c>
      <c r="F229" s="36">
        <f>IFERROR(E229/$Q229,0)</f>
        <v>0.17300380228136883</v>
      </c>
      <c r="G229" s="17">
        <v>1</v>
      </c>
      <c r="H229" s="36">
        <f>IFERROR(G229/$R229,0)</f>
        <v>0.33333333333333331</v>
      </c>
      <c r="I229" s="17">
        <v>239</v>
      </c>
      <c r="J229" s="36">
        <f>IFERROR(I229/$Q229,0)</f>
        <v>0.45437262357414449</v>
      </c>
      <c r="K229" s="17">
        <v>2</v>
      </c>
      <c r="L229" s="36">
        <f>IFERROR(K229/$R229,0)</f>
        <v>0.66666666666666663</v>
      </c>
      <c r="M229" s="17">
        <v>196</v>
      </c>
      <c r="N229" s="36">
        <f>IFERROR(M229/$Q229,0)</f>
        <v>0.37262357414448671</v>
      </c>
      <c r="O229" s="17">
        <v>0</v>
      </c>
      <c r="P229" s="36">
        <f>IFERROR(O229/$R229,0)</f>
        <v>0</v>
      </c>
      <c r="Q229" s="17">
        <v>526</v>
      </c>
      <c r="R229" s="17">
        <v>3</v>
      </c>
    </row>
    <row r="230" spans="1:18" ht="15.75" customHeight="1" x14ac:dyDescent="0.25">
      <c r="A230" s="37">
        <v>2023</v>
      </c>
      <c r="B230" s="35">
        <v>171380</v>
      </c>
      <c r="C230" s="33" t="str">
        <f>VLOOKUP(B230,procv!$A$2:$D$142,4,FALSE)</f>
        <v>Bico do Papagaio</v>
      </c>
      <c r="D230" s="33" t="s">
        <v>94</v>
      </c>
      <c r="E230" s="17">
        <v>2</v>
      </c>
      <c r="F230" s="36">
        <f>IFERROR(E230/$Q230,0)</f>
        <v>0.10526315789473684</v>
      </c>
      <c r="G230" s="17">
        <v>0</v>
      </c>
      <c r="H230" s="36">
        <f>IFERROR(G230/$R230,0)</f>
        <v>0</v>
      </c>
      <c r="I230" s="17">
        <v>9</v>
      </c>
      <c r="J230" s="36">
        <f>IFERROR(I230/$Q230,0)</f>
        <v>0.47368421052631576</v>
      </c>
      <c r="K230" s="17">
        <v>1</v>
      </c>
      <c r="L230" s="36">
        <f>IFERROR(K230/$R230,0)</f>
        <v>1</v>
      </c>
      <c r="M230" s="17">
        <v>8</v>
      </c>
      <c r="N230" s="36">
        <f>IFERROR(M230/$Q230,0)</f>
        <v>0.42105263157894735</v>
      </c>
      <c r="O230" s="17">
        <v>0</v>
      </c>
      <c r="P230" s="36">
        <f>IFERROR(O230/$R230,0)</f>
        <v>0</v>
      </c>
      <c r="Q230" s="17">
        <v>19</v>
      </c>
      <c r="R230" s="17">
        <v>1</v>
      </c>
    </row>
    <row r="231" spans="1:18" ht="15.75" customHeight="1" x14ac:dyDescent="0.25">
      <c r="A231" s="37">
        <v>2023</v>
      </c>
      <c r="B231" s="35">
        <v>171575</v>
      </c>
      <c r="C231" s="33" t="str">
        <f>VLOOKUP(B231,procv!$A$2:$D$142,4,FALSE)</f>
        <v>Ilha do Bananal</v>
      </c>
      <c r="D231" s="33" t="s">
        <v>95</v>
      </c>
      <c r="E231" s="17">
        <v>125</v>
      </c>
      <c r="F231" s="36">
        <f>IFERROR(E231/$Q231,0)</f>
        <v>0.15432098765432098</v>
      </c>
      <c r="G231" s="17">
        <v>1</v>
      </c>
      <c r="H231" s="36">
        <f>IFERROR(G231/$R231,0)</f>
        <v>0.5</v>
      </c>
      <c r="I231" s="17">
        <v>368</v>
      </c>
      <c r="J231" s="36">
        <f>IFERROR(I231/$Q231,0)</f>
        <v>0.454320987654321</v>
      </c>
      <c r="K231" s="17">
        <v>1</v>
      </c>
      <c r="L231" s="36">
        <f>IFERROR(K231/$R231,0)</f>
        <v>0.5</v>
      </c>
      <c r="M231" s="17">
        <v>317</v>
      </c>
      <c r="N231" s="36">
        <f>IFERROR(M231/$Q231,0)</f>
        <v>0.391358024691358</v>
      </c>
      <c r="O231" s="17">
        <v>0</v>
      </c>
      <c r="P231" s="36">
        <f>IFERROR(O231/$R231,0)</f>
        <v>0</v>
      </c>
      <c r="Q231" s="17">
        <v>810</v>
      </c>
      <c r="R231" s="17">
        <v>2</v>
      </c>
    </row>
    <row r="232" spans="1:18" ht="15.75" customHeight="1" x14ac:dyDescent="0.25">
      <c r="A232" s="37">
        <v>2023</v>
      </c>
      <c r="B232" s="35">
        <v>171610</v>
      </c>
      <c r="C232" s="33" t="str">
        <f>VLOOKUP(B232,procv!$A$2:$D$142,4,FALSE)</f>
        <v>Cantão</v>
      </c>
      <c r="D232" s="33" t="s">
        <v>96</v>
      </c>
      <c r="E232" s="17">
        <v>507</v>
      </c>
      <c r="F232" s="36">
        <f>IFERROR(E232/$Q232,0)</f>
        <v>0.1517509727626459</v>
      </c>
      <c r="G232" s="17">
        <v>1</v>
      </c>
      <c r="H232" s="36">
        <f>IFERROR(G232/$R232,0)</f>
        <v>0.1111111111111111</v>
      </c>
      <c r="I232" s="16">
        <v>1328</v>
      </c>
      <c r="J232" s="36">
        <f>IFERROR(I232/$Q232,0)</f>
        <v>0.39748578269979046</v>
      </c>
      <c r="K232" s="17">
        <v>1</v>
      </c>
      <c r="L232" s="36">
        <f>IFERROR(K232/$R232,0)</f>
        <v>0.1111111111111111</v>
      </c>
      <c r="M232" s="16">
        <v>1506</v>
      </c>
      <c r="N232" s="36">
        <f>IFERROR(M232/$Q232,0)</f>
        <v>0.45076324453756361</v>
      </c>
      <c r="O232" s="17">
        <v>7</v>
      </c>
      <c r="P232" s="36">
        <f>IFERROR(O232/$R232,0)</f>
        <v>0.77777777777777779</v>
      </c>
      <c r="Q232" s="16">
        <v>3341</v>
      </c>
      <c r="R232" s="17">
        <v>9</v>
      </c>
    </row>
    <row r="233" spans="1:18" ht="15.75" customHeight="1" x14ac:dyDescent="0.25">
      <c r="A233" s="37">
        <v>2023</v>
      </c>
      <c r="B233" s="35">
        <v>171620</v>
      </c>
      <c r="C233" s="33" t="str">
        <f>VLOOKUP(B233,procv!$A$2:$D$142,4,FALSE)</f>
        <v>Sudeste</v>
      </c>
      <c r="D233" s="33" t="s">
        <v>97</v>
      </c>
      <c r="E233" s="17">
        <v>202</v>
      </c>
      <c r="F233" s="36">
        <f>IFERROR(E233/$Q233,0)</f>
        <v>0.25</v>
      </c>
      <c r="G233" s="17">
        <v>0</v>
      </c>
      <c r="H233" s="36">
        <f>IFERROR(G233/$R233,0)</f>
        <v>0</v>
      </c>
      <c r="I233" s="17">
        <v>328</v>
      </c>
      <c r="J233" s="36">
        <f>IFERROR(I233/$Q233,0)</f>
        <v>0.40594059405940597</v>
      </c>
      <c r="K233" s="17">
        <v>4</v>
      </c>
      <c r="L233" s="36">
        <f>IFERROR(K233/$R233,0)</f>
        <v>0.5</v>
      </c>
      <c r="M233" s="17">
        <v>278</v>
      </c>
      <c r="N233" s="36">
        <f>IFERROR(M233/$Q233,0)</f>
        <v>0.34405940594059403</v>
      </c>
      <c r="O233" s="17">
        <v>4</v>
      </c>
      <c r="P233" s="36">
        <f>IFERROR(O233/$R233,0)</f>
        <v>0.5</v>
      </c>
      <c r="Q233" s="17">
        <v>808</v>
      </c>
      <c r="R233" s="17">
        <v>8</v>
      </c>
    </row>
    <row r="234" spans="1:18" ht="15.75" customHeight="1" x14ac:dyDescent="0.25">
      <c r="A234" s="37">
        <v>2023</v>
      </c>
      <c r="B234" s="35">
        <v>171630</v>
      </c>
      <c r="C234" s="33" t="str">
        <f>VLOOKUP(B234,procv!$A$2:$D$142,4,FALSE)</f>
        <v>Médio Norte Araguaia</v>
      </c>
      <c r="D234" s="33" t="s">
        <v>98</v>
      </c>
      <c r="E234" s="17">
        <v>52</v>
      </c>
      <c r="F234" s="36">
        <f>IFERROR(E234/$Q234,0)</f>
        <v>0.1368421052631579</v>
      </c>
      <c r="G234" s="17">
        <v>0</v>
      </c>
      <c r="H234" s="36">
        <f>IFERROR(G234/$R234,0)</f>
        <v>0</v>
      </c>
      <c r="I234" s="17">
        <v>147</v>
      </c>
      <c r="J234" s="36">
        <f>IFERROR(I234/$Q234,0)</f>
        <v>0.38684210526315788</v>
      </c>
      <c r="K234" s="17">
        <v>0</v>
      </c>
      <c r="L234" s="36">
        <f>IFERROR(K234/$R234,0)</f>
        <v>0</v>
      </c>
      <c r="M234" s="17">
        <v>181</v>
      </c>
      <c r="N234" s="36">
        <f>IFERROR(M234/$Q234,0)</f>
        <v>0.47631578947368419</v>
      </c>
      <c r="O234" s="17">
        <v>3</v>
      </c>
      <c r="P234" s="36">
        <f>IFERROR(O234/$R234,0)</f>
        <v>1</v>
      </c>
      <c r="Q234" s="17">
        <v>380</v>
      </c>
      <c r="R234" s="17">
        <v>3</v>
      </c>
    </row>
    <row r="235" spans="1:18" ht="15.75" customHeight="1" x14ac:dyDescent="0.25">
      <c r="A235" s="37">
        <v>2023</v>
      </c>
      <c r="B235" s="35">
        <v>171650</v>
      </c>
      <c r="C235" s="33" t="str">
        <f>VLOOKUP(B235,procv!$A$2:$D$142,4,FALSE)</f>
        <v>Cerrado Tocantins Araguaia</v>
      </c>
      <c r="D235" s="33" t="s">
        <v>99</v>
      </c>
      <c r="E235" s="17">
        <v>129</v>
      </c>
      <c r="F235" s="36">
        <f>IFERROR(E235/$Q235,0)</f>
        <v>0.12951807228915663</v>
      </c>
      <c r="G235" s="17">
        <v>0</v>
      </c>
      <c r="H235" s="36">
        <f>IFERROR(G235/$R235,0)</f>
        <v>0</v>
      </c>
      <c r="I235" s="17">
        <v>385</v>
      </c>
      <c r="J235" s="36">
        <f>IFERROR(I235/$Q235,0)</f>
        <v>0.3865461847389558</v>
      </c>
      <c r="K235" s="17">
        <v>1</v>
      </c>
      <c r="L235" s="36">
        <f>IFERROR(K235/$R235,0)</f>
        <v>0.25</v>
      </c>
      <c r="M235" s="17">
        <v>482</v>
      </c>
      <c r="N235" s="36">
        <f>IFERROR(M235/$Q235,0)</f>
        <v>0.48393574297188757</v>
      </c>
      <c r="O235" s="17">
        <v>3</v>
      </c>
      <c r="P235" s="36">
        <f>IFERROR(O235/$R235,0)</f>
        <v>0.75</v>
      </c>
      <c r="Q235" s="17">
        <v>996</v>
      </c>
      <c r="R235" s="17">
        <v>4</v>
      </c>
    </row>
    <row r="236" spans="1:18" ht="15.75" customHeight="1" x14ac:dyDescent="0.25">
      <c r="A236" s="37">
        <v>2023</v>
      </c>
      <c r="B236" s="35">
        <v>171660</v>
      </c>
      <c r="C236" s="33" t="str">
        <f>VLOOKUP(B236,procv!$A$2:$D$142,4,FALSE)</f>
        <v>Ilha do Bananal</v>
      </c>
      <c r="D236" s="33" t="s">
        <v>100</v>
      </c>
      <c r="E236" s="17">
        <v>160</v>
      </c>
      <c r="F236" s="36">
        <f>IFERROR(E236/$Q236,0)</f>
        <v>0.148975791433892</v>
      </c>
      <c r="G236" s="17">
        <v>1</v>
      </c>
      <c r="H236" s="36">
        <f>IFERROR(G236/$R236,0)</f>
        <v>0.2</v>
      </c>
      <c r="I236" s="17">
        <v>410</v>
      </c>
      <c r="J236" s="36">
        <f>IFERROR(I236/$Q236,0)</f>
        <v>0.38175046554934822</v>
      </c>
      <c r="K236" s="17">
        <v>1</v>
      </c>
      <c r="L236" s="36">
        <f>IFERROR(K236/$R236,0)</f>
        <v>0.2</v>
      </c>
      <c r="M236" s="17">
        <v>504</v>
      </c>
      <c r="N236" s="36">
        <f>IFERROR(M236/$Q236,0)</f>
        <v>0.46927374301675978</v>
      </c>
      <c r="O236" s="17">
        <v>3</v>
      </c>
      <c r="P236" s="36">
        <f>IFERROR(O236/$R236,0)</f>
        <v>0.6</v>
      </c>
      <c r="Q236" s="16">
        <v>1074</v>
      </c>
      <c r="R236" s="17">
        <v>5</v>
      </c>
    </row>
    <row r="237" spans="1:18" ht="15.75" customHeight="1" x14ac:dyDescent="0.25">
      <c r="A237" s="37">
        <v>2023</v>
      </c>
      <c r="B237" s="35">
        <v>171665</v>
      </c>
      <c r="C237" s="33" t="str">
        <f>VLOOKUP(B237,procv!$A$2:$D$142,4,FALSE)</f>
        <v>Cerrado Tocantins Araguaia</v>
      </c>
      <c r="D237" s="33" t="s">
        <v>101</v>
      </c>
      <c r="E237" s="17">
        <v>69</v>
      </c>
      <c r="F237" s="36">
        <f>IFERROR(E237/$Q237,0)</f>
        <v>0.12754158964879853</v>
      </c>
      <c r="G237" s="17">
        <v>0</v>
      </c>
      <c r="H237" s="36">
        <f>IFERROR(G237/$R237,0)</f>
        <v>0</v>
      </c>
      <c r="I237" s="17">
        <v>220</v>
      </c>
      <c r="J237" s="36">
        <f>IFERROR(I237/$Q237,0)</f>
        <v>0.40665434380776339</v>
      </c>
      <c r="K237" s="17">
        <v>1</v>
      </c>
      <c r="L237" s="36">
        <f>IFERROR(K237/$R237,0)</f>
        <v>0.5</v>
      </c>
      <c r="M237" s="17">
        <v>252</v>
      </c>
      <c r="N237" s="36">
        <f>IFERROR(M237/$Q237,0)</f>
        <v>0.46580406654343809</v>
      </c>
      <c r="O237" s="17">
        <v>1</v>
      </c>
      <c r="P237" s="36">
        <f>IFERROR(O237/$R237,0)</f>
        <v>0.5</v>
      </c>
      <c r="Q237" s="17">
        <v>541</v>
      </c>
      <c r="R237" s="17">
        <v>2</v>
      </c>
    </row>
    <row r="238" spans="1:18" ht="15.75" customHeight="1" x14ac:dyDescent="0.25">
      <c r="A238" s="37">
        <v>2023</v>
      </c>
      <c r="B238" s="35">
        <v>171700</v>
      </c>
      <c r="C238" s="33" t="str">
        <f>VLOOKUP(B238,procv!$A$2:$D$142,4,FALSE)</f>
        <v>Amor Perfeito</v>
      </c>
      <c r="D238" s="33" t="s">
        <v>102</v>
      </c>
      <c r="E238" s="17">
        <v>106</v>
      </c>
      <c r="F238" s="36">
        <f>IFERROR(E238/$Q238,0)</f>
        <v>0.19413919413919414</v>
      </c>
      <c r="G238" s="17">
        <v>1</v>
      </c>
      <c r="H238" s="36">
        <f>IFERROR(G238/$R238,0)</f>
        <v>0.33333333333333331</v>
      </c>
      <c r="I238" s="17">
        <v>197</v>
      </c>
      <c r="J238" s="36">
        <f>IFERROR(I238/$Q238,0)</f>
        <v>0.3608058608058608</v>
      </c>
      <c r="K238" s="17">
        <v>0</v>
      </c>
      <c r="L238" s="36">
        <f>IFERROR(K238/$R238,0)</f>
        <v>0</v>
      </c>
      <c r="M238" s="17">
        <v>243</v>
      </c>
      <c r="N238" s="36">
        <f>IFERROR(M238/$Q238,0)</f>
        <v>0.44505494505494503</v>
      </c>
      <c r="O238" s="17">
        <v>2</v>
      </c>
      <c r="P238" s="36">
        <f>IFERROR(O238/$R238,0)</f>
        <v>0.66666666666666663</v>
      </c>
      <c r="Q238" s="17">
        <v>546</v>
      </c>
      <c r="R238" s="17">
        <v>3</v>
      </c>
    </row>
    <row r="239" spans="1:18" ht="15.75" customHeight="1" x14ac:dyDescent="0.25">
      <c r="A239" s="37">
        <v>2023</v>
      </c>
      <c r="B239" s="35">
        <v>171720</v>
      </c>
      <c r="C239" s="33" t="str">
        <f>VLOOKUP(B239,procv!$A$2:$D$142,4,FALSE)</f>
        <v>Médio Norte Araguaia</v>
      </c>
      <c r="D239" s="33" t="s">
        <v>103</v>
      </c>
      <c r="E239" s="17">
        <v>35</v>
      </c>
      <c r="F239" s="36">
        <f>IFERROR(E239/$Q239,0)</f>
        <v>0.13833992094861661</v>
      </c>
      <c r="G239" s="17">
        <v>1</v>
      </c>
      <c r="H239" s="36">
        <f>IFERROR(G239/$R239,0)</f>
        <v>1</v>
      </c>
      <c r="I239" s="17">
        <v>96</v>
      </c>
      <c r="J239" s="36">
        <f>IFERROR(I239/$Q239,0)</f>
        <v>0.37944664031620551</v>
      </c>
      <c r="K239" s="17">
        <v>0</v>
      </c>
      <c r="L239" s="36">
        <f>IFERROR(K239/$R239,0)</f>
        <v>0</v>
      </c>
      <c r="M239" s="17">
        <v>122</v>
      </c>
      <c r="N239" s="36">
        <f>IFERROR(M239/$Q239,0)</f>
        <v>0.48221343873517786</v>
      </c>
      <c r="O239" s="17">
        <v>0</v>
      </c>
      <c r="P239" s="36">
        <f>IFERROR(O239/$R239,0)</f>
        <v>0</v>
      </c>
      <c r="Q239" s="17">
        <v>253</v>
      </c>
      <c r="R239" s="17">
        <v>1</v>
      </c>
    </row>
    <row r="240" spans="1:18" ht="15.75" customHeight="1" x14ac:dyDescent="0.25">
      <c r="A240" s="37">
        <v>2023</v>
      </c>
      <c r="B240" s="35">
        <v>171750</v>
      </c>
      <c r="C240" s="33" t="str">
        <f>VLOOKUP(B240,procv!$A$2:$D$142,4,FALSE)</f>
        <v>Cantão</v>
      </c>
      <c r="D240" s="33" t="s">
        <v>104</v>
      </c>
      <c r="E240" s="17">
        <v>88</v>
      </c>
      <c r="F240" s="36">
        <f>IFERROR(E240/$Q240,0)</f>
        <v>0.14740368509212731</v>
      </c>
      <c r="G240" s="17">
        <v>2</v>
      </c>
      <c r="H240" s="36">
        <f>IFERROR(G240/$R240,0)</f>
        <v>0.66666666666666663</v>
      </c>
      <c r="I240" s="17">
        <v>263</v>
      </c>
      <c r="J240" s="36">
        <f>IFERROR(I240/$Q240,0)</f>
        <v>0.44053601340033499</v>
      </c>
      <c r="K240" s="17">
        <v>1</v>
      </c>
      <c r="L240" s="36">
        <f>IFERROR(K240/$R240,0)</f>
        <v>0.33333333333333331</v>
      </c>
      <c r="M240" s="17">
        <v>246</v>
      </c>
      <c r="N240" s="36">
        <f>IFERROR(M240/$Q240,0)</f>
        <v>0.4120603015075377</v>
      </c>
      <c r="O240" s="17">
        <v>0</v>
      </c>
      <c r="P240" s="36">
        <f>IFERROR(O240/$R240,0)</f>
        <v>0</v>
      </c>
      <c r="Q240" s="17">
        <v>597</v>
      </c>
      <c r="R240" s="17">
        <v>3</v>
      </c>
    </row>
    <row r="241" spans="1:18" ht="15.75" customHeight="1" x14ac:dyDescent="0.25">
      <c r="A241" s="37">
        <v>2023</v>
      </c>
      <c r="B241" s="35">
        <v>171780</v>
      </c>
      <c r="C241" s="33" t="str">
        <f>VLOOKUP(B241,procv!$A$2:$D$142,4,FALSE)</f>
        <v>Sudeste</v>
      </c>
      <c r="D241" s="33" t="s">
        <v>105</v>
      </c>
      <c r="E241" s="17">
        <v>85</v>
      </c>
      <c r="F241" s="36">
        <f>IFERROR(E241/$Q241,0)</f>
        <v>0.19721577726218098</v>
      </c>
      <c r="G241" s="17">
        <v>0</v>
      </c>
      <c r="H241" s="36">
        <f>IFERROR(G241/$R241,0)</f>
        <v>0</v>
      </c>
      <c r="I241" s="17">
        <v>172</v>
      </c>
      <c r="J241" s="36">
        <f>IFERROR(I241/$Q241,0)</f>
        <v>0.39907192575406031</v>
      </c>
      <c r="K241" s="17">
        <v>0</v>
      </c>
      <c r="L241" s="36">
        <f>IFERROR(K241/$R241,0)</f>
        <v>0</v>
      </c>
      <c r="M241" s="17">
        <v>174</v>
      </c>
      <c r="N241" s="36">
        <f>IFERROR(M241/$Q241,0)</f>
        <v>0.40371229698375871</v>
      </c>
      <c r="O241" s="17">
        <v>2</v>
      </c>
      <c r="P241" s="36">
        <f>IFERROR(O241/$R241,0)</f>
        <v>1</v>
      </c>
      <c r="Q241" s="17">
        <v>431</v>
      </c>
      <c r="R241" s="17">
        <v>2</v>
      </c>
    </row>
    <row r="242" spans="1:18" ht="15.75" customHeight="1" x14ac:dyDescent="0.25">
      <c r="A242" s="37">
        <v>2023</v>
      </c>
      <c r="B242" s="35">
        <v>171790</v>
      </c>
      <c r="C242" s="33" t="str">
        <f>VLOOKUP(B242,procv!$A$2:$D$142,4,FALSE)</f>
        <v>Amor Perfeito</v>
      </c>
      <c r="D242" s="33" t="s">
        <v>106</v>
      </c>
      <c r="E242" s="17">
        <v>86</v>
      </c>
      <c r="F242" s="36">
        <f>IFERROR(E242/$Q242,0)</f>
        <v>0.17165668662674652</v>
      </c>
      <c r="G242" s="17">
        <v>2</v>
      </c>
      <c r="H242" s="36">
        <f>IFERROR(G242/$R242,0)</f>
        <v>0.5</v>
      </c>
      <c r="I242" s="17">
        <v>183</v>
      </c>
      <c r="J242" s="36">
        <f>IFERROR(I242/$Q242,0)</f>
        <v>0.3652694610778443</v>
      </c>
      <c r="K242" s="17">
        <v>1</v>
      </c>
      <c r="L242" s="36">
        <f>IFERROR(K242/$R242,0)</f>
        <v>0.25</v>
      </c>
      <c r="M242" s="17">
        <v>232</v>
      </c>
      <c r="N242" s="36">
        <f>IFERROR(M242/$Q242,0)</f>
        <v>0.46307385229540921</v>
      </c>
      <c r="O242" s="17">
        <v>1</v>
      </c>
      <c r="P242" s="36">
        <f>IFERROR(O242/$R242,0)</f>
        <v>0.25</v>
      </c>
      <c r="Q242" s="17">
        <v>501</v>
      </c>
      <c r="R242" s="17">
        <v>4</v>
      </c>
    </row>
    <row r="243" spans="1:18" ht="15.75" customHeight="1" x14ac:dyDescent="0.25">
      <c r="A243" s="37">
        <v>2023</v>
      </c>
      <c r="B243" s="35">
        <v>171800</v>
      </c>
      <c r="C243" s="33" t="str">
        <f>VLOOKUP(B243,procv!$A$2:$D$142,4,FALSE)</f>
        <v>Sudeste</v>
      </c>
      <c r="D243" s="33" t="s">
        <v>107</v>
      </c>
      <c r="E243" s="17">
        <v>15</v>
      </c>
      <c r="F243" s="36">
        <f>IFERROR(E243/$Q243,0)</f>
        <v>0.18518518518518517</v>
      </c>
      <c r="G243" s="17">
        <v>0</v>
      </c>
      <c r="H243" s="36">
        <f>IFERROR(G243/$R243,0)</f>
        <v>0</v>
      </c>
      <c r="I243" s="17">
        <v>36</v>
      </c>
      <c r="J243" s="36">
        <f>IFERROR(I243/$Q243,0)</f>
        <v>0.44444444444444442</v>
      </c>
      <c r="K243" s="17">
        <v>1</v>
      </c>
      <c r="L243" s="36">
        <f>IFERROR(K243/$R243,0)</f>
        <v>1</v>
      </c>
      <c r="M243" s="17">
        <v>30</v>
      </c>
      <c r="N243" s="36">
        <f>IFERROR(M243/$Q243,0)</f>
        <v>0.37037037037037035</v>
      </c>
      <c r="O243" s="17">
        <v>0</v>
      </c>
      <c r="P243" s="36">
        <f>IFERROR(O243/$R243,0)</f>
        <v>0</v>
      </c>
      <c r="Q243" s="17">
        <v>81</v>
      </c>
      <c r="R243" s="17">
        <v>1</v>
      </c>
    </row>
    <row r="244" spans="1:18" ht="15.75" customHeight="1" x14ac:dyDescent="0.25">
      <c r="A244" s="37">
        <v>2023</v>
      </c>
      <c r="B244" s="35">
        <v>171820</v>
      </c>
      <c r="C244" s="33" t="str">
        <f>VLOOKUP(B244,procv!$A$2:$D$142,4,FALSE)</f>
        <v>Amor Perfeito</v>
      </c>
      <c r="D244" s="33" t="s">
        <v>108</v>
      </c>
      <c r="E244" s="17">
        <v>572</v>
      </c>
      <c r="F244" s="36">
        <f>IFERROR(E244/$Q244,0)</f>
        <v>0.14473684210526316</v>
      </c>
      <c r="G244" s="17">
        <v>3</v>
      </c>
      <c r="H244" s="36">
        <f>IFERROR(G244/$R244,0)</f>
        <v>9.375E-2</v>
      </c>
      <c r="I244" s="16">
        <v>1503</v>
      </c>
      <c r="J244" s="36">
        <f>IFERROR(I244/$Q244,0)</f>
        <v>0.38031376518218624</v>
      </c>
      <c r="K244" s="17">
        <v>10</v>
      </c>
      <c r="L244" s="36">
        <f>IFERROR(K244/$R244,0)</f>
        <v>0.3125</v>
      </c>
      <c r="M244" s="16">
        <v>1877</v>
      </c>
      <c r="N244" s="36">
        <f>IFERROR(M244/$Q244,0)</f>
        <v>0.4749493927125506</v>
      </c>
      <c r="O244" s="17">
        <v>19</v>
      </c>
      <c r="P244" s="36">
        <f>IFERROR(O244/$R244,0)</f>
        <v>0.59375</v>
      </c>
      <c r="Q244" s="16">
        <v>3952</v>
      </c>
      <c r="R244" s="17">
        <v>32</v>
      </c>
    </row>
    <row r="245" spans="1:18" ht="15.75" customHeight="1" x14ac:dyDescent="0.25">
      <c r="A245" s="37">
        <v>2023</v>
      </c>
      <c r="B245" s="35">
        <v>171830</v>
      </c>
      <c r="C245" s="33" t="str">
        <f>VLOOKUP(B245,procv!$A$2:$D$142,4,FALSE)</f>
        <v>Bico do Papagaio</v>
      </c>
      <c r="D245" s="33" t="s">
        <v>109</v>
      </c>
      <c r="E245" s="17">
        <v>63</v>
      </c>
      <c r="F245" s="36">
        <f>IFERROR(E245/$Q245,0)</f>
        <v>0.15328467153284672</v>
      </c>
      <c r="G245" s="17">
        <v>2</v>
      </c>
      <c r="H245" s="36">
        <f>IFERROR(G245/$R245,0)</f>
        <v>0.4</v>
      </c>
      <c r="I245" s="17">
        <v>154</v>
      </c>
      <c r="J245" s="36">
        <f>IFERROR(I245/$Q245,0)</f>
        <v>0.37469586374695862</v>
      </c>
      <c r="K245" s="17">
        <v>1</v>
      </c>
      <c r="L245" s="36">
        <f>IFERROR(K245/$R245,0)</f>
        <v>0.2</v>
      </c>
      <c r="M245" s="17">
        <v>194</v>
      </c>
      <c r="N245" s="36">
        <f>IFERROR(M245/$Q245,0)</f>
        <v>0.47201946472019463</v>
      </c>
      <c r="O245" s="17">
        <v>2</v>
      </c>
      <c r="P245" s="36">
        <f>IFERROR(O245/$R245,0)</f>
        <v>0.4</v>
      </c>
      <c r="Q245" s="17">
        <v>411</v>
      </c>
      <c r="R245" s="17">
        <v>5</v>
      </c>
    </row>
    <row r="246" spans="1:18" ht="15.75" customHeight="1" x14ac:dyDescent="0.25">
      <c r="A246" s="37">
        <v>2023</v>
      </c>
      <c r="B246" s="35">
        <v>171840</v>
      </c>
      <c r="C246" s="33" t="str">
        <f>VLOOKUP(B246,procv!$A$2:$D$142,4,FALSE)</f>
        <v>Cerrado Tocantins Araguaia</v>
      </c>
      <c r="D246" s="33" t="s">
        <v>110</v>
      </c>
      <c r="E246" s="17">
        <v>66</v>
      </c>
      <c r="F246" s="36">
        <f>IFERROR(E246/$Q246,0)</f>
        <v>0.16966580976863754</v>
      </c>
      <c r="G246" s="17">
        <v>0</v>
      </c>
      <c r="H246" s="36">
        <f>IFERROR(G246/$R246,0)</f>
        <v>0</v>
      </c>
      <c r="I246" s="17">
        <v>139</v>
      </c>
      <c r="J246" s="36">
        <f>IFERROR(I246/$Q246,0)</f>
        <v>0.35732647814910024</v>
      </c>
      <c r="K246" s="17">
        <v>0</v>
      </c>
      <c r="L246" s="36">
        <f>IFERROR(K246/$R246,0)</f>
        <v>0</v>
      </c>
      <c r="M246" s="17">
        <v>184</v>
      </c>
      <c r="N246" s="36">
        <f>IFERROR(M246/$Q246,0)</f>
        <v>0.47300771208226222</v>
      </c>
      <c r="O246" s="17">
        <v>0</v>
      </c>
      <c r="P246" s="36">
        <f>IFERROR(O246/$R246,0)</f>
        <v>0</v>
      </c>
      <c r="Q246" s="17">
        <v>389</v>
      </c>
      <c r="R246" s="17">
        <v>0</v>
      </c>
    </row>
    <row r="247" spans="1:18" ht="15.75" customHeight="1" x14ac:dyDescent="0.25">
      <c r="A247" s="37">
        <v>2023</v>
      </c>
      <c r="B247" s="35">
        <v>171845</v>
      </c>
      <c r="C247" s="33" t="str">
        <f>VLOOKUP(B247,procv!$A$2:$D$142,4,FALSE)</f>
        <v>Cantão</v>
      </c>
      <c r="D247" s="33" t="s">
        <v>111</v>
      </c>
      <c r="E247" s="17">
        <v>36</v>
      </c>
      <c r="F247" s="36">
        <f>IFERROR(E247/$Q247,0)</f>
        <v>0.13793103448275862</v>
      </c>
      <c r="G247" s="17">
        <v>0</v>
      </c>
      <c r="H247" s="36">
        <f>IFERROR(G247/$R247,0)</f>
        <v>0</v>
      </c>
      <c r="I247" s="17">
        <v>109</v>
      </c>
      <c r="J247" s="36">
        <f>IFERROR(I247/$Q247,0)</f>
        <v>0.41762452107279696</v>
      </c>
      <c r="K247" s="17">
        <v>0</v>
      </c>
      <c r="L247" s="36">
        <f>IFERROR(K247/$R247,0)</f>
        <v>0</v>
      </c>
      <c r="M247" s="17">
        <v>116</v>
      </c>
      <c r="N247" s="36">
        <f>IFERROR(M247/$Q247,0)</f>
        <v>0.44444444444444442</v>
      </c>
      <c r="O247" s="17">
        <v>0</v>
      </c>
      <c r="P247" s="36">
        <f>IFERROR(O247/$R247,0)</f>
        <v>0</v>
      </c>
      <c r="Q247" s="17">
        <v>261</v>
      </c>
      <c r="R247" s="17">
        <v>0</v>
      </c>
    </row>
    <row r="248" spans="1:18" ht="15.75" customHeight="1" x14ac:dyDescent="0.25">
      <c r="A248" s="37">
        <v>2023</v>
      </c>
      <c r="B248" s="35">
        <v>171850</v>
      </c>
      <c r="C248" s="33" t="str">
        <f>VLOOKUP(B248,procv!$A$2:$D$142,4,FALSE)</f>
        <v>Cerrado Tocantins Araguaia</v>
      </c>
      <c r="D248" s="33" t="s">
        <v>112</v>
      </c>
      <c r="E248" s="17">
        <v>83</v>
      </c>
      <c r="F248" s="36">
        <f>IFERROR(E248/$Q248,0)</f>
        <v>0.19761904761904761</v>
      </c>
      <c r="G248" s="17">
        <v>1</v>
      </c>
      <c r="H248" s="36">
        <f>IFERROR(G248/$R248,0)</f>
        <v>1</v>
      </c>
      <c r="I248" s="17">
        <v>197</v>
      </c>
      <c r="J248" s="36">
        <f>IFERROR(I248/$Q248,0)</f>
        <v>0.46904761904761905</v>
      </c>
      <c r="K248" s="17">
        <v>0</v>
      </c>
      <c r="L248" s="36">
        <f>IFERROR(K248/$R248,0)</f>
        <v>0</v>
      </c>
      <c r="M248" s="17">
        <v>140</v>
      </c>
      <c r="N248" s="36">
        <f>IFERROR(M248/$Q248,0)</f>
        <v>0.33333333333333331</v>
      </c>
      <c r="O248" s="17">
        <v>0</v>
      </c>
      <c r="P248" s="36">
        <f>IFERROR(O248/$R248,0)</f>
        <v>0</v>
      </c>
      <c r="Q248" s="17">
        <v>420</v>
      </c>
      <c r="R248" s="17">
        <v>1</v>
      </c>
    </row>
    <row r="249" spans="1:18" ht="15.75" customHeight="1" x14ac:dyDescent="0.25">
      <c r="A249" s="37">
        <v>2023</v>
      </c>
      <c r="B249" s="35">
        <v>171855</v>
      </c>
      <c r="C249" s="33" t="str">
        <f>VLOOKUP(B249,procv!$A$2:$D$142,4,FALSE)</f>
        <v>Bico do Papagaio</v>
      </c>
      <c r="D249" s="33" t="s">
        <v>113</v>
      </c>
      <c r="E249" s="17">
        <v>37</v>
      </c>
      <c r="F249" s="36">
        <f>IFERROR(E249/$Q249,0)</f>
        <v>0.10818713450292397</v>
      </c>
      <c r="G249" s="17">
        <v>2</v>
      </c>
      <c r="H249" s="36">
        <f>IFERROR(G249/$R249,0)</f>
        <v>1</v>
      </c>
      <c r="I249" s="17">
        <v>128</v>
      </c>
      <c r="J249" s="36">
        <f>IFERROR(I249/$Q249,0)</f>
        <v>0.3742690058479532</v>
      </c>
      <c r="K249" s="17">
        <v>0</v>
      </c>
      <c r="L249" s="36">
        <f>IFERROR(K249/$R249,0)</f>
        <v>0</v>
      </c>
      <c r="M249" s="17">
        <v>177</v>
      </c>
      <c r="N249" s="36">
        <f>IFERROR(M249/$Q249,0)</f>
        <v>0.51754385964912286</v>
      </c>
      <c r="O249" s="17">
        <v>0</v>
      </c>
      <c r="P249" s="36">
        <f>IFERROR(O249/$R249,0)</f>
        <v>0</v>
      </c>
      <c r="Q249" s="17">
        <v>342</v>
      </c>
      <c r="R249" s="17">
        <v>2</v>
      </c>
    </row>
    <row r="250" spans="1:18" ht="15.75" customHeight="1" x14ac:dyDescent="0.25">
      <c r="A250" s="37">
        <v>2023</v>
      </c>
      <c r="B250" s="35">
        <v>171865</v>
      </c>
      <c r="C250" s="33" t="str">
        <f>VLOOKUP(B250,procv!$A$2:$D$142,4,FALSE)</f>
        <v>Sudeste</v>
      </c>
      <c r="D250" s="33" t="s">
        <v>114</v>
      </c>
      <c r="E250" s="17">
        <v>37</v>
      </c>
      <c r="F250" s="36">
        <f>IFERROR(E250/$Q250,0)</f>
        <v>0.19072164948453607</v>
      </c>
      <c r="G250" s="17">
        <v>0</v>
      </c>
      <c r="H250" s="36">
        <f>IFERROR(G250/$R250,0)</f>
        <v>0</v>
      </c>
      <c r="I250" s="17">
        <v>74</v>
      </c>
      <c r="J250" s="36">
        <f>IFERROR(I250/$Q250,0)</f>
        <v>0.38144329896907214</v>
      </c>
      <c r="K250" s="17">
        <v>0</v>
      </c>
      <c r="L250" s="36">
        <f>IFERROR(K250/$R250,0)</f>
        <v>0</v>
      </c>
      <c r="M250" s="17">
        <v>83</v>
      </c>
      <c r="N250" s="36">
        <f>IFERROR(M250/$Q250,0)</f>
        <v>0.42783505154639173</v>
      </c>
      <c r="O250" s="17">
        <v>0</v>
      </c>
      <c r="P250" s="36">
        <f>IFERROR(O250/$R250,0)</f>
        <v>0</v>
      </c>
      <c r="Q250" s="17">
        <v>194</v>
      </c>
      <c r="R250" s="17">
        <v>0</v>
      </c>
    </row>
    <row r="251" spans="1:18" ht="15.75" customHeight="1" x14ac:dyDescent="0.25">
      <c r="A251" s="37">
        <v>2023</v>
      </c>
      <c r="B251" s="35">
        <v>171870</v>
      </c>
      <c r="C251" s="33" t="str">
        <f>VLOOKUP(B251,procv!$A$2:$D$142,4,FALSE)</f>
        <v>Capim Dourado</v>
      </c>
      <c r="D251" s="33" t="s">
        <v>115</v>
      </c>
      <c r="E251" s="17">
        <v>29</v>
      </c>
      <c r="F251" s="36">
        <f>IFERROR(E251/$Q251,0)</f>
        <v>0.11553784860557768</v>
      </c>
      <c r="G251" s="17">
        <v>0</v>
      </c>
      <c r="H251" s="36">
        <f>IFERROR(G251/$R251,0)</f>
        <v>0</v>
      </c>
      <c r="I251" s="17">
        <v>87</v>
      </c>
      <c r="J251" s="36">
        <f>IFERROR(I251/$Q251,0)</f>
        <v>0.34661354581673309</v>
      </c>
      <c r="K251" s="17">
        <v>1</v>
      </c>
      <c r="L251" s="36">
        <f>IFERROR(K251/$R251,0)</f>
        <v>1</v>
      </c>
      <c r="M251" s="17">
        <v>135</v>
      </c>
      <c r="N251" s="36">
        <f>IFERROR(M251/$Q251,0)</f>
        <v>0.53784860557768921</v>
      </c>
      <c r="O251" s="17">
        <v>0</v>
      </c>
      <c r="P251" s="36">
        <f>IFERROR(O251/$R251,0)</f>
        <v>0</v>
      </c>
      <c r="Q251" s="17">
        <v>251</v>
      </c>
      <c r="R251" s="17">
        <v>1</v>
      </c>
    </row>
    <row r="252" spans="1:18" ht="15.75" customHeight="1" x14ac:dyDescent="0.25">
      <c r="A252" s="37">
        <v>2023</v>
      </c>
      <c r="B252" s="35">
        <v>171875</v>
      </c>
      <c r="C252" s="33" t="str">
        <f>VLOOKUP(B252,procv!$A$2:$D$142,4,FALSE)</f>
        <v>Capim Dourado</v>
      </c>
      <c r="D252" s="33" t="s">
        <v>116</v>
      </c>
      <c r="E252" s="17">
        <v>110</v>
      </c>
      <c r="F252" s="36">
        <f>IFERROR(E252/$Q252,0)</f>
        <v>0.17944535073409462</v>
      </c>
      <c r="G252" s="17">
        <v>0</v>
      </c>
      <c r="H252" s="36">
        <f>IFERROR(G252/$R252,0)</f>
        <v>0</v>
      </c>
      <c r="I252" s="17">
        <v>254</v>
      </c>
      <c r="J252" s="36">
        <f>IFERROR(I252/$Q252,0)</f>
        <v>0.41435562805872755</v>
      </c>
      <c r="K252" s="17">
        <v>1</v>
      </c>
      <c r="L252" s="36">
        <f>IFERROR(K252/$R252,0)</f>
        <v>0.5</v>
      </c>
      <c r="M252" s="17">
        <v>249</v>
      </c>
      <c r="N252" s="36">
        <f>IFERROR(M252/$Q252,0)</f>
        <v>0.40619902120717782</v>
      </c>
      <c r="O252" s="17">
        <v>1</v>
      </c>
      <c r="P252" s="36">
        <f>IFERROR(O252/$R252,0)</f>
        <v>0.5</v>
      </c>
      <c r="Q252" s="17">
        <v>613</v>
      </c>
      <c r="R252" s="17">
        <v>2</v>
      </c>
    </row>
    <row r="253" spans="1:18" ht="15.75" customHeight="1" x14ac:dyDescent="0.25">
      <c r="A253" s="37">
        <v>2023</v>
      </c>
      <c r="B253" s="35">
        <v>171880</v>
      </c>
      <c r="C253" s="33" t="str">
        <f>VLOOKUP(B253,procv!$A$2:$D$142,4,FALSE)</f>
        <v>Bico do Papagaio</v>
      </c>
      <c r="D253" s="33" t="s">
        <v>117</v>
      </c>
      <c r="E253" s="17">
        <v>53</v>
      </c>
      <c r="F253" s="36">
        <f>IFERROR(E253/$Q253,0)</f>
        <v>0.13520408163265307</v>
      </c>
      <c r="G253" s="17">
        <v>0</v>
      </c>
      <c r="H253" s="36">
        <f>IFERROR(G253/$R253,0)</f>
        <v>0</v>
      </c>
      <c r="I253" s="17">
        <v>153</v>
      </c>
      <c r="J253" s="36">
        <f>IFERROR(I253/$Q253,0)</f>
        <v>0.39030612244897961</v>
      </c>
      <c r="K253" s="17">
        <v>1</v>
      </c>
      <c r="L253" s="36">
        <f>IFERROR(K253/$R253,0)</f>
        <v>1</v>
      </c>
      <c r="M253" s="17">
        <v>186</v>
      </c>
      <c r="N253" s="36">
        <f>IFERROR(M253/$Q253,0)</f>
        <v>0.47448979591836737</v>
      </c>
      <c r="O253" s="17">
        <v>0</v>
      </c>
      <c r="P253" s="36">
        <f>IFERROR(O253/$R253,0)</f>
        <v>0</v>
      </c>
      <c r="Q253" s="17">
        <v>392</v>
      </c>
      <c r="R253" s="17">
        <v>1</v>
      </c>
    </row>
    <row r="254" spans="1:18" ht="15.75" customHeight="1" x14ac:dyDescent="0.25">
      <c r="A254" s="37">
        <v>2023</v>
      </c>
      <c r="B254" s="35">
        <v>171884</v>
      </c>
      <c r="C254" s="33" t="str">
        <f>VLOOKUP(B254,procv!$A$2:$D$142,4,FALSE)</f>
        <v>Ilha do Bananal</v>
      </c>
      <c r="D254" s="33" t="s">
        <v>118</v>
      </c>
      <c r="E254" s="17">
        <v>56</v>
      </c>
      <c r="F254" s="36">
        <f>IFERROR(E254/$Q254,0)</f>
        <v>0.1407035175879397</v>
      </c>
      <c r="G254" s="17">
        <v>0</v>
      </c>
      <c r="H254" s="36">
        <f>IFERROR(G254/$R254,0)</f>
        <v>0</v>
      </c>
      <c r="I254" s="17">
        <v>157</v>
      </c>
      <c r="J254" s="36">
        <f>IFERROR(I254/$Q254,0)</f>
        <v>0.39447236180904521</v>
      </c>
      <c r="K254" s="17">
        <v>0</v>
      </c>
      <c r="L254" s="36">
        <f>IFERROR(K254/$R254,0)</f>
        <v>0</v>
      </c>
      <c r="M254" s="17">
        <v>185</v>
      </c>
      <c r="N254" s="36">
        <f>IFERROR(M254/$Q254,0)</f>
        <v>0.46482412060301509</v>
      </c>
      <c r="O254" s="17">
        <v>0</v>
      </c>
      <c r="P254" s="36">
        <f>IFERROR(O254/$R254,0)</f>
        <v>0</v>
      </c>
      <c r="Q254" s="17">
        <v>398</v>
      </c>
      <c r="R254" s="17">
        <v>0</v>
      </c>
    </row>
    <row r="255" spans="1:18" ht="15.75" customHeight="1" x14ac:dyDescent="0.25">
      <c r="A255" s="37">
        <v>2023</v>
      </c>
      <c r="B255" s="35">
        <v>171886</v>
      </c>
      <c r="C255" s="33" t="str">
        <f>VLOOKUP(B255,procv!$A$2:$D$142,4,FALSE)</f>
        <v>Médio Norte Araguaia</v>
      </c>
      <c r="D255" s="33" t="s">
        <v>119</v>
      </c>
      <c r="E255" s="17">
        <v>83</v>
      </c>
      <c r="F255" s="36">
        <f>IFERROR(E255/$Q255,0)</f>
        <v>0.14690265486725665</v>
      </c>
      <c r="G255" s="17">
        <v>0</v>
      </c>
      <c r="H255" s="36">
        <f>IFERROR(G255/$R255,0)</f>
        <v>0</v>
      </c>
      <c r="I255" s="17">
        <v>204</v>
      </c>
      <c r="J255" s="36">
        <f>IFERROR(I255/$Q255,0)</f>
        <v>0.36106194690265486</v>
      </c>
      <c r="K255" s="17">
        <v>2</v>
      </c>
      <c r="L255" s="36">
        <f>IFERROR(K255/$R255,0)</f>
        <v>0.4</v>
      </c>
      <c r="M255" s="17">
        <v>278</v>
      </c>
      <c r="N255" s="36">
        <f>IFERROR(M255/$Q255,0)</f>
        <v>0.49203539823008852</v>
      </c>
      <c r="O255" s="17">
        <v>3</v>
      </c>
      <c r="P255" s="36">
        <f>IFERROR(O255/$R255,0)</f>
        <v>0.6</v>
      </c>
      <c r="Q255" s="17">
        <v>565</v>
      </c>
      <c r="R255" s="17">
        <v>5</v>
      </c>
    </row>
    <row r="256" spans="1:18" ht="15.75" customHeight="1" x14ac:dyDescent="0.25">
      <c r="A256" s="37">
        <v>2023</v>
      </c>
      <c r="B256" s="35">
        <v>171888</v>
      </c>
      <c r="C256" s="33" t="str">
        <f>VLOOKUP(B256,procv!$A$2:$D$142,4,FALSE)</f>
        <v>Cerrado Tocantins Araguaia</v>
      </c>
      <c r="D256" s="33" t="s">
        <v>120</v>
      </c>
      <c r="E256" s="17">
        <v>35</v>
      </c>
      <c r="F256" s="36">
        <f>IFERROR(E256/$Q256,0)</f>
        <v>0.13513513513513514</v>
      </c>
      <c r="G256" s="17">
        <v>0</v>
      </c>
      <c r="H256" s="36">
        <f>IFERROR(G256/$R256,0)</f>
        <v>0</v>
      </c>
      <c r="I256" s="17">
        <v>107</v>
      </c>
      <c r="J256" s="36">
        <f>IFERROR(I256/$Q256,0)</f>
        <v>0.41312741312741313</v>
      </c>
      <c r="K256" s="17">
        <v>1</v>
      </c>
      <c r="L256" s="36">
        <f>IFERROR(K256/$R256,0)</f>
        <v>1</v>
      </c>
      <c r="M256" s="17">
        <v>117</v>
      </c>
      <c r="N256" s="36">
        <f>IFERROR(M256/$Q256,0)</f>
        <v>0.45173745173745172</v>
      </c>
      <c r="O256" s="17">
        <v>0</v>
      </c>
      <c r="P256" s="36">
        <f>IFERROR(O256/$R256,0)</f>
        <v>0</v>
      </c>
      <c r="Q256" s="17">
        <v>259</v>
      </c>
      <c r="R256" s="17">
        <v>1</v>
      </c>
    </row>
    <row r="257" spans="1:18" ht="15.75" customHeight="1" x14ac:dyDescent="0.25">
      <c r="A257" s="37">
        <v>2023</v>
      </c>
      <c r="B257" s="35">
        <v>171889</v>
      </c>
      <c r="C257" s="33" t="str">
        <f>VLOOKUP(B257,procv!$A$2:$D$142,4,FALSE)</f>
        <v>Ilha do Bananal</v>
      </c>
      <c r="D257" s="33" t="s">
        <v>121</v>
      </c>
      <c r="E257" s="17">
        <v>29</v>
      </c>
      <c r="F257" s="36">
        <f>IFERROR(E257/$Q257,0)</f>
        <v>0.21481481481481482</v>
      </c>
      <c r="G257" s="17">
        <v>0</v>
      </c>
      <c r="H257" s="36">
        <f>IFERROR(G257/$R257,0)</f>
        <v>0</v>
      </c>
      <c r="I257" s="17">
        <v>63</v>
      </c>
      <c r="J257" s="36">
        <f>IFERROR(I257/$Q257,0)</f>
        <v>0.46666666666666667</v>
      </c>
      <c r="K257" s="17">
        <v>1</v>
      </c>
      <c r="L257" s="36">
        <f>IFERROR(K257/$R257,0)</f>
        <v>1</v>
      </c>
      <c r="M257" s="17">
        <v>43</v>
      </c>
      <c r="N257" s="36">
        <f>IFERROR(M257/$Q257,0)</f>
        <v>0.31851851851851853</v>
      </c>
      <c r="O257" s="17">
        <v>0</v>
      </c>
      <c r="P257" s="36">
        <f>IFERROR(O257/$R257,0)</f>
        <v>0</v>
      </c>
      <c r="Q257" s="17">
        <v>135</v>
      </c>
      <c r="R257" s="17">
        <v>1</v>
      </c>
    </row>
    <row r="258" spans="1:18" ht="15.75" customHeight="1" x14ac:dyDescent="0.25">
      <c r="A258" s="37">
        <v>2023</v>
      </c>
      <c r="B258" s="35">
        <v>171890</v>
      </c>
      <c r="C258" s="33" t="str">
        <f>VLOOKUP(B258,procv!$A$2:$D$142,4,FALSE)</f>
        <v>Amor Perfeito</v>
      </c>
      <c r="D258" s="33" t="s">
        <v>122</v>
      </c>
      <c r="E258" s="17">
        <v>90</v>
      </c>
      <c r="F258" s="36">
        <f>IFERROR(E258/$Q258,0)</f>
        <v>0.19067796610169491</v>
      </c>
      <c r="G258" s="17">
        <v>0</v>
      </c>
      <c r="H258" s="36">
        <f>IFERROR(G258/$R258,0)</f>
        <v>0</v>
      </c>
      <c r="I258" s="17">
        <v>202</v>
      </c>
      <c r="J258" s="36">
        <f>IFERROR(I258/$Q258,0)</f>
        <v>0.42796610169491528</v>
      </c>
      <c r="K258" s="17">
        <v>2</v>
      </c>
      <c r="L258" s="36">
        <f>IFERROR(K258/$R258,0)</f>
        <v>0.66666666666666663</v>
      </c>
      <c r="M258" s="17">
        <v>180</v>
      </c>
      <c r="N258" s="36">
        <f>IFERROR(M258/$Q258,0)</f>
        <v>0.38135593220338981</v>
      </c>
      <c r="O258" s="17">
        <v>1</v>
      </c>
      <c r="P258" s="36">
        <f>IFERROR(O258/$R258,0)</f>
        <v>0.33333333333333331</v>
      </c>
      <c r="Q258" s="17">
        <v>472</v>
      </c>
      <c r="R258" s="17">
        <v>3</v>
      </c>
    </row>
    <row r="259" spans="1:18" ht="15.75" customHeight="1" x14ac:dyDescent="0.25">
      <c r="A259" s="37">
        <v>2023</v>
      </c>
      <c r="B259" s="35">
        <v>171900</v>
      </c>
      <c r="C259" s="33" t="str">
        <f>VLOOKUP(B259,procv!$A$2:$D$142,4,FALSE)</f>
        <v>Capim Dourado</v>
      </c>
      <c r="D259" s="33" t="s">
        <v>123</v>
      </c>
      <c r="E259" s="17">
        <v>55</v>
      </c>
      <c r="F259" s="36">
        <f>IFERROR(E259/$Q259,0)</f>
        <v>0.15988372093023256</v>
      </c>
      <c r="G259" s="17">
        <v>0</v>
      </c>
      <c r="H259" s="36">
        <f>IFERROR(G259/$R259,0)</f>
        <v>0</v>
      </c>
      <c r="I259" s="17">
        <v>133</v>
      </c>
      <c r="J259" s="36">
        <f>IFERROR(I259/$Q259,0)</f>
        <v>0.38662790697674421</v>
      </c>
      <c r="K259" s="17">
        <v>1</v>
      </c>
      <c r="L259" s="36">
        <f>IFERROR(K259/$R259,0)</f>
        <v>1</v>
      </c>
      <c r="M259" s="17">
        <v>156</v>
      </c>
      <c r="N259" s="36">
        <f>IFERROR(M259/$Q259,0)</f>
        <v>0.45348837209302323</v>
      </c>
      <c r="O259" s="17">
        <v>0</v>
      </c>
      <c r="P259" s="36">
        <f>IFERROR(O259/$R259,0)</f>
        <v>0</v>
      </c>
      <c r="Q259" s="17">
        <v>344</v>
      </c>
      <c r="R259" s="17">
        <v>1</v>
      </c>
    </row>
    <row r="260" spans="1:18" ht="15.75" customHeight="1" x14ac:dyDescent="0.25">
      <c r="A260" s="37">
        <v>2023</v>
      </c>
      <c r="B260" s="35">
        <v>172000</v>
      </c>
      <c r="C260" s="33" t="str">
        <f>VLOOKUP(B260,procv!$A$2:$D$142,4,FALSE)</f>
        <v>Bico do Papagaio</v>
      </c>
      <c r="D260" s="33" t="s">
        <v>124</v>
      </c>
      <c r="E260" s="17">
        <v>46</v>
      </c>
      <c r="F260" s="36">
        <f>IFERROR(E260/$Q260,0)</f>
        <v>0.15972222222222221</v>
      </c>
      <c r="G260" s="17">
        <v>0</v>
      </c>
      <c r="H260" s="36">
        <f>IFERROR(G260/$R260,0)</f>
        <v>0</v>
      </c>
      <c r="I260" s="17">
        <v>110</v>
      </c>
      <c r="J260" s="36">
        <f>IFERROR(I260/$Q260,0)</f>
        <v>0.38194444444444442</v>
      </c>
      <c r="K260" s="17">
        <v>0</v>
      </c>
      <c r="L260" s="36">
        <f>IFERROR(K260/$R260,0)</f>
        <v>0</v>
      </c>
      <c r="M260" s="17">
        <v>132</v>
      </c>
      <c r="N260" s="36">
        <f>IFERROR(M260/$Q260,0)</f>
        <v>0.45833333333333331</v>
      </c>
      <c r="O260" s="17">
        <v>1</v>
      </c>
      <c r="P260" s="36">
        <f>IFERROR(O260/$R260,0)</f>
        <v>1</v>
      </c>
      <c r="Q260" s="17">
        <v>288</v>
      </c>
      <c r="R260" s="17">
        <v>1</v>
      </c>
    </row>
    <row r="261" spans="1:18" ht="15.75" customHeight="1" x14ac:dyDescent="0.25">
      <c r="A261" s="37">
        <v>2023</v>
      </c>
      <c r="B261" s="35">
        <v>172010</v>
      </c>
      <c r="C261" s="33" t="str">
        <f>VLOOKUP(B261,procv!$A$2:$D$142,4,FALSE)</f>
        <v>Bico do Papagaio</v>
      </c>
      <c r="D261" s="33" t="s">
        <v>125</v>
      </c>
      <c r="E261" s="17">
        <v>90</v>
      </c>
      <c r="F261" s="36">
        <f>IFERROR(E261/$Q261,0)</f>
        <v>0.16453382084095064</v>
      </c>
      <c r="G261" s="17">
        <v>0</v>
      </c>
      <c r="H261" s="36">
        <f>IFERROR(G261/$R261,0)</f>
        <v>0</v>
      </c>
      <c r="I261" s="17">
        <v>234</v>
      </c>
      <c r="J261" s="36">
        <f>IFERROR(I261/$Q261,0)</f>
        <v>0.42778793418647165</v>
      </c>
      <c r="K261" s="17">
        <v>1</v>
      </c>
      <c r="L261" s="36">
        <f>IFERROR(K261/$R261,0)</f>
        <v>0.25</v>
      </c>
      <c r="M261" s="17">
        <v>223</v>
      </c>
      <c r="N261" s="36">
        <f>IFERROR(M261/$Q261,0)</f>
        <v>0.40767824497257771</v>
      </c>
      <c r="O261" s="17">
        <v>3</v>
      </c>
      <c r="P261" s="36">
        <f>IFERROR(O261/$R261,0)</f>
        <v>0.75</v>
      </c>
      <c r="Q261" s="17">
        <v>547</v>
      </c>
      <c r="R261" s="17">
        <v>4</v>
      </c>
    </row>
    <row r="262" spans="1:18" ht="15.75" customHeight="1" x14ac:dyDescent="0.25">
      <c r="A262" s="37">
        <v>2023</v>
      </c>
      <c r="B262" s="35">
        <v>172015</v>
      </c>
      <c r="C262" s="33" t="str">
        <f>VLOOKUP(B262,procv!$A$2:$D$142,4,FALSE)</f>
        <v>Capim Dourado</v>
      </c>
      <c r="D262" s="33" t="s">
        <v>126</v>
      </c>
      <c r="E262" s="17">
        <v>42</v>
      </c>
      <c r="F262" s="36">
        <f>IFERROR(E262/$Q262,0)</f>
        <v>0.25766871165644173</v>
      </c>
      <c r="G262" s="17">
        <v>0</v>
      </c>
      <c r="H262" s="36">
        <f>IFERROR(G262/$R262,0)</f>
        <v>0</v>
      </c>
      <c r="I262" s="17">
        <v>74</v>
      </c>
      <c r="J262" s="36">
        <f>IFERROR(I262/$Q262,0)</f>
        <v>0.45398773006134968</v>
      </c>
      <c r="K262" s="17">
        <v>0</v>
      </c>
      <c r="L262" s="36">
        <f>IFERROR(K262/$R262,0)</f>
        <v>0</v>
      </c>
      <c r="M262" s="17">
        <v>47</v>
      </c>
      <c r="N262" s="36">
        <f>IFERROR(M262/$Q262,0)</f>
        <v>0.28834355828220859</v>
      </c>
      <c r="O262" s="17">
        <v>2</v>
      </c>
      <c r="P262" s="36">
        <f>IFERROR(O262/$R262,0)</f>
        <v>1</v>
      </c>
      <c r="Q262" s="17">
        <v>163</v>
      </c>
      <c r="R262" s="17">
        <v>2</v>
      </c>
    </row>
    <row r="263" spans="1:18" ht="15.75" customHeight="1" x14ac:dyDescent="0.25">
      <c r="A263" s="37">
        <v>2023</v>
      </c>
      <c r="B263" s="35">
        <v>172020</v>
      </c>
      <c r="C263" s="33" t="str">
        <f>VLOOKUP(B263,procv!$A$2:$D$142,4,FALSE)</f>
        <v>Bico do Papagaio</v>
      </c>
      <c r="D263" s="33" t="s">
        <v>127</v>
      </c>
      <c r="E263" s="17">
        <v>168</v>
      </c>
      <c r="F263" s="36">
        <f>IFERROR(E263/$Q263,0)</f>
        <v>0.16650148662041625</v>
      </c>
      <c r="G263" s="17">
        <v>1</v>
      </c>
      <c r="H263" s="36">
        <f>IFERROR(G263/$R263,0)</f>
        <v>6.6666666666666666E-2</v>
      </c>
      <c r="I263" s="17">
        <v>416</v>
      </c>
      <c r="J263" s="36">
        <f>IFERROR(I263/$Q263,0)</f>
        <v>0.41228939544103071</v>
      </c>
      <c r="K263" s="17">
        <v>6</v>
      </c>
      <c r="L263" s="36">
        <f>IFERROR(K263/$R263,0)</f>
        <v>0.4</v>
      </c>
      <c r="M263" s="17">
        <v>425</v>
      </c>
      <c r="N263" s="36">
        <f>IFERROR(M263/$Q263,0)</f>
        <v>0.42120911793855303</v>
      </c>
      <c r="O263" s="17">
        <v>8</v>
      </c>
      <c r="P263" s="36">
        <f>IFERROR(O263/$R263,0)</f>
        <v>0.53333333333333333</v>
      </c>
      <c r="Q263" s="16">
        <v>1009</v>
      </c>
      <c r="R263" s="17">
        <v>15</v>
      </c>
    </row>
    <row r="264" spans="1:18" ht="15.75" customHeight="1" x14ac:dyDescent="0.25">
      <c r="A264" s="37">
        <v>2023</v>
      </c>
      <c r="B264" s="35">
        <v>172025</v>
      </c>
      <c r="C264" s="33" t="str">
        <f>VLOOKUP(B264,procv!$A$2:$D$142,4,FALSE)</f>
        <v>Ilha do Bananal</v>
      </c>
      <c r="D264" s="33" t="s">
        <v>128</v>
      </c>
      <c r="E264" s="17">
        <v>58</v>
      </c>
      <c r="F264" s="36">
        <f>IFERROR(E264/$Q264,0)</f>
        <v>0.19141914191419143</v>
      </c>
      <c r="G264" s="17">
        <v>1</v>
      </c>
      <c r="H264" s="36">
        <f>IFERROR(G264/$R264,0)</f>
        <v>0.5</v>
      </c>
      <c r="I264" s="17">
        <v>138</v>
      </c>
      <c r="J264" s="36">
        <f>IFERROR(I264/$Q264,0)</f>
        <v>0.45544554455445546</v>
      </c>
      <c r="K264" s="17">
        <v>1</v>
      </c>
      <c r="L264" s="36">
        <f>IFERROR(K264/$R264,0)</f>
        <v>0.5</v>
      </c>
      <c r="M264" s="17">
        <v>107</v>
      </c>
      <c r="N264" s="36">
        <f>IFERROR(M264/$Q264,0)</f>
        <v>0.35313531353135313</v>
      </c>
      <c r="O264" s="17">
        <v>0</v>
      </c>
      <c r="P264" s="36">
        <f>IFERROR(O264/$R264,0)</f>
        <v>0</v>
      </c>
      <c r="Q264" s="17">
        <v>303</v>
      </c>
      <c r="R264" s="17">
        <v>2</v>
      </c>
    </row>
    <row r="265" spans="1:18" ht="15.75" customHeight="1" x14ac:dyDescent="0.25">
      <c r="A265" s="37">
        <v>2023</v>
      </c>
      <c r="B265" s="35">
        <v>172030</v>
      </c>
      <c r="C265" s="33" t="str">
        <f>VLOOKUP(B265,procv!$A$2:$D$142,4,FALSE)</f>
        <v>Bico do Papagaio</v>
      </c>
      <c r="D265" s="33" t="s">
        <v>129</v>
      </c>
      <c r="E265" s="17">
        <v>10</v>
      </c>
      <c r="F265" s="36">
        <f>IFERROR(E265/$Q265,0)</f>
        <v>0.12048192771084337</v>
      </c>
      <c r="G265" s="17">
        <v>0</v>
      </c>
      <c r="H265" s="36">
        <f>IFERROR(G265/$R265,0)</f>
        <v>0</v>
      </c>
      <c r="I265" s="17">
        <v>42</v>
      </c>
      <c r="J265" s="36">
        <f>IFERROR(I265/$Q265,0)</f>
        <v>0.50602409638554213</v>
      </c>
      <c r="K265" s="17">
        <v>1</v>
      </c>
      <c r="L265" s="36">
        <f>IFERROR(K265/$R265,0)</f>
        <v>1</v>
      </c>
      <c r="M265" s="17">
        <v>31</v>
      </c>
      <c r="N265" s="36">
        <f>IFERROR(M265/$Q265,0)</f>
        <v>0.37349397590361444</v>
      </c>
      <c r="O265" s="17">
        <v>0</v>
      </c>
      <c r="P265" s="36">
        <f>IFERROR(O265/$R265,0)</f>
        <v>0</v>
      </c>
      <c r="Q265" s="17">
        <v>83</v>
      </c>
      <c r="R265" s="17">
        <v>1</v>
      </c>
    </row>
    <row r="266" spans="1:18" ht="15.75" customHeight="1" x14ac:dyDescent="0.25">
      <c r="A266" s="37">
        <v>2023</v>
      </c>
      <c r="B266" s="35">
        <v>172049</v>
      </c>
      <c r="C266" s="33" t="str">
        <f>VLOOKUP(B266,procv!$A$2:$D$142,4,FALSE)</f>
        <v>Ilha do Bananal</v>
      </c>
      <c r="D266" s="33" t="s">
        <v>130</v>
      </c>
      <c r="E266" s="17">
        <v>74</v>
      </c>
      <c r="F266" s="36">
        <f>IFERROR(E266/$Q266,0)</f>
        <v>0.17249417249417248</v>
      </c>
      <c r="G266" s="17">
        <v>0</v>
      </c>
      <c r="H266" s="36">
        <f>IFERROR(G266/$R266,0)</f>
        <v>0</v>
      </c>
      <c r="I266" s="17">
        <v>175</v>
      </c>
      <c r="J266" s="36">
        <f>IFERROR(I266/$Q266,0)</f>
        <v>0.40792540792540793</v>
      </c>
      <c r="K266" s="17">
        <v>1</v>
      </c>
      <c r="L266" s="36">
        <f>IFERROR(K266/$R266,0)</f>
        <v>0.5</v>
      </c>
      <c r="M266" s="17">
        <v>180</v>
      </c>
      <c r="N266" s="36">
        <f>IFERROR(M266/$Q266,0)</f>
        <v>0.41958041958041958</v>
      </c>
      <c r="O266" s="17">
        <v>1</v>
      </c>
      <c r="P266" s="36">
        <f>IFERROR(O266/$R266,0)</f>
        <v>0.5</v>
      </c>
      <c r="Q266" s="17">
        <v>429</v>
      </c>
      <c r="R266" s="17">
        <v>2</v>
      </c>
    </row>
    <row r="267" spans="1:18" ht="15.75" customHeight="1" x14ac:dyDescent="0.25">
      <c r="A267" s="37">
        <v>2023</v>
      </c>
      <c r="B267" s="35">
        <v>172065</v>
      </c>
      <c r="C267" s="33" t="str">
        <f>VLOOKUP(B267,procv!$A$2:$D$142,4,FALSE)</f>
        <v>Amor Perfeito</v>
      </c>
      <c r="D267" s="33" t="s">
        <v>131</v>
      </c>
      <c r="E267" s="17">
        <v>110</v>
      </c>
      <c r="F267" s="36">
        <f>IFERROR(E267/$Q267,0)</f>
        <v>0.18363939899833054</v>
      </c>
      <c r="G267" s="17">
        <v>1</v>
      </c>
      <c r="H267" s="36">
        <f>IFERROR(G267/$R267,0)</f>
        <v>0.5</v>
      </c>
      <c r="I267" s="17">
        <v>250</v>
      </c>
      <c r="J267" s="36">
        <f>IFERROR(I267/$Q267,0)</f>
        <v>0.41736227045075125</v>
      </c>
      <c r="K267" s="17">
        <v>0</v>
      </c>
      <c r="L267" s="36">
        <f>IFERROR(K267/$R267,0)</f>
        <v>0</v>
      </c>
      <c r="M267" s="17">
        <v>239</v>
      </c>
      <c r="N267" s="36">
        <f>IFERROR(M267/$Q267,0)</f>
        <v>0.39899833055091821</v>
      </c>
      <c r="O267" s="17">
        <v>1</v>
      </c>
      <c r="P267" s="36">
        <f>IFERROR(O267/$R267,0)</f>
        <v>0.5</v>
      </c>
      <c r="Q267" s="17">
        <v>599</v>
      </c>
      <c r="R267" s="17">
        <v>2</v>
      </c>
    </row>
    <row r="268" spans="1:18" ht="15.75" customHeight="1" x14ac:dyDescent="0.25">
      <c r="A268" s="37">
        <v>2023</v>
      </c>
      <c r="B268" s="35">
        <v>172080</v>
      </c>
      <c r="C268" s="33" t="str">
        <f>VLOOKUP(B268,procv!$A$2:$D$142,4,FALSE)</f>
        <v>Bico do Papagaio</v>
      </c>
      <c r="D268" s="33" t="s">
        <v>132</v>
      </c>
      <c r="E268" s="17">
        <v>215</v>
      </c>
      <c r="F268" s="36">
        <f>IFERROR(E268/$Q268,0)</f>
        <v>0.1788685524126456</v>
      </c>
      <c r="G268" s="17">
        <v>1</v>
      </c>
      <c r="H268" s="36">
        <f>IFERROR(G268/$R268,0)</f>
        <v>0.1111111111111111</v>
      </c>
      <c r="I268" s="17">
        <v>503</v>
      </c>
      <c r="J268" s="36">
        <f>IFERROR(I268/$Q268,0)</f>
        <v>0.41846921797004993</v>
      </c>
      <c r="K268" s="17">
        <v>4</v>
      </c>
      <c r="L268" s="36">
        <f>IFERROR(K268/$R268,0)</f>
        <v>0.44444444444444442</v>
      </c>
      <c r="M268" s="17">
        <v>484</v>
      </c>
      <c r="N268" s="36">
        <f>IFERROR(M268/$Q268,0)</f>
        <v>0.40266222961730447</v>
      </c>
      <c r="O268" s="17">
        <v>4</v>
      </c>
      <c r="P268" s="36">
        <f>IFERROR(O268/$R268,0)</f>
        <v>0.44444444444444442</v>
      </c>
      <c r="Q268" s="16">
        <v>1202</v>
      </c>
      <c r="R268" s="17">
        <v>9</v>
      </c>
    </row>
    <row r="269" spans="1:18" ht="15.75" customHeight="1" x14ac:dyDescent="0.25">
      <c r="A269" s="37">
        <v>2023</v>
      </c>
      <c r="B269" s="35">
        <v>172085</v>
      </c>
      <c r="C269" s="33" t="str">
        <f>VLOOKUP(B269,procv!$A$2:$D$142,4,FALSE)</f>
        <v>Ilha do Bananal</v>
      </c>
      <c r="D269" s="33" t="s">
        <v>133</v>
      </c>
      <c r="E269" s="17">
        <v>36</v>
      </c>
      <c r="F269" s="36">
        <f>IFERROR(E269/$Q269,0)</f>
        <v>0.13584905660377358</v>
      </c>
      <c r="G269" s="17">
        <v>0</v>
      </c>
      <c r="H269" s="36">
        <f>IFERROR(G269/$R269,0)</f>
        <v>0</v>
      </c>
      <c r="I269" s="17">
        <v>102</v>
      </c>
      <c r="J269" s="36">
        <f>IFERROR(I269/$Q269,0)</f>
        <v>0.38490566037735852</v>
      </c>
      <c r="K269" s="17">
        <v>1</v>
      </c>
      <c r="L269" s="36">
        <f>IFERROR(K269/$R269,0)</f>
        <v>1</v>
      </c>
      <c r="M269" s="17">
        <v>127</v>
      </c>
      <c r="N269" s="36">
        <f>IFERROR(M269/$Q269,0)</f>
        <v>0.47924528301886793</v>
      </c>
      <c r="O269" s="17">
        <v>0</v>
      </c>
      <c r="P269" s="36">
        <f>IFERROR(O269/$R269,0)</f>
        <v>0</v>
      </c>
      <c r="Q269" s="17">
        <v>265</v>
      </c>
      <c r="R269" s="17">
        <v>1</v>
      </c>
    </row>
    <row r="270" spans="1:18" ht="15.75" customHeight="1" x14ac:dyDescent="0.25">
      <c r="A270" s="37">
        <v>2023</v>
      </c>
      <c r="B270" s="35">
        <v>170825</v>
      </c>
      <c r="C270" s="33" t="str">
        <f>VLOOKUP(B270,procv!$A$2:$D$142,4,FALSE)</f>
        <v>Capim Dourado</v>
      </c>
      <c r="D270" s="33" t="s">
        <v>134</v>
      </c>
      <c r="E270" s="17">
        <v>7</v>
      </c>
      <c r="F270" s="36">
        <f>IFERROR(E270/$Q270,0)</f>
        <v>0.17948717948717949</v>
      </c>
      <c r="G270" s="17">
        <v>0</v>
      </c>
      <c r="H270" s="36">
        <f>IFERROR(G270/$R270,0)</f>
        <v>0</v>
      </c>
      <c r="I270" s="17">
        <v>20</v>
      </c>
      <c r="J270" s="36">
        <f>IFERROR(I270/$Q270,0)</f>
        <v>0.51282051282051277</v>
      </c>
      <c r="K270" s="17">
        <v>0</v>
      </c>
      <c r="L270" s="36">
        <f>IFERROR(K270/$R270,0)</f>
        <v>0</v>
      </c>
      <c r="M270" s="17">
        <v>12</v>
      </c>
      <c r="N270" s="36">
        <f>IFERROR(M270/$Q270,0)</f>
        <v>0.30769230769230771</v>
      </c>
      <c r="O270" s="17">
        <v>0</v>
      </c>
      <c r="P270" s="36">
        <f>IFERROR(O270/$R270,0)</f>
        <v>0</v>
      </c>
      <c r="Q270" s="17">
        <v>39</v>
      </c>
      <c r="R270" s="17">
        <v>0</v>
      </c>
    </row>
    <row r="271" spans="1:18" ht="15.75" customHeight="1" x14ac:dyDescent="0.25">
      <c r="A271" s="37">
        <v>2023</v>
      </c>
      <c r="B271" s="35">
        <v>172090</v>
      </c>
      <c r="C271" s="33" t="str">
        <f>VLOOKUP(B271,procv!$A$2:$D$142,4,FALSE)</f>
        <v>Sudeste</v>
      </c>
      <c r="D271" s="33" t="s">
        <v>135</v>
      </c>
      <c r="E271" s="17">
        <v>175</v>
      </c>
      <c r="F271" s="36">
        <f>IFERROR(E271/$Q271,0)</f>
        <v>0.15737410071942445</v>
      </c>
      <c r="G271" s="17">
        <v>0</v>
      </c>
      <c r="H271" s="36">
        <f>IFERROR(G271/$R271,0)</f>
        <v>0</v>
      </c>
      <c r="I271" s="17">
        <v>468</v>
      </c>
      <c r="J271" s="36">
        <f>IFERROR(I271/$Q271,0)</f>
        <v>0.42086330935251798</v>
      </c>
      <c r="K271" s="17">
        <v>1</v>
      </c>
      <c r="L271" s="36">
        <f>IFERROR(K271/$R271,0)</f>
        <v>0.16666666666666666</v>
      </c>
      <c r="M271" s="17">
        <v>469</v>
      </c>
      <c r="N271" s="36">
        <f>IFERROR(M271/$Q271,0)</f>
        <v>0.42176258992805754</v>
      </c>
      <c r="O271" s="17">
        <v>5</v>
      </c>
      <c r="P271" s="36">
        <f>IFERROR(O271/$R271,0)</f>
        <v>0.83333333333333337</v>
      </c>
      <c r="Q271" s="16">
        <v>1112</v>
      </c>
      <c r="R271" s="17">
        <v>6</v>
      </c>
    </row>
    <row r="272" spans="1:18" ht="15.75" customHeight="1" x14ac:dyDescent="0.25">
      <c r="A272" s="37">
        <v>2023</v>
      </c>
      <c r="B272" s="35">
        <v>172093</v>
      </c>
      <c r="C272" s="33" t="str">
        <f>VLOOKUP(B272,procv!$A$2:$D$142,4,FALSE)</f>
        <v>Sudeste</v>
      </c>
      <c r="D272" s="33" t="s">
        <v>136</v>
      </c>
      <c r="E272" s="17">
        <v>25</v>
      </c>
      <c r="F272" s="36">
        <f>IFERROR(E272/$Q272,0)</f>
        <v>0.15723270440251572</v>
      </c>
      <c r="G272" s="17">
        <v>0</v>
      </c>
      <c r="H272" s="36">
        <f>IFERROR(G272/$R272,0)</f>
        <v>0</v>
      </c>
      <c r="I272" s="17">
        <v>76</v>
      </c>
      <c r="J272" s="36">
        <f>IFERROR(I272/$Q272,0)</f>
        <v>0.4779874213836478</v>
      </c>
      <c r="K272" s="17">
        <v>1</v>
      </c>
      <c r="L272" s="36">
        <f>IFERROR(K272/$R272,0)</f>
        <v>1</v>
      </c>
      <c r="M272" s="17">
        <v>58</v>
      </c>
      <c r="N272" s="36">
        <f>IFERROR(M272/$Q272,0)</f>
        <v>0.36477987421383645</v>
      </c>
      <c r="O272" s="17">
        <v>0</v>
      </c>
      <c r="P272" s="36">
        <f>IFERROR(O272/$R272,0)</f>
        <v>0</v>
      </c>
      <c r="Q272" s="17">
        <v>159</v>
      </c>
      <c r="R272" s="17">
        <v>1</v>
      </c>
    </row>
    <row r="273" spans="1:18" ht="15.75" customHeight="1" x14ac:dyDescent="0.25">
      <c r="A273" s="37">
        <v>2023</v>
      </c>
      <c r="B273" s="35">
        <v>172097</v>
      </c>
      <c r="C273" s="33" t="str">
        <f>VLOOKUP(B273,procv!$A$2:$D$142,4,FALSE)</f>
        <v>Ilha do Bananal</v>
      </c>
      <c r="D273" s="33" t="s">
        <v>137</v>
      </c>
      <c r="E273" s="17">
        <v>46</v>
      </c>
      <c r="F273" s="36">
        <f>IFERROR(E273/$Q273,0)</f>
        <v>0.17829457364341086</v>
      </c>
      <c r="G273" s="17">
        <v>0</v>
      </c>
      <c r="H273" s="36">
        <f>IFERROR(G273/$R273,0)</f>
        <v>0</v>
      </c>
      <c r="I273" s="17">
        <v>103</v>
      </c>
      <c r="J273" s="36">
        <f>IFERROR(I273/$Q273,0)</f>
        <v>0.39922480620155038</v>
      </c>
      <c r="K273" s="17">
        <v>0</v>
      </c>
      <c r="L273" s="36">
        <f>IFERROR(K273/$R273,0)</f>
        <v>0</v>
      </c>
      <c r="M273" s="17">
        <v>109</v>
      </c>
      <c r="N273" s="36">
        <f>IFERROR(M273/$Q273,0)</f>
        <v>0.42248062015503873</v>
      </c>
      <c r="O273" s="17">
        <v>0</v>
      </c>
      <c r="P273" s="36">
        <f>IFERROR(O273/$R273,0)</f>
        <v>0</v>
      </c>
      <c r="Q273" s="17">
        <v>258</v>
      </c>
      <c r="R273" s="17">
        <v>0</v>
      </c>
    </row>
    <row r="274" spans="1:18" ht="15.75" customHeight="1" x14ac:dyDescent="0.25">
      <c r="A274" s="37">
        <v>2023</v>
      </c>
      <c r="B274" s="35">
        <v>172110</v>
      </c>
      <c r="C274" s="33" t="str">
        <f>VLOOKUP(B274,procv!$A$2:$D$142,4,FALSE)</f>
        <v>Capim Dourado</v>
      </c>
      <c r="D274" s="33" t="s">
        <v>138</v>
      </c>
      <c r="E274" s="17">
        <v>75</v>
      </c>
      <c r="F274" s="36">
        <f>IFERROR(E274/$Q274,0)</f>
        <v>0.16447368421052633</v>
      </c>
      <c r="G274" s="17">
        <v>4</v>
      </c>
      <c r="H274" s="36">
        <f>IFERROR(G274/$R274,0)</f>
        <v>0.25</v>
      </c>
      <c r="I274" s="17">
        <v>197</v>
      </c>
      <c r="J274" s="36">
        <f>IFERROR(I274/$Q274,0)</f>
        <v>0.43201754385964913</v>
      </c>
      <c r="K274" s="17">
        <v>3</v>
      </c>
      <c r="L274" s="36">
        <f>IFERROR(K274/$R274,0)</f>
        <v>0.1875</v>
      </c>
      <c r="M274" s="17">
        <v>184</v>
      </c>
      <c r="N274" s="36">
        <f>IFERROR(M274/$Q274,0)</f>
        <v>0.40350877192982454</v>
      </c>
      <c r="O274" s="17">
        <v>9</v>
      </c>
      <c r="P274" s="36">
        <f>IFERROR(O274/$R274,0)</f>
        <v>0.5625</v>
      </c>
      <c r="Q274" s="17">
        <v>456</v>
      </c>
      <c r="R274" s="17">
        <v>16</v>
      </c>
    </row>
    <row r="275" spans="1:18" ht="15.75" customHeight="1" x14ac:dyDescent="0.25">
      <c r="A275" s="37">
        <v>2023</v>
      </c>
      <c r="B275" s="35">
        <v>172120</v>
      </c>
      <c r="C275" s="33" t="str">
        <f>VLOOKUP(B275,procv!$A$2:$D$142,4,FALSE)</f>
        <v>Bico do Papagaio</v>
      </c>
      <c r="D275" s="33" t="s">
        <v>139</v>
      </c>
      <c r="E275" s="17">
        <v>175</v>
      </c>
      <c r="F275" s="36">
        <f>IFERROR(E275/$Q275,0)</f>
        <v>0.1674641148325359</v>
      </c>
      <c r="G275" s="17">
        <v>2</v>
      </c>
      <c r="H275" s="36">
        <f>IFERROR(G275/$R275,0)</f>
        <v>0.14285714285714285</v>
      </c>
      <c r="I275" s="17">
        <v>453</v>
      </c>
      <c r="J275" s="36">
        <f>IFERROR(I275/$Q275,0)</f>
        <v>0.43349282296650715</v>
      </c>
      <c r="K275" s="17">
        <v>7</v>
      </c>
      <c r="L275" s="36">
        <f>IFERROR(K275/$R275,0)</f>
        <v>0.5</v>
      </c>
      <c r="M275" s="17">
        <v>417</v>
      </c>
      <c r="N275" s="36">
        <f>IFERROR(M275/$Q275,0)</f>
        <v>0.39904306220095692</v>
      </c>
      <c r="O275" s="17">
        <v>5</v>
      </c>
      <c r="P275" s="36">
        <f>IFERROR(O275/$R275,0)</f>
        <v>0.35714285714285715</v>
      </c>
      <c r="Q275" s="16">
        <v>1045</v>
      </c>
      <c r="R275" s="17">
        <v>14</v>
      </c>
    </row>
    <row r="276" spans="1:18" ht="15.75" customHeight="1" x14ac:dyDescent="0.25">
      <c r="A276" s="37">
        <v>2023</v>
      </c>
      <c r="B276" s="35">
        <v>172125</v>
      </c>
      <c r="C276" s="33" t="str">
        <f>VLOOKUP(B276,procv!$A$2:$D$142,4,FALSE)</f>
        <v>Cerrado Tocantins Araguaia</v>
      </c>
      <c r="D276" s="33" t="s">
        <v>140</v>
      </c>
      <c r="E276" s="17">
        <v>40</v>
      </c>
      <c r="F276" s="36">
        <f>IFERROR(E276/$Q276,0)</f>
        <v>0.18018018018018017</v>
      </c>
      <c r="G276" s="17">
        <v>0</v>
      </c>
      <c r="H276" s="36">
        <f>IFERROR(G276/$R276,0)</f>
        <v>0</v>
      </c>
      <c r="I276" s="17">
        <v>93</v>
      </c>
      <c r="J276" s="36">
        <f>IFERROR(I276/$Q276,0)</f>
        <v>0.41891891891891891</v>
      </c>
      <c r="K276" s="17">
        <v>0</v>
      </c>
      <c r="L276" s="36">
        <f>IFERROR(K276/$R276,0)</f>
        <v>0</v>
      </c>
      <c r="M276" s="17">
        <v>89</v>
      </c>
      <c r="N276" s="36">
        <f>IFERROR(M276/$Q276,0)</f>
        <v>0.40090090090090091</v>
      </c>
      <c r="O276" s="17">
        <v>0</v>
      </c>
      <c r="P276" s="36">
        <f>IFERROR(O276/$R276,0)</f>
        <v>0</v>
      </c>
      <c r="Q276" s="17">
        <v>222</v>
      </c>
      <c r="R276" s="17">
        <v>0</v>
      </c>
    </row>
    <row r="277" spans="1:18" ht="15.75" customHeight="1" x14ac:dyDescent="0.25">
      <c r="A277" s="37">
        <v>2023</v>
      </c>
      <c r="B277" s="35">
        <v>172130</v>
      </c>
      <c r="C277" s="33" t="str">
        <f>VLOOKUP(B277,procv!$A$2:$D$142,4,FALSE)</f>
        <v>Cerrado Tocantins Araguaia</v>
      </c>
      <c r="D277" s="33" t="s">
        <v>141</v>
      </c>
      <c r="E277" s="17">
        <v>28</v>
      </c>
      <c r="F277" s="36">
        <f>IFERROR(E277/$Q277,0)</f>
        <v>0.14659685863874344</v>
      </c>
      <c r="G277" s="17">
        <v>0</v>
      </c>
      <c r="H277" s="36">
        <f>IFERROR(G277/$R277,0)</f>
        <v>0</v>
      </c>
      <c r="I277" s="17">
        <v>81</v>
      </c>
      <c r="J277" s="36">
        <f>IFERROR(I277/$Q277,0)</f>
        <v>0.42408376963350786</v>
      </c>
      <c r="K277" s="17">
        <v>0</v>
      </c>
      <c r="L277" s="36">
        <f>IFERROR(K277/$R277,0)</f>
        <v>0</v>
      </c>
      <c r="M277" s="17">
        <v>82</v>
      </c>
      <c r="N277" s="36">
        <f>IFERROR(M277/$Q277,0)</f>
        <v>0.4293193717277487</v>
      </c>
      <c r="O277" s="17">
        <v>0</v>
      </c>
      <c r="P277" s="36">
        <f>IFERROR(O277/$R277,0)</f>
        <v>0</v>
      </c>
      <c r="Q277" s="17">
        <v>191</v>
      </c>
      <c r="R277" s="17">
        <v>0</v>
      </c>
    </row>
    <row r="278" spans="1:18" ht="15.75" customHeight="1" x14ac:dyDescent="0.25">
      <c r="A278" s="37">
        <v>2023</v>
      </c>
      <c r="B278" s="35">
        <v>172208</v>
      </c>
      <c r="C278" s="33" t="str">
        <f>VLOOKUP(B278,procv!$A$2:$D$142,4,FALSE)</f>
        <v>Médio Norte Araguaia</v>
      </c>
      <c r="D278" s="33" t="s">
        <v>142</v>
      </c>
      <c r="E278" s="17">
        <v>153</v>
      </c>
      <c r="F278" s="36">
        <f>IFERROR(E278/$Q278,0)</f>
        <v>0.19053549190535493</v>
      </c>
      <c r="G278" s="17">
        <v>0</v>
      </c>
      <c r="H278" s="36">
        <f>IFERROR(G278/$R278,0)</f>
        <v>0</v>
      </c>
      <c r="I278" s="17">
        <v>352</v>
      </c>
      <c r="J278" s="36">
        <f>IFERROR(I278/$Q278,0)</f>
        <v>0.43835616438356162</v>
      </c>
      <c r="K278" s="17">
        <v>3</v>
      </c>
      <c r="L278" s="36">
        <f>IFERROR(K278/$R278,0)</f>
        <v>0.5</v>
      </c>
      <c r="M278" s="17">
        <v>298</v>
      </c>
      <c r="N278" s="36">
        <f>IFERROR(M278/$Q278,0)</f>
        <v>0.37110834371108342</v>
      </c>
      <c r="O278" s="17">
        <v>3</v>
      </c>
      <c r="P278" s="36">
        <f>IFERROR(O278/$R278,0)</f>
        <v>0.5</v>
      </c>
      <c r="Q278" s="17">
        <v>803</v>
      </c>
      <c r="R278" s="17">
        <v>6</v>
      </c>
    </row>
    <row r="279" spans="1:18" ht="15.75" customHeight="1" x14ac:dyDescent="0.25">
      <c r="A279" s="37">
        <v>2023</v>
      </c>
      <c r="B279" s="35">
        <v>172210</v>
      </c>
      <c r="C279" s="33" t="str">
        <f>VLOOKUP(B279,procv!$A$2:$D$142,4,FALSE)</f>
        <v>Médio Norte Araguaia</v>
      </c>
      <c r="D279" s="33" t="s">
        <v>143</v>
      </c>
      <c r="E279" s="17">
        <v>137</v>
      </c>
      <c r="F279" s="36">
        <f>IFERROR(E279/$Q279,0)</f>
        <v>0.14436248682824027</v>
      </c>
      <c r="G279" s="17">
        <v>0</v>
      </c>
      <c r="H279" s="36">
        <f>IFERROR(G279/$R279,0)</f>
        <v>0</v>
      </c>
      <c r="I279" s="17">
        <v>361</v>
      </c>
      <c r="J279" s="36">
        <f>IFERROR(I279/$Q279,0)</f>
        <v>0.38040042149631192</v>
      </c>
      <c r="K279" s="17">
        <v>4</v>
      </c>
      <c r="L279" s="36">
        <f>IFERROR(K279/$R279,0)</f>
        <v>0.4</v>
      </c>
      <c r="M279" s="17">
        <v>451</v>
      </c>
      <c r="N279" s="36">
        <f>IFERROR(M279/$Q279,0)</f>
        <v>0.47523709167544786</v>
      </c>
      <c r="O279" s="17">
        <v>6</v>
      </c>
      <c r="P279" s="36">
        <f>IFERROR(O279/$R279,0)</f>
        <v>0.6</v>
      </c>
      <c r="Q279" s="17">
        <v>949</v>
      </c>
      <c r="R279" s="17">
        <v>10</v>
      </c>
    </row>
    <row r="280" spans="1:18" ht="15.75" customHeight="1" x14ac:dyDescent="0.25">
      <c r="A280" s="37">
        <v>2022</v>
      </c>
      <c r="B280" s="35">
        <v>170025</v>
      </c>
      <c r="C280" s="33" t="str">
        <f>VLOOKUP(B280,procv!$A$2:$D$142,4,FALSE)</f>
        <v>Cantão</v>
      </c>
      <c r="D280" s="33" t="s">
        <v>5</v>
      </c>
      <c r="E280" s="17">
        <v>43</v>
      </c>
      <c r="F280" s="36">
        <f>IFERROR(E280/$Q280,0)</f>
        <v>0.125</v>
      </c>
      <c r="G280" s="17">
        <v>0</v>
      </c>
      <c r="H280" s="36">
        <f>IFERROR(G280/$R280,0)</f>
        <v>0</v>
      </c>
      <c r="I280" s="17">
        <v>142</v>
      </c>
      <c r="J280" s="36">
        <f>IFERROR(I280/$Q280,0)</f>
        <v>0.41279069767441862</v>
      </c>
      <c r="K280" s="17">
        <v>0</v>
      </c>
      <c r="L280" s="36">
        <f>IFERROR(K280/$R280,0)</f>
        <v>0</v>
      </c>
      <c r="M280" s="17">
        <v>159</v>
      </c>
      <c r="N280" s="36">
        <f>IFERROR(M280/$Q280,0)</f>
        <v>0.46220930232558138</v>
      </c>
      <c r="O280" s="17">
        <v>0</v>
      </c>
      <c r="P280" s="36">
        <f>IFERROR(O280/$R280,0)</f>
        <v>0</v>
      </c>
      <c r="Q280" s="17">
        <v>344</v>
      </c>
      <c r="R280" s="17">
        <v>0</v>
      </c>
    </row>
    <row r="281" spans="1:18" ht="15.75" customHeight="1" x14ac:dyDescent="0.25">
      <c r="A281" s="37">
        <v>2022</v>
      </c>
      <c r="B281" s="35">
        <v>170030</v>
      </c>
      <c r="C281" s="33" t="str">
        <f>VLOOKUP(B281,procv!$A$2:$D$142,4,FALSE)</f>
        <v>Bico do Papagaio</v>
      </c>
      <c r="D281" s="33" t="s">
        <v>6</v>
      </c>
      <c r="E281" s="17">
        <v>43</v>
      </c>
      <c r="F281" s="36">
        <f>IFERROR(E281/$Q281,0)</f>
        <v>0.16666666666666666</v>
      </c>
      <c r="G281" s="17">
        <v>0</v>
      </c>
      <c r="H281" s="36">
        <f>IFERROR(G281/$R281,0)</f>
        <v>0</v>
      </c>
      <c r="I281" s="17">
        <v>92</v>
      </c>
      <c r="J281" s="36">
        <f>IFERROR(I281/$Q281,0)</f>
        <v>0.35658914728682173</v>
      </c>
      <c r="K281" s="17">
        <v>0</v>
      </c>
      <c r="L281" s="36">
        <f>IFERROR(K281/$R281,0)</f>
        <v>0</v>
      </c>
      <c r="M281" s="17">
        <v>123</v>
      </c>
      <c r="N281" s="36">
        <f>IFERROR(M281/$Q281,0)</f>
        <v>0.47674418604651164</v>
      </c>
      <c r="O281" s="17">
        <v>2</v>
      </c>
      <c r="P281" s="36">
        <f>IFERROR(O281/$R281,0)</f>
        <v>1</v>
      </c>
      <c r="Q281" s="17">
        <v>258</v>
      </c>
      <c r="R281" s="17">
        <v>2</v>
      </c>
    </row>
    <row r="282" spans="1:18" ht="15.75" customHeight="1" x14ac:dyDescent="0.25">
      <c r="A282" s="37">
        <v>2022</v>
      </c>
      <c r="B282" s="35">
        <v>170035</v>
      </c>
      <c r="C282" s="33" t="str">
        <f>VLOOKUP(B282,procv!$A$2:$D$142,4,FALSE)</f>
        <v>Ilha do Bananal</v>
      </c>
      <c r="D282" s="33" t="s">
        <v>7</v>
      </c>
      <c r="E282" s="17">
        <v>113</v>
      </c>
      <c r="F282" s="36">
        <f>IFERROR(E282/$Q282,0)</f>
        <v>0.17795275590551182</v>
      </c>
      <c r="G282" s="17">
        <v>0</v>
      </c>
      <c r="H282" s="36">
        <f>IFERROR(G282/$R282,0)</f>
        <v>0</v>
      </c>
      <c r="I282" s="17">
        <v>281</v>
      </c>
      <c r="J282" s="36">
        <f>IFERROR(I282/$Q282,0)</f>
        <v>0.44251968503937006</v>
      </c>
      <c r="K282" s="17">
        <v>5</v>
      </c>
      <c r="L282" s="36">
        <f>IFERROR(K282/$R282,0)</f>
        <v>0.7142857142857143</v>
      </c>
      <c r="M282" s="17">
        <v>241</v>
      </c>
      <c r="N282" s="36">
        <f>IFERROR(M282/$Q282,0)</f>
        <v>0.37952755905511809</v>
      </c>
      <c r="O282" s="17">
        <v>2</v>
      </c>
      <c r="P282" s="36">
        <f>IFERROR(O282/$R282,0)</f>
        <v>0.2857142857142857</v>
      </c>
      <c r="Q282" s="17">
        <v>635</v>
      </c>
      <c r="R282" s="17">
        <v>7</v>
      </c>
    </row>
    <row r="283" spans="1:18" ht="15.75" customHeight="1" x14ac:dyDescent="0.25">
      <c r="A283" s="37">
        <v>2022</v>
      </c>
      <c r="B283" s="35">
        <v>170040</v>
      </c>
      <c r="C283" s="33" t="str">
        <f>VLOOKUP(B283,procv!$A$2:$D$142,4,FALSE)</f>
        <v>Sudeste</v>
      </c>
      <c r="D283" s="33" t="s">
        <v>8</v>
      </c>
      <c r="E283" s="17">
        <v>90</v>
      </c>
      <c r="F283" s="36">
        <f>IFERROR(E283/$Q283,0)</f>
        <v>0.19780219780219779</v>
      </c>
      <c r="G283" s="17">
        <v>1</v>
      </c>
      <c r="H283" s="36">
        <f>IFERROR(G283/$R283,0)</f>
        <v>1</v>
      </c>
      <c r="I283" s="17">
        <v>169</v>
      </c>
      <c r="J283" s="36">
        <f>IFERROR(I283/$Q283,0)</f>
        <v>0.37142857142857144</v>
      </c>
      <c r="K283" s="17">
        <v>0</v>
      </c>
      <c r="L283" s="36">
        <f>IFERROR(K283/$R283,0)</f>
        <v>0</v>
      </c>
      <c r="M283" s="17">
        <v>196</v>
      </c>
      <c r="N283" s="36">
        <f>IFERROR(M283/$Q283,0)</f>
        <v>0.43076923076923079</v>
      </c>
      <c r="O283" s="17">
        <v>0</v>
      </c>
      <c r="P283" s="36">
        <f>IFERROR(O283/$R283,0)</f>
        <v>0</v>
      </c>
      <c r="Q283" s="17">
        <v>455</v>
      </c>
      <c r="R283" s="17">
        <v>1</v>
      </c>
    </row>
    <row r="284" spans="1:18" ht="15.75" customHeight="1" x14ac:dyDescent="0.25">
      <c r="A284" s="37">
        <v>2022</v>
      </c>
      <c r="B284" s="35">
        <v>170070</v>
      </c>
      <c r="C284" s="33" t="str">
        <f>VLOOKUP(B284,procv!$A$2:$D$142,4,FALSE)</f>
        <v>Ilha do Bananal</v>
      </c>
      <c r="D284" s="33" t="s">
        <v>9</v>
      </c>
      <c r="E284" s="17">
        <v>89</v>
      </c>
      <c r="F284" s="36">
        <f>IFERROR(E284/$Q284,0)</f>
        <v>0.10582639714625446</v>
      </c>
      <c r="G284" s="17">
        <v>2</v>
      </c>
      <c r="H284" s="36">
        <f>IFERROR(G284/$R284,0)</f>
        <v>0.25</v>
      </c>
      <c r="I284" s="17">
        <v>360</v>
      </c>
      <c r="J284" s="36">
        <f>IFERROR(I284/$Q284,0)</f>
        <v>0.42806183115338881</v>
      </c>
      <c r="K284" s="17">
        <v>1</v>
      </c>
      <c r="L284" s="36">
        <f>IFERROR(K284/$R284,0)</f>
        <v>0.125</v>
      </c>
      <c r="M284" s="17">
        <v>392</v>
      </c>
      <c r="N284" s="36">
        <f>IFERROR(M284/$Q284,0)</f>
        <v>0.46611177170035673</v>
      </c>
      <c r="O284" s="17">
        <v>5</v>
      </c>
      <c r="P284" s="36">
        <f>IFERROR(O284/$R284,0)</f>
        <v>0.625</v>
      </c>
      <c r="Q284" s="17">
        <v>841</v>
      </c>
      <c r="R284" s="17">
        <v>8</v>
      </c>
    </row>
    <row r="285" spans="1:18" ht="15.75" customHeight="1" x14ac:dyDescent="0.25">
      <c r="A285" s="37">
        <v>2022</v>
      </c>
      <c r="B285" s="35">
        <v>170100</v>
      </c>
      <c r="C285" s="33" t="str">
        <f>VLOOKUP(B285,procv!$A$2:$D$142,4,FALSE)</f>
        <v>Bico do Papagaio</v>
      </c>
      <c r="D285" s="33" t="s">
        <v>10</v>
      </c>
      <c r="E285" s="17">
        <v>68</v>
      </c>
      <c r="F285" s="36">
        <f>IFERROR(E285/$Q285,0)</f>
        <v>0.1712846347607053</v>
      </c>
      <c r="G285" s="17">
        <v>3</v>
      </c>
      <c r="H285" s="36">
        <f>IFERROR(G285/$R285,0)</f>
        <v>0.375</v>
      </c>
      <c r="I285" s="17">
        <v>145</v>
      </c>
      <c r="J285" s="36">
        <f>IFERROR(I285/$Q285,0)</f>
        <v>0.36523929471032746</v>
      </c>
      <c r="K285" s="17">
        <v>2</v>
      </c>
      <c r="L285" s="36">
        <f>IFERROR(K285/$R285,0)</f>
        <v>0.25</v>
      </c>
      <c r="M285" s="17">
        <v>184</v>
      </c>
      <c r="N285" s="36">
        <f>IFERROR(M285/$Q285,0)</f>
        <v>0.46347607052896728</v>
      </c>
      <c r="O285" s="17">
        <v>3</v>
      </c>
      <c r="P285" s="36">
        <f>IFERROR(O285/$R285,0)</f>
        <v>0.375</v>
      </c>
      <c r="Q285" s="17">
        <v>397</v>
      </c>
      <c r="R285" s="17">
        <v>8</v>
      </c>
    </row>
    <row r="286" spans="1:18" ht="15.75" customHeight="1" x14ac:dyDescent="0.25">
      <c r="A286" s="37">
        <v>2022</v>
      </c>
      <c r="B286" s="35">
        <v>170105</v>
      </c>
      <c r="C286" s="33" t="str">
        <f>VLOOKUP(B286,procv!$A$2:$D$142,4,FALSE)</f>
        <v>Bico do Papagaio</v>
      </c>
      <c r="D286" s="33" t="s">
        <v>11</v>
      </c>
      <c r="E286" s="17">
        <v>46</v>
      </c>
      <c r="F286" s="36">
        <f>IFERROR(E286/$Q286,0)</f>
        <v>0.16606498194945848</v>
      </c>
      <c r="G286" s="17">
        <v>0</v>
      </c>
      <c r="H286" s="36">
        <f>IFERROR(G286/$R286,0)</f>
        <v>0</v>
      </c>
      <c r="I286" s="17">
        <v>136</v>
      </c>
      <c r="J286" s="36">
        <f>IFERROR(I286/$Q286,0)</f>
        <v>0.49097472924187724</v>
      </c>
      <c r="K286" s="17">
        <v>1</v>
      </c>
      <c r="L286" s="36">
        <f>IFERROR(K286/$R286,0)</f>
        <v>1</v>
      </c>
      <c r="M286" s="17">
        <v>95</v>
      </c>
      <c r="N286" s="36">
        <f>IFERROR(M286/$Q286,0)</f>
        <v>0.34296028880866425</v>
      </c>
      <c r="O286" s="17">
        <v>0</v>
      </c>
      <c r="P286" s="36">
        <f>IFERROR(O286/$R286,0)</f>
        <v>0</v>
      </c>
      <c r="Q286" s="17">
        <v>277</v>
      </c>
      <c r="R286" s="17">
        <v>1</v>
      </c>
    </row>
    <row r="287" spans="1:18" ht="15.75" customHeight="1" x14ac:dyDescent="0.25">
      <c r="A287" s="37">
        <v>2022</v>
      </c>
      <c r="B287" s="35">
        <v>170110</v>
      </c>
      <c r="C287" s="33" t="str">
        <f>VLOOKUP(B287,procv!$A$2:$D$142,4,FALSE)</f>
        <v>Capim Dourado</v>
      </c>
      <c r="D287" s="33" t="s">
        <v>12</v>
      </c>
      <c r="E287" s="17">
        <v>58</v>
      </c>
      <c r="F287" s="36">
        <f>IFERROR(E287/$Q287,0)</f>
        <v>0.12831858407079647</v>
      </c>
      <c r="G287" s="17">
        <v>0</v>
      </c>
      <c r="H287" s="36">
        <f>IFERROR(G287/$R287,0)</f>
        <v>0</v>
      </c>
      <c r="I287" s="17">
        <v>183</v>
      </c>
      <c r="J287" s="36">
        <f>IFERROR(I287/$Q287,0)</f>
        <v>0.40486725663716816</v>
      </c>
      <c r="K287" s="17">
        <v>2</v>
      </c>
      <c r="L287" s="36">
        <f>IFERROR(K287/$R287,0)</f>
        <v>1</v>
      </c>
      <c r="M287" s="17">
        <v>211</v>
      </c>
      <c r="N287" s="36">
        <f>IFERROR(M287/$Q287,0)</f>
        <v>0.4668141592920354</v>
      </c>
      <c r="O287" s="17">
        <v>0</v>
      </c>
      <c r="P287" s="36">
        <f>IFERROR(O287/$R287,0)</f>
        <v>0</v>
      </c>
      <c r="Q287" s="17">
        <v>452</v>
      </c>
      <c r="R287" s="17">
        <v>2</v>
      </c>
    </row>
    <row r="288" spans="1:18" ht="15.75" customHeight="1" x14ac:dyDescent="0.25">
      <c r="A288" s="37">
        <v>2022</v>
      </c>
      <c r="B288" s="35">
        <v>170130</v>
      </c>
      <c r="C288" s="33" t="str">
        <f>VLOOKUP(B288,procv!$A$2:$D$142,4,FALSE)</f>
        <v>Médio Norte Araguaia</v>
      </c>
      <c r="D288" s="33" t="s">
        <v>13</v>
      </c>
      <c r="E288" s="17">
        <v>78</v>
      </c>
      <c r="F288" s="36">
        <f>IFERROR(E288/$Q288,0)</f>
        <v>0.13518197573656845</v>
      </c>
      <c r="G288" s="17">
        <v>0</v>
      </c>
      <c r="H288" s="36">
        <f>IFERROR(G288/$R288,0)</f>
        <v>0</v>
      </c>
      <c r="I288" s="17">
        <v>232</v>
      </c>
      <c r="J288" s="36">
        <f>IFERROR(I288/$Q288,0)</f>
        <v>0.40207972270363951</v>
      </c>
      <c r="K288" s="17">
        <v>1</v>
      </c>
      <c r="L288" s="36">
        <f>IFERROR(K288/$R288,0)</f>
        <v>0.5</v>
      </c>
      <c r="M288" s="17">
        <v>267</v>
      </c>
      <c r="N288" s="36">
        <f>IFERROR(M288/$Q288,0)</f>
        <v>0.46273830155979201</v>
      </c>
      <c r="O288" s="17">
        <v>1</v>
      </c>
      <c r="P288" s="36">
        <f>IFERROR(O288/$R288,0)</f>
        <v>0.5</v>
      </c>
      <c r="Q288" s="17">
        <v>577</v>
      </c>
      <c r="R288" s="17">
        <v>2</v>
      </c>
    </row>
    <row r="289" spans="1:18" ht="15.75" customHeight="1" x14ac:dyDescent="0.25">
      <c r="A289" s="37">
        <v>2022</v>
      </c>
      <c r="B289" s="35">
        <v>170190</v>
      </c>
      <c r="C289" s="33" t="str">
        <f>VLOOKUP(B289,procv!$A$2:$D$142,4,FALSE)</f>
        <v>Cantão</v>
      </c>
      <c r="D289" s="33" t="s">
        <v>14</v>
      </c>
      <c r="E289" s="17">
        <v>67</v>
      </c>
      <c r="F289" s="36">
        <f>IFERROR(E289/$Q289,0)</f>
        <v>0.11672473867595819</v>
      </c>
      <c r="G289" s="17">
        <v>0</v>
      </c>
      <c r="H289" s="36">
        <f>IFERROR(G289/$R289,0)</f>
        <v>0</v>
      </c>
      <c r="I289" s="17">
        <v>218</v>
      </c>
      <c r="J289" s="36">
        <f>IFERROR(I289/$Q289,0)</f>
        <v>0.37979094076655051</v>
      </c>
      <c r="K289" s="17">
        <v>4</v>
      </c>
      <c r="L289" s="36">
        <f>IFERROR(K289/$R289,0)</f>
        <v>0.36363636363636365</v>
      </c>
      <c r="M289" s="17">
        <v>289</v>
      </c>
      <c r="N289" s="36">
        <f>IFERROR(M289/$Q289,0)</f>
        <v>0.50348432055749126</v>
      </c>
      <c r="O289" s="17">
        <v>7</v>
      </c>
      <c r="P289" s="36">
        <f>IFERROR(O289/$R289,0)</f>
        <v>0.63636363636363635</v>
      </c>
      <c r="Q289" s="17">
        <v>574</v>
      </c>
      <c r="R289" s="17">
        <v>11</v>
      </c>
    </row>
    <row r="290" spans="1:18" ht="15.75" customHeight="1" x14ac:dyDescent="0.25">
      <c r="A290" s="37">
        <v>2022</v>
      </c>
      <c r="B290" s="35">
        <v>170200</v>
      </c>
      <c r="C290" s="33" t="str">
        <f>VLOOKUP(B290,procv!$A$2:$D$142,4,FALSE)</f>
        <v>Ilha do Bananal</v>
      </c>
      <c r="D290" s="33" t="s">
        <v>15</v>
      </c>
      <c r="E290" s="17">
        <v>98</v>
      </c>
      <c r="F290" s="36">
        <f>IFERROR(E290/$Q290,0)</f>
        <v>0.12219451371571072</v>
      </c>
      <c r="G290" s="17">
        <v>1</v>
      </c>
      <c r="H290" s="36">
        <f>IFERROR(G290/$R290,0)</f>
        <v>0.2</v>
      </c>
      <c r="I290" s="17">
        <v>317</v>
      </c>
      <c r="J290" s="36">
        <f>IFERROR(I290/$Q290,0)</f>
        <v>0.39526184538653364</v>
      </c>
      <c r="K290" s="17">
        <v>2</v>
      </c>
      <c r="L290" s="36">
        <f>IFERROR(K290/$R290,0)</f>
        <v>0.4</v>
      </c>
      <c r="M290" s="17">
        <v>387</v>
      </c>
      <c r="N290" s="36">
        <f>IFERROR(M290/$Q290,0)</f>
        <v>0.48254364089775559</v>
      </c>
      <c r="O290" s="17">
        <v>2</v>
      </c>
      <c r="P290" s="36">
        <f>IFERROR(O290/$R290,0)</f>
        <v>0.4</v>
      </c>
      <c r="Q290" s="17">
        <v>802</v>
      </c>
      <c r="R290" s="17">
        <v>5</v>
      </c>
    </row>
    <row r="291" spans="1:18" ht="15.75" customHeight="1" x14ac:dyDescent="0.25">
      <c r="A291" s="37">
        <v>2022</v>
      </c>
      <c r="B291" s="35">
        <v>170210</v>
      </c>
      <c r="C291" s="33" t="str">
        <f>VLOOKUP(B291,procv!$A$2:$D$142,4,FALSE)</f>
        <v>Médio Norte Araguaia</v>
      </c>
      <c r="D291" s="33" t="s">
        <v>16</v>
      </c>
      <c r="E291" s="16">
        <v>1011</v>
      </c>
      <c r="F291" s="36">
        <f>IFERROR(E291/$Q291,0)</f>
        <v>0.12101987072061288</v>
      </c>
      <c r="G291" s="17">
        <v>10</v>
      </c>
      <c r="H291" s="36">
        <f>IFERROR(G291/$R291,0)</f>
        <v>0.13513513513513514</v>
      </c>
      <c r="I291" s="16">
        <v>3154</v>
      </c>
      <c r="J291" s="36">
        <f>IFERROR(I291/$Q291,0)</f>
        <v>0.37754369164472107</v>
      </c>
      <c r="K291" s="17">
        <v>25</v>
      </c>
      <c r="L291" s="36">
        <f>IFERROR(K291/$R291,0)</f>
        <v>0.33783783783783783</v>
      </c>
      <c r="M291" s="16">
        <v>4189</v>
      </c>
      <c r="N291" s="36">
        <f>IFERROR(M291/$Q291,0)</f>
        <v>0.50143643763466605</v>
      </c>
      <c r="O291" s="17">
        <v>39</v>
      </c>
      <c r="P291" s="36">
        <f>IFERROR(O291/$R291,0)</f>
        <v>0.52702702702702697</v>
      </c>
      <c r="Q291" s="16">
        <v>8354</v>
      </c>
      <c r="R291" s="17">
        <v>74</v>
      </c>
    </row>
    <row r="292" spans="1:18" ht="15.75" customHeight="1" x14ac:dyDescent="0.25">
      <c r="A292" s="37">
        <v>2022</v>
      </c>
      <c r="B292" s="35">
        <v>170215</v>
      </c>
      <c r="C292" s="33" t="str">
        <f>VLOOKUP(B292,procv!$A$2:$D$142,4,FALSE)</f>
        <v>Médio Norte Araguaia</v>
      </c>
      <c r="D292" s="33" t="s">
        <v>17</v>
      </c>
      <c r="E292" s="17">
        <v>42</v>
      </c>
      <c r="F292" s="36">
        <f>IFERROR(E292/$Q292,0)</f>
        <v>0.12962962962962962</v>
      </c>
      <c r="G292" s="17">
        <v>1</v>
      </c>
      <c r="H292" s="36">
        <f>IFERROR(G292/$R292,0)</f>
        <v>0.33333333333333331</v>
      </c>
      <c r="I292" s="17">
        <v>127</v>
      </c>
      <c r="J292" s="36">
        <f>IFERROR(I292/$Q292,0)</f>
        <v>0.39197530864197533</v>
      </c>
      <c r="K292" s="17">
        <v>1</v>
      </c>
      <c r="L292" s="36">
        <f>IFERROR(K292/$R292,0)</f>
        <v>0.33333333333333331</v>
      </c>
      <c r="M292" s="17">
        <v>155</v>
      </c>
      <c r="N292" s="36">
        <f>IFERROR(M292/$Q292,0)</f>
        <v>0.47839506172839508</v>
      </c>
      <c r="O292" s="17">
        <v>1</v>
      </c>
      <c r="P292" s="36">
        <f>IFERROR(O292/$R292,0)</f>
        <v>0.33333333333333331</v>
      </c>
      <c r="Q292" s="17">
        <v>324</v>
      </c>
      <c r="R292" s="17">
        <v>3</v>
      </c>
    </row>
    <row r="293" spans="1:18" ht="15.75" customHeight="1" x14ac:dyDescent="0.25">
      <c r="A293" s="37">
        <v>2022</v>
      </c>
      <c r="B293" s="35">
        <v>170220</v>
      </c>
      <c r="C293" s="33" t="str">
        <f>VLOOKUP(B293,procv!$A$2:$D$142,4,FALSE)</f>
        <v>Bico do Papagaio</v>
      </c>
      <c r="D293" s="33" t="s">
        <v>18</v>
      </c>
      <c r="E293" s="17">
        <v>395</v>
      </c>
      <c r="F293" s="36">
        <f>IFERROR(E293/$Q293,0)</f>
        <v>0.17954545454545454</v>
      </c>
      <c r="G293" s="17">
        <v>4</v>
      </c>
      <c r="H293" s="36">
        <f>IFERROR(G293/$R293,0)</f>
        <v>0.5</v>
      </c>
      <c r="I293" s="17">
        <v>969</v>
      </c>
      <c r="J293" s="36">
        <f>IFERROR(I293/$Q293,0)</f>
        <v>0.44045454545454543</v>
      </c>
      <c r="K293" s="17">
        <v>2</v>
      </c>
      <c r="L293" s="36">
        <f>IFERROR(K293/$R293,0)</f>
        <v>0.25</v>
      </c>
      <c r="M293" s="17">
        <v>836</v>
      </c>
      <c r="N293" s="36">
        <f>IFERROR(M293/$Q293,0)</f>
        <v>0.38</v>
      </c>
      <c r="O293" s="17">
        <v>2</v>
      </c>
      <c r="P293" s="36">
        <f>IFERROR(O293/$R293,0)</f>
        <v>0.25</v>
      </c>
      <c r="Q293" s="16">
        <v>2200</v>
      </c>
      <c r="R293" s="17">
        <v>8</v>
      </c>
    </row>
    <row r="294" spans="1:18" ht="15.75" customHeight="1" x14ac:dyDescent="0.25">
      <c r="A294" s="37">
        <v>2022</v>
      </c>
      <c r="B294" s="35">
        <v>170230</v>
      </c>
      <c r="C294" s="33" t="str">
        <f>VLOOKUP(B294,procv!$A$2:$D$142,4,FALSE)</f>
        <v>Cerrado Tocantins Araguaia</v>
      </c>
      <c r="D294" s="33" t="s">
        <v>19</v>
      </c>
      <c r="E294" s="17">
        <v>5</v>
      </c>
      <c r="F294" s="36">
        <f>IFERROR(E294/$Q294,0)</f>
        <v>9.2592592592592587E-2</v>
      </c>
      <c r="G294" s="17">
        <v>0</v>
      </c>
      <c r="H294" s="36">
        <f>IFERROR(G294/$R294,0)</f>
        <v>0</v>
      </c>
      <c r="I294" s="17">
        <v>20</v>
      </c>
      <c r="J294" s="36">
        <f>IFERROR(I294/$Q294,0)</f>
        <v>0.37037037037037035</v>
      </c>
      <c r="K294" s="17">
        <v>0</v>
      </c>
      <c r="L294" s="36">
        <f>IFERROR(K294/$R294,0)</f>
        <v>0</v>
      </c>
      <c r="M294" s="17">
        <v>29</v>
      </c>
      <c r="N294" s="36">
        <f>IFERROR(M294/$Q294,0)</f>
        <v>0.53703703703703709</v>
      </c>
      <c r="O294" s="17">
        <v>4</v>
      </c>
      <c r="P294" s="36">
        <f>IFERROR(O294/$R294,0)</f>
        <v>1</v>
      </c>
      <c r="Q294" s="17">
        <v>54</v>
      </c>
      <c r="R294" s="17">
        <v>4</v>
      </c>
    </row>
    <row r="295" spans="1:18" ht="15.75" customHeight="1" x14ac:dyDescent="0.25">
      <c r="A295" s="37">
        <v>2022</v>
      </c>
      <c r="B295" s="35">
        <v>170240</v>
      </c>
      <c r="C295" s="33" t="str">
        <f>VLOOKUP(B295,procv!$A$2:$D$142,4,FALSE)</f>
        <v>Sudeste</v>
      </c>
      <c r="D295" s="33" t="s">
        <v>20</v>
      </c>
      <c r="E295" s="17">
        <v>223</v>
      </c>
      <c r="F295" s="36">
        <f>IFERROR(E295/$Q295,0)</f>
        <v>0.24371584699453552</v>
      </c>
      <c r="G295" s="17">
        <v>0</v>
      </c>
      <c r="H295" s="36">
        <f>IFERROR(G295/$R295,0)</f>
        <v>0</v>
      </c>
      <c r="I295" s="17">
        <v>368</v>
      </c>
      <c r="J295" s="36">
        <f>IFERROR(I295/$Q295,0)</f>
        <v>0.40218579234972679</v>
      </c>
      <c r="K295" s="17">
        <v>0</v>
      </c>
      <c r="L295" s="36">
        <f>IFERROR(K295/$R295,0)</f>
        <v>0</v>
      </c>
      <c r="M295" s="17">
        <v>324</v>
      </c>
      <c r="N295" s="36">
        <f>IFERROR(M295/$Q295,0)</f>
        <v>0.35409836065573769</v>
      </c>
      <c r="O295" s="17">
        <v>1</v>
      </c>
      <c r="P295" s="36">
        <f>IFERROR(O295/$R295,0)</f>
        <v>1</v>
      </c>
      <c r="Q295" s="17">
        <v>915</v>
      </c>
      <c r="R295" s="17">
        <v>1</v>
      </c>
    </row>
    <row r="296" spans="1:18" ht="15.75" customHeight="1" x14ac:dyDescent="0.25">
      <c r="A296" s="37">
        <v>2022</v>
      </c>
      <c r="B296" s="35">
        <v>170255</v>
      </c>
      <c r="C296" s="33" t="str">
        <f>VLOOKUP(B296,procv!$A$2:$D$142,4,FALSE)</f>
        <v>Bico do Papagaio</v>
      </c>
      <c r="D296" s="33" t="s">
        <v>21</v>
      </c>
      <c r="E296" s="17">
        <v>145</v>
      </c>
      <c r="F296" s="36">
        <f>IFERROR(E296/$Q296,0)</f>
        <v>0.13278388278388278</v>
      </c>
      <c r="G296" s="17">
        <v>1</v>
      </c>
      <c r="H296" s="36">
        <f>IFERROR(G296/$R296,0)</f>
        <v>0.14285714285714285</v>
      </c>
      <c r="I296" s="17">
        <v>436</v>
      </c>
      <c r="J296" s="36">
        <f>IFERROR(I296/$Q296,0)</f>
        <v>0.39926739926739929</v>
      </c>
      <c r="K296" s="17">
        <v>2</v>
      </c>
      <c r="L296" s="36">
        <f>IFERROR(K296/$R296,0)</f>
        <v>0.2857142857142857</v>
      </c>
      <c r="M296" s="17">
        <v>511</v>
      </c>
      <c r="N296" s="36">
        <f>IFERROR(M296/$Q296,0)</f>
        <v>0.46794871794871795</v>
      </c>
      <c r="O296" s="17">
        <v>4</v>
      </c>
      <c r="P296" s="36">
        <f>IFERROR(O296/$R296,0)</f>
        <v>0.5714285714285714</v>
      </c>
      <c r="Q296" s="16">
        <v>1092</v>
      </c>
      <c r="R296" s="17">
        <v>7</v>
      </c>
    </row>
    <row r="297" spans="1:18" ht="15.75" customHeight="1" x14ac:dyDescent="0.25">
      <c r="A297" s="37">
        <v>2022</v>
      </c>
      <c r="B297" s="35">
        <v>170270</v>
      </c>
      <c r="C297" s="33" t="str">
        <f>VLOOKUP(B297,procv!$A$2:$D$142,4,FALSE)</f>
        <v>Sudeste</v>
      </c>
      <c r="D297" s="33" t="s">
        <v>22</v>
      </c>
      <c r="E297" s="17">
        <v>96</v>
      </c>
      <c r="F297" s="36">
        <f>IFERROR(E297/$Q297,0)</f>
        <v>0.22377622377622378</v>
      </c>
      <c r="G297" s="17">
        <v>2</v>
      </c>
      <c r="H297" s="36">
        <f>IFERROR(G297/$R297,0)</f>
        <v>0.66666666666666663</v>
      </c>
      <c r="I297" s="17">
        <v>185</v>
      </c>
      <c r="J297" s="36">
        <f>IFERROR(I297/$Q297,0)</f>
        <v>0.43123543123543123</v>
      </c>
      <c r="K297" s="17">
        <v>0</v>
      </c>
      <c r="L297" s="36">
        <f>IFERROR(K297/$R297,0)</f>
        <v>0</v>
      </c>
      <c r="M297" s="17">
        <v>148</v>
      </c>
      <c r="N297" s="36">
        <f>IFERROR(M297/$Q297,0)</f>
        <v>0.34498834498834496</v>
      </c>
      <c r="O297" s="17">
        <v>1</v>
      </c>
      <c r="P297" s="36">
        <f>IFERROR(O297/$R297,0)</f>
        <v>0.33333333333333331</v>
      </c>
      <c r="Q297" s="17">
        <v>429</v>
      </c>
      <c r="R297" s="17">
        <v>3</v>
      </c>
    </row>
    <row r="298" spans="1:18" ht="15.75" customHeight="1" x14ac:dyDescent="0.25">
      <c r="A298" s="37">
        <v>2022</v>
      </c>
      <c r="B298" s="35">
        <v>170290</v>
      </c>
      <c r="C298" s="33" t="str">
        <f>VLOOKUP(B298,procv!$A$2:$D$142,4,FALSE)</f>
        <v>Bico do Papagaio</v>
      </c>
      <c r="D298" s="33" t="s">
        <v>23</v>
      </c>
      <c r="E298" s="17">
        <v>30</v>
      </c>
      <c r="F298" s="36">
        <f>IFERROR(E298/$Q298,0)</f>
        <v>0.14354066985645933</v>
      </c>
      <c r="G298" s="17">
        <v>0</v>
      </c>
      <c r="H298" s="36">
        <f>IFERROR(G298/$R298,0)</f>
        <v>0</v>
      </c>
      <c r="I298" s="17">
        <v>83</v>
      </c>
      <c r="J298" s="36">
        <f>IFERROR(I298/$Q298,0)</f>
        <v>0.39712918660287083</v>
      </c>
      <c r="K298" s="17">
        <v>2</v>
      </c>
      <c r="L298" s="36">
        <f>IFERROR(K298/$R298,0)</f>
        <v>0.33333333333333331</v>
      </c>
      <c r="M298" s="17">
        <v>96</v>
      </c>
      <c r="N298" s="36">
        <f>IFERROR(M298/$Q298,0)</f>
        <v>0.45933014354066987</v>
      </c>
      <c r="O298" s="17">
        <v>4</v>
      </c>
      <c r="P298" s="36">
        <f>IFERROR(O298/$R298,0)</f>
        <v>0.66666666666666663</v>
      </c>
      <c r="Q298" s="17">
        <v>209</v>
      </c>
      <c r="R298" s="17">
        <v>6</v>
      </c>
    </row>
    <row r="299" spans="1:18" ht="15.75" customHeight="1" x14ac:dyDescent="0.25">
      <c r="A299" s="37">
        <v>2022</v>
      </c>
      <c r="B299" s="35">
        <v>170300</v>
      </c>
      <c r="C299" s="33" t="str">
        <f>VLOOKUP(B299,procv!$A$2:$D$142,4,FALSE)</f>
        <v>Médio Norte Araguaia</v>
      </c>
      <c r="D299" s="33" t="s">
        <v>24</v>
      </c>
      <c r="E299" s="17">
        <v>97</v>
      </c>
      <c r="F299" s="36">
        <f>IFERROR(E299/$Q299,0)</f>
        <v>0.14586466165413534</v>
      </c>
      <c r="G299" s="17">
        <v>0</v>
      </c>
      <c r="H299" s="36">
        <f>IFERROR(G299/$R299,0)</f>
        <v>0</v>
      </c>
      <c r="I299" s="17">
        <v>283</v>
      </c>
      <c r="J299" s="36">
        <f>IFERROR(I299/$Q299,0)</f>
        <v>0.42556390977443609</v>
      </c>
      <c r="K299" s="17">
        <v>2</v>
      </c>
      <c r="L299" s="36">
        <f>IFERROR(K299/$R299,0)</f>
        <v>0.5</v>
      </c>
      <c r="M299" s="17">
        <v>285</v>
      </c>
      <c r="N299" s="36">
        <f>IFERROR(M299/$Q299,0)</f>
        <v>0.42857142857142855</v>
      </c>
      <c r="O299" s="17">
        <v>2</v>
      </c>
      <c r="P299" s="36">
        <f>IFERROR(O299/$R299,0)</f>
        <v>0.5</v>
      </c>
      <c r="Q299" s="17">
        <v>665</v>
      </c>
      <c r="R299" s="17">
        <v>4</v>
      </c>
    </row>
    <row r="300" spans="1:18" ht="15.75" customHeight="1" x14ac:dyDescent="0.25">
      <c r="A300" s="37">
        <v>2022</v>
      </c>
      <c r="B300" s="35">
        <v>170305</v>
      </c>
      <c r="C300" s="33" t="str">
        <f>VLOOKUP(B300,procv!$A$2:$D$142,4,FALSE)</f>
        <v>Cerrado Tocantins Araguaia</v>
      </c>
      <c r="D300" s="33" t="s">
        <v>25</v>
      </c>
      <c r="E300" s="17">
        <v>37</v>
      </c>
      <c r="F300" s="36">
        <f>IFERROR(E300/$Q300,0)</f>
        <v>0.17209302325581396</v>
      </c>
      <c r="G300" s="17">
        <v>1</v>
      </c>
      <c r="H300" s="36">
        <f>IFERROR(G300/$R300,0)</f>
        <v>0.5</v>
      </c>
      <c r="I300" s="17">
        <v>77</v>
      </c>
      <c r="J300" s="36">
        <f>IFERROR(I300/$Q300,0)</f>
        <v>0.35813953488372091</v>
      </c>
      <c r="K300" s="17">
        <v>1</v>
      </c>
      <c r="L300" s="36">
        <f>IFERROR(K300/$R300,0)</f>
        <v>0.5</v>
      </c>
      <c r="M300" s="17">
        <v>101</v>
      </c>
      <c r="N300" s="36">
        <f>IFERROR(M300/$Q300,0)</f>
        <v>0.4697674418604651</v>
      </c>
      <c r="O300" s="17">
        <v>0</v>
      </c>
      <c r="P300" s="36">
        <f>IFERROR(O300/$R300,0)</f>
        <v>0</v>
      </c>
      <c r="Q300" s="17">
        <v>215</v>
      </c>
      <c r="R300" s="17">
        <v>2</v>
      </c>
    </row>
    <row r="301" spans="1:18" ht="15.75" customHeight="1" x14ac:dyDescent="0.25">
      <c r="A301" s="37">
        <v>2022</v>
      </c>
      <c r="B301" s="35">
        <v>170307</v>
      </c>
      <c r="C301" s="33" t="str">
        <f>VLOOKUP(B301,procv!$A$2:$D$142,4,FALSE)</f>
        <v>Médio Norte Araguaia</v>
      </c>
      <c r="D301" s="33" t="s">
        <v>26</v>
      </c>
      <c r="E301" s="17">
        <v>41</v>
      </c>
      <c r="F301" s="36">
        <f>IFERROR(E301/$Q301,0)</f>
        <v>0.14909090909090908</v>
      </c>
      <c r="G301" s="17">
        <v>0</v>
      </c>
      <c r="H301" s="36">
        <f>IFERROR(G301/$R301,0)</f>
        <v>0</v>
      </c>
      <c r="I301" s="17">
        <v>113</v>
      </c>
      <c r="J301" s="36">
        <f>IFERROR(I301/$Q301,0)</f>
        <v>0.41090909090909089</v>
      </c>
      <c r="K301" s="17">
        <v>0</v>
      </c>
      <c r="L301" s="36">
        <f>IFERROR(K301/$R301,0)</f>
        <v>0</v>
      </c>
      <c r="M301" s="17">
        <v>121</v>
      </c>
      <c r="N301" s="36">
        <f>IFERROR(M301/$Q301,0)</f>
        <v>0.44</v>
      </c>
      <c r="O301" s="17">
        <v>0</v>
      </c>
      <c r="P301" s="36">
        <f>IFERROR(O301/$R301,0)</f>
        <v>0</v>
      </c>
      <c r="Q301" s="17">
        <v>275</v>
      </c>
      <c r="R301" s="17">
        <v>0</v>
      </c>
    </row>
    <row r="302" spans="1:18" ht="15.75" customHeight="1" x14ac:dyDescent="0.25">
      <c r="A302" s="37">
        <v>2022</v>
      </c>
      <c r="B302" s="35">
        <v>170310</v>
      </c>
      <c r="C302" s="33" t="str">
        <f>VLOOKUP(B302,procv!$A$2:$D$142,4,FALSE)</f>
        <v>Cantão</v>
      </c>
      <c r="D302" s="33" t="s">
        <v>27</v>
      </c>
      <c r="E302" s="17">
        <v>36</v>
      </c>
      <c r="F302" s="36">
        <f>IFERROR(E302/$Q302,0)</f>
        <v>0.13432835820895522</v>
      </c>
      <c r="G302" s="17">
        <v>0</v>
      </c>
      <c r="H302" s="36">
        <f>IFERROR(G302/$R302,0)</f>
        <v>0</v>
      </c>
      <c r="I302" s="17">
        <v>108</v>
      </c>
      <c r="J302" s="36">
        <f>IFERROR(I302/$Q302,0)</f>
        <v>0.40298507462686567</v>
      </c>
      <c r="K302" s="17">
        <v>0</v>
      </c>
      <c r="L302" s="36">
        <f>IFERROR(K302/$R302,0)</f>
        <v>0</v>
      </c>
      <c r="M302" s="17">
        <v>124</v>
      </c>
      <c r="N302" s="36">
        <f>IFERROR(M302/$Q302,0)</f>
        <v>0.46268656716417911</v>
      </c>
      <c r="O302" s="17">
        <v>1</v>
      </c>
      <c r="P302" s="36">
        <f>IFERROR(O302/$R302,0)</f>
        <v>1</v>
      </c>
      <c r="Q302" s="17">
        <v>268</v>
      </c>
      <c r="R302" s="17">
        <v>1</v>
      </c>
    </row>
    <row r="303" spans="1:18" ht="15.75" customHeight="1" x14ac:dyDescent="0.25">
      <c r="A303" s="37">
        <v>2022</v>
      </c>
      <c r="B303" s="35">
        <v>170320</v>
      </c>
      <c r="C303" s="33" t="str">
        <f>VLOOKUP(B303,procv!$A$2:$D$142,4,FALSE)</f>
        <v>Cerrado Tocantins Araguaia</v>
      </c>
      <c r="D303" s="33" t="s">
        <v>28</v>
      </c>
      <c r="E303" s="17">
        <v>16</v>
      </c>
      <c r="F303" s="36">
        <f>IFERROR(E303/$Q303,0)</f>
        <v>0.10666666666666667</v>
      </c>
      <c r="G303" s="17">
        <v>0</v>
      </c>
      <c r="H303" s="36">
        <f>IFERROR(G303/$R303,0)</f>
        <v>0</v>
      </c>
      <c r="I303" s="17">
        <v>49</v>
      </c>
      <c r="J303" s="36">
        <f>IFERROR(I303/$Q303,0)</f>
        <v>0.32666666666666666</v>
      </c>
      <c r="K303" s="17">
        <v>1</v>
      </c>
      <c r="L303" s="36">
        <f>IFERROR(K303/$R303,0)</f>
        <v>0.33333333333333331</v>
      </c>
      <c r="M303" s="17">
        <v>85</v>
      </c>
      <c r="N303" s="36">
        <f>IFERROR(M303/$Q303,0)</f>
        <v>0.56666666666666665</v>
      </c>
      <c r="O303" s="17">
        <v>2</v>
      </c>
      <c r="P303" s="36">
        <f>IFERROR(O303/$R303,0)</f>
        <v>0.66666666666666663</v>
      </c>
      <c r="Q303" s="17">
        <v>150</v>
      </c>
      <c r="R303" s="17">
        <v>3</v>
      </c>
    </row>
    <row r="304" spans="1:18" ht="15.75" customHeight="1" x14ac:dyDescent="0.25">
      <c r="A304" s="37">
        <v>2022</v>
      </c>
      <c r="B304" s="35">
        <v>170330</v>
      </c>
      <c r="C304" s="33" t="str">
        <f>VLOOKUP(B304,procv!$A$2:$D$142,4,FALSE)</f>
        <v>Cerrado Tocantins Araguaia</v>
      </c>
      <c r="D304" s="33" t="s">
        <v>29</v>
      </c>
      <c r="E304" s="17">
        <v>16</v>
      </c>
      <c r="F304" s="36">
        <f>IFERROR(E304/$Q304,0)</f>
        <v>0.14035087719298245</v>
      </c>
      <c r="G304" s="17">
        <v>0</v>
      </c>
      <c r="H304" s="36">
        <f>IFERROR(G304/$R304,0)</f>
        <v>0</v>
      </c>
      <c r="I304" s="17">
        <v>50</v>
      </c>
      <c r="J304" s="36">
        <f>IFERROR(I304/$Q304,0)</f>
        <v>0.43859649122807015</v>
      </c>
      <c r="K304" s="17">
        <v>0</v>
      </c>
      <c r="L304" s="36">
        <f>IFERROR(K304/$R304,0)</f>
        <v>0</v>
      </c>
      <c r="M304" s="17">
        <v>48</v>
      </c>
      <c r="N304" s="36">
        <f>IFERROR(M304/$Q304,0)</f>
        <v>0.42105263157894735</v>
      </c>
      <c r="O304" s="17">
        <v>3</v>
      </c>
      <c r="P304" s="36">
        <f>IFERROR(O304/$R304,0)</f>
        <v>1</v>
      </c>
      <c r="Q304" s="17">
        <v>114</v>
      </c>
      <c r="R304" s="17">
        <v>3</v>
      </c>
    </row>
    <row r="305" spans="1:18" ht="15.75" customHeight="1" x14ac:dyDescent="0.25">
      <c r="A305" s="37">
        <v>2022</v>
      </c>
      <c r="B305" s="35">
        <v>170360</v>
      </c>
      <c r="C305" s="33" t="str">
        <f>VLOOKUP(B305,procv!$A$2:$D$142,4,FALSE)</f>
        <v>Cerrado Tocantins Araguaia</v>
      </c>
      <c r="D305" s="33" t="s">
        <v>30</v>
      </c>
      <c r="E305" s="17">
        <v>26</v>
      </c>
      <c r="F305" s="36">
        <f>IFERROR(E305/$Q305,0)</f>
        <v>0.13333333333333333</v>
      </c>
      <c r="G305" s="17">
        <v>0</v>
      </c>
      <c r="H305" s="36">
        <f>IFERROR(G305/$R305,0)</f>
        <v>0</v>
      </c>
      <c r="I305" s="17">
        <v>76</v>
      </c>
      <c r="J305" s="36">
        <f>IFERROR(I305/$Q305,0)</f>
        <v>0.38974358974358975</v>
      </c>
      <c r="K305" s="17">
        <v>0</v>
      </c>
      <c r="L305" s="36">
        <f>IFERROR(K305/$R305,0)</f>
        <v>0</v>
      </c>
      <c r="M305" s="17">
        <v>93</v>
      </c>
      <c r="N305" s="36">
        <f>IFERROR(M305/$Q305,0)</f>
        <v>0.47692307692307695</v>
      </c>
      <c r="O305" s="17">
        <v>1</v>
      </c>
      <c r="P305" s="36">
        <f>IFERROR(O305/$R305,0)</f>
        <v>1</v>
      </c>
      <c r="Q305" s="17">
        <v>195</v>
      </c>
      <c r="R305" s="17">
        <v>1</v>
      </c>
    </row>
    <row r="306" spans="1:18" ht="15.75" customHeight="1" x14ac:dyDescent="0.25">
      <c r="A306" s="37">
        <v>2022</v>
      </c>
      <c r="B306" s="35">
        <v>170370</v>
      </c>
      <c r="C306" s="33" t="str">
        <f>VLOOKUP(B306,procv!$A$2:$D$142,4,FALSE)</f>
        <v>Amor Perfeito</v>
      </c>
      <c r="D306" s="33" t="s">
        <v>31</v>
      </c>
      <c r="E306" s="17">
        <v>47</v>
      </c>
      <c r="F306" s="36">
        <f>IFERROR(E306/$Q306,0)</f>
        <v>0.12841530054644809</v>
      </c>
      <c r="G306" s="17">
        <v>0</v>
      </c>
      <c r="H306" s="36">
        <f>IFERROR(G306/$R306,0)</f>
        <v>0</v>
      </c>
      <c r="I306" s="17">
        <v>153</v>
      </c>
      <c r="J306" s="36">
        <f>IFERROR(I306/$Q306,0)</f>
        <v>0.41803278688524592</v>
      </c>
      <c r="K306" s="17">
        <v>0</v>
      </c>
      <c r="L306" s="36">
        <f>IFERROR(K306/$R306,0)</f>
        <v>0</v>
      </c>
      <c r="M306" s="17">
        <v>166</v>
      </c>
      <c r="N306" s="36">
        <f>IFERROR(M306/$Q306,0)</f>
        <v>0.45355191256830601</v>
      </c>
      <c r="O306" s="17">
        <v>0</v>
      </c>
      <c r="P306" s="36">
        <f>IFERROR(O306/$R306,0)</f>
        <v>0</v>
      </c>
      <c r="Q306" s="17">
        <v>366</v>
      </c>
      <c r="R306" s="17">
        <v>0</v>
      </c>
    </row>
    <row r="307" spans="1:18" ht="15.75" customHeight="1" x14ac:dyDescent="0.25">
      <c r="A307" s="37">
        <v>2022</v>
      </c>
      <c r="B307" s="35">
        <v>170380</v>
      </c>
      <c r="C307" s="33" t="str">
        <f>VLOOKUP(B307,procv!$A$2:$D$142,4,FALSE)</f>
        <v>Bico do Papagaio</v>
      </c>
      <c r="D307" s="33" t="s">
        <v>32</v>
      </c>
      <c r="E307" s="17">
        <v>132</v>
      </c>
      <c r="F307" s="36">
        <f>IFERROR(E307/$Q307,0)</f>
        <v>0.15120274914089346</v>
      </c>
      <c r="G307" s="17">
        <v>0</v>
      </c>
      <c r="H307" s="36">
        <f>IFERROR(G307/$R307,0)</f>
        <v>0</v>
      </c>
      <c r="I307" s="17">
        <v>358</v>
      </c>
      <c r="J307" s="36">
        <f>IFERROR(I307/$Q307,0)</f>
        <v>0.41008018327605955</v>
      </c>
      <c r="K307" s="17">
        <v>1</v>
      </c>
      <c r="L307" s="36">
        <f>IFERROR(K307/$R307,0)</f>
        <v>0.5</v>
      </c>
      <c r="M307" s="17">
        <v>383</v>
      </c>
      <c r="N307" s="36">
        <f>IFERROR(M307/$Q307,0)</f>
        <v>0.43871706758304696</v>
      </c>
      <c r="O307" s="17">
        <v>1</v>
      </c>
      <c r="P307" s="36">
        <f>IFERROR(O307/$R307,0)</f>
        <v>0.5</v>
      </c>
      <c r="Q307" s="17">
        <v>873</v>
      </c>
      <c r="R307" s="17">
        <v>2</v>
      </c>
    </row>
    <row r="308" spans="1:18" ht="15.75" customHeight="1" x14ac:dyDescent="0.25">
      <c r="A308" s="37">
        <v>2022</v>
      </c>
      <c r="B308" s="35">
        <v>170382</v>
      </c>
      <c r="C308" s="33" t="str">
        <f>VLOOKUP(B308,procv!$A$2:$D$142,4,FALSE)</f>
        <v>Bico do Papagaio</v>
      </c>
      <c r="D308" s="33" t="s">
        <v>33</v>
      </c>
      <c r="E308" s="17">
        <v>15</v>
      </c>
      <c r="F308" s="36">
        <f>IFERROR(E308/$Q308,0)</f>
        <v>0.15957446808510639</v>
      </c>
      <c r="G308" s="17">
        <v>0</v>
      </c>
      <c r="H308" s="36">
        <f>IFERROR(G308/$R308,0)</f>
        <v>0</v>
      </c>
      <c r="I308" s="17">
        <v>49</v>
      </c>
      <c r="J308" s="36">
        <f>IFERROR(I308/$Q308,0)</f>
        <v>0.52127659574468088</v>
      </c>
      <c r="K308" s="17">
        <v>0</v>
      </c>
      <c r="L308" s="36">
        <f>IFERROR(K308/$R308,0)</f>
        <v>0</v>
      </c>
      <c r="M308" s="17">
        <v>30</v>
      </c>
      <c r="N308" s="36">
        <f>IFERROR(M308/$Q308,0)</f>
        <v>0.31914893617021278</v>
      </c>
      <c r="O308" s="17">
        <v>0</v>
      </c>
      <c r="P308" s="36">
        <f>IFERROR(O308/$R308,0)</f>
        <v>0</v>
      </c>
      <c r="Q308" s="17">
        <v>94</v>
      </c>
      <c r="R308" s="17">
        <v>0</v>
      </c>
    </row>
    <row r="309" spans="1:18" ht="15.75" customHeight="1" x14ac:dyDescent="0.25">
      <c r="A309" s="37">
        <v>2022</v>
      </c>
      <c r="B309" s="35">
        <v>170384</v>
      </c>
      <c r="C309" s="33" t="str">
        <f>VLOOKUP(B309,procv!$A$2:$D$142,4,FALSE)</f>
        <v>Médio Norte Araguaia</v>
      </c>
      <c r="D309" s="33" t="s">
        <v>34</v>
      </c>
      <c r="E309" s="17">
        <v>74</v>
      </c>
      <c r="F309" s="36">
        <f>IFERROR(E309/$Q309,0)</f>
        <v>0.19270833333333334</v>
      </c>
      <c r="G309" s="17">
        <v>0</v>
      </c>
      <c r="H309" s="36">
        <f>IFERROR(G309/$R309,0)</f>
        <v>0</v>
      </c>
      <c r="I309" s="17">
        <v>143</v>
      </c>
      <c r="J309" s="36">
        <f>IFERROR(I309/$Q309,0)</f>
        <v>0.37239583333333331</v>
      </c>
      <c r="K309" s="17">
        <v>5</v>
      </c>
      <c r="L309" s="36">
        <f>IFERROR(K309/$R309,0)</f>
        <v>0.7142857142857143</v>
      </c>
      <c r="M309" s="17">
        <v>167</v>
      </c>
      <c r="N309" s="36">
        <f>IFERROR(M309/$Q309,0)</f>
        <v>0.43489583333333331</v>
      </c>
      <c r="O309" s="17">
        <v>2</v>
      </c>
      <c r="P309" s="36">
        <f>IFERROR(O309/$R309,0)</f>
        <v>0.2857142857142857</v>
      </c>
      <c r="Q309" s="17">
        <v>384</v>
      </c>
      <c r="R309" s="17">
        <v>7</v>
      </c>
    </row>
    <row r="310" spans="1:18" ht="15.75" customHeight="1" x14ac:dyDescent="0.25">
      <c r="A310" s="37">
        <v>2022</v>
      </c>
      <c r="B310" s="35">
        <v>170386</v>
      </c>
      <c r="C310" s="33" t="str">
        <f>VLOOKUP(B310,procv!$A$2:$D$142,4,FALSE)</f>
        <v>Ilha do Bananal</v>
      </c>
      <c r="D310" s="33" t="s">
        <v>35</v>
      </c>
      <c r="E310" s="17">
        <v>51</v>
      </c>
      <c r="F310" s="36">
        <f>IFERROR(E310/$Q310,0)</f>
        <v>0.15044247787610621</v>
      </c>
      <c r="G310" s="17">
        <v>1</v>
      </c>
      <c r="H310" s="36">
        <f>IFERROR(G310/$R310,0)</f>
        <v>0.33333333333333331</v>
      </c>
      <c r="I310" s="17">
        <v>140</v>
      </c>
      <c r="J310" s="36">
        <f>IFERROR(I310/$Q310,0)</f>
        <v>0.41297935103244837</v>
      </c>
      <c r="K310" s="17">
        <v>2</v>
      </c>
      <c r="L310" s="36">
        <f>IFERROR(K310/$R310,0)</f>
        <v>0.66666666666666663</v>
      </c>
      <c r="M310" s="17">
        <v>148</v>
      </c>
      <c r="N310" s="36">
        <f>IFERROR(M310/$Q310,0)</f>
        <v>0.43657817109144542</v>
      </c>
      <c r="O310" s="17">
        <v>0</v>
      </c>
      <c r="P310" s="36">
        <f>IFERROR(O310/$R310,0)</f>
        <v>0</v>
      </c>
      <c r="Q310" s="17">
        <v>339</v>
      </c>
      <c r="R310" s="17">
        <v>3</v>
      </c>
    </row>
    <row r="311" spans="1:18" ht="15.75" customHeight="1" x14ac:dyDescent="0.25">
      <c r="A311" s="37">
        <v>2022</v>
      </c>
      <c r="B311" s="35">
        <v>170388</v>
      </c>
      <c r="C311" s="33" t="str">
        <f>VLOOKUP(B311,procv!$A$2:$D$142,4,FALSE)</f>
        <v>Médio Norte Araguaia</v>
      </c>
      <c r="D311" s="33" t="s">
        <v>36</v>
      </c>
      <c r="E311" s="17">
        <v>31</v>
      </c>
      <c r="F311" s="36">
        <f>IFERROR(E311/$Q311,0)</f>
        <v>0.12156862745098039</v>
      </c>
      <c r="G311" s="17">
        <v>1</v>
      </c>
      <c r="H311" s="36">
        <f>IFERROR(G311/$R311,0)</f>
        <v>0.5</v>
      </c>
      <c r="I311" s="17">
        <v>94</v>
      </c>
      <c r="J311" s="36">
        <f>IFERROR(I311/$Q311,0)</f>
        <v>0.36862745098039218</v>
      </c>
      <c r="K311" s="17">
        <v>1</v>
      </c>
      <c r="L311" s="36">
        <f>IFERROR(K311/$R311,0)</f>
        <v>0.5</v>
      </c>
      <c r="M311" s="17">
        <v>130</v>
      </c>
      <c r="N311" s="36">
        <f>IFERROR(M311/$Q311,0)</f>
        <v>0.50980392156862742</v>
      </c>
      <c r="O311" s="17">
        <v>0</v>
      </c>
      <c r="P311" s="36">
        <f>IFERROR(O311/$R311,0)</f>
        <v>0</v>
      </c>
      <c r="Q311" s="17">
        <v>255</v>
      </c>
      <c r="R311" s="17">
        <v>2</v>
      </c>
    </row>
    <row r="312" spans="1:18" ht="15.75" customHeight="1" x14ac:dyDescent="0.25">
      <c r="A312" s="37">
        <v>2022</v>
      </c>
      <c r="B312" s="35">
        <v>170389</v>
      </c>
      <c r="C312" s="33" t="str">
        <f>VLOOKUP(B312,procv!$A$2:$D$142,4,FALSE)</f>
        <v>Bico do Papagaio</v>
      </c>
      <c r="D312" s="33" t="s">
        <v>37</v>
      </c>
      <c r="E312" s="17">
        <v>37</v>
      </c>
      <c r="F312" s="36">
        <f>IFERROR(E312/$Q312,0)</f>
        <v>0.15226337448559671</v>
      </c>
      <c r="G312" s="17">
        <v>0</v>
      </c>
      <c r="H312" s="36">
        <f>IFERROR(G312/$R312,0)</f>
        <v>0</v>
      </c>
      <c r="I312" s="17">
        <v>109</v>
      </c>
      <c r="J312" s="36">
        <f>IFERROR(I312/$Q312,0)</f>
        <v>0.44855967078189302</v>
      </c>
      <c r="K312" s="17">
        <v>1</v>
      </c>
      <c r="L312" s="36">
        <f>IFERROR(K312/$R312,0)</f>
        <v>1</v>
      </c>
      <c r="M312" s="17">
        <v>97</v>
      </c>
      <c r="N312" s="36">
        <f>IFERROR(M312/$Q312,0)</f>
        <v>0.3991769547325103</v>
      </c>
      <c r="O312" s="17">
        <v>0</v>
      </c>
      <c r="P312" s="36">
        <f>IFERROR(O312/$R312,0)</f>
        <v>0</v>
      </c>
      <c r="Q312" s="17">
        <v>243</v>
      </c>
      <c r="R312" s="17">
        <v>1</v>
      </c>
    </row>
    <row r="313" spans="1:18" ht="15.75" customHeight="1" x14ac:dyDescent="0.25">
      <c r="A313" s="37">
        <v>2022</v>
      </c>
      <c r="B313" s="35">
        <v>170390</v>
      </c>
      <c r="C313" s="33" t="str">
        <f>VLOOKUP(B313,procv!$A$2:$D$142,4,FALSE)</f>
        <v>Cantão</v>
      </c>
      <c r="D313" s="33" t="s">
        <v>38</v>
      </c>
      <c r="E313" s="17">
        <v>65</v>
      </c>
      <c r="F313" s="36">
        <f>IFERROR(E313/$Q313,0)</f>
        <v>0.15815085158150852</v>
      </c>
      <c r="G313" s="17">
        <v>1</v>
      </c>
      <c r="H313" s="36">
        <f>IFERROR(G313/$R313,0)</f>
        <v>0.5</v>
      </c>
      <c r="I313" s="17">
        <v>168</v>
      </c>
      <c r="J313" s="36">
        <f>IFERROR(I313/$Q313,0)</f>
        <v>0.40875912408759124</v>
      </c>
      <c r="K313" s="17">
        <v>0</v>
      </c>
      <c r="L313" s="36">
        <f>IFERROR(K313/$R313,0)</f>
        <v>0</v>
      </c>
      <c r="M313" s="17">
        <v>178</v>
      </c>
      <c r="N313" s="36">
        <f>IFERROR(M313/$Q313,0)</f>
        <v>0.43309002433090027</v>
      </c>
      <c r="O313" s="17">
        <v>1</v>
      </c>
      <c r="P313" s="36">
        <f>IFERROR(O313/$R313,0)</f>
        <v>0.5</v>
      </c>
      <c r="Q313" s="17">
        <v>411</v>
      </c>
      <c r="R313" s="17">
        <v>2</v>
      </c>
    </row>
    <row r="314" spans="1:18" ht="15.75" customHeight="1" x14ac:dyDescent="0.25">
      <c r="A314" s="37">
        <v>2022</v>
      </c>
      <c r="B314" s="35">
        <v>170410</v>
      </c>
      <c r="C314" s="33" t="str">
        <f>VLOOKUP(B314,procv!$A$2:$D$142,4,FALSE)</f>
        <v>Cerrado Tocantins Araguaia</v>
      </c>
      <c r="D314" s="33" t="s">
        <v>39</v>
      </c>
      <c r="E314" s="17">
        <v>26</v>
      </c>
      <c r="F314" s="36">
        <f>IFERROR(E314/$Q314,0)</f>
        <v>0.12745098039215685</v>
      </c>
      <c r="G314" s="17">
        <v>0</v>
      </c>
      <c r="H314" s="36">
        <f>IFERROR(G314/$R314,0)</f>
        <v>0</v>
      </c>
      <c r="I314" s="17">
        <v>97</v>
      </c>
      <c r="J314" s="36">
        <f>IFERROR(I314/$Q314,0)</f>
        <v>0.47549019607843135</v>
      </c>
      <c r="K314" s="17">
        <v>0</v>
      </c>
      <c r="L314" s="36">
        <f>IFERROR(K314/$R314,0)</f>
        <v>0</v>
      </c>
      <c r="M314" s="17">
        <v>81</v>
      </c>
      <c r="N314" s="36">
        <f>IFERROR(M314/$Q314,0)</f>
        <v>0.39705882352941174</v>
      </c>
      <c r="O314" s="17">
        <v>0</v>
      </c>
      <c r="P314" s="36">
        <f>IFERROR(O314/$R314,0)</f>
        <v>0</v>
      </c>
      <c r="Q314" s="17">
        <v>204</v>
      </c>
      <c r="R314" s="17">
        <v>0</v>
      </c>
    </row>
    <row r="315" spans="1:18" ht="15.75" customHeight="1" x14ac:dyDescent="0.25">
      <c r="A315" s="37">
        <v>2022</v>
      </c>
      <c r="B315" s="35">
        <v>170510</v>
      </c>
      <c r="C315" s="33" t="str">
        <f>VLOOKUP(B315,procv!$A$2:$D$142,4,FALSE)</f>
        <v>Amor Perfeito</v>
      </c>
      <c r="D315" s="33" t="s">
        <v>40</v>
      </c>
      <c r="E315" s="17">
        <v>63</v>
      </c>
      <c r="F315" s="36">
        <f>IFERROR(E315/$Q315,0)</f>
        <v>0.22500000000000001</v>
      </c>
      <c r="G315" s="17">
        <v>1</v>
      </c>
      <c r="H315" s="36">
        <f>IFERROR(G315/$R315,0)</f>
        <v>0.5</v>
      </c>
      <c r="I315" s="17">
        <v>136</v>
      </c>
      <c r="J315" s="36">
        <f>IFERROR(I315/$Q315,0)</f>
        <v>0.48571428571428571</v>
      </c>
      <c r="K315" s="17">
        <v>1</v>
      </c>
      <c r="L315" s="36">
        <f>IFERROR(K315/$R315,0)</f>
        <v>0.5</v>
      </c>
      <c r="M315" s="17">
        <v>81</v>
      </c>
      <c r="N315" s="36">
        <f>IFERROR(M315/$Q315,0)</f>
        <v>0.28928571428571431</v>
      </c>
      <c r="O315" s="17">
        <v>0</v>
      </c>
      <c r="P315" s="36">
        <f>IFERROR(O315/$R315,0)</f>
        <v>0</v>
      </c>
      <c r="Q315" s="17">
        <v>280</v>
      </c>
      <c r="R315" s="17">
        <v>2</v>
      </c>
    </row>
    <row r="316" spans="1:18" ht="15.75" customHeight="1" x14ac:dyDescent="0.25">
      <c r="A316" s="37">
        <v>2022</v>
      </c>
      <c r="B316" s="35">
        <v>170460</v>
      </c>
      <c r="C316" s="33" t="str">
        <f>VLOOKUP(B316,procv!$A$2:$D$142,4,FALSE)</f>
        <v>Cantão</v>
      </c>
      <c r="D316" s="33" t="s">
        <v>41</v>
      </c>
      <c r="E316" s="17">
        <v>35</v>
      </c>
      <c r="F316" s="36">
        <f>IFERROR(E316/$Q316,0)</f>
        <v>0.14285714285714285</v>
      </c>
      <c r="G316" s="17">
        <v>1</v>
      </c>
      <c r="H316" s="36">
        <f>IFERROR(G316/$R316,0)</f>
        <v>0.5</v>
      </c>
      <c r="I316" s="17">
        <v>112</v>
      </c>
      <c r="J316" s="36">
        <f>IFERROR(I316/$Q316,0)</f>
        <v>0.45714285714285713</v>
      </c>
      <c r="K316" s="17">
        <v>1</v>
      </c>
      <c r="L316" s="36">
        <f>IFERROR(K316/$R316,0)</f>
        <v>0.5</v>
      </c>
      <c r="M316" s="17">
        <v>98</v>
      </c>
      <c r="N316" s="36">
        <f>IFERROR(M316/$Q316,0)</f>
        <v>0.4</v>
      </c>
      <c r="O316" s="17">
        <v>0</v>
      </c>
      <c r="P316" s="36">
        <f>IFERROR(O316/$R316,0)</f>
        <v>0</v>
      </c>
      <c r="Q316" s="17">
        <v>245</v>
      </c>
      <c r="R316" s="17">
        <v>2</v>
      </c>
    </row>
    <row r="317" spans="1:18" ht="15.75" customHeight="1" x14ac:dyDescent="0.25">
      <c r="A317" s="37">
        <v>2022</v>
      </c>
      <c r="B317" s="35">
        <v>170550</v>
      </c>
      <c r="C317" s="33" t="str">
        <f>VLOOKUP(B317,procv!$A$2:$D$142,4,FALSE)</f>
        <v>Cerrado Tocantins Araguaia</v>
      </c>
      <c r="D317" s="33" t="s">
        <v>42</v>
      </c>
      <c r="E317" s="17">
        <v>216</v>
      </c>
      <c r="F317" s="36">
        <f>IFERROR(E317/$Q317,0)</f>
        <v>0.1650114591291062</v>
      </c>
      <c r="G317" s="17">
        <v>6</v>
      </c>
      <c r="H317" s="36">
        <f>IFERROR(G317/$R317,0)</f>
        <v>0.35294117647058826</v>
      </c>
      <c r="I317" s="17">
        <v>531</v>
      </c>
      <c r="J317" s="36">
        <f>IFERROR(I317/$Q317,0)</f>
        <v>0.40565317035905274</v>
      </c>
      <c r="K317" s="17">
        <v>2</v>
      </c>
      <c r="L317" s="36">
        <f>IFERROR(K317/$R317,0)</f>
        <v>0.11764705882352941</v>
      </c>
      <c r="M317" s="17">
        <v>562</v>
      </c>
      <c r="N317" s="36">
        <f>IFERROR(M317/$Q317,0)</f>
        <v>0.42933537051184112</v>
      </c>
      <c r="O317" s="17">
        <v>9</v>
      </c>
      <c r="P317" s="36">
        <f>IFERROR(O317/$R317,0)</f>
        <v>0.52941176470588236</v>
      </c>
      <c r="Q317" s="16">
        <v>1309</v>
      </c>
      <c r="R317" s="17">
        <v>17</v>
      </c>
    </row>
    <row r="318" spans="1:18" ht="15.75" customHeight="1" x14ac:dyDescent="0.25">
      <c r="A318" s="37">
        <v>2022</v>
      </c>
      <c r="B318" s="35">
        <v>171670</v>
      </c>
      <c r="C318" s="33" t="str">
        <f>VLOOKUP(B318,procv!$A$2:$D$142,4,FALSE)</f>
        <v>Cerrado Tocantins Araguaia</v>
      </c>
      <c r="D318" s="33" t="s">
        <v>43</v>
      </c>
      <c r="E318" s="17">
        <v>77</v>
      </c>
      <c r="F318" s="36">
        <f>IFERROR(E318/$Q318,0)</f>
        <v>0.13321799307958476</v>
      </c>
      <c r="G318" s="17">
        <v>0</v>
      </c>
      <c r="H318" s="36">
        <f>IFERROR(G318/$R318,0)</f>
        <v>0</v>
      </c>
      <c r="I318" s="17">
        <v>240</v>
      </c>
      <c r="J318" s="36">
        <f>IFERROR(I318/$Q318,0)</f>
        <v>0.41522491349480967</v>
      </c>
      <c r="K318" s="17">
        <v>2</v>
      </c>
      <c r="L318" s="36">
        <f>IFERROR(K318/$R318,0)</f>
        <v>0.4</v>
      </c>
      <c r="M318" s="17">
        <v>261</v>
      </c>
      <c r="N318" s="36">
        <f>IFERROR(M318/$Q318,0)</f>
        <v>0.45155709342560552</v>
      </c>
      <c r="O318" s="17">
        <v>3</v>
      </c>
      <c r="P318" s="36">
        <f>IFERROR(O318/$R318,0)</f>
        <v>0.6</v>
      </c>
      <c r="Q318" s="17">
        <v>578</v>
      </c>
      <c r="R318" s="17">
        <v>5</v>
      </c>
    </row>
    <row r="319" spans="1:18" ht="15.75" customHeight="1" x14ac:dyDescent="0.25">
      <c r="A319" s="37">
        <v>2022</v>
      </c>
      <c r="B319" s="35">
        <v>170555</v>
      </c>
      <c r="C319" s="33" t="str">
        <f>VLOOKUP(B319,procv!$A$2:$D$142,4,FALSE)</f>
        <v>Sudeste</v>
      </c>
      <c r="D319" s="33" t="s">
        <v>44</v>
      </c>
      <c r="E319" s="17">
        <v>85</v>
      </c>
      <c r="F319" s="36">
        <f>IFERROR(E319/$Q319,0)</f>
        <v>0.17276422764227642</v>
      </c>
      <c r="G319" s="17">
        <v>0</v>
      </c>
      <c r="H319" s="36">
        <f>IFERROR(G319/$R319,0)</f>
        <v>0</v>
      </c>
      <c r="I319" s="17">
        <v>196</v>
      </c>
      <c r="J319" s="36">
        <f>IFERROR(I319/$Q319,0)</f>
        <v>0.3983739837398374</v>
      </c>
      <c r="K319" s="17">
        <v>2</v>
      </c>
      <c r="L319" s="36">
        <f>IFERROR(K319/$R319,0)</f>
        <v>0.66666666666666663</v>
      </c>
      <c r="M319" s="17">
        <v>211</v>
      </c>
      <c r="N319" s="36">
        <f>IFERROR(M319/$Q319,0)</f>
        <v>0.42886178861788615</v>
      </c>
      <c r="O319" s="17">
        <v>1</v>
      </c>
      <c r="P319" s="36">
        <f>IFERROR(O319/$R319,0)</f>
        <v>0.33333333333333331</v>
      </c>
      <c r="Q319" s="17">
        <v>492</v>
      </c>
      <c r="R319" s="17">
        <v>3</v>
      </c>
    </row>
    <row r="320" spans="1:18" ht="15.75" customHeight="1" x14ac:dyDescent="0.25">
      <c r="A320" s="37">
        <v>2022</v>
      </c>
      <c r="B320" s="35">
        <v>170560</v>
      </c>
      <c r="C320" s="33" t="str">
        <f>VLOOKUP(B320,procv!$A$2:$D$142,4,FALSE)</f>
        <v>Sudeste</v>
      </c>
      <c r="D320" s="33" t="s">
        <v>45</v>
      </c>
      <c r="E320" s="17">
        <v>60</v>
      </c>
      <c r="F320" s="36">
        <f>IFERROR(E320/$Q320,0)</f>
        <v>0.18126888217522658</v>
      </c>
      <c r="G320" s="17">
        <v>0</v>
      </c>
      <c r="H320" s="36">
        <f>IFERROR(G320/$R320,0)</f>
        <v>0</v>
      </c>
      <c r="I320" s="17">
        <v>135</v>
      </c>
      <c r="J320" s="36">
        <f>IFERROR(I320/$Q320,0)</f>
        <v>0.40785498489425981</v>
      </c>
      <c r="K320" s="17">
        <v>1</v>
      </c>
      <c r="L320" s="36">
        <f>IFERROR(K320/$R320,0)</f>
        <v>1</v>
      </c>
      <c r="M320" s="17">
        <v>136</v>
      </c>
      <c r="N320" s="36">
        <f>IFERROR(M320/$Q320,0)</f>
        <v>0.41087613293051362</v>
      </c>
      <c r="O320" s="17">
        <v>0</v>
      </c>
      <c r="P320" s="36">
        <f>IFERROR(O320/$R320,0)</f>
        <v>0</v>
      </c>
      <c r="Q320" s="17">
        <v>331</v>
      </c>
      <c r="R320" s="17">
        <v>1</v>
      </c>
    </row>
    <row r="321" spans="1:18" ht="15.75" customHeight="1" x14ac:dyDescent="0.25">
      <c r="A321" s="37">
        <v>2022</v>
      </c>
      <c r="B321" s="35">
        <v>170600</v>
      </c>
      <c r="C321" s="33" t="str">
        <f>VLOOKUP(B321,procv!$A$2:$D$142,4,FALSE)</f>
        <v>Cerrado Tocantins Araguaia</v>
      </c>
      <c r="D321" s="33" t="s">
        <v>46</v>
      </c>
      <c r="E321" s="17">
        <v>60</v>
      </c>
      <c r="F321" s="36">
        <f>IFERROR(E321/$Q321,0)</f>
        <v>0.14117647058823529</v>
      </c>
      <c r="G321" s="17">
        <v>0</v>
      </c>
      <c r="H321" s="36">
        <f>IFERROR(G321/$R321,0)</f>
        <v>0</v>
      </c>
      <c r="I321" s="17">
        <v>177</v>
      </c>
      <c r="J321" s="36">
        <f>IFERROR(I321/$Q321,0)</f>
        <v>0.41647058823529409</v>
      </c>
      <c r="K321" s="17">
        <v>1</v>
      </c>
      <c r="L321" s="36">
        <f>IFERROR(K321/$R321,0)</f>
        <v>0.5</v>
      </c>
      <c r="M321" s="17">
        <v>188</v>
      </c>
      <c r="N321" s="36">
        <f>IFERROR(M321/$Q321,0)</f>
        <v>0.44235294117647062</v>
      </c>
      <c r="O321" s="17">
        <v>1</v>
      </c>
      <c r="P321" s="36">
        <f>IFERROR(O321/$R321,0)</f>
        <v>0.5</v>
      </c>
      <c r="Q321" s="17">
        <v>425</v>
      </c>
      <c r="R321" s="17">
        <v>2</v>
      </c>
    </row>
    <row r="322" spans="1:18" ht="15.75" customHeight="1" x14ac:dyDescent="0.25">
      <c r="A322" s="37">
        <v>2022</v>
      </c>
      <c r="B322" s="35">
        <v>170610</v>
      </c>
      <c r="C322" s="33" t="str">
        <f>VLOOKUP(B322,procv!$A$2:$D$142,4,FALSE)</f>
        <v>Cantão</v>
      </c>
      <c r="D322" s="33" t="s">
        <v>47</v>
      </c>
      <c r="E322" s="17">
        <v>99</v>
      </c>
      <c r="F322" s="36">
        <f>IFERROR(E322/$Q322,0)</f>
        <v>0.14122681883024252</v>
      </c>
      <c r="G322" s="17">
        <v>1</v>
      </c>
      <c r="H322" s="36">
        <f>IFERROR(G322/$R322,0)</f>
        <v>0.25</v>
      </c>
      <c r="I322" s="17">
        <v>281</v>
      </c>
      <c r="J322" s="36">
        <f>IFERROR(I322/$Q322,0)</f>
        <v>0.40085592011412269</v>
      </c>
      <c r="K322" s="17">
        <v>0</v>
      </c>
      <c r="L322" s="36">
        <f>IFERROR(K322/$R322,0)</f>
        <v>0</v>
      </c>
      <c r="M322" s="17">
        <v>321</v>
      </c>
      <c r="N322" s="36">
        <f>IFERROR(M322/$Q322,0)</f>
        <v>0.45791726105563479</v>
      </c>
      <c r="O322" s="17">
        <v>3</v>
      </c>
      <c r="P322" s="36">
        <f>IFERROR(O322/$R322,0)</f>
        <v>0.75</v>
      </c>
      <c r="Q322" s="17">
        <v>701</v>
      </c>
      <c r="R322" s="17">
        <v>4</v>
      </c>
    </row>
    <row r="323" spans="1:18" ht="15.75" customHeight="1" x14ac:dyDescent="0.25">
      <c r="A323" s="37">
        <v>2022</v>
      </c>
      <c r="B323" s="35">
        <v>170625</v>
      </c>
      <c r="C323" s="33" t="str">
        <f>VLOOKUP(B323,procv!$A$2:$D$142,4,FALSE)</f>
        <v>Ilha do Bananal</v>
      </c>
      <c r="D323" s="33" t="s">
        <v>48</v>
      </c>
      <c r="E323" s="17">
        <v>20</v>
      </c>
      <c r="F323" s="36">
        <f>IFERROR(E323/$Q323,0)</f>
        <v>0.12269938650306748</v>
      </c>
      <c r="G323" s="17">
        <v>0</v>
      </c>
      <c r="H323" s="36">
        <f>IFERROR(G323/$R323,0)</f>
        <v>0</v>
      </c>
      <c r="I323" s="17">
        <v>65</v>
      </c>
      <c r="J323" s="36">
        <f>IFERROR(I323/$Q323,0)</f>
        <v>0.3987730061349693</v>
      </c>
      <c r="K323" s="17">
        <v>2</v>
      </c>
      <c r="L323" s="36">
        <f>IFERROR(K323/$R323,0)</f>
        <v>0.66666666666666663</v>
      </c>
      <c r="M323" s="17">
        <v>78</v>
      </c>
      <c r="N323" s="36">
        <f>IFERROR(M323/$Q323,0)</f>
        <v>0.4785276073619632</v>
      </c>
      <c r="O323" s="17">
        <v>1</v>
      </c>
      <c r="P323" s="36">
        <f>IFERROR(O323/$R323,0)</f>
        <v>0.33333333333333331</v>
      </c>
      <c r="Q323" s="17">
        <v>163</v>
      </c>
      <c r="R323" s="17">
        <v>3</v>
      </c>
    </row>
    <row r="324" spans="1:18" ht="15.75" customHeight="1" x14ac:dyDescent="0.25">
      <c r="A324" s="37">
        <v>2022</v>
      </c>
      <c r="B324" s="35">
        <v>170650</v>
      </c>
      <c r="C324" s="33" t="str">
        <f>VLOOKUP(B324,procv!$A$2:$D$142,4,FALSE)</f>
        <v>Médio Norte Araguaia</v>
      </c>
      <c r="D324" s="33" t="s">
        <v>49</v>
      </c>
      <c r="E324" s="17">
        <v>1</v>
      </c>
      <c r="F324" s="36">
        <f>IFERROR(E324/$Q324,0)</f>
        <v>2.564102564102564E-2</v>
      </c>
      <c r="G324" s="17">
        <v>0</v>
      </c>
      <c r="H324" s="36">
        <f>IFERROR(G324/$R324,0)</f>
        <v>0</v>
      </c>
      <c r="I324" s="17">
        <v>13</v>
      </c>
      <c r="J324" s="36">
        <f>IFERROR(I324/$Q324,0)</f>
        <v>0.33333333333333331</v>
      </c>
      <c r="K324" s="17">
        <v>0</v>
      </c>
      <c r="L324" s="36">
        <f>IFERROR(K324/$R324,0)</f>
        <v>0</v>
      </c>
      <c r="M324" s="17">
        <v>25</v>
      </c>
      <c r="N324" s="36">
        <f>IFERROR(M324/$Q324,0)</f>
        <v>0.64102564102564108</v>
      </c>
      <c r="O324" s="17">
        <v>1</v>
      </c>
      <c r="P324" s="36">
        <f>IFERROR(O324/$R324,0)</f>
        <v>1</v>
      </c>
      <c r="Q324" s="17">
        <v>39</v>
      </c>
      <c r="R324" s="17">
        <v>1</v>
      </c>
    </row>
    <row r="325" spans="1:18" ht="15.75" customHeight="1" x14ac:dyDescent="0.25">
      <c r="A325" s="37">
        <v>2022</v>
      </c>
      <c r="B325" s="35">
        <v>170700</v>
      </c>
      <c r="C325" s="33" t="str">
        <f>VLOOKUP(B325,procv!$A$2:$D$142,4,FALSE)</f>
        <v>Sudeste</v>
      </c>
      <c r="D325" s="33" t="s">
        <v>50</v>
      </c>
      <c r="E325" s="17">
        <v>235</v>
      </c>
      <c r="F325" s="36">
        <f>IFERROR(E325/$Q325,0)</f>
        <v>0.19764507989907484</v>
      </c>
      <c r="G325" s="17">
        <v>2</v>
      </c>
      <c r="H325" s="36">
        <f>IFERROR(G325/$R325,0)</f>
        <v>0.2</v>
      </c>
      <c r="I325" s="17">
        <v>451</v>
      </c>
      <c r="J325" s="36">
        <f>IFERROR(I325/$Q325,0)</f>
        <v>0.37931034482758619</v>
      </c>
      <c r="K325" s="17">
        <v>4</v>
      </c>
      <c r="L325" s="36">
        <f>IFERROR(K325/$R325,0)</f>
        <v>0.4</v>
      </c>
      <c r="M325" s="17">
        <v>503</v>
      </c>
      <c r="N325" s="36">
        <f>IFERROR(M325/$Q325,0)</f>
        <v>0.42304457527333894</v>
      </c>
      <c r="O325" s="17">
        <v>4</v>
      </c>
      <c r="P325" s="36">
        <f>IFERROR(O325/$R325,0)</f>
        <v>0.4</v>
      </c>
      <c r="Q325" s="16">
        <v>1189</v>
      </c>
      <c r="R325" s="17">
        <v>10</v>
      </c>
    </row>
    <row r="326" spans="1:18" ht="15.75" customHeight="1" x14ac:dyDescent="0.25">
      <c r="A326" s="37">
        <v>2022</v>
      </c>
      <c r="B326" s="35">
        <v>170710</v>
      </c>
      <c r="C326" s="33" t="str">
        <f>VLOOKUP(B326,procv!$A$2:$D$142,4,FALSE)</f>
        <v>Cantão</v>
      </c>
      <c r="D326" s="33" t="s">
        <v>51</v>
      </c>
      <c r="E326" s="17">
        <v>87</v>
      </c>
      <c r="F326" s="36">
        <f>IFERROR(E326/$Q326,0)</f>
        <v>0.12554112554112554</v>
      </c>
      <c r="G326" s="17">
        <v>0</v>
      </c>
      <c r="H326" s="36">
        <f>IFERROR(G326/$R326,0)</f>
        <v>0</v>
      </c>
      <c r="I326" s="17">
        <v>264</v>
      </c>
      <c r="J326" s="36">
        <f>IFERROR(I326/$Q326,0)</f>
        <v>0.38095238095238093</v>
      </c>
      <c r="K326" s="17">
        <v>0</v>
      </c>
      <c r="L326" s="36">
        <f>IFERROR(K326/$R326,0)</f>
        <v>0</v>
      </c>
      <c r="M326" s="17">
        <v>342</v>
      </c>
      <c r="N326" s="36">
        <f>IFERROR(M326/$Q326,0)</f>
        <v>0.4935064935064935</v>
      </c>
      <c r="O326" s="17">
        <v>5</v>
      </c>
      <c r="P326" s="36">
        <f>IFERROR(O326/$R326,0)</f>
        <v>1</v>
      </c>
      <c r="Q326" s="17">
        <v>693</v>
      </c>
      <c r="R326" s="17">
        <v>5</v>
      </c>
    </row>
    <row r="327" spans="1:18" ht="15.75" customHeight="1" x14ac:dyDescent="0.25">
      <c r="A327" s="37">
        <v>2022</v>
      </c>
      <c r="B327" s="35">
        <v>170720</v>
      </c>
      <c r="C327" s="33" t="str">
        <f>VLOOKUP(B327,procv!$A$2:$D$142,4,FALSE)</f>
        <v>Cantão</v>
      </c>
      <c r="D327" s="33" t="s">
        <v>52</v>
      </c>
      <c r="E327" s="17">
        <v>21</v>
      </c>
      <c r="F327" s="36">
        <f>IFERROR(E327/$Q327,0)</f>
        <v>0.12883435582822086</v>
      </c>
      <c r="G327" s="17">
        <v>2</v>
      </c>
      <c r="H327" s="36">
        <f>IFERROR(G327/$R327,0)</f>
        <v>0.5</v>
      </c>
      <c r="I327" s="17">
        <v>73</v>
      </c>
      <c r="J327" s="36">
        <f>IFERROR(I327/$Q327,0)</f>
        <v>0.44785276073619634</v>
      </c>
      <c r="K327" s="17">
        <v>0</v>
      </c>
      <c r="L327" s="36">
        <f>IFERROR(K327/$R327,0)</f>
        <v>0</v>
      </c>
      <c r="M327" s="17">
        <v>69</v>
      </c>
      <c r="N327" s="36">
        <f>IFERROR(M327/$Q327,0)</f>
        <v>0.42331288343558282</v>
      </c>
      <c r="O327" s="17">
        <v>2</v>
      </c>
      <c r="P327" s="36">
        <f>IFERROR(O327/$R327,0)</f>
        <v>0.5</v>
      </c>
      <c r="Q327" s="17">
        <v>163</v>
      </c>
      <c r="R327" s="17">
        <v>4</v>
      </c>
    </row>
    <row r="328" spans="1:18" ht="15.75" customHeight="1" x14ac:dyDescent="0.25">
      <c r="A328" s="37">
        <v>2022</v>
      </c>
      <c r="B328" s="35">
        <v>170730</v>
      </c>
      <c r="C328" s="33" t="str">
        <f>VLOOKUP(B328,procv!$A$2:$D$142,4,FALSE)</f>
        <v>Ilha do Bananal</v>
      </c>
      <c r="D328" s="33" t="s">
        <v>53</v>
      </c>
      <c r="E328" s="17">
        <v>46</v>
      </c>
      <c r="F328" s="36">
        <f>IFERROR(E328/$Q328,0)</f>
        <v>0.10337078651685393</v>
      </c>
      <c r="G328" s="17">
        <v>0</v>
      </c>
      <c r="H328" s="36">
        <f>IFERROR(G328/$R328,0)</f>
        <v>0</v>
      </c>
      <c r="I328" s="17">
        <v>159</v>
      </c>
      <c r="J328" s="36">
        <f>IFERROR(I328/$Q328,0)</f>
        <v>0.35730337078651686</v>
      </c>
      <c r="K328" s="17">
        <v>3</v>
      </c>
      <c r="L328" s="36">
        <f>IFERROR(K328/$R328,0)</f>
        <v>0.75</v>
      </c>
      <c r="M328" s="17">
        <v>240</v>
      </c>
      <c r="N328" s="36">
        <f>IFERROR(M328/$Q328,0)</f>
        <v>0.5393258426966292</v>
      </c>
      <c r="O328" s="17">
        <v>1</v>
      </c>
      <c r="P328" s="36">
        <f>IFERROR(O328/$R328,0)</f>
        <v>0.25</v>
      </c>
      <c r="Q328" s="17">
        <v>445</v>
      </c>
      <c r="R328" s="17">
        <v>4</v>
      </c>
    </row>
    <row r="329" spans="1:18" ht="15.75" customHeight="1" x14ac:dyDescent="0.25">
      <c r="A329" s="37">
        <v>2022</v>
      </c>
      <c r="B329" s="35">
        <v>170740</v>
      </c>
      <c r="C329" s="33" t="str">
        <f>VLOOKUP(B329,procv!$A$2:$D$142,4,FALSE)</f>
        <v>Bico do Papagaio</v>
      </c>
      <c r="D329" s="33" t="s">
        <v>54</v>
      </c>
      <c r="E329" s="17">
        <v>95</v>
      </c>
      <c r="F329" s="36">
        <f>IFERROR(E329/$Q329,0)</f>
        <v>0.12010113780025285</v>
      </c>
      <c r="G329" s="17">
        <v>0</v>
      </c>
      <c r="H329" s="36">
        <f>IFERROR(G329/$R329,0)</f>
        <v>0</v>
      </c>
      <c r="I329" s="17">
        <v>294</v>
      </c>
      <c r="J329" s="36">
        <f>IFERROR(I329/$Q329,0)</f>
        <v>0.37168141592920356</v>
      </c>
      <c r="K329" s="17">
        <v>3</v>
      </c>
      <c r="L329" s="36">
        <f>IFERROR(K329/$R329,0)</f>
        <v>0.75</v>
      </c>
      <c r="M329" s="17">
        <v>402</v>
      </c>
      <c r="N329" s="36">
        <f>IFERROR(M329/$Q329,0)</f>
        <v>0.50821744627054366</v>
      </c>
      <c r="O329" s="17">
        <v>1</v>
      </c>
      <c r="P329" s="36">
        <f>IFERROR(O329/$R329,0)</f>
        <v>0.25</v>
      </c>
      <c r="Q329" s="17">
        <v>791</v>
      </c>
      <c r="R329" s="17">
        <v>4</v>
      </c>
    </row>
    <row r="330" spans="1:18" ht="15.75" customHeight="1" x14ac:dyDescent="0.25">
      <c r="A330" s="37">
        <v>2022</v>
      </c>
      <c r="B330" s="35">
        <v>170755</v>
      </c>
      <c r="C330" s="33" t="str">
        <f>VLOOKUP(B330,procv!$A$2:$D$142,4,FALSE)</f>
        <v>Amor Perfeito</v>
      </c>
      <c r="D330" s="33" t="s">
        <v>55</v>
      </c>
      <c r="E330" s="17">
        <v>8</v>
      </c>
      <c r="F330" s="36">
        <f>IFERROR(E330/$Q330,0)</f>
        <v>0.11940298507462686</v>
      </c>
      <c r="G330" s="17">
        <v>0</v>
      </c>
      <c r="H330" s="36">
        <f>IFERROR(G330/$R330,0)</f>
        <v>0</v>
      </c>
      <c r="I330" s="17">
        <v>34</v>
      </c>
      <c r="J330" s="36">
        <f>IFERROR(I330/$Q330,0)</f>
        <v>0.5074626865671642</v>
      </c>
      <c r="K330" s="17">
        <v>0</v>
      </c>
      <c r="L330" s="36">
        <f>IFERROR(K330/$R330,0)</f>
        <v>0</v>
      </c>
      <c r="M330" s="17">
        <v>25</v>
      </c>
      <c r="N330" s="36">
        <f>IFERROR(M330/$Q330,0)</f>
        <v>0.37313432835820898</v>
      </c>
      <c r="O330" s="17">
        <v>2</v>
      </c>
      <c r="P330" s="36">
        <f>IFERROR(O330/$R330,0)</f>
        <v>1</v>
      </c>
      <c r="Q330" s="17">
        <v>67</v>
      </c>
      <c r="R330" s="17">
        <v>2</v>
      </c>
    </row>
    <row r="331" spans="1:18" ht="15.75" customHeight="1" x14ac:dyDescent="0.25">
      <c r="A331" s="37">
        <v>2022</v>
      </c>
      <c r="B331" s="35">
        <v>170765</v>
      </c>
      <c r="C331" s="33" t="str">
        <f>VLOOKUP(B331,procv!$A$2:$D$142,4,FALSE)</f>
        <v>Ilha do Bananal</v>
      </c>
      <c r="D331" s="33" t="s">
        <v>56</v>
      </c>
      <c r="E331" s="17">
        <v>37</v>
      </c>
      <c r="F331" s="36">
        <f>IFERROR(E331/$Q331,0)</f>
        <v>0.10979228486646884</v>
      </c>
      <c r="G331" s="17">
        <v>1</v>
      </c>
      <c r="H331" s="36">
        <f>IFERROR(G331/$R331,0)</f>
        <v>1</v>
      </c>
      <c r="I331" s="17">
        <v>105</v>
      </c>
      <c r="J331" s="36">
        <f>IFERROR(I331/$Q331,0)</f>
        <v>0.31157270029673589</v>
      </c>
      <c r="K331" s="17">
        <v>0</v>
      </c>
      <c r="L331" s="36">
        <f>IFERROR(K331/$R331,0)</f>
        <v>0</v>
      </c>
      <c r="M331" s="17">
        <v>195</v>
      </c>
      <c r="N331" s="36">
        <f>IFERROR(M331/$Q331,0)</f>
        <v>0.57863501483679525</v>
      </c>
      <c r="O331" s="17">
        <v>0</v>
      </c>
      <c r="P331" s="36">
        <f>IFERROR(O331/$R331,0)</f>
        <v>0</v>
      </c>
      <c r="Q331" s="17">
        <v>337</v>
      </c>
      <c r="R331" s="17">
        <v>1</v>
      </c>
    </row>
    <row r="332" spans="1:18" ht="15.75" customHeight="1" x14ac:dyDescent="0.25">
      <c r="A332" s="37">
        <v>2022</v>
      </c>
      <c r="B332" s="35">
        <v>170770</v>
      </c>
      <c r="C332" s="33" t="str">
        <f>VLOOKUP(B332,procv!$A$2:$D$142,4,FALSE)</f>
        <v>Médio Norte Araguaia</v>
      </c>
      <c r="D332" s="33" t="s">
        <v>57</v>
      </c>
      <c r="E332" s="17">
        <v>113</v>
      </c>
      <c r="F332" s="36">
        <f>IFERROR(E332/$Q332,0)</f>
        <v>0.16941529235382308</v>
      </c>
      <c r="G332" s="17">
        <v>1</v>
      </c>
      <c r="H332" s="36">
        <f>IFERROR(G332/$R332,0)</f>
        <v>0.2</v>
      </c>
      <c r="I332" s="17">
        <v>287</v>
      </c>
      <c r="J332" s="36">
        <f>IFERROR(I332/$Q332,0)</f>
        <v>0.43028485757121437</v>
      </c>
      <c r="K332" s="17">
        <v>2</v>
      </c>
      <c r="L332" s="36">
        <f>IFERROR(K332/$R332,0)</f>
        <v>0.4</v>
      </c>
      <c r="M332" s="17">
        <v>267</v>
      </c>
      <c r="N332" s="36">
        <f>IFERROR(M332/$Q332,0)</f>
        <v>0.40029985007496249</v>
      </c>
      <c r="O332" s="17">
        <v>2</v>
      </c>
      <c r="P332" s="36">
        <f>IFERROR(O332/$R332,0)</f>
        <v>0.4</v>
      </c>
      <c r="Q332" s="17">
        <v>667</v>
      </c>
      <c r="R332" s="17">
        <v>5</v>
      </c>
    </row>
    <row r="333" spans="1:18" ht="15.75" customHeight="1" x14ac:dyDescent="0.25">
      <c r="A333" s="37">
        <v>2022</v>
      </c>
      <c r="B333" s="35">
        <v>170820</v>
      </c>
      <c r="C333" s="33" t="str">
        <f>VLOOKUP(B333,procv!$A$2:$D$142,4,FALSE)</f>
        <v>Ilha do Bananal</v>
      </c>
      <c r="D333" s="33" t="s">
        <v>58</v>
      </c>
      <c r="E333" s="17">
        <v>105</v>
      </c>
      <c r="F333" s="36">
        <f>IFERROR(E333/$Q333,0)</f>
        <v>0.10747185261003071</v>
      </c>
      <c r="G333" s="17">
        <v>2</v>
      </c>
      <c r="H333" s="36">
        <f>IFERROR(G333/$R333,0)</f>
        <v>0.2</v>
      </c>
      <c r="I333" s="17">
        <v>395</v>
      </c>
      <c r="J333" s="36">
        <f>IFERROR(I333/$Q333,0)</f>
        <v>0.40429887410440124</v>
      </c>
      <c r="K333" s="17">
        <v>3</v>
      </c>
      <c r="L333" s="36">
        <f>IFERROR(K333/$R333,0)</f>
        <v>0.3</v>
      </c>
      <c r="M333" s="17">
        <v>477</v>
      </c>
      <c r="N333" s="36">
        <f>IFERROR(M333/$Q333,0)</f>
        <v>0.48822927328556809</v>
      </c>
      <c r="O333" s="17">
        <v>5</v>
      </c>
      <c r="P333" s="36">
        <f>IFERROR(O333/$R333,0)</f>
        <v>0.5</v>
      </c>
      <c r="Q333" s="17">
        <v>977</v>
      </c>
      <c r="R333" s="17">
        <v>10</v>
      </c>
    </row>
    <row r="334" spans="1:18" ht="15.75" customHeight="1" x14ac:dyDescent="0.25">
      <c r="A334" s="37">
        <v>2022</v>
      </c>
      <c r="B334" s="35">
        <v>170830</v>
      </c>
      <c r="C334" s="33" t="str">
        <f>VLOOKUP(B334,procv!$A$2:$D$142,4,FALSE)</f>
        <v>Cerrado Tocantins Araguaia</v>
      </c>
      <c r="D334" s="33" t="s">
        <v>59</v>
      </c>
      <c r="E334" s="17">
        <v>63</v>
      </c>
      <c r="F334" s="36">
        <f>IFERROR(E334/$Q334,0)</f>
        <v>0.15517241379310345</v>
      </c>
      <c r="G334" s="17">
        <v>0</v>
      </c>
      <c r="H334" s="36">
        <f>IFERROR(G334/$R334,0)</f>
        <v>0</v>
      </c>
      <c r="I334" s="17">
        <v>150</v>
      </c>
      <c r="J334" s="36">
        <f>IFERROR(I334/$Q334,0)</f>
        <v>0.36945812807881773</v>
      </c>
      <c r="K334" s="17">
        <v>0</v>
      </c>
      <c r="L334" s="36">
        <f>IFERROR(K334/$R334,0)</f>
        <v>0</v>
      </c>
      <c r="M334" s="17">
        <v>193</v>
      </c>
      <c r="N334" s="36">
        <f>IFERROR(M334/$Q334,0)</f>
        <v>0.47536945812807879</v>
      </c>
      <c r="O334" s="17">
        <v>1</v>
      </c>
      <c r="P334" s="36">
        <f>IFERROR(O334/$R334,0)</f>
        <v>1</v>
      </c>
      <c r="Q334" s="17">
        <v>406</v>
      </c>
      <c r="R334" s="17">
        <v>1</v>
      </c>
    </row>
    <row r="335" spans="1:18" ht="15.75" customHeight="1" x14ac:dyDescent="0.25">
      <c r="A335" s="37">
        <v>2022</v>
      </c>
      <c r="B335" s="35">
        <v>170900</v>
      </c>
      <c r="C335" s="33" t="str">
        <f>VLOOKUP(B335,procv!$A$2:$D$142,4,FALSE)</f>
        <v>Médio Norte Araguaia</v>
      </c>
      <c r="D335" s="33" t="s">
        <v>60</v>
      </c>
      <c r="E335" s="17">
        <v>63</v>
      </c>
      <c r="F335" s="36">
        <f>IFERROR(E335/$Q335,0)</f>
        <v>0.12701612903225806</v>
      </c>
      <c r="G335" s="17">
        <v>0</v>
      </c>
      <c r="H335" s="36">
        <f>IFERROR(G335/$R335,0)</f>
        <v>0</v>
      </c>
      <c r="I335" s="17">
        <v>235</v>
      </c>
      <c r="J335" s="36">
        <f>IFERROR(I335/$Q335,0)</f>
        <v>0.47379032258064518</v>
      </c>
      <c r="K335" s="17">
        <v>1</v>
      </c>
      <c r="L335" s="36">
        <f>IFERROR(K335/$R335,0)</f>
        <v>0.33333333333333331</v>
      </c>
      <c r="M335" s="17">
        <v>198</v>
      </c>
      <c r="N335" s="36">
        <f>IFERROR(M335/$Q335,0)</f>
        <v>0.39919354838709675</v>
      </c>
      <c r="O335" s="17">
        <v>2</v>
      </c>
      <c r="P335" s="36">
        <f>IFERROR(O335/$R335,0)</f>
        <v>0.66666666666666663</v>
      </c>
      <c r="Q335" s="17">
        <v>496</v>
      </c>
      <c r="R335" s="17">
        <v>3</v>
      </c>
    </row>
    <row r="336" spans="1:18" ht="15.75" customHeight="1" x14ac:dyDescent="0.25">
      <c r="A336" s="37">
        <v>2022</v>
      </c>
      <c r="B336" s="35">
        <v>170930</v>
      </c>
      <c r="C336" s="33" t="str">
        <f>VLOOKUP(B336,procv!$A$2:$D$142,4,FALSE)</f>
        <v>Cerrado Tocantins Araguaia</v>
      </c>
      <c r="D336" s="33" t="s">
        <v>61</v>
      </c>
      <c r="E336" s="17">
        <v>153</v>
      </c>
      <c r="F336" s="36">
        <f>IFERROR(E336/$Q336,0)</f>
        <v>0.10268456375838926</v>
      </c>
      <c r="G336" s="17">
        <v>0</v>
      </c>
      <c r="H336" s="36">
        <f>IFERROR(G336/$R336,0)</f>
        <v>0</v>
      </c>
      <c r="I336" s="17">
        <v>539</v>
      </c>
      <c r="J336" s="36">
        <f>IFERROR(I336/$Q336,0)</f>
        <v>0.36174496644295301</v>
      </c>
      <c r="K336" s="17">
        <v>3</v>
      </c>
      <c r="L336" s="36">
        <f>IFERROR(K336/$R336,0)</f>
        <v>0.3</v>
      </c>
      <c r="M336" s="17">
        <v>798</v>
      </c>
      <c r="N336" s="36">
        <f>IFERROR(M336/$Q336,0)</f>
        <v>0.53557046979865774</v>
      </c>
      <c r="O336" s="17">
        <v>7</v>
      </c>
      <c r="P336" s="36">
        <f>IFERROR(O336/$R336,0)</f>
        <v>0.7</v>
      </c>
      <c r="Q336" s="16">
        <v>1490</v>
      </c>
      <c r="R336" s="17">
        <v>10</v>
      </c>
    </row>
    <row r="337" spans="1:18" ht="15.75" customHeight="1" x14ac:dyDescent="0.25">
      <c r="A337" s="37">
        <v>2022</v>
      </c>
      <c r="B337" s="35">
        <v>170950</v>
      </c>
      <c r="C337" s="33" t="str">
        <f>VLOOKUP(B337,procv!$A$2:$D$142,4,FALSE)</f>
        <v>Ilha do Bananal</v>
      </c>
      <c r="D337" s="33" t="s">
        <v>62</v>
      </c>
      <c r="E337" s="17">
        <v>242</v>
      </c>
      <c r="F337" s="36">
        <f>IFERROR(E337/$Q337,0)</f>
        <v>0.12989801395598496</v>
      </c>
      <c r="G337" s="17">
        <v>5</v>
      </c>
      <c r="H337" s="36">
        <f>IFERROR(G337/$R337,0)</f>
        <v>0.11904761904761904</v>
      </c>
      <c r="I337" s="17">
        <v>709</v>
      </c>
      <c r="J337" s="36">
        <f>IFERROR(I337/$Q337,0)</f>
        <v>0.38056897477187335</v>
      </c>
      <c r="K337" s="17">
        <v>23</v>
      </c>
      <c r="L337" s="36">
        <f>IFERROR(K337/$R337,0)</f>
        <v>0.54761904761904767</v>
      </c>
      <c r="M337" s="17">
        <v>912</v>
      </c>
      <c r="N337" s="36">
        <f>IFERROR(M337/$Q337,0)</f>
        <v>0.48953301127214172</v>
      </c>
      <c r="O337" s="17">
        <v>14</v>
      </c>
      <c r="P337" s="36">
        <f>IFERROR(O337/$R337,0)</f>
        <v>0.33333333333333331</v>
      </c>
      <c r="Q337" s="16">
        <v>1863</v>
      </c>
      <c r="R337" s="17">
        <v>42</v>
      </c>
    </row>
    <row r="338" spans="1:18" ht="15.75" customHeight="1" x14ac:dyDescent="0.25">
      <c r="A338" s="37">
        <v>2022</v>
      </c>
      <c r="B338" s="35">
        <v>170980</v>
      </c>
      <c r="C338" s="33" t="str">
        <f>VLOOKUP(B338,procv!$A$2:$D$142,4,FALSE)</f>
        <v>Amor Perfeito</v>
      </c>
      <c r="D338" s="33" t="s">
        <v>63</v>
      </c>
      <c r="E338" s="17">
        <v>28</v>
      </c>
      <c r="F338" s="36">
        <f>IFERROR(E338/$Q338,0)</f>
        <v>0.17391304347826086</v>
      </c>
      <c r="G338" s="17">
        <v>0</v>
      </c>
      <c r="H338" s="36">
        <f>IFERROR(G338/$R338,0)</f>
        <v>0</v>
      </c>
      <c r="I338" s="17">
        <v>46</v>
      </c>
      <c r="J338" s="36">
        <f>IFERROR(I338/$Q338,0)</f>
        <v>0.2857142857142857</v>
      </c>
      <c r="K338" s="17">
        <v>0</v>
      </c>
      <c r="L338" s="36">
        <f>IFERROR(K338/$R338,0)</f>
        <v>0</v>
      </c>
      <c r="M338" s="17">
        <v>87</v>
      </c>
      <c r="N338" s="36">
        <f>IFERROR(M338/$Q338,0)</f>
        <v>0.54037267080745344</v>
      </c>
      <c r="O338" s="17">
        <v>1</v>
      </c>
      <c r="P338" s="36">
        <f>IFERROR(O338/$R338,0)</f>
        <v>1</v>
      </c>
      <c r="Q338" s="17">
        <v>161</v>
      </c>
      <c r="R338" s="17">
        <v>1</v>
      </c>
    </row>
    <row r="339" spans="1:18" ht="15.75" customHeight="1" x14ac:dyDescent="0.25">
      <c r="A339" s="37">
        <v>2022</v>
      </c>
      <c r="B339" s="35">
        <v>171050</v>
      </c>
      <c r="C339" s="33" t="str">
        <f>VLOOKUP(B339,procv!$A$2:$D$142,4,FALSE)</f>
        <v>Cerrado Tocantins Araguaia</v>
      </c>
      <c r="D339" s="33" t="s">
        <v>64</v>
      </c>
      <c r="E339" s="17">
        <v>48</v>
      </c>
      <c r="F339" s="36">
        <f>IFERROR(E339/$Q339,0)</f>
        <v>0.14243323442136499</v>
      </c>
      <c r="G339" s="17">
        <v>1</v>
      </c>
      <c r="H339" s="36">
        <f>IFERROR(G339/$R339,0)</f>
        <v>0.33333333333333331</v>
      </c>
      <c r="I339" s="17">
        <v>144</v>
      </c>
      <c r="J339" s="36">
        <f>IFERROR(I339/$Q339,0)</f>
        <v>0.42729970326409494</v>
      </c>
      <c r="K339" s="17">
        <v>2</v>
      </c>
      <c r="L339" s="36">
        <f>IFERROR(K339/$R339,0)</f>
        <v>0.66666666666666663</v>
      </c>
      <c r="M339" s="17">
        <v>145</v>
      </c>
      <c r="N339" s="36">
        <f>IFERROR(M339/$Q339,0)</f>
        <v>0.43026706231454004</v>
      </c>
      <c r="O339" s="17">
        <v>0</v>
      </c>
      <c r="P339" s="36">
        <f>IFERROR(O339/$R339,0)</f>
        <v>0</v>
      </c>
      <c r="Q339" s="17">
        <v>337</v>
      </c>
      <c r="R339" s="17">
        <v>3</v>
      </c>
    </row>
    <row r="340" spans="1:18" ht="15.75" customHeight="1" x14ac:dyDescent="0.25">
      <c r="A340" s="37">
        <v>2022</v>
      </c>
      <c r="B340" s="35">
        <v>171070</v>
      </c>
      <c r="C340" s="33" t="str">
        <f>VLOOKUP(B340,procv!$A$2:$D$142,4,FALSE)</f>
        <v>Bico do Papagaio</v>
      </c>
      <c r="D340" s="33" t="s">
        <v>65</v>
      </c>
      <c r="E340" s="17">
        <v>59</v>
      </c>
      <c r="F340" s="36">
        <f>IFERROR(E340/$Q340,0)</f>
        <v>0.17352941176470588</v>
      </c>
      <c r="G340" s="17">
        <v>0</v>
      </c>
      <c r="H340" s="36">
        <f>IFERROR(G340/$R340,0)</f>
        <v>0</v>
      </c>
      <c r="I340" s="17">
        <v>138</v>
      </c>
      <c r="J340" s="36">
        <f>IFERROR(I340/$Q340,0)</f>
        <v>0.40588235294117647</v>
      </c>
      <c r="K340" s="17">
        <v>1</v>
      </c>
      <c r="L340" s="36">
        <f>IFERROR(K340/$R340,0)</f>
        <v>1</v>
      </c>
      <c r="M340" s="17">
        <v>143</v>
      </c>
      <c r="N340" s="36">
        <f>IFERROR(M340/$Q340,0)</f>
        <v>0.42058823529411765</v>
      </c>
      <c r="O340" s="17">
        <v>0</v>
      </c>
      <c r="P340" s="36">
        <f>IFERROR(O340/$R340,0)</f>
        <v>0</v>
      </c>
      <c r="Q340" s="17">
        <v>340</v>
      </c>
      <c r="R340" s="17">
        <v>1</v>
      </c>
    </row>
    <row r="341" spans="1:18" ht="15.75" customHeight="1" x14ac:dyDescent="0.25">
      <c r="A341" s="37">
        <v>2022</v>
      </c>
      <c r="B341" s="35">
        <v>171090</v>
      </c>
      <c r="C341" s="33" t="str">
        <f>VLOOKUP(B341,procv!$A$2:$D$142,4,FALSE)</f>
        <v>Cerrado Tocantins Araguaia</v>
      </c>
      <c r="D341" s="33" t="s">
        <v>66</v>
      </c>
      <c r="E341" s="17">
        <v>26</v>
      </c>
      <c r="F341" s="36">
        <f>IFERROR(E341/$Q341,0)</f>
        <v>0.1015625</v>
      </c>
      <c r="G341" s="17">
        <v>0</v>
      </c>
      <c r="H341" s="36">
        <f>IFERROR(G341/$R341,0)</f>
        <v>0</v>
      </c>
      <c r="I341" s="17">
        <v>93</v>
      </c>
      <c r="J341" s="36">
        <f>IFERROR(I341/$Q341,0)</f>
        <v>0.36328125</v>
      </c>
      <c r="K341" s="17">
        <v>0</v>
      </c>
      <c r="L341" s="36">
        <f>IFERROR(K341/$R341,0)</f>
        <v>0</v>
      </c>
      <c r="M341" s="17">
        <v>137</v>
      </c>
      <c r="N341" s="36">
        <f>IFERROR(M341/$Q341,0)</f>
        <v>0.53515625</v>
      </c>
      <c r="O341" s="17">
        <v>1</v>
      </c>
      <c r="P341" s="36">
        <f>IFERROR(O341/$R341,0)</f>
        <v>1</v>
      </c>
      <c r="Q341" s="17">
        <v>256</v>
      </c>
      <c r="R341" s="17">
        <v>1</v>
      </c>
    </row>
    <row r="342" spans="1:18" ht="15.75" customHeight="1" x14ac:dyDescent="0.25">
      <c r="A342" s="37">
        <v>2022</v>
      </c>
      <c r="B342" s="35">
        <v>171110</v>
      </c>
      <c r="C342" s="33" t="str">
        <f>VLOOKUP(B342,procv!$A$2:$D$142,4,FALSE)</f>
        <v>Cerrado Tocantins Araguaia</v>
      </c>
      <c r="D342" s="33" t="s">
        <v>67</v>
      </c>
      <c r="E342" s="17">
        <v>26</v>
      </c>
      <c r="F342" s="36">
        <f>IFERROR(E342/$Q342,0)</f>
        <v>0.12935323383084577</v>
      </c>
      <c r="G342" s="17">
        <v>0</v>
      </c>
      <c r="H342" s="36">
        <f>IFERROR(G342/$R342,0)</f>
        <v>0</v>
      </c>
      <c r="I342" s="17">
        <v>79</v>
      </c>
      <c r="J342" s="36">
        <f>IFERROR(I342/$Q342,0)</f>
        <v>0.39303482587064675</v>
      </c>
      <c r="K342" s="17">
        <v>1</v>
      </c>
      <c r="L342" s="36">
        <f>IFERROR(K342/$R342,0)</f>
        <v>0.33333333333333331</v>
      </c>
      <c r="M342" s="17">
        <v>96</v>
      </c>
      <c r="N342" s="36">
        <f>IFERROR(M342/$Q342,0)</f>
        <v>0.47761194029850745</v>
      </c>
      <c r="O342" s="17">
        <v>2</v>
      </c>
      <c r="P342" s="36">
        <f>IFERROR(O342/$R342,0)</f>
        <v>0.66666666666666663</v>
      </c>
      <c r="Q342" s="17">
        <v>201</v>
      </c>
      <c r="R342" s="17">
        <v>3</v>
      </c>
    </row>
    <row r="343" spans="1:18" ht="15.75" customHeight="1" x14ac:dyDescent="0.25">
      <c r="A343" s="37">
        <v>2022</v>
      </c>
      <c r="B343" s="35">
        <v>171150</v>
      </c>
      <c r="C343" s="33" t="str">
        <f>VLOOKUP(B343,procv!$A$2:$D$142,4,FALSE)</f>
        <v>Ilha do Bananal</v>
      </c>
      <c r="D343" s="33" t="s">
        <v>68</v>
      </c>
      <c r="E343" s="17">
        <v>86</v>
      </c>
      <c r="F343" s="36">
        <f>IFERROR(E343/$Q343,0)</f>
        <v>0.19815668202764977</v>
      </c>
      <c r="G343" s="17">
        <v>0</v>
      </c>
      <c r="H343" s="36">
        <f>IFERROR(G343/$R343,0)</f>
        <v>0</v>
      </c>
      <c r="I343" s="17">
        <v>211</v>
      </c>
      <c r="J343" s="36">
        <f>IFERROR(I343/$Q343,0)</f>
        <v>0.48617511520737328</v>
      </c>
      <c r="K343" s="17">
        <v>0</v>
      </c>
      <c r="L343" s="36">
        <f>IFERROR(K343/$R343,0)</f>
        <v>0</v>
      </c>
      <c r="M343" s="17">
        <v>137</v>
      </c>
      <c r="N343" s="36">
        <f>IFERROR(M343/$Q343,0)</f>
        <v>0.31566820276497698</v>
      </c>
      <c r="O343" s="17">
        <v>0</v>
      </c>
      <c r="P343" s="36">
        <f>IFERROR(O343/$R343,0)</f>
        <v>0</v>
      </c>
      <c r="Q343" s="17">
        <v>434</v>
      </c>
      <c r="R343" s="17">
        <v>0</v>
      </c>
    </row>
    <row r="344" spans="1:18" ht="15.75" customHeight="1" x14ac:dyDescent="0.25">
      <c r="A344" s="37">
        <v>2022</v>
      </c>
      <c r="B344" s="35">
        <v>171180</v>
      </c>
      <c r="C344" s="33" t="str">
        <f>VLOOKUP(B344,procv!$A$2:$D$142,4,FALSE)</f>
        <v>Cerrado Tocantins Araguaia</v>
      </c>
      <c r="D344" s="33" t="s">
        <v>69</v>
      </c>
      <c r="E344" s="17">
        <v>32</v>
      </c>
      <c r="F344" s="36">
        <f>IFERROR(E344/$Q344,0)</f>
        <v>0.13559322033898305</v>
      </c>
      <c r="G344" s="17">
        <v>0</v>
      </c>
      <c r="H344" s="36">
        <f>IFERROR(G344/$R344,0)</f>
        <v>0</v>
      </c>
      <c r="I344" s="17">
        <v>103</v>
      </c>
      <c r="J344" s="36">
        <f>IFERROR(I344/$Q344,0)</f>
        <v>0.4364406779661017</v>
      </c>
      <c r="K344" s="17">
        <v>1</v>
      </c>
      <c r="L344" s="36">
        <f>IFERROR(K344/$R344,0)</f>
        <v>1</v>
      </c>
      <c r="M344" s="17">
        <v>101</v>
      </c>
      <c r="N344" s="36">
        <f>IFERROR(M344/$Q344,0)</f>
        <v>0.42796610169491528</v>
      </c>
      <c r="O344" s="17">
        <v>0</v>
      </c>
      <c r="P344" s="36">
        <f>IFERROR(O344/$R344,0)</f>
        <v>0</v>
      </c>
      <c r="Q344" s="17">
        <v>236</v>
      </c>
      <c r="R344" s="17">
        <v>1</v>
      </c>
    </row>
    <row r="345" spans="1:18" ht="15.75" customHeight="1" x14ac:dyDescent="0.25">
      <c r="A345" s="37">
        <v>2022</v>
      </c>
      <c r="B345" s="35">
        <v>171190</v>
      </c>
      <c r="C345" s="33" t="str">
        <f>VLOOKUP(B345,procv!$A$2:$D$142,4,FALSE)</f>
        <v>Cantão</v>
      </c>
      <c r="D345" s="33" t="s">
        <v>70</v>
      </c>
      <c r="E345" s="17">
        <v>5</v>
      </c>
      <c r="F345" s="36">
        <f>IFERROR(E345/$Q345,0)</f>
        <v>0.26315789473684209</v>
      </c>
      <c r="G345" s="17">
        <v>2</v>
      </c>
      <c r="H345" s="36">
        <f>IFERROR(G345/$R345,0)</f>
        <v>0.5</v>
      </c>
      <c r="I345" s="17">
        <v>5</v>
      </c>
      <c r="J345" s="36">
        <f>IFERROR(I345/$Q345,0)</f>
        <v>0.26315789473684209</v>
      </c>
      <c r="K345" s="17">
        <v>2</v>
      </c>
      <c r="L345" s="36">
        <f>IFERROR(K345/$R345,0)</f>
        <v>0.5</v>
      </c>
      <c r="M345" s="17">
        <v>9</v>
      </c>
      <c r="N345" s="36">
        <f>IFERROR(M345/$Q345,0)</f>
        <v>0.47368421052631576</v>
      </c>
      <c r="O345" s="17">
        <v>0</v>
      </c>
      <c r="P345" s="36">
        <f>IFERROR(O345/$R345,0)</f>
        <v>0</v>
      </c>
      <c r="Q345" s="17">
        <v>19</v>
      </c>
      <c r="R345" s="17">
        <v>4</v>
      </c>
    </row>
    <row r="346" spans="1:18" ht="15.75" customHeight="1" x14ac:dyDescent="0.25">
      <c r="A346" s="37">
        <v>2022</v>
      </c>
      <c r="B346" s="35">
        <v>171195</v>
      </c>
      <c r="C346" s="33" t="str">
        <f>VLOOKUP(B346,procv!$A$2:$D$142,4,FALSE)</f>
        <v>Capim Dourado</v>
      </c>
      <c r="D346" s="33" t="s">
        <v>71</v>
      </c>
      <c r="E346" s="17">
        <v>61</v>
      </c>
      <c r="F346" s="36">
        <f>IFERROR(E346/$Q346,0)</f>
        <v>0.20132013201320131</v>
      </c>
      <c r="G346" s="17">
        <v>0</v>
      </c>
      <c r="H346" s="36">
        <f>IFERROR(G346/$R346,0)</f>
        <v>0</v>
      </c>
      <c r="I346" s="17">
        <v>123</v>
      </c>
      <c r="J346" s="36">
        <f>IFERROR(I346/$Q346,0)</f>
        <v>0.40594059405940597</v>
      </c>
      <c r="K346" s="17">
        <v>0</v>
      </c>
      <c r="L346" s="36">
        <f>IFERROR(K346/$R346,0)</f>
        <v>0</v>
      </c>
      <c r="M346" s="17">
        <v>119</v>
      </c>
      <c r="N346" s="36">
        <f>IFERROR(M346/$Q346,0)</f>
        <v>0.39273927392739272</v>
      </c>
      <c r="O346" s="17">
        <v>2</v>
      </c>
      <c r="P346" s="36">
        <f>IFERROR(O346/$R346,0)</f>
        <v>1</v>
      </c>
      <c r="Q346" s="17">
        <v>303</v>
      </c>
      <c r="R346" s="17">
        <v>2</v>
      </c>
    </row>
    <row r="347" spans="1:18" ht="15.75" customHeight="1" x14ac:dyDescent="0.25">
      <c r="A347" s="37">
        <v>2022</v>
      </c>
      <c r="B347" s="35">
        <v>171200</v>
      </c>
      <c r="C347" s="33" t="str">
        <f>VLOOKUP(B347,procv!$A$2:$D$142,4,FALSE)</f>
        <v>Capim Dourado</v>
      </c>
      <c r="D347" s="33" t="s">
        <v>72</v>
      </c>
      <c r="E347" s="17">
        <v>1</v>
      </c>
      <c r="F347" s="36">
        <f>IFERROR(E347/$Q347,0)</f>
        <v>3.8461538461538464E-2</v>
      </c>
      <c r="G347" s="17">
        <v>0</v>
      </c>
      <c r="H347" s="36">
        <f>IFERROR(G347/$R347,0)</f>
        <v>0</v>
      </c>
      <c r="I347" s="17">
        <v>10</v>
      </c>
      <c r="J347" s="36">
        <f>IFERROR(I347/$Q347,0)</f>
        <v>0.38461538461538464</v>
      </c>
      <c r="K347" s="17">
        <v>1</v>
      </c>
      <c r="L347" s="36">
        <f>IFERROR(K347/$R347,0)</f>
        <v>1</v>
      </c>
      <c r="M347" s="17">
        <v>15</v>
      </c>
      <c r="N347" s="36">
        <f>IFERROR(M347/$Q347,0)</f>
        <v>0.57692307692307687</v>
      </c>
      <c r="O347" s="17">
        <v>0</v>
      </c>
      <c r="P347" s="36">
        <f>IFERROR(O347/$R347,0)</f>
        <v>0</v>
      </c>
      <c r="Q347" s="17">
        <v>26</v>
      </c>
      <c r="R347" s="17">
        <v>1</v>
      </c>
    </row>
    <row r="348" spans="1:18" ht="15.75" customHeight="1" x14ac:dyDescent="0.25">
      <c r="A348" s="37">
        <v>2022</v>
      </c>
      <c r="B348" s="35">
        <v>171215</v>
      </c>
      <c r="C348" s="33" t="str">
        <f>VLOOKUP(B348,procv!$A$2:$D$142,4,FALSE)</f>
        <v>Sudeste</v>
      </c>
      <c r="D348" s="33" t="s">
        <v>73</v>
      </c>
      <c r="E348" s="17">
        <v>56</v>
      </c>
      <c r="F348" s="36">
        <f>IFERROR(E348/$Q348,0)</f>
        <v>0.25925925925925924</v>
      </c>
      <c r="G348" s="17">
        <v>1</v>
      </c>
      <c r="H348" s="36">
        <f>IFERROR(G348/$R348,0)</f>
        <v>1</v>
      </c>
      <c r="I348" s="17">
        <v>89</v>
      </c>
      <c r="J348" s="36">
        <f>IFERROR(I348/$Q348,0)</f>
        <v>0.41203703703703703</v>
      </c>
      <c r="K348" s="17">
        <v>0</v>
      </c>
      <c r="L348" s="36">
        <f>IFERROR(K348/$R348,0)</f>
        <v>0</v>
      </c>
      <c r="M348" s="17">
        <v>71</v>
      </c>
      <c r="N348" s="36">
        <f>IFERROR(M348/$Q348,0)</f>
        <v>0.32870370370370372</v>
      </c>
      <c r="O348" s="17">
        <v>0</v>
      </c>
      <c r="P348" s="36">
        <f>IFERROR(O348/$R348,0)</f>
        <v>0</v>
      </c>
      <c r="Q348" s="17">
        <v>216</v>
      </c>
      <c r="R348" s="17">
        <v>1</v>
      </c>
    </row>
    <row r="349" spans="1:18" ht="15.75" customHeight="1" x14ac:dyDescent="0.25">
      <c r="A349" s="37">
        <v>2022</v>
      </c>
      <c r="B349" s="35">
        <v>171240</v>
      </c>
      <c r="C349" s="33" t="str">
        <f>VLOOKUP(B349,procv!$A$2:$D$142,4,FALSE)</f>
        <v>Capim Dourado</v>
      </c>
      <c r="D349" s="33" t="s">
        <v>74</v>
      </c>
      <c r="E349" s="17">
        <v>33</v>
      </c>
      <c r="F349" s="36">
        <f>IFERROR(E349/$Q349,0)</f>
        <v>0.2391304347826087</v>
      </c>
      <c r="G349" s="17">
        <v>0</v>
      </c>
      <c r="H349" s="36">
        <f>IFERROR(G349/$R349,0)</f>
        <v>0</v>
      </c>
      <c r="I349" s="17">
        <v>57</v>
      </c>
      <c r="J349" s="36">
        <f>IFERROR(I349/$Q349,0)</f>
        <v>0.41304347826086957</v>
      </c>
      <c r="K349" s="17">
        <v>2</v>
      </c>
      <c r="L349" s="36">
        <f>IFERROR(K349/$R349,0)</f>
        <v>1</v>
      </c>
      <c r="M349" s="17">
        <v>48</v>
      </c>
      <c r="N349" s="36">
        <f>IFERROR(M349/$Q349,0)</f>
        <v>0.34782608695652173</v>
      </c>
      <c r="O349" s="17">
        <v>0</v>
      </c>
      <c r="P349" s="36">
        <f>IFERROR(O349/$R349,0)</f>
        <v>0</v>
      </c>
      <c r="Q349" s="17">
        <v>138</v>
      </c>
      <c r="R349" s="17">
        <v>2</v>
      </c>
    </row>
    <row r="350" spans="1:18" ht="15.75" customHeight="1" x14ac:dyDescent="0.25">
      <c r="A350" s="37">
        <v>2022</v>
      </c>
      <c r="B350" s="35">
        <v>171245</v>
      </c>
      <c r="C350" s="33" t="str">
        <f>VLOOKUP(B350,procv!$A$2:$D$142,4,FALSE)</f>
        <v>Bico do Papagaio</v>
      </c>
      <c r="D350" s="33" t="s">
        <v>75</v>
      </c>
      <c r="E350" s="17">
        <v>43</v>
      </c>
      <c r="F350" s="36">
        <f>IFERROR(E350/$Q350,0)</f>
        <v>0.1519434628975265</v>
      </c>
      <c r="G350" s="17">
        <v>1</v>
      </c>
      <c r="H350" s="36">
        <f>IFERROR(G350/$R350,0)</f>
        <v>0.25</v>
      </c>
      <c r="I350" s="17">
        <v>119</v>
      </c>
      <c r="J350" s="36">
        <f>IFERROR(I350/$Q350,0)</f>
        <v>0.4204946996466431</v>
      </c>
      <c r="K350" s="17">
        <v>2</v>
      </c>
      <c r="L350" s="36">
        <f>IFERROR(K350/$R350,0)</f>
        <v>0.5</v>
      </c>
      <c r="M350" s="17">
        <v>121</v>
      </c>
      <c r="N350" s="36">
        <f>IFERROR(M350/$Q350,0)</f>
        <v>0.42756183745583037</v>
      </c>
      <c r="O350" s="17">
        <v>1</v>
      </c>
      <c r="P350" s="36">
        <f>IFERROR(O350/$R350,0)</f>
        <v>0.25</v>
      </c>
      <c r="Q350" s="17">
        <v>283</v>
      </c>
      <c r="R350" s="17">
        <v>4</v>
      </c>
    </row>
    <row r="351" spans="1:18" ht="15.75" customHeight="1" x14ac:dyDescent="0.25">
      <c r="A351" s="37">
        <v>2022</v>
      </c>
      <c r="B351" s="35">
        <v>171250</v>
      </c>
      <c r="C351" s="33" t="str">
        <f>VLOOKUP(B351,procv!$A$2:$D$142,4,FALSE)</f>
        <v>Cantão</v>
      </c>
      <c r="D351" s="33" t="s">
        <v>76</v>
      </c>
      <c r="E351" s="17">
        <v>49</v>
      </c>
      <c r="F351" s="36">
        <f>IFERROR(E351/$Q351,0)</f>
        <v>0.12436548223350254</v>
      </c>
      <c r="G351" s="17">
        <v>0</v>
      </c>
      <c r="H351" s="36">
        <f>IFERROR(G351/$R351,0)</f>
        <v>0</v>
      </c>
      <c r="I351" s="17">
        <v>166</v>
      </c>
      <c r="J351" s="36">
        <f>IFERROR(I351/$Q351,0)</f>
        <v>0.42131979695431471</v>
      </c>
      <c r="K351" s="17">
        <v>1</v>
      </c>
      <c r="L351" s="36">
        <f>IFERROR(K351/$R351,0)</f>
        <v>0.5</v>
      </c>
      <c r="M351" s="17">
        <v>179</v>
      </c>
      <c r="N351" s="36">
        <f>IFERROR(M351/$Q351,0)</f>
        <v>0.45431472081218272</v>
      </c>
      <c r="O351" s="17">
        <v>1</v>
      </c>
      <c r="P351" s="36">
        <f>IFERROR(O351/$R351,0)</f>
        <v>0.5</v>
      </c>
      <c r="Q351" s="17">
        <v>394</v>
      </c>
      <c r="R351" s="17">
        <v>2</v>
      </c>
    </row>
    <row r="352" spans="1:18" ht="15.75" customHeight="1" x14ac:dyDescent="0.25">
      <c r="A352" s="37">
        <v>2022</v>
      </c>
      <c r="B352" s="35">
        <v>171270</v>
      </c>
      <c r="C352" s="33" t="str">
        <f>VLOOKUP(B352,procv!$A$2:$D$142,4,FALSE)</f>
        <v>Amor Perfeito</v>
      </c>
      <c r="D352" s="33" t="s">
        <v>77</v>
      </c>
      <c r="E352" s="17">
        <v>32</v>
      </c>
      <c r="F352" s="36">
        <f>IFERROR(E352/$Q352,0)</f>
        <v>0.20512820512820512</v>
      </c>
      <c r="G352" s="17">
        <v>0</v>
      </c>
      <c r="H352" s="36">
        <f>IFERROR(G352/$R352,0)</f>
        <v>0</v>
      </c>
      <c r="I352" s="17">
        <v>65</v>
      </c>
      <c r="J352" s="36">
        <f>IFERROR(I352/$Q352,0)</f>
        <v>0.41666666666666669</v>
      </c>
      <c r="K352" s="17">
        <v>0</v>
      </c>
      <c r="L352" s="36">
        <f>IFERROR(K352/$R352,0)</f>
        <v>0</v>
      </c>
      <c r="M352" s="17">
        <v>59</v>
      </c>
      <c r="N352" s="36">
        <f>IFERROR(M352/$Q352,0)</f>
        <v>0.37820512820512819</v>
      </c>
      <c r="O352" s="17">
        <v>1</v>
      </c>
      <c r="P352" s="36">
        <f>IFERROR(O352/$R352,0)</f>
        <v>1</v>
      </c>
      <c r="Q352" s="17">
        <v>156</v>
      </c>
      <c r="R352" s="17">
        <v>1</v>
      </c>
    </row>
    <row r="353" spans="1:18" ht="15.75" customHeight="1" x14ac:dyDescent="0.25">
      <c r="A353" s="37">
        <v>2022</v>
      </c>
      <c r="B353" s="35">
        <v>171280</v>
      </c>
      <c r="C353" s="33" t="str">
        <f>VLOOKUP(B353,procv!$A$2:$D$142,4,FALSE)</f>
        <v>Bico do Papagaio</v>
      </c>
      <c r="D353" s="33" t="s">
        <v>78</v>
      </c>
      <c r="E353" s="17">
        <v>55</v>
      </c>
      <c r="F353" s="36">
        <f>IFERROR(E353/$Q353,0)</f>
        <v>0.17915309446254071</v>
      </c>
      <c r="G353" s="17">
        <v>0</v>
      </c>
      <c r="H353" s="36">
        <f>IFERROR(G353/$R353,0)</f>
        <v>0</v>
      </c>
      <c r="I353" s="17">
        <v>128</v>
      </c>
      <c r="J353" s="36">
        <f>IFERROR(I353/$Q353,0)</f>
        <v>0.41693811074918569</v>
      </c>
      <c r="K353" s="17">
        <v>1</v>
      </c>
      <c r="L353" s="36">
        <f>IFERROR(K353/$R353,0)</f>
        <v>1</v>
      </c>
      <c r="M353" s="17">
        <v>124</v>
      </c>
      <c r="N353" s="36">
        <f>IFERROR(M353/$Q353,0)</f>
        <v>0.40390879478827363</v>
      </c>
      <c r="O353" s="17">
        <v>0</v>
      </c>
      <c r="P353" s="36">
        <f>IFERROR(O353/$R353,0)</f>
        <v>0</v>
      </c>
      <c r="Q353" s="17">
        <v>307</v>
      </c>
      <c r="R353" s="17">
        <v>1</v>
      </c>
    </row>
    <row r="354" spans="1:18" ht="15.75" customHeight="1" x14ac:dyDescent="0.25">
      <c r="A354" s="37">
        <v>2022</v>
      </c>
      <c r="B354" s="35">
        <v>171320</v>
      </c>
      <c r="C354" s="33" t="str">
        <f>VLOOKUP(B354,procv!$A$2:$D$142,4,FALSE)</f>
        <v>Capim Dourado</v>
      </c>
      <c r="D354" s="33" t="s">
        <v>79</v>
      </c>
      <c r="E354" s="17">
        <v>192</v>
      </c>
      <c r="F354" s="36">
        <f>IFERROR(E354/$Q354,0)</f>
        <v>0.13675213675213677</v>
      </c>
      <c r="G354" s="17">
        <v>1</v>
      </c>
      <c r="H354" s="36">
        <f>IFERROR(G354/$R354,0)</f>
        <v>0.1</v>
      </c>
      <c r="I354" s="17">
        <v>593</v>
      </c>
      <c r="J354" s="36">
        <f>IFERROR(I354/$Q354,0)</f>
        <v>0.42236467236467234</v>
      </c>
      <c r="K354" s="17">
        <v>5</v>
      </c>
      <c r="L354" s="36">
        <f>IFERROR(K354/$R354,0)</f>
        <v>0.5</v>
      </c>
      <c r="M354" s="17">
        <v>619</v>
      </c>
      <c r="N354" s="36">
        <f>IFERROR(M354/$Q354,0)</f>
        <v>0.44088319088319089</v>
      </c>
      <c r="O354" s="17">
        <v>4</v>
      </c>
      <c r="P354" s="36">
        <f>IFERROR(O354/$R354,0)</f>
        <v>0.4</v>
      </c>
      <c r="Q354" s="16">
        <v>1404</v>
      </c>
      <c r="R354" s="17">
        <v>10</v>
      </c>
    </row>
    <row r="355" spans="1:18" ht="15.75" customHeight="1" x14ac:dyDescent="0.25">
      <c r="A355" s="37">
        <v>2022</v>
      </c>
      <c r="B355" s="35">
        <v>171330</v>
      </c>
      <c r="C355" s="33" t="str">
        <f>VLOOKUP(B355,procv!$A$2:$D$142,4,FALSE)</f>
        <v>Capim Dourado</v>
      </c>
      <c r="D355" s="33" t="s">
        <v>80</v>
      </c>
      <c r="E355" s="17">
        <v>141</v>
      </c>
      <c r="F355" s="36">
        <f>IFERROR(E355/$Q355,0)</f>
        <v>0.14271255060728744</v>
      </c>
      <c r="G355" s="17">
        <v>1</v>
      </c>
      <c r="H355" s="36">
        <f>IFERROR(G355/$R355,0)</f>
        <v>0.125</v>
      </c>
      <c r="I355" s="17">
        <v>409</v>
      </c>
      <c r="J355" s="36">
        <f>IFERROR(I355/$Q355,0)</f>
        <v>0.41396761133603238</v>
      </c>
      <c r="K355" s="17">
        <v>2</v>
      </c>
      <c r="L355" s="36">
        <f>IFERROR(K355/$R355,0)</f>
        <v>0.25</v>
      </c>
      <c r="M355" s="17">
        <v>438</v>
      </c>
      <c r="N355" s="36">
        <f>IFERROR(M355/$Q355,0)</f>
        <v>0.44331983805668018</v>
      </c>
      <c r="O355" s="17">
        <v>5</v>
      </c>
      <c r="P355" s="36">
        <f>IFERROR(O355/$R355,0)</f>
        <v>0.625</v>
      </c>
      <c r="Q355" s="17">
        <v>988</v>
      </c>
      <c r="R355" s="17">
        <v>8</v>
      </c>
    </row>
    <row r="356" spans="1:18" ht="15.75" customHeight="1" x14ac:dyDescent="0.25">
      <c r="A356" s="37">
        <v>2022</v>
      </c>
      <c r="B356" s="35">
        <v>171360</v>
      </c>
      <c r="C356" s="33" t="str">
        <f>VLOOKUP(B356,procv!$A$2:$D$142,4,FALSE)</f>
        <v>Amor Perfeito</v>
      </c>
      <c r="D356" s="33" t="s">
        <v>81</v>
      </c>
      <c r="E356" s="17">
        <v>60</v>
      </c>
      <c r="F356" s="36">
        <f>IFERROR(E356/$Q356,0)</f>
        <v>0.14251781472684086</v>
      </c>
      <c r="G356" s="17">
        <v>0</v>
      </c>
      <c r="H356" s="36">
        <f>IFERROR(G356/$R356,0)</f>
        <v>0</v>
      </c>
      <c r="I356" s="17">
        <v>170</v>
      </c>
      <c r="J356" s="36">
        <f>IFERROR(I356/$Q356,0)</f>
        <v>0.40380047505938244</v>
      </c>
      <c r="K356" s="17">
        <v>1</v>
      </c>
      <c r="L356" s="36">
        <f>IFERROR(K356/$R356,0)</f>
        <v>0.5</v>
      </c>
      <c r="M356" s="17">
        <v>191</v>
      </c>
      <c r="N356" s="36">
        <f>IFERROR(M356/$Q356,0)</f>
        <v>0.45368171021377673</v>
      </c>
      <c r="O356" s="17">
        <v>1</v>
      </c>
      <c r="P356" s="36">
        <f>IFERROR(O356/$R356,0)</f>
        <v>0.5</v>
      </c>
      <c r="Q356" s="17">
        <v>421</v>
      </c>
      <c r="R356" s="17">
        <v>2</v>
      </c>
    </row>
    <row r="357" spans="1:18" ht="15.75" customHeight="1" x14ac:dyDescent="0.25">
      <c r="A357" s="37">
        <v>2022</v>
      </c>
      <c r="B357" s="35">
        <v>171370</v>
      </c>
      <c r="C357" s="33" t="str">
        <f>VLOOKUP(B357,procv!$A$2:$D$142,4,FALSE)</f>
        <v>Cantão</v>
      </c>
      <c r="D357" s="33" t="s">
        <v>82</v>
      </c>
      <c r="E357" s="17">
        <v>39</v>
      </c>
      <c r="F357" s="36">
        <f>IFERROR(E357/$Q357,0)</f>
        <v>0.17972350230414746</v>
      </c>
      <c r="G357" s="17">
        <v>0</v>
      </c>
      <c r="H357" s="36">
        <f>IFERROR(G357/$R357,0)</f>
        <v>0</v>
      </c>
      <c r="I357" s="17">
        <v>85</v>
      </c>
      <c r="J357" s="36">
        <f>IFERROR(I357/$Q357,0)</f>
        <v>0.39170506912442399</v>
      </c>
      <c r="K357" s="17">
        <v>0</v>
      </c>
      <c r="L357" s="36">
        <f>IFERROR(K357/$R357,0)</f>
        <v>0</v>
      </c>
      <c r="M357" s="17">
        <v>93</v>
      </c>
      <c r="N357" s="36">
        <f>IFERROR(M357/$Q357,0)</f>
        <v>0.42857142857142855</v>
      </c>
      <c r="O357" s="17">
        <v>0</v>
      </c>
      <c r="P357" s="36">
        <f>IFERROR(O357/$R357,0)</f>
        <v>0</v>
      </c>
      <c r="Q357" s="17">
        <v>217</v>
      </c>
      <c r="R357" s="17">
        <v>0</v>
      </c>
    </row>
    <row r="358" spans="1:18" ht="15.75" customHeight="1" x14ac:dyDescent="0.25">
      <c r="A358" s="37">
        <v>2022</v>
      </c>
      <c r="B358" s="35">
        <v>171395</v>
      </c>
      <c r="C358" s="33" t="str">
        <f>VLOOKUP(B358,procv!$A$2:$D$142,4,FALSE)</f>
        <v>Médio Norte Araguaia</v>
      </c>
      <c r="D358" s="33" t="s">
        <v>83</v>
      </c>
      <c r="E358" s="17">
        <v>62</v>
      </c>
      <c r="F358" s="36">
        <f>IFERROR(E358/$Q358,0)</f>
        <v>0.17032967032967034</v>
      </c>
      <c r="G358" s="17">
        <v>1</v>
      </c>
      <c r="H358" s="36">
        <f>IFERROR(G358/$R358,0)</f>
        <v>0.14285714285714285</v>
      </c>
      <c r="I358" s="17">
        <v>157</v>
      </c>
      <c r="J358" s="36">
        <f>IFERROR(I358/$Q358,0)</f>
        <v>0.43131868131868134</v>
      </c>
      <c r="K358" s="17">
        <v>3</v>
      </c>
      <c r="L358" s="36">
        <f>IFERROR(K358/$R358,0)</f>
        <v>0.42857142857142855</v>
      </c>
      <c r="M358" s="17">
        <v>145</v>
      </c>
      <c r="N358" s="36">
        <f>IFERROR(M358/$Q358,0)</f>
        <v>0.39835164835164832</v>
      </c>
      <c r="O358" s="17">
        <v>3</v>
      </c>
      <c r="P358" s="36">
        <f>IFERROR(O358/$R358,0)</f>
        <v>0.42857142857142855</v>
      </c>
      <c r="Q358" s="17">
        <v>364</v>
      </c>
      <c r="R358" s="17">
        <v>7</v>
      </c>
    </row>
    <row r="359" spans="1:18" ht="15.75" customHeight="1" x14ac:dyDescent="0.25">
      <c r="A359" s="37">
        <v>2022</v>
      </c>
      <c r="B359" s="35">
        <v>171420</v>
      </c>
      <c r="C359" s="33" t="str">
        <f>VLOOKUP(B359,procv!$A$2:$D$142,4,FALSE)</f>
        <v>Amor Perfeito</v>
      </c>
      <c r="D359" s="33" t="s">
        <v>84</v>
      </c>
      <c r="E359" s="17">
        <v>161</v>
      </c>
      <c r="F359" s="36">
        <f>IFERROR(E359/$Q359,0)</f>
        <v>0.18852459016393441</v>
      </c>
      <c r="G359" s="17">
        <v>2</v>
      </c>
      <c r="H359" s="36">
        <f>IFERROR(G359/$R359,0)</f>
        <v>0.22222222222222221</v>
      </c>
      <c r="I359" s="17">
        <v>357</v>
      </c>
      <c r="J359" s="36">
        <f>IFERROR(I359/$Q359,0)</f>
        <v>0.41803278688524592</v>
      </c>
      <c r="K359" s="17">
        <v>1</v>
      </c>
      <c r="L359" s="36">
        <f>IFERROR(K359/$R359,0)</f>
        <v>0.1111111111111111</v>
      </c>
      <c r="M359" s="17">
        <v>336</v>
      </c>
      <c r="N359" s="36">
        <f>IFERROR(M359/$Q359,0)</f>
        <v>0.39344262295081966</v>
      </c>
      <c r="O359" s="17">
        <v>6</v>
      </c>
      <c r="P359" s="36">
        <f>IFERROR(O359/$R359,0)</f>
        <v>0.66666666666666663</v>
      </c>
      <c r="Q359" s="17">
        <v>854</v>
      </c>
      <c r="R359" s="17">
        <v>9</v>
      </c>
    </row>
    <row r="360" spans="1:18" ht="15.75" customHeight="1" x14ac:dyDescent="0.25">
      <c r="A360" s="37">
        <v>2022</v>
      </c>
      <c r="B360" s="35">
        <v>171430</v>
      </c>
      <c r="C360" s="33" t="str">
        <f>VLOOKUP(B360,procv!$A$2:$D$142,4,FALSE)</f>
        <v>Bico do Papagaio</v>
      </c>
      <c r="D360" s="33" t="s">
        <v>85</v>
      </c>
      <c r="E360" s="17">
        <v>64</v>
      </c>
      <c r="F360" s="36">
        <f>IFERROR(E360/$Q360,0)</f>
        <v>0.15421686746987953</v>
      </c>
      <c r="G360" s="17">
        <v>1</v>
      </c>
      <c r="H360" s="36">
        <f>IFERROR(G360/$R360,0)</f>
        <v>0.5</v>
      </c>
      <c r="I360" s="17">
        <v>168</v>
      </c>
      <c r="J360" s="36">
        <f>IFERROR(I360/$Q360,0)</f>
        <v>0.40481927710843374</v>
      </c>
      <c r="K360" s="17">
        <v>1</v>
      </c>
      <c r="L360" s="36">
        <f>IFERROR(K360/$R360,0)</f>
        <v>0.5</v>
      </c>
      <c r="M360" s="17">
        <v>183</v>
      </c>
      <c r="N360" s="36">
        <f>IFERROR(M360/$Q360,0)</f>
        <v>0.44096385542168676</v>
      </c>
      <c r="O360" s="17">
        <v>0</v>
      </c>
      <c r="P360" s="36">
        <f>IFERROR(O360/$R360,0)</f>
        <v>0</v>
      </c>
      <c r="Q360" s="17">
        <v>415</v>
      </c>
      <c r="R360" s="17">
        <v>2</v>
      </c>
    </row>
    <row r="361" spans="1:18" ht="15.75" customHeight="1" x14ac:dyDescent="0.25">
      <c r="A361" s="37">
        <v>2022</v>
      </c>
      <c r="B361" s="35">
        <v>171488</v>
      </c>
      <c r="C361" s="33" t="str">
        <f>VLOOKUP(B361,procv!$A$2:$D$142,4,FALSE)</f>
        <v>Médio Norte Araguaia</v>
      </c>
      <c r="D361" s="33" t="s">
        <v>86</v>
      </c>
      <c r="E361" s="17">
        <v>26</v>
      </c>
      <c r="F361" s="36">
        <f>IFERROR(E361/$Q361,0)</f>
        <v>0.13541666666666666</v>
      </c>
      <c r="G361" s="17">
        <v>0</v>
      </c>
      <c r="H361" s="36">
        <f>IFERROR(G361/$R361,0)</f>
        <v>0</v>
      </c>
      <c r="I361" s="17">
        <v>69</v>
      </c>
      <c r="J361" s="36">
        <f>IFERROR(I361/$Q361,0)</f>
        <v>0.359375</v>
      </c>
      <c r="K361" s="17">
        <v>1</v>
      </c>
      <c r="L361" s="36">
        <f>IFERROR(K361/$R361,0)</f>
        <v>0.33333333333333331</v>
      </c>
      <c r="M361" s="17">
        <v>97</v>
      </c>
      <c r="N361" s="36">
        <f>IFERROR(M361/$Q361,0)</f>
        <v>0.50520833333333337</v>
      </c>
      <c r="O361" s="17">
        <v>2</v>
      </c>
      <c r="P361" s="36">
        <f>IFERROR(O361/$R361,0)</f>
        <v>0.66666666666666663</v>
      </c>
      <c r="Q361" s="17">
        <v>192</v>
      </c>
      <c r="R361" s="17">
        <v>3</v>
      </c>
    </row>
    <row r="362" spans="1:18" ht="15.75" customHeight="1" x14ac:dyDescent="0.25">
      <c r="A362" s="37">
        <v>2022</v>
      </c>
      <c r="B362" s="35">
        <v>171500</v>
      </c>
      <c r="C362" s="33" t="str">
        <f>VLOOKUP(B362,procv!$A$2:$D$142,4,FALSE)</f>
        <v>Cantão</v>
      </c>
      <c r="D362" s="33" t="s">
        <v>87</v>
      </c>
      <c r="E362" s="17">
        <v>58</v>
      </c>
      <c r="F362" s="36">
        <f>IFERROR(E362/$Q362,0)</f>
        <v>0.13711583924349882</v>
      </c>
      <c r="G362" s="17">
        <v>1</v>
      </c>
      <c r="H362" s="36">
        <f>IFERROR(G362/$R362,0)</f>
        <v>1</v>
      </c>
      <c r="I362" s="17">
        <v>185</v>
      </c>
      <c r="J362" s="36">
        <f>IFERROR(I362/$Q362,0)</f>
        <v>0.43735224586288418</v>
      </c>
      <c r="K362" s="17">
        <v>0</v>
      </c>
      <c r="L362" s="36">
        <f>IFERROR(K362/$R362,0)</f>
        <v>0</v>
      </c>
      <c r="M362" s="17">
        <v>180</v>
      </c>
      <c r="N362" s="36">
        <f>IFERROR(M362/$Q362,0)</f>
        <v>0.42553191489361702</v>
      </c>
      <c r="O362" s="17">
        <v>0</v>
      </c>
      <c r="P362" s="36">
        <f>IFERROR(O362/$R362,0)</f>
        <v>0</v>
      </c>
      <c r="Q362" s="17">
        <v>423</v>
      </c>
      <c r="R362" s="17">
        <v>1</v>
      </c>
    </row>
    <row r="363" spans="1:18" ht="15.75" customHeight="1" x14ac:dyDescent="0.25">
      <c r="A363" s="37">
        <v>2022</v>
      </c>
      <c r="B363" s="35">
        <v>171510</v>
      </c>
      <c r="C363" s="33" t="str">
        <f>VLOOKUP(B363,procv!$A$2:$D$142,4,FALSE)</f>
        <v>Capim Dourado</v>
      </c>
      <c r="D363" s="33" t="s">
        <v>88</v>
      </c>
      <c r="E363" s="17">
        <v>17</v>
      </c>
      <c r="F363" s="36">
        <f>IFERROR(E363/$Q363,0)</f>
        <v>0.21249999999999999</v>
      </c>
      <c r="G363" s="17">
        <v>0</v>
      </c>
      <c r="H363" s="36">
        <f>IFERROR(G363/$R363,0)</f>
        <v>0</v>
      </c>
      <c r="I363" s="17">
        <v>21</v>
      </c>
      <c r="J363" s="36">
        <f>IFERROR(I363/$Q363,0)</f>
        <v>0.26250000000000001</v>
      </c>
      <c r="K363" s="17">
        <v>0</v>
      </c>
      <c r="L363" s="36">
        <f>IFERROR(K363/$R363,0)</f>
        <v>0</v>
      </c>
      <c r="M363" s="17">
        <v>42</v>
      </c>
      <c r="N363" s="36">
        <f>IFERROR(M363/$Q363,0)</f>
        <v>0.52500000000000002</v>
      </c>
      <c r="O363" s="17">
        <v>0</v>
      </c>
      <c r="P363" s="36">
        <f>IFERROR(O363/$R363,0)</f>
        <v>0</v>
      </c>
      <c r="Q363" s="17">
        <v>80</v>
      </c>
      <c r="R363" s="17">
        <v>0</v>
      </c>
    </row>
    <row r="364" spans="1:18" ht="15.75" customHeight="1" x14ac:dyDescent="0.25">
      <c r="A364" s="37">
        <v>2022</v>
      </c>
      <c r="B364" s="35">
        <v>171515</v>
      </c>
      <c r="C364" s="33" t="str">
        <f>VLOOKUP(B364,procv!$A$2:$D$142,4,FALSE)</f>
        <v>Sudeste</v>
      </c>
      <c r="D364" s="33" t="s">
        <v>89</v>
      </c>
      <c r="E364" s="17">
        <v>72</v>
      </c>
      <c r="F364" s="36">
        <f>IFERROR(E364/$Q364,0)</f>
        <v>0.2491349480968858</v>
      </c>
      <c r="G364" s="17">
        <v>0</v>
      </c>
      <c r="H364" s="36">
        <f>IFERROR(G364/$R364,0)</f>
        <v>0</v>
      </c>
      <c r="I364" s="17">
        <v>127</v>
      </c>
      <c r="J364" s="36">
        <f>IFERROR(I364/$Q364,0)</f>
        <v>0.43944636678200694</v>
      </c>
      <c r="K364" s="17">
        <v>0</v>
      </c>
      <c r="L364" s="36">
        <f>IFERROR(K364/$R364,0)</f>
        <v>0</v>
      </c>
      <c r="M364" s="17">
        <v>90</v>
      </c>
      <c r="N364" s="36">
        <f>IFERROR(M364/$Q364,0)</f>
        <v>0.31141868512110726</v>
      </c>
      <c r="O364" s="17">
        <v>0</v>
      </c>
      <c r="P364" s="36">
        <f>IFERROR(O364/$R364,0)</f>
        <v>0</v>
      </c>
      <c r="Q364" s="17">
        <v>289</v>
      </c>
      <c r="R364" s="17">
        <v>0</v>
      </c>
    </row>
    <row r="365" spans="1:18" ht="15.75" customHeight="1" x14ac:dyDescent="0.25">
      <c r="A365" s="37">
        <v>2022</v>
      </c>
      <c r="B365" s="35">
        <v>171525</v>
      </c>
      <c r="C365" s="33" t="str">
        <f>VLOOKUP(B365,procv!$A$2:$D$142,4,FALSE)</f>
        <v>Sudeste</v>
      </c>
      <c r="D365" s="33" t="s">
        <v>90</v>
      </c>
      <c r="E365" s="17">
        <v>4</v>
      </c>
      <c r="F365" s="36">
        <f>IFERROR(E365/$Q365,0)</f>
        <v>0.26666666666666666</v>
      </c>
      <c r="G365" s="17">
        <v>0</v>
      </c>
      <c r="H365" s="36">
        <f>IFERROR(G365/$R365,0)</f>
        <v>0</v>
      </c>
      <c r="I365" s="17">
        <v>4</v>
      </c>
      <c r="J365" s="36">
        <f>IFERROR(I365/$Q365,0)</f>
        <v>0.26666666666666666</v>
      </c>
      <c r="K365" s="17">
        <v>0</v>
      </c>
      <c r="L365" s="36">
        <f>IFERROR(K365/$R365,0)</f>
        <v>0</v>
      </c>
      <c r="M365" s="17">
        <v>7</v>
      </c>
      <c r="N365" s="36">
        <f>IFERROR(M365/$Q365,0)</f>
        <v>0.46666666666666667</v>
      </c>
      <c r="O365" s="17">
        <v>0</v>
      </c>
      <c r="P365" s="36">
        <f>IFERROR(O365/$R365,0)</f>
        <v>0</v>
      </c>
      <c r="Q365" s="17">
        <v>15</v>
      </c>
      <c r="R365" s="17">
        <v>0</v>
      </c>
    </row>
    <row r="366" spans="1:18" ht="15.75" customHeight="1" x14ac:dyDescent="0.25">
      <c r="A366" s="37">
        <v>2022</v>
      </c>
      <c r="B366" s="35">
        <v>171550</v>
      </c>
      <c r="C366" s="33" t="str">
        <f>VLOOKUP(B366,procv!$A$2:$D$142,4,FALSE)</f>
        <v>Amor Perfeito</v>
      </c>
      <c r="D366" s="33" t="s">
        <v>91</v>
      </c>
      <c r="E366" s="17">
        <v>27</v>
      </c>
      <c r="F366" s="36">
        <f>IFERROR(E366/$Q366,0)</f>
        <v>0.16363636363636364</v>
      </c>
      <c r="G366" s="17">
        <v>0</v>
      </c>
      <c r="H366" s="36">
        <f>IFERROR(G366/$R366,0)</f>
        <v>0</v>
      </c>
      <c r="I366" s="17">
        <v>68</v>
      </c>
      <c r="J366" s="36">
        <f>IFERROR(I366/$Q366,0)</f>
        <v>0.41212121212121211</v>
      </c>
      <c r="K366" s="17">
        <v>1</v>
      </c>
      <c r="L366" s="36">
        <f>IFERROR(K366/$R366,0)</f>
        <v>0.5</v>
      </c>
      <c r="M366" s="17">
        <v>70</v>
      </c>
      <c r="N366" s="36">
        <f>IFERROR(M366/$Q366,0)</f>
        <v>0.42424242424242425</v>
      </c>
      <c r="O366" s="17">
        <v>1</v>
      </c>
      <c r="P366" s="36">
        <f>IFERROR(O366/$R366,0)</f>
        <v>0.5</v>
      </c>
      <c r="Q366" s="17">
        <v>165</v>
      </c>
      <c r="R366" s="17">
        <v>2</v>
      </c>
    </row>
    <row r="367" spans="1:18" ht="15.75" customHeight="1" x14ac:dyDescent="0.25">
      <c r="A367" s="37">
        <v>2022</v>
      </c>
      <c r="B367" s="35">
        <v>172100</v>
      </c>
      <c r="C367" s="33" t="str">
        <f>VLOOKUP(B367,procv!$A$2:$D$142,4,FALSE)</f>
        <v>Capim Dourado</v>
      </c>
      <c r="D367" s="33" t="s">
        <v>92</v>
      </c>
      <c r="E367" s="16">
        <v>1272</v>
      </c>
      <c r="F367" s="36">
        <f>IFERROR(E367/$Q367,0)</f>
        <v>0.1352184543425109</v>
      </c>
      <c r="G367" s="17">
        <v>6</v>
      </c>
      <c r="H367" s="36">
        <f>IFERROR(G367/$R367,0)</f>
        <v>8.9552238805970144E-2</v>
      </c>
      <c r="I367" s="16">
        <v>3837</v>
      </c>
      <c r="J367" s="36">
        <f>IFERROR(I367/$Q367,0)</f>
        <v>0.40788774316997978</v>
      </c>
      <c r="K367" s="17">
        <v>35</v>
      </c>
      <c r="L367" s="36">
        <f>IFERROR(K367/$R367,0)</f>
        <v>0.52238805970149249</v>
      </c>
      <c r="M367" s="16">
        <v>4298</v>
      </c>
      <c r="N367" s="36">
        <f>IFERROR(M367/$Q367,0)</f>
        <v>0.45689380248750933</v>
      </c>
      <c r="O367" s="17">
        <v>26</v>
      </c>
      <c r="P367" s="36">
        <f>IFERROR(O367/$R367,0)</f>
        <v>0.38805970149253732</v>
      </c>
      <c r="Q367" s="16">
        <v>9407</v>
      </c>
      <c r="R367" s="17">
        <v>67</v>
      </c>
    </row>
    <row r="368" spans="1:18" ht="15.75" customHeight="1" x14ac:dyDescent="0.25">
      <c r="A368" s="37">
        <v>2022</v>
      </c>
      <c r="B368" s="35">
        <v>171570</v>
      </c>
      <c r="C368" s="33" t="str">
        <f>VLOOKUP(B368,procv!$A$2:$D$142,4,FALSE)</f>
        <v>Cerrado Tocantins Araguaia</v>
      </c>
      <c r="D368" s="33" t="s">
        <v>93</v>
      </c>
      <c r="E368" s="17">
        <v>94</v>
      </c>
      <c r="F368" s="36">
        <f>IFERROR(E368/$Q368,0)</f>
        <v>0.20524017467248909</v>
      </c>
      <c r="G368" s="17">
        <v>1</v>
      </c>
      <c r="H368" s="36">
        <f>IFERROR(G368/$R368,0)</f>
        <v>0.25</v>
      </c>
      <c r="I368" s="17">
        <v>188</v>
      </c>
      <c r="J368" s="36">
        <f>IFERROR(I368/$Q368,0)</f>
        <v>0.41048034934497818</v>
      </c>
      <c r="K368" s="17">
        <v>2</v>
      </c>
      <c r="L368" s="36">
        <f>IFERROR(K368/$R368,0)</f>
        <v>0.5</v>
      </c>
      <c r="M368" s="17">
        <v>176</v>
      </c>
      <c r="N368" s="36">
        <f>IFERROR(M368/$Q368,0)</f>
        <v>0.38427947598253276</v>
      </c>
      <c r="O368" s="17">
        <v>1</v>
      </c>
      <c r="P368" s="36">
        <f>IFERROR(O368/$R368,0)</f>
        <v>0.25</v>
      </c>
      <c r="Q368" s="17">
        <v>458</v>
      </c>
      <c r="R368" s="17">
        <v>4</v>
      </c>
    </row>
    <row r="369" spans="1:18" ht="15.75" customHeight="1" x14ac:dyDescent="0.25">
      <c r="A369" s="37">
        <v>2022</v>
      </c>
      <c r="B369" s="35">
        <v>171380</v>
      </c>
      <c r="C369" s="33" t="str">
        <f>VLOOKUP(B369,procv!$A$2:$D$142,4,FALSE)</f>
        <v>Bico do Papagaio</v>
      </c>
      <c r="D369" s="33" t="s">
        <v>94</v>
      </c>
      <c r="E369" s="17">
        <v>41</v>
      </c>
      <c r="F369" s="36">
        <f>IFERROR(E369/$Q369,0)</f>
        <v>0.25153374233128833</v>
      </c>
      <c r="G369" s="17">
        <v>0</v>
      </c>
      <c r="H369" s="36">
        <f>IFERROR(G369/$R369,0)</f>
        <v>0</v>
      </c>
      <c r="I369" s="17">
        <v>61</v>
      </c>
      <c r="J369" s="36">
        <f>IFERROR(I369/$Q369,0)</f>
        <v>0.37423312883435583</v>
      </c>
      <c r="K369" s="17">
        <v>0</v>
      </c>
      <c r="L369" s="36">
        <f>IFERROR(K369/$R369,0)</f>
        <v>0</v>
      </c>
      <c r="M369" s="17">
        <v>61</v>
      </c>
      <c r="N369" s="36">
        <f>IFERROR(M369/$Q369,0)</f>
        <v>0.37423312883435583</v>
      </c>
      <c r="O369" s="17">
        <v>1</v>
      </c>
      <c r="P369" s="36">
        <f>IFERROR(O369/$R369,0)</f>
        <v>1</v>
      </c>
      <c r="Q369" s="17">
        <v>163</v>
      </c>
      <c r="R369" s="17">
        <v>1</v>
      </c>
    </row>
    <row r="370" spans="1:18" ht="15.75" customHeight="1" x14ac:dyDescent="0.25">
      <c r="A370" s="37">
        <v>2022</v>
      </c>
      <c r="B370" s="35">
        <v>171575</v>
      </c>
      <c r="C370" s="33" t="str">
        <f>VLOOKUP(B370,procv!$A$2:$D$142,4,FALSE)</f>
        <v>Ilha do Bananal</v>
      </c>
      <c r="D370" s="33" t="s">
        <v>95</v>
      </c>
      <c r="E370" s="17">
        <v>107</v>
      </c>
      <c r="F370" s="36">
        <f>IFERROR(E370/$Q370,0)</f>
        <v>0.16138763197586728</v>
      </c>
      <c r="G370" s="17">
        <v>0</v>
      </c>
      <c r="H370" s="36">
        <f>IFERROR(G370/$R370,0)</f>
        <v>0</v>
      </c>
      <c r="I370" s="17">
        <v>287</v>
      </c>
      <c r="J370" s="36">
        <f>IFERROR(I370/$Q370,0)</f>
        <v>0.43288084464555054</v>
      </c>
      <c r="K370" s="17">
        <v>0</v>
      </c>
      <c r="L370" s="36">
        <f>IFERROR(K370/$R370,0)</f>
        <v>0</v>
      </c>
      <c r="M370" s="17">
        <v>269</v>
      </c>
      <c r="N370" s="36">
        <f>IFERROR(M370/$Q370,0)</f>
        <v>0.4057315233785822</v>
      </c>
      <c r="O370" s="17">
        <v>0</v>
      </c>
      <c r="P370" s="36">
        <f>IFERROR(O370/$R370,0)</f>
        <v>0</v>
      </c>
      <c r="Q370" s="17">
        <v>663</v>
      </c>
      <c r="R370" s="17">
        <v>0</v>
      </c>
    </row>
    <row r="371" spans="1:18" ht="15.75" customHeight="1" x14ac:dyDescent="0.25">
      <c r="A371" s="37">
        <v>2022</v>
      </c>
      <c r="B371" s="35">
        <v>171610</v>
      </c>
      <c r="C371" s="33" t="str">
        <f>VLOOKUP(B371,procv!$A$2:$D$142,4,FALSE)</f>
        <v>Cantão</v>
      </c>
      <c r="D371" s="33" t="s">
        <v>96</v>
      </c>
      <c r="E371" s="17">
        <v>387</v>
      </c>
      <c r="F371" s="36">
        <f>IFERROR(E371/$Q371,0)</f>
        <v>0.14537941397445531</v>
      </c>
      <c r="G371" s="17">
        <v>1</v>
      </c>
      <c r="H371" s="36">
        <f>IFERROR(G371/$R371,0)</f>
        <v>8.3333333333333329E-2</v>
      </c>
      <c r="I371" s="16">
        <v>1059</v>
      </c>
      <c r="J371" s="36">
        <f>IFERROR(I371/$Q371,0)</f>
        <v>0.39782118707738545</v>
      </c>
      <c r="K371" s="17">
        <v>4</v>
      </c>
      <c r="L371" s="36">
        <f>IFERROR(K371/$R371,0)</f>
        <v>0.33333333333333331</v>
      </c>
      <c r="M371" s="16">
        <v>1216</v>
      </c>
      <c r="N371" s="36">
        <f>IFERROR(M371/$Q371,0)</f>
        <v>0.4567993989481593</v>
      </c>
      <c r="O371" s="17">
        <v>7</v>
      </c>
      <c r="P371" s="36">
        <f>IFERROR(O371/$R371,0)</f>
        <v>0.58333333333333337</v>
      </c>
      <c r="Q371" s="16">
        <v>2662</v>
      </c>
      <c r="R371" s="17">
        <v>12</v>
      </c>
    </row>
    <row r="372" spans="1:18" ht="15.75" customHeight="1" x14ac:dyDescent="0.25">
      <c r="A372" s="37">
        <v>2022</v>
      </c>
      <c r="B372" s="35">
        <v>171620</v>
      </c>
      <c r="C372" s="33" t="str">
        <f>VLOOKUP(B372,procv!$A$2:$D$142,4,FALSE)</f>
        <v>Sudeste</v>
      </c>
      <c r="D372" s="33" t="s">
        <v>97</v>
      </c>
      <c r="E372" s="17">
        <v>186</v>
      </c>
      <c r="F372" s="36">
        <f>IFERROR(E372/$Q372,0)</f>
        <v>0.23337515683814303</v>
      </c>
      <c r="G372" s="17">
        <v>2</v>
      </c>
      <c r="H372" s="36">
        <f>IFERROR(G372/$R372,0)</f>
        <v>0.25</v>
      </c>
      <c r="I372" s="17">
        <v>319</v>
      </c>
      <c r="J372" s="36">
        <f>IFERROR(I372/$Q372,0)</f>
        <v>0.40025094102885822</v>
      </c>
      <c r="K372" s="17">
        <v>1</v>
      </c>
      <c r="L372" s="36">
        <f>IFERROR(K372/$R372,0)</f>
        <v>0.125</v>
      </c>
      <c r="M372" s="17">
        <v>292</v>
      </c>
      <c r="N372" s="36">
        <f>IFERROR(M372/$Q372,0)</f>
        <v>0.36637390213299875</v>
      </c>
      <c r="O372" s="17">
        <v>5</v>
      </c>
      <c r="P372" s="36">
        <f>IFERROR(O372/$R372,0)</f>
        <v>0.625</v>
      </c>
      <c r="Q372" s="17">
        <v>797</v>
      </c>
      <c r="R372" s="17">
        <v>8</v>
      </c>
    </row>
    <row r="373" spans="1:18" ht="15.75" customHeight="1" x14ac:dyDescent="0.25">
      <c r="A373" s="37">
        <v>2022</v>
      </c>
      <c r="B373" s="35">
        <v>171630</v>
      </c>
      <c r="C373" s="33" t="str">
        <f>VLOOKUP(B373,procv!$A$2:$D$142,4,FALSE)</f>
        <v>Médio Norte Araguaia</v>
      </c>
      <c r="D373" s="33" t="s">
        <v>98</v>
      </c>
      <c r="E373" s="17">
        <v>43</v>
      </c>
      <c r="F373" s="36">
        <f>IFERROR(E373/$Q373,0)</f>
        <v>0.15357142857142858</v>
      </c>
      <c r="G373" s="17">
        <v>0</v>
      </c>
      <c r="H373" s="36">
        <f>IFERROR(G373/$R373,0)</f>
        <v>0</v>
      </c>
      <c r="I373" s="17">
        <v>115</v>
      </c>
      <c r="J373" s="36">
        <f>IFERROR(I373/$Q373,0)</f>
        <v>0.4107142857142857</v>
      </c>
      <c r="K373" s="17">
        <v>2</v>
      </c>
      <c r="L373" s="36">
        <f>IFERROR(K373/$R373,0)</f>
        <v>0.5</v>
      </c>
      <c r="M373" s="17">
        <v>122</v>
      </c>
      <c r="N373" s="36">
        <f>IFERROR(M373/$Q373,0)</f>
        <v>0.43571428571428572</v>
      </c>
      <c r="O373" s="17">
        <v>2</v>
      </c>
      <c r="P373" s="36">
        <f>IFERROR(O373/$R373,0)</f>
        <v>0.5</v>
      </c>
      <c r="Q373" s="17">
        <v>280</v>
      </c>
      <c r="R373" s="17">
        <v>4</v>
      </c>
    </row>
    <row r="374" spans="1:18" ht="15.75" customHeight="1" x14ac:dyDescent="0.25">
      <c r="A374" s="37">
        <v>2022</v>
      </c>
      <c r="B374" s="35">
        <v>171650</v>
      </c>
      <c r="C374" s="33" t="str">
        <f>VLOOKUP(B374,procv!$A$2:$D$142,4,FALSE)</f>
        <v>Cerrado Tocantins Araguaia</v>
      </c>
      <c r="D374" s="33" t="s">
        <v>99</v>
      </c>
      <c r="E374" s="17">
        <v>99</v>
      </c>
      <c r="F374" s="36">
        <f>IFERROR(E374/$Q374,0)</f>
        <v>0.11012235817575083</v>
      </c>
      <c r="G374" s="17">
        <v>0</v>
      </c>
      <c r="H374" s="36">
        <f>IFERROR(G374/$R374,0)</f>
        <v>0</v>
      </c>
      <c r="I374" s="17">
        <v>392</v>
      </c>
      <c r="J374" s="36">
        <f>IFERROR(I374/$Q374,0)</f>
        <v>0.43604004449388212</v>
      </c>
      <c r="K374" s="17">
        <v>2</v>
      </c>
      <c r="L374" s="36">
        <f>IFERROR(K374/$R374,0)</f>
        <v>0.4</v>
      </c>
      <c r="M374" s="17">
        <v>408</v>
      </c>
      <c r="N374" s="36">
        <f>IFERROR(M374/$Q374,0)</f>
        <v>0.45383759733036705</v>
      </c>
      <c r="O374" s="17">
        <v>3</v>
      </c>
      <c r="P374" s="36">
        <f>IFERROR(O374/$R374,0)</f>
        <v>0.6</v>
      </c>
      <c r="Q374" s="17">
        <v>899</v>
      </c>
      <c r="R374" s="17">
        <v>5</v>
      </c>
    </row>
    <row r="375" spans="1:18" ht="15.75" customHeight="1" x14ac:dyDescent="0.25">
      <c r="A375" s="37">
        <v>2022</v>
      </c>
      <c r="B375" s="35">
        <v>171660</v>
      </c>
      <c r="C375" s="33" t="str">
        <f>VLOOKUP(B375,procv!$A$2:$D$142,4,FALSE)</f>
        <v>Ilha do Bananal</v>
      </c>
      <c r="D375" s="33" t="s">
        <v>100</v>
      </c>
      <c r="E375" s="17">
        <v>161</v>
      </c>
      <c r="F375" s="36">
        <f>IFERROR(E375/$Q375,0)</f>
        <v>0.15631067961165049</v>
      </c>
      <c r="G375" s="17">
        <v>0</v>
      </c>
      <c r="H375" s="36">
        <f>IFERROR(G375/$R375,0)</f>
        <v>0</v>
      </c>
      <c r="I375" s="17">
        <v>412</v>
      </c>
      <c r="J375" s="36">
        <f>IFERROR(I375/$Q375,0)</f>
        <v>0.4</v>
      </c>
      <c r="K375" s="17">
        <v>3</v>
      </c>
      <c r="L375" s="36">
        <f>IFERROR(K375/$R375,0)</f>
        <v>0.3</v>
      </c>
      <c r="M375" s="17">
        <v>457</v>
      </c>
      <c r="N375" s="36">
        <f>IFERROR(M375/$Q375,0)</f>
        <v>0.44368932038834952</v>
      </c>
      <c r="O375" s="17">
        <v>7</v>
      </c>
      <c r="P375" s="36">
        <f>IFERROR(O375/$R375,0)</f>
        <v>0.7</v>
      </c>
      <c r="Q375" s="16">
        <v>1030</v>
      </c>
      <c r="R375" s="17">
        <v>10</v>
      </c>
    </row>
    <row r="376" spans="1:18" ht="15.75" customHeight="1" x14ac:dyDescent="0.25">
      <c r="A376" s="37">
        <v>2022</v>
      </c>
      <c r="B376" s="35">
        <v>171665</v>
      </c>
      <c r="C376" s="33" t="str">
        <f>VLOOKUP(B376,procv!$A$2:$D$142,4,FALSE)</f>
        <v>Cerrado Tocantins Araguaia</v>
      </c>
      <c r="D376" s="33" t="s">
        <v>101</v>
      </c>
      <c r="E376" s="17">
        <v>67</v>
      </c>
      <c r="F376" s="36">
        <f>IFERROR(E376/$Q376,0)</f>
        <v>0.13346613545816732</v>
      </c>
      <c r="G376" s="17">
        <v>1</v>
      </c>
      <c r="H376" s="36">
        <f>IFERROR(G376/$R376,0)</f>
        <v>0.1111111111111111</v>
      </c>
      <c r="I376" s="17">
        <v>209</v>
      </c>
      <c r="J376" s="36">
        <f>IFERROR(I376/$Q376,0)</f>
        <v>0.41633466135458169</v>
      </c>
      <c r="K376" s="17">
        <v>1</v>
      </c>
      <c r="L376" s="36">
        <f>IFERROR(K376/$R376,0)</f>
        <v>0.1111111111111111</v>
      </c>
      <c r="M376" s="17">
        <v>226</v>
      </c>
      <c r="N376" s="36">
        <f>IFERROR(M376/$Q376,0)</f>
        <v>0.45019920318725098</v>
      </c>
      <c r="O376" s="17">
        <v>7</v>
      </c>
      <c r="P376" s="36">
        <f>IFERROR(O376/$R376,0)</f>
        <v>0.77777777777777779</v>
      </c>
      <c r="Q376" s="17">
        <v>502</v>
      </c>
      <c r="R376" s="17">
        <v>9</v>
      </c>
    </row>
    <row r="377" spans="1:18" ht="15.75" customHeight="1" x14ac:dyDescent="0.25">
      <c r="A377" s="37">
        <v>2022</v>
      </c>
      <c r="B377" s="35">
        <v>171700</v>
      </c>
      <c r="C377" s="33" t="str">
        <f>VLOOKUP(B377,procv!$A$2:$D$142,4,FALSE)</f>
        <v>Amor Perfeito</v>
      </c>
      <c r="D377" s="33" t="s">
        <v>102</v>
      </c>
      <c r="E377" s="17">
        <v>67</v>
      </c>
      <c r="F377" s="36">
        <f>IFERROR(E377/$Q377,0)</f>
        <v>0.16750000000000001</v>
      </c>
      <c r="G377" s="17">
        <v>0</v>
      </c>
      <c r="H377" s="36">
        <f>IFERROR(G377/$R377,0)</f>
        <v>0</v>
      </c>
      <c r="I377" s="17">
        <v>167</v>
      </c>
      <c r="J377" s="36">
        <f>IFERROR(I377/$Q377,0)</f>
        <v>0.41749999999999998</v>
      </c>
      <c r="K377" s="17">
        <v>1</v>
      </c>
      <c r="L377" s="36">
        <f>IFERROR(K377/$R377,0)</f>
        <v>1</v>
      </c>
      <c r="M377" s="17">
        <v>166</v>
      </c>
      <c r="N377" s="36">
        <f>IFERROR(M377/$Q377,0)</f>
        <v>0.41499999999999998</v>
      </c>
      <c r="O377" s="17">
        <v>0</v>
      </c>
      <c r="P377" s="36">
        <f>IFERROR(O377/$R377,0)</f>
        <v>0</v>
      </c>
      <c r="Q377" s="17">
        <v>400</v>
      </c>
      <c r="R377" s="17">
        <v>1</v>
      </c>
    </row>
    <row r="378" spans="1:18" ht="15.75" customHeight="1" x14ac:dyDescent="0.25">
      <c r="A378" s="37">
        <v>2022</v>
      </c>
      <c r="B378" s="35">
        <v>171720</v>
      </c>
      <c r="C378" s="33" t="str">
        <f>VLOOKUP(B378,procv!$A$2:$D$142,4,FALSE)</f>
        <v>Médio Norte Araguaia</v>
      </c>
      <c r="D378" s="33" t="s">
        <v>103</v>
      </c>
      <c r="E378" s="17">
        <v>31</v>
      </c>
      <c r="F378" s="36">
        <f>IFERROR(E378/$Q378,0)</f>
        <v>0.14553990610328638</v>
      </c>
      <c r="G378" s="17">
        <v>0</v>
      </c>
      <c r="H378" s="36">
        <f>IFERROR(G378/$R378,0)</f>
        <v>0</v>
      </c>
      <c r="I378" s="17">
        <v>84</v>
      </c>
      <c r="J378" s="36">
        <f>IFERROR(I378/$Q378,0)</f>
        <v>0.39436619718309857</v>
      </c>
      <c r="K378" s="17">
        <v>2</v>
      </c>
      <c r="L378" s="36">
        <f>IFERROR(K378/$R378,0)</f>
        <v>1</v>
      </c>
      <c r="M378" s="17">
        <v>98</v>
      </c>
      <c r="N378" s="36">
        <f>IFERROR(M378/$Q378,0)</f>
        <v>0.460093896713615</v>
      </c>
      <c r="O378" s="17">
        <v>0</v>
      </c>
      <c r="P378" s="36">
        <f>IFERROR(O378/$R378,0)</f>
        <v>0</v>
      </c>
      <c r="Q378" s="17">
        <v>213</v>
      </c>
      <c r="R378" s="17">
        <v>2</v>
      </c>
    </row>
    <row r="379" spans="1:18" ht="15.75" customHeight="1" x14ac:dyDescent="0.25">
      <c r="A379" s="37">
        <v>2022</v>
      </c>
      <c r="B379" s="35">
        <v>171750</v>
      </c>
      <c r="C379" s="33" t="str">
        <f>VLOOKUP(B379,procv!$A$2:$D$142,4,FALSE)</f>
        <v>Cantão</v>
      </c>
      <c r="D379" s="33" t="s">
        <v>104</v>
      </c>
      <c r="E379" s="17">
        <v>93</v>
      </c>
      <c r="F379" s="36">
        <f>IFERROR(E379/$Q379,0)</f>
        <v>0.1570945945945946</v>
      </c>
      <c r="G379" s="17">
        <v>0</v>
      </c>
      <c r="H379" s="36">
        <f>IFERROR(G379/$R379,0)</f>
        <v>0</v>
      </c>
      <c r="I379" s="17">
        <v>257</v>
      </c>
      <c r="J379" s="36">
        <f>IFERROR(I379/$Q379,0)</f>
        <v>0.4341216216216216</v>
      </c>
      <c r="K379" s="17">
        <v>3</v>
      </c>
      <c r="L379" s="36">
        <f>IFERROR(K379/$R379,0)</f>
        <v>0.75</v>
      </c>
      <c r="M379" s="17">
        <v>242</v>
      </c>
      <c r="N379" s="36">
        <f>IFERROR(M379/$Q379,0)</f>
        <v>0.40878378378378377</v>
      </c>
      <c r="O379" s="17">
        <v>1</v>
      </c>
      <c r="P379" s="36">
        <f>IFERROR(O379/$R379,0)</f>
        <v>0.25</v>
      </c>
      <c r="Q379" s="17">
        <v>592</v>
      </c>
      <c r="R379" s="17">
        <v>4</v>
      </c>
    </row>
    <row r="380" spans="1:18" ht="15.75" customHeight="1" x14ac:dyDescent="0.25">
      <c r="A380" s="37">
        <v>2022</v>
      </c>
      <c r="B380" s="35">
        <v>171780</v>
      </c>
      <c r="C380" s="33" t="str">
        <f>VLOOKUP(B380,procv!$A$2:$D$142,4,FALSE)</f>
        <v>Sudeste</v>
      </c>
      <c r="D380" s="33" t="s">
        <v>105</v>
      </c>
      <c r="E380" s="17">
        <v>90</v>
      </c>
      <c r="F380" s="36">
        <f>IFERROR(E380/$Q380,0)</f>
        <v>0.19823788546255505</v>
      </c>
      <c r="G380" s="17">
        <v>0</v>
      </c>
      <c r="H380" s="36">
        <f>IFERROR(G380/$R380,0)</f>
        <v>0</v>
      </c>
      <c r="I380" s="17">
        <v>192</v>
      </c>
      <c r="J380" s="36">
        <f>IFERROR(I380/$Q380,0)</f>
        <v>0.42290748898678415</v>
      </c>
      <c r="K380" s="17">
        <v>2</v>
      </c>
      <c r="L380" s="36">
        <f>IFERROR(K380/$R380,0)</f>
        <v>0.5</v>
      </c>
      <c r="M380" s="17">
        <v>172</v>
      </c>
      <c r="N380" s="36">
        <f>IFERROR(M380/$Q380,0)</f>
        <v>0.3788546255506608</v>
      </c>
      <c r="O380" s="17">
        <v>2</v>
      </c>
      <c r="P380" s="36">
        <f>IFERROR(O380/$R380,0)</f>
        <v>0.5</v>
      </c>
      <c r="Q380" s="17">
        <v>454</v>
      </c>
      <c r="R380" s="17">
        <v>4</v>
      </c>
    </row>
    <row r="381" spans="1:18" ht="15.75" customHeight="1" x14ac:dyDescent="0.25">
      <c r="A381" s="37">
        <v>2022</v>
      </c>
      <c r="B381" s="35">
        <v>171790</v>
      </c>
      <c r="C381" s="33" t="str">
        <f>VLOOKUP(B381,procv!$A$2:$D$142,4,FALSE)</f>
        <v>Amor Perfeito</v>
      </c>
      <c r="D381" s="33" t="s">
        <v>106</v>
      </c>
      <c r="E381" s="17">
        <v>46</v>
      </c>
      <c r="F381" s="36">
        <f>IFERROR(E381/$Q381,0)</f>
        <v>0.14330218068535824</v>
      </c>
      <c r="G381" s="17">
        <v>2</v>
      </c>
      <c r="H381" s="36">
        <f>IFERROR(G381/$R381,0)</f>
        <v>0.4</v>
      </c>
      <c r="I381" s="17">
        <v>130</v>
      </c>
      <c r="J381" s="36">
        <f>IFERROR(I381/$Q381,0)</f>
        <v>0.40498442367601245</v>
      </c>
      <c r="K381" s="17">
        <v>1</v>
      </c>
      <c r="L381" s="36">
        <f>IFERROR(K381/$R381,0)</f>
        <v>0.2</v>
      </c>
      <c r="M381" s="17">
        <v>145</v>
      </c>
      <c r="N381" s="36">
        <f>IFERROR(M381/$Q381,0)</f>
        <v>0.45171339563862928</v>
      </c>
      <c r="O381" s="17">
        <v>2</v>
      </c>
      <c r="P381" s="36">
        <f>IFERROR(O381/$R381,0)</f>
        <v>0.4</v>
      </c>
      <c r="Q381" s="17">
        <v>321</v>
      </c>
      <c r="R381" s="17">
        <v>5</v>
      </c>
    </row>
    <row r="382" spans="1:18" ht="15.75" customHeight="1" x14ac:dyDescent="0.25">
      <c r="A382" s="37">
        <v>2022</v>
      </c>
      <c r="B382" s="35">
        <v>171800</v>
      </c>
      <c r="C382" s="33" t="str">
        <f>VLOOKUP(B382,procv!$A$2:$D$142,4,FALSE)</f>
        <v>Sudeste</v>
      </c>
      <c r="D382" s="33" t="s">
        <v>107</v>
      </c>
      <c r="E382" s="17">
        <v>26</v>
      </c>
      <c r="F382" s="36">
        <f>IFERROR(E382/$Q382,0)</f>
        <v>0.14606741573033707</v>
      </c>
      <c r="G382" s="17">
        <v>0</v>
      </c>
      <c r="H382" s="36">
        <f>IFERROR(G382/$R382,0)</f>
        <v>0</v>
      </c>
      <c r="I382" s="17">
        <v>75</v>
      </c>
      <c r="J382" s="36">
        <f>IFERROR(I382/$Q382,0)</f>
        <v>0.42134831460674155</v>
      </c>
      <c r="K382" s="17">
        <v>0</v>
      </c>
      <c r="L382" s="36">
        <f>IFERROR(K382/$R382,0)</f>
        <v>0</v>
      </c>
      <c r="M382" s="17">
        <v>77</v>
      </c>
      <c r="N382" s="36">
        <f>IFERROR(M382/$Q382,0)</f>
        <v>0.43258426966292135</v>
      </c>
      <c r="O382" s="17">
        <v>4</v>
      </c>
      <c r="P382" s="36">
        <f>IFERROR(O382/$R382,0)</f>
        <v>1</v>
      </c>
      <c r="Q382" s="17">
        <v>178</v>
      </c>
      <c r="R382" s="17">
        <v>4</v>
      </c>
    </row>
    <row r="383" spans="1:18" ht="15.75" customHeight="1" x14ac:dyDescent="0.25">
      <c r="A383" s="37">
        <v>2022</v>
      </c>
      <c r="B383" s="35">
        <v>171820</v>
      </c>
      <c r="C383" s="33" t="str">
        <f>VLOOKUP(B383,procv!$A$2:$D$142,4,FALSE)</f>
        <v>Amor Perfeito</v>
      </c>
      <c r="D383" s="33" t="s">
        <v>108</v>
      </c>
      <c r="E383" s="17">
        <v>492</v>
      </c>
      <c r="F383" s="36">
        <f>IFERROR(E383/$Q383,0)</f>
        <v>0.13355048859934854</v>
      </c>
      <c r="G383" s="17">
        <v>4</v>
      </c>
      <c r="H383" s="36">
        <f>IFERROR(G383/$R383,0)</f>
        <v>0.14285714285714285</v>
      </c>
      <c r="I383" s="16">
        <v>1480</v>
      </c>
      <c r="J383" s="36">
        <f>IFERROR(I383/$Q383,0)</f>
        <v>0.40173724212812162</v>
      </c>
      <c r="K383" s="17">
        <v>9</v>
      </c>
      <c r="L383" s="36">
        <f>IFERROR(K383/$R383,0)</f>
        <v>0.32142857142857145</v>
      </c>
      <c r="M383" s="16">
        <v>1712</v>
      </c>
      <c r="N383" s="36">
        <f>IFERROR(M383/$Q383,0)</f>
        <v>0.46471226927252984</v>
      </c>
      <c r="O383" s="17">
        <v>15</v>
      </c>
      <c r="P383" s="36">
        <f>IFERROR(O383/$R383,0)</f>
        <v>0.5357142857142857</v>
      </c>
      <c r="Q383" s="16">
        <v>3684</v>
      </c>
      <c r="R383" s="17">
        <v>28</v>
      </c>
    </row>
    <row r="384" spans="1:18" ht="15.75" customHeight="1" x14ac:dyDescent="0.25">
      <c r="A384" s="37">
        <v>2022</v>
      </c>
      <c r="B384" s="35">
        <v>171830</v>
      </c>
      <c r="C384" s="33" t="str">
        <f>VLOOKUP(B384,procv!$A$2:$D$142,4,FALSE)</f>
        <v>Bico do Papagaio</v>
      </c>
      <c r="D384" s="33" t="s">
        <v>109</v>
      </c>
      <c r="E384" s="17">
        <v>59</v>
      </c>
      <c r="F384" s="36">
        <f>IFERROR(E384/$Q384,0)</f>
        <v>0.16164383561643836</v>
      </c>
      <c r="G384" s="17">
        <v>0</v>
      </c>
      <c r="H384" s="36">
        <f>IFERROR(G384/$R384,0)</f>
        <v>0</v>
      </c>
      <c r="I384" s="17">
        <v>137</v>
      </c>
      <c r="J384" s="36">
        <f>IFERROR(I384/$Q384,0)</f>
        <v>0.37534246575342467</v>
      </c>
      <c r="K384" s="17">
        <v>0</v>
      </c>
      <c r="L384" s="36">
        <f>IFERROR(K384/$R384,0)</f>
        <v>0</v>
      </c>
      <c r="M384" s="17">
        <v>169</v>
      </c>
      <c r="N384" s="36">
        <f>IFERROR(M384/$Q384,0)</f>
        <v>0.46301369863013697</v>
      </c>
      <c r="O384" s="17">
        <v>0</v>
      </c>
      <c r="P384" s="36">
        <f>IFERROR(O384/$R384,0)</f>
        <v>0</v>
      </c>
      <c r="Q384" s="17">
        <v>365</v>
      </c>
      <c r="R384" s="17">
        <v>0</v>
      </c>
    </row>
    <row r="385" spans="1:18" ht="15.75" customHeight="1" x14ac:dyDescent="0.25">
      <c r="A385" s="37">
        <v>2022</v>
      </c>
      <c r="B385" s="35">
        <v>171840</v>
      </c>
      <c r="C385" s="33" t="str">
        <f>VLOOKUP(B385,procv!$A$2:$D$142,4,FALSE)</f>
        <v>Cerrado Tocantins Araguaia</v>
      </c>
      <c r="D385" s="33" t="s">
        <v>110</v>
      </c>
      <c r="E385" s="17">
        <v>47</v>
      </c>
      <c r="F385" s="36">
        <f>IFERROR(E385/$Q385,0)</f>
        <v>0.1419939577039275</v>
      </c>
      <c r="G385" s="17">
        <v>0</v>
      </c>
      <c r="H385" s="36">
        <f>IFERROR(G385/$R385,0)</f>
        <v>0</v>
      </c>
      <c r="I385" s="17">
        <v>128</v>
      </c>
      <c r="J385" s="36">
        <f>IFERROR(I385/$Q385,0)</f>
        <v>0.38670694864048338</v>
      </c>
      <c r="K385" s="17">
        <v>0</v>
      </c>
      <c r="L385" s="36">
        <f>IFERROR(K385/$R385,0)</f>
        <v>0</v>
      </c>
      <c r="M385" s="17">
        <v>156</v>
      </c>
      <c r="N385" s="36">
        <f>IFERROR(M385/$Q385,0)</f>
        <v>0.47129909365558914</v>
      </c>
      <c r="O385" s="17">
        <v>3</v>
      </c>
      <c r="P385" s="36">
        <f>IFERROR(O385/$R385,0)</f>
        <v>1</v>
      </c>
      <c r="Q385" s="17">
        <v>331</v>
      </c>
      <c r="R385" s="17">
        <v>3</v>
      </c>
    </row>
    <row r="386" spans="1:18" ht="15.75" customHeight="1" x14ac:dyDescent="0.25">
      <c r="A386" s="37">
        <v>2022</v>
      </c>
      <c r="B386" s="35">
        <v>171845</v>
      </c>
      <c r="C386" s="33" t="str">
        <f>VLOOKUP(B386,procv!$A$2:$D$142,4,FALSE)</f>
        <v>Cantão</v>
      </c>
      <c r="D386" s="33" t="s">
        <v>111</v>
      </c>
      <c r="E386" s="17">
        <v>27</v>
      </c>
      <c r="F386" s="36">
        <f>IFERROR(E386/$Q386,0)</f>
        <v>0.13366336633663367</v>
      </c>
      <c r="G386" s="17">
        <v>0</v>
      </c>
      <c r="H386" s="36">
        <f>IFERROR(G386/$R386,0)</f>
        <v>0</v>
      </c>
      <c r="I386" s="17">
        <v>76</v>
      </c>
      <c r="J386" s="36">
        <f>IFERROR(I386/$Q386,0)</f>
        <v>0.37623762376237624</v>
      </c>
      <c r="K386" s="17">
        <v>0</v>
      </c>
      <c r="L386" s="36">
        <f>IFERROR(K386/$R386,0)</f>
        <v>0</v>
      </c>
      <c r="M386" s="17">
        <v>99</v>
      </c>
      <c r="N386" s="36">
        <f>IFERROR(M386/$Q386,0)</f>
        <v>0.49009900990099009</v>
      </c>
      <c r="O386" s="17">
        <v>0</v>
      </c>
      <c r="P386" s="36">
        <f>IFERROR(O386/$R386,0)</f>
        <v>0</v>
      </c>
      <c r="Q386" s="17">
        <v>202</v>
      </c>
      <c r="R386" s="17">
        <v>0</v>
      </c>
    </row>
    <row r="387" spans="1:18" ht="15.75" customHeight="1" x14ac:dyDescent="0.25">
      <c r="A387" s="37">
        <v>2022</v>
      </c>
      <c r="B387" s="35">
        <v>171850</v>
      </c>
      <c r="C387" s="33" t="str">
        <f>VLOOKUP(B387,procv!$A$2:$D$142,4,FALSE)</f>
        <v>Cerrado Tocantins Araguaia</v>
      </c>
      <c r="D387" s="33" t="s">
        <v>112</v>
      </c>
      <c r="E387" s="17">
        <v>74</v>
      </c>
      <c r="F387" s="36">
        <f>IFERROR(E387/$Q387,0)</f>
        <v>0.20498614958448755</v>
      </c>
      <c r="G387" s="17">
        <v>0</v>
      </c>
      <c r="H387" s="36">
        <f>IFERROR(G387/$R387,0)</f>
        <v>0</v>
      </c>
      <c r="I387" s="17">
        <v>157</v>
      </c>
      <c r="J387" s="36">
        <f>IFERROR(I387/$Q387,0)</f>
        <v>0.43490304709141275</v>
      </c>
      <c r="K387" s="17">
        <v>2</v>
      </c>
      <c r="L387" s="36">
        <f>IFERROR(K387/$R387,0)</f>
        <v>0.66666666666666663</v>
      </c>
      <c r="M387" s="17">
        <v>130</v>
      </c>
      <c r="N387" s="36">
        <f>IFERROR(M387/$Q387,0)</f>
        <v>0.36011080332409973</v>
      </c>
      <c r="O387" s="17">
        <v>1</v>
      </c>
      <c r="P387" s="36">
        <f>IFERROR(O387/$R387,0)</f>
        <v>0.33333333333333331</v>
      </c>
      <c r="Q387" s="17">
        <v>361</v>
      </c>
      <c r="R387" s="17">
        <v>3</v>
      </c>
    </row>
    <row r="388" spans="1:18" ht="15.75" customHeight="1" x14ac:dyDescent="0.25">
      <c r="A388" s="37">
        <v>2022</v>
      </c>
      <c r="B388" s="35">
        <v>171855</v>
      </c>
      <c r="C388" s="33" t="str">
        <f>VLOOKUP(B388,procv!$A$2:$D$142,4,FALSE)</f>
        <v>Bico do Papagaio</v>
      </c>
      <c r="D388" s="33" t="s">
        <v>113</v>
      </c>
      <c r="E388" s="17">
        <v>49</v>
      </c>
      <c r="F388" s="36">
        <f>IFERROR(E388/$Q388,0)</f>
        <v>0.1361111111111111</v>
      </c>
      <c r="G388" s="17">
        <v>0</v>
      </c>
      <c r="H388" s="36">
        <f>IFERROR(G388/$R388,0)</f>
        <v>0</v>
      </c>
      <c r="I388" s="17">
        <v>139</v>
      </c>
      <c r="J388" s="36">
        <f>IFERROR(I388/$Q388,0)</f>
        <v>0.38611111111111113</v>
      </c>
      <c r="K388" s="17">
        <v>1</v>
      </c>
      <c r="L388" s="36">
        <f>IFERROR(K388/$R388,0)</f>
        <v>1</v>
      </c>
      <c r="M388" s="17">
        <v>172</v>
      </c>
      <c r="N388" s="36">
        <f>IFERROR(M388/$Q388,0)</f>
        <v>0.4777777777777778</v>
      </c>
      <c r="O388" s="17">
        <v>0</v>
      </c>
      <c r="P388" s="36">
        <f>IFERROR(O388/$R388,0)</f>
        <v>0</v>
      </c>
      <c r="Q388" s="17">
        <v>360</v>
      </c>
      <c r="R388" s="17">
        <v>1</v>
      </c>
    </row>
    <row r="389" spans="1:18" ht="15.75" customHeight="1" x14ac:dyDescent="0.25">
      <c r="A389" s="37">
        <v>2022</v>
      </c>
      <c r="B389" s="35">
        <v>171865</v>
      </c>
      <c r="C389" s="33" t="str">
        <f>VLOOKUP(B389,procv!$A$2:$D$142,4,FALSE)</f>
        <v>Sudeste</v>
      </c>
      <c r="D389" s="33" t="s">
        <v>114</v>
      </c>
      <c r="E389" s="17">
        <v>25</v>
      </c>
      <c r="F389" s="36">
        <f>IFERROR(E389/$Q389,0)</f>
        <v>0.18382352941176472</v>
      </c>
      <c r="G389" s="17">
        <v>0</v>
      </c>
      <c r="H389" s="36">
        <f>IFERROR(G389/$R389,0)</f>
        <v>0</v>
      </c>
      <c r="I389" s="17">
        <v>50</v>
      </c>
      <c r="J389" s="36">
        <f>IFERROR(I389/$Q389,0)</f>
        <v>0.36764705882352944</v>
      </c>
      <c r="K389" s="17">
        <v>0</v>
      </c>
      <c r="L389" s="36">
        <f>IFERROR(K389/$R389,0)</f>
        <v>0</v>
      </c>
      <c r="M389" s="17">
        <v>61</v>
      </c>
      <c r="N389" s="36">
        <f>IFERROR(M389/$Q389,0)</f>
        <v>0.4485294117647059</v>
      </c>
      <c r="O389" s="17">
        <v>0</v>
      </c>
      <c r="P389" s="36">
        <f>IFERROR(O389/$R389,0)</f>
        <v>0</v>
      </c>
      <c r="Q389" s="17">
        <v>136</v>
      </c>
      <c r="R389" s="17">
        <v>0</v>
      </c>
    </row>
    <row r="390" spans="1:18" ht="15.75" customHeight="1" x14ac:dyDescent="0.25">
      <c r="A390" s="37">
        <v>2022</v>
      </c>
      <c r="B390" s="35">
        <v>171870</v>
      </c>
      <c r="C390" s="33" t="str">
        <f>VLOOKUP(B390,procv!$A$2:$D$142,4,FALSE)</f>
        <v>Capim Dourado</v>
      </c>
      <c r="D390" s="33" t="s">
        <v>115</v>
      </c>
      <c r="E390" s="17">
        <v>33</v>
      </c>
      <c r="F390" s="36">
        <f>IFERROR(E390/$Q390,0)</f>
        <v>0.14224137931034483</v>
      </c>
      <c r="G390" s="17">
        <v>1</v>
      </c>
      <c r="H390" s="36">
        <f>IFERROR(G390/$R390,0)</f>
        <v>1</v>
      </c>
      <c r="I390" s="17">
        <v>75</v>
      </c>
      <c r="J390" s="36">
        <f>IFERROR(I390/$Q390,0)</f>
        <v>0.32327586206896552</v>
      </c>
      <c r="K390" s="17">
        <v>0</v>
      </c>
      <c r="L390" s="36">
        <f>IFERROR(K390/$R390,0)</f>
        <v>0</v>
      </c>
      <c r="M390" s="17">
        <v>124</v>
      </c>
      <c r="N390" s="36">
        <f>IFERROR(M390/$Q390,0)</f>
        <v>0.53448275862068961</v>
      </c>
      <c r="O390" s="17">
        <v>0</v>
      </c>
      <c r="P390" s="36">
        <f>IFERROR(O390/$R390,0)</f>
        <v>0</v>
      </c>
      <c r="Q390" s="17">
        <v>232</v>
      </c>
      <c r="R390" s="17">
        <v>1</v>
      </c>
    </row>
    <row r="391" spans="1:18" ht="15.75" customHeight="1" x14ac:dyDescent="0.25">
      <c r="A391" s="37">
        <v>2022</v>
      </c>
      <c r="B391" s="35">
        <v>171875</v>
      </c>
      <c r="C391" s="33" t="str">
        <f>VLOOKUP(B391,procv!$A$2:$D$142,4,FALSE)</f>
        <v>Capim Dourado</v>
      </c>
      <c r="D391" s="33" t="s">
        <v>116</v>
      </c>
      <c r="E391" s="17">
        <v>89</v>
      </c>
      <c r="F391" s="36">
        <f>IFERROR(E391/$Q391,0)</f>
        <v>0.15586690017513136</v>
      </c>
      <c r="G391" s="17">
        <v>0</v>
      </c>
      <c r="H391" s="36">
        <f>IFERROR(G391/$R391,0)</f>
        <v>0</v>
      </c>
      <c r="I391" s="17">
        <v>235</v>
      </c>
      <c r="J391" s="36">
        <f>IFERROR(I391/$Q391,0)</f>
        <v>0.41155866900175131</v>
      </c>
      <c r="K391" s="17">
        <v>0</v>
      </c>
      <c r="L391" s="36">
        <f>IFERROR(K391/$R391,0)</f>
        <v>0</v>
      </c>
      <c r="M391" s="17">
        <v>247</v>
      </c>
      <c r="N391" s="36">
        <f>IFERROR(M391/$Q391,0)</f>
        <v>0.43257443082311736</v>
      </c>
      <c r="O391" s="17">
        <v>3</v>
      </c>
      <c r="P391" s="36">
        <f>IFERROR(O391/$R391,0)</f>
        <v>1</v>
      </c>
      <c r="Q391" s="17">
        <v>571</v>
      </c>
      <c r="R391" s="17">
        <v>3</v>
      </c>
    </row>
    <row r="392" spans="1:18" ht="15.75" customHeight="1" x14ac:dyDescent="0.25">
      <c r="A392" s="37">
        <v>2022</v>
      </c>
      <c r="B392" s="35">
        <v>171880</v>
      </c>
      <c r="C392" s="33" t="str">
        <f>VLOOKUP(B392,procv!$A$2:$D$142,4,FALSE)</f>
        <v>Bico do Papagaio</v>
      </c>
      <c r="D392" s="33" t="s">
        <v>117</v>
      </c>
      <c r="E392" s="17">
        <v>46</v>
      </c>
      <c r="F392" s="36">
        <f>IFERROR(E392/$Q392,0)</f>
        <v>0.12466124661246612</v>
      </c>
      <c r="G392" s="17">
        <v>0</v>
      </c>
      <c r="H392" s="36">
        <f>IFERROR(G392/$R392,0)</f>
        <v>0</v>
      </c>
      <c r="I392" s="17">
        <v>156</v>
      </c>
      <c r="J392" s="36">
        <f>IFERROR(I392/$Q392,0)</f>
        <v>0.42276422764227645</v>
      </c>
      <c r="K392" s="17">
        <v>0</v>
      </c>
      <c r="L392" s="36">
        <f>IFERROR(K392/$R392,0)</f>
        <v>0</v>
      </c>
      <c r="M392" s="17">
        <v>167</v>
      </c>
      <c r="N392" s="36">
        <f>IFERROR(M392/$Q392,0)</f>
        <v>0.45257452574525747</v>
      </c>
      <c r="O392" s="17">
        <v>2</v>
      </c>
      <c r="P392" s="36">
        <f>IFERROR(O392/$R392,0)</f>
        <v>1</v>
      </c>
      <c r="Q392" s="17">
        <v>369</v>
      </c>
      <c r="R392" s="17">
        <v>2</v>
      </c>
    </row>
    <row r="393" spans="1:18" ht="15.75" customHeight="1" x14ac:dyDescent="0.25">
      <c r="A393" s="37">
        <v>2022</v>
      </c>
      <c r="B393" s="35">
        <v>171884</v>
      </c>
      <c r="C393" s="33" t="str">
        <f>VLOOKUP(B393,procv!$A$2:$D$142,4,FALSE)</f>
        <v>Ilha do Bananal</v>
      </c>
      <c r="D393" s="33" t="s">
        <v>118</v>
      </c>
      <c r="E393" s="17">
        <v>43</v>
      </c>
      <c r="F393" s="36">
        <f>IFERROR(E393/$Q393,0)</f>
        <v>0.11528150134048257</v>
      </c>
      <c r="G393" s="17">
        <v>0</v>
      </c>
      <c r="H393" s="36">
        <f>IFERROR(G393/$R393,0)</f>
        <v>0</v>
      </c>
      <c r="I393" s="17">
        <v>134</v>
      </c>
      <c r="J393" s="36">
        <f>IFERROR(I393/$Q393,0)</f>
        <v>0.35924932975871315</v>
      </c>
      <c r="K393" s="17">
        <v>0</v>
      </c>
      <c r="L393" s="36">
        <f>IFERROR(K393/$R393,0)</f>
        <v>0</v>
      </c>
      <c r="M393" s="17">
        <v>196</v>
      </c>
      <c r="N393" s="36">
        <f>IFERROR(M393/$Q393,0)</f>
        <v>0.52546916890080431</v>
      </c>
      <c r="O393" s="17">
        <v>0</v>
      </c>
      <c r="P393" s="36">
        <f>IFERROR(O393/$R393,0)</f>
        <v>0</v>
      </c>
      <c r="Q393" s="17">
        <v>373</v>
      </c>
      <c r="R393" s="17">
        <v>0</v>
      </c>
    </row>
    <row r="394" spans="1:18" ht="15.75" customHeight="1" x14ac:dyDescent="0.25">
      <c r="A394" s="37">
        <v>2022</v>
      </c>
      <c r="B394" s="35">
        <v>171886</v>
      </c>
      <c r="C394" s="33" t="str">
        <f>VLOOKUP(B394,procv!$A$2:$D$142,4,FALSE)</f>
        <v>Médio Norte Araguaia</v>
      </c>
      <c r="D394" s="33" t="s">
        <v>119</v>
      </c>
      <c r="E394" s="17">
        <v>73</v>
      </c>
      <c r="F394" s="36">
        <f>IFERROR(E394/$Q394,0)</f>
        <v>0.13619402985074627</v>
      </c>
      <c r="G394" s="17">
        <v>2</v>
      </c>
      <c r="H394" s="36">
        <f>IFERROR(G394/$R394,0)</f>
        <v>0.25</v>
      </c>
      <c r="I394" s="17">
        <v>198</v>
      </c>
      <c r="J394" s="36">
        <f>IFERROR(I394/$Q394,0)</f>
        <v>0.36940298507462688</v>
      </c>
      <c r="K394" s="17">
        <v>3</v>
      </c>
      <c r="L394" s="36">
        <f>IFERROR(K394/$R394,0)</f>
        <v>0.375</v>
      </c>
      <c r="M394" s="17">
        <v>265</v>
      </c>
      <c r="N394" s="36">
        <f>IFERROR(M394/$Q394,0)</f>
        <v>0.49440298507462688</v>
      </c>
      <c r="O394" s="17">
        <v>3</v>
      </c>
      <c r="P394" s="36">
        <f>IFERROR(O394/$R394,0)</f>
        <v>0.375</v>
      </c>
      <c r="Q394" s="17">
        <v>536</v>
      </c>
      <c r="R394" s="17">
        <v>8</v>
      </c>
    </row>
    <row r="395" spans="1:18" ht="15.75" customHeight="1" x14ac:dyDescent="0.25">
      <c r="A395" s="37">
        <v>2022</v>
      </c>
      <c r="B395" s="35">
        <v>171888</v>
      </c>
      <c r="C395" s="33" t="str">
        <f>VLOOKUP(B395,procv!$A$2:$D$142,4,FALSE)</f>
        <v>Cerrado Tocantins Araguaia</v>
      </c>
      <c r="D395" s="33" t="s">
        <v>120</v>
      </c>
      <c r="E395" s="17">
        <v>28</v>
      </c>
      <c r="F395" s="36">
        <f>IFERROR(E395/$Q395,0)</f>
        <v>0.11382113821138211</v>
      </c>
      <c r="G395" s="17">
        <v>0</v>
      </c>
      <c r="H395" s="36">
        <f>IFERROR(G395/$R395,0)</f>
        <v>0</v>
      </c>
      <c r="I395" s="17">
        <v>107</v>
      </c>
      <c r="J395" s="36">
        <f>IFERROR(I395/$Q395,0)</f>
        <v>0.43495934959349591</v>
      </c>
      <c r="K395" s="17">
        <v>0</v>
      </c>
      <c r="L395" s="36">
        <f>IFERROR(K395/$R395,0)</f>
        <v>0</v>
      </c>
      <c r="M395" s="17">
        <v>111</v>
      </c>
      <c r="N395" s="36">
        <f>IFERROR(M395/$Q395,0)</f>
        <v>0.45121951219512196</v>
      </c>
      <c r="O395" s="17">
        <v>0</v>
      </c>
      <c r="P395" s="36">
        <f>IFERROR(O395/$R395,0)</f>
        <v>0</v>
      </c>
      <c r="Q395" s="17">
        <v>246</v>
      </c>
      <c r="R395" s="17">
        <v>0</v>
      </c>
    </row>
    <row r="396" spans="1:18" ht="15.75" customHeight="1" x14ac:dyDescent="0.25">
      <c r="A396" s="37">
        <v>2022</v>
      </c>
      <c r="B396" s="35">
        <v>171889</v>
      </c>
      <c r="C396" s="33" t="str">
        <f>VLOOKUP(B396,procv!$A$2:$D$142,4,FALSE)</f>
        <v>Ilha do Bananal</v>
      </c>
      <c r="D396" s="33" t="s">
        <v>121</v>
      </c>
      <c r="E396" s="17">
        <v>16</v>
      </c>
      <c r="F396" s="36">
        <f>IFERROR(E396/$Q396,0)</f>
        <v>0.14953271028037382</v>
      </c>
      <c r="G396" s="17">
        <v>0</v>
      </c>
      <c r="H396" s="36">
        <f>IFERROR(G396/$R396,0)</f>
        <v>0</v>
      </c>
      <c r="I396" s="17">
        <v>49</v>
      </c>
      <c r="J396" s="36">
        <f>IFERROR(I396/$Q396,0)</f>
        <v>0.45794392523364486</v>
      </c>
      <c r="K396" s="17">
        <v>1</v>
      </c>
      <c r="L396" s="36">
        <f>IFERROR(K396/$R396,0)</f>
        <v>0.33333333333333331</v>
      </c>
      <c r="M396" s="17">
        <v>42</v>
      </c>
      <c r="N396" s="36">
        <f>IFERROR(M396/$Q396,0)</f>
        <v>0.3925233644859813</v>
      </c>
      <c r="O396" s="17">
        <v>2</v>
      </c>
      <c r="P396" s="36">
        <f>IFERROR(O396/$R396,0)</f>
        <v>0.66666666666666663</v>
      </c>
      <c r="Q396" s="17">
        <v>107</v>
      </c>
      <c r="R396" s="17">
        <v>3</v>
      </c>
    </row>
    <row r="397" spans="1:18" ht="15.75" customHeight="1" x14ac:dyDescent="0.25">
      <c r="A397" s="37">
        <v>2022</v>
      </c>
      <c r="B397" s="35">
        <v>171890</v>
      </c>
      <c r="C397" s="33" t="str">
        <f>VLOOKUP(B397,procv!$A$2:$D$142,4,FALSE)</f>
        <v>Amor Perfeito</v>
      </c>
      <c r="D397" s="33" t="s">
        <v>122</v>
      </c>
      <c r="E397" s="17">
        <v>81</v>
      </c>
      <c r="F397" s="36">
        <f>IFERROR(E397/$Q397,0)</f>
        <v>0.19331742243436753</v>
      </c>
      <c r="G397" s="17">
        <v>0</v>
      </c>
      <c r="H397" s="36">
        <f>IFERROR(G397/$R397,0)</f>
        <v>0</v>
      </c>
      <c r="I397" s="17">
        <v>170</v>
      </c>
      <c r="J397" s="36">
        <f>IFERROR(I397/$Q397,0)</f>
        <v>0.40572792362768495</v>
      </c>
      <c r="K397" s="17">
        <v>0</v>
      </c>
      <c r="L397" s="36">
        <f>IFERROR(K397/$R397,0)</f>
        <v>0</v>
      </c>
      <c r="M397" s="17">
        <v>168</v>
      </c>
      <c r="N397" s="36">
        <f>IFERROR(M397/$Q397,0)</f>
        <v>0.40095465393794749</v>
      </c>
      <c r="O397" s="17">
        <v>1</v>
      </c>
      <c r="P397" s="36">
        <f>IFERROR(O397/$R397,0)</f>
        <v>1</v>
      </c>
      <c r="Q397" s="17">
        <v>419</v>
      </c>
      <c r="R397" s="17">
        <v>1</v>
      </c>
    </row>
    <row r="398" spans="1:18" ht="15.75" customHeight="1" x14ac:dyDescent="0.25">
      <c r="A398" s="37">
        <v>2022</v>
      </c>
      <c r="B398" s="35">
        <v>171900</v>
      </c>
      <c r="C398" s="33" t="str">
        <f>VLOOKUP(B398,procv!$A$2:$D$142,4,FALSE)</f>
        <v>Capim Dourado</v>
      </c>
      <c r="D398" s="33" t="s">
        <v>123</v>
      </c>
      <c r="E398" s="17">
        <v>43</v>
      </c>
      <c r="F398" s="36">
        <f>IFERROR(E398/$Q398,0)</f>
        <v>0.14052287581699346</v>
      </c>
      <c r="G398" s="17">
        <v>0</v>
      </c>
      <c r="H398" s="36">
        <f>IFERROR(G398/$R398,0)</f>
        <v>0</v>
      </c>
      <c r="I398" s="17">
        <v>120</v>
      </c>
      <c r="J398" s="36">
        <f>IFERROR(I398/$Q398,0)</f>
        <v>0.39215686274509803</v>
      </c>
      <c r="K398" s="17">
        <v>1</v>
      </c>
      <c r="L398" s="36">
        <f>IFERROR(K398/$R398,0)</f>
        <v>1</v>
      </c>
      <c r="M398" s="17">
        <v>143</v>
      </c>
      <c r="N398" s="36">
        <f>IFERROR(M398/$Q398,0)</f>
        <v>0.4673202614379085</v>
      </c>
      <c r="O398" s="17">
        <v>0</v>
      </c>
      <c r="P398" s="36">
        <f>IFERROR(O398/$R398,0)</f>
        <v>0</v>
      </c>
      <c r="Q398" s="17">
        <v>306</v>
      </c>
      <c r="R398" s="17">
        <v>1</v>
      </c>
    </row>
    <row r="399" spans="1:18" ht="15.75" customHeight="1" x14ac:dyDescent="0.25">
      <c r="A399" s="37">
        <v>2022</v>
      </c>
      <c r="B399" s="35">
        <v>172000</v>
      </c>
      <c r="C399" s="33" t="str">
        <f>VLOOKUP(B399,procv!$A$2:$D$142,4,FALSE)</f>
        <v>Bico do Papagaio</v>
      </c>
      <c r="D399" s="33" t="s">
        <v>124</v>
      </c>
      <c r="E399" s="17">
        <v>39</v>
      </c>
      <c r="F399" s="36">
        <f>IFERROR(E399/$Q399,0)</f>
        <v>0.13</v>
      </c>
      <c r="G399" s="17">
        <v>0</v>
      </c>
      <c r="H399" s="36">
        <f>IFERROR(G399/$R399,0)</f>
        <v>0</v>
      </c>
      <c r="I399" s="17">
        <v>120</v>
      </c>
      <c r="J399" s="36">
        <f>IFERROR(I399/$Q399,0)</f>
        <v>0.4</v>
      </c>
      <c r="K399" s="17">
        <v>0</v>
      </c>
      <c r="L399" s="36">
        <f>IFERROR(K399/$R399,0)</f>
        <v>0</v>
      </c>
      <c r="M399" s="17">
        <v>141</v>
      </c>
      <c r="N399" s="36">
        <f>IFERROR(M399/$Q399,0)</f>
        <v>0.47</v>
      </c>
      <c r="O399" s="17">
        <v>1</v>
      </c>
      <c r="P399" s="36">
        <f>IFERROR(O399/$R399,0)</f>
        <v>1</v>
      </c>
      <c r="Q399" s="17">
        <v>300</v>
      </c>
      <c r="R399" s="17">
        <v>1</v>
      </c>
    </row>
    <row r="400" spans="1:18" ht="15.75" customHeight="1" x14ac:dyDescent="0.25">
      <c r="A400" s="37">
        <v>2022</v>
      </c>
      <c r="B400" s="35">
        <v>172010</v>
      </c>
      <c r="C400" s="33" t="str">
        <f>VLOOKUP(B400,procv!$A$2:$D$142,4,FALSE)</f>
        <v>Bico do Papagaio</v>
      </c>
      <c r="D400" s="33" t="s">
        <v>125</v>
      </c>
      <c r="E400" s="17">
        <v>78</v>
      </c>
      <c r="F400" s="36">
        <f>IFERROR(E400/$Q400,0)</f>
        <v>0.17647058823529413</v>
      </c>
      <c r="G400" s="17">
        <v>1</v>
      </c>
      <c r="H400" s="36">
        <f>IFERROR(G400/$R400,0)</f>
        <v>0.125</v>
      </c>
      <c r="I400" s="17">
        <v>211</v>
      </c>
      <c r="J400" s="36">
        <f>IFERROR(I400/$Q400,0)</f>
        <v>0.47737556561085975</v>
      </c>
      <c r="K400" s="17">
        <v>4</v>
      </c>
      <c r="L400" s="36">
        <f>IFERROR(K400/$R400,0)</f>
        <v>0.5</v>
      </c>
      <c r="M400" s="17">
        <v>153</v>
      </c>
      <c r="N400" s="36">
        <f>IFERROR(M400/$Q400,0)</f>
        <v>0.34615384615384615</v>
      </c>
      <c r="O400" s="17">
        <v>3</v>
      </c>
      <c r="P400" s="36">
        <f>IFERROR(O400/$R400,0)</f>
        <v>0.375</v>
      </c>
      <c r="Q400" s="17">
        <v>442</v>
      </c>
      <c r="R400" s="17">
        <v>8</v>
      </c>
    </row>
    <row r="401" spans="1:18" ht="15.75" customHeight="1" x14ac:dyDescent="0.25">
      <c r="A401" s="37">
        <v>2022</v>
      </c>
      <c r="B401" s="35">
        <v>172015</v>
      </c>
      <c r="C401" s="33" t="str">
        <f>VLOOKUP(B401,procv!$A$2:$D$142,4,FALSE)</f>
        <v>Capim Dourado</v>
      </c>
      <c r="D401" s="33" t="s">
        <v>126</v>
      </c>
      <c r="E401" s="17">
        <v>42</v>
      </c>
      <c r="F401" s="36">
        <f>IFERROR(E401/$Q401,0)</f>
        <v>0.26751592356687898</v>
      </c>
      <c r="G401" s="17">
        <v>0</v>
      </c>
      <c r="H401" s="36">
        <f>IFERROR(G401/$R401,0)</f>
        <v>0</v>
      </c>
      <c r="I401" s="17">
        <v>70</v>
      </c>
      <c r="J401" s="36">
        <f>IFERROR(I401/$Q401,0)</f>
        <v>0.44585987261146498</v>
      </c>
      <c r="K401" s="17">
        <v>0</v>
      </c>
      <c r="L401" s="36">
        <f>IFERROR(K401/$R401,0)</f>
        <v>0</v>
      </c>
      <c r="M401" s="17">
        <v>45</v>
      </c>
      <c r="N401" s="36">
        <f>IFERROR(M401/$Q401,0)</f>
        <v>0.28662420382165604</v>
      </c>
      <c r="O401" s="17">
        <v>0</v>
      </c>
      <c r="P401" s="36">
        <f>IFERROR(O401/$R401,0)</f>
        <v>0</v>
      </c>
      <c r="Q401" s="17">
        <v>157</v>
      </c>
      <c r="R401" s="17">
        <v>0</v>
      </c>
    </row>
    <row r="402" spans="1:18" ht="15.75" customHeight="1" x14ac:dyDescent="0.25">
      <c r="A402" s="37">
        <v>2022</v>
      </c>
      <c r="B402" s="35">
        <v>172020</v>
      </c>
      <c r="C402" s="33" t="str">
        <f>VLOOKUP(B402,procv!$A$2:$D$142,4,FALSE)</f>
        <v>Bico do Papagaio</v>
      </c>
      <c r="D402" s="33" t="s">
        <v>127</v>
      </c>
      <c r="E402" s="17">
        <v>152</v>
      </c>
      <c r="F402" s="36">
        <f>IFERROR(E402/$Q402,0)</f>
        <v>0.17471264367816092</v>
      </c>
      <c r="G402" s="17">
        <v>0</v>
      </c>
      <c r="H402" s="36">
        <f>IFERROR(G402/$R402,0)</f>
        <v>0</v>
      </c>
      <c r="I402" s="17">
        <v>348</v>
      </c>
      <c r="J402" s="36">
        <f>IFERROR(I402/$Q402,0)</f>
        <v>0.4</v>
      </c>
      <c r="K402" s="17">
        <v>1</v>
      </c>
      <c r="L402" s="36">
        <f>IFERROR(K402/$R402,0)</f>
        <v>0.5</v>
      </c>
      <c r="M402" s="17">
        <v>370</v>
      </c>
      <c r="N402" s="36">
        <f>IFERROR(M402/$Q402,0)</f>
        <v>0.42528735632183906</v>
      </c>
      <c r="O402" s="17">
        <v>1</v>
      </c>
      <c r="P402" s="36">
        <f>IFERROR(O402/$R402,0)</f>
        <v>0.5</v>
      </c>
      <c r="Q402" s="17">
        <v>870</v>
      </c>
      <c r="R402" s="17">
        <v>2</v>
      </c>
    </row>
    <row r="403" spans="1:18" ht="15.75" customHeight="1" x14ac:dyDescent="0.25">
      <c r="A403" s="37">
        <v>2022</v>
      </c>
      <c r="B403" s="35">
        <v>172025</v>
      </c>
      <c r="C403" s="33" t="str">
        <f>VLOOKUP(B403,procv!$A$2:$D$142,4,FALSE)</f>
        <v>Ilha do Bananal</v>
      </c>
      <c r="D403" s="33" t="s">
        <v>128</v>
      </c>
      <c r="E403" s="17">
        <v>48</v>
      </c>
      <c r="F403" s="36">
        <f>IFERROR(E403/$Q403,0)</f>
        <v>0.18045112781954886</v>
      </c>
      <c r="G403" s="17">
        <v>0</v>
      </c>
      <c r="H403" s="36">
        <f>IFERROR(G403/$R403,0)</f>
        <v>0</v>
      </c>
      <c r="I403" s="17">
        <v>104</v>
      </c>
      <c r="J403" s="36">
        <f>IFERROR(I403/$Q403,0)</f>
        <v>0.39097744360902253</v>
      </c>
      <c r="K403" s="17">
        <v>2</v>
      </c>
      <c r="L403" s="36">
        <f>IFERROR(K403/$R403,0)</f>
        <v>0.5</v>
      </c>
      <c r="M403" s="17">
        <v>114</v>
      </c>
      <c r="N403" s="36">
        <f>IFERROR(M403/$Q403,0)</f>
        <v>0.42857142857142855</v>
      </c>
      <c r="O403" s="17">
        <v>2</v>
      </c>
      <c r="P403" s="36">
        <f>IFERROR(O403/$R403,0)</f>
        <v>0.5</v>
      </c>
      <c r="Q403" s="17">
        <v>266</v>
      </c>
      <c r="R403" s="17">
        <v>4</v>
      </c>
    </row>
    <row r="404" spans="1:18" ht="15.75" customHeight="1" x14ac:dyDescent="0.25">
      <c r="A404" s="37">
        <v>2022</v>
      </c>
      <c r="B404" s="35">
        <v>172030</v>
      </c>
      <c r="C404" s="33" t="str">
        <f>VLOOKUP(B404,procv!$A$2:$D$142,4,FALSE)</f>
        <v>Bico do Papagaio</v>
      </c>
      <c r="D404" s="33" t="s">
        <v>129</v>
      </c>
      <c r="E404" s="17">
        <v>8</v>
      </c>
      <c r="F404" s="36">
        <f>IFERROR(E404/$Q404,0)</f>
        <v>0.17777777777777778</v>
      </c>
      <c r="G404" s="17">
        <v>0</v>
      </c>
      <c r="H404" s="36">
        <f>IFERROR(G404/$R404,0)</f>
        <v>0</v>
      </c>
      <c r="I404" s="17">
        <v>21</v>
      </c>
      <c r="J404" s="36">
        <f>IFERROR(I404/$Q404,0)</f>
        <v>0.46666666666666667</v>
      </c>
      <c r="K404" s="17">
        <v>0</v>
      </c>
      <c r="L404" s="36">
        <f>IFERROR(K404/$R404,0)</f>
        <v>0</v>
      </c>
      <c r="M404" s="17">
        <v>16</v>
      </c>
      <c r="N404" s="36">
        <f>IFERROR(M404/$Q404,0)</f>
        <v>0.35555555555555557</v>
      </c>
      <c r="O404" s="17">
        <v>0</v>
      </c>
      <c r="P404" s="36">
        <f>IFERROR(O404/$R404,0)</f>
        <v>0</v>
      </c>
      <c r="Q404" s="17">
        <v>45</v>
      </c>
      <c r="R404" s="17">
        <v>0</v>
      </c>
    </row>
    <row r="405" spans="1:18" ht="15.75" customHeight="1" x14ac:dyDescent="0.25">
      <c r="A405" s="37">
        <v>2022</v>
      </c>
      <c r="B405" s="35">
        <v>172049</v>
      </c>
      <c r="C405" s="33" t="str">
        <f>VLOOKUP(B405,procv!$A$2:$D$142,4,FALSE)</f>
        <v>Ilha do Bananal</v>
      </c>
      <c r="D405" s="33" t="s">
        <v>130</v>
      </c>
      <c r="E405" s="17">
        <v>57</v>
      </c>
      <c r="F405" s="36">
        <f>IFERROR(E405/$Q405,0)</f>
        <v>0.13734939759036144</v>
      </c>
      <c r="G405" s="17">
        <v>1</v>
      </c>
      <c r="H405" s="36">
        <f>IFERROR(G405/$R405,0)</f>
        <v>0.5</v>
      </c>
      <c r="I405" s="17">
        <v>156</v>
      </c>
      <c r="J405" s="36">
        <f>IFERROR(I405/$Q405,0)</f>
        <v>0.37590361445783133</v>
      </c>
      <c r="K405" s="17">
        <v>1</v>
      </c>
      <c r="L405" s="36">
        <f>IFERROR(K405/$R405,0)</f>
        <v>0.5</v>
      </c>
      <c r="M405" s="17">
        <v>202</v>
      </c>
      <c r="N405" s="36">
        <f>IFERROR(M405/$Q405,0)</f>
        <v>0.48674698795180721</v>
      </c>
      <c r="O405" s="17">
        <v>0</v>
      </c>
      <c r="P405" s="36">
        <f>IFERROR(O405/$R405,0)</f>
        <v>0</v>
      </c>
      <c r="Q405" s="17">
        <v>415</v>
      </c>
      <c r="R405" s="17">
        <v>2</v>
      </c>
    </row>
    <row r="406" spans="1:18" ht="15.75" customHeight="1" x14ac:dyDescent="0.25">
      <c r="A406" s="37">
        <v>2022</v>
      </c>
      <c r="B406" s="35">
        <v>172065</v>
      </c>
      <c r="C406" s="33" t="str">
        <f>VLOOKUP(B406,procv!$A$2:$D$142,4,FALSE)</f>
        <v>Amor Perfeito</v>
      </c>
      <c r="D406" s="33" t="s">
        <v>131</v>
      </c>
      <c r="E406" s="17">
        <v>97</v>
      </c>
      <c r="F406" s="36">
        <f>IFERROR(E406/$Q406,0)</f>
        <v>0.16385135135135134</v>
      </c>
      <c r="G406" s="17">
        <v>0</v>
      </c>
      <c r="H406" s="36">
        <f>IFERROR(G406/$R406,0)</f>
        <v>0</v>
      </c>
      <c r="I406" s="17">
        <v>239</v>
      </c>
      <c r="J406" s="36">
        <f>IFERROR(I406/$Q406,0)</f>
        <v>0.40371621621621623</v>
      </c>
      <c r="K406" s="17">
        <v>2</v>
      </c>
      <c r="L406" s="36">
        <f>IFERROR(K406/$R406,0)</f>
        <v>0.25</v>
      </c>
      <c r="M406" s="17">
        <v>256</v>
      </c>
      <c r="N406" s="36">
        <f>IFERROR(M406/$Q406,0)</f>
        <v>0.43243243243243246</v>
      </c>
      <c r="O406" s="17">
        <v>6</v>
      </c>
      <c r="P406" s="36">
        <f>IFERROR(O406/$R406,0)</f>
        <v>0.75</v>
      </c>
      <c r="Q406" s="17">
        <v>592</v>
      </c>
      <c r="R406" s="17">
        <v>8</v>
      </c>
    </row>
    <row r="407" spans="1:18" ht="15.75" customHeight="1" x14ac:dyDescent="0.25">
      <c r="A407" s="37">
        <v>2022</v>
      </c>
      <c r="B407" s="35">
        <v>172080</v>
      </c>
      <c r="C407" s="33" t="str">
        <f>VLOOKUP(B407,procv!$A$2:$D$142,4,FALSE)</f>
        <v>Bico do Papagaio</v>
      </c>
      <c r="D407" s="33" t="s">
        <v>132</v>
      </c>
      <c r="E407" s="17">
        <v>210</v>
      </c>
      <c r="F407" s="36">
        <f>IFERROR(E407/$Q407,0)</f>
        <v>0.18260869565217391</v>
      </c>
      <c r="G407" s="17">
        <v>1</v>
      </c>
      <c r="H407" s="36">
        <f>IFERROR(G407/$R407,0)</f>
        <v>0.125</v>
      </c>
      <c r="I407" s="17">
        <v>486</v>
      </c>
      <c r="J407" s="36">
        <f>IFERROR(I407/$Q407,0)</f>
        <v>0.4226086956521739</v>
      </c>
      <c r="K407" s="17">
        <v>2</v>
      </c>
      <c r="L407" s="36">
        <f>IFERROR(K407/$R407,0)</f>
        <v>0.25</v>
      </c>
      <c r="M407" s="17">
        <v>454</v>
      </c>
      <c r="N407" s="36">
        <f>IFERROR(M407/$Q407,0)</f>
        <v>0.39478260869565218</v>
      </c>
      <c r="O407" s="17">
        <v>5</v>
      </c>
      <c r="P407" s="36">
        <f>IFERROR(O407/$R407,0)</f>
        <v>0.625</v>
      </c>
      <c r="Q407" s="16">
        <v>1150</v>
      </c>
      <c r="R407" s="17">
        <v>8</v>
      </c>
    </row>
    <row r="408" spans="1:18" ht="15.75" customHeight="1" x14ac:dyDescent="0.25">
      <c r="A408" s="37">
        <v>2022</v>
      </c>
      <c r="B408" s="35">
        <v>172085</v>
      </c>
      <c r="C408" s="33" t="str">
        <f>VLOOKUP(B408,procv!$A$2:$D$142,4,FALSE)</f>
        <v>Ilha do Bananal</v>
      </c>
      <c r="D408" s="33" t="s">
        <v>133</v>
      </c>
      <c r="E408" s="17">
        <v>42</v>
      </c>
      <c r="F408" s="36">
        <f>IFERROR(E408/$Q408,0)</f>
        <v>0.1596958174904943</v>
      </c>
      <c r="G408" s="17">
        <v>0</v>
      </c>
      <c r="H408" s="36">
        <f>IFERROR(G408/$R408,0)</f>
        <v>0</v>
      </c>
      <c r="I408" s="17">
        <v>103</v>
      </c>
      <c r="J408" s="36">
        <f>IFERROR(I408/$Q408,0)</f>
        <v>0.39163498098859317</v>
      </c>
      <c r="K408" s="17">
        <v>0</v>
      </c>
      <c r="L408" s="36">
        <f>IFERROR(K408/$R408,0)</f>
        <v>0</v>
      </c>
      <c r="M408" s="17">
        <v>118</v>
      </c>
      <c r="N408" s="36">
        <f>IFERROR(M408/$Q408,0)</f>
        <v>0.44866920152091255</v>
      </c>
      <c r="O408" s="17">
        <v>0</v>
      </c>
      <c r="P408" s="36">
        <f>IFERROR(O408/$R408,0)</f>
        <v>0</v>
      </c>
      <c r="Q408" s="17">
        <v>263</v>
      </c>
      <c r="R408" s="17">
        <v>0</v>
      </c>
    </row>
    <row r="409" spans="1:18" ht="15.75" customHeight="1" x14ac:dyDescent="0.25">
      <c r="A409" s="37">
        <v>2022</v>
      </c>
      <c r="B409" s="35">
        <v>170825</v>
      </c>
      <c r="C409" s="33" t="str">
        <f>VLOOKUP(B409,procv!$A$2:$D$142,4,FALSE)</f>
        <v>Capim Dourado</v>
      </c>
      <c r="D409" s="33" t="s">
        <v>134</v>
      </c>
      <c r="E409" s="17">
        <v>1</v>
      </c>
      <c r="F409" s="36">
        <f>IFERROR(E409/$Q409,0)</f>
        <v>0.1111111111111111</v>
      </c>
      <c r="G409" s="17">
        <v>0</v>
      </c>
      <c r="H409" s="36">
        <f>IFERROR(G409/$R409,0)</f>
        <v>0</v>
      </c>
      <c r="I409" s="17">
        <v>2</v>
      </c>
      <c r="J409" s="36">
        <f>IFERROR(I409/$Q409,0)</f>
        <v>0.22222222222222221</v>
      </c>
      <c r="K409" s="17">
        <v>1</v>
      </c>
      <c r="L409" s="36">
        <f>IFERROR(K409/$R409,0)</f>
        <v>0.33333333333333331</v>
      </c>
      <c r="M409" s="17">
        <v>6</v>
      </c>
      <c r="N409" s="36">
        <f>IFERROR(M409/$Q409,0)</f>
        <v>0.66666666666666663</v>
      </c>
      <c r="O409" s="17">
        <v>2</v>
      </c>
      <c r="P409" s="36">
        <f>IFERROR(O409/$R409,0)</f>
        <v>0.66666666666666663</v>
      </c>
      <c r="Q409" s="17">
        <v>9</v>
      </c>
      <c r="R409" s="17">
        <v>3</v>
      </c>
    </row>
    <row r="410" spans="1:18" ht="15.75" customHeight="1" x14ac:dyDescent="0.25">
      <c r="A410" s="37">
        <v>2022</v>
      </c>
      <c r="B410" s="35">
        <v>172090</v>
      </c>
      <c r="C410" s="33" t="str">
        <f>VLOOKUP(B410,procv!$A$2:$D$142,4,FALSE)</f>
        <v>Sudeste</v>
      </c>
      <c r="D410" s="33" t="s">
        <v>135</v>
      </c>
      <c r="E410" s="17">
        <v>193</v>
      </c>
      <c r="F410" s="36">
        <f>IFERROR(E410/$Q410,0)</f>
        <v>0.18996062992125984</v>
      </c>
      <c r="G410" s="17">
        <v>1</v>
      </c>
      <c r="H410" s="36">
        <f>IFERROR(G410/$R410,0)</f>
        <v>0.14285714285714285</v>
      </c>
      <c r="I410" s="17">
        <v>421</v>
      </c>
      <c r="J410" s="36">
        <f>IFERROR(I410/$Q410,0)</f>
        <v>0.41437007874015747</v>
      </c>
      <c r="K410" s="17">
        <v>1</v>
      </c>
      <c r="L410" s="36">
        <f>IFERROR(K410/$R410,0)</f>
        <v>0.14285714285714285</v>
      </c>
      <c r="M410" s="17">
        <v>402</v>
      </c>
      <c r="N410" s="36">
        <f>IFERROR(M410/$Q410,0)</f>
        <v>0.3956692913385827</v>
      </c>
      <c r="O410" s="17">
        <v>5</v>
      </c>
      <c r="P410" s="36">
        <f>IFERROR(O410/$R410,0)</f>
        <v>0.7142857142857143</v>
      </c>
      <c r="Q410" s="16">
        <v>1016</v>
      </c>
      <c r="R410" s="17">
        <v>7</v>
      </c>
    </row>
    <row r="411" spans="1:18" ht="15.75" customHeight="1" x14ac:dyDescent="0.25">
      <c r="A411" s="37">
        <v>2022</v>
      </c>
      <c r="B411" s="35">
        <v>172093</v>
      </c>
      <c r="C411" s="33" t="str">
        <f>VLOOKUP(B411,procv!$A$2:$D$142,4,FALSE)</f>
        <v>Sudeste</v>
      </c>
      <c r="D411" s="33" t="s">
        <v>136</v>
      </c>
      <c r="E411" s="17">
        <v>17</v>
      </c>
      <c r="F411" s="36">
        <f>IFERROR(E411/$Q411,0)</f>
        <v>0.1440677966101695</v>
      </c>
      <c r="G411" s="17">
        <v>0</v>
      </c>
      <c r="H411" s="36">
        <f>IFERROR(G411/$R411,0)</f>
        <v>0</v>
      </c>
      <c r="I411" s="17">
        <v>45</v>
      </c>
      <c r="J411" s="36">
        <f>IFERROR(I411/$Q411,0)</f>
        <v>0.38135593220338981</v>
      </c>
      <c r="K411" s="17">
        <v>0</v>
      </c>
      <c r="L411" s="36">
        <f>IFERROR(K411/$R411,0)</f>
        <v>0</v>
      </c>
      <c r="M411" s="17">
        <v>56</v>
      </c>
      <c r="N411" s="36">
        <f>IFERROR(M411/$Q411,0)</f>
        <v>0.47457627118644069</v>
      </c>
      <c r="O411" s="17">
        <v>0</v>
      </c>
      <c r="P411" s="36">
        <f>IFERROR(O411/$R411,0)</f>
        <v>0</v>
      </c>
      <c r="Q411" s="17">
        <v>118</v>
      </c>
      <c r="R411" s="17">
        <v>0</v>
      </c>
    </row>
    <row r="412" spans="1:18" ht="15.75" customHeight="1" x14ac:dyDescent="0.25">
      <c r="A412" s="37">
        <v>2022</v>
      </c>
      <c r="B412" s="35">
        <v>172097</v>
      </c>
      <c r="C412" s="33" t="str">
        <f>VLOOKUP(B412,procv!$A$2:$D$142,4,FALSE)</f>
        <v>Ilha do Bananal</v>
      </c>
      <c r="D412" s="33" t="s">
        <v>137</v>
      </c>
      <c r="E412" s="17">
        <v>42</v>
      </c>
      <c r="F412" s="36">
        <f>IFERROR(E412/$Q412,0)</f>
        <v>0.1640625</v>
      </c>
      <c r="G412" s="17">
        <v>0</v>
      </c>
      <c r="H412" s="36">
        <f>IFERROR(G412/$R412,0)</f>
        <v>0</v>
      </c>
      <c r="I412" s="17">
        <v>98</v>
      </c>
      <c r="J412" s="36">
        <f>IFERROR(I412/$Q412,0)</f>
        <v>0.3828125</v>
      </c>
      <c r="K412" s="17">
        <v>0</v>
      </c>
      <c r="L412" s="36">
        <f>IFERROR(K412/$R412,0)</f>
        <v>0</v>
      </c>
      <c r="M412" s="17">
        <v>116</v>
      </c>
      <c r="N412" s="36">
        <f>IFERROR(M412/$Q412,0)</f>
        <v>0.453125</v>
      </c>
      <c r="O412" s="17">
        <v>1</v>
      </c>
      <c r="P412" s="36">
        <f>IFERROR(O412/$R412,0)</f>
        <v>1</v>
      </c>
      <c r="Q412" s="17">
        <v>256</v>
      </c>
      <c r="R412" s="17">
        <v>1</v>
      </c>
    </row>
    <row r="413" spans="1:18" ht="15.75" customHeight="1" x14ac:dyDescent="0.25">
      <c r="A413" s="37">
        <v>2022</v>
      </c>
      <c r="B413" s="35">
        <v>172110</v>
      </c>
      <c r="C413" s="33" t="str">
        <f>VLOOKUP(B413,procv!$A$2:$D$142,4,FALSE)</f>
        <v>Capim Dourado</v>
      </c>
      <c r="D413" s="33" t="s">
        <v>138</v>
      </c>
      <c r="E413" s="17">
        <v>67</v>
      </c>
      <c r="F413" s="36">
        <f>IFERROR(E413/$Q413,0)</f>
        <v>0.15617715617715619</v>
      </c>
      <c r="G413" s="17">
        <v>3</v>
      </c>
      <c r="H413" s="36">
        <f>IFERROR(G413/$R413,0)</f>
        <v>0.15789473684210525</v>
      </c>
      <c r="I413" s="17">
        <v>196</v>
      </c>
      <c r="J413" s="36">
        <f>IFERROR(I413/$Q413,0)</f>
        <v>0.45687645687645689</v>
      </c>
      <c r="K413" s="17">
        <v>7</v>
      </c>
      <c r="L413" s="36">
        <f>IFERROR(K413/$R413,0)</f>
        <v>0.36842105263157893</v>
      </c>
      <c r="M413" s="17">
        <v>166</v>
      </c>
      <c r="N413" s="36">
        <f>IFERROR(M413/$Q413,0)</f>
        <v>0.38694638694638694</v>
      </c>
      <c r="O413" s="17">
        <v>9</v>
      </c>
      <c r="P413" s="36">
        <f>IFERROR(O413/$R413,0)</f>
        <v>0.47368421052631576</v>
      </c>
      <c r="Q413" s="17">
        <v>429</v>
      </c>
      <c r="R413" s="17">
        <v>19</v>
      </c>
    </row>
    <row r="414" spans="1:18" ht="15.75" customHeight="1" x14ac:dyDescent="0.25">
      <c r="A414" s="37">
        <v>2022</v>
      </c>
      <c r="B414" s="35">
        <v>172120</v>
      </c>
      <c r="C414" s="33" t="str">
        <f>VLOOKUP(B414,procv!$A$2:$D$142,4,FALSE)</f>
        <v>Bico do Papagaio</v>
      </c>
      <c r="D414" s="33" t="s">
        <v>139</v>
      </c>
      <c r="E414" s="17">
        <v>163</v>
      </c>
      <c r="F414" s="36">
        <f>IFERROR(E414/$Q414,0)</f>
        <v>0.17833698030634573</v>
      </c>
      <c r="G414" s="17">
        <v>2</v>
      </c>
      <c r="H414" s="36">
        <f>IFERROR(G414/$R414,0)</f>
        <v>9.5238095238095233E-2</v>
      </c>
      <c r="I414" s="17">
        <v>368</v>
      </c>
      <c r="J414" s="36">
        <f>IFERROR(I414/$Q414,0)</f>
        <v>0.40262582056892782</v>
      </c>
      <c r="K414" s="17">
        <v>12</v>
      </c>
      <c r="L414" s="36">
        <f>IFERROR(K414/$R414,0)</f>
        <v>0.5714285714285714</v>
      </c>
      <c r="M414" s="17">
        <v>383</v>
      </c>
      <c r="N414" s="36">
        <f>IFERROR(M414/$Q414,0)</f>
        <v>0.41903719912472648</v>
      </c>
      <c r="O414" s="17">
        <v>7</v>
      </c>
      <c r="P414" s="36">
        <f>IFERROR(O414/$R414,0)</f>
        <v>0.33333333333333331</v>
      </c>
      <c r="Q414" s="17">
        <v>914</v>
      </c>
      <c r="R414" s="17">
        <v>21</v>
      </c>
    </row>
    <row r="415" spans="1:18" ht="15.75" customHeight="1" x14ac:dyDescent="0.25">
      <c r="A415" s="37">
        <v>2022</v>
      </c>
      <c r="B415" s="35">
        <v>172125</v>
      </c>
      <c r="C415" s="33" t="str">
        <f>VLOOKUP(B415,procv!$A$2:$D$142,4,FALSE)</f>
        <v>Cerrado Tocantins Araguaia</v>
      </c>
      <c r="D415" s="33" t="s">
        <v>140</v>
      </c>
      <c r="E415" s="17">
        <v>47</v>
      </c>
      <c r="F415" s="36">
        <f>IFERROR(E415/$Q415,0)</f>
        <v>0.23499999999999999</v>
      </c>
      <c r="G415" s="17">
        <v>1</v>
      </c>
      <c r="H415" s="36">
        <f>IFERROR(G415/$R415,0)</f>
        <v>0.25</v>
      </c>
      <c r="I415" s="17">
        <v>74</v>
      </c>
      <c r="J415" s="36">
        <f>IFERROR(I415/$Q415,0)</f>
        <v>0.37</v>
      </c>
      <c r="K415" s="17">
        <v>1</v>
      </c>
      <c r="L415" s="36">
        <f>IFERROR(K415/$R415,0)</f>
        <v>0.25</v>
      </c>
      <c r="M415" s="17">
        <v>79</v>
      </c>
      <c r="N415" s="36">
        <f>IFERROR(M415/$Q415,0)</f>
        <v>0.39500000000000002</v>
      </c>
      <c r="O415" s="17">
        <v>2</v>
      </c>
      <c r="P415" s="36">
        <f>IFERROR(O415/$R415,0)</f>
        <v>0.5</v>
      </c>
      <c r="Q415" s="17">
        <v>200</v>
      </c>
      <c r="R415" s="17">
        <v>4</v>
      </c>
    </row>
    <row r="416" spans="1:18" ht="15.75" customHeight="1" x14ac:dyDescent="0.25">
      <c r="A416" s="37">
        <v>2022</v>
      </c>
      <c r="B416" s="35">
        <v>172130</v>
      </c>
      <c r="C416" s="33" t="str">
        <f>VLOOKUP(B416,procv!$A$2:$D$142,4,FALSE)</f>
        <v>Cerrado Tocantins Araguaia</v>
      </c>
      <c r="D416" s="33" t="s">
        <v>141</v>
      </c>
      <c r="E416" s="17">
        <v>25</v>
      </c>
      <c r="F416" s="36">
        <f>IFERROR(E416/$Q416,0)</f>
        <v>0.12755102040816327</v>
      </c>
      <c r="G416" s="17">
        <v>0</v>
      </c>
      <c r="H416" s="36">
        <f>IFERROR(G416/$R416,0)</f>
        <v>0</v>
      </c>
      <c r="I416" s="17">
        <v>88</v>
      </c>
      <c r="J416" s="36">
        <f>IFERROR(I416/$Q416,0)</f>
        <v>0.44897959183673469</v>
      </c>
      <c r="K416" s="17">
        <v>0</v>
      </c>
      <c r="L416" s="36">
        <f>IFERROR(K416/$R416,0)</f>
        <v>0</v>
      </c>
      <c r="M416" s="17">
        <v>83</v>
      </c>
      <c r="N416" s="36">
        <f>IFERROR(M416/$Q416,0)</f>
        <v>0.42346938775510207</v>
      </c>
      <c r="O416" s="17">
        <v>0</v>
      </c>
      <c r="P416" s="36">
        <f>IFERROR(O416/$R416,0)</f>
        <v>0</v>
      </c>
      <c r="Q416" s="17">
        <v>196</v>
      </c>
      <c r="R416" s="17">
        <v>0</v>
      </c>
    </row>
    <row r="417" spans="1:18" ht="15.75" customHeight="1" x14ac:dyDescent="0.25">
      <c r="A417" s="37">
        <v>2022</v>
      </c>
      <c r="B417" s="35">
        <v>172208</v>
      </c>
      <c r="C417" s="33" t="str">
        <f>VLOOKUP(B417,procv!$A$2:$D$142,4,FALSE)</f>
        <v>Médio Norte Araguaia</v>
      </c>
      <c r="D417" s="33" t="s">
        <v>142</v>
      </c>
      <c r="E417" s="17">
        <v>142</v>
      </c>
      <c r="F417" s="36">
        <f>IFERROR(E417/$Q417,0)</f>
        <v>0.17997465145754118</v>
      </c>
      <c r="G417" s="17">
        <v>0</v>
      </c>
      <c r="H417" s="36">
        <f>IFERROR(G417/$R417,0)</f>
        <v>0</v>
      </c>
      <c r="I417" s="17">
        <v>342</v>
      </c>
      <c r="J417" s="36">
        <f>IFERROR(I417/$Q417,0)</f>
        <v>0.43346007604562736</v>
      </c>
      <c r="K417" s="17">
        <v>3</v>
      </c>
      <c r="L417" s="36">
        <f>IFERROR(K417/$R417,0)</f>
        <v>0.5</v>
      </c>
      <c r="M417" s="17">
        <v>305</v>
      </c>
      <c r="N417" s="36">
        <f>IFERROR(M417/$Q417,0)</f>
        <v>0.38656527249683142</v>
      </c>
      <c r="O417" s="17">
        <v>3</v>
      </c>
      <c r="P417" s="36">
        <f>IFERROR(O417/$R417,0)</f>
        <v>0.5</v>
      </c>
      <c r="Q417" s="17">
        <v>789</v>
      </c>
      <c r="R417" s="17">
        <v>6</v>
      </c>
    </row>
    <row r="418" spans="1:18" ht="15.75" customHeight="1" x14ac:dyDescent="0.25">
      <c r="A418" s="37">
        <v>2022</v>
      </c>
      <c r="B418" s="35">
        <v>172210</v>
      </c>
      <c r="C418" s="33" t="str">
        <f>VLOOKUP(B418,procv!$A$2:$D$142,4,FALSE)</f>
        <v>Médio Norte Araguaia</v>
      </c>
      <c r="D418" s="33" t="s">
        <v>143</v>
      </c>
      <c r="E418" s="17">
        <v>104</v>
      </c>
      <c r="F418" s="36">
        <f>IFERROR(E418/$Q418,0)</f>
        <v>0.13299232736572891</v>
      </c>
      <c r="G418" s="17">
        <v>1</v>
      </c>
      <c r="H418" s="36">
        <f>IFERROR(G418/$R418,0)</f>
        <v>5.2631578947368418E-2</v>
      </c>
      <c r="I418" s="17">
        <v>272</v>
      </c>
      <c r="J418" s="36">
        <f>IFERROR(I418/$Q418,0)</f>
        <v>0.34782608695652173</v>
      </c>
      <c r="K418" s="17">
        <v>4</v>
      </c>
      <c r="L418" s="36">
        <f>IFERROR(K418/$R418,0)</f>
        <v>0.21052631578947367</v>
      </c>
      <c r="M418" s="17">
        <v>406</v>
      </c>
      <c r="N418" s="36">
        <f>IFERROR(M418/$Q418,0)</f>
        <v>0.51918158567774941</v>
      </c>
      <c r="O418" s="17">
        <v>14</v>
      </c>
      <c r="P418" s="36">
        <f>IFERROR(O418/$R418,0)</f>
        <v>0.73684210526315785</v>
      </c>
      <c r="Q418" s="17">
        <v>782</v>
      </c>
      <c r="R418" s="17">
        <v>19</v>
      </c>
    </row>
    <row r="419" spans="1:18" ht="15.75" customHeight="1" x14ac:dyDescent="0.25">
      <c r="A419" s="37">
        <v>2021</v>
      </c>
      <c r="B419" s="35">
        <v>170025</v>
      </c>
      <c r="C419" s="34" t="s">
        <v>144</v>
      </c>
      <c r="D419" s="34" t="s">
        <v>5</v>
      </c>
      <c r="E419" s="17">
        <v>33</v>
      </c>
      <c r="F419" s="36">
        <f>IFERROR(E419/$Q419,0)</f>
        <v>0.10122699386503067</v>
      </c>
      <c r="G419" s="17">
        <v>1</v>
      </c>
      <c r="H419" s="36">
        <f>IFERROR(G419/$R419,0)</f>
        <v>1</v>
      </c>
      <c r="I419" s="17">
        <v>146</v>
      </c>
      <c r="J419" s="36">
        <f>IFERROR(I419/$Q419,0)</f>
        <v>0.44785276073619634</v>
      </c>
      <c r="K419" s="17">
        <v>0</v>
      </c>
      <c r="L419" s="36">
        <f>IFERROR(K419/$R419,0)</f>
        <v>0</v>
      </c>
      <c r="M419" s="17">
        <v>147</v>
      </c>
      <c r="N419" s="36">
        <f>IFERROR(M419/$Q419,0)</f>
        <v>0.45092024539877301</v>
      </c>
      <c r="O419" s="17">
        <v>0</v>
      </c>
      <c r="P419" s="36">
        <f>IFERROR(O419/$R419,0)</f>
        <v>0</v>
      </c>
      <c r="Q419" s="17">
        <v>326</v>
      </c>
      <c r="R419" s="17">
        <v>1</v>
      </c>
    </row>
    <row r="420" spans="1:18" ht="15.75" customHeight="1" x14ac:dyDescent="0.25">
      <c r="A420" s="37">
        <v>2021</v>
      </c>
      <c r="B420" s="35">
        <v>170030</v>
      </c>
      <c r="C420" s="34" t="s">
        <v>145</v>
      </c>
      <c r="D420" s="34" t="s">
        <v>6</v>
      </c>
      <c r="E420" s="17">
        <v>16</v>
      </c>
      <c r="F420" s="36">
        <f>IFERROR(E420/$Q420,0)</f>
        <v>0.14678899082568808</v>
      </c>
      <c r="G420" s="17">
        <v>1</v>
      </c>
      <c r="H420" s="36">
        <f>IFERROR(G420/$R420,0)</f>
        <v>0.16666666666666666</v>
      </c>
      <c r="I420" s="17">
        <v>44</v>
      </c>
      <c r="J420" s="36">
        <f>IFERROR(I420/$Q420,0)</f>
        <v>0.40366972477064222</v>
      </c>
      <c r="K420" s="17">
        <v>2</v>
      </c>
      <c r="L420" s="36">
        <f>IFERROR(K420/$R420,0)</f>
        <v>0.33333333333333331</v>
      </c>
      <c r="M420" s="17">
        <v>49</v>
      </c>
      <c r="N420" s="36">
        <f>IFERROR(M420/$Q420,0)</f>
        <v>0.44954128440366975</v>
      </c>
      <c r="O420" s="17">
        <v>3</v>
      </c>
      <c r="P420" s="36">
        <f>IFERROR(O420/$R420,0)</f>
        <v>0.5</v>
      </c>
      <c r="Q420" s="17">
        <v>109</v>
      </c>
      <c r="R420" s="17">
        <v>6</v>
      </c>
    </row>
    <row r="421" spans="1:18" ht="15.75" customHeight="1" x14ac:dyDescent="0.25">
      <c r="A421" s="37">
        <v>2021</v>
      </c>
      <c r="B421" s="35">
        <v>170035</v>
      </c>
      <c r="C421" s="34" t="s">
        <v>146</v>
      </c>
      <c r="D421" s="34" t="s">
        <v>7</v>
      </c>
      <c r="E421" s="17">
        <v>28</v>
      </c>
      <c r="F421" s="36">
        <f>IFERROR(E421/$Q421,0)</f>
        <v>0.11570247933884298</v>
      </c>
      <c r="G421" s="17">
        <v>0</v>
      </c>
      <c r="H421" s="36">
        <f>IFERROR(G421/$R421,0)</f>
        <v>0</v>
      </c>
      <c r="I421" s="17">
        <v>112</v>
      </c>
      <c r="J421" s="36">
        <f>IFERROR(I421/$Q421,0)</f>
        <v>0.46280991735537191</v>
      </c>
      <c r="K421" s="17">
        <v>4</v>
      </c>
      <c r="L421" s="36">
        <f>IFERROR(K421/$R421,0)</f>
        <v>0.8</v>
      </c>
      <c r="M421" s="17">
        <v>102</v>
      </c>
      <c r="N421" s="36">
        <f>IFERROR(M421/$Q421,0)</f>
        <v>0.42148760330578511</v>
      </c>
      <c r="O421" s="17">
        <v>1</v>
      </c>
      <c r="P421" s="36">
        <f>IFERROR(O421/$R421,0)</f>
        <v>0.2</v>
      </c>
      <c r="Q421" s="17">
        <v>242</v>
      </c>
      <c r="R421" s="17">
        <v>5</v>
      </c>
    </row>
    <row r="422" spans="1:18" ht="15.75" customHeight="1" x14ac:dyDescent="0.25">
      <c r="A422" s="37">
        <v>2021</v>
      </c>
      <c r="B422" s="35">
        <v>170040</v>
      </c>
      <c r="C422" s="34" t="s">
        <v>147</v>
      </c>
      <c r="D422" s="34" t="s">
        <v>8</v>
      </c>
      <c r="E422" s="17">
        <v>1</v>
      </c>
      <c r="F422" s="36">
        <f>IFERROR(E422/$Q422,0)</f>
        <v>0.25</v>
      </c>
      <c r="G422" s="17">
        <v>0</v>
      </c>
      <c r="H422" s="36">
        <f>IFERROR(G422/$R422,0)</f>
        <v>0</v>
      </c>
      <c r="I422" s="17">
        <v>1</v>
      </c>
      <c r="J422" s="36">
        <f>IFERROR(I422/$Q422,0)</f>
        <v>0.25</v>
      </c>
      <c r="K422" s="17">
        <v>0</v>
      </c>
      <c r="L422" s="36">
        <f>IFERROR(K422/$R422,0)</f>
        <v>0</v>
      </c>
      <c r="M422" s="17">
        <v>2</v>
      </c>
      <c r="N422" s="36">
        <f>IFERROR(M422/$Q422,0)</f>
        <v>0.5</v>
      </c>
      <c r="O422" s="17">
        <v>1</v>
      </c>
      <c r="P422" s="36">
        <f>IFERROR(O422/$R422,0)</f>
        <v>1</v>
      </c>
      <c r="Q422" s="17">
        <v>4</v>
      </c>
      <c r="R422" s="17">
        <v>1</v>
      </c>
    </row>
    <row r="423" spans="1:18" ht="15.75" customHeight="1" x14ac:dyDescent="0.25">
      <c r="A423" s="37">
        <v>2021</v>
      </c>
      <c r="B423" s="35">
        <v>170070</v>
      </c>
      <c r="C423" s="34" t="s">
        <v>146</v>
      </c>
      <c r="D423" s="34" t="s">
        <v>9</v>
      </c>
      <c r="E423" s="17">
        <v>42</v>
      </c>
      <c r="F423" s="36">
        <f>IFERROR(E423/$Q423,0)</f>
        <v>0.16030534351145037</v>
      </c>
      <c r="G423" s="17">
        <v>0</v>
      </c>
      <c r="H423" s="36">
        <f>IFERROR(G423/$R423,0)</f>
        <v>0</v>
      </c>
      <c r="I423" s="17">
        <v>109</v>
      </c>
      <c r="J423" s="36">
        <f>IFERROR(I423/$Q423,0)</f>
        <v>0.41603053435114506</v>
      </c>
      <c r="K423" s="17">
        <v>0</v>
      </c>
      <c r="L423" s="36">
        <f>IFERROR(K423/$R423,0)</f>
        <v>0</v>
      </c>
      <c r="M423" s="17">
        <v>111</v>
      </c>
      <c r="N423" s="36">
        <f>IFERROR(M423/$Q423,0)</f>
        <v>0.42366412213740456</v>
      </c>
      <c r="O423" s="17">
        <v>3</v>
      </c>
      <c r="P423" s="36">
        <f>IFERROR(O423/$R423,0)</f>
        <v>1</v>
      </c>
      <c r="Q423" s="17">
        <v>262</v>
      </c>
      <c r="R423" s="17">
        <v>3</v>
      </c>
    </row>
    <row r="424" spans="1:18" ht="15.75" customHeight="1" x14ac:dyDescent="0.25">
      <c r="A424" s="37">
        <v>2021</v>
      </c>
      <c r="B424" s="35">
        <v>170100</v>
      </c>
      <c r="C424" s="34" t="s">
        <v>145</v>
      </c>
      <c r="D424" s="34" t="s">
        <v>10</v>
      </c>
      <c r="E424" s="17">
        <v>10</v>
      </c>
      <c r="F424" s="36">
        <f>IFERROR(E424/$Q424,0)</f>
        <v>7.874015748031496E-2</v>
      </c>
      <c r="G424" s="17">
        <v>0</v>
      </c>
      <c r="H424" s="36">
        <f>IFERROR(G424/$R424,0)</f>
        <v>0</v>
      </c>
      <c r="I424" s="17">
        <v>42</v>
      </c>
      <c r="J424" s="36">
        <f>IFERROR(I424/$Q424,0)</f>
        <v>0.33070866141732286</v>
      </c>
      <c r="K424" s="17">
        <v>1</v>
      </c>
      <c r="L424" s="36">
        <f>IFERROR(K424/$R424,0)</f>
        <v>0.33333333333333331</v>
      </c>
      <c r="M424" s="17">
        <v>75</v>
      </c>
      <c r="N424" s="36">
        <f>IFERROR(M424/$Q424,0)</f>
        <v>0.59055118110236215</v>
      </c>
      <c r="O424" s="17">
        <v>2</v>
      </c>
      <c r="P424" s="36">
        <f>IFERROR(O424/$R424,0)</f>
        <v>0.66666666666666663</v>
      </c>
      <c r="Q424" s="17">
        <v>127</v>
      </c>
      <c r="R424" s="17">
        <v>3</v>
      </c>
    </row>
    <row r="425" spans="1:18" ht="15.75" customHeight="1" x14ac:dyDescent="0.25">
      <c r="A425" s="37">
        <v>2021</v>
      </c>
      <c r="B425" s="35">
        <v>170105</v>
      </c>
      <c r="C425" s="34" t="s">
        <v>145</v>
      </c>
      <c r="D425" s="34" t="s">
        <v>11</v>
      </c>
      <c r="E425" s="17">
        <v>10</v>
      </c>
      <c r="F425" s="36">
        <f>IFERROR(E425/$Q425,0)</f>
        <v>0.15873015873015872</v>
      </c>
      <c r="G425" s="17">
        <v>0</v>
      </c>
      <c r="H425" s="36">
        <f>IFERROR(G425/$R425,0)</f>
        <v>0</v>
      </c>
      <c r="I425" s="17">
        <v>26</v>
      </c>
      <c r="J425" s="36">
        <f>IFERROR(I425/$Q425,0)</f>
        <v>0.41269841269841268</v>
      </c>
      <c r="K425" s="17">
        <v>0</v>
      </c>
      <c r="L425" s="36">
        <f>IFERROR(K425/$R425,0)</f>
        <v>0</v>
      </c>
      <c r="M425" s="17">
        <v>27</v>
      </c>
      <c r="N425" s="36">
        <f>IFERROR(M425/$Q425,0)</f>
        <v>0.42857142857142855</v>
      </c>
      <c r="O425" s="17">
        <v>0</v>
      </c>
      <c r="P425" s="36">
        <f>IFERROR(O425/$R425,0)</f>
        <v>0</v>
      </c>
      <c r="Q425" s="17">
        <v>63</v>
      </c>
      <c r="R425" s="17">
        <v>0</v>
      </c>
    </row>
    <row r="426" spans="1:18" ht="15.75" customHeight="1" x14ac:dyDescent="0.25">
      <c r="A426" s="37">
        <v>2021</v>
      </c>
      <c r="B426" s="35">
        <v>170110</v>
      </c>
      <c r="C426" s="34" t="s">
        <v>148</v>
      </c>
      <c r="D426" s="34" t="s">
        <v>12</v>
      </c>
      <c r="E426" s="17">
        <v>9</v>
      </c>
      <c r="F426" s="36">
        <f>IFERROR(E426/$Q426,0)</f>
        <v>6.7164179104477612E-2</v>
      </c>
      <c r="G426" s="17">
        <v>0</v>
      </c>
      <c r="H426" s="36">
        <f>IFERROR(G426/$R426,0)</f>
        <v>0</v>
      </c>
      <c r="I426" s="17">
        <v>51</v>
      </c>
      <c r="J426" s="36">
        <f>IFERROR(I426/$Q426,0)</f>
        <v>0.38059701492537312</v>
      </c>
      <c r="K426" s="17">
        <v>0</v>
      </c>
      <c r="L426" s="36">
        <f>IFERROR(K426/$R426,0)</f>
        <v>0</v>
      </c>
      <c r="M426" s="17">
        <v>74</v>
      </c>
      <c r="N426" s="36">
        <f>IFERROR(M426/$Q426,0)</f>
        <v>0.55223880597014929</v>
      </c>
      <c r="O426" s="17">
        <v>2</v>
      </c>
      <c r="P426" s="36">
        <f>IFERROR(O426/$R426,0)</f>
        <v>1</v>
      </c>
      <c r="Q426" s="17">
        <v>134</v>
      </c>
      <c r="R426" s="17">
        <v>2</v>
      </c>
    </row>
    <row r="427" spans="1:18" ht="15.75" customHeight="1" x14ac:dyDescent="0.25">
      <c r="A427" s="37">
        <v>2021</v>
      </c>
      <c r="B427" s="35">
        <v>170130</v>
      </c>
      <c r="C427" s="34" t="s">
        <v>149</v>
      </c>
      <c r="D427" s="34" t="s">
        <v>13</v>
      </c>
      <c r="E427" s="17">
        <v>34</v>
      </c>
      <c r="F427" s="36">
        <f>IFERROR(E427/$Q427,0)</f>
        <v>0.12363636363636364</v>
      </c>
      <c r="G427" s="17">
        <v>0</v>
      </c>
      <c r="H427" s="36">
        <f>IFERROR(G427/$R427,0)</f>
        <v>0</v>
      </c>
      <c r="I427" s="17">
        <v>100</v>
      </c>
      <c r="J427" s="36">
        <f>IFERROR(I427/$Q427,0)</f>
        <v>0.36363636363636365</v>
      </c>
      <c r="K427" s="17">
        <v>2</v>
      </c>
      <c r="L427" s="36">
        <f>IFERROR(K427/$R427,0)</f>
        <v>1</v>
      </c>
      <c r="M427" s="17">
        <v>141</v>
      </c>
      <c r="N427" s="36">
        <f>IFERROR(M427/$Q427,0)</f>
        <v>0.5127272727272727</v>
      </c>
      <c r="O427" s="17">
        <v>0</v>
      </c>
      <c r="P427" s="36">
        <f>IFERROR(O427/$R427,0)</f>
        <v>0</v>
      </c>
      <c r="Q427" s="17">
        <v>275</v>
      </c>
      <c r="R427" s="17">
        <v>2</v>
      </c>
    </row>
    <row r="428" spans="1:18" ht="15.75" customHeight="1" x14ac:dyDescent="0.25">
      <c r="A428" s="37">
        <v>2021</v>
      </c>
      <c r="B428" s="35">
        <v>170190</v>
      </c>
      <c r="C428" s="34" t="s">
        <v>144</v>
      </c>
      <c r="D428" s="34" t="s">
        <v>14</v>
      </c>
      <c r="E428" s="17">
        <v>28</v>
      </c>
      <c r="F428" s="36">
        <f>IFERROR(E428/$Q428,0)</f>
        <v>0.11336032388663968</v>
      </c>
      <c r="G428" s="17">
        <v>0</v>
      </c>
      <c r="H428" s="36">
        <f>IFERROR(G428/$R428,0)</f>
        <v>0</v>
      </c>
      <c r="I428" s="17">
        <v>112</v>
      </c>
      <c r="J428" s="36">
        <f>IFERROR(I428/$Q428,0)</f>
        <v>0.45344129554655871</v>
      </c>
      <c r="K428" s="17">
        <v>1</v>
      </c>
      <c r="L428" s="36">
        <f>IFERROR(K428/$R428,0)</f>
        <v>0.2</v>
      </c>
      <c r="M428" s="17">
        <v>107</v>
      </c>
      <c r="N428" s="36">
        <f>IFERROR(M428/$Q428,0)</f>
        <v>0.4331983805668016</v>
      </c>
      <c r="O428" s="17">
        <v>4</v>
      </c>
      <c r="P428" s="36">
        <f>IFERROR(O428/$R428,0)</f>
        <v>0.8</v>
      </c>
      <c r="Q428" s="17">
        <v>247</v>
      </c>
      <c r="R428" s="17">
        <v>5</v>
      </c>
    </row>
    <row r="429" spans="1:18" ht="15.75" customHeight="1" x14ac:dyDescent="0.25">
      <c r="A429" s="37">
        <v>2021</v>
      </c>
      <c r="B429" s="35">
        <v>170200</v>
      </c>
      <c r="C429" s="34" t="s">
        <v>146</v>
      </c>
      <c r="D429" s="34" t="s">
        <v>15</v>
      </c>
      <c r="E429" s="17">
        <v>55</v>
      </c>
      <c r="F429" s="36">
        <f>IFERROR(E429/$Q429,0)</f>
        <v>0.10805500982318271</v>
      </c>
      <c r="G429" s="17">
        <v>0</v>
      </c>
      <c r="H429" s="36">
        <f>IFERROR(G429/$R429,0)</f>
        <v>0</v>
      </c>
      <c r="I429" s="17">
        <v>190</v>
      </c>
      <c r="J429" s="36">
        <f>IFERROR(I429/$Q429,0)</f>
        <v>0.37328094302554027</v>
      </c>
      <c r="K429" s="17">
        <v>7</v>
      </c>
      <c r="L429" s="36">
        <f>IFERROR(K429/$R429,0)</f>
        <v>1</v>
      </c>
      <c r="M429" s="17">
        <v>264</v>
      </c>
      <c r="N429" s="36">
        <f>IFERROR(M429/$Q429,0)</f>
        <v>0.51866404715127701</v>
      </c>
      <c r="O429" s="17">
        <v>0</v>
      </c>
      <c r="P429" s="36">
        <f>IFERROR(O429/$R429,0)</f>
        <v>0</v>
      </c>
      <c r="Q429" s="17">
        <v>509</v>
      </c>
      <c r="R429" s="17">
        <v>7</v>
      </c>
    </row>
    <row r="430" spans="1:18" ht="15.75" customHeight="1" x14ac:dyDescent="0.25">
      <c r="A430" s="37">
        <v>2021</v>
      </c>
      <c r="B430" s="35">
        <v>170210</v>
      </c>
      <c r="C430" s="34" t="s">
        <v>149</v>
      </c>
      <c r="D430" s="34" t="s">
        <v>16</v>
      </c>
      <c r="E430" s="17">
        <v>607</v>
      </c>
      <c r="F430" s="36">
        <f>IFERROR(E430/$Q430,0)</f>
        <v>0.12857445456471087</v>
      </c>
      <c r="G430" s="17">
        <v>6</v>
      </c>
      <c r="H430" s="36">
        <f>IFERROR(G430/$R430,0)</f>
        <v>0.10714285714285714</v>
      </c>
      <c r="I430" s="16">
        <v>1811</v>
      </c>
      <c r="J430" s="36">
        <f>IFERROR(I430/$Q430,0)</f>
        <v>0.38360516839652614</v>
      </c>
      <c r="K430" s="17">
        <v>15</v>
      </c>
      <c r="L430" s="36">
        <f>IFERROR(K430/$R430,0)</f>
        <v>0.26785714285714285</v>
      </c>
      <c r="M430" s="16">
        <v>2303</v>
      </c>
      <c r="N430" s="36">
        <f>IFERROR(M430/$Q430,0)</f>
        <v>0.48782037703876296</v>
      </c>
      <c r="O430" s="17">
        <v>35</v>
      </c>
      <c r="P430" s="36">
        <f>IFERROR(O430/$R430,0)</f>
        <v>0.625</v>
      </c>
      <c r="Q430" s="16">
        <v>4721</v>
      </c>
      <c r="R430" s="17">
        <v>56</v>
      </c>
    </row>
    <row r="431" spans="1:18" ht="15.75" customHeight="1" x14ac:dyDescent="0.25">
      <c r="A431" s="37">
        <v>2021</v>
      </c>
      <c r="B431" s="35">
        <v>170215</v>
      </c>
      <c r="C431" s="34" t="s">
        <v>149</v>
      </c>
      <c r="D431" s="34" t="s">
        <v>17</v>
      </c>
      <c r="E431" s="17">
        <v>45</v>
      </c>
      <c r="F431" s="36">
        <f>IFERROR(E431/$Q431,0)</f>
        <v>0.1226158038147139</v>
      </c>
      <c r="G431" s="17">
        <v>0</v>
      </c>
      <c r="H431" s="36">
        <f>IFERROR(G431/$R431,0)</f>
        <v>0</v>
      </c>
      <c r="I431" s="17">
        <v>164</v>
      </c>
      <c r="J431" s="36">
        <f>IFERROR(I431/$Q431,0)</f>
        <v>0.44686648501362397</v>
      </c>
      <c r="K431" s="17">
        <v>1</v>
      </c>
      <c r="L431" s="36">
        <f>IFERROR(K431/$R431,0)</f>
        <v>1</v>
      </c>
      <c r="M431" s="17">
        <v>158</v>
      </c>
      <c r="N431" s="36">
        <f>IFERROR(M431/$Q431,0)</f>
        <v>0.4305177111716621</v>
      </c>
      <c r="O431" s="17">
        <v>0</v>
      </c>
      <c r="P431" s="36">
        <f>IFERROR(O431/$R431,0)</f>
        <v>0</v>
      </c>
      <c r="Q431" s="17">
        <v>367</v>
      </c>
      <c r="R431" s="17">
        <v>1</v>
      </c>
    </row>
    <row r="432" spans="1:18" ht="15.75" customHeight="1" x14ac:dyDescent="0.25">
      <c r="A432" s="37">
        <v>2021</v>
      </c>
      <c r="B432" s="35">
        <v>170220</v>
      </c>
      <c r="C432" s="34" t="s">
        <v>145</v>
      </c>
      <c r="D432" s="34" t="s">
        <v>18</v>
      </c>
      <c r="E432" s="17">
        <v>203</v>
      </c>
      <c r="F432" s="36">
        <f>IFERROR(E432/$Q432,0)</f>
        <v>0.17454858125537404</v>
      </c>
      <c r="G432" s="17">
        <v>3</v>
      </c>
      <c r="H432" s="36">
        <f>IFERROR(G432/$R432,0)</f>
        <v>0.25</v>
      </c>
      <c r="I432" s="17">
        <v>514</v>
      </c>
      <c r="J432" s="36">
        <f>IFERROR(I432/$Q432,0)</f>
        <v>0.44196044711951848</v>
      </c>
      <c r="K432" s="17">
        <v>5</v>
      </c>
      <c r="L432" s="36">
        <f>IFERROR(K432/$R432,0)</f>
        <v>0.41666666666666669</v>
      </c>
      <c r="M432" s="17">
        <v>446</v>
      </c>
      <c r="N432" s="36">
        <f>IFERROR(M432/$Q432,0)</f>
        <v>0.38349097162510748</v>
      </c>
      <c r="O432" s="17">
        <v>4</v>
      </c>
      <c r="P432" s="36">
        <f>IFERROR(O432/$R432,0)</f>
        <v>0.33333333333333331</v>
      </c>
      <c r="Q432" s="16">
        <v>1163</v>
      </c>
      <c r="R432" s="17">
        <v>12</v>
      </c>
    </row>
    <row r="433" spans="1:18" ht="15.75" customHeight="1" x14ac:dyDescent="0.25">
      <c r="A433" s="37">
        <v>2021</v>
      </c>
      <c r="B433" s="35">
        <v>170230</v>
      </c>
      <c r="C433" s="34" t="s">
        <v>150</v>
      </c>
      <c r="D433" s="34" t="s">
        <v>19</v>
      </c>
      <c r="E433" s="17">
        <v>6</v>
      </c>
      <c r="F433" s="36">
        <f>IFERROR(E433/$Q433,0)</f>
        <v>0.13636363636363635</v>
      </c>
      <c r="G433" s="17">
        <v>0</v>
      </c>
      <c r="H433" s="36">
        <f>IFERROR(G433/$R433,0)</f>
        <v>0</v>
      </c>
      <c r="I433" s="17">
        <v>11</v>
      </c>
      <c r="J433" s="36">
        <f>IFERROR(I433/$Q433,0)</f>
        <v>0.25</v>
      </c>
      <c r="K433" s="17">
        <v>0</v>
      </c>
      <c r="L433" s="36">
        <f>IFERROR(K433/$R433,0)</f>
        <v>0</v>
      </c>
      <c r="M433" s="17">
        <v>27</v>
      </c>
      <c r="N433" s="36">
        <f>IFERROR(M433/$Q433,0)</f>
        <v>0.61363636363636365</v>
      </c>
      <c r="O433" s="17">
        <v>2</v>
      </c>
      <c r="P433" s="36">
        <f>IFERROR(O433/$R433,0)</f>
        <v>1</v>
      </c>
      <c r="Q433" s="17">
        <v>44</v>
      </c>
      <c r="R433" s="17">
        <v>2</v>
      </c>
    </row>
    <row r="434" spans="1:18" ht="15.75" customHeight="1" x14ac:dyDescent="0.25">
      <c r="A434" s="37">
        <v>2021</v>
      </c>
      <c r="B434" s="35">
        <v>170240</v>
      </c>
      <c r="C434" s="34" t="s">
        <v>147</v>
      </c>
      <c r="D434" s="34" t="s">
        <v>20</v>
      </c>
      <c r="E434" s="17">
        <v>44</v>
      </c>
      <c r="F434" s="36">
        <f>IFERROR(E434/$Q434,0)</f>
        <v>0.20276497695852536</v>
      </c>
      <c r="G434" s="17">
        <v>1</v>
      </c>
      <c r="H434" s="36">
        <f>IFERROR(G434/$R434,0)</f>
        <v>0.5</v>
      </c>
      <c r="I434" s="17">
        <v>105</v>
      </c>
      <c r="J434" s="36">
        <f>IFERROR(I434/$Q434,0)</f>
        <v>0.4838709677419355</v>
      </c>
      <c r="K434" s="17">
        <v>1</v>
      </c>
      <c r="L434" s="36">
        <f>IFERROR(K434/$R434,0)</f>
        <v>0.5</v>
      </c>
      <c r="M434" s="17">
        <v>68</v>
      </c>
      <c r="N434" s="36">
        <f>IFERROR(M434/$Q434,0)</f>
        <v>0.31336405529953915</v>
      </c>
      <c r="O434" s="17">
        <v>0</v>
      </c>
      <c r="P434" s="36">
        <f>IFERROR(O434/$R434,0)</f>
        <v>0</v>
      </c>
      <c r="Q434" s="17">
        <v>217</v>
      </c>
      <c r="R434" s="17">
        <v>2</v>
      </c>
    </row>
    <row r="435" spans="1:18" ht="15.75" customHeight="1" x14ac:dyDescent="0.25">
      <c r="A435" s="37">
        <v>2021</v>
      </c>
      <c r="B435" s="35">
        <v>170255</v>
      </c>
      <c r="C435" s="34" t="s">
        <v>145</v>
      </c>
      <c r="D435" s="34" t="s">
        <v>21</v>
      </c>
      <c r="E435" s="17">
        <v>46</v>
      </c>
      <c r="F435" s="36">
        <f>IFERROR(E435/$Q435,0)</f>
        <v>0.10747663551401869</v>
      </c>
      <c r="G435" s="17">
        <v>1</v>
      </c>
      <c r="H435" s="36">
        <f>IFERROR(G435/$R435,0)</f>
        <v>0.2</v>
      </c>
      <c r="I435" s="17">
        <v>182</v>
      </c>
      <c r="J435" s="36">
        <f>IFERROR(I435/$Q435,0)</f>
        <v>0.42523364485981308</v>
      </c>
      <c r="K435" s="17">
        <v>2</v>
      </c>
      <c r="L435" s="36">
        <f>IFERROR(K435/$R435,0)</f>
        <v>0.4</v>
      </c>
      <c r="M435" s="17">
        <v>200</v>
      </c>
      <c r="N435" s="36">
        <f>IFERROR(M435/$Q435,0)</f>
        <v>0.46728971962616822</v>
      </c>
      <c r="O435" s="17">
        <v>2</v>
      </c>
      <c r="P435" s="36">
        <f>IFERROR(O435/$R435,0)</f>
        <v>0.4</v>
      </c>
      <c r="Q435" s="17">
        <v>428</v>
      </c>
      <c r="R435" s="17">
        <v>5</v>
      </c>
    </row>
    <row r="436" spans="1:18" ht="15.75" customHeight="1" x14ac:dyDescent="0.25">
      <c r="A436" s="37">
        <v>2021</v>
      </c>
      <c r="B436" s="35">
        <v>170270</v>
      </c>
      <c r="C436" s="34" t="s">
        <v>147</v>
      </c>
      <c r="D436" s="34" t="s">
        <v>22</v>
      </c>
      <c r="E436" s="17">
        <v>0</v>
      </c>
      <c r="F436" s="36">
        <f>IFERROR(E436/$Q436,0)</f>
        <v>0</v>
      </c>
      <c r="G436" s="17">
        <v>0</v>
      </c>
      <c r="H436" s="36">
        <f>IFERROR(G436/$R436,0)</f>
        <v>0</v>
      </c>
      <c r="I436" s="17">
        <v>1</v>
      </c>
      <c r="J436" s="36">
        <f>IFERROR(I436/$Q436,0)</f>
        <v>0.25</v>
      </c>
      <c r="K436" s="17">
        <v>0</v>
      </c>
      <c r="L436" s="36">
        <f>IFERROR(K436/$R436,0)</f>
        <v>0</v>
      </c>
      <c r="M436" s="17">
        <v>3</v>
      </c>
      <c r="N436" s="36">
        <f>IFERROR(M436/$Q436,0)</f>
        <v>0.75</v>
      </c>
      <c r="O436" s="17">
        <v>1</v>
      </c>
      <c r="P436" s="36">
        <f>IFERROR(O436/$R436,0)</f>
        <v>1</v>
      </c>
      <c r="Q436" s="17">
        <v>4</v>
      </c>
      <c r="R436" s="17">
        <v>1</v>
      </c>
    </row>
    <row r="437" spans="1:18" ht="15.75" customHeight="1" x14ac:dyDescent="0.25">
      <c r="A437" s="37">
        <v>2021</v>
      </c>
      <c r="B437" s="35">
        <v>170290</v>
      </c>
      <c r="C437" s="34" t="s">
        <v>145</v>
      </c>
      <c r="D437" s="34" t="s">
        <v>23</v>
      </c>
      <c r="E437" s="17">
        <v>20</v>
      </c>
      <c r="F437" s="36">
        <f>IFERROR(E437/$Q437,0)</f>
        <v>0.12903225806451613</v>
      </c>
      <c r="G437" s="17">
        <v>1</v>
      </c>
      <c r="H437" s="36">
        <f>IFERROR(G437/$R437,0)</f>
        <v>0.1111111111111111</v>
      </c>
      <c r="I437" s="17">
        <v>63</v>
      </c>
      <c r="J437" s="36">
        <f>IFERROR(I437/$Q437,0)</f>
        <v>0.40645161290322579</v>
      </c>
      <c r="K437" s="17">
        <v>3</v>
      </c>
      <c r="L437" s="36">
        <f>IFERROR(K437/$R437,0)</f>
        <v>0.33333333333333331</v>
      </c>
      <c r="M437" s="17">
        <v>72</v>
      </c>
      <c r="N437" s="36">
        <f>IFERROR(M437/$Q437,0)</f>
        <v>0.46451612903225808</v>
      </c>
      <c r="O437" s="17">
        <v>5</v>
      </c>
      <c r="P437" s="36">
        <f>IFERROR(O437/$R437,0)</f>
        <v>0.55555555555555558</v>
      </c>
      <c r="Q437" s="17">
        <v>155</v>
      </c>
      <c r="R437" s="17">
        <v>9</v>
      </c>
    </row>
    <row r="438" spans="1:18" ht="15.75" customHeight="1" x14ac:dyDescent="0.25">
      <c r="A438" s="37">
        <v>2021</v>
      </c>
      <c r="B438" s="35">
        <v>170300</v>
      </c>
      <c r="C438" s="34" t="s">
        <v>149</v>
      </c>
      <c r="D438" s="34" t="s">
        <v>24</v>
      </c>
      <c r="E438" s="17">
        <v>43</v>
      </c>
      <c r="F438" s="36">
        <f>IFERROR(E438/$Q438,0)</f>
        <v>0.17695473251028807</v>
      </c>
      <c r="G438" s="17">
        <v>1</v>
      </c>
      <c r="H438" s="36">
        <f>IFERROR(G438/$R438,0)</f>
        <v>0.16666666666666666</v>
      </c>
      <c r="I438" s="17">
        <v>123</v>
      </c>
      <c r="J438" s="36">
        <f>IFERROR(I438/$Q438,0)</f>
        <v>0.50617283950617287</v>
      </c>
      <c r="K438" s="17">
        <v>5</v>
      </c>
      <c r="L438" s="36">
        <f>IFERROR(K438/$R438,0)</f>
        <v>0.83333333333333337</v>
      </c>
      <c r="M438" s="17">
        <v>77</v>
      </c>
      <c r="N438" s="36">
        <f>IFERROR(M438/$Q438,0)</f>
        <v>0.3168724279835391</v>
      </c>
      <c r="O438" s="17">
        <v>0</v>
      </c>
      <c r="P438" s="36">
        <f>IFERROR(O438/$R438,0)</f>
        <v>0</v>
      </c>
      <c r="Q438" s="17">
        <v>243</v>
      </c>
      <c r="R438" s="17">
        <v>6</v>
      </c>
    </row>
    <row r="439" spans="1:18" ht="15.75" customHeight="1" x14ac:dyDescent="0.25">
      <c r="A439" s="37">
        <v>2021</v>
      </c>
      <c r="B439" s="35">
        <v>170305</v>
      </c>
      <c r="C439" s="34" t="s">
        <v>150</v>
      </c>
      <c r="D439" s="34" t="s">
        <v>25</v>
      </c>
      <c r="E439" s="17">
        <v>1</v>
      </c>
      <c r="F439" s="36">
        <f>IFERROR(E439/$Q439,0)</f>
        <v>0.14285714285714285</v>
      </c>
      <c r="G439" s="17">
        <v>0</v>
      </c>
      <c r="H439" s="36">
        <f>IFERROR(G439/$R439,0)</f>
        <v>0</v>
      </c>
      <c r="I439" s="17">
        <v>1</v>
      </c>
      <c r="J439" s="36">
        <f>IFERROR(I439/$Q439,0)</f>
        <v>0.14285714285714285</v>
      </c>
      <c r="K439" s="17">
        <v>0</v>
      </c>
      <c r="L439" s="36">
        <f>IFERROR(K439/$R439,0)</f>
        <v>0</v>
      </c>
      <c r="M439" s="17">
        <v>5</v>
      </c>
      <c r="N439" s="36">
        <f>IFERROR(M439/$Q439,0)</f>
        <v>0.7142857142857143</v>
      </c>
      <c r="O439" s="17">
        <v>0</v>
      </c>
      <c r="P439" s="36">
        <f>IFERROR(O439/$R439,0)</f>
        <v>0</v>
      </c>
      <c r="Q439" s="17">
        <v>7</v>
      </c>
      <c r="R439" s="17">
        <v>0</v>
      </c>
    </row>
    <row r="440" spans="1:18" ht="15.75" customHeight="1" x14ac:dyDescent="0.25">
      <c r="A440" s="37">
        <v>2021</v>
      </c>
      <c r="B440" s="35">
        <v>170307</v>
      </c>
      <c r="C440" s="34" t="s">
        <v>149</v>
      </c>
      <c r="D440" s="34" t="s">
        <v>26</v>
      </c>
      <c r="E440" s="17">
        <v>22</v>
      </c>
      <c r="F440" s="36">
        <f>IFERROR(E440/$Q440,0)</f>
        <v>0.14864864864864866</v>
      </c>
      <c r="G440" s="17">
        <v>1</v>
      </c>
      <c r="H440" s="36">
        <f>IFERROR(G440/$R440,0)</f>
        <v>0.33333333333333331</v>
      </c>
      <c r="I440" s="17">
        <v>51</v>
      </c>
      <c r="J440" s="36">
        <f>IFERROR(I440/$Q440,0)</f>
        <v>0.34459459459459457</v>
      </c>
      <c r="K440" s="17">
        <v>1</v>
      </c>
      <c r="L440" s="36">
        <f>IFERROR(K440/$R440,0)</f>
        <v>0.33333333333333331</v>
      </c>
      <c r="M440" s="17">
        <v>75</v>
      </c>
      <c r="N440" s="36">
        <f>IFERROR(M440/$Q440,0)</f>
        <v>0.5067567567567568</v>
      </c>
      <c r="O440" s="17">
        <v>1</v>
      </c>
      <c r="P440" s="36">
        <f>IFERROR(O440/$R440,0)</f>
        <v>0.33333333333333331</v>
      </c>
      <c r="Q440" s="17">
        <v>148</v>
      </c>
      <c r="R440" s="17">
        <v>3</v>
      </c>
    </row>
    <row r="441" spans="1:18" ht="15.75" customHeight="1" x14ac:dyDescent="0.25">
      <c r="A441" s="37">
        <v>2021</v>
      </c>
      <c r="B441" s="35">
        <v>170310</v>
      </c>
      <c r="C441" s="34" t="s">
        <v>144</v>
      </c>
      <c r="D441" s="34" t="s">
        <v>27</v>
      </c>
      <c r="E441" s="17">
        <v>1</v>
      </c>
      <c r="F441" s="36">
        <f>IFERROR(E441/$Q441,0)</f>
        <v>7.6923076923076927E-2</v>
      </c>
      <c r="G441" s="17">
        <v>0</v>
      </c>
      <c r="H441" s="36">
        <f>IFERROR(G441/$R441,0)</f>
        <v>0</v>
      </c>
      <c r="I441" s="17">
        <v>4</v>
      </c>
      <c r="J441" s="36">
        <f>IFERROR(I441/$Q441,0)</f>
        <v>0.30769230769230771</v>
      </c>
      <c r="K441" s="17">
        <v>0</v>
      </c>
      <c r="L441" s="36">
        <f>IFERROR(K441/$R441,0)</f>
        <v>0</v>
      </c>
      <c r="M441" s="17">
        <v>8</v>
      </c>
      <c r="N441" s="36">
        <f>IFERROR(M441/$Q441,0)</f>
        <v>0.61538461538461542</v>
      </c>
      <c r="O441" s="17">
        <v>0</v>
      </c>
      <c r="P441" s="36">
        <f>IFERROR(O441/$R441,0)</f>
        <v>0</v>
      </c>
      <c r="Q441" s="17">
        <v>13</v>
      </c>
      <c r="R441" s="17">
        <v>0</v>
      </c>
    </row>
    <row r="442" spans="1:18" ht="15.75" customHeight="1" x14ac:dyDescent="0.25">
      <c r="A442" s="37">
        <v>2021</v>
      </c>
      <c r="B442" s="35">
        <v>170320</v>
      </c>
      <c r="C442" s="34" t="s">
        <v>150</v>
      </c>
      <c r="D442" s="34" t="s">
        <v>28</v>
      </c>
      <c r="E442" s="17">
        <v>0</v>
      </c>
      <c r="F442" s="36">
        <f>IFERROR(E442/$Q442,0)</f>
        <v>0</v>
      </c>
      <c r="G442" s="17">
        <v>0</v>
      </c>
      <c r="H442" s="36">
        <f>IFERROR(G442/$R442,0)</f>
        <v>0</v>
      </c>
      <c r="I442" s="17">
        <v>0</v>
      </c>
      <c r="J442" s="36">
        <f>IFERROR(I442/$Q442,0)</f>
        <v>0</v>
      </c>
      <c r="K442" s="17">
        <v>0</v>
      </c>
      <c r="L442" s="36">
        <f>IFERROR(K442/$R442,0)</f>
        <v>0</v>
      </c>
      <c r="M442" s="17">
        <v>2</v>
      </c>
      <c r="N442" s="36">
        <f>IFERROR(M442/$Q442,0)</f>
        <v>1</v>
      </c>
      <c r="O442" s="17">
        <v>0</v>
      </c>
      <c r="P442" s="36">
        <f>IFERROR(O442/$R442,0)</f>
        <v>0</v>
      </c>
      <c r="Q442" s="17">
        <v>2</v>
      </c>
      <c r="R442" s="17">
        <v>0</v>
      </c>
    </row>
    <row r="443" spans="1:18" ht="15.75" customHeight="1" x14ac:dyDescent="0.25">
      <c r="A443" s="37">
        <v>2021</v>
      </c>
      <c r="B443" s="35">
        <v>170330</v>
      </c>
      <c r="C443" s="34" t="s">
        <v>150</v>
      </c>
      <c r="D443" s="34" t="s">
        <v>29</v>
      </c>
      <c r="E443" s="17">
        <v>5</v>
      </c>
      <c r="F443" s="36">
        <f>IFERROR(E443/$Q443,0)</f>
        <v>0.10204081632653061</v>
      </c>
      <c r="G443" s="17">
        <v>0</v>
      </c>
      <c r="H443" s="36">
        <f>IFERROR(G443/$R443,0)</f>
        <v>0</v>
      </c>
      <c r="I443" s="17">
        <v>30</v>
      </c>
      <c r="J443" s="36">
        <f>IFERROR(I443/$Q443,0)</f>
        <v>0.61224489795918369</v>
      </c>
      <c r="K443" s="17">
        <v>0</v>
      </c>
      <c r="L443" s="36">
        <f>IFERROR(K443/$R443,0)</f>
        <v>0</v>
      </c>
      <c r="M443" s="17">
        <v>14</v>
      </c>
      <c r="N443" s="36">
        <f>IFERROR(M443/$Q443,0)</f>
        <v>0.2857142857142857</v>
      </c>
      <c r="O443" s="17">
        <v>2</v>
      </c>
      <c r="P443" s="36">
        <f>IFERROR(O443/$R443,0)</f>
        <v>1</v>
      </c>
      <c r="Q443" s="17">
        <v>49</v>
      </c>
      <c r="R443" s="17">
        <v>2</v>
      </c>
    </row>
    <row r="444" spans="1:18" ht="15.75" customHeight="1" x14ac:dyDescent="0.25">
      <c r="A444" s="37">
        <v>2021</v>
      </c>
      <c r="B444" s="35">
        <v>170360</v>
      </c>
      <c r="C444" s="34" t="s">
        <v>150</v>
      </c>
      <c r="D444" s="34" t="s">
        <v>30</v>
      </c>
      <c r="E444" s="17">
        <v>8</v>
      </c>
      <c r="F444" s="36">
        <f>IFERROR(E444/$Q444,0)</f>
        <v>0.16666666666666666</v>
      </c>
      <c r="G444" s="17">
        <v>0</v>
      </c>
      <c r="H444" s="36">
        <f>IFERROR(G444/$R444,0)</f>
        <v>0</v>
      </c>
      <c r="I444" s="17">
        <v>19</v>
      </c>
      <c r="J444" s="36">
        <f>IFERROR(I444/$Q444,0)</f>
        <v>0.39583333333333331</v>
      </c>
      <c r="K444" s="17">
        <v>1</v>
      </c>
      <c r="L444" s="36">
        <f>IFERROR(K444/$R444,0)</f>
        <v>1</v>
      </c>
      <c r="M444" s="17">
        <v>21</v>
      </c>
      <c r="N444" s="36">
        <f>IFERROR(M444/$Q444,0)</f>
        <v>0.4375</v>
      </c>
      <c r="O444" s="17">
        <v>0</v>
      </c>
      <c r="P444" s="36">
        <f>IFERROR(O444/$R444,0)</f>
        <v>0</v>
      </c>
      <c r="Q444" s="17">
        <v>48</v>
      </c>
      <c r="R444" s="17">
        <v>1</v>
      </c>
    </row>
    <row r="445" spans="1:18" ht="15.75" customHeight="1" x14ac:dyDescent="0.25">
      <c r="A445" s="37">
        <v>2021</v>
      </c>
      <c r="B445" s="35">
        <v>170370</v>
      </c>
      <c r="C445" s="34" t="s">
        <v>151</v>
      </c>
      <c r="D445" s="34" t="s">
        <v>31</v>
      </c>
      <c r="E445" s="17">
        <v>2</v>
      </c>
      <c r="F445" s="36">
        <f>IFERROR(E445/$Q445,0)</f>
        <v>7.1428571428571425E-2</v>
      </c>
      <c r="G445" s="17">
        <v>0</v>
      </c>
      <c r="H445" s="36">
        <f>IFERROR(G445/$R445,0)</f>
        <v>0</v>
      </c>
      <c r="I445" s="17">
        <v>13</v>
      </c>
      <c r="J445" s="36">
        <f>IFERROR(I445/$Q445,0)</f>
        <v>0.4642857142857143</v>
      </c>
      <c r="K445" s="17">
        <v>1</v>
      </c>
      <c r="L445" s="36">
        <f>IFERROR(K445/$R445,0)</f>
        <v>1</v>
      </c>
      <c r="M445" s="17">
        <v>13</v>
      </c>
      <c r="N445" s="36">
        <f>IFERROR(M445/$Q445,0)</f>
        <v>0.4642857142857143</v>
      </c>
      <c r="O445" s="17">
        <v>0</v>
      </c>
      <c r="P445" s="36">
        <f>IFERROR(O445/$R445,0)</f>
        <v>0</v>
      </c>
      <c r="Q445" s="17">
        <v>28</v>
      </c>
      <c r="R445" s="17">
        <v>1</v>
      </c>
    </row>
    <row r="446" spans="1:18" ht="15.75" customHeight="1" x14ac:dyDescent="0.25">
      <c r="A446" s="37">
        <v>2021</v>
      </c>
      <c r="B446" s="35">
        <v>170380</v>
      </c>
      <c r="C446" s="34" t="s">
        <v>145</v>
      </c>
      <c r="D446" s="34" t="s">
        <v>32</v>
      </c>
      <c r="E446" s="17">
        <v>20</v>
      </c>
      <c r="F446" s="36">
        <f>IFERROR(E446/$Q446,0)</f>
        <v>9.7087378640776698E-2</v>
      </c>
      <c r="G446" s="17">
        <v>0</v>
      </c>
      <c r="H446" s="36">
        <f>IFERROR(G446/$R446,0)</f>
        <v>0</v>
      </c>
      <c r="I446" s="17">
        <v>96</v>
      </c>
      <c r="J446" s="36">
        <f>IFERROR(I446/$Q446,0)</f>
        <v>0.46601941747572817</v>
      </c>
      <c r="K446" s="17">
        <v>4</v>
      </c>
      <c r="L446" s="36">
        <f>IFERROR(K446/$R446,0)</f>
        <v>0.8</v>
      </c>
      <c r="M446" s="17">
        <v>90</v>
      </c>
      <c r="N446" s="36">
        <f>IFERROR(M446/$Q446,0)</f>
        <v>0.43689320388349512</v>
      </c>
      <c r="O446" s="17">
        <v>1</v>
      </c>
      <c r="P446" s="36">
        <f>IFERROR(O446/$R446,0)</f>
        <v>0.2</v>
      </c>
      <c r="Q446" s="17">
        <v>206</v>
      </c>
      <c r="R446" s="17">
        <v>5</v>
      </c>
    </row>
    <row r="447" spans="1:18" ht="15.75" customHeight="1" x14ac:dyDescent="0.25">
      <c r="A447" s="37">
        <v>2021</v>
      </c>
      <c r="B447" s="35">
        <v>170382</v>
      </c>
      <c r="C447" s="34" t="s">
        <v>145</v>
      </c>
      <c r="D447" s="34" t="s">
        <v>33</v>
      </c>
      <c r="E447" s="17">
        <v>0</v>
      </c>
      <c r="F447" s="36">
        <f>IFERROR(E447/$Q447,0)</f>
        <v>0</v>
      </c>
      <c r="G447" s="17">
        <v>0</v>
      </c>
      <c r="H447" s="36">
        <f>IFERROR(G447/$R447,0)</f>
        <v>0</v>
      </c>
      <c r="I447" s="17">
        <v>1</v>
      </c>
      <c r="J447" s="36">
        <f>IFERROR(I447/$Q447,0)</f>
        <v>1</v>
      </c>
      <c r="K447" s="17">
        <v>1</v>
      </c>
      <c r="L447" s="36">
        <f>IFERROR(K447/$R447,0)</f>
        <v>1</v>
      </c>
      <c r="M447" s="17">
        <v>0</v>
      </c>
      <c r="N447" s="36">
        <f>IFERROR(M447/$Q447,0)</f>
        <v>0</v>
      </c>
      <c r="O447" s="17">
        <v>0</v>
      </c>
      <c r="P447" s="36">
        <f>IFERROR(O447/$R447,0)</f>
        <v>0</v>
      </c>
      <c r="Q447" s="17">
        <v>1</v>
      </c>
      <c r="R447" s="17">
        <v>1</v>
      </c>
    </row>
    <row r="448" spans="1:18" ht="15.75" customHeight="1" x14ac:dyDescent="0.25">
      <c r="A448" s="37">
        <v>2021</v>
      </c>
      <c r="B448" s="35">
        <v>170384</v>
      </c>
      <c r="C448" s="34" t="s">
        <v>149</v>
      </c>
      <c r="D448" s="34" t="s">
        <v>34</v>
      </c>
      <c r="E448" s="17">
        <v>38</v>
      </c>
      <c r="F448" s="36">
        <f>IFERROR(E448/$Q448,0)</f>
        <v>0.16170212765957448</v>
      </c>
      <c r="G448" s="17">
        <v>1</v>
      </c>
      <c r="H448" s="36">
        <f>IFERROR(G448/$R448,0)</f>
        <v>0.25</v>
      </c>
      <c r="I448" s="17">
        <v>91</v>
      </c>
      <c r="J448" s="36">
        <f>IFERROR(I448/$Q448,0)</f>
        <v>0.38723404255319149</v>
      </c>
      <c r="K448" s="17">
        <v>1</v>
      </c>
      <c r="L448" s="36">
        <f>IFERROR(K448/$R448,0)</f>
        <v>0.25</v>
      </c>
      <c r="M448" s="17">
        <v>106</v>
      </c>
      <c r="N448" s="36">
        <f>IFERROR(M448/$Q448,0)</f>
        <v>0.45106382978723403</v>
      </c>
      <c r="O448" s="17">
        <v>2</v>
      </c>
      <c r="P448" s="36">
        <f>IFERROR(O448/$R448,0)</f>
        <v>0.5</v>
      </c>
      <c r="Q448" s="17">
        <v>235</v>
      </c>
      <c r="R448" s="17">
        <v>4</v>
      </c>
    </row>
    <row r="449" spans="1:18" ht="15.75" customHeight="1" x14ac:dyDescent="0.25">
      <c r="A449" s="37">
        <v>2021</v>
      </c>
      <c r="B449" s="35">
        <v>170386</v>
      </c>
      <c r="C449" s="34" t="s">
        <v>146</v>
      </c>
      <c r="D449" s="34" t="s">
        <v>35</v>
      </c>
      <c r="E449" s="17">
        <v>13</v>
      </c>
      <c r="F449" s="36">
        <f>IFERROR(E449/$Q449,0)</f>
        <v>0.11504424778761062</v>
      </c>
      <c r="G449" s="17">
        <v>0</v>
      </c>
      <c r="H449" s="36">
        <f>IFERROR(G449/$R449,0)</f>
        <v>0</v>
      </c>
      <c r="I449" s="17">
        <v>47</v>
      </c>
      <c r="J449" s="36">
        <f>IFERROR(I449/$Q449,0)</f>
        <v>0.41592920353982299</v>
      </c>
      <c r="K449" s="17">
        <v>1</v>
      </c>
      <c r="L449" s="36">
        <f>IFERROR(K449/$R449,0)</f>
        <v>0.5</v>
      </c>
      <c r="M449" s="17">
        <v>53</v>
      </c>
      <c r="N449" s="36">
        <f>IFERROR(M449/$Q449,0)</f>
        <v>0.46902654867256638</v>
      </c>
      <c r="O449" s="17">
        <v>1</v>
      </c>
      <c r="P449" s="36">
        <f>IFERROR(O449/$R449,0)</f>
        <v>0.5</v>
      </c>
      <c r="Q449" s="17">
        <v>113</v>
      </c>
      <c r="R449" s="17">
        <v>2</v>
      </c>
    </row>
    <row r="450" spans="1:18" ht="15.75" customHeight="1" x14ac:dyDescent="0.25">
      <c r="A450" s="37">
        <v>2021</v>
      </c>
      <c r="B450" s="35">
        <v>170388</v>
      </c>
      <c r="C450" s="34" t="s">
        <v>149</v>
      </c>
      <c r="D450" s="34" t="s">
        <v>36</v>
      </c>
      <c r="E450" s="17">
        <v>14</v>
      </c>
      <c r="F450" s="36">
        <f>IFERROR(E450/$Q450,0)</f>
        <v>7.4468085106382975E-2</v>
      </c>
      <c r="G450" s="17">
        <v>1</v>
      </c>
      <c r="H450" s="36">
        <f>IFERROR(G450/$R450,0)</f>
        <v>0.5</v>
      </c>
      <c r="I450" s="17">
        <v>76</v>
      </c>
      <c r="J450" s="36">
        <f>IFERROR(I450/$Q450,0)</f>
        <v>0.40425531914893614</v>
      </c>
      <c r="K450" s="17">
        <v>0</v>
      </c>
      <c r="L450" s="36">
        <f>IFERROR(K450/$R450,0)</f>
        <v>0</v>
      </c>
      <c r="M450" s="17">
        <v>98</v>
      </c>
      <c r="N450" s="36">
        <f>IFERROR(M450/$Q450,0)</f>
        <v>0.52127659574468088</v>
      </c>
      <c r="O450" s="17">
        <v>1</v>
      </c>
      <c r="P450" s="36">
        <f>IFERROR(O450/$R450,0)</f>
        <v>0.5</v>
      </c>
      <c r="Q450" s="17">
        <v>188</v>
      </c>
      <c r="R450" s="17">
        <v>2</v>
      </c>
    </row>
    <row r="451" spans="1:18" ht="15.75" customHeight="1" x14ac:dyDescent="0.25">
      <c r="A451" s="37">
        <v>2021</v>
      </c>
      <c r="B451" s="35">
        <v>170389</v>
      </c>
      <c r="C451" s="34" t="s">
        <v>145</v>
      </c>
      <c r="D451" s="34" t="s">
        <v>37</v>
      </c>
      <c r="E451" s="17">
        <v>2</v>
      </c>
      <c r="F451" s="36">
        <f>IFERROR(E451/$Q451,0)</f>
        <v>0.10526315789473684</v>
      </c>
      <c r="G451" s="17">
        <v>0</v>
      </c>
      <c r="H451" s="36">
        <f>IFERROR(G451/$R451,0)</f>
        <v>0</v>
      </c>
      <c r="I451" s="17">
        <v>11</v>
      </c>
      <c r="J451" s="36">
        <f>IFERROR(I451/$Q451,0)</f>
        <v>0.57894736842105265</v>
      </c>
      <c r="K451" s="17">
        <v>0</v>
      </c>
      <c r="L451" s="36">
        <f>IFERROR(K451/$R451,0)</f>
        <v>0</v>
      </c>
      <c r="M451" s="17">
        <v>6</v>
      </c>
      <c r="N451" s="36">
        <f>IFERROR(M451/$Q451,0)</f>
        <v>0.31578947368421051</v>
      </c>
      <c r="O451" s="17">
        <v>0</v>
      </c>
      <c r="P451" s="36">
        <f>IFERROR(O451/$R451,0)</f>
        <v>0</v>
      </c>
      <c r="Q451" s="17">
        <v>19</v>
      </c>
      <c r="R451" s="17">
        <v>0</v>
      </c>
    </row>
    <row r="452" spans="1:18" ht="15.75" customHeight="1" x14ac:dyDescent="0.25">
      <c r="A452" s="37">
        <v>2021</v>
      </c>
      <c r="B452" s="35">
        <v>170390</v>
      </c>
      <c r="C452" s="34" t="s">
        <v>144</v>
      </c>
      <c r="D452" s="34" t="s">
        <v>38</v>
      </c>
      <c r="E452" s="17">
        <v>8</v>
      </c>
      <c r="F452" s="36">
        <f>IFERROR(E452/$Q452,0)</f>
        <v>0.20512820512820512</v>
      </c>
      <c r="G452" s="17">
        <v>0</v>
      </c>
      <c r="H452" s="36">
        <f>IFERROR(G452/$R452,0)</f>
        <v>0</v>
      </c>
      <c r="I452" s="17">
        <v>17</v>
      </c>
      <c r="J452" s="36">
        <f>IFERROR(I452/$Q452,0)</f>
        <v>0.4358974358974359</v>
      </c>
      <c r="K452" s="17">
        <v>0</v>
      </c>
      <c r="L452" s="36">
        <f>IFERROR(K452/$R452,0)</f>
        <v>0</v>
      </c>
      <c r="M452" s="17">
        <v>14</v>
      </c>
      <c r="N452" s="36">
        <f>IFERROR(M452/$Q452,0)</f>
        <v>0.35897435897435898</v>
      </c>
      <c r="O452" s="17">
        <v>2</v>
      </c>
      <c r="P452" s="36">
        <f>IFERROR(O452/$R452,0)</f>
        <v>1</v>
      </c>
      <c r="Q452" s="17">
        <v>39</v>
      </c>
      <c r="R452" s="17">
        <v>2</v>
      </c>
    </row>
    <row r="453" spans="1:18" ht="15.75" customHeight="1" x14ac:dyDescent="0.25">
      <c r="A453" s="37">
        <v>2021</v>
      </c>
      <c r="B453" s="35">
        <v>170410</v>
      </c>
      <c r="C453" s="34" t="s">
        <v>150</v>
      </c>
      <c r="D453" s="34" t="s">
        <v>39</v>
      </c>
      <c r="E453" s="17">
        <v>1</v>
      </c>
      <c r="F453" s="36">
        <f>IFERROR(E453/$Q453,0)</f>
        <v>4.5454545454545456E-2</v>
      </c>
      <c r="G453" s="17">
        <v>0</v>
      </c>
      <c r="H453" s="36">
        <f>IFERROR(G453/$R453,0)</f>
        <v>0</v>
      </c>
      <c r="I453" s="17">
        <v>7</v>
      </c>
      <c r="J453" s="36">
        <f>IFERROR(I453/$Q453,0)</f>
        <v>0.31818181818181818</v>
      </c>
      <c r="K453" s="17">
        <v>0</v>
      </c>
      <c r="L453" s="36">
        <f>IFERROR(K453/$R453,0)</f>
        <v>0</v>
      </c>
      <c r="M453" s="17">
        <v>14</v>
      </c>
      <c r="N453" s="36">
        <f>IFERROR(M453/$Q453,0)</f>
        <v>0.63636363636363635</v>
      </c>
      <c r="O453" s="17">
        <v>1</v>
      </c>
      <c r="P453" s="36">
        <f>IFERROR(O453/$R453,0)</f>
        <v>1</v>
      </c>
      <c r="Q453" s="17">
        <v>22</v>
      </c>
      <c r="R453" s="17">
        <v>1</v>
      </c>
    </row>
    <row r="454" spans="1:18" ht="15.75" customHeight="1" x14ac:dyDescent="0.25">
      <c r="A454" s="37">
        <v>2021</v>
      </c>
      <c r="B454" s="35">
        <v>170510</v>
      </c>
      <c r="C454" s="34" t="s">
        <v>151</v>
      </c>
      <c r="D454" s="34" t="s">
        <v>40</v>
      </c>
      <c r="E454" s="17">
        <v>9</v>
      </c>
      <c r="F454" s="36">
        <f>IFERROR(E454/$Q454,0)</f>
        <v>0.18367346938775511</v>
      </c>
      <c r="G454" s="17">
        <v>0</v>
      </c>
      <c r="H454" s="36">
        <f>IFERROR(G454/$R454,0)</f>
        <v>0</v>
      </c>
      <c r="I454" s="17">
        <v>26</v>
      </c>
      <c r="J454" s="36">
        <f>IFERROR(I454/$Q454,0)</f>
        <v>0.53061224489795922</v>
      </c>
      <c r="K454" s="17">
        <v>1</v>
      </c>
      <c r="L454" s="36">
        <f>IFERROR(K454/$R454,0)</f>
        <v>1</v>
      </c>
      <c r="M454" s="17">
        <v>14</v>
      </c>
      <c r="N454" s="36">
        <f>IFERROR(M454/$Q454,0)</f>
        <v>0.2857142857142857</v>
      </c>
      <c r="O454" s="17">
        <v>0</v>
      </c>
      <c r="P454" s="36">
        <f>IFERROR(O454/$R454,0)</f>
        <v>0</v>
      </c>
      <c r="Q454" s="17">
        <v>49</v>
      </c>
      <c r="R454" s="17">
        <v>1</v>
      </c>
    </row>
    <row r="455" spans="1:18" ht="15.75" customHeight="1" x14ac:dyDescent="0.25">
      <c r="A455" s="37">
        <v>2021</v>
      </c>
      <c r="B455" s="35">
        <v>170460</v>
      </c>
      <c r="C455" s="34" t="s">
        <v>144</v>
      </c>
      <c r="D455" s="34" t="s">
        <v>41</v>
      </c>
      <c r="E455" s="17">
        <v>0</v>
      </c>
      <c r="F455" s="36">
        <f>IFERROR(E455/$Q455,0)</f>
        <v>0</v>
      </c>
      <c r="G455" s="17">
        <v>0</v>
      </c>
      <c r="H455" s="36">
        <f>IFERROR(G455/$R455,0)</f>
        <v>0</v>
      </c>
      <c r="I455" s="17">
        <v>6</v>
      </c>
      <c r="J455" s="36">
        <f>IFERROR(I455/$Q455,0)</f>
        <v>0.4</v>
      </c>
      <c r="K455" s="17">
        <v>0</v>
      </c>
      <c r="L455" s="36">
        <f>IFERROR(K455/$R455,0)</f>
        <v>0</v>
      </c>
      <c r="M455" s="17">
        <v>9</v>
      </c>
      <c r="N455" s="36">
        <f>IFERROR(M455/$Q455,0)</f>
        <v>0.6</v>
      </c>
      <c r="O455" s="17">
        <v>0</v>
      </c>
      <c r="P455" s="36">
        <f>IFERROR(O455/$R455,0)</f>
        <v>0</v>
      </c>
      <c r="Q455" s="17">
        <v>15</v>
      </c>
      <c r="R455" s="17">
        <v>0</v>
      </c>
    </row>
    <row r="456" spans="1:18" ht="15.75" customHeight="1" x14ac:dyDescent="0.25">
      <c r="A456" s="37">
        <v>2021</v>
      </c>
      <c r="B456" s="35">
        <v>170550</v>
      </c>
      <c r="C456" s="34" t="s">
        <v>150</v>
      </c>
      <c r="D456" s="34" t="s">
        <v>42</v>
      </c>
      <c r="E456" s="17">
        <v>40</v>
      </c>
      <c r="F456" s="36">
        <f>IFERROR(E456/$Q456,0)</f>
        <v>0.15444015444015444</v>
      </c>
      <c r="G456" s="17">
        <v>1</v>
      </c>
      <c r="H456" s="36">
        <f>IFERROR(G456/$R456,0)</f>
        <v>0.16666666666666666</v>
      </c>
      <c r="I456" s="17">
        <v>119</v>
      </c>
      <c r="J456" s="36">
        <f>IFERROR(I456/$Q456,0)</f>
        <v>0.45945945945945948</v>
      </c>
      <c r="K456" s="17">
        <v>2</v>
      </c>
      <c r="L456" s="36">
        <f>IFERROR(K456/$R456,0)</f>
        <v>0.33333333333333331</v>
      </c>
      <c r="M456" s="17">
        <v>100</v>
      </c>
      <c r="N456" s="36">
        <f>IFERROR(M456/$Q456,0)</f>
        <v>0.38610038610038611</v>
      </c>
      <c r="O456" s="17">
        <v>3</v>
      </c>
      <c r="P456" s="36">
        <f>IFERROR(O456/$R456,0)</f>
        <v>0.5</v>
      </c>
      <c r="Q456" s="17">
        <v>259</v>
      </c>
      <c r="R456" s="17">
        <v>6</v>
      </c>
    </row>
    <row r="457" spans="1:18" ht="15.75" customHeight="1" x14ac:dyDescent="0.25">
      <c r="A457" s="37">
        <v>2021</v>
      </c>
      <c r="B457" s="35">
        <v>171670</v>
      </c>
      <c r="C457" s="34" t="s">
        <v>150</v>
      </c>
      <c r="D457" s="34" t="s">
        <v>43</v>
      </c>
      <c r="E457" s="17">
        <v>10</v>
      </c>
      <c r="F457" s="36">
        <f>IFERROR(E457/$Q457,0)</f>
        <v>0.12345679012345678</v>
      </c>
      <c r="G457" s="17">
        <v>0</v>
      </c>
      <c r="H457" s="36">
        <f>IFERROR(G457/$R457,0)</f>
        <v>0</v>
      </c>
      <c r="I457" s="17">
        <v>39</v>
      </c>
      <c r="J457" s="36">
        <f>IFERROR(I457/$Q457,0)</f>
        <v>0.48148148148148145</v>
      </c>
      <c r="K457" s="17">
        <v>1</v>
      </c>
      <c r="L457" s="36">
        <f>IFERROR(K457/$R457,0)</f>
        <v>0.33333333333333331</v>
      </c>
      <c r="M457" s="17">
        <v>32</v>
      </c>
      <c r="N457" s="36">
        <f>IFERROR(M457/$Q457,0)</f>
        <v>0.39506172839506171</v>
      </c>
      <c r="O457" s="17">
        <v>2</v>
      </c>
      <c r="P457" s="36">
        <f>IFERROR(O457/$R457,0)</f>
        <v>0.66666666666666663</v>
      </c>
      <c r="Q457" s="17">
        <v>81</v>
      </c>
      <c r="R457" s="17">
        <v>3</v>
      </c>
    </row>
    <row r="458" spans="1:18" ht="15.75" customHeight="1" x14ac:dyDescent="0.25">
      <c r="A458" s="37">
        <v>2021</v>
      </c>
      <c r="B458" s="35">
        <v>170555</v>
      </c>
      <c r="C458" s="34" t="s">
        <v>147</v>
      </c>
      <c r="D458" s="34" t="s">
        <v>44</v>
      </c>
      <c r="E458" s="17">
        <v>45</v>
      </c>
      <c r="F458" s="36">
        <f>IFERROR(E458/$Q458,0)</f>
        <v>0.19911504424778761</v>
      </c>
      <c r="G458" s="17">
        <v>0</v>
      </c>
      <c r="H458" s="36">
        <f>IFERROR(G458/$R458,0)</f>
        <v>0</v>
      </c>
      <c r="I458" s="17">
        <v>81</v>
      </c>
      <c r="J458" s="36">
        <f>IFERROR(I458/$Q458,0)</f>
        <v>0.3584070796460177</v>
      </c>
      <c r="K458" s="17">
        <v>1</v>
      </c>
      <c r="L458" s="36">
        <f>IFERROR(K458/$R458,0)</f>
        <v>1</v>
      </c>
      <c r="M458" s="17">
        <v>100</v>
      </c>
      <c r="N458" s="36">
        <f>IFERROR(M458/$Q458,0)</f>
        <v>0.44247787610619471</v>
      </c>
      <c r="O458" s="17">
        <v>0</v>
      </c>
      <c r="P458" s="36">
        <f>IFERROR(O458/$R458,0)</f>
        <v>0</v>
      </c>
      <c r="Q458" s="17">
        <v>226</v>
      </c>
      <c r="R458" s="17">
        <v>1</v>
      </c>
    </row>
    <row r="459" spans="1:18" ht="15.75" customHeight="1" x14ac:dyDescent="0.25">
      <c r="A459" s="37">
        <v>2021</v>
      </c>
      <c r="B459" s="35">
        <v>170560</v>
      </c>
      <c r="C459" s="34" t="s">
        <v>147</v>
      </c>
      <c r="D459" s="34" t="s">
        <v>45</v>
      </c>
      <c r="E459" s="17">
        <v>2</v>
      </c>
      <c r="F459" s="36">
        <f>IFERROR(E459/$Q459,0)</f>
        <v>0.14285714285714285</v>
      </c>
      <c r="G459" s="17">
        <v>1</v>
      </c>
      <c r="H459" s="36">
        <f>IFERROR(G459/$R459,0)</f>
        <v>0.5</v>
      </c>
      <c r="I459" s="17">
        <v>6</v>
      </c>
      <c r="J459" s="36">
        <f>IFERROR(I459/$Q459,0)</f>
        <v>0.42857142857142855</v>
      </c>
      <c r="K459" s="17">
        <v>1</v>
      </c>
      <c r="L459" s="36">
        <f>IFERROR(K459/$R459,0)</f>
        <v>0.5</v>
      </c>
      <c r="M459" s="17">
        <v>6</v>
      </c>
      <c r="N459" s="36">
        <f>IFERROR(M459/$Q459,0)</f>
        <v>0.42857142857142855</v>
      </c>
      <c r="O459" s="17">
        <v>0</v>
      </c>
      <c r="P459" s="36">
        <f>IFERROR(O459/$R459,0)</f>
        <v>0</v>
      </c>
      <c r="Q459" s="17">
        <v>14</v>
      </c>
      <c r="R459" s="17">
        <v>2</v>
      </c>
    </row>
    <row r="460" spans="1:18" ht="15.75" customHeight="1" x14ac:dyDescent="0.25">
      <c r="A460" s="37">
        <v>2021</v>
      </c>
      <c r="B460" s="35">
        <v>170600</v>
      </c>
      <c r="C460" s="34" t="s">
        <v>150</v>
      </c>
      <c r="D460" s="34" t="s">
        <v>46</v>
      </c>
      <c r="E460" s="17">
        <v>8</v>
      </c>
      <c r="F460" s="36">
        <f>IFERROR(E460/$Q460,0)</f>
        <v>0.11594202898550725</v>
      </c>
      <c r="G460" s="17">
        <v>0</v>
      </c>
      <c r="H460" s="36">
        <f>IFERROR(G460/$R460,0)</f>
        <v>0</v>
      </c>
      <c r="I460" s="17">
        <v>40</v>
      </c>
      <c r="J460" s="36">
        <f>IFERROR(I460/$Q460,0)</f>
        <v>0.57971014492753625</v>
      </c>
      <c r="K460" s="17">
        <v>1</v>
      </c>
      <c r="L460" s="36">
        <f>IFERROR(K460/$R460,0)</f>
        <v>1</v>
      </c>
      <c r="M460" s="17">
        <v>21</v>
      </c>
      <c r="N460" s="36">
        <f>IFERROR(M460/$Q460,0)</f>
        <v>0.30434782608695654</v>
      </c>
      <c r="O460" s="17">
        <v>0</v>
      </c>
      <c r="P460" s="36">
        <f>IFERROR(O460/$R460,0)</f>
        <v>0</v>
      </c>
      <c r="Q460" s="17">
        <v>69</v>
      </c>
      <c r="R460" s="17">
        <v>1</v>
      </c>
    </row>
    <row r="461" spans="1:18" ht="15.75" customHeight="1" x14ac:dyDescent="0.25">
      <c r="A461" s="37">
        <v>2021</v>
      </c>
      <c r="B461" s="35">
        <v>170610</v>
      </c>
      <c r="C461" s="34" t="s">
        <v>144</v>
      </c>
      <c r="D461" s="34" t="s">
        <v>47</v>
      </c>
      <c r="E461" s="17">
        <v>35</v>
      </c>
      <c r="F461" s="36">
        <f>IFERROR(E461/$Q461,0)</f>
        <v>0.15695067264573992</v>
      </c>
      <c r="G461" s="17">
        <v>1</v>
      </c>
      <c r="H461" s="36">
        <f>IFERROR(G461/$R461,0)</f>
        <v>0.2</v>
      </c>
      <c r="I461" s="17">
        <v>87</v>
      </c>
      <c r="J461" s="36">
        <f>IFERROR(I461/$Q461,0)</f>
        <v>0.39013452914798208</v>
      </c>
      <c r="K461" s="17">
        <v>2</v>
      </c>
      <c r="L461" s="36">
        <f>IFERROR(K461/$R461,0)</f>
        <v>0.4</v>
      </c>
      <c r="M461" s="17">
        <v>101</v>
      </c>
      <c r="N461" s="36">
        <f>IFERROR(M461/$Q461,0)</f>
        <v>0.452914798206278</v>
      </c>
      <c r="O461" s="17">
        <v>2</v>
      </c>
      <c r="P461" s="36">
        <f>IFERROR(O461/$R461,0)</f>
        <v>0.4</v>
      </c>
      <c r="Q461" s="17">
        <v>223</v>
      </c>
      <c r="R461" s="17">
        <v>5</v>
      </c>
    </row>
    <row r="462" spans="1:18" ht="15.75" customHeight="1" x14ac:dyDescent="0.25">
      <c r="A462" s="37">
        <v>2021</v>
      </c>
      <c r="B462" s="35">
        <v>170625</v>
      </c>
      <c r="C462" s="34" t="s">
        <v>146</v>
      </c>
      <c r="D462" s="34" t="s">
        <v>48</v>
      </c>
      <c r="E462" s="17">
        <v>5</v>
      </c>
      <c r="F462" s="36">
        <f>IFERROR(E462/$Q462,0)</f>
        <v>7.2463768115942032E-2</v>
      </c>
      <c r="G462" s="17">
        <v>0</v>
      </c>
      <c r="H462" s="36">
        <f>IFERROR(G462/$R462,0)</f>
        <v>0</v>
      </c>
      <c r="I462" s="17">
        <v>24</v>
      </c>
      <c r="J462" s="36">
        <f>IFERROR(I462/$Q462,0)</f>
        <v>0.34782608695652173</v>
      </c>
      <c r="K462" s="17">
        <v>1</v>
      </c>
      <c r="L462" s="36">
        <f>IFERROR(K462/$R462,0)</f>
        <v>1</v>
      </c>
      <c r="M462" s="17">
        <v>40</v>
      </c>
      <c r="N462" s="36">
        <f>IFERROR(M462/$Q462,0)</f>
        <v>0.57971014492753625</v>
      </c>
      <c r="O462" s="17">
        <v>0</v>
      </c>
      <c r="P462" s="36">
        <f>IFERROR(O462/$R462,0)</f>
        <v>0</v>
      </c>
      <c r="Q462" s="17">
        <v>69</v>
      </c>
      <c r="R462" s="17">
        <v>1</v>
      </c>
    </row>
    <row r="463" spans="1:18" ht="15.75" customHeight="1" x14ac:dyDescent="0.25">
      <c r="A463" s="37">
        <v>2021</v>
      </c>
      <c r="B463" s="35">
        <v>170650</v>
      </c>
      <c r="C463" s="34" t="s">
        <v>149</v>
      </c>
      <c r="D463" s="34" t="s">
        <v>49</v>
      </c>
      <c r="E463" s="17">
        <v>9</v>
      </c>
      <c r="F463" s="36">
        <f>IFERROR(E463/$Q463,0)</f>
        <v>0.10714285714285714</v>
      </c>
      <c r="G463" s="17">
        <v>1</v>
      </c>
      <c r="H463" s="36">
        <f>IFERROR(G463/$R463,0)</f>
        <v>0.14285714285714285</v>
      </c>
      <c r="I463" s="17">
        <v>36</v>
      </c>
      <c r="J463" s="36">
        <f>IFERROR(I463/$Q463,0)</f>
        <v>0.42857142857142855</v>
      </c>
      <c r="K463" s="17">
        <v>0</v>
      </c>
      <c r="L463" s="36">
        <f>IFERROR(K463/$R463,0)</f>
        <v>0</v>
      </c>
      <c r="M463" s="17">
        <v>39</v>
      </c>
      <c r="N463" s="36">
        <f>IFERROR(M463/$Q463,0)</f>
        <v>0.4642857142857143</v>
      </c>
      <c r="O463" s="17">
        <v>6</v>
      </c>
      <c r="P463" s="36">
        <f>IFERROR(O463/$R463,0)</f>
        <v>0.8571428571428571</v>
      </c>
      <c r="Q463" s="17">
        <v>84</v>
      </c>
      <c r="R463" s="17">
        <v>7</v>
      </c>
    </row>
    <row r="464" spans="1:18" ht="15.75" customHeight="1" x14ac:dyDescent="0.25">
      <c r="A464" s="37">
        <v>2021</v>
      </c>
      <c r="B464" s="35">
        <v>170700</v>
      </c>
      <c r="C464" s="34" t="s">
        <v>147</v>
      </c>
      <c r="D464" s="34" t="s">
        <v>50</v>
      </c>
      <c r="E464" s="17">
        <v>97</v>
      </c>
      <c r="F464" s="36">
        <f>IFERROR(E464/$Q464,0)</f>
        <v>0.177007299270073</v>
      </c>
      <c r="G464" s="17">
        <v>2</v>
      </c>
      <c r="H464" s="36">
        <f>IFERROR(G464/$R464,0)</f>
        <v>0.16666666666666666</v>
      </c>
      <c r="I464" s="17">
        <v>214</v>
      </c>
      <c r="J464" s="36">
        <f>IFERROR(I464/$Q464,0)</f>
        <v>0.39051094890510951</v>
      </c>
      <c r="K464" s="17">
        <v>6</v>
      </c>
      <c r="L464" s="36">
        <f>IFERROR(K464/$R464,0)</f>
        <v>0.5</v>
      </c>
      <c r="M464" s="17">
        <v>237</v>
      </c>
      <c r="N464" s="36">
        <f>IFERROR(M464/$Q464,0)</f>
        <v>0.43248175182481752</v>
      </c>
      <c r="O464" s="17">
        <v>4</v>
      </c>
      <c r="P464" s="36">
        <f>IFERROR(O464/$R464,0)</f>
        <v>0.33333333333333331</v>
      </c>
      <c r="Q464" s="17">
        <v>548</v>
      </c>
      <c r="R464" s="17">
        <v>12</v>
      </c>
    </row>
    <row r="465" spans="1:18" ht="15.75" customHeight="1" x14ac:dyDescent="0.25">
      <c r="A465" s="37">
        <v>2021</v>
      </c>
      <c r="B465" s="35">
        <v>170710</v>
      </c>
      <c r="C465" s="34" t="s">
        <v>144</v>
      </c>
      <c r="D465" s="34" t="s">
        <v>51</v>
      </c>
      <c r="E465" s="17">
        <v>6</v>
      </c>
      <c r="F465" s="36">
        <f>IFERROR(E465/$Q465,0)</f>
        <v>8.5714285714285715E-2</v>
      </c>
      <c r="G465" s="17">
        <v>1</v>
      </c>
      <c r="H465" s="36">
        <f>IFERROR(G465/$R465,0)</f>
        <v>0.16666666666666666</v>
      </c>
      <c r="I465" s="17">
        <v>32</v>
      </c>
      <c r="J465" s="36">
        <f>IFERROR(I465/$Q465,0)</f>
        <v>0.45714285714285713</v>
      </c>
      <c r="K465" s="17">
        <v>3</v>
      </c>
      <c r="L465" s="36">
        <f>IFERROR(K465/$R465,0)</f>
        <v>0.5</v>
      </c>
      <c r="M465" s="17">
        <v>32</v>
      </c>
      <c r="N465" s="36">
        <f>IFERROR(M465/$Q465,0)</f>
        <v>0.45714285714285713</v>
      </c>
      <c r="O465" s="17">
        <v>2</v>
      </c>
      <c r="P465" s="36">
        <f>IFERROR(O465/$R465,0)</f>
        <v>0.33333333333333331</v>
      </c>
      <c r="Q465" s="17">
        <v>70</v>
      </c>
      <c r="R465" s="17">
        <v>6</v>
      </c>
    </row>
    <row r="466" spans="1:18" ht="15.75" customHeight="1" x14ac:dyDescent="0.25">
      <c r="A466" s="37">
        <v>2021</v>
      </c>
      <c r="B466" s="35">
        <v>170720</v>
      </c>
      <c r="C466" s="34" t="s">
        <v>144</v>
      </c>
      <c r="D466" s="34" t="s">
        <v>52</v>
      </c>
      <c r="E466" s="17">
        <v>7</v>
      </c>
      <c r="F466" s="36">
        <f>IFERROR(E466/$Q466,0)</f>
        <v>9.0909090909090912E-2</v>
      </c>
      <c r="G466" s="17">
        <v>0</v>
      </c>
      <c r="H466" s="36">
        <f>IFERROR(G466/$R466,0)</f>
        <v>0</v>
      </c>
      <c r="I466" s="17">
        <v>50</v>
      </c>
      <c r="J466" s="36">
        <f>IFERROR(I466/$Q466,0)</f>
        <v>0.64935064935064934</v>
      </c>
      <c r="K466" s="17">
        <v>0</v>
      </c>
      <c r="L466" s="36">
        <f>IFERROR(K466/$R466,0)</f>
        <v>0</v>
      </c>
      <c r="M466" s="17">
        <v>20</v>
      </c>
      <c r="N466" s="36">
        <f>IFERROR(M466/$Q466,0)</f>
        <v>0.25974025974025972</v>
      </c>
      <c r="O466" s="17">
        <v>3</v>
      </c>
      <c r="P466" s="36">
        <f>IFERROR(O466/$R466,0)</f>
        <v>1</v>
      </c>
      <c r="Q466" s="17">
        <v>77</v>
      </c>
      <c r="R466" s="17">
        <v>3</v>
      </c>
    </row>
    <row r="467" spans="1:18" ht="15.75" customHeight="1" x14ac:dyDescent="0.25">
      <c r="A467" s="37">
        <v>2021</v>
      </c>
      <c r="B467" s="35">
        <v>170730</v>
      </c>
      <c r="C467" s="34" t="s">
        <v>146</v>
      </c>
      <c r="D467" s="34" t="s">
        <v>53</v>
      </c>
      <c r="E467" s="17">
        <v>3</v>
      </c>
      <c r="F467" s="36">
        <f>IFERROR(E467/$Q467,0)</f>
        <v>3.2967032967032968E-2</v>
      </c>
      <c r="G467" s="17">
        <v>0</v>
      </c>
      <c r="H467" s="36">
        <f>IFERROR(G467/$R467,0)</f>
        <v>0</v>
      </c>
      <c r="I467" s="17">
        <v>32</v>
      </c>
      <c r="J467" s="36">
        <f>IFERROR(I467/$Q467,0)</f>
        <v>0.35164835164835168</v>
      </c>
      <c r="K467" s="17">
        <v>1</v>
      </c>
      <c r="L467" s="36">
        <f>IFERROR(K467/$R467,0)</f>
        <v>1</v>
      </c>
      <c r="M467" s="17">
        <v>56</v>
      </c>
      <c r="N467" s="36">
        <f>IFERROR(M467/$Q467,0)</f>
        <v>0.61538461538461542</v>
      </c>
      <c r="O467" s="17">
        <v>0</v>
      </c>
      <c r="P467" s="36">
        <f>IFERROR(O467/$R467,0)</f>
        <v>0</v>
      </c>
      <c r="Q467" s="17">
        <v>91</v>
      </c>
      <c r="R467" s="17">
        <v>1</v>
      </c>
    </row>
    <row r="468" spans="1:18" ht="15.75" customHeight="1" x14ac:dyDescent="0.25">
      <c r="A468" s="37">
        <v>2021</v>
      </c>
      <c r="B468" s="35">
        <v>170740</v>
      </c>
      <c r="C468" s="34" t="s">
        <v>145</v>
      </c>
      <c r="D468" s="34" t="s">
        <v>54</v>
      </c>
      <c r="E468" s="17">
        <v>47</v>
      </c>
      <c r="F468" s="36">
        <f>IFERROR(E468/$Q468,0)</f>
        <v>0.1111111111111111</v>
      </c>
      <c r="G468" s="17">
        <v>1</v>
      </c>
      <c r="H468" s="36">
        <f>IFERROR(G468/$R468,0)</f>
        <v>0.25</v>
      </c>
      <c r="I468" s="17">
        <v>172</v>
      </c>
      <c r="J468" s="36">
        <f>IFERROR(I468/$Q468,0)</f>
        <v>0.40661938534278957</v>
      </c>
      <c r="K468" s="17">
        <v>2</v>
      </c>
      <c r="L468" s="36">
        <f>IFERROR(K468/$R468,0)</f>
        <v>0.5</v>
      </c>
      <c r="M468" s="17">
        <v>204</v>
      </c>
      <c r="N468" s="36">
        <f>IFERROR(M468/$Q468,0)</f>
        <v>0.48226950354609927</v>
      </c>
      <c r="O468" s="17">
        <v>1</v>
      </c>
      <c r="P468" s="36">
        <f>IFERROR(O468/$R468,0)</f>
        <v>0.25</v>
      </c>
      <c r="Q468" s="17">
        <v>423</v>
      </c>
      <c r="R468" s="17">
        <v>4</v>
      </c>
    </row>
    <row r="469" spans="1:18" ht="15.75" customHeight="1" x14ac:dyDescent="0.25">
      <c r="A469" s="37">
        <v>2021</v>
      </c>
      <c r="B469" s="35">
        <v>170755</v>
      </c>
      <c r="C469" s="34" t="s">
        <v>151</v>
      </c>
      <c r="D469" s="34" t="s">
        <v>55</v>
      </c>
      <c r="E469" s="17">
        <v>2</v>
      </c>
      <c r="F469" s="36">
        <f>IFERROR(E469/$Q469,0)</f>
        <v>0.25</v>
      </c>
      <c r="G469" s="17">
        <v>0</v>
      </c>
      <c r="H469" s="36">
        <f>IFERROR(G469/$R469,0)</f>
        <v>0</v>
      </c>
      <c r="I469" s="17">
        <v>3</v>
      </c>
      <c r="J469" s="36">
        <f>IFERROR(I469/$Q469,0)</f>
        <v>0.375</v>
      </c>
      <c r="K469" s="17">
        <v>0</v>
      </c>
      <c r="L469" s="36">
        <f>IFERROR(K469/$R469,0)</f>
        <v>0</v>
      </c>
      <c r="M469" s="17">
        <v>3</v>
      </c>
      <c r="N469" s="36">
        <f>IFERROR(M469/$Q469,0)</f>
        <v>0.375</v>
      </c>
      <c r="O469" s="17">
        <v>0</v>
      </c>
      <c r="P469" s="36">
        <f>IFERROR(O469/$R469,0)</f>
        <v>0</v>
      </c>
      <c r="Q469" s="17">
        <v>8</v>
      </c>
      <c r="R469" s="17">
        <v>0</v>
      </c>
    </row>
    <row r="470" spans="1:18" ht="15.75" customHeight="1" x14ac:dyDescent="0.25">
      <c r="A470" s="37">
        <v>2021</v>
      </c>
      <c r="B470" s="35">
        <v>170765</v>
      </c>
      <c r="C470" s="34" t="s">
        <v>146</v>
      </c>
      <c r="D470" s="34" t="s">
        <v>56</v>
      </c>
      <c r="E470" s="17">
        <v>11</v>
      </c>
      <c r="F470" s="36">
        <f>IFERROR(E470/$Q470,0)</f>
        <v>0.1111111111111111</v>
      </c>
      <c r="G470" s="17">
        <v>0</v>
      </c>
      <c r="H470" s="36">
        <f>IFERROR(G470/$R470,0)</f>
        <v>0</v>
      </c>
      <c r="I470" s="17">
        <v>42</v>
      </c>
      <c r="J470" s="36">
        <f>IFERROR(I470/$Q470,0)</f>
        <v>0.42424242424242425</v>
      </c>
      <c r="K470" s="17">
        <v>2</v>
      </c>
      <c r="L470" s="36">
        <f>IFERROR(K470/$R470,0)</f>
        <v>0.66666666666666663</v>
      </c>
      <c r="M470" s="17">
        <v>46</v>
      </c>
      <c r="N470" s="36">
        <f>IFERROR(M470/$Q470,0)</f>
        <v>0.46464646464646464</v>
      </c>
      <c r="O470" s="17">
        <v>1</v>
      </c>
      <c r="P470" s="36">
        <f>IFERROR(O470/$R470,0)</f>
        <v>0.33333333333333331</v>
      </c>
      <c r="Q470" s="17">
        <v>99</v>
      </c>
      <c r="R470" s="17">
        <v>3</v>
      </c>
    </row>
    <row r="471" spans="1:18" ht="15.75" customHeight="1" x14ac:dyDescent="0.25">
      <c r="A471" s="37">
        <v>2021</v>
      </c>
      <c r="B471" s="35">
        <v>170770</v>
      </c>
      <c r="C471" s="34" t="s">
        <v>149</v>
      </c>
      <c r="D471" s="34" t="s">
        <v>57</v>
      </c>
      <c r="E471" s="17">
        <v>24</v>
      </c>
      <c r="F471" s="36">
        <f>IFERROR(E471/$Q471,0)</f>
        <v>0.17142857142857143</v>
      </c>
      <c r="G471" s="17">
        <v>2</v>
      </c>
      <c r="H471" s="36">
        <f>IFERROR(G471/$R471,0)</f>
        <v>0.5</v>
      </c>
      <c r="I471" s="17">
        <v>49</v>
      </c>
      <c r="J471" s="36">
        <f>IFERROR(I471/$Q471,0)</f>
        <v>0.35</v>
      </c>
      <c r="K471" s="17">
        <v>2</v>
      </c>
      <c r="L471" s="36">
        <f>IFERROR(K471/$R471,0)</f>
        <v>0.5</v>
      </c>
      <c r="M471" s="17">
        <v>67</v>
      </c>
      <c r="N471" s="36">
        <f>IFERROR(M471/$Q471,0)</f>
        <v>0.47857142857142859</v>
      </c>
      <c r="O471" s="17">
        <v>0</v>
      </c>
      <c r="P471" s="36">
        <f>IFERROR(O471/$R471,0)</f>
        <v>0</v>
      </c>
      <c r="Q471" s="17">
        <v>140</v>
      </c>
      <c r="R471" s="17">
        <v>4</v>
      </c>
    </row>
    <row r="472" spans="1:18" ht="15.75" customHeight="1" x14ac:dyDescent="0.25">
      <c r="A472" s="37">
        <v>2021</v>
      </c>
      <c r="B472" s="35">
        <v>170820</v>
      </c>
      <c r="C472" s="34" t="s">
        <v>146</v>
      </c>
      <c r="D472" s="34" t="s">
        <v>58</v>
      </c>
      <c r="E472" s="17">
        <v>31</v>
      </c>
      <c r="F472" s="36">
        <f>IFERROR(E472/$Q472,0)</f>
        <v>0.1076388888888889</v>
      </c>
      <c r="G472" s="17">
        <v>4</v>
      </c>
      <c r="H472" s="36">
        <f>IFERROR(G472/$R472,0)</f>
        <v>0.16666666666666666</v>
      </c>
      <c r="I472" s="17">
        <v>103</v>
      </c>
      <c r="J472" s="36">
        <f>IFERROR(I472/$Q472,0)</f>
        <v>0.3576388888888889</v>
      </c>
      <c r="K472" s="17">
        <v>5</v>
      </c>
      <c r="L472" s="36">
        <f>IFERROR(K472/$R472,0)</f>
        <v>0.20833333333333334</v>
      </c>
      <c r="M472" s="17">
        <v>154</v>
      </c>
      <c r="N472" s="36">
        <f>IFERROR(M472/$Q472,0)</f>
        <v>0.53472222222222221</v>
      </c>
      <c r="O472" s="17">
        <v>15</v>
      </c>
      <c r="P472" s="36">
        <f>IFERROR(O472/$R472,0)</f>
        <v>0.625</v>
      </c>
      <c r="Q472" s="17">
        <v>288</v>
      </c>
      <c r="R472" s="17">
        <v>24</v>
      </c>
    </row>
    <row r="473" spans="1:18" ht="15.75" customHeight="1" x14ac:dyDescent="0.25">
      <c r="A473" s="37">
        <v>2021</v>
      </c>
      <c r="B473" s="35">
        <v>170830</v>
      </c>
      <c r="C473" s="34" t="s">
        <v>150</v>
      </c>
      <c r="D473" s="34" t="s">
        <v>59</v>
      </c>
      <c r="E473" s="17">
        <v>14</v>
      </c>
      <c r="F473" s="36">
        <f>IFERROR(E473/$Q473,0)</f>
        <v>0.17721518987341772</v>
      </c>
      <c r="G473" s="17">
        <v>0</v>
      </c>
      <c r="H473" s="36">
        <f>IFERROR(G473/$R473,0)</f>
        <v>0</v>
      </c>
      <c r="I473" s="17">
        <v>26</v>
      </c>
      <c r="J473" s="36">
        <f>IFERROR(I473/$Q473,0)</f>
        <v>0.32911392405063289</v>
      </c>
      <c r="K473" s="17">
        <v>1</v>
      </c>
      <c r="L473" s="36">
        <f>IFERROR(K473/$R473,0)</f>
        <v>0.5</v>
      </c>
      <c r="M473" s="17">
        <v>39</v>
      </c>
      <c r="N473" s="36">
        <f>IFERROR(M473/$Q473,0)</f>
        <v>0.49367088607594939</v>
      </c>
      <c r="O473" s="17">
        <v>1</v>
      </c>
      <c r="P473" s="36">
        <f>IFERROR(O473/$R473,0)</f>
        <v>0.5</v>
      </c>
      <c r="Q473" s="17">
        <v>79</v>
      </c>
      <c r="R473" s="17">
        <v>2</v>
      </c>
    </row>
    <row r="474" spans="1:18" ht="15.75" customHeight="1" x14ac:dyDescent="0.25">
      <c r="A474" s="37">
        <v>2021</v>
      </c>
      <c r="B474" s="35">
        <v>170900</v>
      </c>
      <c r="C474" s="34" t="s">
        <v>149</v>
      </c>
      <c r="D474" s="34" t="s">
        <v>60</v>
      </c>
      <c r="E474" s="17">
        <v>32</v>
      </c>
      <c r="F474" s="36">
        <f>IFERROR(E474/$Q474,0)</f>
        <v>0.17486338797814208</v>
      </c>
      <c r="G474" s="17">
        <v>0</v>
      </c>
      <c r="H474" s="36">
        <f>IFERROR(G474/$R474,0)</f>
        <v>0</v>
      </c>
      <c r="I474" s="17">
        <v>71</v>
      </c>
      <c r="J474" s="36">
        <f>IFERROR(I474/$Q474,0)</f>
        <v>0.38797814207650272</v>
      </c>
      <c r="K474" s="17">
        <v>3</v>
      </c>
      <c r="L474" s="36">
        <f>IFERROR(K474/$R474,0)</f>
        <v>0.75</v>
      </c>
      <c r="M474" s="17">
        <v>80</v>
      </c>
      <c r="N474" s="36">
        <f>IFERROR(M474/$Q474,0)</f>
        <v>0.43715846994535518</v>
      </c>
      <c r="O474" s="17">
        <v>1</v>
      </c>
      <c r="P474" s="36">
        <f>IFERROR(O474/$R474,0)</f>
        <v>0.25</v>
      </c>
      <c r="Q474" s="17">
        <v>183</v>
      </c>
      <c r="R474" s="17">
        <v>4</v>
      </c>
    </row>
    <row r="475" spans="1:18" ht="15.75" customHeight="1" x14ac:dyDescent="0.25">
      <c r="A475" s="37">
        <v>2021</v>
      </c>
      <c r="B475" s="35">
        <v>170930</v>
      </c>
      <c r="C475" s="34" t="s">
        <v>150</v>
      </c>
      <c r="D475" s="34" t="s">
        <v>61</v>
      </c>
      <c r="E475" s="17">
        <v>78</v>
      </c>
      <c r="F475" s="36">
        <f>IFERROR(E475/$Q475,0)</f>
        <v>0.10893854748603352</v>
      </c>
      <c r="G475" s="17">
        <v>1</v>
      </c>
      <c r="H475" s="36">
        <f>IFERROR(G475/$R475,0)</f>
        <v>0.1</v>
      </c>
      <c r="I475" s="17">
        <v>256</v>
      </c>
      <c r="J475" s="36">
        <f>IFERROR(I475/$Q475,0)</f>
        <v>0.35754189944134079</v>
      </c>
      <c r="K475" s="17">
        <v>4</v>
      </c>
      <c r="L475" s="36">
        <f>IFERROR(K475/$R475,0)</f>
        <v>0.4</v>
      </c>
      <c r="M475" s="17">
        <v>382</v>
      </c>
      <c r="N475" s="36">
        <f>IFERROR(M475/$Q475,0)</f>
        <v>0.53351955307262566</v>
      </c>
      <c r="O475" s="17">
        <v>5</v>
      </c>
      <c r="P475" s="36">
        <f>IFERROR(O475/$R475,0)</f>
        <v>0.5</v>
      </c>
      <c r="Q475" s="17">
        <v>716</v>
      </c>
      <c r="R475" s="17">
        <v>10</v>
      </c>
    </row>
    <row r="476" spans="1:18" ht="15.75" customHeight="1" x14ac:dyDescent="0.25">
      <c r="A476" s="37">
        <v>2021</v>
      </c>
      <c r="B476" s="35">
        <v>170950</v>
      </c>
      <c r="C476" s="34" t="s">
        <v>146</v>
      </c>
      <c r="D476" s="34" t="s">
        <v>62</v>
      </c>
      <c r="E476" s="17">
        <v>93</v>
      </c>
      <c r="F476" s="36">
        <f>IFERROR(E476/$Q476,0)</f>
        <v>9.6173733195449848E-2</v>
      </c>
      <c r="G476" s="17">
        <v>3</v>
      </c>
      <c r="H476" s="36">
        <f>IFERROR(G476/$R476,0)</f>
        <v>4.1095890410958902E-2</v>
      </c>
      <c r="I476" s="17">
        <v>349</v>
      </c>
      <c r="J476" s="36">
        <f>IFERROR(I476/$Q476,0)</f>
        <v>0.36091003102378488</v>
      </c>
      <c r="K476" s="17">
        <v>27</v>
      </c>
      <c r="L476" s="36">
        <f>IFERROR(K476/$R476,0)</f>
        <v>0.36986301369863012</v>
      </c>
      <c r="M476" s="17">
        <v>525</v>
      </c>
      <c r="N476" s="36">
        <f>IFERROR(M476/$Q476,0)</f>
        <v>0.5429162357807652</v>
      </c>
      <c r="O476" s="17">
        <v>43</v>
      </c>
      <c r="P476" s="36">
        <f>IFERROR(O476/$R476,0)</f>
        <v>0.58904109589041098</v>
      </c>
      <c r="Q476" s="17">
        <v>967</v>
      </c>
      <c r="R476" s="17">
        <v>73</v>
      </c>
    </row>
    <row r="477" spans="1:18" ht="15.75" customHeight="1" x14ac:dyDescent="0.25">
      <c r="A477" s="37">
        <v>2021</v>
      </c>
      <c r="B477" s="35">
        <v>170980</v>
      </c>
      <c r="C477" s="34" t="s">
        <v>151</v>
      </c>
      <c r="D477" s="34" t="s">
        <v>63</v>
      </c>
      <c r="E477" s="17">
        <v>23</v>
      </c>
      <c r="F477" s="36">
        <f>IFERROR(E477/$Q477,0)</f>
        <v>0.17164179104477612</v>
      </c>
      <c r="G477" s="17">
        <v>0</v>
      </c>
      <c r="H477" s="36">
        <f>IFERROR(G477/$R477,0)</f>
        <v>0</v>
      </c>
      <c r="I477" s="17">
        <v>40</v>
      </c>
      <c r="J477" s="36">
        <f>IFERROR(I477/$Q477,0)</f>
        <v>0.29850746268656714</v>
      </c>
      <c r="K477" s="17">
        <v>0</v>
      </c>
      <c r="L477" s="36">
        <f>IFERROR(K477/$R477,0)</f>
        <v>0</v>
      </c>
      <c r="M477" s="17">
        <v>71</v>
      </c>
      <c r="N477" s="36">
        <f>IFERROR(M477/$Q477,0)</f>
        <v>0.52985074626865669</v>
      </c>
      <c r="O477" s="17">
        <v>0</v>
      </c>
      <c r="P477" s="36">
        <f>IFERROR(O477/$R477,0)</f>
        <v>0</v>
      </c>
      <c r="Q477" s="17">
        <v>134</v>
      </c>
      <c r="R477" s="17">
        <v>0</v>
      </c>
    </row>
    <row r="478" spans="1:18" ht="15.75" customHeight="1" x14ac:dyDescent="0.25">
      <c r="A478" s="37">
        <v>2021</v>
      </c>
      <c r="B478" s="35">
        <v>171050</v>
      </c>
      <c r="C478" s="34" t="s">
        <v>150</v>
      </c>
      <c r="D478" s="34" t="s">
        <v>64</v>
      </c>
      <c r="E478" s="17">
        <v>2</v>
      </c>
      <c r="F478" s="36">
        <f>IFERROR(E478/$Q478,0)</f>
        <v>0.1111111111111111</v>
      </c>
      <c r="G478" s="17">
        <v>1</v>
      </c>
      <c r="H478" s="36">
        <f>IFERROR(G478/$R478,0)</f>
        <v>0.5</v>
      </c>
      <c r="I478" s="17">
        <v>6</v>
      </c>
      <c r="J478" s="36">
        <f>IFERROR(I478/$Q478,0)</f>
        <v>0.33333333333333331</v>
      </c>
      <c r="K478" s="17">
        <v>0</v>
      </c>
      <c r="L478" s="36">
        <f>IFERROR(K478/$R478,0)</f>
        <v>0</v>
      </c>
      <c r="M478" s="17">
        <v>10</v>
      </c>
      <c r="N478" s="36">
        <f>IFERROR(M478/$Q478,0)</f>
        <v>0.55555555555555558</v>
      </c>
      <c r="O478" s="17">
        <v>1</v>
      </c>
      <c r="P478" s="36">
        <f>IFERROR(O478/$R478,0)</f>
        <v>0.5</v>
      </c>
      <c r="Q478" s="17">
        <v>18</v>
      </c>
      <c r="R478" s="17">
        <v>2</v>
      </c>
    </row>
    <row r="479" spans="1:18" ht="15.75" customHeight="1" x14ac:dyDescent="0.25">
      <c r="A479" s="37">
        <v>2021</v>
      </c>
      <c r="B479" s="35">
        <v>171070</v>
      </c>
      <c r="C479" s="34" t="s">
        <v>145</v>
      </c>
      <c r="D479" s="34" t="s">
        <v>65</v>
      </c>
      <c r="E479" s="17">
        <v>44</v>
      </c>
      <c r="F479" s="36">
        <f>IFERROR(E479/$Q479,0)</f>
        <v>0.14147909967845659</v>
      </c>
      <c r="G479" s="17">
        <v>0</v>
      </c>
      <c r="H479" s="36">
        <f>IFERROR(G479/$R479,0)</f>
        <v>0</v>
      </c>
      <c r="I479" s="17">
        <v>139</v>
      </c>
      <c r="J479" s="36">
        <f>IFERROR(I479/$Q479,0)</f>
        <v>0.44694533762057875</v>
      </c>
      <c r="K479" s="17">
        <v>0</v>
      </c>
      <c r="L479" s="36">
        <f>IFERROR(K479/$R479,0)</f>
        <v>0</v>
      </c>
      <c r="M479" s="17">
        <v>128</v>
      </c>
      <c r="N479" s="36">
        <f>IFERROR(M479/$Q479,0)</f>
        <v>0.41157556270096463</v>
      </c>
      <c r="O479" s="17">
        <v>1</v>
      </c>
      <c r="P479" s="36">
        <f>IFERROR(O479/$R479,0)</f>
        <v>1</v>
      </c>
      <c r="Q479" s="17">
        <v>311</v>
      </c>
      <c r="R479" s="17">
        <v>1</v>
      </c>
    </row>
    <row r="480" spans="1:18" ht="15.75" customHeight="1" x14ac:dyDescent="0.25">
      <c r="A480" s="37">
        <v>2021</v>
      </c>
      <c r="B480" s="35">
        <v>171090</v>
      </c>
      <c r="C480" s="34" t="s">
        <v>150</v>
      </c>
      <c r="D480" s="34" t="s">
        <v>66</v>
      </c>
      <c r="E480" s="17">
        <v>0</v>
      </c>
      <c r="F480" s="36">
        <f>IFERROR(E480/$Q480,0)</f>
        <v>0</v>
      </c>
      <c r="G480" s="17">
        <v>0</v>
      </c>
      <c r="H480" s="36">
        <f>IFERROR(G480/$R480,0)</f>
        <v>0</v>
      </c>
      <c r="I480" s="17">
        <v>4</v>
      </c>
      <c r="J480" s="36">
        <f>IFERROR(I480/$Q480,0)</f>
        <v>0.36363636363636365</v>
      </c>
      <c r="K480" s="17">
        <v>0</v>
      </c>
      <c r="L480" s="36">
        <f>IFERROR(K480/$R480,0)</f>
        <v>0</v>
      </c>
      <c r="M480" s="17">
        <v>7</v>
      </c>
      <c r="N480" s="36">
        <f>IFERROR(M480/$Q480,0)</f>
        <v>0.63636363636363635</v>
      </c>
      <c r="O480" s="17">
        <v>0</v>
      </c>
      <c r="P480" s="36">
        <f>IFERROR(O480/$R480,0)</f>
        <v>0</v>
      </c>
      <c r="Q480" s="17">
        <v>11</v>
      </c>
      <c r="R480" s="17">
        <v>0</v>
      </c>
    </row>
    <row r="481" spans="1:18" ht="15.75" customHeight="1" x14ac:dyDescent="0.25">
      <c r="A481" s="37">
        <v>2021</v>
      </c>
      <c r="B481" s="35">
        <v>171110</v>
      </c>
      <c r="C481" s="34" t="s">
        <v>150</v>
      </c>
      <c r="D481" s="34" t="s">
        <v>67</v>
      </c>
      <c r="E481" s="17">
        <v>13</v>
      </c>
      <c r="F481" s="36">
        <f>IFERROR(E481/$Q481,0)</f>
        <v>0.19117647058823528</v>
      </c>
      <c r="G481" s="17">
        <v>0</v>
      </c>
      <c r="H481" s="36">
        <f>IFERROR(G481/$R481,0)</f>
        <v>0</v>
      </c>
      <c r="I481" s="17">
        <v>25</v>
      </c>
      <c r="J481" s="36">
        <f>IFERROR(I481/$Q481,0)</f>
        <v>0.36764705882352944</v>
      </c>
      <c r="K481" s="17">
        <v>1</v>
      </c>
      <c r="L481" s="36">
        <f>IFERROR(K481/$R481,0)</f>
        <v>1</v>
      </c>
      <c r="M481" s="17">
        <v>30</v>
      </c>
      <c r="N481" s="36">
        <f>IFERROR(M481/$Q481,0)</f>
        <v>0.44117647058823528</v>
      </c>
      <c r="O481" s="17">
        <v>0</v>
      </c>
      <c r="P481" s="36">
        <f>IFERROR(O481/$R481,0)</f>
        <v>0</v>
      </c>
      <c r="Q481" s="17">
        <v>68</v>
      </c>
      <c r="R481" s="17">
        <v>1</v>
      </c>
    </row>
    <row r="482" spans="1:18" ht="15.75" customHeight="1" x14ac:dyDescent="0.25">
      <c r="A482" s="37">
        <v>2021</v>
      </c>
      <c r="B482" s="35">
        <v>171150</v>
      </c>
      <c r="C482" s="34" t="s">
        <v>146</v>
      </c>
      <c r="D482" s="34" t="s">
        <v>68</v>
      </c>
      <c r="E482" s="17">
        <v>14</v>
      </c>
      <c r="F482" s="36">
        <f>IFERROR(E482/$Q482,0)</f>
        <v>0.26415094339622641</v>
      </c>
      <c r="G482" s="17">
        <v>0</v>
      </c>
      <c r="H482" s="36">
        <f>IFERROR(G482/$R482,0)</f>
        <v>0</v>
      </c>
      <c r="I482" s="17">
        <v>26</v>
      </c>
      <c r="J482" s="36">
        <f>IFERROR(I482/$Q482,0)</f>
        <v>0.49056603773584906</v>
      </c>
      <c r="K482" s="17">
        <v>0</v>
      </c>
      <c r="L482" s="36">
        <f>IFERROR(K482/$R482,0)</f>
        <v>0</v>
      </c>
      <c r="M482" s="17">
        <v>13</v>
      </c>
      <c r="N482" s="36">
        <f>IFERROR(M482/$Q482,0)</f>
        <v>0.24528301886792453</v>
      </c>
      <c r="O482" s="17">
        <v>0</v>
      </c>
      <c r="P482" s="36">
        <f>IFERROR(O482/$R482,0)</f>
        <v>0</v>
      </c>
      <c r="Q482" s="17">
        <v>53</v>
      </c>
      <c r="R482" s="17">
        <v>0</v>
      </c>
    </row>
    <row r="483" spans="1:18" ht="15.75" customHeight="1" x14ac:dyDescent="0.25">
      <c r="A483" s="37">
        <v>2021</v>
      </c>
      <c r="B483" s="35">
        <v>171180</v>
      </c>
      <c r="C483" s="34" t="s">
        <v>150</v>
      </c>
      <c r="D483" s="34" t="s">
        <v>69</v>
      </c>
      <c r="E483" s="17">
        <v>1</v>
      </c>
      <c r="F483" s="36">
        <f>IFERROR(E483/$Q483,0)</f>
        <v>7.6923076923076927E-2</v>
      </c>
      <c r="G483" s="17">
        <v>0</v>
      </c>
      <c r="H483" s="36">
        <f>IFERROR(G483/$R483,0)</f>
        <v>0</v>
      </c>
      <c r="I483" s="17">
        <v>5</v>
      </c>
      <c r="J483" s="36">
        <f>IFERROR(I483/$Q483,0)</f>
        <v>0.38461538461538464</v>
      </c>
      <c r="K483" s="17">
        <v>0</v>
      </c>
      <c r="L483" s="36">
        <f>IFERROR(K483/$R483,0)</f>
        <v>0</v>
      </c>
      <c r="M483" s="17">
        <v>7</v>
      </c>
      <c r="N483" s="36">
        <f>IFERROR(M483/$Q483,0)</f>
        <v>0.53846153846153844</v>
      </c>
      <c r="O483" s="17">
        <v>0</v>
      </c>
      <c r="P483" s="36">
        <f>IFERROR(O483/$R483,0)</f>
        <v>0</v>
      </c>
      <c r="Q483" s="17">
        <v>13</v>
      </c>
      <c r="R483" s="17">
        <v>0</v>
      </c>
    </row>
    <row r="484" spans="1:18" ht="15.75" customHeight="1" x14ac:dyDescent="0.25">
      <c r="A484" s="37">
        <v>2021</v>
      </c>
      <c r="B484" s="35">
        <v>171190</v>
      </c>
      <c r="C484" s="34" t="s">
        <v>144</v>
      </c>
      <c r="D484" s="34" t="s">
        <v>70</v>
      </c>
      <c r="E484" s="17">
        <v>3</v>
      </c>
      <c r="F484" s="36">
        <f>IFERROR(E484/$Q484,0)</f>
        <v>0.27272727272727271</v>
      </c>
      <c r="G484" s="17">
        <v>2</v>
      </c>
      <c r="H484" s="36">
        <f>IFERROR(G484/$R484,0)</f>
        <v>0.25</v>
      </c>
      <c r="I484" s="17">
        <v>3</v>
      </c>
      <c r="J484" s="36">
        <f>IFERROR(I484/$Q484,0)</f>
        <v>0.27272727272727271</v>
      </c>
      <c r="K484" s="17">
        <v>3</v>
      </c>
      <c r="L484" s="36">
        <f>IFERROR(K484/$R484,0)</f>
        <v>0.375</v>
      </c>
      <c r="M484" s="17">
        <v>5</v>
      </c>
      <c r="N484" s="36">
        <f>IFERROR(M484/$Q484,0)</f>
        <v>0.45454545454545453</v>
      </c>
      <c r="O484" s="17">
        <v>3</v>
      </c>
      <c r="P484" s="36">
        <f>IFERROR(O484/$R484,0)</f>
        <v>0.375</v>
      </c>
      <c r="Q484" s="17">
        <v>11</v>
      </c>
      <c r="R484" s="17">
        <v>8</v>
      </c>
    </row>
    <row r="485" spans="1:18" ht="15.75" customHeight="1" x14ac:dyDescent="0.25">
      <c r="A485" s="37">
        <v>2021</v>
      </c>
      <c r="B485" s="35">
        <v>171195</v>
      </c>
      <c r="C485" s="34" t="s">
        <v>148</v>
      </c>
      <c r="D485" s="34" t="s">
        <v>71</v>
      </c>
      <c r="E485" s="17">
        <v>41</v>
      </c>
      <c r="F485" s="36">
        <f>IFERROR(E485/$Q485,0)</f>
        <v>0.18303571428571427</v>
      </c>
      <c r="G485" s="17">
        <v>1</v>
      </c>
      <c r="H485" s="36">
        <f>IFERROR(G485/$R485,0)</f>
        <v>0.2</v>
      </c>
      <c r="I485" s="17">
        <v>100</v>
      </c>
      <c r="J485" s="36">
        <f>IFERROR(I485/$Q485,0)</f>
        <v>0.44642857142857145</v>
      </c>
      <c r="K485" s="17">
        <v>1</v>
      </c>
      <c r="L485" s="36">
        <f>IFERROR(K485/$R485,0)</f>
        <v>0.2</v>
      </c>
      <c r="M485" s="17">
        <v>83</v>
      </c>
      <c r="N485" s="36">
        <f>IFERROR(M485/$Q485,0)</f>
        <v>0.3705357142857143</v>
      </c>
      <c r="O485" s="17">
        <v>3</v>
      </c>
      <c r="P485" s="36">
        <f>IFERROR(O485/$R485,0)</f>
        <v>0.6</v>
      </c>
      <c r="Q485" s="17">
        <v>224</v>
      </c>
      <c r="R485" s="17">
        <v>5</v>
      </c>
    </row>
    <row r="486" spans="1:18" ht="15.75" customHeight="1" x14ac:dyDescent="0.25">
      <c r="A486" s="37">
        <v>2021</v>
      </c>
      <c r="B486" s="35">
        <v>171200</v>
      </c>
      <c r="C486" s="34" t="s">
        <v>148</v>
      </c>
      <c r="D486" s="34" t="s">
        <v>72</v>
      </c>
      <c r="E486" s="17">
        <v>0</v>
      </c>
      <c r="F486" s="36">
        <f>IFERROR(E486/$Q486,0)</f>
        <v>0</v>
      </c>
      <c r="G486" s="17">
        <v>0</v>
      </c>
      <c r="H486" s="36">
        <f>IFERROR(G486/$R486,0)</f>
        <v>0</v>
      </c>
      <c r="I486" s="17">
        <v>1</v>
      </c>
      <c r="J486" s="36">
        <f>IFERROR(I486/$Q486,0)</f>
        <v>0.5</v>
      </c>
      <c r="K486" s="17">
        <v>0</v>
      </c>
      <c r="L486" s="36">
        <f>IFERROR(K486/$R486,0)</f>
        <v>0</v>
      </c>
      <c r="M486" s="17">
        <v>1</v>
      </c>
      <c r="N486" s="36">
        <f>IFERROR(M486/$Q486,0)</f>
        <v>0.5</v>
      </c>
      <c r="O486" s="17">
        <v>0</v>
      </c>
      <c r="P486" s="36">
        <f>IFERROR(O486/$R486,0)</f>
        <v>0</v>
      </c>
      <c r="Q486" s="17">
        <v>2</v>
      </c>
      <c r="R486" s="17">
        <v>0</v>
      </c>
    </row>
    <row r="487" spans="1:18" ht="15.75" customHeight="1" x14ac:dyDescent="0.25">
      <c r="A487" s="37">
        <v>2021</v>
      </c>
      <c r="B487" s="35">
        <v>171215</v>
      </c>
      <c r="C487" s="34" t="s">
        <v>147</v>
      </c>
      <c r="D487" s="34" t="s">
        <v>73</v>
      </c>
      <c r="E487" s="17">
        <v>28</v>
      </c>
      <c r="F487" s="36">
        <f>IFERROR(E487/$Q487,0)</f>
        <v>0.18791946308724833</v>
      </c>
      <c r="G487" s="17">
        <v>1</v>
      </c>
      <c r="H487" s="36">
        <f>IFERROR(G487/$R487,0)</f>
        <v>1</v>
      </c>
      <c r="I487" s="17">
        <v>68</v>
      </c>
      <c r="J487" s="36">
        <f>IFERROR(I487/$Q487,0)</f>
        <v>0.4563758389261745</v>
      </c>
      <c r="K487" s="17">
        <v>0</v>
      </c>
      <c r="L487" s="36">
        <f>IFERROR(K487/$R487,0)</f>
        <v>0</v>
      </c>
      <c r="M487" s="17">
        <v>53</v>
      </c>
      <c r="N487" s="36">
        <f>IFERROR(M487/$Q487,0)</f>
        <v>0.35570469798657717</v>
      </c>
      <c r="O487" s="17">
        <v>0</v>
      </c>
      <c r="P487" s="36">
        <f>IFERROR(O487/$R487,0)</f>
        <v>0</v>
      </c>
      <c r="Q487" s="17">
        <v>149</v>
      </c>
      <c r="R487" s="17">
        <v>1</v>
      </c>
    </row>
    <row r="488" spans="1:18" ht="15.75" customHeight="1" x14ac:dyDescent="0.25">
      <c r="A488" s="37">
        <v>2021</v>
      </c>
      <c r="B488" s="35">
        <v>171240</v>
      </c>
      <c r="C488" s="34" t="s">
        <v>148</v>
      </c>
      <c r="D488" s="34" t="s">
        <v>74</v>
      </c>
      <c r="E488" s="17">
        <v>1</v>
      </c>
      <c r="F488" s="36">
        <f>IFERROR(E488/$Q488,0)</f>
        <v>0.5</v>
      </c>
      <c r="G488" s="17">
        <v>0</v>
      </c>
      <c r="H488" s="36">
        <f>IFERROR(G488/$R488,0)</f>
        <v>0</v>
      </c>
      <c r="I488" s="17">
        <v>0</v>
      </c>
      <c r="J488" s="36">
        <f>IFERROR(I488/$Q488,0)</f>
        <v>0</v>
      </c>
      <c r="K488" s="17">
        <v>0</v>
      </c>
      <c r="L488" s="36">
        <f>IFERROR(K488/$R488,0)</f>
        <v>0</v>
      </c>
      <c r="M488" s="17">
        <v>1</v>
      </c>
      <c r="N488" s="36">
        <f>IFERROR(M488/$Q488,0)</f>
        <v>0.5</v>
      </c>
      <c r="O488" s="17">
        <v>0</v>
      </c>
      <c r="P488" s="36">
        <f>IFERROR(O488/$R488,0)</f>
        <v>0</v>
      </c>
      <c r="Q488" s="17">
        <v>2</v>
      </c>
      <c r="R488" s="17">
        <v>0</v>
      </c>
    </row>
    <row r="489" spans="1:18" ht="15.75" customHeight="1" x14ac:dyDescent="0.25">
      <c r="A489" s="37">
        <v>2021</v>
      </c>
      <c r="B489" s="35">
        <v>171245</v>
      </c>
      <c r="C489" s="34" t="s">
        <v>145</v>
      </c>
      <c r="D489" s="34" t="s">
        <v>75</v>
      </c>
      <c r="E489" s="17">
        <v>24</v>
      </c>
      <c r="F489" s="36">
        <f>IFERROR(E489/$Q489,0)</f>
        <v>0.15584415584415584</v>
      </c>
      <c r="G489" s="17">
        <v>1</v>
      </c>
      <c r="H489" s="36">
        <f>IFERROR(G489/$R489,0)</f>
        <v>0.33333333333333331</v>
      </c>
      <c r="I489" s="17">
        <v>67</v>
      </c>
      <c r="J489" s="36">
        <f>IFERROR(I489/$Q489,0)</f>
        <v>0.43506493506493504</v>
      </c>
      <c r="K489" s="17">
        <v>2</v>
      </c>
      <c r="L489" s="36">
        <f>IFERROR(K489/$R489,0)</f>
        <v>0.66666666666666663</v>
      </c>
      <c r="M489" s="17">
        <v>63</v>
      </c>
      <c r="N489" s="36">
        <f>IFERROR(M489/$Q489,0)</f>
        <v>0.40909090909090912</v>
      </c>
      <c r="O489" s="17">
        <v>0</v>
      </c>
      <c r="P489" s="36">
        <f>IFERROR(O489/$R489,0)</f>
        <v>0</v>
      </c>
      <c r="Q489" s="17">
        <v>154</v>
      </c>
      <c r="R489" s="17">
        <v>3</v>
      </c>
    </row>
    <row r="490" spans="1:18" ht="15.75" customHeight="1" x14ac:dyDescent="0.25">
      <c r="A490" s="37">
        <v>2021</v>
      </c>
      <c r="B490" s="35">
        <v>171250</v>
      </c>
      <c r="C490" s="34" t="s">
        <v>144</v>
      </c>
      <c r="D490" s="34" t="s">
        <v>76</v>
      </c>
      <c r="E490" s="17">
        <v>9</v>
      </c>
      <c r="F490" s="36">
        <f>IFERROR(E490/$Q490,0)</f>
        <v>0.15</v>
      </c>
      <c r="G490" s="17">
        <v>0</v>
      </c>
      <c r="H490" s="36">
        <f>IFERROR(G490/$R490,0)</f>
        <v>0</v>
      </c>
      <c r="I490" s="17">
        <v>19</v>
      </c>
      <c r="J490" s="36">
        <f>IFERROR(I490/$Q490,0)</f>
        <v>0.31666666666666665</v>
      </c>
      <c r="K490" s="17">
        <v>2</v>
      </c>
      <c r="L490" s="36">
        <f>IFERROR(K490/$R490,0)</f>
        <v>0.66666666666666663</v>
      </c>
      <c r="M490" s="17">
        <v>32</v>
      </c>
      <c r="N490" s="36">
        <f>IFERROR(M490/$Q490,0)</f>
        <v>0.53333333333333333</v>
      </c>
      <c r="O490" s="17">
        <v>1</v>
      </c>
      <c r="P490" s="36">
        <f>IFERROR(O490/$R490,0)</f>
        <v>0.33333333333333331</v>
      </c>
      <c r="Q490" s="17">
        <v>60</v>
      </c>
      <c r="R490" s="17">
        <v>3</v>
      </c>
    </row>
    <row r="491" spans="1:18" ht="15.75" customHeight="1" x14ac:dyDescent="0.25">
      <c r="A491" s="37">
        <v>2021</v>
      </c>
      <c r="B491" s="35">
        <v>171270</v>
      </c>
      <c r="C491" s="34" t="s">
        <v>151</v>
      </c>
      <c r="D491" s="34" t="s">
        <v>77</v>
      </c>
      <c r="E491" s="17">
        <v>6</v>
      </c>
      <c r="F491" s="36">
        <f>IFERROR(E491/$Q491,0)</f>
        <v>0.13636363636363635</v>
      </c>
      <c r="G491" s="17">
        <v>0</v>
      </c>
      <c r="H491" s="36">
        <f>IFERROR(G491/$R491,0)</f>
        <v>0</v>
      </c>
      <c r="I491" s="17">
        <v>23</v>
      </c>
      <c r="J491" s="36">
        <f>IFERROR(I491/$Q491,0)</f>
        <v>0.52272727272727271</v>
      </c>
      <c r="K491" s="17">
        <v>0</v>
      </c>
      <c r="L491" s="36">
        <f>IFERROR(K491/$R491,0)</f>
        <v>0</v>
      </c>
      <c r="M491" s="17">
        <v>15</v>
      </c>
      <c r="N491" s="36">
        <f>IFERROR(M491/$Q491,0)</f>
        <v>0.34090909090909088</v>
      </c>
      <c r="O491" s="17">
        <v>0</v>
      </c>
      <c r="P491" s="36">
        <f>IFERROR(O491/$R491,0)</f>
        <v>0</v>
      </c>
      <c r="Q491" s="17">
        <v>44</v>
      </c>
      <c r="R491" s="17">
        <v>0</v>
      </c>
    </row>
    <row r="492" spans="1:18" ht="15.75" customHeight="1" x14ac:dyDescent="0.25">
      <c r="A492" s="37">
        <v>2021</v>
      </c>
      <c r="B492" s="35">
        <v>171280</v>
      </c>
      <c r="C492" s="34" t="s">
        <v>145</v>
      </c>
      <c r="D492" s="34" t="s">
        <v>78</v>
      </c>
      <c r="E492" s="17">
        <v>27</v>
      </c>
      <c r="F492" s="36">
        <f>IFERROR(E492/$Q492,0)</f>
        <v>0.22689075630252101</v>
      </c>
      <c r="G492" s="17">
        <v>0</v>
      </c>
      <c r="H492" s="36">
        <f>IFERROR(G492/$R492,0)</f>
        <v>0</v>
      </c>
      <c r="I492" s="17">
        <v>46</v>
      </c>
      <c r="J492" s="36">
        <f>IFERROR(I492/$Q492,0)</f>
        <v>0.38655462184873951</v>
      </c>
      <c r="K492" s="17">
        <v>1</v>
      </c>
      <c r="L492" s="36">
        <f>IFERROR(K492/$R492,0)</f>
        <v>1</v>
      </c>
      <c r="M492" s="17">
        <v>46</v>
      </c>
      <c r="N492" s="36">
        <f>IFERROR(M492/$Q492,0)</f>
        <v>0.38655462184873951</v>
      </c>
      <c r="O492" s="17">
        <v>0</v>
      </c>
      <c r="P492" s="36">
        <f>IFERROR(O492/$R492,0)</f>
        <v>0</v>
      </c>
      <c r="Q492" s="17">
        <v>119</v>
      </c>
      <c r="R492" s="17">
        <v>1</v>
      </c>
    </row>
    <row r="493" spans="1:18" ht="15.75" customHeight="1" x14ac:dyDescent="0.25">
      <c r="A493" s="37">
        <v>2021</v>
      </c>
      <c r="B493" s="35">
        <v>171320</v>
      </c>
      <c r="C493" s="34" t="s">
        <v>148</v>
      </c>
      <c r="D493" s="34" t="s">
        <v>79</v>
      </c>
      <c r="E493" s="17">
        <v>162</v>
      </c>
      <c r="F493" s="36">
        <f>IFERROR(E493/$Q493,0)</f>
        <v>0.14903403863845446</v>
      </c>
      <c r="G493" s="17">
        <v>2</v>
      </c>
      <c r="H493" s="36">
        <f>IFERROR(G493/$R493,0)</f>
        <v>0.15384615384615385</v>
      </c>
      <c r="I493" s="17">
        <v>485</v>
      </c>
      <c r="J493" s="36">
        <f>IFERROR(I493/$Q493,0)</f>
        <v>0.44618215271389144</v>
      </c>
      <c r="K493" s="17">
        <v>4</v>
      </c>
      <c r="L493" s="36">
        <f>IFERROR(K493/$R493,0)</f>
        <v>0.30769230769230771</v>
      </c>
      <c r="M493" s="17">
        <v>440</v>
      </c>
      <c r="N493" s="36">
        <f>IFERROR(M493/$Q493,0)</f>
        <v>0.40478380864765412</v>
      </c>
      <c r="O493" s="17">
        <v>7</v>
      </c>
      <c r="P493" s="36">
        <f>IFERROR(O493/$R493,0)</f>
        <v>0.53846153846153844</v>
      </c>
      <c r="Q493" s="16">
        <v>1087</v>
      </c>
      <c r="R493" s="17">
        <v>13</v>
      </c>
    </row>
    <row r="494" spans="1:18" ht="15.75" customHeight="1" x14ac:dyDescent="0.25">
      <c r="A494" s="37">
        <v>2021</v>
      </c>
      <c r="B494" s="35">
        <v>171330</v>
      </c>
      <c r="C494" s="34" t="s">
        <v>148</v>
      </c>
      <c r="D494" s="34" t="s">
        <v>80</v>
      </c>
      <c r="E494" s="17">
        <v>47</v>
      </c>
      <c r="F494" s="36">
        <f>IFERROR(E494/$Q494,0)</f>
        <v>0.13428571428571429</v>
      </c>
      <c r="G494" s="17">
        <v>1</v>
      </c>
      <c r="H494" s="36">
        <f>IFERROR(G494/$R494,0)</f>
        <v>0.25</v>
      </c>
      <c r="I494" s="17">
        <v>136</v>
      </c>
      <c r="J494" s="36">
        <f>IFERROR(I494/$Q494,0)</f>
        <v>0.38857142857142857</v>
      </c>
      <c r="K494" s="17">
        <v>1</v>
      </c>
      <c r="L494" s="36">
        <f>IFERROR(K494/$R494,0)</f>
        <v>0.25</v>
      </c>
      <c r="M494" s="17">
        <v>167</v>
      </c>
      <c r="N494" s="36">
        <f>IFERROR(M494/$Q494,0)</f>
        <v>0.47714285714285715</v>
      </c>
      <c r="O494" s="17">
        <v>2</v>
      </c>
      <c r="P494" s="36">
        <f>IFERROR(O494/$R494,0)</f>
        <v>0.5</v>
      </c>
      <c r="Q494" s="17">
        <v>350</v>
      </c>
      <c r="R494" s="17">
        <v>4</v>
      </c>
    </row>
    <row r="495" spans="1:18" ht="15.75" customHeight="1" x14ac:dyDescent="0.25">
      <c r="A495" s="37">
        <v>2021</v>
      </c>
      <c r="B495" s="35">
        <v>171360</v>
      </c>
      <c r="C495" s="34" t="s">
        <v>151</v>
      </c>
      <c r="D495" s="34" t="s">
        <v>81</v>
      </c>
      <c r="E495" s="17">
        <v>31</v>
      </c>
      <c r="F495" s="36">
        <f>IFERROR(E495/$Q495,0)</f>
        <v>0.13080168776371309</v>
      </c>
      <c r="G495" s="17">
        <v>0</v>
      </c>
      <c r="H495" s="36">
        <f>IFERROR(G495/$R495,0)</f>
        <v>0</v>
      </c>
      <c r="I495" s="17">
        <v>81</v>
      </c>
      <c r="J495" s="36">
        <f>IFERROR(I495/$Q495,0)</f>
        <v>0.34177215189873417</v>
      </c>
      <c r="K495" s="17">
        <v>0</v>
      </c>
      <c r="L495" s="36">
        <f>IFERROR(K495/$R495,0)</f>
        <v>0</v>
      </c>
      <c r="M495" s="17">
        <v>125</v>
      </c>
      <c r="N495" s="36">
        <f>IFERROR(M495/$Q495,0)</f>
        <v>0.52742616033755274</v>
      </c>
      <c r="O495" s="17">
        <v>2</v>
      </c>
      <c r="P495" s="36">
        <f>IFERROR(O495/$R495,0)</f>
        <v>1</v>
      </c>
      <c r="Q495" s="17">
        <v>237</v>
      </c>
      <c r="R495" s="17">
        <v>2</v>
      </c>
    </row>
    <row r="496" spans="1:18" ht="15.75" customHeight="1" x14ac:dyDescent="0.25">
      <c r="A496" s="37">
        <v>2021</v>
      </c>
      <c r="B496" s="35">
        <v>171370</v>
      </c>
      <c r="C496" s="34" t="s">
        <v>144</v>
      </c>
      <c r="D496" s="34" t="s">
        <v>82</v>
      </c>
      <c r="E496" s="17">
        <v>0</v>
      </c>
      <c r="F496" s="36">
        <f>IFERROR(E496/$Q496,0)</f>
        <v>0</v>
      </c>
      <c r="G496" s="17">
        <v>0</v>
      </c>
      <c r="H496" s="36">
        <f>IFERROR(G496/$R496,0)</f>
        <v>0</v>
      </c>
      <c r="I496" s="17">
        <v>2</v>
      </c>
      <c r="J496" s="36">
        <f>IFERROR(I496/$Q496,0)</f>
        <v>1</v>
      </c>
      <c r="K496" s="17">
        <v>0</v>
      </c>
      <c r="L496" s="36">
        <f>IFERROR(K496/$R496,0)</f>
        <v>0</v>
      </c>
      <c r="M496" s="17">
        <v>0</v>
      </c>
      <c r="N496" s="36">
        <f>IFERROR(M496/$Q496,0)</f>
        <v>0</v>
      </c>
      <c r="O496" s="17">
        <v>0</v>
      </c>
      <c r="P496" s="36">
        <f>IFERROR(O496/$R496,0)</f>
        <v>0</v>
      </c>
      <c r="Q496" s="17">
        <v>2</v>
      </c>
      <c r="R496" s="17">
        <v>0</v>
      </c>
    </row>
    <row r="497" spans="1:18" ht="15.75" customHeight="1" x14ac:dyDescent="0.25">
      <c r="A497" s="37">
        <v>2021</v>
      </c>
      <c r="B497" s="35">
        <v>171395</v>
      </c>
      <c r="C497" s="34" t="s">
        <v>149</v>
      </c>
      <c r="D497" s="34" t="s">
        <v>83</v>
      </c>
      <c r="E497" s="17">
        <v>16</v>
      </c>
      <c r="F497" s="36">
        <f>IFERROR(E497/$Q497,0)</f>
        <v>7.5471698113207544E-2</v>
      </c>
      <c r="G497" s="17">
        <v>1</v>
      </c>
      <c r="H497" s="36">
        <f>IFERROR(G497/$R497,0)</f>
        <v>0.1111111111111111</v>
      </c>
      <c r="I497" s="17">
        <v>99</v>
      </c>
      <c r="J497" s="36">
        <f>IFERROR(I497/$Q497,0)</f>
        <v>0.46698113207547171</v>
      </c>
      <c r="K497" s="17">
        <v>3</v>
      </c>
      <c r="L497" s="36">
        <f>IFERROR(K497/$R497,0)</f>
        <v>0.33333333333333331</v>
      </c>
      <c r="M497" s="17">
        <v>97</v>
      </c>
      <c r="N497" s="36">
        <f>IFERROR(M497/$Q497,0)</f>
        <v>0.45754716981132076</v>
      </c>
      <c r="O497" s="17">
        <v>5</v>
      </c>
      <c r="P497" s="36">
        <f>IFERROR(O497/$R497,0)</f>
        <v>0.55555555555555558</v>
      </c>
      <c r="Q497" s="17">
        <v>212</v>
      </c>
      <c r="R497" s="17">
        <v>9</v>
      </c>
    </row>
    <row r="498" spans="1:18" ht="15.75" customHeight="1" x14ac:dyDescent="0.25">
      <c r="A498" s="37">
        <v>2021</v>
      </c>
      <c r="B498" s="35">
        <v>171420</v>
      </c>
      <c r="C498" s="34" t="s">
        <v>151</v>
      </c>
      <c r="D498" s="34" t="s">
        <v>84</v>
      </c>
      <c r="E498" s="17">
        <v>87</v>
      </c>
      <c r="F498" s="36">
        <f>IFERROR(E498/$Q498,0)</f>
        <v>0.16893203883495145</v>
      </c>
      <c r="G498" s="17">
        <v>0</v>
      </c>
      <c r="H498" s="36">
        <f>IFERROR(G498/$R498,0)</f>
        <v>0</v>
      </c>
      <c r="I498" s="17">
        <v>200</v>
      </c>
      <c r="J498" s="36">
        <f>IFERROR(I498/$Q498,0)</f>
        <v>0.38834951456310679</v>
      </c>
      <c r="K498" s="17">
        <v>2</v>
      </c>
      <c r="L498" s="36">
        <f>IFERROR(K498/$R498,0)</f>
        <v>0.4</v>
      </c>
      <c r="M498" s="17">
        <v>228</v>
      </c>
      <c r="N498" s="36">
        <f>IFERROR(M498/$Q498,0)</f>
        <v>0.44271844660194176</v>
      </c>
      <c r="O498" s="17">
        <v>3</v>
      </c>
      <c r="P498" s="36">
        <f>IFERROR(O498/$R498,0)</f>
        <v>0.6</v>
      </c>
      <c r="Q498" s="17">
        <v>515</v>
      </c>
      <c r="R498" s="17">
        <v>5</v>
      </c>
    </row>
    <row r="499" spans="1:18" ht="15.75" customHeight="1" x14ac:dyDescent="0.25">
      <c r="A499" s="37">
        <v>2021</v>
      </c>
      <c r="B499" s="35">
        <v>171430</v>
      </c>
      <c r="C499" s="34" t="s">
        <v>145</v>
      </c>
      <c r="D499" s="34" t="s">
        <v>85</v>
      </c>
      <c r="E499" s="17">
        <v>19</v>
      </c>
      <c r="F499" s="36">
        <f>IFERROR(E499/$Q499,0)</f>
        <v>0.24675324675324675</v>
      </c>
      <c r="G499" s="17">
        <v>0</v>
      </c>
      <c r="H499" s="36">
        <f>IFERROR(G499/$R499,0)</f>
        <v>0</v>
      </c>
      <c r="I499" s="17">
        <v>28</v>
      </c>
      <c r="J499" s="36">
        <f>IFERROR(I499/$Q499,0)</f>
        <v>0.36363636363636365</v>
      </c>
      <c r="K499" s="17">
        <v>3</v>
      </c>
      <c r="L499" s="36">
        <f>IFERROR(K499/$R499,0)</f>
        <v>0.75</v>
      </c>
      <c r="M499" s="17">
        <v>30</v>
      </c>
      <c r="N499" s="36">
        <f>IFERROR(M499/$Q499,0)</f>
        <v>0.38961038961038963</v>
      </c>
      <c r="O499" s="17">
        <v>1</v>
      </c>
      <c r="P499" s="36">
        <f>IFERROR(O499/$R499,0)</f>
        <v>0.25</v>
      </c>
      <c r="Q499" s="17">
        <v>77</v>
      </c>
      <c r="R499" s="17">
        <v>4</v>
      </c>
    </row>
    <row r="500" spans="1:18" ht="15.75" customHeight="1" x14ac:dyDescent="0.25">
      <c r="A500" s="37">
        <v>2021</v>
      </c>
      <c r="B500" s="35">
        <v>171488</v>
      </c>
      <c r="C500" s="34" t="s">
        <v>149</v>
      </c>
      <c r="D500" s="34" t="s">
        <v>86</v>
      </c>
      <c r="E500" s="17">
        <v>3</v>
      </c>
      <c r="F500" s="36">
        <f>IFERROR(E500/$Q500,0)</f>
        <v>3.3333333333333333E-2</v>
      </c>
      <c r="G500" s="17">
        <v>0</v>
      </c>
      <c r="H500" s="36">
        <f>IFERROR(G500/$R500,0)</f>
        <v>0</v>
      </c>
      <c r="I500" s="17">
        <v>45</v>
      </c>
      <c r="J500" s="36">
        <f>IFERROR(I500/$Q500,0)</f>
        <v>0.5</v>
      </c>
      <c r="K500" s="17">
        <v>0</v>
      </c>
      <c r="L500" s="36">
        <f>IFERROR(K500/$R500,0)</f>
        <v>0</v>
      </c>
      <c r="M500" s="17">
        <v>42</v>
      </c>
      <c r="N500" s="36">
        <f>IFERROR(M500/$Q500,0)</f>
        <v>0.46666666666666667</v>
      </c>
      <c r="O500" s="17">
        <v>2</v>
      </c>
      <c r="P500" s="36">
        <f>IFERROR(O500/$R500,0)</f>
        <v>1</v>
      </c>
      <c r="Q500" s="17">
        <v>90</v>
      </c>
      <c r="R500" s="17">
        <v>2</v>
      </c>
    </row>
    <row r="501" spans="1:18" ht="15.75" customHeight="1" x14ac:dyDescent="0.25">
      <c r="A501" s="37">
        <v>2021</v>
      </c>
      <c r="B501" s="35">
        <v>171500</v>
      </c>
      <c r="C501" s="34" t="s">
        <v>144</v>
      </c>
      <c r="D501" s="34" t="s">
        <v>87</v>
      </c>
      <c r="E501" s="17">
        <v>14</v>
      </c>
      <c r="F501" s="36">
        <f>IFERROR(E501/$Q501,0)</f>
        <v>0.16666666666666666</v>
      </c>
      <c r="G501" s="17">
        <v>2</v>
      </c>
      <c r="H501" s="36">
        <f>IFERROR(G501/$R501,0)</f>
        <v>1</v>
      </c>
      <c r="I501" s="17">
        <v>39</v>
      </c>
      <c r="J501" s="36">
        <f>IFERROR(I501/$Q501,0)</f>
        <v>0.4642857142857143</v>
      </c>
      <c r="K501" s="17">
        <v>0</v>
      </c>
      <c r="L501" s="36">
        <f>IFERROR(K501/$R501,0)</f>
        <v>0</v>
      </c>
      <c r="M501" s="17">
        <v>31</v>
      </c>
      <c r="N501" s="36">
        <f>IFERROR(M501/$Q501,0)</f>
        <v>0.36904761904761907</v>
      </c>
      <c r="O501" s="17">
        <v>0</v>
      </c>
      <c r="P501" s="36">
        <f>IFERROR(O501/$R501,0)</f>
        <v>0</v>
      </c>
      <c r="Q501" s="17">
        <v>84</v>
      </c>
      <c r="R501" s="17">
        <v>2</v>
      </c>
    </row>
    <row r="502" spans="1:18" ht="15.75" customHeight="1" x14ac:dyDescent="0.25">
      <c r="A502" s="37">
        <v>2021</v>
      </c>
      <c r="B502" s="35">
        <v>171510</v>
      </c>
      <c r="C502" s="34" t="s">
        <v>148</v>
      </c>
      <c r="D502" s="34" t="s">
        <v>88</v>
      </c>
      <c r="E502" s="17">
        <v>5</v>
      </c>
      <c r="F502" s="36">
        <f>IFERROR(E502/$Q502,0)</f>
        <v>0.11904761904761904</v>
      </c>
      <c r="G502" s="17">
        <v>0</v>
      </c>
      <c r="H502" s="36">
        <f>IFERROR(G502/$R502,0)</f>
        <v>0</v>
      </c>
      <c r="I502" s="17">
        <v>17</v>
      </c>
      <c r="J502" s="36">
        <f>IFERROR(I502/$Q502,0)</f>
        <v>0.40476190476190477</v>
      </c>
      <c r="K502" s="17">
        <v>0</v>
      </c>
      <c r="L502" s="36">
        <f>IFERROR(K502/$R502,0)</f>
        <v>0</v>
      </c>
      <c r="M502" s="17">
        <v>20</v>
      </c>
      <c r="N502" s="36">
        <f>IFERROR(M502/$Q502,0)</f>
        <v>0.47619047619047616</v>
      </c>
      <c r="O502" s="17">
        <v>0</v>
      </c>
      <c r="P502" s="36">
        <f>IFERROR(O502/$R502,0)</f>
        <v>0</v>
      </c>
      <c r="Q502" s="17">
        <v>42</v>
      </c>
      <c r="R502" s="17">
        <v>0</v>
      </c>
    </row>
    <row r="503" spans="1:18" ht="15.75" customHeight="1" x14ac:dyDescent="0.25">
      <c r="A503" s="37">
        <v>2021</v>
      </c>
      <c r="B503" s="35">
        <v>171515</v>
      </c>
      <c r="C503" s="34" t="s">
        <v>147</v>
      </c>
      <c r="D503" s="34" t="s">
        <v>89</v>
      </c>
      <c r="E503" s="17">
        <v>34</v>
      </c>
      <c r="F503" s="36">
        <f>IFERROR(E503/$Q503,0)</f>
        <v>0.17435897435897435</v>
      </c>
      <c r="G503" s="17">
        <v>0</v>
      </c>
      <c r="H503" s="36">
        <f>IFERROR(G503/$R503,0)</f>
        <v>0</v>
      </c>
      <c r="I503" s="17">
        <v>85</v>
      </c>
      <c r="J503" s="36">
        <f>IFERROR(I503/$Q503,0)</f>
        <v>0.4358974358974359</v>
      </c>
      <c r="K503" s="17">
        <v>1</v>
      </c>
      <c r="L503" s="36">
        <f>IFERROR(K503/$R503,0)</f>
        <v>1</v>
      </c>
      <c r="M503" s="17">
        <v>76</v>
      </c>
      <c r="N503" s="36">
        <f>IFERROR(M503/$Q503,0)</f>
        <v>0.38974358974358975</v>
      </c>
      <c r="O503" s="17">
        <v>0</v>
      </c>
      <c r="P503" s="36">
        <f>IFERROR(O503/$R503,0)</f>
        <v>0</v>
      </c>
      <c r="Q503" s="17">
        <v>195</v>
      </c>
      <c r="R503" s="17">
        <v>1</v>
      </c>
    </row>
    <row r="504" spans="1:18" ht="15.75" customHeight="1" x14ac:dyDescent="0.25">
      <c r="A504" s="37">
        <v>2021</v>
      </c>
      <c r="B504" s="35">
        <v>171525</v>
      </c>
      <c r="C504" s="34" t="s">
        <v>147</v>
      </c>
      <c r="D504" s="34" t="s">
        <v>90</v>
      </c>
      <c r="E504" s="17">
        <v>0</v>
      </c>
      <c r="F504" s="36">
        <f>IFERROR(E504/$Q504,0)</f>
        <v>0</v>
      </c>
      <c r="G504" s="17">
        <v>0</v>
      </c>
      <c r="H504" s="36">
        <f>IFERROR(G504/$R504,0)</f>
        <v>0</v>
      </c>
      <c r="I504" s="17">
        <v>4</v>
      </c>
      <c r="J504" s="36">
        <f>IFERROR(I504/$Q504,0)</f>
        <v>0.66666666666666663</v>
      </c>
      <c r="K504" s="17">
        <v>0</v>
      </c>
      <c r="L504" s="36">
        <f>IFERROR(K504/$R504,0)</f>
        <v>0</v>
      </c>
      <c r="M504" s="17">
        <v>2</v>
      </c>
      <c r="N504" s="36">
        <f>IFERROR(M504/$Q504,0)</f>
        <v>0.33333333333333331</v>
      </c>
      <c r="O504" s="17">
        <v>2</v>
      </c>
      <c r="P504" s="36">
        <f>IFERROR(O504/$R504,0)</f>
        <v>1</v>
      </c>
      <c r="Q504" s="17">
        <v>6</v>
      </c>
      <c r="R504" s="17">
        <v>2</v>
      </c>
    </row>
    <row r="505" spans="1:18" ht="15.75" customHeight="1" x14ac:dyDescent="0.25">
      <c r="A505" s="37">
        <v>2021</v>
      </c>
      <c r="B505" s="35">
        <v>171550</v>
      </c>
      <c r="C505" s="34" t="s">
        <v>151</v>
      </c>
      <c r="D505" s="34" t="s">
        <v>91</v>
      </c>
      <c r="E505" s="17">
        <v>10</v>
      </c>
      <c r="F505" s="36">
        <f>IFERROR(E505/$Q505,0)</f>
        <v>0.15384615384615385</v>
      </c>
      <c r="G505" s="17">
        <v>0</v>
      </c>
      <c r="H505" s="36">
        <f>IFERROR(G505/$R505,0)</f>
        <v>0</v>
      </c>
      <c r="I505" s="17">
        <v>23</v>
      </c>
      <c r="J505" s="36">
        <f>IFERROR(I505/$Q505,0)</f>
        <v>0.35384615384615387</v>
      </c>
      <c r="K505" s="17">
        <v>0</v>
      </c>
      <c r="L505" s="36">
        <f>IFERROR(K505/$R505,0)</f>
        <v>0</v>
      </c>
      <c r="M505" s="17">
        <v>32</v>
      </c>
      <c r="N505" s="36">
        <f>IFERROR(M505/$Q505,0)</f>
        <v>0.49230769230769234</v>
      </c>
      <c r="O505" s="17">
        <v>0</v>
      </c>
      <c r="P505" s="36">
        <f>IFERROR(O505/$R505,0)</f>
        <v>0</v>
      </c>
      <c r="Q505" s="17">
        <v>65</v>
      </c>
      <c r="R505" s="17">
        <v>0</v>
      </c>
    </row>
    <row r="506" spans="1:18" ht="15.75" customHeight="1" x14ac:dyDescent="0.25">
      <c r="A506" s="37">
        <v>2021</v>
      </c>
      <c r="B506" s="35">
        <v>172100</v>
      </c>
      <c r="C506" s="34" t="s">
        <v>148</v>
      </c>
      <c r="D506" s="34" t="s">
        <v>92</v>
      </c>
      <c r="E506" s="17">
        <v>365</v>
      </c>
      <c r="F506" s="36">
        <f>IFERROR(E506/$Q506,0)</f>
        <v>0.13533555802743791</v>
      </c>
      <c r="G506" s="17">
        <v>18</v>
      </c>
      <c r="H506" s="36">
        <f>IFERROR(G506/$R506,0)</f>
        <v>0.20224719101123595</v>
      </c>
      <c r="I506" s="16">
        <v>1049</v>
      </c>
      <c r="J506" s="36">
        <f>IFERROR(I506/$Q506,0)</f>
        <v>0.38895068594734888</v>
      </c>
      <c r="K506" s="17">
        <v>30</v>
      </c>
      <c r="L506" s="36">
        <f>IFERROR(K506/$R506,0)</f>
        <v>0.33707865168539325</v>
      </c>
      <c r="M506" s="16">
        <v>1283</v>
      </c>
      <c r="N506" s="36">
        <f>IFERROR(M506/$Q506,0)</f>
        <v>0.47571375602521321</v>
      </c>
      <c r="O506" s="17">
        <v>41</v>
      </c>
      <c r="P506" s="36">
        <f>IFERROR(O506/$R506,0)</f>
        <v>0.4606741573033708</v>
      </c>
      <c r="Q506" s="16">
        <v>2697</v>
      </c>
      <c r="R506" s="17">
        <v>89</v>
      </c>
    </row>
    <row r="507" spans="1:18" ht="15.75" customHeight="1" x14ac:dyDescent="0.25">
      <c r="A507" s="37">
        <v>2021</v>
      </c>
      <c r="B507" s="35">
        <v>171570</v>
      </c>
      <c r="C507" s="34" t="s">
        <v>150</v>
      </c>
      <c r="D507" s="34" t="s">
        <v>93</v>
      </c>
      <c r="E507" s="17">
        <v>24</v>
      </c>
      <c r="F507" s="36">
        <f>IFERROR(E507/$Q507,0)</f>
        <v>0.13559322033898305</v>
      </c>
      <c r="G507" s="17">
        <v>1</v>
      </c>
      <c r="H507" s="36">
        <f>IFERROR(G507/$R507,0)</f>
        <v>0.25</v>
      </c>
      <c r="I507" s="17">
        <v>68</v>
      </c>
      <c r="J507" s="36">
        <f>IFERROR(I507/$Q507,0)</f>
        <v>0.38418079096045199</v>
      </c>
      <c r="K507" s="17">
        <v>2</v>
      </c>
      <c r="L507" s="36">
        <f>IFERROR(K507/$R507,0)</f>
        <v>0.5</v>
      </c>
      <c r="M507" s="17">
        <v>85</v>
      </c>
      <c r="N507" s="36">
        <f>IFERROR(M507/$Q507,0)</f>
        <v>0.48022598870056499</v>
      </c>
      <c r="O507" s="17">
        <v>1</v>
      </c>
      <c r="P507" s="36">
        <f>IFERROR(O507/$R507,0)</f>
        <v>0.25</v>
      </c>
      <c r="Q507" s="17">
        <v>177</v>
      </c>
      <c r="R507" s="17">
        <v>4</v>
      </c>
    </row>
    <row r="508" spans="1:18" ht="15.75" customHeight="1" x14ac:dyDescent="0.25">
      <c r="A508" s="37">
        <v>2021</v>
      </c>
      <c r="B508" s="35">
        <v>171380</v>
      </c>
      <c r="C508" s="34" t="s">
        <v>145</v>
      </c>
      <c r="D508" s="34" t="s">
        <v>94</v>
      </c>
      <c r="E508" s="17">
        <v>1</v>
      </c>
      <c r="F508" s="36">
        <f>IFERROR(E508/$Q508,0)</f>
        <v>6.25E-2</v>
      </c>
      <c r="G508" s="17">
        <v>0</v>
      </c>
      <c r="H508" s="36">
        <f>IFERROR(G508/$R508,0)</f>
        <v>0</v>
      </c>
      <c r="I508" s="17">
        <v>8</v>
      </c>
      <c r="J508" s="36">
        <f>IFERROR(I508/$Q508,0)</f>
        <v>0.5</v>
      </c>
      <c r="K508" s="17">
        <v>0</v>
      </c>
      <c r="L508" s="36">
        <f>IFERROR(K508/$R508,0)</f>
        <v>0</v>
      </c>
      <c r="M508" s="17">
        <v>7</v>
      </c>
      <c r="N508" s="36">
        <f>IFERROR(M508/$Q508,0)</f>
        <v>0.4375</v>
      </c>
      <c r="O508" s="17">
        <v>0</v>
      </c>
      <c r="P508" s="36">
        <f>IFERROR(O508/$R508,0)</f>
        <v>0</v>
      </c>
      <c r="Q508" s="17">
        <v>16</v>
      </c>
      <c r="R508" s="17">
        <v>0</v>
      </c>
    </row>
    <row r="509" spans="1:18" ht="15.75" customHeight="1" x14ac:dyDescent="0.25">
      <c r="A509" s="37">
        <v>2021</v>
      </c>
      <c r="B509" s="35">
        <v>171575</v>
      </c>
      <c r="C509" s="34" t="s">
        <v>146</v>
      </c>
      <c r="D509" s="34" t="s">
        <v>95</v>
      </c>
      <c r="E509" s="17">
        <v>21</v>
      </c>
      <c r="F509" s="36">
        <f>IFERROR(E509/$Q509,0)</f>
        <v>0.26582278481012656</v>
      </c>
      <c r="G509" s="17">
        <v>0</v>
      </c>
      <c r="H509" s="36">
        <f>IFERROR(G509/$R509,0)</f>
        <v>0</v>
      </c>
      <c r="I509" s="17">
        <v>33</v>
      </c>
      <c r="J509" s="36">
        <f>IFERROR(I509/$Q509,0)</f>
        <v>0.41772151898734178</v>
      </c>
      <c r="K509" s="17">
        <v>0</v>
      </c>
      <c r="L509" s="36">
        <f>IFERROR(K509/$R509,0)</f>
        <v>0</v>
      </c>
      <c r="M509" s="17">
        <v>25</v>
      </c>
      <c r="N509" s="36">
        <f>IFERROR(M509/$Q509,0)</f>
        <v>0.31645569620253167</v>
      </c>
      <c r="O509" s="17">
        <v>0</v>
      </c>
      <c r="P509" s="36">
        <f>IFERROR(O509/$R509,0)</f>
        <v>0</v>
      </c>
      <c r="Q509" s="17">
        <v>79</v>
      </c>
      <c r="R509" s="17">
        <v>0</v>
      </c>
    </row>
    <row r="510" spans="1:18" ht="15.75" customHeight="1" x14ac:dyDescent="0.25">
      <c r="A510" s="37">
        <v>2021</v>
      </c>
      <c r="B510" s="35">
        <v>171610</v>
      </c>
      <c r="C510" s="34" t="s">
        <v>144</v>
      </c>
      <c r="D510" s="34" t="s">
        <v>96</v>
      </c>
      <c r="E510" s="17">
        <v>55</v>
      </c>
      <c r="F510" s="36">
        <f>IFERROR(E510/$Q510,0)</f>
        <v>0.12331838565022421</v>
      </c>
      <c r="G510" s="17">
        <v>1</v>
      </c>
      <c r="H510" s="36">
        <f>IFERROR(G510/$R510,0)</f>
        <v>0.125</v>
      </c>
      <c r="I510" s="17">
        <v>175</v>
      </c>
      <c r="J510" s="36">
        <f>IFERROR(I510/$Q510,0)</f>
        <v>0.3923766816143498</v>
      </c>
      <c r="K510" s="17">
        <v>3</v>
      </c>
      <c r="L510" s="36">
        <f>IFERROR(K510/$R510,0)</f>
        <v>0.375</v>
      </c>
      <c r="M510" s="17">
        <v>216</v>
      </c>
      <c r="N510" s="36">
        <f>IFERROR(M510/$Q510,0)</f>
        <v>0.48430493273542602</v>
      </c>
      <c r="O510" s="17">
        <v>4</v>
      </c>
      <c r="P510" s="36">
        <f>IFERROR(O510/$R510,0)</f>
        <v>0.5</v>
      </c>
      <c r="Q510" s="17">
        <v>446</v>
      </c>
      <c r="R510" s="17">
        <v>8</v>
      </c>
    </row>
    <row r="511" spans="1:18" ht="15.75" customHeight="1" x14ac:dyDescent="0.25">
      <c r="A511" s="37">
        <v>2021</v>
      </c>
      <c r="B511" s="35">
        <v>171620</v>
      </c>
      <c r="C511" s="34" t="s">
        <v>147</v>
      </c>
      <c r="D511" s="34" t="s">
        <v>97</v>
      </c>
      <c r="E511" s="17">
        <v>95</v>
      </c>
      <c r="F511" s="36">
        <f>IFERROR(E511/$Q511,0)</f>
        <v>0.20925110132158589</v>
      </c>
      <c r="G511" s="17">
        <v>1</v>
      </c>
      <c r="H511" s="36">
        <f>IFERROR(G511/$R511,0)</f>
        <v>0.5</v>
      </c>
      <c r="I511" s="17">
        <v>200</v>
      </c>
      <c r="J511" s="36">
        <f>IFERROR(I511/$Q511,0)</f>
        <v>0.44052863436123346</v>
      </c>
      <c r="K511" s="17">
        <v>0</v>
      </c>
      <c r="L511" s="36">
        <f>IFERROR(K511/$R511,0)</f>
        <v>0</v>
      </c>
      <c r="M511" s="17">
        <v>159</v>
      </c>
      <c r="N511" s="36">
        <f>IFERROR(M511/$Q511,0)</f>
        <v>0.35022026431718062</v>
      </c>
      <c r="O511" s="17">
        <v>1</v>
      </c>
      <c r="P511" s="36">
        <f>IFERROR(O511/$R511,0)</f>
        <v>0.5</v>
      </c>
      <c r="Q511" s="17">
        <v>454</v>
      </c>
      <c r="R511" s="17">
        <v>2</v>
      </c>
    </row>
    <row r="512" spans="1:18" ht="15.75" customHeight="1" x14ac:dyDescent="0.25">
      <c r="A512" s="37">
        <v>2021</v>
      </c>
      <c r="B512" s="35">
        <v>171630</v>
      </c>
      <c r="C512" s="34" t="s">
        <v>149</v>
      </c>
      <c r="D512" s="34" t="s">
        <v>98</v>
      </c>
      <c r="E512" s="17">
        <v>29</v>
      </c>
      <c r="F512" s="36">
        <f>IFERROR(E512/$Q512,0)</f>
        <v>9.7972972972972971E-2</v>
      </c>
      <c r="G512" s="17">
        <v>2</v>
      </c>
      <c r="H512" s="36">
        <f>IFERROR(G512/$R512,0)</f>
        <v>0.33333333333333331</v>
      </c>
      <c r="I512" s="17">
        <v>140</v>
      </c>
      <c r="J512" s="36">
        <f>IFERROR(I512/$Q512,0)</f>
        <v>0.47297297297297297</v>
      </c>
      <c r="K512" s="17">
        <v>2</v>
      </c>
      <c r="L512" s="36">
        <f>IFERROR(K512/$R512,0)</f>
        <v>0.33333333333333331</v>
      </c>
      <c r="M512" s="17">
        <v>127</v>
      </c>
      <c r="N512" s="36">
        <f>IFERROR(M512/$Q512,0)</f>
        <v>0.42905405405405406</v>
      </c>
      <c r="O512" s="17">
        <v>2</v>
      </c>
      <c r="P512" s="36">
        <f>IFERROR(O512/$R512,0)</f>
        <v>0.33333333333333331</v>
      </c>
      <c r="Q512" s="17">
        <v>296</v>
      </c>
      <c r="R512" s="17">
        <v>6</v>
      </c>
    </row>
    <row r="513" spans="1:18" ht="15.75" customHeight="1" x14ac:dyDescent="0.25">
      <c r="A513" s="37">
        <v>2021</v>
      </c>
      <c r="B513" s="35">
        <v>171650</v>
      </c>
      <c r="C513" s="34" t="s">
        <v>150</v>
      </c>
      <c r="D513" s="34" t="s">
        <v>99</v>
      </c>
      <c r="E513" s="17">
        <v>24</v>
      </c>
      <c r="F513" s="36">
        <f>IFERROR(E513/$Q513,0)</f>
        <v>9.7959183673469383E-2</v>
      </c>
      <c r="G513" s="17">
        <v>0</v>
      </c>
      <c r="H513" s="36">
        <f>IFERROR(G513/$R513,0)</f>
        <v>0</v>
      </c>
      <c r="I513" s="17">
        <v>91</v>
      </c>
      <c r="J513" s="36">
        <f>IFERROR(I513/$Q513,0)</f>
        <v>0.37142857142857144</v>
      </c>
      <c r="K513" s="17">
        <v>0</v>
      </c>
      <c r="L513" s="36">
        <f>IFERROR(K513/$R513,0)</f>
        <v>0</v>
      </c>
      <c r="M513" s="17">
        <v>130</v>
      </c>
      <c r="N513" s="36">
        <f>IFERROR(M513/$Q513,0)</f>
        <v>0.53061224489795922</v>
      </c>
      <c r="O513" s="17">
        <v>3</v>
      </c>
      <c r="P513" s="36">
        <f>IFERROR(O513/$R513,0)</f>
        <v>1</v>
      </c>
      <c r="Q513" s="17">
        <v>245</v>
      </c>
      <c r="R513" s="17">
        <v>3</v>
      </c>
    </row>
    <row r="514" spans="1:18" ht="15.75" customHeight="1" x14ac:dyDescent="0.25">
      <c r="A514" s="37">
        <v>2021</v>
      </c>
      <c r="B514" s="35">
        <v>171660</v>
      </c>
      <c r="C514" s="34" t="s">
        <v>146</v>
      </c>
      <c r="D514" s="34" t="s">
        <v>100</v>
      </c>
      <c r="E514" s="17">
        <v>97</v>
      </c>
      <c r="F514" s="36">
        <f>IFERROR(E514/$Q514,0)</f>
        <v>0.1552</v>
      </c>
      <c r="G514" s="17">
        <v>0</v>
      </c>
      <c r="H514" s="36">
        <f>IFERROR(G514/$R514,0)</f>
        <v>0</v>
      </c>
      <c r="I514" s="17">
        <v>233</v>
      </c>
      <c r="J514" s="36">
        <f>IFERROR(I514/$Q514,0)</f>
        <v>0.37280000000000002</v>
      </c>
      <c r="K514" s="17">
        <v>3</v>
      </c>
      <c r="L514" s="36">
        <f>IFERROR(K514/$R514,0)</f>
        <v>0.33333333333333331</v>
      </c>
      <c r="M514" s="17">
        <v>295</v>
      </c>
      <c r="N514" s="36">
        <f>IFERROR(M514/$Q514,0)</f>
        <v>0.47199999999999998</v>
      </c>
      <c r="O514" s="17">
        <v>6</v>
      </c>
      <c r="P514" s="36">
        <f>IFERROR(O514/$R514,0)</f>
        <v>0.66666666666666663</v>
      </c>
      <c r="Q514" s="17">
        <v>625</v>
      </c>
      <c r="R514" s="17">
        <v>9</v>
      </c>
    </row>
    <row r="515" spans="1:18" ht="15.75" customHeight="1" x14ac:dyDescent="0.25">
      <c r="A515" s="37">
        <v>2021</v>
      </c>
      <c r="B515" s="35">
        <v>171665</v>
      </c>
      <c r="C515" s="34" t="s">
        <v>150</v>
      </c>
      <c r="D515" s="34" t="s">
        <v>101</v>
      </c>
      <c r="E515" s="17">
        <v>10</v>
      </c>
      <c r="F515" s="36">
        <f>IFERROR(E515/$Q515,0)</f>
        <v>0.10309278350515463</v>
      </c>
      <c r="G515" s="17">
        <v>0</v>
      </c>
      <c r="H515" s="36">
        <f>IFERROR(G515/$R515,0)</f>
        <v>0</v>
      </c>
      <c r="I515" s="17">
        <v>40</v>
      </c>
      <c r="J515" s="36">
        <f>IFERROR(I515/$Q515,0)</f>
        <v>0.41237113402061853</v>
      </c>
      <c r="K515" s="17">
        <v>0</v>
      </c>
      <c r="L515" s="36">
        <f>IFERROR(K515/$R515,0)</f>
        <v>0</v>
      </c>
      <c r="M515" s="17">
        <v>47</v>
      </c>
      <c r="N515" s="36">
        <f>IFERROR(M515/$Q515,0)</f>
        <v>0.4845360824742268</v>
      </c>
      <c r="O515" s="17">
        <v>1</v>
      </c>
      <c r="P515" s="36">
        <f>IFERROR(O515/$R515,0)</f>
        <v>1</v>
      </c>
      <c r="Q515" s="17">
        <v>97</v>
      </c>
      <c r="R515" s="17">
        <v>1</v>
      </c>
    </row>
    <row r="516" spans="1:18" ht="15.75" customHeight="1" x14ac:dyDescent="0.25">
      <c r="A516" s="37">
        <v>2021</v>
      </c>
      <c r="B516" s="35">
        <v>171700</v>
      </c>
      <c r="C516" s="34" t="s">
        <v>151</v>
      </c>
      <c r="D516" s="34" t="s">
        <v>102</v>
      </c>
      <c r="E516" s="17">
        <v>5</v>
      </c>
      <c r="F516" s="36">
        <f>IFERROR(E516/$Q516,0)</f>
        <v>9.4339622641509441E-2</v>
      </c>
      <c r="G516" s="17">
        <v>0</v>
      </c>
      <c r="H516" s="36">
        <f>IFERROR(G516/$R516,0)</f>
        <v>0</v>
      </c>
      <c r="I516" s="17">
        <v>22</v>
      </c>
      <c r="J516" s="36">
        <f>IFERROR(I516/$Q516,0)</f>
        <v>0.41509433962264153</v>
      </c>
      <c r="K516" s="17">
        <v>0</v>
      </c>
      <c r="L516" s="36">
        <f>IFERROR(K516/$R516,0)</f>
        <v>0</v>
      </c>
      <c r="M516" s="17">
        <v>26</v>
      </c>
      <c r="N516" s="36">
        <f>IFERROR(M516/$Q516,0)</f>
        <v>0.49056603773584906</v>
      </c>
      <c r="O516" s="17">
        <v>1</v>
      </c>
      <c r="P516" s="36">
        <f>IFERROR(O516/$R516,0)</f>
        <v>1</v>
      </c>
      <c r="Q516" s="17">
        <v>53</v>
      </c>
      <c r="R516" s="17">
        <v>1</v>
      </c>
    </row>
    <row r="517" spans="1:18" ht="15.75" customHeight="1" x14ac:dyDescent="0.25">
      <c r="A517" s="37">
        <v>2021</v>
      </c>
      <c r="B517" s="35">
        <v>171720</v>
      </c>
      <c r="C517" s="34" t="s">
        <v>149</v>
      </c>
      <c r="D517" s="34" t="s">
        <v>103</v>
      </c>
      <c r="E517" s="17">
        <v>9</v>
      </c>
      <c r="F517" s="36">
        <f>IFERROR(E517/$Q517,0)</f>
        <v>8.2568807339449546E-2</v>
      </c>
      <c r="G517" s="17">
        <v>1</v>
      </c>
      <c r="H517" s="36">
        <f>IFERROR(G517/$R517,0)</f>
        <v>0.33333333333333331</v>
      </c>
      <c r="I517" s="17">
        <v>49</v>
      </c>
      <c r="J517" s="36">
        <f>IFERROR(I517/$Q517,0)</f>
        <v>0.44954128440366975</v>
      </c>
      <c r="K517" s="17">
        <v>0</v>
      </c>
      <c r="L517" s="36">
        <f>IFERROR(K517/$R517,0)</f>
        <v>0</v>
      </c>
      <c r="M517" s="17">
        <v>51</v>
      </c>
      <c r="N517" s="36">
        <f>IFERROR(M517/$Q517,0)</f>
        <v>0.46788990825688076</v>
      </c>
      <c r="O517" s="17">
        <v>2</v>
      </c>
      <c r="P517" s="36">
        <f>IFERROR(O517/$R517,0)</f>
        <v>0.66666666666666663</v>
      </c>
      <c r="Q517" s="17">
        <v>109</v>
      </c>
      <c r="R517" s="17">
        <v>3</v>
      </c>
    </row>
    <row r="518" spans="1:18" ht="15.75" customHeight="1" x14ac:dyDescent="0.25">
      <c r="A518" s="37">
        <v>2021</v>
      </c>
      <c r="B518" s="35">
        <v>171750</v>
      </c>
      <c r="C518" s="34" t="s">
        <v>144</v>
      </c>
      <c r="D518" s="34" t="s">
        <v>104</v>
      </c>
      <c r="E518" s="17">
        <v>40</v>
      </c>
      <c r="F518" s="36">
        <f>IFERROR(E518/$Q518,0)</f>
        <v>0.13793103448275862</v>
      </c>
      <c r="G518" s="17">
        <v>0</v>
      </c>
      <c r="H518" s="36">
        <f>IFERROR(G518/$R518,0)</f>
        <v>0</v>
      </c>
      <c r="I518" s="17">
        <v>107</v>
      </c>
      <c r="J518" s="36">
        <f>IFERROR(I518/$Q518,0)</f>
        <v>0.36896551724137933</v>
      </c>
      <c r="K518" s="17">
        <v>0</v>
      </c>
      <c r="L518" s="36">
        <f>IFERROR(K518/$R518,0)</f>
        <v>0</v>
      </c>
      <c r="M518" s="17">
        <v>143</v>
      </c>
      <c r="N518" s="36">
        <f>IFERROR(M518/$Q518,0)</f>
        <v>0.49310344827586206</v>
      </c>
      <c r="O518" s="17">
        <v>0</v>
      </c>
      <c r="P518" s="36">
        <f>IFERROR(O518/$R518,0)</f>
        <v>0</v>
      </c>
      <c r="Q518" s="17">
        <v>290</v>
      </c>
      <c r="R518" s="17">
        <v>0</v>
      </c>
    </row>
    <row r="519" spans="1:18" ht="15.75" customHeight="1" x14ac:dyDescent="0.25">
      <c r="A519" s="37">
        <v>2021</v>
      </c>
      <c r="B519" s="35">
        <v>171780</v>
      </c>
      <c r="C519" s="34" t="s">
        <v>147</v>
      </c>
      <c r="D519" s="34" t="s">
        <v>105</v>
      </c>
      <c r="E519" s="17">
        <v>35</v>
      </c>
      <c r="F519" s="36">
        <f>IFERROR(E519/$Q519,0)</f>
        <v>0.17766497461928935</v>
      </c>
      <c r="G519" s="17">
        <v>0</v>
      </c>
      <c r="H519" s="36">
        <f>IFERROR(G519/$R519,0)</f>
        <v>0</v>
      </c>
      <c r="I519" s="17">
        <v>88</v>
      </c>
      <c r="J519" s="36">
        <f>IFERROR(I519/$Q519,0)</f>
        <v>0.4467005076142132</v>
      </c>
      <c r="K519" s="17">
        <v>0</v>
      </c>
      <c r="L519" s="36">
        <f>IFERROR(K519/$R519,0)</f>
        <v>0</v>
      </c>
      <c r="M519" s="17">
        <v>74</v>
      </c>
      <c r="N519" s="36">
        <f>IFERROR(M519/$Q519,0)</f>
        <v>0.37563451776649748</v>
      </c>
      <c r="O519" s="17">
        <v>1</v>
      </c>
      <c r="P519" s="36">
        <f>IFERROR(O519/$R519,0)</f>
        <v>1</v>
      </c>
      <c r="Q519" s="17">
        <v>197</v>
      </c>
      <c r="R519" s="17">
        <v>1</v>
      </c>
    </row>
    <row r="520" spans="1:18" ht="15.75" customHeight="1" x14ac:dyDescent="0.25">
      <c r="A520" s="37">
        <v>2021</v>
      </c>
      <c r="B520" s="35">
        <v>171790</v>
      </c>
      <c r="C520" s="34" t="s">
        <v>151</v>
      </c>
      <c r="D520" s="34" t="s">
        <v>106</v>
      </c>
      <c r="E520" s="17">
        <v>2</v>
      </c>
      <c r="F520" s="36">
        <f>IFERROR(E520/$Q520,0)</f>
        <v>0.22222222222222221</v>
      </c>
      <c r="G520" s="17">
        <v>1</v>
      </c>
      <c r="H520" s="36">
        <f>IFERROR(G520/$R520,0)</f>
        <v>0.25</v>
      </c>
      <c r="I520" s="17">
        <v>4</v>
      </c>
      <c r="J520" s="36">
        <f>IFERROR(I520/$Q520,0)</f>
        <v>0.44444444444444442</v>
      </c>
      <c r="K520" s="17">
        <v>3</v>
      </c>
      <c r="L520" s="36">
        <f>IFERROR(K520/$R520,0)</f>
        <v>0.75</v>
      </c>
      <c r="M520" s="17">
        <v>3</v>
      </c>
      <c r="N520" s="36">
        <f>IFERROR(M520/$Q520,0)</f>
        <v>0.33333333333333331</v>
      </c>
      <c r="O520" s="17">
        <v>0</v>
      </c>
      <c r="P520" s="36">
        <f>IFERROR(O520/$R520,0)</f>
        <v>0</v>
      </c>
      <c r="Q520" s="17">
        <v>9</v>
      </c>
      <c r="R520" s="17">
        <v>4</v>
      </c>
    </row>
    <row r="521" spans="1:18" ht="15.75" customHeight="1" x14ac:dyDescent="0.25">
      <c r="A521" s="37">
        <v>2021</v>
      </c>
      <c r="B521" s="35">
        <v>171800</v>
      </c>
      <c r="C521" s="34" t="s">
        <v>147</v>
      </c>
      <c r="D521" s="34" t="s">
        <v>107</v>
      </c>
      <c r="E521" s="17">
        <v>1</v>
      </c>
      <c r="F521" s="36">
        <f>IFERROR(E521/$Q521,0)</f>
        <v>9.0909090909090912E-2</v>
      </c>
      <c r="G521" s="17">
        <v>0</v>
      </c>
      <c r="H521" s="36">
        <f>IFERROR(G521/$R521,0)</f>
        <v>0</v>
      </c>
      <c r="I521" s="17">
        <v>1</v>
      </c>
      <c r="J521" s="36">
        <f>IFERROR(I521/$Q521,0)</f>
        <v>9.0909090909090912E-2</v>
      </c>
      <c r="K521" s="17">
        <v>0</v>
      </c>
      <c r="L521" s="36">
        <f>IFERROR(K521/$R521,0)</f>
        <v>0</v>
      </c>
      <c r="M521" s="17">
        <v>9</v>
      </c>
      <c r="N521" s="36">
        <f>IFERROR(M521/$Q521,0)</f>
        <v>0.81818181818181823</v>
      </c>
      <c r="O521" s="17">
        <v>1</v>
      </c>
      <c r="P521" s="36">
        <f>IFERROR(O521/$R521,0)</f>
        <v>1</v>
      </c>
      <c r="Q521" s="17">
        <v>11</v>
      </c>
      <c r="R521" s="17">
        <v>1</v>
      </c>
    </row>
    <row r="522" spans="1:18" ht="15.75" customHeight="1" x14ac:dyDescent="0.25">
      <c r="A522" s="37">
        <v>2021</v>
      </c>
      <c r="B522" s="35">
        <v>171820</v>
      </c>
      <c r="C522" s="34" t="s">
        <v>151</v>
      </c>
      <c r="D522" s="34" t="s">
        <v>108</v>
      </c>
      <c r="E522" s="17">
        <v>174</v>
      </c>
      <c r="F522" s="36">
        <f>IFERROR(E522/$Q522,0)</f>
        <v>0.14560669456066946</v>
      </c>
      <c r="G522" s="17">
        <v>1</v>
      </c>
      <c r="H522" s="36">
        <f>IFERROR(G522/$R522,0)</f>
        <v>3.125E-2</v>
      </c>
      <c r="I522" s="17">
        <v>435</v>
      </c>
      <c r="J522" s="36">
        <f>IFERROR(I522/$Q522,0)</f>
        <v>0.36401673640167365</v>
      </c>
      <c r="K522" s="17">
        <v>9</v>
      </c>
      <c r="L522" s="36">
        <f>IFERROR(K522/$R522,0)</f>
        <v>0.28125</v>
      </c>
      <c r="M522" s="17">
        <v>586</v>
      </c>
      <c r="N522" s="36">
        <f>IFERROR(M522/$Q522,0)</f>
        <v>0.49037656903765692</v>
      </c>
      <c r="O522" s="17">
        <v>22</v>
      </c>
      <c r="P522" s="36">
        <f>IFERROR(O522/$R522,0)</f>
        <v>0.6875</v>
      </c>
      <c r="Q522" s="16">
        <v>1195</v>
      </c>
      <c r="R522" s="17">
        <v>32</v>
      </c>
    </row>
    <row r="523" spans="1:18" ht="15.75" customHeight="1" x14ac:dyDescent="0.25">
      <c r="A523" s="37">
        <v>2021</v>
      </c>
      <c r="B523" s="35">
        <v>171830</v>
      </c>
      <c r="C523" s="34" t="s">
        <v>145</v>
      </c>
      <c r="D523" s="34" t="s">
        <v>109</v>
      </c>
      <c r="E523" s="17">
        <v>10</v>
      </c>
      <c r="F523" s="36">
        <f>IFERROR(E523/$Q523,0)</f>
        <v>0.10204081632653061</v>
      </c>
      <c r="G523" s="17">
        <v>0</v>
      </c>
      <c r="H523" s="36">
        <f>IFERROR(G523/$R523,0)</f>
        <v>0</v>
      </c>
      <c r="I523" s="17">
        <v>37</v>
      </c>
      <c r="J523" s="36">
        <f>IFERROR(I523/$Q523,0)</f>
        <v>0.37755102040816324</v>
      </c>
      <c r="K523" s="17">
        <v>0</v>
      </c>
      <c r="L523" s="36">
        <f>IFERROR(K523/$R523,0)</f>
        <v>0</v>
      </c>
      <c r="M523" s="17">
        <v>51</v>
      </c>
      <c r="N523" s="36">
        <f>IFERROR(M523/$Q523,0)</f>
        <v>0.52040816326530615</v>
      </c>
      <c r="O523" s="17">
        <v>2</v>
      </c>
      <c r="P523" s="36">
        <f>IFERROR(O523/$R523,0)</f>
        <v>1</v>
      </c>
      <c r="Q523" s="17">
        <v>98</v>
      </c>
      <c r="R523" s="17">
        <v>2</v>
      </c>
    </row>
    <row r="524" spans="1:18" ht="15.75" customHeight="1" x14ac:dyDescent="0.25">
      <c r="A524" s="37">
        <v>2021</v>
      </c>
      <c r="B524" s="35">
        <v>171840</v>
      </c>
      <c r="C524" s="34" t="s">
        <v>150</v>
      </c>
      <c r="D524" s="34" t="s">
        <v>110</v>
      </c>
      <c r="E524" s="17">
        <v>38</v>
      </c>
      <c r="F524" s="36">
        <f>IFERROR(E524/$Q524,0)</f>
        <v>0.15899581589958159</v>
      </c>
      <c r="G524" s="17">
        <v>1</v>
      </c>
      <c r="H524" s="36">
        <f>IFERROR(G524/$R524,0)</f>
        <v>0.125</v>
      </c>
      <c r="I524" s="17">
        <v>91</v>
      </c>
      <c r="J524" s="36">
        <f>IFERROR(I524/$Q524,0)</f>
        <v>0.3807531380753138</v>
      </c>
      <c r="K524" s="17">
        <v>2</v>
      </c>
      <c r="L524" s="36">
        <f>IFERROR(K524/$R524,0)</f>
        <v>0.25</v>
      </c>
      <c r="M524" s="17">
        <v>110</v>
      </c>
      <c r="N524" s="36">
        <f>IFERROR(M524/$Q524,0)</f>
        <v>0.46025104602510458</v>
      </c>
      <c r="O524" s="17">
        <v>5</v>
      </c>
      <c r="P524" s="36">
        <f>IFERROR(O524/$R524,0)</f>
        <v>0.625</v>
      </c>
      <c r="Q524" s="17">
        <v>239</v>
      </c>
      <c r="R524" s="17">
        <v>8</v>
      </c>
    </row>
    <row r="525" spans="1:18" ht="15.75" customHeight="1" x14ac:dyDescent="0.25">
      <c r="A525" s="37">
        <v>2021</v>
      </c>
      <c r="B525" s="35">
        <v>171845</v>
      </c>
      <c r="C525" s="34" t="s">
        <v>144</v>
      </c>
      <c r="D525" s="34" t="s">
        <v>111</v>
      </c>
      <c r="E525" s="17">
        <v>5</v>
      </c>
      <c r="F525" s="36">
        <f>IFERROR(E525/$Q525,0)</f>
        <v>9.0909090909090912E-2</v>
      </c>
      <c r="G525" s="17">
        <v>0</v>
      </c>
      <c r="H525" s="36">
        <f>IFERROR(G525/$R525,0)</f>
        <v>0</v>
      </c>
      <c r="I525" s="17">
        <v>13</v>
      </c>
      <c r="J525" s="36">
        <f>IFERROR(I525/$Q525,0)</f>
        <v>0.23636363636363636</v>
      </c>
      <c r="K525" s="17">
        <v>0</v>
      </c>
      <c r="L525" s="36">
        <f>IFERROR(K525/$R525,0)</f>
        <v>0</v>
      </c>
      <c r="M525" s="17">
        <v>37</v>
      </c>
      <c r="N525" s="36">
        <f>IFERROR(M525/$Q525,0)</f>
        <v>0.67272727272727273</v>
      </c>
      <c r="O525" s="17">
        <v>0</v>
      </c>
      <c r="P525" s="36">
        <f>IFERROR(O525/$R525,0)</f>
        <v>0</v>
      </c>
      <c r="Q525" s="17">
        <v>55</v>
      </c>
      <c r="R525" s="17">
        <v>0</v>
      </c>
    </row>
    <row r="526" spans="1:18" ht="15.75" customHeight="1" x14ac:dyDescent="0.25">
      <c r="A526" s="37">
        <v>2021</v>
      </c>
      <c r="B526" s="35">
        <v>171850</v>
      </c>
      <c r="C526" s="34" t="s">
        <v>150</v>
      </c>
      <c r="D526" s="34" t="s">
        <v>112</v>
      </c>
      <c r="E526" s="17">
        <v>5</v>
      </c>
      <c r="F526" s="36">
        <f>IFERROR(E526/$Q526,0)</f>
        <v>0.14705882352941177</v>
      </c>
      <c r="G526" s="17">
        <v>1</v>
      </c>
      <c r="H526" s="36">
        <f>IFERROR(G526/$R526,0)</f>
        <v>1</v>
      </c>
      <c r="I526" s="17">
        <v>11</v>
      </c>
      <c r="J526" s="36">
        <f>IFERROR(I526/$Q526,0)</f>
        <v>0.3235294117647059</v>
      </c>
      <c r="K526" s="17">
        <v>0</v>
      </c>
      <c r="L526" s="36">
        <f>IFERROR(K526/$R526,0)</f>
        <v>0</v>
      </c>
      <c r="M526" s="17">
        <v>18</v>
      </c>
      <c r="N526" s="36">
        <f>IFERROR(M526/$Q526,0)</f>
        <v>0.52941176470588236</v>
      </c>
      <c r="O526" s="17">
        <v>0</v>
      </c>
      <c r="P526" s="36">
        <f>IFERROR(O526/$R526,0)</f>
        <v>0</v>
      </c>
      <c r="Q526" s="17">
        <v>34</v>
      </c>
      <c r="R526" s="17">
        <v>1</v>
      </c>
    </row>
    <row r="527" spans="1:18" ht="15.75" customHeight="1" x14ac:dyDescent="0.25">
      <c r="A527" s="37">
        <v>2021</v>
      </c>
      <c r="B527" s="35">
        <v>171855</v>
      </c>
      <c r="C527" s="34" t="s">
        <v>145</v>
      </c>
      <c r="D527" s="34" t="s">
        <v>113</v>
      </c>
      <c r="E527" s="17">
        <v>2</v>
      </c>
      <c r="F527" s="36">
        <f>IFERROR(E527/$Q527,0)</f>
        <v>5.5555555555555552E-2</v>
      </c>
      <c r="G527" s="17">
        <v>0</v>
      </c>
      <c r="H527" s="36">
        <f>IFERROR(G527/$R527,0)</f>
        <v>0</v>
      </c>
      <c r="I527" s="17">
        <v>15</v>
      </c>
      <c r="J527" s="36">
        <f>IFERROR(I527/$Q527,0)</f>
        <v>0.41666666666666669</v>
      </c>
      <c r="K527" s="17">
        <v>0</v>
      </c>
      <c r="L527" s="36">
        <f>IFERROR(K527/$R527,0)</f>
        <v>0</v>
      </c>
      <c r="M527" s="17">
        <v>19</v>
      </c>
      <c r="N527" s="36">
        <f>IFERROR(M527/$Q527,0)</f>
        <v>0.52777777777777779</v>
      </c>
      <c r="O527" s="17">
        <v>0</v>
      </c>
      <c r="P527" s="36">
        <f>IFERROR(O527/$R527,0)</f>
        <v>0</v>
      </c>
      <c r="Q527" s="17">
        <v>36</v>
      </c>
      <c r="R527" s="17">
        <v>0</v>
      </c>
    </row>
    <row r="528" spans="1:18" ht="15.75" customHeight="1" x14ac:dyDescent="0.25">
      <c r="A528" s="37">
        <v>2021</v>
      </c>
      <c r="B528" s="35">
        <v>171865</v>
      </c>
      <c r="C528" s="34" t="s">
        <v>147</v>
      </c>
      <c r="D528" s="34" t="s">
        <v>114</v>
      </c>
      <c r="E528" s="17">
        <v>0</v>
      </c>
      <c r="F528" s="36">
        <f>IFERROR(E528/$Q528,0)</f>
        <v>0</v>
      </c>
      <c r="G528" s="17">
        <v>0</v>
      </c>
      <c r="H528" s="36">
        <f>IFERROR(G528/$R528,0)</f>
        <v>0</v>
      </c>
      <c r="I528" s="17">
        <v>4</v>
      </c>
      <c r="J528" s="36">
        <f>IFERROR(I528/$Q528,0)</f>
        <v>0.36363636363636365</v>
      </c>
      <c r="K528" s="17">
        <v>0</v>
      </c>
      <c r="L528" s="36">
        <f>IFERROR(K528/$R528,0)</f>
        <v>0</v>
      </c>
      <c r="M528" s="17">
        <v>7</v>
      </c>
      <c r="N528" s="36">
        <f>IFERROR(M528/$Q528,0)</f>
        <v>0.63636363636363635</v>
      </c>
      <c r="O528" s="17">
        <v>0</v>
      </c>
      <c r="P528" s="36">
        <f>IFERROR(O528/$R528,0)</f>
        <v>0</v>
      </c>
      <c r="Q528" s="17">
        <v>11</v>
      </c>
      <c r="R528" s="17">
        <v>0</v>
      </c>
    </row>
    <row r="529" spans="1:18" ht="15.75" customHeight="1" x14ac:dyDescent="0.25">
      <c r="A529" s="37">
        <v>2021</v>
      </c>
      <c r="B529" s="35">
        <v>171870</v>
      </c>
      <c r="C529" s="34" t="s">
        <v>148</v>
      </c>
      <c r="D529" s="34" t="s">
        <v>115</v>
      </c>
      <c r="E529" s="17">
        <v>13</v>
      </c>
      <c r="F529" s="36">
        <f>IFERROR(E529/$Q529,0)</f>
        <v>0.11607142857142858</v>
      </c>
      <c r="G529" s="17">
        <v>1</v>
      </c>
      <c r="H529" s="36">
        <f>IFERROR(G529/$R529,0)</f>
        <v>0.25</v>
      </c>
      <c r="I529" s="17">
        <v>43</v>
      </c>
      <c r="J529" s="36">
        <f>IFERROR(I529/$Q529,0)</f>
        <v>0.38392857142857145</v>
      </c>
      <c r="K529" s="17">
        <v>1</v>
      </c>
      <c r="L529" s="36">
        <f>IFERROR(K529/$R529,0)</f>
        <v>0.25</v>
      </c>
      <c r="M529" s="17">
        <v>56</v>
      </c>
      <c r="N529" s="36">
        <f>IFERROR(M529/$Q529,0)</f>
        <v>0.5</v>
      </c>
      <c r="O529" s="17">
        <v>2</v>
      </c>
      <c r="P529" s="36">
        <f>IFERROR(O529/$R529,0)</f>
        <v>0.5</v>
      </c>
      <c r="Q529" s="17">
        <v>112</v>
      </c>
      <c r="R529" s="17">
        <v>4</v>
      </c>
    </row>
    <row r="530" spans="1:18" ht="15.75" customHeight="1" x14ac:dyDescent="0.25">
      <c r="A530" s="37">
        <v>2021</v>
      </c>
      <c r="B530" s="35">
        <v>171875</v>
      </c>
      <c r="C530" s="34" t="s">
        <v>148</v>
      </c>
      <c r="D530" s="34" t="s">
        <v>116</v>
      </c>
      <c r="E530" s="17">
        <v>8</v>
      </c>
      <c r="F530" s="36">
        <f>IFERROR(E530/$Q530,0)</f>
        <v>0.15094339622641509</v>
      </c>
      <c r="G530" s="17">
        <v>0</v>
      </c>
      <c r="H530" s="36">
        <f>IFERROR(G530/$R530,0)</f>
        <v>0</v>
      </c>
      <c r="I530" s="17">
        <v>29</v>
      </c>
      <c r="J530" s="36">
        <f>IFERROR(I530/$Q530,0)</f>
        <v>0.54716981132075471</v>
      </c>
      <c r="K530" s="17">
        <v>2</v>
      </c>
      <c r="L530" s="36">
        <f>IFERROR(K530/$R530,0)</f>
        <v>0.66666666666666663</v>
      </c>
      <c r="M530" s="17">
        <v>16</v>
      </c>
      <c r="N530" s="36">
        <f>IFERROR(M530/$Q530,0)</f>
        <v>0.30188679245283018</v>
      </c>
      <c r="O530" s="17">
        <v>1</v>
      </c>
      <c r="P530" s="36">
        <f>IFERROR(O530/$R530,0)</f>
        <v>0.33333333333333331</v>
      </c>
      <c r="Q530" s="17">
        <v>53</v>
      </c>
      <c r="R530" s="17">
        <v>3</v>
      </c>
    </row>
    <row r="531" spans="1:18" ht="15.75" customHeight="1" x14ac:dyDescent="0.25">
      <c r="A531" s="37">
        <v>2021</v>
      </c>
      <c r="B531" s="35">
        <v>171880</v>
      </c>
      <c r="C531" s="34" t="s">
        <v>145</v>
      </c>
      <c r="D531" s="34" t="s">
        <v>117</v>
      </c>
      <c r="E531" s="17">
        <v>19</v>
      </c>
      <c r="F531" s="36">
        <f>IFERROR(E531/$Q531,0)</f>
        <v>0.18269230769230768</v>
      </c>
      <c r="G531" s="17">
        <v>0</v>
      </c>
      <c r="H531" s="36">
        <f>IFERROR(G531/$R531,0)</f>
        <v>0</v>
      </c>
      <c r="I531" s="17">
        <v>37</v>
      </c>
      <c r="J531" s="36">
        <f>IFERROR(I531/$Q531,0)</f>
        <v>0.35576923076923078</v>
      </c>
      <c r="K531" s="17">
        <v>0</v>
      </c>
      <c r="L531" s="36">
        <f>IFERROR(K531/$R531,0)</f>
        <v>0</v>
      </c>
      <c r="M531" s="17">
        <v>48</v>
      </c>
      <c r="N531" s="36">
        <f>IFERROR(M531/$Q531,0)</f>
        <v>0.46153846153846156</v>
      </c>
      <c r="O531" s="17">
        <v>1</v>
      </c>
      <c r="P531" s="36">
        <f>IFERROR(O531/$R531,0)</f>
        <v>1</v>
      </c>
      <c r="Q531" s="17">
        <v>104</v>
      </c>
      <c r="R531" s="17">
        <v>1</v>
      </c>
    </row>
    <row r="532" spans="1:18" ht="15.75" customHeight="1" x14ac:dyDescent="0.25">
      <c r="A532" s="37">
        <v>2021</v>
      </c>
      <c r="B532" s="35">
        <v>171884</v>
      </c>
      <c r="C532" s="34" t="s">
        <v>146</v>
      </c>
      <c r="D532" s="34" t="s">
        <v>118</v>
      </c>
      <c r="E532" s="17">
        <v>4</v>
      </c>
      <c r="F532" s="36">
        <f>IFERROR(E532/$Q532,0)</f>
        <v>6.8965517241379309E-2</v>
      </c>
      <c r="G532" s="17">
        <v>0</v>
      </c>
      <c r="H532" s="36">
        <f>IFERROR(G532/$R532,0)</f>
        <v>0</v>
      </c>
      <c r="I532" s="17">
        <v>21</v>
      </c>
      <c r="J532" s="36">
        <f>IFERROR(I532/$Q532,0)</f>
        <v>0.36206896551724138</v>
      </c>
      <c r="K532" s="17">
        <v>0</v>
      </c>
      <c r="L532" s="36">
        <f>IFERROR(K532/$R532,0)</f>
        <v>0</v>
      </c>
      <c r="M532" s="17">
        <v>33</v>
      </c>
      <c r="N532" s="36">
        <f>IFERROR(M532/$Q532,0)</f>
        <v>0.56896551724137934</v>
      </c>
      <c r="O532" s="17">
        <v>0</v>
      </c>
      <c r="P532" s="36">
        <f>IFERROR(O532/$R532,0)</f>
        <v>0</v>
      </c>
      <c r="Q532" s="17">
        <v>58</v>
      </c>
      <c r="R532" s="17">
        <v>0</v>
      </c>
    </row>
    <row r="533" spans="1:18" ht="15.75" customHeight="1" x14ac:dyDescent="0.25">
      <c r="A533" s="37">
        <v>2021</v>
      </c>
      <c r="B533" s="35">
        <v>171886</v>
      </c>
      <c r="C533" s="34" t="s">
        <v>149</v>
      </c>
      <c r="D533" s="34" t="s">
        <v>119</v>
      </c>
      <c r="E533" s="17">
        <v>33</v>
      </c>
      <c r="F533" s="36">
        <f>IFERROR(E533/$Q533,0)</f>
        <v>0.13636363636363635</v>
      </c>
      <c r="G533" s="17">
        <v>0</v>
      </c>
      <c r="H533" s="36">
        <f>IFERROR(G533/$R533,0)</f>
        <v>0</v>
      </c>
      <c r="I533" s="17">
        <v>98</v>
      </c>
      <c r="J533" s="36">
        <f>IFERROR(I533/$Q533,0)</f>
        <v>0.4049586776859504</v>
      </c>
      <c r="K533" s="17">
        <v>3</v>
      </c>
      <c r="L533" s="36">
        <f>IFERROR(K533/$R533,0)</f>
        <v>1</v>
      </c>
      <c r="M533" s="17">
        <v>111</v>
      </c>
      <c r="N533" s="36">
        <f>IFERROR(M533/$Q533,0)</f>
        <v>0.45867768595041325</v>
      </c>
      <c r="O533" s="17">
        <v>0</v>
      </c>
      <c r="P533" s="36">
        <f>IFERROR(O533/$R533,0)</f>
        <v>0</v>
      </c>
      <c r="Q533" s="17">
        <v>242</v>
      </c>
      <c r="R533" s="17">
        <v>3</v>
      </c>
    </row>
    <row r="534" spans="1:18" ht="15.75" customHeight="1" x14ac:dyDescent="0.25">
      <c r="A534" s="37">
        <v>2021</v>
      </c>
      <c r="B534" s="35">
        <v>171888</v>
      </c>
      <c r="C534" s="34" t="s">
        <v>150</v>
      </c>
      <c r="D534" s="34" t="s">
        <v>120</v>
      </c>
      <c r="E534" s="17">
        <v>1</v>
      </c>
      <c r="F534" s="36">
        <f>IFERROR(E534/$Q534,0)</f>
        <v>4.7619047619047616E-2</v>
      </c>
      <c r="G534" s="17">
        <v>0</v>
      </c>
      <c r="H534" s="36">
        <f>IFERROR(G534/$R534,0)</f>
        <v>0</v>
      </c>
      <c r="I534" s="17">
        <v>18</v>
      </c>
      <c r="J534" s="36">
        <f>IFERROR(I534/$Q534,0)</f>
        <v>0.8571428571428571</v>
      </c>
      <c r="K534" s="17">
        <v>1</v>
      </c>
      <c r="L534" s="36">
        <f>IFERROR(K534/$R534,0)</f>
        <v>1</v>
      </c>
      <c r="M534" s="17">
        <v>2</v>
      </c>
      <c r="N534" s="36">
        <f>IFERROR(M534/$Q534,0)</f>
        <v>9.5238095238095233E-2</v>
      </c>
      <c r="O534" s="17">
        <v>0</v>
      </c>
      <c r="P534" s="36">
        <f>IFERROR(O534/$R534,0)</f>
        <v>0</v>
      </c>
      <c r="Q534" s="17">
        <v>21</v>
      </c>
      <c r="R534" s="17">
        <v>1</v>
      </c>
    </row>
    <row r="535" spans="1:18" ht="15.75" customHeight="1" x14ac:dyDescent="0.25">
      <c r="A535" s="37">
        <v>2021</v>
      </c>
      <c r="B535" s="35">
        <v>171889</v>
      </c>
      <c r="C535" s="34" t="s">
        <v>146</v>
      </c>
      <c r="D535" s="34" t="s">
        <v>121</v>
      </c>
      <c r="E535" s="17">
        <v>17</v>
      </c>
      <c r="F535" s="36">
        <f>IFERROR(E535/$Q535,0)</f>
        <v>0.14166666666666666</v>
      </c>
      <c r="G535" s="17">
        <v>0</v>
      </c>
      <c r="H535" s="36">
        <f>IFERROR(G535/$R535,0)</f>
        <v>0</v>
      </c>
      <c r="I535" s="17">
        <v>47</v>
      </c>
      <c r="J535" s="36">
        <f>IFERROR(I535/$Q535,0)</f>
        <v>0.39166666666666666</v>
      </c>
      <c r="K535" s="17">
        <v>0</v>
      </c>
      <c r="L535" s="36">
        <f>IFERROR(K535/$R535,0)</f>
        <v>0</v>
      </c>
      <c r="M535" s="17">
        <v>56</v>
      </c>
      <c r="N535" s="36">
        <f>IFERROR(M535/$Q535,0)</f>
        <v>0.46666666666666667</v>
      </c>
      <c r="O535" s="17">
        <v>1</v>
      </c>
      <c r="P535" s="36">
        <f>IFERROR(O535/$R535,0)</f>
        <v>1</v>
      </c>
      <c r="Q535" s="17">
        <v>120</v>
      </c>
      <c r="R535" s="17">
        <v>1</v>
      </c>
    </row>
    <row r="536" spans="1:18" ht="15.75" customHeight="1" x14ac:dyDescent="0.25">
      <c r="A536" s="37">
        <v>2021</v>
      </c>
      <c r="B536" s="35">
        <v>171890</v>
      </c>
      <c r="C536" s="34" t="s">
        <v>151</v>
      </c>
      <c r="D536" s="34" t="s">
        <v>122</v>
      </c>
      <c r="E536" s="17">
        <v>44</v>
      </c>
      <c r="F536" s="36">
        <f>IFERROR(E536/$Q536,0)</f>
        <v>0.22222222222222221</v>
      </c>
      <c r="G536" s="17">
        <v>0</v>
      </c>
      <c r="H536" s="36">
        <f>IFERROR(G536/$R536,0)</f>
        <v>0</v>
      </c>
      <c r="I536" s="17">
        <v>78</v>
      </c>
      <c r="J536" s="36">
        <f>IFERROR(I536/$Q536,0)</f>
        <v>0.39393939393939392</v>
      </c>
      <c r="K536" s="17">
        <v>0</v>
      </c>
      <c r="L536" s="36">
        <f>IFERROR(K536/$R536,0)</f>
        <v>0</v>
      </c>
      <c r="M536" s="17">
        <v>76</v>
      </c>
      <c r="N536" s="36">
        <f>IFERROR(M536/$Q536,0)</f>
        <v>0.38383838383838381</v>
      </c>
      <c r="O536" s="17">
        <v>0</v>
      </c>
      <c r="P536" s="36">
        <f>IFERROR(O536/$R536,0)</f>
        <v>0</v>
      </c>
      <c r="Q536" s="17">
        <v>198</v>
      </c>
      <c r="R536" s="17">
        <v>0</v>
      </c>
    </row>
    <row r="537" spans="1:18" ht="15.75" customHeight="1" x14ac:dyDescent="0.25">
      <c r="A537" s="37">
        <v>2021</v>
      </c>
      <c r="B537" s="35">
        <v>171900</v>
      </c>
      <c r="C537" s="34" t="s">
        <v>148</v>
      </c>
      <c r="D537" s="34" t="s">
        <v>123</v>
      </c>
      <c r="E537" s="17">
        <v>37</v>
      </c>
      <c r="F537" s="36">
        <f>IFERROR(E537/$Q537,0)</f>
        <v>0.16371681415929204</v>
      </c>
      <c r="G537" s="17">
        <v>0</v>
      </c>
      <c r="H537" s="36">
        <f>IFERROR(G537/$R537,0)</f>
        <v>0</v>
      </c>
      <c r="I537" s="17">
        <v>88</v>
      </c>
      <c r="J537" s="36">
        <f>IFERROR(I537/$Q537,0)</f>
        <v>0.38938053097345132</v>
      </c>
      <c r="K537" s="17">
        <v>0</v>
      </c>
      <c r="L537" s="36">
        <f>IFERROR(K537/$R537,0)</f>
        <v>0</v>
      </c>
      <c r="M537" s="17">
        <v>101</v>
      </c>
      <c r="N537" s="36">
        <f>IFERROR(M537/$Q537,0)</f>
        <v>0.44690265486725661</v>
      </c>
      <c r="O537" s="17">
        <v>0</v>
      </c>
      <c r="P537" s="36">
        <f>IFERROR(O537/$R537,0)</f>
        <v>0</v>
      </c>
      <c r="Q537" s="17">
        <v>226</v>
      </c>
      <c r="R537" s="17">
        <v>0</v>
      </c>
    </row>
    <row r="538" spans="1:18" ht="15.75" customHeight="1" x14ac:dyDescent="0.25">
      <c r="A538" s="37">
        <v>2021</v>
      </c>
      <c r="B538" s="35">
        <v>172000</v>
      </c>
      <c r="C538" s="34" t="s">
        <v>145</v>
      </c>
      <c r="D538" s="34" t="s">
        <v>124</v>
      </c>
      <c r="E538" s="17">
        <v>22</v>
      </c>
      <c r="F538" s="36">
        <f>IFERROR(E538/$Q538,0)</f>
        <v>0.125</v>
      </c>
      <c r="G538" s="17">
        <v>0</v>
      </c>
      <c r="H538" s="36">
        <f>IFERROR(G538/$R538,0)</f>
        <v>0</v>
      </c>
      <c r="I538" s="17">
        <v>57</v>
      </c>
      <c r="J538" s="36">
        <f>IFERROR(I538/$Q538,0)</f>
        <v>0.32386363636363635</v>
      </c>
      <c r="K538" s="17">
        <v>0</v>
      </c>
      <c r="L538" s="36">
        <f>IFERROR(K538/$R538,0)</f>
        <v>0</v>
      </c>
      <c r="M538" s="17">
        <v>97</v>
      </c>
      <c r="N538" s="36">
        <f>IFERROR(M538/$Q538,0)</f>
        <v>0.55113636363636365</v>
      </c>
      <c r="O538" s="17">
        <v>2</v>
      </c>
      <c r="P538" s="36">
        <f>IFERROR(O538/$R538,0)</f>
        <v>1</v>
      </c>
      <c r="Q538" s="17">
        <v>176</v>
      </c>
      <c r="R538" s="17">
        <v>2</v>
      </c>
    </row>
    <row r="539" spans="1:18" ht="15.75" customHeight="1" x14ac:dyDescent="0.25">
      <c r="A539" s="37">
        <v>2021</v>
      </c>
      <c r="B539" s="35">
        <v>172010</v>
      </c>
      <c r="C539" s="34" t="s">
        <v>145</v>
      </c>
      <c r="D539" s="34" t="s">
        <v>125</v>
      </c>
      <c r="E539" s="17">
        <v>34</v>
      </c>
      <c r="F539" s="36">
        <f>IFERROR(E539/$Q539,0)</f>
        <v>0.15315315315315314</v>
      </c>
      <c r="G539" s="17">
        <v>0</v>
      </c>
      <c r="H539" s="36">
        <f>IFERROR(G539/$R539,0)</f>
        <v>0</v>
      </c>
      <c r="I539" s="17">
        <v>105</v>
      </c>
      <c r="J539" s="36">
        <f>IFERROR(I539/$Q539,0)</f>
        <v>0.47297297297297297</v>
      </c>
      <c r="K539" s="17">
        <v>2</v>
      </c>
      <c r="L539" s="36">
        <f>IFERROR(K539/$R539,0)</f>
        <v>0.4</v>
      </c>
      <c r="M539" s="17">
        <v>83</v>
      </c>
      <c r="N539" s="36">
        <f>IFERROR(M539/$Q539,0)</f>
        <v>0.37387387387387389</v>
      </c>
      <c r="O539" s="17">
        <v>3</v>
      </c>
      <c r="P539" s="36">
        <f>IFERROR(O539/$R539,0)</f>
        <v>0.6</v>
      </c>
      <c r="Q539" s="17">
        <v>222</v>
      </c>
      <c r="R539" s="17">
        <v>5</v>
      </c>
    </row>
    <row r="540" spans="1:18" ht="15.75" customHeight="1" x14ac:dyDescent="0.25">
      <c r="A540" s="37">
        <v>2021</v>
      </c>
      <c r="B540" s="35">
        <v>172015</v>
      </c>
      <c r="C540" s="34" t="s">
        <v>148</v>
      </c>
      <c r="D540" s="34" t="s">
        <v>126</v>
      </c>
      <c r="E540" s="17">
        <v>27</v>
      </c>
      <c r="F540" s="36">
        <f>IFERROR(E540/$Q540,0)</f>
        <v>0.21428571428571427</v>
      </c>
      <c r="G540" s="17">
        <v>0</v>
      </c>
      <c r="H540" s="36">
        <f>IFERROR(G540/$R540,0)</f>
        <v>0</v>
      </c>
      <c r="I540" s="17">
        <v>59</v>
      </c>
      <c r="J540" s="36">
        <f>IFERROR(I540/$Q540,0)</f>
        <v>0.46825396825396826</v>
      </c>
      <c r="K540" s="17">
        <v>0</v>
      </c>
      <c r="L540" s="36">
        <f>IFERROR(K540/$R540,0)</f>
        <v>0</v>
      </c>
      <c r="M540" s="17">
        <v>40</v>
      </c>
      <c r="N540" s="36">
        <f>IFERROR(M540/$Q540,0)</f>
        <v>0.31746031746031744</v>
      </c>
      <c r="O540" s="17">
        <v>0</v>
      </c>
      <c r="P540" s="36">
        <f>IFERROR(O540/$R540,0)</f>
        <v>0</v>
      </c>
      <c r="Q540" s="17">
        <v>126</v>
      </c>
      <c r="R540" s="17">
        <v>0</v>
      </c>
    </row>
    <row r="541" spans="1:18" ht="15.75" customHeight="1" x14ac:dyDescent="0.25">
      <c r="A541" s="37">
        <v>2021</v>
      </c>
      <c r="B541" s="35">
        <v>172020</v>
      </c>
      <c r="C541" s="34" t="s">
        <v>145</v>
      </c>
      <c r="D541" s="34" t="s">
        <v>127</v>
      </c>
      <c r="E541" s="17">
        <v>82</v>
      </c>
      <c r="F541" s="36">
        <f>IFERROR(E541/$Q541,0)</f>
        <v>0.13598673300165837</v>
      </c>
      <c r="G541" s="17">
        <v>1</v>
      </c>
      <c r="H541" s="36">
        <f>IFERROR(G541/$R541,0)</f>
        <v>0.2</v>
      </c>
      <c r="I541" s="17">
        <v>243</v>
      </c>
      <c r="J541" s="36">
        <f>IFERROR(I541/$Q541,0)</f>
        <v>0.40298507462686567</v>
      </c>
      <c r="K541" s="17">
        <v>4</v>
      </c>
      <c r="L541" s="36">
        <f>IFERROR(K541/$R541,0)</f>
        <v>0.8</v>
      </c>
      <c r="M541" s="17">
        <v>278</v>
      </c>
      <c r="N541" s="36">
        <f>IFERROR(M541/$Q541,0)</f>
        <v>0.46102819237147596</v>
      </c>
      <c r="O541" s="17">
        <v>0</v>
      </c>
      <c r="P541" s="36">
        <f>IFERROR(O541/$R541,0)</f>
        <v>0</v>
      </c>
      <c r="Q541" s="17">
        <v>603</v>
      </c>
      <c r="R541" s="17">
        <v>5</v>
      </c>
    </row>
    <row r="542" spans="1:18" ht="15.75" customHeight="1" x14ac:dyDescent="0.25">
      <c r="A542" s="37">
        <v>2021</v>
      </c>
      <c r="B542" s="35">
        <v>172025</v>
      </c>
      <c r="C542" s="34" t="s">
        <v>146</v>
      </c>
      <c r="D542" s="34" t="s">
        <v>128</v>
      </c>
      <c r="E542" s="17">
        <v>30</v>
      </c>
      <c r="F542" s="36">
        <f>IFERROR(E542/$Q542,0)</f>
        <v>0.21126760563380281</v>
      </c>
      <c r="G542" s="17">
        <v>0</v>
      </c>
      <c r="H542" s="36">
        <f>IFERROR(G542/$R542,0)</f>
        <v>0</v>
      </c>
      <c r="I542" s="17">
        <v>52</v>
      </c>
      <c r="J542" s="36">
        <f>IFERROR(I542/$Q542,0)</f>
        <v>0.36619718309859156</v>
      </c>
      <c r="K542" s="17">
        <v>2</v>
      </c>
      <c r="L542" s="36">
        <f>IFERROR(K542/$R542,0)</f>
        <v>0.66666666666666663</v>
      </c>
      <c r="M542" s="17">
        <v>60</v>
      </c>
      <c r="N542" s="36">
        <f>IFERROR(M542/$Q542,0)</f>
        <v>0.42253521126760563</v>
      </c>
      <c r="O542" s="17">
        <v>1</v>
      </c>
      <c r="P542" s="36">
        <f>IFERROR(O542/$R542,0)</f>
        <v>0.33333333333333331</v>
      </c>
      <c r="Q542" s="17">
        <v>142</v>
      </c>
      <c r="R542" s="17">
        <v>3</v>
      </c>
    </row>
    <row r="543" spans="1:18" ht="15.75" customHeight="1" x14ac:dyDescent="0.25">
      <c r="A543" s="37">
        <v>2021</v>
      </c>
      <c r="B543" s="35">
        <v>172030</v>
      </c>
      <c r="C543" s="34" t="s">
        <v>145</v>
      </c>
      <c r="D543" s="34" t="s">
        <v>129</v>
      </c>
      <c r="E543" s="17">
        <v>10</v>
      </c>
      <c r="F543" s="36">
        <f>IFERROR(E543/$Q543,0)</f>
        <v>0.17241379310344829</v>
      </c>
      <c r="G543" s="17">
        <v>0</v>
      </c>
      <c r="H543" s="36">
        <f>IFERROR(G543/$R543,0)</f>
        <v>0</v>
      </c>
      <c r="I543" s="17">
        <v>24</v>
      </c>
      <c r="J543" s="36">
        <f>IFERROR(I543/$Q543,0)</f>
        <v>0.41379310344827586</v>
      </c>
      <c r="K543" s="17">
        <v>2</v>
      </c>
      <c r="L543" s="36">
        <f>IFERROR(K543/$R543,0)</f>
        <v>0.66666666666666663</v>
      </c>
      <c r="M543" s="17">
        <v>24</v>
      </c>
      <c r="N543" s="36">
        <f>IFERROR(M543/$Q543,0)</f>
        <v>0.41379310344827586</v>
      </c>
      <c r="O543" s="17">
        <v>1</v>
      </c>
      <c r="P543" s="36">
        <f>IFERROR(O543/$R543,0)</f>
        <v>0.33333333333333331</v>
      </c>
      <c r="Q543" s="17">
        <v>58</v>
      </c>
      <c r="R543" s="17">
        <v>3</v>
      </c>
    </row>
    <row r="544" spans="1:18" ht="15.75" customHeight="1" x14ac:dyDescent="0.25">
      <c r="A544" s="37">
        <v>2021</v>
      </c>
      <c r="B544" s="35">
        <v>172049</v>
      </c>
      <c r="C544" s="34" t="s">
        <v>146</v>
      </c>
      <c r="D544" s="34" t="s">
        <v>130</v>
      </c>
      <c r="E544" s="17">
        <v>28</v>
      </c>
      <c r="F544" s="36">
        <f>IFERROR(E544/$Q544,0)</f>
        <v>0.11814345991561181</v>
      </c>
      <c r="G544" s="17">
        <v>0</v>
      </c>
      <c r="H544" s="36">
        <f>IFERROR(G544/$R544,0)</f>
        <v>0</v>
      </c>
      <c r="I544" s="17">
        <v>89</v>
      </c>
      <c r="J544" s="36">
        <f>IFERROR(I544/$Q544,0)</f>
        <v>0.37552742616033757</v>
      </c>
      <c r="K544" s="17">
        <v>0</v>
      </c>
      <c r="L544" s="36">
        <f>IFERROR(K544/$R544,0)</f>
        <v>0</v>
      </c>
      <c r="M544" s="17">
        <v>120</v>
      </c>
      <c r="N544" s="36">
        <f>IFERROR(M544/$Q544,0)</f>
        <v>0.50632911392405067</v>
      </c>
      <c r="O544" s="17">
        <v>1</v>
      </c>
      <c r="P544" s="36">
        <f>IFERROR(O544/$R544,0)</f>
        <v>1</v>
      </c>
      <c r="Q544" s="17">
        <v>237</v>
      </c>
      <c r="R544" s="17">
        <v>1</v>
      </c>
    </row>
    <row r="545" spans="1:18" ht="15.75" customHeight="1" x14ac:dyDescent="0.25">
      <c r="A545" s="37">
        <v>2021</v>
      </c>
      <c r="B545" s="35">
        <v>172065</v>
      </c>
      <c r="C545" s="34" t="s">
        <v>151</v>
      </c>
      <c r="D545" s="34" t="s">
        <v>131</v>
      </c>
      <c r="E545" s="17">
        <v>8</v>
      </c>
      <c r="F545" s="36">
        <f>IFERROR(E545/$Q545,0)</f>
        <v>0.13793103448275862</v>
      </c>
      <c r="G545" s="17">
        <v>0</v>
      </c>
      <c r="H545" s="36">
        <f>IFERROR(G545/$R545,0)</f>
        <v>0</v>
      </c>
      <c r="I545" s="17">
        <v>21</v>
      </c>
      <c r="J545" s="36">
        <f>IFERROR(I545/$Q545,0)</f>
        <v>0.36206896551724138</v>
      </c>
      <c r="K545" s="17">
        <v>1</v>
      </c>
      <c r="L545" s="36">
        <f>IFERROR(K545/$R545,0)</f>
        <v>0.2</v>
      </c>
      <c r="M545" s="17">
        <v>29</v>
      </c>
      <c r="N545" s="36">
        <f>IFERROR(M545/$Q545,0)</f>
        <v>0.5</v>
      </c>
      <c r="O545" s="17">
        <v>4</v>
      </c>
      <c r="P545" s="36">
        <f>IFERROR(O545/$R545,0)</f>
        <v>0.8</v>
      </c>
      <c r="Q545" s="17">
        <v>58</v>
      </c>
      <c r="R545" s="17">
        <v>5</v>
      </c>
    </row>
    <row r="546" spans="1:18" ht="15.75" customHeight="1" x14ac:dyDescent="0.25">
      <c r="A546" s="37">
        <v>2021</v>
      </c>
      <c r="B546" s="35">
        <v>172080</v>
      </c>
      <c r="C546" s="34" t="s">
        <v>145</v>
      </c>
      <c r="D546" s="34" t="s">
        <v>132</v>
      </c>
      <c r="E546" s="17">
        <v>184</v>
      </c>
      <c r="F546" s="36">
        <f>IFERROR(E546/$Q546,0)</f>
        <v>0.18585858585858586</v>
      </c>
      <c r="G546" s="17">
        <v>1</v>
      </c>
      <c r="H546" s="36">
        <f>IFERROR(G546/$R546,0)</f>
        <v>0.2</v>
      </c>
      <c r="I546" s="17">
        <v>392</v>
      </c>
      <c r="J546" s="36">
        <f>IFERROR(I546/$Q546,0)</f>
        <v>0.39595959595959596</v>
      </c>
      <c r="K546" s="17">
        <v>1</v>
      </c>
      <c r="L546" s="36">
        <f>IFERROR(K546/$R546,0)</f>
        <v>0.2</v>
      </c>
      <c r="M546" s="17">
        <v>414</v>
      </c>
      <c r="N546" s="36">
        <f>IFERROR(M546/$Q546,0)</f>
        <v>0.41818181818181815</v>
      </c>
      <c r="O546" s="17">
        <v>3</v>
      </c>
      <c r="P546" s="36">
        <f>IFERROR(O546/$R546,0)</f>
        <v>0.6</v>
      </c>
      <c r="Q546" s="17">
        <v>990</v>
      </c>
      <c r="R546" s="17">
        <v>5</v>
      </c>
    </row>
    <row r="547" spans="1:18" ht="15.75" customHeight="1" x14ac:dyDescent="0.25">
      <c r="A547" s="37">
        <v>2021</v>
      </c>
      <c r="B547" s="35">
        <v>172085</v>
      </c>
      <c r="C547" s="34" t="s">
        <v>146</v>
      </c>
      <c r="D547" s="34" t="s">
        <v>133</v>
      </c>
      <c r="E547" s="17">
        <v>24</v>
      </c>
      <c r="F547" s="36">
        <f>IFERROR(E547/$Q547,0)</f>
        <v>0.12182741116751269</v>
      </c>
      <c r="G547" s="17">
        <v>0</v>
      </c>
      <c r="H547" s="36">
        <f>IFERROR(G547/$R547,0)</f>
        <v>0</v>
      </c>
      <c r="I547" s="17">
        <v>94</v>
      </c>
      <c r="J547" s="36">
        <f>IFERROR(I547/$Q547,0)</f>
        <v>0.47715736040609136</v>
      </c>
      <c r="K547" s="17">
        <v>0</v>
      </c>
      <c r="L547" s="36">
        <f>IFERROR(K547/$R547,0)</f>
        <v>0</v>
      </c>
      <c r="M547" s="17">
        <v>79</v>
      </c>
      <c r="N547" s="36">
        <f>IFERROR(M547/$Q547,0)</f>
        <v>0.40101522842639592</v>
      </c>
      <c r="O547" s="17">
        <v>0</v>
      </c>
      <c r="P547" s="36">
        <f>IFERROR(O547/$R547,0)</f>
        <v>0</v>
      </c>
      <c r="Q547" s="17">
        <v>197</v>
      </c>
      <c r="R547" s="17">
        <v>0</v>
      </c>
    </row>
    <row r="548" spans="1:18" ht="15.75" customHeight="1" x14ac:dyDescent="0.25">
      <c r="A548" s="37">
        <v>2021</v>
      </c>
      <c r="B548" s="35">
        <v>170825</v>
      </c>
      <c r="C548" s="34" t="s">
        <v>148</v>
      </c>
      <c r="D548" s="34" t="s">
        <v>134</v>
      </c>
      <c r="E548" s="17">
        <v>3</v>
      </c>
      <c r="F548" s="36">
        <f>IFERROR(E548/$Q548,0)</f>
        <v>0.23076923076923078</v>
      </c>
      <c r="G548" s="17">
        <v>0</v>
      </c>
      <c r="H548" s="36">
        <f>IFERROR(G548/$R548,0)</f>
        <v>0</v>
      </c>
      <c r="I548" s="17">
        <v>5</v>
      </c>
      <c r="J548" s="36">
        <f>IFERROR(I548/$Q548,0)</f>
        <v>0.38461538461538464</v>
      </c>
      <c r="K548" s="17">
        <v>1</v>
      </c>
      <c r="L548" s="36">
        <f>IFERROR(K548/$R548,0)</f>
        <v>0.5</v>
      </c>
      <c r="M548" s="17">
        <v>5</v>
      </c>
      <c r="N548" s="36">
        <f>IFERROR(M548/$Q548,0)</f>
        <v>0.38461538461538464</v>
      </c>
      <c r="O548" s="17">
        <v>1</v>
      </c>
      <c r="P548" s="36">
        <f>IFERROR(O548/$R548,0)</f>
        <v>0.5</v>
      </c>
      <c r="Q548" s="17">
        <v>13</v>
      </c>
      <c r="R548" s="17">
        <v>2</v>
      </c>
    </row>
    <row r="549" spans="1:18" ht="15.75" customHeight="1" x14ac:dyDescent="0.25">
      <c r="A549" s="37">
        <v>2021</v>
      </c>
      <c r="B549" s="35">
        <v>172090</v>
      </c>
      <c r="C549" s="34" t="s">
        <v>147</v>
      </c>
      <c r="D549" s="34" t="s">
        <v>135</v>
      </c>
      <c r="E549" s="17">
        <v>97</v>
      </c>
      <c r="F549" s="36">
        <f>IFERROR(E549/$Q549,0)</f>
        <v>0.15227629513343799</v>
      </c>
      <c r="G549" s="17">
        <v>1</v>
      </c>
      <c r="H549" s="36">
        <f>IFERROR(G549/$R549,0)</f>
        <v>0.14285714285714285</v>
      </c>
      <c r="I549" s="17">
        <v>271</v>
      </c>
      <c r="J549" s="36">
        <f>IFERROR(I549/$Q549,0)</f>
        <v>0.42543171114599687</v>
      </c>
      <c r="K549" s="17">
        <v>1</v>
      </c>
      <c r="L549" s="36">
        <f>IFERROR(K549/$R549,0)</f>
        <v>0.14285714285714285</v>
      </c>
      <c r="M549" s="17">
        <v>269</v>
      </c>
      <c r="N549" s="36">
        <f>IFERROR(M549/$Q549,0)</f>
        <v>0.42229199372056514</v>
      </c>
      <c r="O549" s="17">
        <v>5</v>
      </c>
      <c r="P549" s="36">
        <f>IFERROR(O549/$R549,0)</f>
        <v>0.7142857142857143</v>
      </c>
      <c r="Q549" s="17">
        <v>637</v>
      </c>
      <c r="R549" s="17">
        <v>7</v>
      </c>
    </row>
    <row r="550" spans="1:18" ht="15.75" customHeight="1" x14ac:dyDescent="0.25">
      <c r="A550" s="37">
        <v>2021</v>
      </c>
      <c r="B550" s="35">
        <v>172093</v>
      </c>
      <c r="C550" s="34" t="s">
        <v>147</v>
      </c>
      <c r="D550" s="34" t="s">
        <v>136</v>
      </c>
      <c r="E550" s="17">
        <v>1</v>
      </c>
      <c r="F550" s="36">
        <f>IFERROR(E550/$Q550,0)</f>
        <v>0.125</v>
      </c>
      <c r="G550" s="17">
        <v>0</v>
      </c>
      <c r="H550" s="36">
        <f>IFERROR(G550/$R550,0)</f>
        <v>0</v>
      </c>
      <c r="I550" s="17">
        <v>3</v>
      </c>
      <c r="J550" s="36">
        <f>IFERROR(I550/$Q550,0)</f>
        <v>0.375</v>
      </c>
      <c r="K550" s="17">
        <v>0</v>
      </c>
      <c r="L550" s="36">
        <f>IFERROR(K550/$R550,0)</f>
        <v>0</v>
      </c>
      <c r="M550" s="17">
        <v>4</v>
      </c>
      <c r="N550" s="36">
        <f>IFERROR(M550/$Q550,0)</f>
        <v>0.5</v>
      </c>
      <c r="O550" s="17">
        <v>0</v>
      </c>
      <c r="P550" s="36">
        <f>IFERROR(O550/$R550,0)</f>
        <v>0</v>
      </c>
      <c r="Q550" s="17">
        <v>8</v>
      </c>
      <c r="R550" s="17">
        <v>0</v>
      </c>
    </row>
    <row r="551" spans="1:18" ht="15.75" customHeight="1" x14ac:dyDescent="0.25">
      <c r="A551" s="37">
        <v>2021</v>
      </c>
      <c r="B551" s="35">
        <v>172097</v>
      </c>
      <c r="C551" s="34" t="s">
        <v>146</v>
      </c>
      <c r="D551" s="34" t="s">
        <v>137</v>
      </c>
      <c r="E551" s="17">
        <v>15</v>
      </c>
      <c r="F551" s="36">
        <f>IFERROR(E551/$Q551,0)</f>
        <v>0.12396694214876033</v>
      </c>
      <c r="G551" s="17">
        <v>0</v>
      </c>
      <c r="H551" s="36">
        <f>IFERROR(G551/$R551,0)</f>
        <v>0</v>
      </c>
      <c r="I551" s="17">
        <v>40</v>
      </c>
      <c r="J551" s="36">
        <f>IFERROR(I551/$Q551,0)</f>
        <v>0.33057851239669422</v>
      </c>
      <c r="K551" s="17">
        <v>0</v>
      </c>
      <c r="L551" s="36">
        <f>IFERROR(K551/$R551,0)</f>
        <v>0</v>
      </c>
      <c r="M551" s="17">
        <v>66</v>
      </c>
      <c r="N551" s="36">
        <f>IFERROR(M551/$Q551,0)</f>
        <v>0.54545454545454541</v>
      </c>
      <c r="O551" s="17">
        <v>0</v>
      </c>
      <c r="P551" s="36">
        <f>IFERROR(O551/$R551,0)</f>
        <v>0</v>
      </c>
      <c r="Q551" s="17">
        <v>121</v>
      </c>
      <c r="R551" s="17">
        <v>0</v>
      </c>
    </row>
    <row r="552" spans="1:18" ht="15.75" customHeight="1" x14ac:dyDescent="0.25">
      <c r="A552" s="37">
        <v>2021</v>
      </c>
      <c r="B552" s="35">
        <v>172110</v>
      </c>
      <c r="C552" s="34" t="s">
        <v>148</v>
      </c>
      <c r="D552" s="34" t="s">
        <v>138</v>
      </c>
      <c r="E552" s="17">
        <v>43</v>
      </c>
      <c r="F552" s="36">
        <f>IFERROR(E552/$Q552,0)</f>
        <v>0.17695473251028807</v>
      </c>
      <c r="G552" s="17">
        <v>2</v>
      </c>
      <c r="H552" s="36">
        <f>IFERROR(G552/$R552,0)</f>
        <v>0.25</v>
      </c>
      <c r="I552" s="17">
        <v>109</v>
      </c>
      <c r="J552" s="36">
        <f>IFERROR(I552/$Q552,0)</f>
        <v>0.44855967078189302</v>
      </c>
      <c r="K552" s="17">
        <v>2</v>
      </c>
      <c r="L552" s="36">
        <f>IFERROR(K552/$R552,0)</f>
        <v>0.25</v>
      </c>
      <c r="M552" s="17">
        <v>91</v>
      </c>
      <c r="N552" s="36">
        <f>IFERROR(M552/$Q552,0)</f>
        <v>0.37448559670781895</v>
      </c>
      <c r="O552" s="17">
        <v>4</v>
      </c>
      <c r="P552" s="36">
        <f>IFERROR(O552/$R552,0)</f>
        <v>0.5</v>
      </c>
      <c r="Q552" s="17">
        <v>243</v>
      </c>
      <c r="R552" s="17">
        <v>8</v>
      </c>
    </row>
    <row r="553" spans="1:18" ht="15.75" customHeight="1" x14ac:dyDescent="0.25">
      <c r="A553" s="37">
        <v>2021</v>
      </c>
      <c r="B553" s="35">
        <v>172120</v>
      </c>
      <c r="C553" s="34" t="s">
        <v>145</v>
      </c>
      <c r="D553" s="34" t="s">
        <v>139</v>
      </c>
      <c r="E553" s="17">
        <v>74</v>
      </c>
      <c r="F553" s="36">
        <f>IFERROR(E553/$Q553,0)</f>
        <v>0.17788461538461539</v>
      </c>
      <c r="G553" s="17">
        <v>5</v>
      </c>
      <c r="H553" s="36">
        <f>IFERROR(G553/$R553,0)</f>
        <v>0.26315789473684209</v>
      </c>
      <c r="I553" s="17">
        <v>178</v>
      </c>
      <c r="J553" s="36">
        <f>IFERROR(I553/$Q553,0)</f>
        <v>0.42788461538461536</v>
      </c>
      <c r="K553" s="17">
        <v>9</v>
      </c>
      <c r="L553" s="36">
        <f>IFERROR(K553/$R553,0)</f>
        <v>0.47368421052631576</v>
      </c>
      <c r="M553" s="17">
        <v>164</v>
      </c>
      <c r="N553" s="36">
        <f>IFERROR(M553/$Q553,0)</f>
        <v>0.39423076923076922</v>
      </c>
      <c r="O553" s="17">
        <v>5</v>
      </c>
      <c r="P553" s="36">
        <f>IFERROR(O553/$R553,0)</f>
        <v>0.26315789473684209</v>
      </c>
      <c r="Q553" s="17">
        <v>416</v>
      </c>
      <c r="R553" s="17">
        <v>19</v>
      </c>
    </row>
    <row r="554" spans="1:18" ht="15.75" customHeight="1" x14ac:dyDescent="0.25">
      <c r="A554" s="37">
        <v>2021</v>
      </c>
      <c r="B554" s="35">
        <v>172125</v>
      </c>
      <c r="C554" s="34" t="s">
        <v>150</v>
      </c>
      <c r="D554" s="34" t="s">
        <v>140</v>
      </c>
      <c r="E554" s="17">
        <v>15</v>
      </c>
      <c r="F554" s="36">
        <f>IFERROR(E554/$Q554,0)</f>
        <v>0.34883720930232559</v>
      </c>
      <c r="G554" s="17">
        <v>0</v>
      </c>
      <c r="H554" s="36">
        <f>IFERROR(G554/$R554,0)</f>
        <v>0</v>
      </c>
      <c r="I554" s="17">
        <v>21</v>
      </c>
      <c r="J554" s="36">
        <f>IFERROR(I554/$Q554,0)</f>
        <v>0.48837209302325579</v>
      </c>
      <c r="K554" s="17">
        <v>0</v>
      </c>
      <c r="L554" s="36">
        <f>IFERROR(K554/$R554,0)</f>
        <v>0</v>
      </c>
      <c r="M554" s="17">
        <v>7</v>
      </c>
      <c r="N554" s="36">
        <f>IFERROR(M554/$Q554,0)</f>
        <v>0.16279069767441862</v>
      </c>
      <c r="O554" s="17">
        <v>0</v>
      </c>
      <c r="P554" s="36">
        <f>IFERROR(O554/$R554,0)</f>
        <v>0</v>
      </c>
      <c r="Q554" s="17">
        <v>43</v>
      </c>
      <c r="R554" s="17">
        <v>0</v>
      </c>
    </row>
    <row r="555" spans="1:18" ht="15.75" customHeight="1" x14ac:dyDescent="0.25">
      <c r="A555" s="37">
        <v>2021</v>
      </c>
      <c r="B555" s="35">
        <v>172130</v>
      </c>
      <c r="C555" s="34" t="s">
        <v>150</v>
      </c>
      <c r="D555" s="34" t="s">
        <v>141</v>
      </c>
      <c r="E555" s="17">
        <v>0</v>
      </c>
      <c r="F555" s="36">
        <f>IFERROR(E555/$Q555,0)</f>
        <v>0</v>
      </c>
      <c r="G555" s="17">
        <v>0</v>
      </c>
      <c r="H555" s="36">
        <f>IFERROR(G555/$R555,0)</f>
        <v>0</v>
      </c>
      <c r="I555" s="17">
        <v>1</v>
      </c>
      <c r="J555" s="36">
        <f>IFERROR(I555/$Q555,0)</f>
        <v>0.5</v>
      </c>
      <c r="K555" s="17">
        <v>0</v>
      </c>
      <c r="L555" s="36">
        <f>IFERROR(K555/$R555,0)</f>
        <v>0</v>
      </c>
      <c r="M555" s="17">
        <v>1</v>
      </c>
      <c r="N555" s="36">
        <f>IFERROR(M555/$Q555,0)</f>
        <v>0.5</v>
      </c>
      <c r="O555" s="17">
        <v>0</v>
      </c>
      <c r="P555" s="36">
        <f>IFERROR(O555/$R555,0)</f>
        <v>0</v>
      </c>
      <c r="Q555" s="17">
        <v>2</v>
      </c>
      <c r="R555" s="17">
        <v>0</v>
      </c>
    </row>
    <row r="556" spans="1:18" ht="15.75" customHeight="1" x14ac:dyDescent="0.25">
      <c r="A556" s="37">
        <v>2021</v>
      </c>
      <c r="B556" s="35">
        <v>172208</v>
      </c>
      <c r="C556" s="34" t="s">
        <v>149</v>
      </c>
      <c r="D556" s="34" t="s">
        <v>142</v>
      </c>
      <c r="E556" s="17">
        <v>80</v>
      </c>
      <c r="F556" s="36">
        <f>IFERROR(E556/$Q556,0)</f>
        <v>0.19464720194647203</v>
      </c>
      <c r="G556" s="17">
        <v>0</v>
      </c>
      <c r="H556" s="36">
        <f>IFERROR(G556/$R556,0)</f>
        <v>0</v>
      </c>
      <c r="I556" s="17">
        <v>180</v>
      </c>
      <c r="J556" s="36">
        <f>IFERROR(I556/$Q556,0)</f>
        <v>0.43795620437956206</v>
      </c>
      <c r="K556" s="17">
        <v>1</v>
      </c>
      <c r="L556" s="36">
        <f>IFERROR(K556/$R556,0)</f>
        <v>0.25</v>
      </c>
      <c r="M556" s="17">
        <v>151</v>
      </c>
      <c r="N556" s="36">
        <f>IFERROR(M556/$Q556,0)</f>
        <v>0.36739659367396593</v>
      </c>
      <c r="O556" s="17">
        <v>3</v>
      </c>
      <c r="P556" s="36">
        <f>IFERROR(O556/$R556,0)</f>
        <v>0.75</v>
      </c>
      <c r="Q556" s="17">
        <v>411</v>
      </c>
      <c r="R556" s="17">
        <v>4</v>
      </c>
    </row>
    <row r="557" spans="1:18" ht="15.75" customHeight="1" x14ac:dyDescent="0.25">
      <c r="A557" s="37">
        <v>2021</v>
      </c>
      <c r="B557" s="35">
        <v>172210</v>
      </c>
      <c r="C557" s="34" t="s">
        <v>149</v>
      </c>
      <c r="D557" s="34" t="s">
        <v>143</v>
      </c>
      <c r="E557" s="17">
        <v>33</v>
      </c>
      <c r="F557" s="36">
        <f>IFERROR(E557/$Q557,0)</f>
        <v>0.1542056074766355</v>
      </c>
      <c r="G557" s="17">
        <v>2</v>
      </c>
      <c r="H557" s="36">
        <f>IFERROR(G557/$R557,0)</f>
        <v>0.13333333333333333</v>
      </c>
      <c r="I557" s="17">
        <v>68</v>
      </c>
      <c r="J557" s="36">
        <f>IFERROR(I557/$Q557,0)</f>
        <v>0.31775700934579437</v>
      </c>
      <c r="K557" s="17">
        <v>6</v>
      </c>
      <c r="L557" s="36">
        <f>IFERROR(K557/$R557,0)</f>
        <v>0.4</v>
      </c>
      <c r="M557" s="17">
        <v>113</v>
      </c>
      <c r="N557" s="36">
        <f>IFERROR(M557/$Q557,0)</f>
        <v>0.5280373831775701</v>
      </c>
      <c r="O557" s="17">
        <v>7</v>
      </c>
      <c r="P557" s="36">
        <f>IFERROR(O557/$R557,0)</f>
        <v>0.46666666666666667</v>
      </c>
      <c r="Q557" s="17">
        <v>214</v>
      </c>
      <c r="R557" s="17">
        <v>15</v>
      </c>
    </row>
    <row r="558" spans="1:18" ht="15.75" customHeight="1" x14ac:dyDescent="0.25">
      <c r="A558" s="37">
        <v>2020</v>
      </c>
      <c r="B558" s="35">
        <v>170025</v>
      </c>
      <c r="C558" s="34" t="s">
        <v>144</v>
      </c>
      <c r="D558" s="34" t="s">
        <v>5</v>
      </c>
      <c r="E558" s="17">
        <v>26</v>
      </c>
      <c r="F558" s="36">
        <f>IFERROR(E558/$Q558,0)</f>
        <v>0.17687074829931973</v>
      </c>
      <c r="G558" s="17">
        <v>0</v>
      </c>
      <c r="H558" s="36">
        <f>IFERROR(G558/$R558,0)</f>
        <v>0</v>
      </c>
      <c r="I558" s="17">
        <v>64</v>
      </c>
      <c r="J558" s="36">
        <f>IFERROR(I558/$Q558,0)</f>
        <v>0.43537414965986393</v>
      </c>
      <c r="K558" s="17">
        <v>2</v>
      </c>
      <c r="L558" s="36">
        <f>IFERROR(K558/$R558,0)</f>
        <v>0.66666666666666663</v>
      </c>
      <c r="M558" s="17">
        <v>57</v>
      </c>
      <c r="N558" s="36">
        <f>IFERROR(M558/$Q558,0)</f>
        <v>0.38775510204081631</v>
      </c>
      <c r="O558" s="17">
        <v>1</v>
      </c>
      <c r="P558" s="36">
        <f>IFERROR(O558/$R558,0)</f>
        <v>0.33333333333333331</v>
      </c>
      <c r="Q558" s="17">
        <v>147</v>
      </c>
      <c r="R558" s="17">
        <v>3</v>
      </c>
    </row>
    <row r="559" spans="1:18" ht="15.75" customHeight="1" x14ac:dyDescent="0.25">
      <c r="A559" s="37">
        <v>2020</v>
      </c>
      <c r="B559" s="35">
        <v>170030</v>
      </c>
      <c r="C559" s="34" t="s">
        <v>145</v>
      </c>
      <c r="D559" s="34" t="s">
        <v>6</v>
      </c>
      <c r="E559" s="17">
        <v>6</v>
      </c>
      <c r="F559" s="36">
        <f>IFERROR(E559/$Q559,0)</f>
        <v>0.11320754716981132</v>
      </c>
      <c r="G559" s="17">
        <v>0</v>
      </c>
      <c r="H559" s="36">
        <f>IFERROR(G559/$R559,0)</f>
        <v>0</v>
      </c>
      <c r="I559" s="17">
        <v>18</v>
      </c>
      <c r="J559" s="36">
        <f>IFERROR(I559/$Q559,0)</f>
        <v>0.33962264150943394</v>
      </c>
      <c r="K559" s="17">
        <v>0</v>
      </c>
      <c r="L559" s="36">
        <f>IFERROR(K559/$R559,0)</f>
        <v>0</v>
      </c>
      <c r="M559" s="17">
        <v>29</v>
      </c>
      <c r="N559" s="36">
        <f>IFERROR(M559/$Q559,0)</f>
        <v>0.54716981132075471</v>
      </c>
      <c r="O559" s="17">
        <v>0</v>
      </c>
      <c r="P559" s="36">
        <f>IFERROR(O559/$R559,0)</f>
        <v>0</v>
      </c>
      <c r="Q559" s="17">
        <v>53</v>
      </c>
      <c r="R559" s="17">
        <v>0</v>
      </c>
    </row>
    <row r="560" spans="1:18" ht="15.75" customHeight="1" x14ac:dyDescent="0.25">
      <c r="A560" s="37">
        <v>2020</v>
      </c>
      <c r="B560" s="35">
        <v>170035</v>
      </c>
      <c r="C560" s="34" t="s">
        <v>146</v>
      </c>
      <c r="D560" s="34" t="s">
        <v>7</v>
      </c>
      <c r="E560" s="17">
        <v>15</v>
      </c>
      <c r="F560" s="36">
        <f>IFERROR(E560/$Q560,0)</f>
        <v>0.10714285714285714</v>
      </c>
      <c r="G560" s="17">
        <v>1</v>
      </c>
      <c r="H560" s="36">
        <f>IFERROR(G560/$R560,0)</f>
        <v>0.2</v>
      </c>
      <c r="I560" s="17">
        <v>50</v>
      </c>
      <c r="J560" s="36">
        <f>IFERROR(I560/$Q560,0)</f>
        <v>0.35714285714285715</v>
      </c>
      <c r="K560" s="17">
        <v>3</v>
      </c>
      <c r="L560" s="36">
        <f>IFERROR(K560/$R560,0)</f>
        <v>0.6</v>
      </c>
      <c r="M560" s="17">
        <v>75</v>
      </c>
      <c r="N560" s="36">
        <f>IFERROR(M560/$Q560,0)</f>
        <v>0.5357142857142857</v>
      </c>
      <c r="O560" s="17">
        <v>1</v>
      </c>
      <c r="P560" s="36">
        <f>IFERROR(O560/$R560,0)</f>
        <v>0.2</v>
      </c>
      <c r="Q560" s="17">
        <v>140</v>
      </c>
      <c r="R560" s="17">
        <v>5</v>
      </c>
    </row>
    <row r="561" spans="1:18" ht="15.75" customHeight="1" x14ac:dyDescent="0.25">
      <c r="A561" s="37">
        <v>2020</v>
      </c>
      <c r="B561" s="35">
        <v>170040</v>
      </c>
      <c r="C561" s="34" t="s">
        <v>147</v>
      </c>
      <c r="D561" s="34" t="s">
        <v>8</v>
      </c>
      <c r="E561" s="17">
        <v>3</v>
      </c>
      <c r="F561" s="36">
        <f>IFERROR(E561/$Q561,0)</f>
        <v>0.25</v>
      </c>
      <c r="G561" s="17">
        <v>0</v>
      </c>
      <c r="H561" s="36">
        <f>IFERROR(G561/$R561,0)</f>
        <v>0</v>
      </c>
      <c r="I561" s="17">
        <v>6</v>
      </c>
      <c r="J561" s="36">
        <f>IFERROR(I561/$Q561,0)</f>
        <v>0.5</v>
      </c>
      <c r="K561" s="17">
        <v>0</v>
      </c>
      <c r="L561" s="36">
        <f>IFERROR(K561/$R561,0)</f>
        <v>0</v>
      </c>
      <c r="M561" s="17">
        <v>3</v>
      </c>
      <c r="N561" s="36">
        <f>IFERROR(M561/$Q561,0)</f>
        <v>0.25</v>
      </c>
      <c r="O561" s="17">
        <v>0</v>
      </c>
      <c r="P561" s="36">
        <f>IFERROR(O561/$R561,0)</f>
        <v>0</v>
      </c>
      <c r="Q561" s="17">
        <v>12</v>
      </c>
      <c r="R561" s="17">
        <v>0</v>
      </c>
    </row>
    <row r="562" spans="1:18" ht="15.75" customHeight="1" x14ac:dyDescent="0.25">
      <c r="A562" s="37">
        <v>2020</v>
      </c>
      <c r="B562" s="35">
        <v>170070</v>
      </c>
      <c r="C562" s="34" t="s">
        <v>146</v>
      </c>
      <c r="D562" s="34" t="s">
        <v>9</v>
      </c>
      <c r="E562" s="17">
        <v>14</v>
      </c>
      <c r="F562" s="36">
        <f>IFERROR(E562/$Q562,0)</f>
        <v>0.15909090909090909</v>
      </c>
      <c r="G562" s="17">
        <v>0</v>
      </c>
      <c r="H562" s="36">
        <f>IFERROR(G562/$R562,0)</f>
        <v>0</v>
      </c>
      <c r="I562" s="17">
        <v>29</v>
      </c>
      <c r="J562" s="36">
        <f>IFERROR(I562/$Q562,0)</f>
        <v>0.32954545454545453</v>
      </c>
      <c r="K562" s="17">
        <v>0</v>
      </c>
      <c r="L562" s="36">
        <f>IFERROR(K562/$R562,0)</f>
        <v>0</v>
      </c>
      <c r="M562" s="17">
        <v>45</v>
      </c>
      <c r="N562" s="36">
        <f>IFERROR(M562/$Q562,0)</f>
        <v>0.51136363636363635</v>
      </c>
      <c r="O562" s="17">
        <v>0</v>
      </c>
      <c r="P562" s="36">
        <f>IFERROR(O562/$R562,0)</f>
        <v>0</v>
      </c>
      <c r="Q562" s="17">
        <v>88</v>
      </c>
      <c r="R562" s="17">
        <v>0</v>
      </c>
    </row>
    <row r="563" spans="1:18" ht="15.75" customHeight="1" x14ac:dyDescent="0.25">
      <c r="A563" s="37">
        <v>2020</v>
      </c>
      <c r="B563" s="35">
        <v>170100</v>
      </c>
      <c r="C563" s="34" t="s">
        <v>145</v>
      </c>
      <c r="D563" s="34" t="s">
        <v>10</v>
      </c>
      <c r="E563" s="17">
        <v>31</v>
      </c>
      <c r="F563" s="36">
        <f>IFERROR(E563/$Q563,0)</f>
        <v>0.11610486891385768</v>
      </c>
      <c r="G563" s="17">
        <v>0</v>
      </c>
      <c r="H563" s="36">
        <f>IFERROR(G563/$R563,0)</f>
        <v>0</v>
      </c>
      <c r="I563" s="17">
        <v>88</v>
      </c>
      <c r="J563" s="36">
        <f>IFERROR(I563/$Q563,0)</f>
        <v>0.32958801498127338</v>
      </c>
      <c r="K563" s="17">
        <v>0</v>
      </c>
      <c r="L563" s="36">
        <f>IFERROR(K563/$R563,0)</f>
        <v>0</v>
      </c>
      <c r="M563" s="17">
        <v>148</v>
      </c>
      <c r="N563" s="36">
        <f>IFERROR(M563/$Q563,0)</f>
        <v>0.55430711610486894</v>
      </c>
      <c r="O563" s="17">
        <v>0</v>
      </c>
      <c r="P563" s="36">
        <f>IFERROR(O563/$R563,0)</f>
        <v>0</v>
      </c>
      <c r="Q563" s="17">
        <v>267</v>
      </c>
      <c r="R563" s="17">
        <v>0</v>
      </c>
    </row>
    <row r="564" spans="1:18" ht="15.75" customHeight="1" x14ac:dyDescent="0.25">
      <c r="A564" s="37">
        <v>2020</v>
      </c>
      <c r="B564" s="35">
        <v>170105</v>
      </c>
      <c r="C564" s="34" t="s">
        <v>145</v>
      </c>
      <c r="D564" s="34" t="s">
        <v>11</v>
      </c>
      <c r="E564" s="17">
        <v>18</v>
      </c>
      <c r="F564" s="36">
        <f>IFERROR(E564/$Q564,0)</f>
        <v>0.12676056338028169</v>
      </c>
      <c r="G564" s="17">
        <v>0</v>
      </c>
      <c r="H564" s="36">
        <f>IFERROR(G564/$R564,0)</f>
        <v>0</v>
      </c>
      <c r="I564" s="17">
        <v>71</v>
      </c>
      <c r="J564" s="36">
        <f>IFERROR(I564/$Q564,0)</f>
        <v>0.5</v>
      </c>
      <c r="K564" s="17">
        <v>0</v>
      </c>
      <c r="L564" s="36">
        <f>IFERROR(K564/$R564,0)</f>
        <v>0</v>
      </c>
      <c r="M564" s="17">
        <v>53</v>
      </c>
      <c r="N564" s="36">
        <f>IFERROR(M564/$Q564,0)</f>
        <v>0.37323943661971831</v>
      </c>
      <c r="O564" s="17">
        <v>0</v>
      </c>
      <c r="P564" s="36">
        <f>IFERROR(O564/$R564,0)</f>
        <v>0</v>
      </c>
      <c r="Q564" s="17">
        <v>142</v>
      </c>
      <c r="R564" s="17">
        <v>0</v>
      </c>
    </row>
    <row r="565" spans="1:18" ht="15.75" customHeight="1" x14ac:dyDescent="0.25">
      <c r="A565" s="37">
        <v>2020</v>
      </c>
      <c r="B565" s="35">
        <v>170110</v>
      </c>
      <c r="C565" s="34" t="s">
        <v>148</v>
      </c>
      <c r="D565" s="34" t="s">
        <v>12</v>
      </c>
      <c r="E565" s="17">
        <v>52</v>
      </c>
      <c r="F565" s="36">
        <f>IFERROR(E565/$Q565,0)</f>
        <v>0.1368421052631579</v>
      </c>
      <c r="G565" s="17">
        <v>1</v>
      </c>
      <c r="H565" s="36">
        <f>IFERROR(G565/$R565,0)</f>
        <v>0.16666666666666666</v>
      </c>
      <c r="I565" s="17">
        <v>142</v>
      </c>
      <c r="J565" s="36">
        <f>IFERROR(I565/$Q565,0)</f>
        <v>0.37368421052631579</v>
      </c>
      <c r="K565" s="17">
        <v>1</v>
      </c>
      <c r="L565" s="36">
        <f>IFERROR(K565/$R565,0)</f>
        <v>0.16666666666666666</v>
      </c>
      <c r="M565" s="17">
        <v>186</v>
      </c>
      <c r="N565" s="36">
        <f>IFERROR(M565/$Q565,0)</f>
        <v>0.48947368421052634</v>
      </c>
      <c r="O565" s="17">
        <v>4</v>
      </c>
      <c r="P565" s="36">
        <f>IFERROR(O565/$R565,0)</f>
        <v>0.66666666666666663</v>
      </c>
      <c r="Q565" s="17">
        <v>380</v>
      </c>
      <c r="R565" s="17">
        <v>6</v>
      </c>
    </row>
    <row r="566" spans="1:18" ht="15.75" customHeight="1" x14ac:dyDescent="0.25">
      <c r="A566" s="37">
        <v>2020</v>
      </c>
      <c r="B566" s="35">
        <v>170130</v>
      </c>
      <c r="C566" s="34" t="s">
        <v>149</v>
      </c>
      <c r="D566" s="34" t="s">
        <v>13</v>
      </c>
      <c r="E566" s="17">
        <v>32</v>
      </c>
      <c r="F566" s="36">
        <f>IFERROR(E566/$Q566,0)</f>
        <v>0.14349775784753363</v>
      </c>
      <c r="G566" s="17">
        <v>1</v>
      </c>
      <c r="H566" s="36">
        <f>IFERROR(G566/$R566,0)</f>
        <v>0.25</v>
      </c>
      <c r="I566" s="17">
        <v>100</v>
      </c>
      <c r="J566" s="36">
        <f>IFERROR(I566/$Q566,0)</f>
        <v>0.44843049327354262</v>
      </c>
      <c r="K566" s="17">
        <v>0</v>
      </c>
      <c r="L566" s="36">
        <f>IFERROR(K566/$R566,0)</f>
        <v>0</v>
      </c>
      <c r="M566" s="17">
        <v>91</v>
      </c>
      <c r="N566" s="36">
        <f>IFERROR(M566/$Q566,0)</f>
        <v>0.40807174887892378</v>
      </c>
      <c r="O566" s="17">
        <v>3</v>
      </c>
      <c r="P566" s="36">
        <f>IFERROR(O566/$R566,0)</f>
        <v>0.75</v>
      </c>
      <c r="Q566" s="17">
        <v>223</v>
      </c>
      <c r="R566" s="17">
        <v>4</v>
      </c>
    </row>
    <row r="567" spans="1:18" ht="15.75" customHeight="1" x14ac:dyDescent="0.25">
      <c r="A567" s="37">
        <v>2020</v>
      </c>
      <c r="B567" s="35">
        <v>170190</v>
      </c>
      <c r="C567" s="34" t="s">
        <v>144</v>
      </c>
      <c r="D567" s="34" t="s">
        <v>14</v>
      </c>
      <c r="E567" s="17">
        <v>3</v>
      </c>
      <c r="F567" s="36">
        <f>IFERROR(E567/$Q567,0)</f>
        <v>0.10344827586206896</v>
      </c>
      <c r="G567" s="17">
        <v>0</v>
      </c>
      <c r="H567" s="36">
        <f>IFERROR(G567/$R567,0)</f>
        <v>0</v>
      </c>
      <c r="I567" s="17">
        <v>13</v>
      </c>
      <c r="J567" s="36">
        <f>IFERROR(I567/$Q567,0)</f>
        <v>0.44827586206896552</v>
      </c>
      <c r="K567" s="17">
        <v>4</v>
      </c>
      <c r="L567" s="36">
        <f>IFERROR(K567/$R567,0)</f>
        <v>0.8</v>
      </c>
      <c r="M567" s="17">
        <v>13</v>
      </c>
      <c r="N567" s="36">
        <f>IFERROR(M567/$Q567,0)</f>
        <v>0.44827586206896552</v>
      </c>
      <c r="O567" s="17">
        <v>1</v>
      </c>
      <c r="P567" s="36">
        <f>IFERROR(O567/$R567,0)</f>
        <v>0.2</v>
      </c>
      <c r="Q567" s="17">
        <v>29</v>
      </c>
      <c r="R567" s="17">
        <v>5</v>
      </c>
    </row>
    <row r="568" spans="1:18" ht="15.75" customHeight="1" x14ac:dyDescent="0.25">
      <c r="A568" s="37">
        <v>2020</v>
      </c>
      <c r="B568" s="35">
        <v>170200</v>
      </c>
      <c r="C568" s="34" t="s">
        <v>146</v>
      </c>
      <c r="D568" s="34" t="s">
        <v>15</v>
      </c>
      <c r="E568" s="17">
        <v>56</v>
      </c>
      <c r="F568" s="36">
        <f>IFERROR(E568/$Q568,0)</f>
        <v>0.12785388127853881</v>
      </c>
      <c r="G568" s="17">
        <v>0</v>
      </c>
      <c r="H568" s="36">
        <f>IFERROR(G568/$R568,0)</f>
        <v>0</v>
      </c>
      <c r="I568" s="17">
        <v>168</v>
      </c>
      <c r="J568" s="36">
        <f>IFERROR(I568/$Q568,0)</f>
        <v>0.38356164383561642</v>
      </c>
      <c r="K568" s="17">
        <v>1</v>
      </c>
      <c r="L568" s="36">
        <f>IFERROR(K568/$R568,0)</f>
        <v>0.33333333333333331</v>
      </c>
      <c r="M568" s="17">
        <v>214</v>
      </c>
      <c r="N568" s="36">
        <f>IFERROR(M568/$Q568,0)</f>
        <v>0.48858447488584472</v>
      </c>
      <c r="O568" s="17">
        <v>2</v>
      </c>
      <c r="P568" s="36">
        <f>IFERROR(O568/$R568,0)</f>
        <v>0.66666666666666663</v>
      </c>
      <c r="Q568" s="17">
        <v>438</v>
      </c>
      <c r="R568" s="17">
        <v>3</v>
      </c>
    </row>
    <row r="569" spans="1:18" ht="15.75" customHeight="1" x14ac:dyDescent="0.25">
      <c r="A569" s="37">
        <v>2020</v>
      </c>
      <c r="B569" s="35">
        <v>170210</v>
      </c>
      <c r="C569" s="34" t="s">
        <v>149</v>
      </c>
      <c r="D569" s="34" t="s">
        <v>16</v>
      </c>
      <c r="E569" s="17">
        <v>272</v>
      </c>
      <c r="F569" s="36">
        <f>IFERROR(E569/$Q569,0)</f>
        <v>0.12420091324200913</v>
      </c>
      <c r="G569" s="17">
        <v>4</v>
      </c>
      <c r="H569" s="36">
        <f>IFERROR(G569/$R569,0)</f>
        <v>0.16</v>
      </c>
      <c r="I569" s="17">
        <v>872</v>
      </c>
      <c r="J569" s="36">
        <f>IFERROR(I569/$Q569,0)</f>
        <v>0.39817351598173517</v>
      </c>
      <c r="K569" s="17">
        <v>7</v>
      </c>
      <c r="L569" s="36">
        <f>IFERROR(K569/$R569,0)</f>
        <v>0.28000000000000003</v>
      </c>
      <c r="M569" s="16">
        <v>1046</v>
      </c>
      <c r="N569" s="36">
        <f>IFERROR(M569/$Q569,0)</f>
        <v>0.47762557077625573</v>
      </c>
      <c r="O569" s="17">
        <v>14</v>
      </c>
      <c r="P569" s="36">
        <f>IFERROR(O569/$R569,0)</f>
        <v>0.56000000000000005</v>
      </c>
      <c r="Q569" s="16">
        <v>2190</v>
      </c>
      <c r="R569" s="17">
        <v>25</v>
      </c>
    </row>
    <row r="570" spans="1:18" ht="15.75" customHeight="1" x14ac:dyDescent="0.25">
      <c r="A570" s="37">
        <v>2020</v>
      </c>
      <c r="B570" s="35">
        <v>170215</v>
      </c>
      <c r="C570" s="34" t="s">
        <v>149</v>
      </c>
      <c r="D570" s="34" t="s">
        <v>17</v>
      </c>
      <c r="E570" s="17">
        <v>63</v>
      </c>
      <c r="F570" s="36">
        <f>IFERROR(E570/$Q570,0)</f>
        <v>0.13548387096774195</v>
      </c>
      <c r="G570" s="17">
        <v>2</v>
      </c>
      <c r="H570" s="36">
        <f>IFERROR(G570/$R570,0)</f>
        <v>0.16666666666666666</v>
      </c>
      <c r="I570" s="17">
        <v>207</v>
      </c>
      <c r="J570" s="36">
        <f>IFERROR(I570/$Q570,0)</f>
        <v>0.44516129032258067</v>
      </c>
      <c r="K570" s="17">
        <v>5</v>
      </c>
      <c r="L570" s="36">
        <f>IFERROR(K570/$R570,0)</f>
        <v>0.41666666666666669</v>
      </c>
      <c r="M570" s="17">
        <v>195</v>
      </c>
      <c r="N570" s="36">
        <f>IFERROR(M570/$Q570,0)</f>
        <v>0.41935483870967744</v>
      </c>
      <c r="O570" s="17">
        <v>5</v>
      </c>
      <c r="P570" s="36">
        <f>IFERROR(O570/$R570,0)</f>
        <v>0.41666666666666669</v>
      </c>
      <c r="Q570" s="17">
        <v>465</v>
      </c>
      <c r="R570" s="17">
        <v>12</v>
      </c>
    </row>
    <row r="571" spans="1:18" ht="15.75" customHeight="1" x14ac:dyDescent="0.25">
      <c r="A571" s="37">
        <v>2020</v>
      </c>
      <c r="B571" s="35">
        <v>170220</v>
      </c>
      <c r="C571" s="34" t="s">
        <v>145</v>
      </c>
      <c r="D571" s="34" t="s">
        <v>18</v>
      </c>
      <c r="E571" s="17">
        <v>138</v>
      </c>
      <c r="F571" s="36">
        <f>IFERROR(E571/$Q571,0)</f>
        <v>0.18930041152263374</v>
      </c>
      <c r="G571" s="17">
        <v>1</v>
      </c>
      <c r="H571" s="36">
        <f>IFERROR(G571/$R571,0)</f>
        <v>0.1</v>
      </c>
      <c r="I571" s="17">
        <v>313</v>
      </c>
      <c r="J571" s="36">
        <f>IFERROR(I571/$Q571,0)</f>
        <v>0.42935528120713307</v>
      </c>
      <c r="K571" s="17">
        <v>2</v>
      </c>
      <c r="L571" s="36">
        <f>IFERROR(K571/$R571,0)</f>
        <v>0.2</v>
      </c>
      <c r="M571" s="17">
        <v>278</v>
      </c>
      <c r="N571" s="36">
        <f>IFERROR(M571/$Q571,0)</f>
        <v>0.38134430727023322</v>
      </c>
      <c r="O571" s="17">
        <v>7</v>
      </c>
      <c r="P571" s="36">
        <f>IFERROR(O571/$R571,0)</f>
        <v>0.7</v>
      </c>
      <c r="Q571" s="17">
        <v>729</v>
      </c>
      <c r="R571" s="17">
        <v>10</v>
      </c>
    </row>
    <row r="572" spans="1:18" ht="15.75" customHeight="1" x14ac:dyDescent="0.25">
      <c r="A572" s="37">
        <v>2020</v>
      </c>
      <c r="B572" s="35">
        <v>170230</v>
      </c>
      <c r="C572" s="34" t="s">
        <v>150</v>
      </c>
      <c r="D572" s="34" t="s">
        <v>19</v>
      </c>
      <c r="E572" s="17">
        <v>20</v>
      </c>
      <c r="F572" s="36">
        <f>IFERROR(E572/$Q572,0)</f>
        <v>0.10050251256281408</v>
      </c>
      <c r="G572" s="17">
        <v>0</v>
      </c>
      <c r="H572" s="36">
        <f>IFERROR(G572/$R572,0)</f>
        <v>0</v>
      </c>
      <c r="I572" s="17">
        <v>76</v>
      </c>
      <c r="J572" s="36">
        <f>IFERROR(I572/$Q572,0)</f>
        <v>0.38190954773869346</v>
      </c>
      <c r="K572" s="17">
        <v>0</v>
      </c>
      <c r="L572" s="36">
        <f>IFERROR(K572/$R572,0)</f>
        <v>0</v>
      </c>
      <c r="M572" s="17">
        <v>103</v>
      </c>
      <c r="N572" s="36">
        <f>IFERROR(M572/$Q572,0)</f>
        <v>0.51758793969849248</v>
      </c>
      <c r="O572" s="17">
        <v>0</v>
      </c>
      <c r="P572" s="36">
        <f>IFERROR(O572/$R572,0)</f>
        <v>0</v>
      </c>
      <c r="Q572" s="17">
        <v>199</v>
      </c>
      <c r="R572" s="17">
        <v>0</v>
      </c>
    </row>
    <row r="573" spans="1:18" ht="15.75" customHeight="1" x14ac:dyDescent="0.25">
      <c r="A573" s="37">
        <v>2020</v>
      </c>
      <c r="B573" s="35">
        <v>170240</v>
      </c>
      <c r="C573" s="34" t="s">
        <v>147</v>
      </c>
      <c r="D573" s="34" t="s">
        <v>20</v>
      </c>
      <c r="E573" s="17">
        <v>62</v>
      </c>
      <c r="F573" s="36">
        <f>IFERROR(E573/$Q573,0)</f>
        <v>0.21016949152542372</v>
      </c>
      <c r="G573" s="17">
        <v>1</v>
      </c>
      <c r="H573" s="36">
        <f>IFERROR(G573/$R573,0)</f>
        <v>0.5</v>
      </c>
      <c r="I573" s="17">
        <v>147</v>
      </c>
      <c r="J573" s="36">
        <f>IFERROR(I573/$Q573,0)</f>
        <v>0.49830508474576274</v>
      </c>
      <c r="K573" s="17">
        <v>0</v>
      </c>
      <c r="L573" s="36">
        <f>IFERROR(K573/$R573,0)</f>
        <v>0</v>
      </c>
      <c r="M573" s="17">
        <v>86</v>
      </c>
      <c r="N573" s="36">
        <f>IFERROR(M573/$Q573,0)</f>
        <v>0.29152542372881357</v>
      </c>
      <c r="O573" s="17">
        <v>1</v>
      </c>
      <c r="P573" s="36">
        <f>IFERROR(O573/$R573,0)</f>
        <v>0.5</v>
      </c>
      <c r="Q573" s="17">
        <v>295</v>
      </c>
      <c r="R573" s="17">
        <v>2</v>
      </c>
    </row>
    <row r="574" spans="1:18" ht="15.75" customHeight="1" x14ac:dyDescent="0.25">
      <c r="A574" s="37">
        <v>2020</v>
      </c>
      <c r="B574" s="35">
        <v>170255</v>
      </c>
      <c r="C574" s="34" t="s">
        <v>145</v>
      </c>
      <c r="D574" s="34" t="s">
        <v>21</v>
      </c>
      <c r="E574" s="17">
        <v>18</v>
      </c>
      <c r="F574" s="36">
        <f>IFERROR(E574/$Q574,0)</f>
        <v>8.4905660377358486E-2</v>
      </c>
      <c r="G574" s="17">
        <v>0</v>
      </c>
      <c r="H574" s="36">
        <f>IFERROR(G574/$R574,0)</f>
        <v>0</v>
      </c>
      <c r="I574" s="17">
        <v>102</v>
      </c>
      <c r="J574" s="36">
        <f>IFERROR(I574/$Q574,0)</f>
        <v>0.48113207547169812</v>
      </c>
      <c r="K574" s="17">
        <v>1</v>
      </c>
      <c r="L574" s="36">
        <f>IFERROR(K574/$R574,0)</f>
        <v>0.33333333333333331</v>
      </c>
      <c r="M574" s="17">
        <v>92</v>
      </c>
      <c r="N574" s="36">
        <f>IFERROR(M574/$Q574,0)</f>
        <v>0.43396226415094341</v>
      </c>
      <c r="O574" s="17">
        <v>2</v>
      </c>
      <c r="P574" s="36">
        <f>IFERROR(O574/$R574,0)</f>
        <v>0.66666666666666663</v>
      </c>
      <c r="Q574" s="17">
        <v>212</v>
      </c>
      <c r="R574" s="17">
        <v>3</v>
      </c>
    </row>
    <row r="575" spans="1:18" ht="15.75" customHeight="1" x14ac:dyDescent="0.25">
      <c r="A575" s="37">
        <v>2020</v>
      </c>
      <c r="B575" s="35">
        <v>170270</v>
      </c>
      <c r="C575" s="34" t="s">
        <v>147</v>
      </c>
      <c r="D575" s="34" t="s">
        <v>22</v>
      </c>
      <c r="E575" s="17">
        <v>0</v>
      </c>
      <c r="F575" s="36">
        <f>IFERROR(E575/$Q575,0)</f>
        <v>0</v>
      </c>
      <c r="G575" s="17">
        <v>0</v>
      </c>
      <c r="H575" s="36">
        <f>IFERROR(G575/$R575,0)</f>
        <v>0</v>
      </c>
      <c r="I575" s="17">
        <v>0</v>
      </c>
      <c r="J575" s="36">
        <f>IFERROR(I575/$Q575,0)</f>
        <v>0</v>
      </c>
      <c r="K575" s="17">
        <v>0</v>
      </c>
      <c r="L575" s="36">
        <f>IFERROR(K575/$R575,0)</f>
        <v>0</v>
      </c>
      <c r="M575" s="17">
        <v>0</v>
      </c>
      <c r="N575" s="36">
        <f>IFERROR(M575/$Q575,0)</f>
        <v>0</v>
      </c>
      <c r="O575" s="17">
        <v>0</v>
      </c>
      <c r="P575" s="36">
        <f>IFERROR(O575/$R575,0)</f>
        <v>0</v>
      </c>
      <c r="Q575" s="17">
        <v>0</v>
      </c>
      <c r="R575" s="17">
        <v>0</v>
      </c>
    </row>
    <row r="576" spans="1:18" ht="15.75" customHeight="1" x14ac:dyDescent="0.25">
      <c r="A576" s="37">
        <v>2020</v>
      </c>
      <c r="B576" s="35">
        <v>170290</v>
      </c>
      <c r="C576" s="34" t="s">
        <v>145</v>
      </c>
      <c r="D576" s="34" t="s">
        <v>23</v>
      </c>
      <c r="E576" s="17">
        <v>13</v>
      </c>
      <c r="F576" s="36">
        <f>IFERROR(E576/$Q576,0)</f>
        <v>0.17105263157894737</v>
      </c>
      <c r="G576" s="17">
        <v>0</v>
      </c>
      <c r="H576" s="36">
        <f>IFERROR(G576/$R576,0)</f>
        <v>0</v>
      </c>
      <c r="I576" s="17">
        <v>27</v>
      </c>
      <c r="J576" s="36">
        <f>IFERROR(I576/$Q576,0)</f>
        <v>0.35526315789473684</v>
      </c>
      <c r="K576" s="17">
        <v>1</v>
      </c>
      <c r="L576" s="36">
        <f>IFERROR(K576/$R576,0)</f>
        <v>0.25</v>
      </c>
      <c r="M576" s="17">
        <v>36</v>
      </c>
      <c r="N576" s="36">
        <f>IFERROR(M576/$Q576,0)</f>
        <v>0.47368421052631576</v>
      </c>
      <c r="O576" s="17">
        <v>3</v>
      </c>
      <c r="P576" s="36">
        <f>IFERROR(O576/$R576,0)</f>
        <v>0.75</v>
      </c>
      <c r="Q576" s="17">
        <v>76</v>
      </c>
      <c r="R576" s="17">
        <v>4</v>
      </c>
    </row>
    <row r="577" spans="1:18" ht="15.75" customHeight="1" x14ac:dyDescent="0.25">
      <c r="A577" s="37">
        <v>2020</v>
      </c>
      <c r="B577" s="35">
        <v>170300</v>
      </c>
      <c r="C577" s="34" t="s">
        <v>149</v>
      </c>
      <c r="D577" s="34" t="s">
        <v>24</v>
      </c>
      <c r="E577" s="17">
        <v>25</v>
      </c>
      <c r="F577" s="36">
        <f>IFERROR(E577/$Q577,0)</f>
        <v>0.15923566878980891</v>
      </c>
      <c r="G577" s="17">
        <v>0</v>
      </c>
      <c r="H577" s="36">
        <f>IFERROR(G577/$R577,0)</f>
        <v>0</v>
      </c>
      <c r="I577" s="17">
        <v>73</v>
      </c>
      <c r="J577" s="36">
        <f>IFERROR(I577/$Q577,0)</f>
        <v>0.46496815286624205</v>
      </c>
      <c r="K577" s="17">
        <v>3</v>
      </c>
      <c r="L577" s="36">
        <f>IFERROR(K577/$R577,0)</f>
        <v>0.75</v>
      </c>
      <c r="M577" s="17">
        <v>59</v>
      </c>
      <c r="N577" s="36">
        <f>IFERROR(M577/$Q577,0)</f>
        <v>0.37579617834394907</v>
      </c>
      <c r="O577" s="17">
        <v>1</v>
      </c>
      <c r="P577" s="36">
        <f>IFERROR(O577/$R577,0)</f>
        <v>0.25</v>
      </c>
      <c r="Q577" s="17">
        <v>157</v>
      </c>
      <c r="R577" s="17">
        <v>4</v>
      </c>
    </row>
    <row r="578" spans="1:18" ht="15.75" customHeight="1" x14ac:dyDescent="0.25">
      <c r="A578" s="37">
        <v>2020</v>
      </c>
      <c r="B578" s="35">
        <v>170305</v>
      </c>
      <c r="C578" s="34" t="s">
        <v>150</v>
      </c>
      <c r="D578" s="34" t="s">
        <v>25</v>
      </c>
      <c r="E578" s="17">
        <v>4</v>
      </c>
      <c r="F578" s="36">
        <f>IFERROR(E578/$Q578,0)</f>
        <v>0.5</v>
      </c>
      <c r="G578" s="17">
        <v>1</v>
      </c>
      <c r="H578" s="36">
        <f>IFERROR(G578/$R578,0)</f>
        <v>1</v>
      </c>
      <c r="I578" s="17">
        <v>0</v>
      </c>
      <c r="J578" s="36">
        <f>IFERROR(I578/$Q578,0)</f>
        <v>0</v>
      </c>
      <c r="K578" s="17">
        <v>0</v>
      </c>
      <c r="L578" s="36">
        <f>IFERROR(K578/$R578,0)</f>
        <v>0</v>
      </c>
      <c r="M578" s="17">
        <v>4</v>
      </c>
      <c r="N578" s="36">
        <f>IFERROR(M578/$Q578,0)</f>
        <v>0.5</v>
      </c>
      <c r="O578" s="17">
        <v>0</v>
      </c>
      <c r="P578" s="36">
        <f>IFERROR(O578/$R578,0)</f>
        <v>0</v>
      </c>
      <c r="Q578" s="17">
        <v>8</v>
      </c>
      <c r="R578" s="17">
        <v>1</v>
      </c>
    </row>
    <row r="579" spans="1:18" ht="15.75" customHeight="1" x14ac:dyDescent="0.25">
      <c r="A579" s="37">
        <v>2020</v>
      </c>
      <c r="B579" s="35">
        <v>170307</v>
      </c>
      <c r="C579" s="34" t="s">
        <v>149</v>
      </c>
      <c r="D579" s="34" t="s">
        <v>26</v>
      </c>
      <c r="E579" s="17">
        <v>19</v>
      </c>
      <c r="F579" s="36">
        <f>IFERROR(E579/$Q579,0)</f>
        <v>0.17757009345794392</v>
      </c>
      <c r="G579" s="17">
        <v>1</v>
      </c>
      <c r="H579" s="36">
        <f>IFERROR(G579/$R579,0)</f>
        <v>1</v>
      </c>
      <c r="I579" s="17">
        <v>44</v>
      </c>
      <c r="J579" s="36">
        <f>IFERROR(I579/$Q579,0)</f>
        <v>0.41121495327102803</v>
      </c>
      <c r="K579" s="17">
        <v>0</v>
      </c>
      <c r="L579" s="36">
        <f>IFERROR(K579/$R579,0)</f>
        <v>0</v>
      </c>
      <c r="M579" s="17">
        <v>44</v>
      </c>
      <c r="N579" s="36">
        <f>IFERROR(M579/$Q579,0)</f>
        <v>0.41121495327102803</v>
      </c>
      <c r="O579" s="17">
        <v>0</v>
      </c>
      <c r="P579" s="36">
        <f>IFERROR(O579/$R579,0)</f>
        <v>0</v>
      </c>
      <c r="Q579" s="17">
        <v>107</v>
      </c>
      <c r="R579" s="17">
        <v>1</v>
      </c>
    </row>
    <row r="580" spans="1:18" ht="15.75" customHeight="1" x14ac:dyDescent="0.25">
      <c r="A580" s="37">
        <v>2020</v>
      </c>
      <c r="B580" s="35">
        <v>170310</v>
      </c>
      <c r="C580" s="34" t="s">
        <v>144</v>
      </c>
      <c r="D580" s="34" t="s">
        <v>27</v>
      </c>
      <c r="E580" s="17">
        <v>22</v>
      </c>
      <c r="F580" s="36">
        <f>IFERROR(E580/$Q580,0)</f>
        <v>0.14193548387096774</v>
      </c>
      <c r="G580" s="17">
        <v>0</v>
      </c>
      <c r="H580" s="36">
        <f>IFERROR(G580/$R580,0)</f>
        <v>0</v>
      </c>
      <c r="I580" s="17">
        <v>80</v>
      </c>
      <c r="J580" s="36">
        <f>IFERROR(I580/$Q580,0)</f>
        <v>0.5161290322580645</v>
      </c>
      <c r="K580" s="17">
        <v>1</v>
      </c>
      <c r="L580" s="36">
        <f>IFERROR(K580/$R580,0)</f>
        <v>0.2</v>
      </c>
      <c r="M580" s="17">
        <v>53</v>
      </c>
      <c r="N580" s="36">
        <f>IFERROR(M580/$Q580,0)</f>
        <v>0.34193548387096773</v>
      </c>
      <c r="O580" s="17">
        <v>4</v>
      </c>
      <c r="P580" s="36">
        <f>IFERROR(O580/$R580,0)</f>
        <v>0.8</v>
      </c>
      <c r="Q580" s="17">
        <v>155</v>
      </c>
      <c r="R580" s="17">
        <v>5</v>
      </c>
    </row>
    <row r="581" spans="1:18" ht="15.75" customHeight="1" x14ac:dyDescent="0.25">
      <c r="A581" s="37">
        <v>2020</v>
      </c>
      <c r="B581" s="35">
        <v>170320</v>
      </c>
      <c r="C581" s="34" t="s">
        <v>150</v>
      </c>
      <c r="D581" s="34" t="s">
        <v>28</v>
      </c>
      <c r="E581" s="17">
        <v>0</v>
      </c>
      <c r="F581" s="36">
        <f>IFERROR(E581/$Q581,0)</f>
        <v>0</v>
      </c>
      <c r="G581" s="17">
        <v>0</v>
      </c>
      <c r="H581" s="36">
        <f>IFERROR(G581/$R581,0)</f>
        <v>0</v>
      </c>
      <c r="I581" s="17">
        <v>2</v>
      </c>
      <c r="J581" s="36">
        <f>IFERROR(I581/$Q581,0)</f>
        <v>0.4</v>
      </c>
      <c r="K581" s="17">
        <v>0</v>
      </c>
      <c r="L581" s="36">
        <f>IFERROR(K581/$R581,0)</f>
        <v>0</v>
      </c>
      <c r="M581" s="17">
        <v>3</v>
      </c>
      <c r="N581" s="36">
        <f>IFERROR(M581/$Q581,0)</f>
        <v>0.6</v>
      </c>
      <c r="O581" s="17">
        <v>0</v>
      </c>
      <c r="P581" s="36">
        <f>IFERROR(O581/$R581,0)</f>
        <v>0</v>
      </c>
      <c r="Q581" s="17">
        <v>5</v>
      </c>
      <c r="R581" s="17">
        <v>0</v>
      </c>
    </row>
    <row r="582" spans="1:18" ht="15.75" customHeight="1" x14ac:dyDescent="0.25">
      <c r="A582" s="37">
        <v>2020</v>
      </c>
      <c r="B582" s="35">
        <v>170330</v>
      </c>
      <c r="C582" s="34" t="s">
        <v>150</v>
      </c>
      <c r="D582" s="34" t="s">
        <v>29</v>
      </c>
      <c r="E582" s="17">
        <v>0</v>
      </c>
      <c r="F582" s="36">
        <f>IFERROR(E582/$Q582,0)</f>
        <v>0</v>
      </c>
      <c r="G582" s="17">
        <v>0</v>
      </c>
      <c r="H582" s="36">
        <f>IFERROR(G582/$R582,0)</f>
        <v>0</v>
      </c>
      <c r="I582" s="17">
        <v>0</v>
      </c>
      <c r="J582" s="36">
        <f>IFERROR(I582/$Q582,0)</f>
        <v>0</v>
      </c>
      <c r="K582" s="17">
        <v>0</v>
      </c>
      <c r="L582" s="36">
        <f>IFERROR(K582/$R582,0)</f>
        <v>0</v>
      </c>
      <c r="M582" s="17">
        <v>2</v>
      </c>
      <c r="N582" s="36">
        <f>IFERROR(M582/$Q582,0)</f>
        <v>1</v>
      </c>
      <c r="O582" s="17">
        <v>0</v>
      </c>
      <c r="P582" s="36">
        <f>IFERROR(O582/$R582,0)</f>
        <v>0</v>
      </c>
      <c r="Q582" s="17">
        <v>2</v>
      </c>
      <c r="R582" s="17">
        <v>0</v>
      </c>
    </row>
    <row r="583" spans="1:18" ht="15.75" customHeight="1" x14ac:dyDescent="0.25">
      <c r="A583" s="37">
        <v>2020</v>
      </c>
      <c r="B583" s="35">
        <v>170360</v>
      </c>
      <c r="C583" s="34" t="s">
        <v>150</v>
      </c>
      <c r="D583" s="34" t="s">
        <v>30</v>
      </c>
      <c r="E583" s="17">
        <v>14</v>
      </c>
      <c r="F583" s="36">
        <f>IFERROR(E583/$Q583,0)</f>
        <v>0.12173913043478261</v>
      </c>
      <c r="G583" s="17">
        <v>0</v>
      </c>
      <c r="H583" s="36">
        <f>IFERROR(G583/$R583,0)</f>
        <v>0</v>
      </c>
      <c r="I583" s="17">
        <v>45</v>
      </c>
      <c r="J583" s="36">
        <f>IFERROR(I583/$Q583,0)</f>
        <v>0.39130434782608697</v>
      </c>
      <c r="K583" s="17">
        <v>1</v>
      </c>
      <c r="L583" s="36">
        <f>IFERROR(K583/$R583,0)</f>
        <v>0.25</v>
      </c>
      <c r="M583" s="17">
        <v>56</v>
      </c>
      <c r="N583" s="36">
        <f>IFERROR(M583/$Q583,0)</f>
        <v>0.48695652173913045</v>
      </c>
      <c r="O583" s="17">
        <v>3</v>
      </c>
      <c r="P583" s="36">
        <f>IFERROR(O583/$R583,0)</f>
        <v>0.75</v>
      </c>
      <c r="Q583" s="17">
        <v>115</v>
      </c>
      <c r="R583" s="17">
        <v>4</v>
      </c>
    </row>
    <row r="584" spans="1:18" ht="15.75" customHeight="1" x14ac:dyDescent="0.25">
      <c r="A584" s="37">
        <v>2020</v>
      </c>
      <c r="B584" s="35">
        <v>170370</v>
      </c>
      <c r="C584" s="34" t="s">
        <v>151</v>
      </c>
      <c r="D584" s="34" t="s">
        <v>31</v>
      </c>
      <c r="E584" s="17">
        <v>0</v>
      </c>
      <c r="F584" s="36">
        <f>IFERROR(E584/$Q584,0)</f>
        <v>0</v>
      </c>
      <c r="G584" s="17">
        <v>0</v>
      </c>
      <c r="H584" s="36">
        <f>IFERROR(G584/$R584,0)</f>
        <v>0</v>
      </c>
      <c r="I584" s="17">
        <v>0</v>
      </c>
      <c r="J584" s="36">
        <f>IFERROR(I584/$Q584,0)</f>
        <v>0</v>
      </c>
      <c r="K584" s="17">
        <v>0</v>
      </c>
      <c r="L584" s="36">
        <f>IFERROR(K584/$R584,0)</f>
        <v>0</v>
      </c>
      <c r="M584" s="17">
        <v>4</v>
      </c>
      <c r="N584" s="36">
        <f>IFERROR(M584/$Q584,0)</f>
        <v>1</v>
      </c>
      <c r="O584" s="17">
        <v>0</v>
      </c>
      <c r="P584" s="36">
        <f>IFERROR(O584/$R584,0)</f>
        <v>0</v>
      </c>
      <c r="Q584" s="17">
        <v>4</v>
      </c>
      <c r="R584" s="17">
        <v>0</v>
      </c>
    </row>
    <row r="585" spans="1:18" ht="15.75" customHeight="1" x14ac:dyDescent="0.25">
      <c r="A585" s="37">
        <v>2020</v>
      </c>
      <c r="B585" s="35">
        <v>170380</v>
      </c>
      <c r="C585" s="34" t="s">
        <v>145</v>
      </c>
      <c r="D585" s="34" t="s">
        <v>32</v>
      </c>
      <c r="E585" s="17">
        <v>21</v>
      </c>
      <c r="F585" s="36">
        <f>IFERROR(E585/$Q585,0)</f>
        <v>0.16666666666666666</v>
      </c>
      <c r="G585" s="17">
        <v>0</v>
      </c>
      <c r="H585" s="36">
        <f>IFERROR(G585/$R585,0)</f>
        <v>0</v>
      </c>
      <c r="I585" s="17">
        <v>56</v>
      </c>
      <c r="J585" s="36">
        <f>IFERROR(I585/$Q585,0)</f>
        <v>0.44444444444444442</v>
      </c>
      <c r="K585" s="17">
        <v>2</v>
      </c>
      <c r="L585" s="36">
        <f>IFERROR(K585/$R585,0)</f>
        <v>1</v>
      </c>
      <c r="M585" s="17">
        <v>49</v>
      </c>
      <c r="N585" s="36">
        <f>IFERROR(M585/$Q585,0)</f>
        <v>0.3888888888888889</v>
      </c>
      <c r="O585" s="17">
        <v>0</v>
      </c>
      <c r="P585" s="36">
        <f>IFERROR(O585/$R585,0)</f>
        <v>0</v>
      </c>
      <c r="Q585" s="17">
        <v>126</v>
      </c>
      <c r="R585" s="17">
        <v>2</v>
      </c>
    </row>
    <row r="586" spans="1:18" ht="15.75" customHeight="1" x14ac:dyDescent="0.25">
      <c r="A586" s="37">
        <v>2020</v>
      </c>
      <c r="B586" s="35">
        <v>170382</v>
      </c>
      <c r="C586" s="34" t="s">
        <v>145</v>
      </c>
      <c r="D586" s="34" t="s">
        <v>33</v>
      </c>
      <c r="E586" s="17">
        <v>0</v>
      </c>
      <c r="F586" s="36">
        <f>IFERROR(E586/$Q586,0)</f>
        <v>0</v>
      </c>
      <c r="G586" s="17">
        <v>0</v>
      </c>
      <c r="H586" s="36">
        <f>IFERROR(G586/$R586,0)</f>
        <v>0</v>
      </c>
      <c r="I586" s="17">
        <v>1</v>
      </c>
      <c r="J586" s="36">
        <f>IFERROR(I586/$Q586,0)</f>
        <v>1</v>
      </c>
      <c r="K586" s="17">
        <v>0</v>
      </c>
      <c r="L586" s="36">
        <f>IFERROR(K586/$R586,0)</f>
        <v>0</v>
      </c>
      <c r="M586" s="17">
        <v>0</v>
      </c>
      <c r="N586" s="36">
        <f>IFERROR(M586/$Q586,0)</f>
        <v>0</v>
      </c>
      <c r="O586" s="17">
        <v>0</v>
      </c>
      <c r="P586" s="36">
        <f>IFERROR(O586/$R586,0)</f>
        <v>0</v>
      </c>
      <c r="Q586" s="17">
        <v>1</v>
      </c>
      <c r="R586" s="17">
        <v>0</v>
      </c>
    </row>
    <row r="587" spans="1:18" ht="15.75" customHeight="1" x14ac:dyDescent="0.25">
      <c r="A587" s="37">
        <v>2020</v>
      </c>
      <c r="B587" s="35">
        <v>170384</v>
      </c>
      <c r="C587" s="34" t="s">
        <v>149</v>
      </c>
      <c r="D587" s="34" t="s">
        <v>34</v>
      </c>
      <c r="E587" s="17">
        <v>25</v>
      </c>
      <c r="F587" s="36">
        <f>IFERROR(E587/$Q587,0)</f>
        <v>0.15723270440251572</v>
      </c>
      <c r="G587" s="17">
        <v>0</v>
      </c>
      <c r="H587" s="36">
        <f>IFERROR(G587/$R587,0)</f>
        <v>0</v>
      </c>
      <c r="I587" s="17">
        <v>72</v>
      </c>
      <c r="J587" s="36">
        <f>IFERROR(I587/$Q587,0)</f>
        <v>0.45283018867924529</v>
      </c>
      <c r="K587" s="17">
        <v>2</v>
      </c>
      <c r="L587" s="36">
        <f>IFERROR(K587/$R587,0)</f>
        <v>0.66666666666666663</v>
      </c>
      <c r="M587" s="17">
        <v>62</v>
      </c>
      <c r="N587" s="36">
        <f>IFERROR(M587/$Q587,0)</f>
        <v>0.38993710691823902</v>
      </c>
      <c r="O587" s="17">
        <v>1</v>
      </c>
      <c r="P587" s="36">
        <f>IFERROR(O587/$R587,0)</f>
        <v>0.33333333333333331</v>
      </c>
      <c r="Q587" s="17">
        <v>159</v>
      </c>
      <c r="R587" s="17">
        <v>3</v>
      </c>
    </row>
    <row r="588" spans="1:18" ht="15.75" customHeight="1" x14ac:dyDescent="0.25">
      <c r="A588" s="37">
        <v>2020</v>
      </c>
      <c r="B588" s="35">
        <v>170386</v>
      </c>
      <c r="C588" s="34" t="s">
        <v>146</v>
      </c>
      <c r="D588" s="34" t="s">
        <v>35</v>
      </c>
      <c r="E588" s="17">
        <v>15</v>
      </c>
      <c r="F588" s="36">
        <f>IFERROR(E588/$Q588,0)</f>
        <v>0.12605042016806722</v>
      </c>
      <c r="G588" s="17">
        <v>0</v>
      </c>
      <c r="H588" s="36">
        <f>IFERROR(G588/$R588,0)</f>
        <v>0</v>
      </c>
      <c r="I588" s="17">
        <v>51</v>
      </c>
      <c r="J588" s="36">
        <f>IFERROR(I588/$Q588,0)</f>
        <v>0.42857142857142855</v>
      </c>
      <c r="K588" s="17">
        <v>0</v>
      </c>
      <c r="L588" s="36">
        <f>IFERROR(K588/$R588,0)</f>
        <v>0</v>
      </c>
      <c r="M588" s="17">
        <v>53</v>
      </c>
      <c r="N588" s="36">
        <f>IFERROR(M588/$Q588,0)</f>
        <v>0.44537815126050423</v>
      </c>
      <c r="O588" s="17">
        <v>0</v>
      </c>
      <c r="P588" s="36">
        <f>IFERROR(O588/$R588,0)</f>
        <v>0</v>
      </c>
      <c r="Q588" s="17">
        <v>119</v>
      </c>
      <c r="R588" s="17">
        <v>0</v>
      </c>
    </row>
    <row r="589" spans="1:18" ht="15.75" customHeight="1" x14ac:dyDescent="0.25">
      <c r="A589" s="37">
        <v>2020</v>
      </c>
      <c r="B589" s="35">
        <v>170388</v>
      </c>
      <c r="C589" s="34" t="s">
        <v>149</v>
      </c>
      <c r="D589" s="34" t="s">
        <v>36</v>
      </c>
      <c r="E589" s="17">
        <v>0</v>
      </c>
      <c r="F589" s="36">
        <f>IFERROR(E589/$Q589,0)</f>
        <v>0</v>
      </c>
      <c r="G589" s="17">
        <v>0</v>
      </c>
      <c r="H589" s="36">
        <f>IFERROR(G589/$R589,0)</f>
        <v>0</v>
      </c>
      <c r="I589" s="17">
        <v>0</v>
      </c>
      <c r="J589" s="36">
        <f>IFERROR(I589/$Q589,0)</f>
        <v>0</v>
      </c>
      <c r="K589" s="17">
        <v>0</v>
      </c>
      <c r="L589" s="36">
        <f>IFERROR(K589/$R589,0)</f>
        <v>0</v>
      </c>
      <c r="M589" s="17">
        <v>2</v>
      </c>
      <c r="N589" s="36">
        <f>IFERROR(M589/$Q589,0)</f>
        <v>1</v>
      </c>
      <c r="O589" s="17">
        <v>0</v>
      </c>
      <c r="P589" s="36">
        <f>IFERROR(O589/$R589,0)</f>
        <v>0</v>
      </c>
      <c r="Q589" s="17">
        <v>2</v>
      </c>
      <c r="R589" s="17">
        <v>0</v>
      </c>
    </row>
    <row r="590" spans="1:18" ht="15.75" customHeight="1" x14ac:dyDescent="0.25">
      <c r="A590" s="37">
        <v>2020</v>
      </c>
      <c r="B590" s="35">
        <v>170389</v>
      </c>
      <c r="C590" s="34" t="s">
        <v>145</v>
      </c>
      <c r="D590" s="34" t="s">
        <v>37</v>
      </c>
      <c r="E590" s="17">
        <v>5</v>
      </c>
      <c r="F590" s="36">
        <f>IFERROR(E590/$Q590,0)</f>
        <v>0.19230769230769232</v>
      </c>
      <c r="G590" s="17">
        <v>0</v>
      </c>
      <c r="H590" s="36">
        <f>IFERROR(G590/$R590,0)</f>
        <v>0</v>
      </c>
      <c r="I590" s="17">
        <v>12</v>
      </c>
      <c r="J590" s="36">
        <f>IFERROR(I590/$Q590,0)</f>
        <v>0.46153846153846156</v>
      </c>
      <c r="K590" s="17">
        <v>0</v>
      </c>
      <c r="L590" s="36">
        <f>IFERROR(K590/$R590,0)</f>
        <v>0</v>
      </c>
      <c r="M590" s="17">
        <v>9</v>
      </c>
      <c r="N590" s="36">
        <f>IFERROR(M590/$Q590,0)</f>
        <v>0.34615384615384615</v>
      </c>
      <c r="O590" s="17">
        <v>0</v>
      </c>
      <c r="P590" s="36">
        <f>IFERROR(O590/$R590,0)</f>
        <v>0</v>
      </c>
      <c r="Q590" s="17">
        <v>26</v>
      </c>
      <c r="R590" s="17">
        <v>0</v>
      </c>
    </row>
    <row r="591" spans="1:18" ht="15.75" customHeight="1" x14ac:dyDescent="0.25">
      <c r="A591" s="37">
        <v>2020</v>
      </c>
      <c r="B591" s="35">
        <v>170390</v>
      </c>
      <c r="C591" s="34" t="s">
        <v>144</v>
      </c>
      <c r="D591" s="34" t="s">
        <v>38</v>
      </c>
      <c r="E591" s="17">
        <v>19</v>
      </c>
      <c r="F591" s="36">
        <f>IFERROR(E591/$Q591,0)</f>
        <v>0.19</v>
      </c>
      <c r="G591" s="17">
        <v>0</v>
      </c>
      <c r="H591" s="36">
        <f>IFERROR(G591/$R591,0)</f>
        <v>0</v>
      </c>
      <c r="I591" s="17">
        <v>40</v>
      </c>
      <c r="J591" s="36">
        <f>IFERROR(I591/$Q591,0)</f>
        <v>0.4</v>
      </c>
      <c r="K591" s="17">
        <v>0</v>
      </c>
      <c r="L591" s="36">
        <f>IFERROR(K591/$R591,0)</f>
        <v>0</v>
      </c>
      <c r="M591" s="17">
        <v>41</v>
      </c>
      <c r="N591" s="36">
        <f>IFERROR(M591/$Q591,0)</f>
        <v>0.41</v>
      </c>
      <c r="O591" s="17">
        <v>0</v>
      </c>
      <c r="P591" s="36">
        <f>IFERROR(O591/$R591,0)</f>
        <v>0</v>
      </c>
      <c r="Q591" s="17">
        <v>100</v>
      </c>
      <c r="R591" s="17">
        <v>0</v>
      </c>
    </row>
    <row r="592" spans="1:18" ht="15.75" customHeight="1" x14ac:dyDescent="0.25">
      <c r="A592" s="37">
        <v>2020</v>
      </c>
      <c r="B592" s="35">
        <v>170410</v>
      </c>
      <c r="C592" s="34" t="s">
        <v>150</v>
      </c>
      <c r="D592" s="34" t="s">
        <v>39</v>
      </c>
      <c r="E592" s="17">
        <v>2</v>
      </c>
      <c r="F592" s="36">
        <f>IFERROR(E592/$Q592,0)</f>
        <v>0.5</v>
      </c>
      <c r="G592" s="17">
        <v>0</v>
      </c>
      <c r="H592" s="36">
        <f>IFERROR(G592/$R592,0)</f>
        <v>0</v>
      </c>
      <c r="I592" s="17">
        <v>2</v>
      </c>
      <c r="J592" s="36">
        <f>IFERROR(I592/$Q592,0)</f>
        <v>0.5</v>
      </c>
      <c r="K592" s="17">
        <v>0</v>
      </c>
      <c r="L592" s="36">
        <f>IFERROR(K592/$R592,0)</f>
        <v>0</v>
      </c>
      <c r="M592" s="17">
        <v>0</v>
      </c>
      <c r="N592" s="36">
        <f>IFERROR(M592/$Q592,0)</f>
        <v>0</v>
      </c>
      <c r="O592" s="17">
        <v>0</v>
      </c>
      <c r="P592" s="36">
        <f>IFERROR(O592/$R592,0)</f>
        <v>0</v>
      </c>
      <c r="Q592" s="17">
        <v>4</v>
      </c>
      <c r="R592" s="17">
        <v>0</v>
      </c>
    </row>
    <row r="593" spans="1:18" ht="15.75" customHeight="1" x14ac:dyDescent="0.25">
      <c r="A593" s="37">
        <v>2020</v>
      </c>
      <c r="B593" s="35">
        <v>170510</v>
      </c>
      <c r="C593" s="34" t="s">
        <v>151</v>
      </c>
      <c r="D593" s="34" t="s">
        <v>40</v>
      </c>
      <c r="E593" s="17">
        <v>30</v>
      </c>
      <c r="F593" s="36">
        <f>IFERROR(E593/$Q593,0)</f>
        <v>0.19354838709677419</v>
      </c>
      <c r="G593" s="17">
        <v>0</v>
      </c>
      <c r="H593" s="36">
        <f>IFERROR(G593/$R593,0)</f>
        <v>0</v>
      </c>
      <c r="I593" s="17">
        <v>81</v>
      </c>
      <c r="J593" s="36">
        <f>IFERROR(I593/$Q593,0)</f>
        <v>0.52258064516129032</v>
      </c>
      <c r="K593" s="17">
        <v>2</v>
      </c>
      <c r="L593" s="36">
        <f>IFERROR(K593/$R593,0)</f>
        <v>1</v>
      </c>
      <c r="M593" s="17">
        <v>44</v>
      </c>
      <c r="N593" s="36">
        <f>IFERROR(M593/$Q593,0)</f>
        <v>0.28387096774193549</v>
      </c>
      <c r="O593" s="17">
        <v>0</v>
      </c>
      <c r="P593" s="36">
        <f>IFERROR(O593/$R593,0)</f>
        <v>0</v>
      </c>
      <c r="Q593" s="17">
        <v>155</v>
      </c>
      <c r="R593" s="17">
        <v>2</v>
      </c>
    </row>
    <row r="594" spans="1:18" ht="15.75" customHeight="1" x14ac:dyDescent="0.25">
      <c r="A594" s="37">
        <v>2020</v>
      </c>
      <c r="B594" s="35">
        <v>170460</v>
      </c>
      <c r="C594" s="34" t="s">
        <v>144</v>
      </c>
      <c r="D594" s="34" t="s">
        <v>41</v>
      </c>
      <c r="E594" s="17">
        <v>1</v>
      </c>
      <c r="F594" s="36">
        <f>IFERROR(E594/$Q594,0)</f>
        <v>0.2</v>
      </c>
      <c r="G594" s="17">
        <v>0</v>
      </c>
      <c r="H594" s="36">
        <f>IFERROR(G594/$R594,0)</f>
        <v>0</v>
      </c>
      <c r="I594" s="17">
        <v>1</v>
      </c>
      <c r="J594" s="36">
        <f>IFERROR(I594/$Q594,0)</f>
        <v>0.2</v>
      </c>
      <c r="K594" s="17">
        <v>0</v>
      </c>
      <c r="L594" s="36">
        <f>IFERROR(K594/$R594,0)</f>
        <v>0</v>
      </c>
      <c r="M594" s="17">
        <v>3</v>
      </c>
      <c r="N594" s="36">
        <f>IFERROR(M594/$Q594,0)</f>
        <v>0.6</v>
      </c>
      <c r="O594" s="17">
        <v>0</v>
      </c>
      <c r="P594" s="36">
        <f>IFERROR(O594/$R594,0)</f>
        <v>0</v>
      </c>
      <c r="Q594" s="17">
        <v>5</v>
      </c>
      <c r="R594" s="17">
        <v>0</v>
      </c>
    </row>
    <row r="595" spans="1:18" ht="15.75" customHeight="1" x14ac:dyDescent="0.25">
      <c r="A595" s="37">
        <v>2020</v>
      </c>
      <c r="B595" s="35">
        <v>170550</v>
      </c>
      <c r="C595" s="34" t="s">
        <v>150</v>
      </c>
      <c r="D595" s="34" t="s">
        <v>42</v>
      </c>
      <c r="E595" s="17">
        <v>51</v>
      </c>
      <c r="F595" s="36">
        <f>IFERROR(E595/$Q595,0)</f>
        <v>0.17</v>
      </c>
      <c r="G595" s="17">
        <v>0</v>
      </c>
      <c r="H595" s="36">
        <f>IFERROR(G595/$R595,0)</f>
        <v>0</v>
      </c>
      <c r="I595" s="17">
        <v>119</v>
      </c>
      <c r="J595" s="36">
        <f>IFERROR(I595/$Q595,0)</f>
        <v>0.39666666666666667</v>
      </c>
      <c r="K595" s="17">
        <v>4</v>
      </c>
      <c r="L595" s="36">
        <f>IFERROR(K595/$R595,0)</f>
        <v>0.5</v>
      </c>
      <c r="M595" s="17">
        <v>130</v>
      </c>
      <c r="N595" s="36">
        <f>IFERROR(M595/$Q595,0)</f>
        <v>0.43333333333333335</v>
      </c>
      <c r="O595" s="17">
        <v>4</v>
      </c>
      <c r="P595" s="36">
        <f>IFERROR(O595/$R595,0)</f>
        <v>0.5</v>
      </c>
      <c r="Q595" s="17">
        <v>300</v>
      </c>
      <c r="R595" s="17">
        <v>8</v>
      </c>
    </row>
    <row r="596" spans="1:18" ht="15.75" customHeight="1" x14ac:dyDescent="0.25">
      <c r="A596" s="37">
        <v>2020</v>
      </c>
      <c r="B596" s="35">
        <v>171670</v>
      </c>
      <c r="C596" s="34" t="s">
        <v>150</v>
      </c>
      <c r="D596" s="34" t="s">
        <v>43</v>
      </c>
      <c r="E596" s="17">
        <v>13</v>
      </c>
      <c r="F596" s="36">
        <f>IFERROR(E596/$Q596,0)</f>
        <v>0.15116279069767441</v>
      </c>
      <c r="G596" s="17">
        <v>3</v>
      </c>
      <c r="H596" s="36">
        <f>IFERROR(G596/$R596,0)</f>
        <v>0.33333333333333331</v>
      </c>
      <c r="I596" s="17">
        <v>36</v>
      </c>
      <c r="J596" s="36">
        <f>IFERROR(I596/$Q596,0)</f>
        <v>0.41860465116279072</v>
      </c>
      <c r="K596" s="17">
        <v>2</v>
      </c>
      <c r="L596" s="36">
        <f>IFERROR(K596/$R596,0)</f>
        <v>0.22222222222222221</v>
      </c>
      <c r="M596" s="17">
        <v>37</v>
      </c>
      <c r="N596" s="36">
        <f>IFERROR(M596/$Q596,0)</f>
        <v>0.43023255813953487</v>
      </c>
      <c r="O596" s="17">
        <v>4</v>
      </c>
      <c r="P596" s="36">
        <f>IFERROR(O596/$R596,0)</f>
        <v>0.44444444444444442</v>
      </c>
      <c r="Q596" s="17">
        <v>86</v>
      </c>
      <c r="R596" s="17">
        <v>9</v>
      </c>
    </row>
    <row r="597" spans="1:18" ht="15.75" customHeight="1" x14ac:dyDescent="0.25">
      <c r="A597" s="37">
        <v>2020</v>
      </c>
      <c r="B597" s="35">
        <v>170555</v>
      </c>
      <c r="C597" s="34" t="s">
        <v>147</v>
      </c>
      <c r="D597" s="34" t="s">
        <v>44</v>
      </c>
      <c r="E597" s="17">
        <v>7</v>
      </c>
      <c r="F597" s="36">
        <f>IFERROR(E597/$Q597,0)</f>
        <v>0.26923076923076922</v>
      </c>
      <c r="G597" s="17">
        <v>0</v>
      </c>
      <c r="H597" s="36">
        <f>IFERROR(G597/$R597,0)</f>
        <v>0</v>
      </c>
      <c r="I597" s="17">
        <v>7</v>
      </c>
      <c r="J597" s="36">
        <f>IFERROR(I597/$Q597,0)</f>
        <v>0.26923076923076922</v>
      </c>
      <c r="K597" s="17">
        <v>0</v>
      </c>
      <c r="L597" s="36">
        <f>IFERROR(K597/$R597,0)</f>
        <v>0</v>
      </c>
      <c r="M597" s="17">
        <v>12</v>
      </c>
      <c r="N597" s="36">
        <f>IFERROR(M597/$Q597,0)</f>
        <v>0.46153846153846156</v>
      </c>
      <c r="O597" s="17">
        <v>2</v>
      </c>
      <c r="P597" s="36">
        <f>IFERROR(O597/$R597,0)</f>
        <v>1</v>
      </c>
      <c r="Q597" s="17">
        <v>26</v>
      </c>
      <c r="R597" s="17">
        <v>2</v>
      </c>
    </row>
    <row r="598" spans="1:18" ht="15.75" customHeight="1" x14ac:dyDescent="0.25">
      <c r="A598" s="37">
        <v>2020</v>
      </c>
      <c r="B598" s="35">
        <v>170560</v>
      </c>
      <c r="C598" s="34" t="s">
        <v>147</v>
      </c>
      <c r="D598" s="34" t="s">
        <v>45</v>
      </c>
      <c r="E598" s="17">
        <v>11</v>
      </c>
      <c r="F598" s="36">
        <f>IFERROR(E598/$Q598,0)</f>
        <v>0.15492957746478872</v>
      </c>
      <c r="G598" s="17">
        <v>0</v>
      </c>
      <c r="H598" s="36">
        <f>IFERROR(G598/$R598,0)</f>
        <v>0</v>
      </c>
      <c r="I598" s="17">
        <v>29</v>
      </c>
      <c r="J598" s="36">
        <f>IFERROR(I598/$Q598,0)</f>
        <v>0.40845070422535212</v>
      </c>
      <c r="K598" s="17">
        <v>0</v>
      </c>
      <c r="L598" s="36">
        <f>IFERROR(K598/$R598,0)</f>
        <v>0</v>
      </c>
      <c r="M598" s="17">
        <v>31</v>
      </c>
      <c r="N598" s="36">
        <f>IFERROR(M598/$Q598,0)</f>
        <v>0.43661971830985913</v>
      </c>
      <c r="O598" s="17">
        <v>0</v>
      </c>
      <c r="P598" s="36">
        <f>IFERROR(O598/$R598,0)</f>
        <v>0</v>
      </c>
      <c r="Q598" s="17">
        <v>71</v>
      </c>
      <c r="R598" s="17">
        <v>0</v>
      </c>
    </row>
    <row r="599" spans="1:18" ht="15.75" customHeight="1" x14ac:dyDescent="0.25">
      <c r="A599" s="37">
        <v>2020</v>
      </c>
      <c r="B599" s="35">
        <v>170600</v>
      </c>
      <c r="C599" s="34" t="s">
        <v>150</v>
      </c>
      <c r="D599" s="34" t="s">
        <v>46</v>
      </c>
      <c r="E599" s="17">
        <v>2</v>
      </c>
      <c r="F599" s="36">
        <f>IFERROR(E599/$Q599,0)</f>
        <v>5.7142857142857141E-2</v>
      </c>
      <c r="G599" s="17">
        <v>0</v>
      </c>
      <c r="H599" s="36">
        <f>IFERROR(G599/$R599,0)</f>
        <v>0</v>
      </c>
      <c r="I599" s="17">
        <v>13</v>
      </c>
      <c r="J599" s="36">
        <f>IFERROR(I599/$Q599,0)</f>
        <v>0.37142857142857144</v>
      </c>
      <c r="K599" s="17">
        <v>1</v>
      </c>
      <c r="L599" s="36">
        <f>IFERROR(K599/$R599,0)</f>
        <v>1</v>
      </c>
      <c r="M599" s="17">
        <v>20</v>
      </c>
      <c r="N599" s="36">
        <f>IFERROR(M599/$Q599,0)</f>
        <v>0.5714285714285714</v>
      </c>
      <c r="O599" s="17">
        <v>0</v>
      </c>
      <c r="P599" s="36">
        <f>IFERROR(O599/$R599,0)</f>
        <v>0</v>
      </c>
      <c r="Q599" s="17">
        <v>35</v>
      </c>
      <c r="R599" s="17">
        <v>1</v>
      </c>
    </row>
    <row r="600" spans="1:18" ht="15.75" customHeight="1" x14ac:dyDescent="0.25">
      <c r="A600" s="37">
        <v>2020</v>
      </c>
      <c r="B600" s="35">
        <v>170610</v>
      </c>
      <c r="C600" s="34" t="s">
        <v>144</v>
      </c>
      <c r="D600" s="34" t="s">
        <v>47</v>
      </c>
      <c r="E600" s="17">
        <v>5</v>
      </c>
      <c r="F600" s="36">
        <f>IFERROR(E600/$Q600,0)</f>
        <v>0.10416666666666667</v>
      </c>
      <c r="G600" s="17">
        <v>2</v>
      </c>
      <c r="H600" s="36">
        <f>IFERROR(G600/$R600,0)</f>
        <v>0.4</v>
      </c>
      <c r="I600" s="17">
        <v>22</v>
      </c>
      <c r="J600" s="36">
        <f>IFERROR(I600/$Q600,0)</f>
        <v>0.45833333333333331</v>
      </c>
      <c r="K600" s="17">
        <v>3</v>
      </c>
      <c r="L600" s="36">
        <f>IFERROR(K600/$R600,0)</f>
        <v>0.6</v>
      </c>
      <c r="M600" s="17">
        <v>21</v>
      </c>
      <c r="N600" s="36">
        <f>IFERROR(M600/$Q600,0)</f>
        <v>0.4375</v>
      </c>
      <c r="O600" s="17">
        <v>0</v>
      </c>
      <c r="P600" s="36">
        <f>IFERROR(O600/$R600,0)</f>
        <v>0</v>
      </c>
      <c r="Q600" s="17">
        <v>48</v>
      </c>
      <c r="R600" s="17">
        <v>5</v>
      </c>
    </row>
    <row r="601" spans="1:18" ht="15.75" customHeight="1" x14ac:dyDescent="0.25">
      <c r="A601" s="37">
        <v>2020</v>
      </c>
      <c r="B601" s="35">
        <v>170625</v>
      </c>
      <c r="C601" s="34" t="s">
        <v>146</v>
      </c>
      <c r="D601" s="34" t="s">
        <v>48</v>
      </c>
      <c r="E601" s="17">
        <v>9</v>
      </c>
      <c r="F601" s="36">
        <f>IFERROR(E601/$Q601,0)</f>
        <v>0.12328767123287671</v>
      </c>
      <c r="G601" s="17">
        <v>0</v>
      </c>
      <c r="H601" s="36">
        <f>IFERROR(G601/$R601,0)</f>
        <v>0</v>
      </c>
      <c r="I601" s="17">
        <v>31</v>
      </c>
      <c r="J601" s="36">
        <f>IFERROR(I601/$Q601,0)</f>
        <v>0.42465753424657532</v>
      </c>
      <c r="K601" s="17">
        <v>1</v>
      </c>
      <c r="L601" s="36">
        <f>IFERROR(K601/$R601,0)</f>
        <v>0.33333333333333331</v>
      </c>
      <c r="M601" s="17">
        <v>33</v>
      </c>
      <c r="N601" s="36">
        <f>IFERROR(M601/$Q601,0)</f>
        <v>0.45205479452054792</v>
      </c>
      <c r="O601" s="17">
        <v>2</v>
      </c>
      <c r="P601" s="36">
        <f>IFERROR(O601/$R601,0)</f>
        <v>0.66666666666666663</v>
      </c>
      <c r="Q601" s="17">
        <v>73</v>
      </c>
      <c r="R601" s="17">
        <v>3</v>
      </c>
    </row>
    <row r="602" spans="1:18" ht="15.75" customHeight="1" x14ac:dyDescent="0.25">
      <c r="A602" s="37">
        <v>2020</v>
      </c>
      <c r="B602" s="35">
        <v>170650</v>
      </c>
      <c r="C602" s="34" t="s">
        <v>149</v>
      </c>
      <c r="D602" s="34" t="s">
        <v>49</v>
      </c>
      <c r="E602" s="17">
        <v>9</v>
      </c>
      <c r="F602" s="36">
        <f>IFERROR(E602/$Q602,0)</f>
        <v>0.20930232558139536</v>
      </c>
      <c r="G602" s="17">
        <v>0</v>
      </c>
      <c r="H602" s="36">
        <f>IFERROR(G602/$R602,0)</f>
        <v>0</v>
      </c>
      <c r="I602" s="17">
        <v>11</v>
      </c>
      <c r="J602" s="36">
        <f>IFERROR(I602/$Q602,0)</f>
        <v>0.2558139534883721</v>
      </c>
      <c r="K602" s="17">
        <v>0</v>
      </c>
      <c r="L602" s="36">
        <f>IFERROR(K602/$R602,0)</f>
        <v>0</v>
      </c>
      <c r="M602" s="17">
        <v>23</v>
      </c>
      <c r="N602" s="36">
        <f>IFERROR(M602/$Q602,0)</f>
        <v>0.53488372093023251</v>
      </c>
      <c r="O602" s="17">
        <v>1</v>
      </c>
      <c r="P602" s="36">
        <f>IFERROR(O602/$R602,0)</f>
        <v>1</v>
      </c>
      <c r="Q602" s="17">
        <v>43</v>
      </c>
      <c r="R602" s="17">
        <v>1</v>
      </c>
    </row>
    <row r="603" spans="1:18" ht="15.75" customHeight="1" x14ac:dyDescent="0.25">
      <c r="A603" s="37">
        <v>2020</v>
      </c>
      <c r="B603" s="35">
        <v>170700</v>
      </c>
      <c r="C603" s="34" t="s">
        <v>147</v>
      </c>
      <c r="D603" s="34" t="s">
        <v>50</v>
      </c>
      <c r="E603" s="17">
        <v>67</v>
      </c>
      <c r="F603" s="36">
        <f>IFERROR(E603/$Q603,0)</f>
        <v>0.19142857142857142</v>
      </c>
      <c r="G603" s="17">
        <v>2</v>
      </c>
      <c r="H603" s="36">
        <f>IFERROR(G603/$R603,0)</f>
        <v>0.16666666666666666</v>
      </c>
      <c r="I603" s="17">
        <v>142</v>
      </c>
      <c r="J603" s="36">
        <f>IFERROR(I603/$Q603,0)</f>
        <v>0.40571428571428569</v>
      </c>
      <c r="K603" s="17">
        <v>5</v>
      </c>
      <c r="L603" s="36">
        <f>IFERROR(K603/$R603,0)</f>
        <v>0.41666666666666669</v>
      </c>
      <c r="M603" s="17">
        <v>141</v>
      </c>
      <c r="N603" s="36">
        <f>IFERROR(M603/$Q603,0)</f>
        <v>0.40285714285714286</v>
      </c>
      <c r="O603" s="17">
        <v>5</v>
      </c>
      <c r="P603" s="36">
        <f>IFERROR(O603/$R603,0)</f>
        <v>0.41666666666666669</v>
      </c>
      <c r="Q603" s="17">
        <v>350</v>
      </c>
      <c r="R603" s="17">
        <v>12</v>
      </c>
    </row>
    <row r="604" spans="1:18" ht="15.75" customHeight="1" x14ac:dyDescent="0.25">
      <c r="A604" s="37">
        <v>2020</v>
      </c>
      <c r="B604" s="35">
        <v>170710</v>
      </c>
      <c r="C604" s="34" t="s">
        <v>144</v>
      </c>
      <c r="D604" s="34" t="s">
        <v>51</v>
      </c>
      <c r="E604" s="17">
        <v>6</v>
      </c>
      <c r="F604" s="36">
        <f>IFERROR(E604/$Q604,0)</f>
        <v>0.10909090909090909</v>
      </c>
      <c r="G604" s="17">
        <v>0</v>
      </c>
      <c r="H604" s="36">
        <f>IFERROR(G604/$R604,0)</f>
        <v>0</v>
      </c>
      <c r="I604" s="17">
        <v>20</v>
      </c>
      <c r="J604" s="36">
        <f>IFERROR(I604/$Q604,0)</f>
        <v>0.36363636363636365</v>
      </c>
      <c r="K604" s="17">
        <v>1</v>
      </c>
      <c r="L604" s="36">
        <f>IFERROR(K604/$R604,0)</f>
        <v>1</v>
      </c>
      <c r="M604" s="17">
        <v>29</v>
      </c>
      <c r="N604" s="36">
        <f>IFERROR(M604/$Q604,0)</f>
        <v>0.52727272727272723</v>
      </c>
      <c r="O604" s="17">
        <v>0</v>
      </c>
      <c r="P604" s="36">
        <f>IFERROR(O604/$R604,0)</f>
        <v>0</v>
      </c>
      <c r="Q604" s="17">
        <v>55</v>
      </c>
      <c r="R604" s="17">
        <v>1</v>
      </c>
    </row>
    <row r="605" spans="1:18" ht="15.75" customHeight="1" x14ac:dyDescent="0.25">
      <c r="A605" s="37">
        <v>2020</v>
      </c>
      <c r="B605" s="35">
        <v>170720</v>
      </c>
      <c r="C605" s="34" t="s">
        <v>144</v>
      </c>
      <c r="D605" s="34" t="s">
        <v>52</v>
      </c>
      <c r="E605" s="17">
        <v>19</v>
      </c>
      <c r="F605" s="36">
        <f>IFERROR(E605/$Q605,0)</f>
        <v>0.10614525139664804</v>
      </c>
      <c r="G605" s="17">
        <v>1</v>
      </c>
      <c r="H605" s="36">
        <f>IFERROR(G605/$R605,0)</f>
        <v>0.16666666666666666</v>
      </c>
      <c r="I605" s="17">
        <v>95</v>
      </c>
      <c r="J605" s="36">
        <f>IFERROR(I605/$Q605,0)</f>
        <v>0.53072625698324027</v>
      </c>
      <c r="K605" s="17">
        <v>0</v>
      </c>
      <c r="L605" s="36">
        <f>IFERROR(K605/$R605,0)</f>
        <v>0</v>
      </c>
      <c r="M605" s="17">
        <v>65</v>
      </c>
      <c r="N605" s="36">
        <f>IFERROR(M605/$Q605,0)</f>
        <v>0.36312849162011174</v>
      </c>
      <c r="O605" s="17">
        <v>5</v>
      </c>
      <c r="P605" s="36">
        <f>IFERROR(O605/$R605,0)</f>
        <v>0.83333333333333337</v>
      </c>
      <c r="Q605" s="17">
        <v>179</v>
      </c>
      <c r="R605" s="17">
        <v>6</v>
      </c>
    </row>
    <row r="606" spans="1:18" ht="15.75" customHeight="1" x14ac:dyDescent="0.25">
      <c r="A606" s="37">
        <v>2020</v>
      </c>
      <c r="B606" s="35">
        <v>170730</v>
      </c>
      <c r="C606" s="34" t="s">
        <v>146</v>
      </c>
      <c r="D606" s="34" t="s">
        <v>53</v>
      </c>
      <c r="E606" s="17">
        <v>2</v>
      </c>
      <c r="F606" s="36">
        <f>IFERROR(E606/$Q606,0)</f>
        <v>0.25</v>
      </c>
      <c r="G606" s="17">
        <v>0</v>
      </c>
      <c r="H606" s="36">
        <f>IFERROR(G606/$R606,0)</f>
        <v>0</v>
      </c>
      <c r="I606" s="17">
        <v>3</v>
      </c>
      <c r="J606" s="36">
        <f>IFERROR(I606/$Q606,0)</f>
        <v>0.375</v>
      </c>
      <c r="K606" s="17">
        <v>0</v>
      </c>
      <c r="L606" s="36">
        <f>IFERROR(K606/$R606,0)</f>
        <v>0</v>
      </c>
      <c r="M606" s="17">
        <v>3</v>
      </c>
      <c r="N606" s="36">
        <f>IFERROR(M606/$Q606,0)</f>
        <v>0.375</v>
      </c>
      <c r="O606" s="17">
        <v>0</v>
      </c>
      <c r="P606" s="36">
        <f>IFERROR(O606/$R606,0)</f>
        <v>0</v>
      </c>
      <c r="Q606" s="17">
        <v>8</v>
      </c>
      <c r="R606" s="17">
        <v>0</v>
      </c>
    </row>
    <row r="607" spans="1:18" ht="15.75" customHeight="1" x14ac:dyDescent="0.25">
      <c r="A607" s="37">
        <v>2020</v>
      </c>
      <c r="B607" s="35">
        <v>170740</v>
      </c>
      <c r="C607" s="34" t="s">
        <v>145</v>
      </c>
      <c r="D607" s="34" t="s">
        <v>54</v>
      </c>
      <c r="E607" s="17">
        <v>35</v>
      </c>
      <c r="F607" s="36">
        <f>IFERROR(E607/$Q607,0)</f>
        <v>0.12544802867383512</v>
      </c>
      <c r="G607" s="17">
        <v>0</v>
      </c>
      <c r="H607" s="36">
        <f>IFERROR(G607/$R607,0)</f>
        <v>0</v>
      </c>
      <c r="I607" s="17">
        <v>99</v>
      </c>
      <c r="J607" s="36">
        <f>IFERROR(I607/$Q607,0)</f>
        <v>0.35483870967741937</v>
      </c>
      <c r="K607" s="17">
        <v>1</v>
      </c>
      <c r="L607" s="36">
        <f>IFERROR(K607/$R607,0)</f>
        <v>1</v>
      </c>
      <c r="M607" s="17">
        <v>145</v>
      </c>
      <c r="N607" s="36">
        <f>IFERROR(M607/$Q607,0)</f>
        <v>0.51971326164874554</v>
      </c>
      <c r="O607" s="17">
        <v>0</v>
      </c>
      <c r="P607" s="36">
        <f>IFERROR(O607/$R607,0)</f>
        <v>0</v>
      </c>
      <c r="Q607" s="17">
        <v>279</v>
      </c>
      <c r="R607" s="17">
        <v>1</v>
      </c>
    </row>
    <row r="608" spans="1:18" ht="15.75" customHeight="1" x14ac:dyDescent="0.25">
      <c r="A608" s="37">
        <v>2020</v>
      </c>
      <c r="B608" s="35">
        <v>170755</v>
      </c>
      <c r="C608" s="34" t="s">
        <v>151</v>
      </c>
      <c r="D608" s="34" t="s">
        <v>55</v>
      </c>
      <c r="E608" s="17">
        <v>0</v>
      </c>
      <c r="F608" s="36">
        <f>IFERROR(E608/$Q608,0)</f>
        <v>0</v>
      </c>
      <c r="G608" s="17">
        <v>0</v>
      </c>
      <c r="H608" s="36">
        <f>IFERROR(G608/$R608,0)</f>
        <v>0</v>
      </c>
      <c r="I608" s="17">
        <v>1</v>
      </c>
      <c r="J608" s="36">
        <f>IFERROR(I608/$Q608,0)</f>
        <v>0.5</v>
      </c>
      <c r="K608" s="17">
        <v>1</v>
      </c>
      <c r="L608" s="36">
        <f>IFERROR(K608/$R608,0)</f>
        <v>1</v>
      </c>
      <c r="M608" s="17">
        <v>1</v>
      </c>
      <c r="N608" s="36">
        <f>IFERROR(M608/$Q608,0)</f>
        <v>0.5</v>
      </c>
      <c r="O608" s="17">
        <v>0</v>
      </c>
      <c r="P608" s="36">
        <f>IFERROR(O608/$R608,0)</f>
        <v>0</v>
      </c>
      <c r="Q608" s="17">
        <v>2</v>
      </c>
      <c r="R608" s="17">
        <v>1</v>
      </c>
    </row>
    <row r="609" spans="1:18" ht="15.75" customHeight="1" x14ac:dyDescent="0.25">
      <c r="A609" s="37">
        <v>2020</v>
      </c>
      <c r="B609" s="35">
        <v>170765</v>
      </c>
      <c r="C609" s="34" t="s">
        <v>146</v>
      </c>
      <c r="D609" s="34" t="s">
        <v>56</v>
      </c>
      <c r="E609" s="17">
        <v>2</v>
      </c>
      <c r="F609" s="36">
        <f>IFERROR(E609/$Q609,0)</f>
        <v>0.1111111111111111</v>
      </c>
      <c r="G609" s="17">
        <v>0</v>
      </c>
      <c r="H609" s="36">
        <f>IFERROR(G609/$R609,0)</f>
        <v>0</v>
      </c>
      <c r="I609" s="17">
        <v>7</v>
      </c>
      <c r="J609" s="36">
        <f>IFERROR(I609/$Q609,0)</f>
        <v>0.3888888888888889</v>
      </c>
      <c r="K609" s="17">
        <v>3</v>
      </c>
      <c r="L609" s="36">
        <f>IFERROR(K609/$R609,0)</f>
        <v>0.6</v>
      </c>
      <c r="M609" s="17">
        <v>9</v>
      </c>
      <c r="N609" s="36">
        <f>IFERROR(M609/$Q609,0)</f>
        <v>0.5</v>
      </c>
      <c r="O609" s="17">
        <v>2</v>
      </c>
      <c r="P609" s="36">
        <f>IFERROR(O609/$R609,0)</f>
        <v>0.4</v>
      </c>
      <c r="Q609" s="17">
        <v>18</v>
      </c>
      <c r="R609" s="17">
        <v>5</v>
      </c>
    </row>
    <row r="610" spans="1:18" ht="15.75" customHeight="1" x14ac:dyDescent="0.25">
      <c r="A610" s="37">
        <v>2020</v>
      </c>
      <c r="B610" s="35">
        <v>170770</v>
      </c>
      <c r="C610" s="34" t="s">
        <v>149</v>
      </c>
      <c r="D610" s="34" t="s">
        <v>57</v>
      </c>
      <c r="E610" s="17">
        <v>35</v>
      </c>
      <c r="F610" s="36">
        <f>IFERROR(E610/$Q610,0)</f>
        <v>0.19553072625698323</v>
      </c>
      <c r="G610" s="17">
        <v>0</v>
      </c>
      <c r="H610" s="36">
        <f>IFERROR(G610/$R610,0)</f>
        <v>0</v>
      </c>
      <c r="I610" s="17">
        <v>69</v>
      </c>
      <c r="J610" s="36">
        <f>IFERROR(I610/$Q610,0)</f>
        <v>0.38547486033519551</v>
      </c>
      <c r="K610" s="17">
        <v>0</v>
      </c>
      <c r="L610" s="36">
        <f>IFERROR(K610/$R610,0)</f>
        <v>0</v>
      </c>
      <c r="M610" s="17">
        <v>75</v>
      </c>
      <c r="N610" s="36">
        <f>IFERROR(M610/$Q610,0)</f>
        <v>0.41899441340782123</v>
      </c>
      <c r="O610" s="17">
        <v>3</v>
      </c>
      <c r="P610" s="36">
        <f>IFERROR(O610/$R610,0)</f>
        <v>1</v>
      </c>
      <c r="Q610" s="17">
        <v>179</v>
      </c>
      <c r="R610" s="17">
        <v>3</v>
      </c>
    </row>
    <row r="611" spans="1:18" ht="15.75" customHeight="1" x14ac:dyDescent="0.25">
      <c r="A611" s="37">
        <v>2020</v>
      </c>
      <c r="B611" s="35">
        <v>170820</v>
      </c>
      <c r="C611" s="34" t="s">
        <v>146</v>
      </c>
      <c r="D611" s="34" t="s">
        <v>58</v>
      </c>
      <c r="E611" s="17">
        <v>13</v>
      </c>
      <c r="F611" s="36">
        <f>IFERROR(E611/$Q611,0)</f>
        <v>8.2802547770700632E-2</v>
      </c>
      <c r="G611" s="17">
        <v>0</v>
      </c>
      <c r="H611" s="36">
        <f>IFERROR(G611/$R611,0)</f>
        <v>0</v>
      </c>
      <c r="I611" s="17">
        <v>54</v>
      </c>
      <c r="J611" s="36">
        <f>IFERROR(I611/$Q611,0)</f>
        <v>0.34394904458598724</v>
      </c>
      <c r="K611" s="17">
        <v>0</v>
      </c>
      <c r="L611" s="36">
        <f>IFERROR(K611/$R611,0)</f>
        <v>0</v>
      </c>
      <c r="M611" s="17">
        <v>90</v>
      </c>
      <c r="N611" s="36">
        <f>IFERROR(M611/$Q611,0)</f>
        <v>0.57324840764331209</v>
      </c>
      <c r="O611" s="17">
        <v>1</v>
      </c>
      <c r="P611" s="36">
        <f>IFERROR(O611/$R611,0)</f>
        <v>1</v>
      </c>
      <c r="Q611" s="17">
        <v>157</v>
      </c>
      <c r="R611" s="17">
        <v>1</v>
      </c>
    </row>
    <row r="612" spans="1:18" ht="15.75" customHeight="1" x14ac:dyDescent="0.25">
      <c r="A612" s="37">
        <v>2020</v>
      </c>
      <c r="B612" s="35">
        <v>170830</v>
      </c>
      <c r="C612" s="34" t="s">
        <v>150</v>
      </c>
      <c r="D612" s="34" t="s">
        <v>59</v>
      </c>
      <c r="E612" s="17">
        <v>26</v>
      </c>
      <c r="F612" s="36">
        <f>IFERROR(E612/$Q612,0)</f>
        <v>0.14207650273224043</v>
      </c>
      <c r="G612" s="17">
        <v>0</v>
      </c>
      <c r="H612" s="36">
        <f>IFERROR(G612/$R612,0)</f>
        <v>0</v>
      </c>
      <c r="I612" s="17">
        <v>74</v>
      </c>
      <c r="J612" s="36">
        <f>IFERROR(I612/$Q612,0)</f>
        <v>0.40437158469945356</v>
      </c>
      <c r="K612" s="17">
        <v>0</v>
      </c>
      <c r="L612" s="36">
        <f>IFERROR(K612/$R612,0)</f>
        <v>0</v>
      </c>
      <c r="M612" s="17">
        <v>83</v>
      </c>
      <c r="N612" s="36">
        <f>IFERROR(M612/$Q612,0)</f>
        <v>0.45355191256830601</v>
      </c>
      <c r="O612" s="17">
        <v>0</v>
      </c>
      <c r="P612" s="36">
        <f>IFERROR(O612/$R612,0)</f>
        <v>0</v>
      </c>
      <c r="Q612" s="17">
        <v>183</v>
      </c>
      <c r="R612" s="17">
        <v>0</v>
      </c>
    </row>
    <row r="613" spans="1:18" ht="15.75" customHeight="1" x14ac:dyDescent="0.25">
      <c r="A613" s="37">
        <v>2020</v>
      </c>
      <c r="B613" s="35">
        <v>170900</v>
      </c>
      <c r="C613" s="34" t="s">
        <v>149</v>
      </c>
      <c r="D613" s="34" t="s">
        <v>60</v>
      </c>
      <c r="E613" s="17">
        <v>25</v>
      </c>
      <c r="F613" s="36">
        <f>IFERROR(E613/$Q613,0)</f>
        <v>0.16666666666666666</v>
      </c>
      <c r="G613" s="17">
        <v>0</v>
      </c>
      <c r="H613" s="36">
        <f>IFERROR(G613/$R613,0)</f>
        <v>0</v>
      </c>
      <c r="I613" s="17">
        <v>56</v>
      </c>
      <c r="J613" s="36">
        <f>IFERROR(I613/$Q613,0)</f>
        <v>0.37333333333333335</v>
      </c>
      <c r="K613" s="17">
        <v>0</v>
      </c>
      <c r="L613" s="36">
        <f>IFERROR(K613/$R613,0)</f>
        <v>0</v>
      </c>
      <c r="M613" s="17">
        <v>69</v>
      </c>
      <c r="N613" s="36">
        <f>IFERROR(M613/$Q613,0)</f>
        <v>0.46</v>
      </c>
      <c r="O613" s="17">
        <v>0</v>
      </c>
      <c r="P613" s="36">
        <f>IFERROR(O613/$R613,0)</f>
        <v>0</v>
      </c>
      <c r="Q613" s="17">
        <v>150</v>
      </c>
      <c r="R613" s="17">
        <v>0</v>
      </c>
    </row>
    <row r="614" spans="1:18" ht="15.75" customHeight="1" x14ac:dyDescent="0.25">
      <c r="A614" s="37">
        <v>2020</v>
      </c>
      <c r="B614" s="35">
        <v>170930</v>
      </c>
      <c r="C614" s="34" t="s">
        <v>150</v>
      </c>
      <c r="D614" s="34" t="s">
        <v>61</v>
      </c>
      <c r="E614" s="17">
        <v>29</v>
      </c>
      <c r="F614" s="36">
        <f>IFERROR(E614/$Q614,0)</f>
        <v>0.10507246376811594</v>
      </c>
      <c r="G614" s="17">
        <v>1</v>
      </c>
      <c r="H614" s="36">
        <f>IFERROR(G614/$R614,0)</f>
        <v>1</v>
      </c>
      <c r="I614" s="17">
        <v>113</v>
      </c>
      <c r="J614" s="36">
        <f>IFERROR(I614/$Q614,0)</f>
        <v>0.40942028985507245</v>
      </c>
      <c r="K614" s="17">
        <v>0</v>
      </c>
      <c r="L614" s="36">
        <f>IFERROR(K614/$R614,0)</f>
        <v>0</v>
      </c>
      <c r="M614" s="17">
        <v>134</v>
      </c>
      <c r="N614" s="36">
        <f>IFERROR(M614/$Q614,0)</f>
        <v>0.48550724637681159</v>
      </c>
      <c r="O614" s="17">
        <v>0</v>
      </c>
      <c r="P614" s="36">
        <f>IFERROR(O614/$R614,0)</f>
        <v>0</v>
      </c>
      <c r="Q614" s="17">
        <v>276</v>
      </c>
      <c r="R614" s="17">
        <v>1</v>
      </c>
    </row>
    <row r="615" spans="1:18" ht="15.75" customHeight="1" x14ac:dyDescent="0.25">
      <c r="A615" s="37">
        <v>2020</v>
      </c>
      <c r="B615" s="35">
        <v>170950</v>
      </c>
      <c r="C615" s="34" t="s">
        <v>146</v>
      </c>
      <c r="D615" s="34" t="s">
        <v>62</v>
      </c>
      <c r="E615" s="17">
        <v>50</v>
      </c>
      <c r="F615" s="36">
        <f>IFERROR(E615/$Q615,0)</f>
        <v>0.14285714285714285</v>
      </c>
      <c r="G615" s="17">
        <v>7</v>
      </c>
      <c r="H615" s="36">
        <f>IFERROR(G615/$R615,0)</f>
        <v>0.15909090909090909</v>
      </c>
      <c r="I615" s="17">
        <v>126</v>
      </c>
      <c r="J615" s="36">
        <f>IFERROR(I615/$Q615,0)</f>
        <v>0.36</v>
      </c>
      <c r="K615" s="17">
        <v>11</v>
      </c>
      <c r="L615" s="36">
        <f>IFERROR(K615/$R615,0)</f>
        <v>0.25</v>
      </c>
      <c r="M615" s="17">
        <v>174</v>
      </c>
      <c r="N615" s="36">
        <f>IFERROR(M615/$Q615,0)</f>
        <v>0.49714285714285716</v>
      </c>
      <c r="O615" s="17">
        <v>26</v>
      </c>
      <c r="P615" s="36">
        <f>IFERROR(O615/$R615,0)</f>
        <v>0.59090909090909094</v>
      </c>
      <c r="Q615" s="17">
        <v>350</v>
      </c>
      <c r="R615" s="17">
        <v>44</v>
      </c>
    </row>
    <row r="616" spans="1:18" ht="15.75" customHeight="1" x14ac:dyDescent="0.25">
      <c r="A616" s="37">
        <v>2020</v>
      </c>
      <c r="B616" s="35">
        <v>170980</v>
      </c>
      <c r="C616" s="34" t="s">
        <v>151</v>
      </c>
      <c r="D616" s="34" t="s">
        <v>63</v>
      </c>
      <c r="E616" s="17">
        <v>6</v>
      </c>
      <c r="F616" s="36">
        <f>IFERROR(E616/$Q616,0)</f>
        <v>9.5238095238095233E-2</v>
      </c>
      <c r="G616" s="17">
        <v>0</v>
      </c>
      <c r="H616" s="36">
        <f>IFERROR(G616/$R616,0)</f>
        <v>0</v>
      </c>
      <c r="I616" s="17">
        <v>22</v>
      </c>
      <c r="J616" s="36">
        <f>IFERROR(I616/$Q616,0)</f>
        <v>0.34920634920634919</v>
      </c>
      <c r="K616" s="17">
        <v>0</v>
      </c>
      <c r="L616" s="36">
        <f>IFERROR(K616/$R616,0)</f>
        <v>0</v>
      </c>
      <c r="M616" s="17">
        <v>35</v>
      </c>
      <c r="N616" s="36">
        <f>IFERROR(M616/$Q616,0)</f>
        <v>0.55555555555555558</v>
      </c>
      <c r="O616" s="17">
        <v>1</v>
      </c>
      <c r="P616" s="36">
        <f>IFERROR(O616/$R616,0)</f>
        <v>1</v>
      </c>
      <c r="Q616" s="17">
        <v>63</v>
      </c>
      <c r="R616" s="17">
        <v>1</v>
      </c>
    </row>
    <row r="617" spans="1:18" ht="15.75" customHeight="1" x14ac:dyDescent="0.25">
      <c r="A617" s="37">
        <v>2020</v>
      </c>
      <c r="B617" s="35">
        <v>171050</v>
      </c>
      <c r="C617" s="34" t="s">
        <v>150</v>
      </c>
      <c r="D617" s="34" t="s">
        <v>64</v>
      </c>
      <c r="E617" s="17">
        <v>9</v>
      </c>
      <c r="F617" s="36">
        <f>IFERROR(E617/$Q617,0)</f>
        <v>0.11688311688311688</v>
      </c>
      <c r="G617" s="17">
        <v>2</v>
      </c>
      <c r="H617" s="36">
        <f>IFERROR(G617/$R617,0)</f>
        <v>0.33333333333333331</v>
      </c>
      <c r="I617" s="17">
        <v>39</v>
      </c>
      <c r="J617" s="36">
        <f>IFERROR(I617/$Q617,0)</f>
        <v>0.50649350649350644</v>
      </c>
      <c r="K617" s="17">
        <v>1</v>
      </c>
      <c r="L617" s="36">
        <f>IFERROR(K617/$R617,0)</f>
        <v>0.16666666666666666</v>
      </c>
      <c r="M617" s="17">
        <v>29</v>
      </c>
      <c r="N617" s="36">
        <f>IFERROR(M617/$Q617,0)</f>
        <v>0.37662337662337664</v>
      </c>
      <c r="O617" s="17">
        <v>3</v>
      </c>
      <c r="P617" s="36">
        <f>IFERROR(O617/$R617,0)</f>
        <v>0.5</v>
      </c>
      <c r="Q617" s="17">
        <v>77</v>
      </c>
      <c r="R617" s="17">
        <v>6</v>
      </c>
    </row>
    <row r="618" spans="1:18" ht="15.75" customHeight="1" x14ac:dyDescent="0.25">
      <c r="A618" s="37">
        <v>2020</v>
      </c>
      <c r="B618" s="35">
        <v>171070</v>
      </c>
      <c r="C618" s="34" t="s">
        <v>145</v>
      </c>
      <c r="D618" s="34" t="s">
        <v>65</v>
      </c>
      <c r="E618" s="17">
        <v>29</v>
      </c>
      <c r="F618" s="36">
        <f>IFERROR(E618/$Q618,0)</f>
        <v>0.14795918367346939</v>
      </c>
      <c r="G618" s="17">
        <v>0</v>
      </c>
      <c r="H618" s="36">
        <f>IFERROR(G618/$R618,0)</f>
        <v>0</v>
      </c>
      <c r="I618" s="17">
        <v>83</v>
      </c>
      <c r="J618" s="36">
        <f>IFERROR(I618/$Q618,0)</f>
        <v>0.42346938775510207</v>
      </c>
      <c r="K618" s="17">
        <v>0</v>
      </c>
      <c r="L618" s="36">
        <f>IFERROR(K618/$R618,0)</f>
        <v>0</v>
      </c>
      <c r="M618" s="17">
        <v>84</v>
      </c>
      <c r="N618" s="36">
        <f>IFERROR(M618/$Q618,0)</f>
        <v>0.42857142857142855</v>
      </c>
      <c r="O618" s="17">
        <v>0</v>
      </c>
      <c r="P618" s="36">
        <f>IFERROR(O618/$R618,0)</f>
        <v>0</v>
      </c>
      <c r="Q618" s="17">
        <v>196</v>
      </c>
      <c r="R618" s="17">
        <v>0</v>
      </c>
    </row>
    <row r="619" spans="1:18" ht="15.75" customHeight="1" x14ac:dyDescent="0.25">
      <c r="A619" s="37">
        <v>2020</v>
      </c>
      <c r="B619" s="35">
        <v>171090</v>
      </c>
      <c r="C619" s="34" t="s">
        <v>150</v>
      </c>
      <c r="D619" s="34" t="s">
        <v>66</v>
      </c>
      <c r="E619" s="17">
        <v>0</v>
      </c>
      <c r="F619" s="36">
        <f>IFERROR(E619/$Q619,0)</f>
        <v>0</v>
      </c>
      <c r="G619" s="17">
        <v>0</v>
      </c>
      <c r="H619" s="36">
        <f>IFERROR(G619/$R619,0)</f>
        <v>0</v>
      </c>
      <c r="I619" s="17">
        <v>2</v>
      </c>
      <c r="J619" s="36">
        <f>IFERROR(I619/$Q619,0)</f>
        <v>0.33333333333333331</v>
      </c>
      <c r="K619" s="17">
        <v>0</v>
      </c>
      <c r="L619" s="36">
        <f>IFERROR(K619/$R619,0)</f>
        <v>0</v>
      </c>
      <c r="M619" s="17">
        <v>4</v>
      </c>
      <c r="N619" s="36">
        <f>IFERROR(M619/$Q619,0)</f>
        <v>0.66666666666666663</v>
      </c>
      <c r="O619" s="17">
        <v>0</v>
      </c>
      <c r="P619" s="36">
        <f>IFERROR(O619/$R619,0)</f>
        <v>0</v>
      </c>
      <c r="Q619" s="17">
        <v>6</v>
      </c>
      <c r="R619" s="17">
        <v>0</v>
      </c>
    </row>
    <row r="620" spans="1:18" ht="15.75" customHeight="1" x14ac:dyDescent="0.25">
      <c r="A620" s="37">
        <v>2020</v>
      </c>
      <c r="B620" s="35">
        <v>171110</v>
      </c>
      <c r="C620" s="34" t="s">
        <v>150</v>
      </c>
      <c r="D620" s="34" t="s">
        <v>67</v>
      </c>
      <c r="E620" s="17">
        <v>2</v>
      </c>
      <c r="F620" s="36">
        <f>IFERROR(E620/$Q620,0)</f>
        <v>9.5238095238095233E-2</v>
      </c>
      <c r="G620" s="17">
        <v>0</v>
      </c>
      <c r="H620" s="36">
        <f>IFERROR(G620/$R620,0)</f>
        <v>0</v>
      </c>
      <c r="I620" s="17">
        <v>9</v>
      </c>
      <c r="J620" s="36">
        <f>IFERROR(I620/$Q620,0)</f>
        <v>0.42857142857142855</v>
      </c>
      <c r="K620" s="17">
        <v>0</v>
      </c>
      <c r="L620" s="36">
        <f>IFERROR(K620/$R620,0)</f>
        <v>0</v>
      </c>
      <c r="M620" s="17">
        <v>10</v>
      </c>
      <c r="N620" s="36">
        <f>IFERROR(M620/$Q620,0)</f>
        <v>0.47619047619047616</v>
      </c>
      <c r="O620" s="17">
        <v>1</v>
      </c>
      <c r="P620" s="36">
        <f>IFERROR(O620/$R620,0)</f>
        <v>1</v>
      </c>
      <c r="Q620" s="17">
        <v>21</v>
      </c>
      <c r="R620" s="17">
        <v>1</v>
      </c>
    </row>
    <row r="621" spans="1:18" ht="15.75" customHeight="1" x14ac:dyDescent="0.25">
      <c r="A621" s="37">
        <v>2020</v>
      </c>
      <c r="B621" s="35">
        <v>171150</v>
      </c>
      <c r="C621" s="34" t="s">
        <v>146</v>
      </c>
      <c r="D621" s="34" t="s">
        <v>68</v>
      </c>
      <c r="E621" s="17">
        <v>14</v>
      </c>
      <c r="F621" s="36">
        <f>IFERROR(E621/$Q621,0)</f>
        <v>0.13725490196078433</v>
      </c>
      <c r="G621" s="17">
        <v>0</v>
      </c>
      <c r="H621" s="36">
        <f>IFERROR(G621/$R621,0)</f>
        <v>0</v>
      </c>
      <c r="I621" s="17">
        <v>47</v>
      </c>
      <c r="J621" s="36">
        <f>IFERROR(I621/$Q621,0)</f>
        <v>0.46078431372549017</v>
      </c>
      <c r="K621" s="17">
        <v>1</v>
      </c>
      <c r="L621" s="36">
        <f>IFERROR(K621/$R621,0)</f>
        <v>1</v>
      </c>
      <c r="M621" s="17">
        <v>41</v>
      </c>
      <c r="N621" s="36">
        <f>IFERROR(M621/$Q621,0)</f>
        <v>0.40196078431372551</v>
      </c>
      <c r="O621" s="17">
        <v>0</v>
      </c>
      <c r="P621" s="36">
        <f>IFERROR(O621/$R621,0)</f>
        <v>0</v>
      </c>
      <c r="Q621" s="17">
        <v>102</v>
      </c>
      <c r="R621" s="17">
        <v>1</v>
      </c>
    </row>
    <row r="622" spans="1:18" ht="15.75" customHeight="1" x14ac:dyDescent="0.25">
      <c r="A622" s="37">
        <v>2020</v>
      </c>
      <c r="B622" s="35">
        <v>171180</v>
      </c>
      <c r="C622" s="34" t="s">
        <v>150</v>
      </c>
      <c r="D622" s="34" t="s">
        <v>69</v>
      </c>
      <c r="E622" s="17">
        <v>1</v>
      </c>
      <c r="F622" s="36">
        <f>IFERROR(E622/$Q622,0)</f>
        <v>0.33333333333333331</v>
      </c>
      <c r="G622" s="17">
        <v>0</v>
      </c>
      <c r="H622" s="36">
        <f>IFERROR(G622/$R622,0)</f>
        <v>0</v>
      </c>
      <c r="I622" s="17">
        <v>2</v>
      </c>
      <c r="J622" s="36">
        <f>IFERROR(I622/$Q622,0)</f>
        <v>0.66666666666666663</v>
      </c>
      <c r="K622" s="17">
        <v>0</v>
      </c>
      <c r="L622" s="36">
        <f>IFERROR(K622/$R622,0)</f>
        <v>0</v>
      </c>
      <c r="M622" s="17">
        <v>0</v>
      </c>
      <c r="N622" s="36">
        <f>IFERROR(M622/$Q622,0)</f>
        <v>0</v>
      </c>
      <c r="O622" s="17">
        <v>0</v>
      </c>
      <c r="P622" s="36">
        <f>IFERROR(O622/$R622,0)</f>
        <v>0</v>
      </c>
      <c r="Q622" s="17">
        <v>3</v>
      </c>
      <c r="R622" s="17">
        <v>0</v>
      </c>
    </row>
    <row r="623" spans="1:18" ht="15.75" customHeight="1" x14ac:dyDescent="0.25">
      <c r="A623" s="37">
        <v>2020</v>
      </c>
      <c r="B623" s="35">
        <v>171190</v>
      </c>
      <c r="C623" s="34" t="s">
        <v>144</v>
      </c>
      <c r="D623" s="34" t="s">
        <v>70</v>
      </c>
      <c r="E623" s="17">
        <v>1</v>
      </c>
      <c r="F623" s="36">
        <f>IFERROR(E623/$Q623,0)</f>
        <v>0.2</v>
      </c>
      <c r="G623" s="17">
        <v>1</v>
      </c>
      <c r="H623" s="36">
        <f>IFERROR(G623/$R623,0)</f>
        <v>0.5</v>
      </c>
      <c r="I623" s="17">
        <v>2</v>
      </c>
      <c r="J623" s="36">
        <f>IFERROR(I623/$Q623,0)</f>
        <v>0.4</v>
      </c>
      <c r="K623" s="17">
        <v>0</v>
      </c>
      <c r="L623" s="36">
        <f>IFERROR(K623/$R623,0)</f>
        <v>0</v>
      </c>
      <c r="M623" s="17">
        <v>2</v>
      </c>
      <c r="N623" s="36">
        <f>IFERROR(M623/$Q623,0)</f>
        <v>0.4</v>
      </c>
      <c r="O623" s="17">
        <v>1</v>
      </c>
      <c r="P623" s="36">
        <f>IFERROR(O623/$R623,0)</f>
        <v>0.5</v>
      </c>
      <c r="Q623" s="17">
        <v>5</v>
      </c>
      <c r="R623" s="17">
        <v>2</v>
      </c>
    </row>
    <row r="624" spans="1:18" ht="15.75" customHeight="1" x14ac:dyDescent="0.25">
      <c r="A624" s="37">
        <v>2020</v>
      </c>
      <c r="B624" s="35">
        <v>171195</v>
      </c>
      <c r="C624" s="34" t="s">
        <v>148</v>
      </c>
      <c r="D624" s="34" t="s">
        <v>71</v>
      </c>
      <c r="E624" s="17">
        <v>15</v>
      </c>
      <c r="F624" s="36">
        <f>IFERROR(E624/$Q624,0)</f>
        <v>0.17241379310344829</v>
      </c>
      <c r="G624" s="17">
        <v>1</v>
      </c>
      <c r="H624" s="36">
        <f>IFERROR(G624/$R624,0)</f>
        <v>0.16666666666666666</v>
      </c>
      <c r="I624" s="17">
        <v>39</v>
      </c>
      <c r="J624" s="36">
        <f>IFERROR(I624/$Q624,0)</f>
        <v>0.44827586206896552</v>
      </c>
      <c r="K624" s="17">
        <v>2</v>
      </c>
      <c r="L624" s="36">
        <f>IFERROR(K624/$R624,0)</f>
        <v>0.33333333333333331</v>
      </c>
      <c r="M624" s="17">
        <v>33</v>
      </c>
      <c r="N624" s="36">
        <f>IFERROR(M624/$Q624,0)</f>
        <v>0.37931034482758619</v>
      </c>
      <c r="O624" s="17">
        <v>3</v>
      </c>
      <c r="P624" s="36">
        <f>IFERROR(O624/$R624,0)</f>
        <v>0.5</v>
      </c>
      <c r="Q624" s="17">
        <v>87</v>
      </c>
      <c r="R624" s="17">
        <v>6</v>
      </c>
    </row>
    <row r="625" spans="1:18" ht="15.75" customHeight="1" x14ac:dyDescent="0.25">
      <c r="A625" s="37">
        <v>2020</v>
      </c>
      <c r="B625" s="35">
        <v>171200</v>
      </c>
      <c r="C625" s="34" t="s">
        <v>148</v>
      </c>
      <c r="D625" s="34" t="s">
        <v>72</v>
      </c>
      <c r="E625" s="17">
        <v>0</v>
      </c>
      <c r="F625" s="36">
        <f>IFERROR(E625/$Q625,0)</f>
        <v>0</v>
      </c>
      <c r="G625" s="17">
        <v>0</v>
      </c>
      <c r="H625" s="36">
        <f>IFERROR(G625/$R625,0)</f>
        <v>0</v>
      </c>
      <c r="I625" s="17">
        <v>2</v>
      </c>
      <c r="J625" s="36">
        <f>IFERROR(I625/$Q625,0)</f>
        <v>0.5</v>
      </c>
      <c r="K625" s="17">
        <v>0</v>
      </c>
      <c r="L625" s="36">
        <f>IFERROR(K625/$R625,0)</f>
        <v>0</v>
      </c>
      <c r="M625" s="17">
        <v>2</v>
      </c>
      <c r="N625" s="36">
        <f>IFERROR(M625/$Q625,0)</f>
        <v>0.5</v>
      </c>
      <c r="O625" s="17">
        <v>0</v>
      </c>
      <c r="P625" s="36">
        <f>IFERROR(O625/$R625,0)</f>
        <v>0</v>
      </c>
      <c r="Q625" s="17">
        <v>4</v>
      </c>
      <c r="R625" s="17">
        <v>0</v>
      </c>
    </row>
    <row r="626" spans="1:18" ht="15.75" customHeight="1" x14ac:dyDescent="0.25">
      <c r="A626" s="37">
        <v>2020</v>
      </c>
      <c r="B626" s="35">
        <v>171215</v>
      </c>
      <c r="C626" s="34" t="s">
        <v>147</v>
      </c>
      <c r="D626" s="34" t="s">
        <v>73</v>
      </c>
      <c r="E626" s="17">
        <v>20</v>
      </c>
      <c r="F626" s="36">
        <f>IFERROR(E626/$Q626,0)</f>
        <v>0.13986013986013987</v>
      </c>
      <c r="G626" s="17">
        <v>1</v>
      </c>
      <c r="H626" s="36">
        <f>IFERROR(G626/$R626,0)</f>
        <v>1</v>
      </c>
      <c r="I626" s="17">
        <v>62</v>
      </c>
      <c r="J626" s="36">
        <f>IFERROR(I626/$Q626,0)</f>
        <v>0.43356643356643354</v>
      </c>
      <c r="K626" s="17">
        <v>0</v>
      </c>
      <c r="L626" s="36">
        <f>IFERROR(K626/$R626,0)</f>
        <v>0</v>
      </c>
      <c r="M626" s="17">
        <v>61</v>
      </c>
      <c r="N626" s="36">
        <f>IFERROR(M626/$Q626,0)</f>
        <v>0.42657342657342656</v>
      </c>
      <c r="O626" s="17">
        <v>0</v>
      </c>
      <c r="P626" s="36">
        <f>IFERROR(O626/$R626,0)</f>
        <v>0</v>
      </c>
      <c r="Q626" s="17">
        <v>143</v>
      </c>
      <c r="R626" s="17">
        <v>1</v>
      </c>
    </row>
    <row r="627" spans="1:18" ht="15.75" customHeight="1" x14ac:dyDescent="0.25">
      <c r="A627" s="37">
        <v>2020</v>
      </c>
      <c r="B627" s="35">
        <v>171240</v>
      </c>
      <c r="C627" s="34" t="s">
        <v>148</v>
      </c>
      <c r="D627" s="34" t="s">
        <v>74</v>
      </c>
      <c r="E627" s="17">
        <v>0</v>
      </c>
      <c r="F627" s="36">
        <f>IFERROR(E627/$Q627,0)</f>
        <v>0</v>
      </c>
      <c r="G627" s="17">
        <v>0</v>
      </c>
      <c r="H627" s="36">
        <f>IFERROR(G627/$R627,0)</f>
        <v>0</v>
      </c>
      <c r="I627" s="17">
        <v>0</v>
      </c>
      <c r="J627" s="36">
        <f>IFERROR(I627/$Q627,0)</f>
        <v>0</v>
      </c>
      <c r="K627" s="17">
        <v>0</v>
      </c>
      <c r="L627" s="36">
        <f>IFERROR(K627/$R627,0)</f>
        <v>0</v>
      </c>
      <c r="M627" s="17">
        <v>0</v>
      </c>
      <c r="N627" s="36">
        <f>IFERROR(M627/$Q627,0)</f>
        <v>0</v>
      </c>
      <c r="O627" s="17">
        <v>0</v>
      </c>
      <c r="P627" s="36">
        <f>IFERROR(O627/$R627,0)</f>
        <v>0</v>
      </c>
      <c r="Q627" s="17">
        <v>0</v>
      </c>
      <c r="R627" s="17">
        <v>0</v>
      </c>
    </row>
    <row r="628" spans="1:18" ht="15.75" customHeight="1" x14ac:dyDescent="0.25">
      <c r="A628" s="37">
        <v>2020</v>
      </c>
      <c r="B628" s="35">
        <v>171245</v>
      </c>
      <c r="C628" s="34" t="s">
        <v>145</v>
      </c>
      <c r="D628" s="34" t="s">
        <v>75</v>
      </c>
      <c r="E628" s="17">
        <v>7</v>
      </c>
      <c r="F628" s="36">
        <f>IFERROR(E628/$Q628,0)</f>
        <v>0.20588235294117646</v>
      </c>
      <c r="G628" s="17">
        <v>0</v>
      </c>
      <c r="H628" s="36">
        <f>IFERROR(G628/$R628,0)</f>
        <v>0</v>
      </c>
      <c r="I628" s="17">
        <v>13</v>
      </c>
      <c r="J628" s="36">
        <f>IFERROR(I628/$Q628,0)</f>
        <v>0.38235294117647056</v>
      </c>
      <c r="K628" s="17">
        <v>1</v>
      </c>
      <c r="L628" s="36">
        <f>IFERROR(K628/$R628,0)</f>
        <v>1</v>
      </c>
      <c r="M628" s="17">
        <v>14</v>
      </c>
      <c r="N628" s="36">
        <f>IFERROR(M628/$Q628,0)</f>
        <v>0.41176470588235292</v>
      </c>
      <c r="O628" s="17">
        <v>0</v>
      </c>
      <c r="P628" s="36">
        <f>IFERROR(O628/$R628,0)</f>
        <v>0</v>
      </c>
      <c r="Q628" s="17">
        <v>34</v>
      </c>
      <c r="R628" s="17">
        <v>1</v>
      </c>
    </row>
    <row r="629" spans="1:18" ht="15.75" customHeight="1" x14ac:dyDescent="0.25">
      <c r="A629" s="37">
        <v>2020</v>
      </c>
      <c r="B629" s="35">
        <v>171250</v>
      </c>
      <c r="C629" s="34" t="s">
        <v>144</v>
      </c>
      <c r="D629" s="34" t="s">
        <v>76</v>
      </c>
      <c r="E629" s="17">
        <v>1</v>
      </c>
      <c r="F629" s="36">
        <f>IFERROR(E629/$Q629,0)</f>
        <v>4.7619047619047616E-2</v>
      </c>
      <c r="G629" s="17">
        <v>1</v>
      </c>
      <c r="H629" s="36">
        <f>IFERROR(G629/$R629,0)</f>
        <v>0.33333333333333331</v>
      </c>
      <c r="I629" s="17">
        <v>7</v>
      </c>
      <c r="J629" s="36">
        <f>IFERROR(I629/$Q629,0)</f>
        <v>0.33333333333333331</v>
      </c>
      <c r="K629" s="17">
        <v>0</v>
      </c>
      <c r="L629" s="36">
        <f>IFERROR(K629/$R629,0)</f>
        <v>0</v>
      </c>
      <c r="M629" s="17">
        <v>13</v>
      </c>
      <c r="N629" s="36">
        <f>IFERROR(M629/$Q629,0)</f>
        <v>0.61904761904761907</v>
      </c>
      <c r="O629" s="17">
        <v>2</v>
      </c>
      <c r="P629" s="36">
        <f>IFERROR(O629/$R629,0)</f>
        <v>0.66666666666666663</v>
      </c>
      <c r="Q629" s="17">
        <v>21</v>
      </c>
      <c r="R629" s="17">
        <v>3</v>
      </c>
    </row>
    <row r="630" spans="1:18" ht="15.75" customHeight="1" x14ac:dyDescent="0.25">
      <c r="A630" s="37">
        <v>2020</v>
      </c>
      <c r="B630" s="35">
        <v>171270</v>
      </c>
      <c r="C630" s="34" t="s">
        <v>151</v>
      </c>
      <c r="D630" s="34" t="s">
        <v>77</v>
      </c>
      <c r="E630" s="17">
        <v>2</v>
      </c>
      <c r="F630" s="36">
        <f>IFERROR(E630/$Q630,0)</f>
        <v>0.22222222222222221</v>
      </c>
      <c r="G630" s="17">
        <v>0</v>
      </c>
      <c r="H630" s="36">
        <f>IFERROR(G630/$R630,0)</f>
        <v>0</v>
      </c>
      <c r="I630" s="17">
        <v>7</v>
      </c>
      <c r="J630" s="36">
        <f>IFERROR(I630/$Q630,0)</f>
        <v>0.77777777777777779</v>
      </c>
      <c r="K630" s="17">
        <v>0</v>
      </c>
      <c r="L630" s="36">
        <f>IFERROR(K630/$R630,0)</f>
        <v>0</v>
      </c>
      <c r="M630" s="17">
        <v>0</v>
      </c>
      <c r="N630" s="36">
        <f>IFERROR(M630/$Q630,0)</f>
        <v>0</v>
      </c>
      <c r="O630" s="17">
        <v>0</v>
      </c>
      <c r="P630" s="36">
        <f>IFERROR(O630/$R630,0)</f>
        <v>0</v>
      </c>
      <c r="Q630" s="17">
        <v>9</v>
      </c>
      <c r="R630" s="17">
        <v>0</v>
      </c>
    </row>
    <row r="631" spans="1:18" ht="15.75" customHeight="1" x14ac:dyDescent="0.25">
      <c r="A631" s="37">
        <v>2020</v>
      </c>
      <c r="B631" s="35">
        <v>171280</v>
      </c>
      <c r="C631" s="34" t="s">
        <v>145</v>
      </c>
      <c r="D631" s="34" t="s">
        <v>78</v>
      </c>
      <c r="E631" s="17">
        <v>28</v>
      </c>
      <c r="F631" s="36">
        <f>IFERROR(E631/$Q631,0)</f>
        <v>0.19178082191780821</v>
      </c>
      <c r="G631" s="17">
        <v>0</v>
      </c>
      <c r="H631" s="36">
        <f>IFERROR(G631/$R631,0)</f>
        <v>0</v>
      </c>
      <c r="I631" s="17">
        <v>63</v>
      </c>
      <c r="J631" s="36">
        <f>IFERROR(I631/$Q631,0)</f>
        <v>0.4315068493150685</v>
      </c>
      <c r="K631" s="17">
        <v>0</v>
      </c>
      <c r="L631" s="36">
        <f>IFERROR(K631/$R631,0)</f>
        <v>0</v>
      </c>
      <c r="M631" s="17">
        <v>55</v>
      </c>
      <c r="N631" s="36">
        <f>IFERROR(M631/$Q631,0)</f>
        <v>0.37671232876712329</v>
      </c>
      <c r="O631" s="17">
        <v>0</v>
      </c>
      <c r="P631" s="36">
        <f>IFERROR(O631/$R631,0)</f>
        <v>0</v>
      </c>
      <c r="Q631" s="17">
        <v>146</v>
      </c>
      <c r="R631" s="17">
        <v>0</v>
      </c>
    </row>
    <row r="632" spans="1:18" ht="15.75" customHeight="1" x14ac:dyDescent="0.25">
      <c r="A632" s="37">
        <v>2020</v>
      </c>
      <c r="B632" s="35">
        <v>171320</v>
      </c>
      <c r="C632" s="34" t="s">
        <v>148</v>
      </c>
      <c r="D632" s="34" t="s">
        <v>79</v>
      </c>
      <c r="E632" s="17">
        <v>166</v>
      </c>
      <c r="F632" s="36">
        <f>IFERROR(E632/$Q632,0)</f>
        <v>0.16583416583416583</v>
      </c>
      <c r="G632" s="17">
        <v>2</v>
      </c>
      <c r="H632" s="36">
        <f>IFERROR(G632/$R632,0)</f>
        <v>0.15384615384615385</v>
      </c>
      <c r="I632" s="17">
        <v>418</v>
      </c>
      <c r="J632" s="36">
        <f>IFERROR(I632/$Q632,0)</f>
        <v>0.4175824175824176</v>
      </c>
      <c r="K632" s="17">
        <v>6</v>
      </c>
      <c r="L632" s="36">
        <f>IFERROR(K632/$R632,0)</f>
        <v>0.46153846153846156</v>
      </c>
      <c r="M632" s="17">
        <v>417</v>
      </c>
      <c r="N632" s="36">
        <f>IFERROR(M632/$Q632,0)</f>
        <v>0.41658341658341658</v>
      </c>
      <c r="O632" s="17">
        <v>5</v>
      </c>
      <c r="P632" s="36">
        <f>IFERROR(O632/$R632,0)</f>
        <v>0.38461538461538464</v>
      </c>
      <c r="Q632" s="16">
        <v>1001</v>
      </c>
      <c r="R632" s="17">
        <v>13</v>
      </c>
    </row>
    <row r="633" spans="1:18" ht="15.75" customHeight="1" x14ac:dyDescent="0.25">
      <c r="A633" s="37">
        <v>2020</v>
      </c>
      <c r="B633" s="35">
        <v>171330</v>
      </c>
      <c r="C633" s="34" t="s">
        <v>148</v>
      </c>
      <c r="D633" s="34" t="s">
        <v>80</v>
      </c>
      <c r="E633" s="17">
        <v>13</v>
      </c>
      <c r="F633" s="36">
        <f>IFERROR(E633/$Q633,0)</f>
        <v>0.10483870967741936</v>
      </c>
      <c r="G633" s="17">
        <v>0</v>
      </c>
      <c r="H633" s="36">
        <f>IFERROR(G633/$R633,0)</f>
        <v>0</v>
      </c>
      <c r="I633" s="17">
        <v>48</v>
      </c>
      <c r="J633" s="36">
        <f>IFERROR(I633/$Q633,0)</f>
        <v>0.38709677419354838</v>
      </c>
      <c r="K633" s="17">
        <v>3</v>
      </c>
      <c r="L633" s="36">
        <f>IFERROR(K633/$R633,0)</f>
        <v>0.6</v>
      </c>
      <c r="M633" s="17">
        <v>63</v>
      </c>
      <c r="N633" s="36">
        <f>IFERROR(M633/$Q633,0)</f>
        <v>0.50806451612903225</v>
      </c>
      <c r="O633" s="17">
        <v>2</v>
      </c>
      <c r="P633" s="36">
        <f>IFERROR(O633/$R633,0)</f>
        <v>0.4</v>
      </c>
      <c r="Q633" s="17">
        <v>124</v>
      </c>
      <c r="R633" s="17">
        <v>5</v>
      </c>
    </row>
    <row r="634" spans="1:18" ht="15.75" customHeight="1" x14ac:dyDescent="0.25">
      <c r="A634" s="37">
        <v>2020</v>
      </c>
      <c r="B634" s="35">
        <v>171360</v>
      </c>
      <c r="C634" s="34" t="s">
        <v>151</v>
      </c>
      <c r="D634" s="34" t="s">
        <v>81</v>
      </c>
      <c r="E634" s="17">
        <v>6</v>
      </c>
      <c r="F634" s="36">
        <f>IFERROR(E634/$Q634,0)</f>
        <v>0.1111111111111111</v>
      </c>
      <c r="G634" s="17">
        <v>0</v>
      </c>
      <c r="H634" s="36">
        <f>IFERROR(G634/$R634,0)</f>
        <v>0</v>
      </c>
      <c r="I634" s="17">
        <v>16</v>
      </c>
      <c r="J634" s="36">
        <f>IFERROR(I634/$Q634,0)</f>
        <v>0.29629629629629628</v>
      </c>
      <c r="K634" s="17">
        <v>0</v>
      </c>
      <c r="L634" s="36">
        <f>IFERROR(K634/$R634,0)</f>
        <v>0</v>
      </c>
      <c r="M634" s="17">
        <v>32</v>
      </c>
      <c r="N634" s="36">
        <f>IFERROR(M634/$Q634,0)</f>
        <v>0.59259259259259256</v>
      </c>
      <c r="O634" s="17">
        <v>0</v>
      </c>
      <c r="P634" s="36">
        <f>IFERROR(O634/$R634,0)</f>
        <v>0</v>
      </c>
      <c r="Q634" s="17">
        <v>54</v>
      </c>
      <c r="R634" s="17">
        <v>0</v>
      </c>
    </row>
    <row r="635" spans="1:18" ht="15.75" customHeight="1" x14ac:dyDescent="0.25">
      <c r="A635" s="37">
        <v>2020</v>
      </c>
      <c r="B635" s="35">
        <v>171370</v>
      </c>
      <c r="C635" s="34" t="s">
        <v>144</v>
      </c>
      <c r="D635" s="34" t="s">
        <v>82</v>
      </c>
      <c r="E635" s="17">
        <v>16</v>
      </c>
      <c r="F635" s="36">
        <f>IFERROR(E635/$Q635,0)</f>
        <v>0.14414414414414414</v>
      </c>
      <c r="G635" s="17">
        <v>0</v>
      </c>
      <c r="H635" s="36">
        <f>IFERROR(G635/$R635,0)</f>
        <v>0</v>
      </c>
      <c r="I635" s="17">
        <v>44</v>
      </c>
      <c r="J635" s="36">
        <f>IFERROR(I635/$Q635,0)</f>
        <v>0.3963963963963964</v>
      </c>
      <c r="K635" s="17">
        <v>0</v>
      </c>
      <c r="L635" s="36">
        <f>IFERROR(K635/$R635,0)</f>
        <v>0</v>
      </c>
      <c r="M635" s="17">
        <v>51</v>
      </c>
      <c r="N635" s="36">
        <f>IFERROR(M635/$Q635,0)</f>
        <v>0.45945945945945948</v>
      </c>
      <c r="O635" s="17">
        <v>3</v>
      </c>
      <c r="P635" s="36">
        <f>IFERROR(O635/$R635,0)</f>
        <v>1</v>
      </c>
      <c r="Q635" s="17">
        <v>111</v>
      </c>
      <c r="R635" s="17">
        <v>3</v>
      </c>
    </row>
    <row r="636" spans="1:18" ht="15.75" customHeight="1" x14ac:dyDescent="0.25">
      <c r="A636" s="37">
        <v>2020</v>
      </c>
      <c r="B636" s="35">
        <v>171395</v>
      </c>
      <c r="C636" s="34" t="s">
        <v>149</v>
      </c>
      <c r="D636" s="34" t="s">
        <v>83</v>
      </c>
      <c r="E636" s="17">
        <v>11</v>
      </c>
      <c r="F636" s="36">
        <f>IFERROR(E636/$Q636,0)</f>
        <v>0.10576923076923077</v>
      </c>
      <c r="G636" s="17">
        <v>1</v>
      </c>
      <c r="H636" s="36">
        <f>IFERROR(G636/$R636,0)</f>
        <v>0.16666666666666666</v>
      </c>
      <c r="I636" s="17">
        <v>52</v>
      </c>
      <c r="J636" s="36">
        <f>IFERROR(I636/$Q636,0)</f>
        <v>0.5</v>
      </c>
      <c r="K636" s="17">
        <v>4</v>
      </c>
      <c r="L636" s="36">
        <f>IFERROR(K636/$R636,0)</f>
        <v>0.66666666666666663</v>
      </c>
      <c r="M636" s="17">
        <v>41</v>
      </c>
      <c r="N636" s="36">
        <f>IFERROR(M636/$Q636,0)</f>
        <v>0.39423076923076922</v>
      </c>
      <c r="O636" s="17">
        <v>1</v>
      </c>
      <c r="P636" s="36">
        <f>IFERROR(O636/$R636,0)</f>
        <v>0.16666666666666666</v>
      </c>
      <c r="Q636" s="17">
        <v>104</v>
      </c>
      <c r="R636" s="17">
        <v>6</v>
      </c>
    </row>
    <row r="637" spans="1:18" ht="15.75" customHeight="1" x14ac:dyDescent="0.25">
      <c r="A637" s="37">
        <v>2020</v>
      </c>
      <c r="B637" s="35">
        <v>171420</v>
      </c>
      <c r="C637" s="34" t="s">
        <v>151</v>
      </c>
      <c r="D637" s="34" t="s">
        <v>84</v>
      </c>
      <c r="E637" s="17">
        <v>78</v>
      </c>
      <c r="F637" s="36">
        <f>IFERROR(E637/$Q637,0)</f>
        <v>0.20365535248041775</v>
      </c>
      <c r="G637" s="17">
        <v>0</v>
      </c>
      <c r="H637" s="36">
        <f>IFERROR(G637/$R637,0)</f>
        <v>0</v>
      </c>
      <c r="I637" s="17">
        <v>154</v>
      </c>
      <c r="J637" s="36">
        <f>IFERROR(I637/$Q637,0)</f>
        <v>0.40208877284595301</v>
      </c>
      <c r="K637" s="17">
        <v>0</v>
      </c>
      <c r="L637" s="36">
        <f>IFERROR(K637/$R637,0)</f>
        <v>0</v>
      </c>
      <c r="M637" s="17">
        <v>151</v>
      </c>
      <c r="N637" s="36">
        <f>IFERROR(M637/$Q637,0)</f>
        <v>0.39425587467362927</v>
      </c>
      <c r="O637" s="17">
        <v>0</v>
      </c>
      <c r="P637" s="36">
        <f>IFERROR(O637/$R637,0)</f>
        <v>0</v>
      </c>
      <c r="Q637" s="17">
        <v>383</v>
      </c>
      <c r="R637" s="17">
        <v>0</v>
      </c>
    </row>
    <row r="638" spans="1:18" ht="15.75" customHeight="1" x14ac:dyDescent="0.25">
      <c r="A638" s="37">
        <v>2020</v>
      </c>
      <c r="B638" s="35">
        <v>171430</v>
      </c>
      <c r="C638" s="34" t="s">
        <v>145</v>
      </c>
      <c r="D638" s="34" t="s">
        <v>85</v>
      </c>
      <c r="E638" s="17">
        <v>1</v>
      </c>
      <c r="F638" s="36">
        <f>IFERROR(E638/$Q638,0)</f>
        <v>5.5555555555555552E-2</v>
      </c>
      <c r="G638" s="17">
        <v>0</v>
      </c>
      <c r="H638" s="36">
        <f>IFERROR(G638/$R638,0)</f>
        <v>0</v>
      </c>
      <c r="I638" s="17">
        <v>10</v>
      </c>
      <c r="J638" s="36">
        <f>IFERROR(I638/$Q638,0)</f>
        <v>0.55555555555555558</v>
      </c>
      <c r="K638" s="17">
        <v>3</v>
      </c>
      <c r="L638" s="36">
        <f>IFERROR(K638/$R638,0)</f>
        <v>1</v>
      </c>
      <c r="M638" s="17">
        <v>7</v>
      </c>
      <c r="N638" s="36">
        <f>IFERROR(M638/$Q638,0)</f>
        <v>0.3888888888888889</v>
      </c>
      <c r="O638" s="17">
        <v>0</v>
      </c>
      <c r="P638" s="36">
        <f>IFERROR(O638/$R638,0)</f>
        <v>0</v>
      </c>
      <c r="Q638" s="17">
        <v>18</v>
      </c>
      <c r="R638" s="17">
        <v>3</v>
      </c>
    </row>
    <row r="639" spans="1:18" ht="15.75" customHeight="1" x14ac:dyDescent="0.25">
      <c r="A639" s="37">
        <v>2020</v>
      </c>
      <c r="B639" s="35">
        <v>171488</v>
      </c>
      <c r="C639" s="34" t="s">
        <v>149</v>
      </c>
      <c r="D639" s="34" t="s">
        <v>86</v>
      </c>
      <c r="E639" s="17">
        <v>7</v>
      </c>
      <c r="F639" s="36">
        <f>IFERROR(E639/$Q639,0)</f>
        <v>0.13461538461538461</v>
      </c>
      <c r="G639" s="17">
        <v>1</v>
      </c>
      <c r="H639" s="36">
        <f>IFERROR(G639/$R639,0)</f>
        <v>0.5</v>
      </c>
      <c r="I639" s="17">
        <v>22</v>
      </c>
      <c r="J639" s="36">
        <f>IFERROR(I639/$Q639,0)</f>
        <v>0.42307692307692307</v>
      </c>
      <c r="K639" s="17">
        <v>0</v>
      </c>
      <c r="L639" s="36">
        <f>IFERROR(K639/$R639,0)</f>
        <v>0</v>
      </c>
      <c r="M639" s="17">
        <v>23</v>
      </c>
      <c r="N639" s="36">
        <f>IFERROR(M639/$Q639,0)</f>
        <v>0.44230769230769229</v>
      </c>
      <c r="O639" s="17">
        <v>1</v>
      </c>
      <c r="P639" s="36">
        <f>IFERROR(O639/$R639,0)</f>
        <v>0.5</v>
      </c>
      <c r="Q639" s="17">
        <v>52</v>
      </c>
      <c r="R639" s="17">
        <v>2</v>
      </c>
    </row>
    <row r="640" spans="1:18" ht="15.75" customHeight="1" x14ac:dyDescent="0.25">
      <c r="A640" s="37">
        <v>2020</v>
      </c>
      <c r="B640" s="35">
        <v>171500</v>
      </c>
      <c r="C640" s="34" t="s">
        <v>144</v>
      </c>
      <c r="D640" s="34" t="s">
        <v>87</v>
      </c>
      <c r="E640" s="17">
        <v>11</v>
      </c>
      <c r="F640" s="36">
        <f>IFERROR(E640/$Q640,0)</f>
        <v>0.22</v>
      </c>
      <c r="G640" s="17">
        <v>1</v>
      </c>
      <c r="H640" s="36">
        <f>IFERROR(G640/$R640,0)</f>
        <v>1</v>
      </c>
      <c r="I640" s="17">
        <v>21</v>
      </c>
      <c r="J640" s="36">
        <f>IFERROR(I640/$Q640,0)</f>
        <v>0.42</v>
      </c>
      <c r="K640" s="17">
        <v>0</v>
      </c>
      <c r="L640" s="36">
        <f>IFERROR(K640/$R640,0)</f>
        <v>0</v>
      </c>
      <c r="M640" s="17">
        <v>18</v>
      </c>
      <c r="N640" s="36">
        <f>IFERROR(M640/$Q640,0)</f>
        <v>0.36</v>
      </c>
      <c r="O640" s="17">
        <v>0</v>
      </c>
      <c r="P640" s="36">
        <f>IFERROR(O640/$R640,0)</f>
        <v>0</v>
      </c>
      <c r="Q640" s="17">
        <v>50</v>
      </c>
      <c r="R640" s="17">
        <v>1</v>
      </c>
    </row>
    <row r="641" spans="1:18" ht="15.75" customHeight="1" x14ac:dyDescent="0.25">
      <c r="A641" s="37">
        <v>2020</v>
      </c>
      <c r="B641" s="35">
        <v>171510</v>
      </c>
      <c r="C641" s="34" t="s">
        <v>148</v>
      </c>
      <c r="D641" s="34" t="s">
        <v>88</v>
      </c>
      <c r="E641" s="17">
        <v>2</v>
      </c>
      <c r="F641" s="36">
        <f>IFERROR(E641/$Q641,0)</f>
        <v>0.25</v>
      </c>
      <c r="G641" s="17">
        <v>0</v>
      </c>
      <c r="H641" s="36">
        <f>IFERROR(G641/$R641,0)</f>
        <v>0</v>
      </c>
      <c r="I641" s="17">
        <v>4</v>
      </c>
      <c r="J641" s="36">
        <f>IFERROR(I641/$Q641,0)</f>
        <v>0.5</v>
      </c>
      <c r="K641" s="17">
        <v>0</v>
      </c>
      <c r="L641" s="36">
        <f>IFERROR(K641/$R641,0)</f>
        <v>0</v>
      </c>
      <c r="M641" s="17">
        <v>2</v>
      </c>
      <c r="N641" s="36">
        <f>IFERROR(M641/$Q641,0)</f>
        <v>0.25</v>
      </c>
      <c r="O641" s="17">
        <v>0</v>
      </c>
      <c r="P641" s="36">
        <f>IFERROR(O641/$R641,0)</f>
        <v>0</v>
      </c>
      <c r="Q641" s="17">
        <v>8</v>
      </c>
      <c r="R641" s="17">
        <v>0</v>
      </c>
    </row>
    <row r="642" spans="1:18" ht="15.75" customHeight="1" x14ac:dyDescent="0.25">
      <c r="A642" s="37">
        <v>2020</v>
      </c>
      <c r="B642" s="35">
        <v>171515</v>
      </c>
      <c r="C642" s="34" t="s">
        <v>147</v>
      </c>
      <c r="D642" s="34" t="s">
        <v>89</v>
      </c>
      <c r="E642" s="17">
        <v>28</v>
      </c>
      <c r="F642" s="36">
        <f>IFERROR(E642/$Q642,0)</f>
        <v>0.18543046357615894</v>
      </c>
      <c r="G642" s="17">
        <v>0</v>
      </c>
      <c r="H642" s="36">
        <f>IFERROR(G642/$R642,0)</f>
        <v>0</v>
      </c>
      <c r="I642" s="17">
        <v>65</v>
      </c>
      <c r="J642" s="36">
        <f>IFERROR(I642/$Q642,0)</f>
        <v>0.43046357615894038</v>
      </c>
      <c r="K642" s="17">
        <v>0</v>
      </c>
      <c r="L642" s="36">
        <f>IFERROR(K642/$R642,0)</f>
        <v>0</v>
      </c>
      <c r="M642" s="17">
        <v>58</v>
      </c>
      <c r="N642" s="36">
        <f>IFERROR(M642/$Q642,0)</f>
        <v>0.38410596026490068</v>
      </c>
      <c r="O642" s="17">
        <v>0</v>
      </c>
      <c r="P642" s="36">
        <f>IFERROR(O642/$R642,0)</f>
        <v>0</v>
      </c>
      <c r="Q642" s="17">
        <v>151</v>
      </c>
      <c r="R642" s="17">
        <v>0</v>
      </c>
    </row>
    <row r="643" spans="1:18" ht="15.75" customHeight="1" x14ac:dyDescent="0.25">
      <c r="A643" s="37">
        <v>2020</v>
      </c>
      <c r="B643" s="35">
        <v>171525</v>
      </c>
      <c r="C643" s="34" t="s">
        <v>147</v>
      </c>
      <c r="D643" s="34" t="s">
        <v>90</v>
      </c>
      <c r="E643" s="17">
        <v>0</v>
      </c>
      <c r="F643" s="36">
        <f>IFERROR(E643/$Q643,0)</f>
        <v>0</v>
      </c>
      <c r="G643" s="17">
        <v>0</v>
      </c>
      <c r="H643" s="36">
        <f>IFERROR(G643/$R643,0)</f>
        <v>0</v>
      </c>
      <c r="I643" s="17">
        <v>0</v>
      </c>
      <c r="J643" s="36">
        <f>IFERROR(I643/$Q643,0)</f>
        <v>0</v>
      </c>
      <c r="K643" s="17">
        <v>0</v>
      </c>
      <c r="L643" s="36">
        <f>IFERROR(K643/$R643,0)</f>
        <v>0</v>
      </c>
      <c r="M643" s="17">
        <v>0</v>
      </c>
      <c r="N643" s="36">
        <f>IFERROR(M643/$Q643,0)</f>
        <v>0</v>
      </c>
      <c r="O643" s="17">
        <v>0</v>
      </c>
      <c r="P643" s="36">
        <f>IFERROR(O643/$R643,0)</f>
        <v>0</v>
      </c>
      <c r="Q643" s="17">
        <v>0</v>
      </c>
      <c r="R643" s="17">
        <v>0</v>
      </c>
    </row>
    <row r="644" spans="1:18" ht="15.75" customHeight="1" x14ac:dyDescent="0.25">
      <c r="A644" s="37">
        <v>2020</v>
      </c>
      <c r="B644" s="35">
        <v>171550</v>
      </c>
      <c r="C644" s="34" t="s">
        <v>151</v>
      </c>
      <c r="D644" s="34" t="s">
        <v>91</v>
      </c>
      <c r="E644" s="17">
        <v>0</v>
      </c>
      <c r="F644" s="36">
        <f>IFERROR(E644/$Q644,0)</f>
        <v>0</v>
      </c>
      <c r="G644" s="17">
        <v>0</v>
      </c>
      <c r="H644" s="36">
        <f>IFERROR(G644/$R644,0)</f>
        <v>0</v>
      </c>
      <c r="I644" s="17">
        <v>0</v>
      </c>
      <c r="J644" s="36">
        <f>IFERROR(I644/$Q644,0)</f>
        <v>0</v>
      </c>
      <c r="K644" s="17">
        <v>0</v>
      </c>
      <c r="L644" s="36">
        <f>IFERROR(K644/$R644,0)</f>
        <v>0</v>
      </c>
      <c r="M644" s="17">
        <v>0</v>
      </c>
      <c r="N644" s="36">
        <f>IFERROR(M644/$Q644,0)</f>
        <v>0</v>
      </c>
      <c r="O644" s="17">
        <v>0</v>
      </c>
      <c r="P644" s="36">
        <f>IFERROR(O644/$R644,0)</f>
        <v>0</v>
      </c>
      <c r="Q644" s="17">
        <v>0</v>
      </c>
      <c r="R644" s="17">
        <v>0</v>
      </c>
    </row>
    <row r="645" spans="1:18" ht="15.75" customHeight="1" x14ac:dyDescent="0.25">
      <c r="A645" s="37">
        <v>2020</v>
      </c>
      <c r="B645" s="35">
        <v>172100</v>
      </c>
      <c r="C645" s="34" t="s">
        <v>148</v>
      </c>
      <c r="D645" s="34" t="s">
        <v>92</v>
      </c>
      <c r="E645" s="17">
        <v>202</v>
      </c>
      <c r="F645" s="36">
        <f>IFERROR(E645/$Q645,0)</f>
        <v>0.10819496518478842</v>
      </c>
      <c r="G645" s="17">
        <v>13</v>
      </c>
      <c r="H645" s="36">
        <f>IFERROR(G645/$R645,0)</f>
        <v>0.17567567567567569</v>
      </c>
      <c r="I645" s="17">
        <v>703</v>
      </c>
      <c r="J645" s="36">
        <f>IFERROR(I645/$Q645,0)</f>
        <v>0.37653990358864486</v>
      </c>
      <c r="K645" s="17">
        <v>29</v>
      </c>
      <c r="L645" s="36">
        <f>IFERROR(K645/$R645,0)</f>
        <v>0.39189189189189189</v>
      </c>
      <c r="M645" s="17">
        <v>962</v>
      </c>
      <c r="N645" s="36">
        <f>IFERROR(M645/$Q645,0)</f>
        <v>0.5152651312265667</v>
      </c>
      <c r="O645" s="17">
        <v>32</v>
      </c>
      <c r="P645" s="36">
        <f>IFERROR(O645/$R645,0)</f>
        <v>0.43243243243243246</v>
      </c>
      <c r="Q645" s="16">
        <v>1867</v>
      </c>
      <c r="R645" s="17">
        <v>74</v>
      </c>
    </row>
    <row r="646" spans="1:18" ht="15.75" customHeight="1" x14ac:dyDescent="0.25">
      <c r="A646" s="37">
        <v>2020</v>
      </c>
      <c r="B646" s="35">
        <v>171570</v>
      </c>
      <c r="C646" s="34" t="s">
        <v>150</v>
      </c>
      <c r="D646" s="34" t="s">
        <v>93</v>
      </c>
      <c r="E646" s="17">
        <v>17</v>
      </c>
      <c r="F646" s="36">
        <f>IFERROR(E646/$Q646,0)</f>
        <v>0.32075471698113206</v>
      </c>
      <c r="G646" s="17">
        <v>0</v>
      </c>
      <c r="H646" s="36">
        <f>IFERROR(G646/$R646,0)</f>
        <v>0</v>
      </c>
      <c r="I646" s="17">
        <v>16</v>
      </c>
      <c r="J646" s="36">
        <f>IFERROR(I646/$Q646,0)</f>
        <v>0.30188679245283018</v>
      </c>
      <c r="K646" s="17">
        <v>0</v>
      </c>
      <c r="L646" s="36">
        <f>IFERROR(K646/$R646,0)</f>
        <v>0</v>
      </c>
      <c r="M646" s="17">
        <v>20</v>
      </c>
      <c r="N646" s="36">
        <f>IFERROR(M646/$Q646,0)</f>
        <v>0.37735849056603776</v>
      </c>
      <c r="O646" s="17">
        <v>1</v>
      </c>
      <c r="P646" s="36">
        <f>IFERROR(O646/$R646,0)</f>
        <v>1</v>
      </c>
      <c r="Q646" s="17">
        <v>53</v>
      </c>
      <c r="R646" s="17">
        <v>1</v>
      </c>
    </row>
    <row r="647" spans="1:18" ht="15.75" customHeight="1" x14ac:dyDescent="0.25">
      <c r="A647" s="37">
        <v>2020</v>
      </c>
      <c r="B647" s="35">
        <v>171380</v>
      </c>
      <c r="C647" s="34" t="s">
        <v>145</v>
      </c>
      <c r="D647" s="34" t="s">
        <v>94</v>
      </c>
      <c r="E647" s="17">
        <v>0</v>
      </c>
      <c r="F647" s="36">
        <f>IFERROR(E647/$Q647,0)</f>
        <v>0</v>
      </c>
      <c r="G647" s="17">
        <v>0</v>
      </c>
      <c r="H647" s="36">
        <f>IFERROR(G647/$R647,0)</f>
        <v>0</v>
      </c>
      <c r="I647" s="17">
        <v>1</v>
      </c>
      <c r="J647" s="36">
        <f>IFERROR(I647/$Q647,0)</f>
        <v>0.33333333333333331</v>
      </c>
      <c r="K647" s="17">
        <v>1</v>
      </c>
      <c r="L647" s="36">
        <f>IFERROR(K647/$R647,0)</f>
        <v>0.33333333333333331</v>
      </c>
      <c r="M647" s="17">
        <v>2</v>
      </c>
      <c r="N647" s="36">
        <f>IFERROR(M647/$Q647,0)</f>
        <v>0.66666666666666663</v>
      </c>
      <c r="O647" s="17">
        <v>2</v>
      </c>
      <c r="P647" s="36">
        <f>IFERROR(O647/$R647,0)</f>
        <v>0.66666666666666663</v>
      </c>
      <c r="Q647" s="17">
        <v>3</v>
      </c>
      <c r="R647" s="17">
        <v>3</v>
      </c>
    </row>
    <row r="648" spans="1:18" ht="15.75" customHeight="1" x14ac:dyDescent="0.25">
      <c r="A648" s="37">
        <v>2020</v>
      </c>
      <c r="B648" s="35">
        <v>171575</v>
      </c>
      <c r="C648" s="34" t="s">
        <v>146</v>
      </c>
      <c r="D648" s="34" t="s">
        <v>95</v>
      </c>
      <c r="E648" s="17">
        <v>3</v>
      </c>
      <c r="F648" s="36">
        <f>IFERROR(E648/$Q648,0)</f>
        <v>9.0909090909090912E-2</v>
      </c>
      <c r="G648" s="17">
        <v>0</v>
      </c>
      <c r="H648" s="36">
        <f>IFERROR(G648/$R648,0)</f>
        <v>0</v>
      </c>
      <c r="I648" s="17">
        <v>11</v>
      </c>
      <c r="J648" s="36">
        <f>IFERROR(I648/$Q648,0)</f>
        <v>0.33333333333333331</v>
      </c>
      <c r="K648" s="17">
        <v>1</v>
      </c>
      <c r="L648" s="36">
        <f>IFERROR(K648/$R648,0)</f>
        <v>1</v>
      </c>
      <c r="M648" s="17">
        <v>19</v>
      </c>
      <c r="N648" s="36">
        <f>IFERROR(M648/$Q648,0)</f>
        <v>0.5757575757575758</v>
      </c>
      <c r="O648" s="17">
        <v>0</v>
      </c>
      <c r="P648" s="36">
        <f>IFERROR(O648/$R648,0)</f>
        <v>0</v>
      </c>
      <c r="Q648" s="17">
        <v>33</v>
      </c>
      <c r="R648" s="17">
        <v>1</v>
      </c>
    </row>
    <row r="649" spans="1:18" ht="15.75" customHeight="1" x14ac:dyDescent="0.25">
      <c r="A649" s="37">
        <v>2020</v>
      </c>
      <c r="B649" s="35">
        <v>171610</v>
      </c>
      <c r="C649" s="34" t="s">
        <v>144</v>
      </c>
      <c r="D649" s="34" t="s">
        <v>96</v>
      </c>
      <c r="E649" s="17">
        <v>37</v>
      </c>
      <c r="F649" s="36">
        <f>IFERROR(E649/$Q649,0)</f>
        <v>0.13602941176470587</v>
      </c>
      <c r="G649" s="17">
        <v>1</v>
      </c>
      <c r="H649" s="36">
        <f>IFERROR(G649/$R649,0)</f>
        <v>0.14285714285714285</v>
      </c>
      <c r="I649" s="17">
        <v>112</v>
      </c>
      <c r="J649" s="36">
        <f>IFERROR(I649/$Q649,0)</f>
        <v>0.41176470588235292</v>
      </c>
      <c r="K649" s="17">
        <v>2</v>
      </c>
      <c r="L649" s="36">
        <f>IFERROR(K649/$R649,0)</f>
        <v>0.2857142857142857</v>
      </c>
      <c r="M649" s="17">
        <v>123</v>
      </c>
      <c r="N649" s="36">
        <f>IFERROR(M649/$Q649,0)</f>
        <v>0.45220588235294118</v>
      </c>
      <c r="O649" s="17">
        <v>4</v>
      </c>
      <c r="P649" s="36">
        <f>IFERROR(O649/$R649,0)</f>
        <v>0.5714285714285714</v>
      </c>
      <c r="Q649" s="17">
        <v>272</v>
      </c>
      <c r="R649" s="17">
        <v>7</v>
      </c>
    </row>
    <row r="650" spans="1:18" ht="15.75" customHeight="1" x14ac:dyDescent="0.25">
      <c r="A650" s="37">
        <v>2020</v>
      </c>
      <c r="B650" s="35">
        <v>171620</v>
      </c>
      <c r="C650" s="34" t="s">
        <v>147</v>
      </c>
      <c r="D650" s="34" t="s">
        <v>97</v>
      </c>
      <c r="E650" s="17">
        <v>58</v>
      </c>
      <c r="F650" s="36">
        <f>IFERROR(E650/$Q650,0)</f>
        <v>0.24786324786324787</v>
      </c>
      <c r="G650" s="17">
        <v>1</v>
      </c>
      <c r="H650" s="36">
        <f>IFERROR(G650/$R650,0)</f>
        <v>0.14285714285714285</v>
      </c>
      <c r="I650" s="17">
        <v>114</v>
      </c>
      <c r="J650" s="36">
        <f>IFERROR(I650/$Q650,0)</f>
        <v>0.48717948717948717</v>
      </c>
      <c r="K650" s="17">
        <v>1</v>
      </c>
      <c r="L650" s="36">
        <f>IFERROR(K650/$R650,0)</f>
        <v>0.14285714285714285</v>
      </c>
      <c r="M650" s="17">
        <v>62</v>
      </c>
      <c r="N650" s="36">
        <f>IFERROR(M650/$Q650,0)</f>
        <v>0.26495726495726496</v>
      </c>
      <c r="O650" s="17">
        <v>5</v>
      </c>
      <c r="P650" s="36">
        <f>IFERROR(O650/$R650,0)</f>
        <v>0.7142857142857143</v>
      </c>
      <c r="Q650" s="17">
        <v>234</v>
      </c>
      <c r="R650" s="17">
        <v>7</v>
      </c>
    </row>
    <row r="651" spans="1:18" ht="15.75" customHeight="1" x14ac:dyDescent="0.25">
      <c r="A651" s="37">
        <v>2020</v>
      </c>
      <c r="B651" s="35">
        <v>171630</v>
      </c>
      <c r="C651" s="34" t="s">
        <v>149</v>
      </c>
      <c r="D651" s="34" t="s">
        <v>98</v>
      </c>
      <c r="E651" s="17">
        <v>8</v>
      </c>
      <c r="F651" s="36">
        <f>IFERROR(E651/$Q651,0)</f>
        <v>0.16</v>
      </c>
      <c r="G651" s="17">
        <v>0</v>
      </c>
      <c r="H651" s="36">
        <f>IFERROR(G651/$R651,0)</f>
        <v>0</v>
      </c>
      <c r="I651" s="17">
        <v>22</v>
      </c>
      <c r="J651" s="36">
        <f>IFERROR(I651/$Q651,0)</f>
        <v>0.44</v>
      </c>
      <c r="K651" s="17">
        <v>1</v>
      </c>
      <c r="L651" s="36">
        <f>IFERROR(K651/$R651,0)</f>
        <v>0.5</v>
      </c>
      <c r="M651" s="17">
        <v>20</v>
      </c>
      <c r="N651" s="36">
        <f>IFERROR(M651/$Q651,0)</f>
        <v>0.4</v>
      </c>
      <c r="O651" s="17">
        <v>1</v>
      </c>
      <c r="P651" s="36">
        <f>IFERROR(O651/$R651,0)</f>
        <v>0.5</v>
      </c>
      <c r="Q651" s="17">
        <v>50</v>
      </c>
      <c r="R651" s="17">
        <v>2</v>
      </c>
    </row>
    <row r="652" spans="1:18" ht="15.75" customHeight="1" x14ac:dyDescent="0.25">
      <c r="A652" s="37">
        <v>2020</v>
      </c>
      <c r="B652" s="35">
        <v>171650</v>
      </c>
      <c r="C652" s="34" t="s">
        <v>150</v>
      </c>
      <c r="D652" s="34" t="s">
        <v>99</v>
      </c>
      <c r="E652" s="17">
        <v>11</v>
      </c>
      <c r="F652" s="36">
        <f>IFERROR(E652/$Q652,0)</f>
        <v>0.14473684210526316</v>
      </c>
      <c r="G652" s="17">
        <v>0</v>
      </c>
      <c r="H652" s="36">
        <f>IFERROR(G652/$R652,0)</f>
        <v>0</v>
      </c>
      <c r="I652" s="17">
        <v>34</v>
      </c>
      <c r="J652" s="36">
        <f>IFERROR(I652/$Q652,0)</f>
        <v>0.44736842105263158</v>
      </c>
      <c r="K652" s="17">
        <v>1</v>
      </c>
      <c r="L652" s="36">
        <f>IFERROR(K652/$R652,0)</f>
        <v>0.33333333333333331</v>
      </c>
      <c r="M652" s="17">
        <v>31</v>
      </c>
      <c r="N652" s="36">
        <f>IFERROR(M652/$Q652,0)</f>
        <v>0.40789473684210525</v>
      </c>
      <c r="O652" s="17">
        <v>2</v>
      </c>
      <c r="P652" s="36">
        <f>IFERROR(O652/$R652,0)</f>
        <v>0.66666666666666663</v>
      </c>
      <c r="Q652" s="17">
        <v>76</v>
      </c>
      <c r="R652" s="17">
        <v>3</v>
      </c>
    </row>
    <row r="653" spans="1:18" ht="15.75" customHeight="1" x14ac:dyDescent="0.25">
      <c r="A653" s="37">
        <v>2020</v>
      </c>
      <c r="B653" s="35">
        <v>171660</v>
      </c>
      <c r="C653" s="34" t="s">
        <v>146</v>
      </c>
      <c r="D653" s="34" t="s">
        <v>100</v>
      </c>
      <c r="E653" s="17">
        <v>97</v>
      </c>
      <c r="F653" s="36">
        <f>IFERROR(E653/$Q653,0)</f>
        <v>0.15772357723577235</v>
      </c>
      <c r="G653" s="17">
        <v>0</v>
      </c>
      <c r="H653" s="36">
        <f>IFERROR(G653/$R653,0)</f>
        <v>0</v>
      </c>
      <c r="I653" s="17">
        <v>247</v>
      </c>
      <c r="J653" s="36">
        <f>IFERROR(I653/$Q653,0)</f>
        <v>0.40162601626016259</v>
      </c>
      <c r="K653" s="17">
        <v>3</v>
      </c>
      <c r="L653" s="36">
        <f>IFERROR(K653/$R653,0)</f>
        <v>0.6</v>
      </c>
      <c r="M653" s="17">
        <v>271</v>
      </c>
      <c r="N653" s="36">
        <f>IFERROR(M653/$Q653,0)</f>
        <v>0.44065040650406506</v>
      </c>
      <c r="O653" s="17">
        <v>2</v>
      </c>
      <c r="P653" s="36">
        <f>IFERROR(O653/$R653,0)</f>
        <v>0.4</v>
      </c>
      <c r="Q653" s="17">
        <v>615</v>
      </c>
      <c r="R653" s="17">
        <v>5</v>
      </c>
    </row>
    <row r="654" spans="1:18" ht="15.75" customHeight="1" x14ac:dyDescent="0.25">
      <c r="A654" s="37">
        <v>2020</v>
      </c>
      <c r="B654" s="35">
        <v>171665</v>
      </c>
      <c r="C654" s="34" t="s">
        <v>150</v>
      </c>
      <c r="D654" s="34" t="s">
        <v>101</v>
      </c>
      <c r="E654" s="17">
        <v>6</v>
      </c>
      <c r="F654" s="36">
        <f>IFERROR(E654/$Q654,0)</f>
        <v>0.20689655172413793</v>
      </c>
      <c r="G654" s="17">
        <v>0</v>
      </c>
      <c r="H654" s="36">
        <f>IFERROR(G654/$R654,0)</f>
        <v>0</v>
      </c>
      <c r="I654" s="17">
        <v>9</v>
      </c>
      <c r="J654" s="36">
        <f>IFERROR(I654/$Q654,0)</f>
        <v>0.31034482758620691</v>
      </c>
      <c r="K654" s="17">
        <v>0</v>
      </c>
      <c r="L654" s="36">
        <f>IFERROR(K654/$R654,0)</f>
        <v>0</v>
      </c>
      <c r="M654" s="17">
        <v>14</v>
      </c>
      <c r="N654" s="36">
        <f>IFERROR(M654/$Q654,0)</f>
        <v>0.48275862068965519</v>
      </c>
      <c r="O654" s="17">
        <v>0</v>
      </c>
      <c r="P654" s="36">
        <f>IFERROR(O654/$R654,0)</f>
        <v>0</v>
      </c>
      <c r="Q654" s="17">
        <v>29</v>
      </c>
      <c r="R654" s="17">
        <v>0</v>
      </c>
    </row>
    <row r="655" spans="1:18" ht="15.75" customHeight="1" x14ac:dyDescent="0.25">
      <c r="A655" s="37">
        <v>2020</v>
      </c>
      <c r="B655" s="35">
        <v>171700</v>
      </c>
      <c r="C655" s="34" t="s">
        <v>151</v>
      </c>
      <c r="D655" s="34" t="s">
        <v>102</v>
      </c>
      <c r="E655" s="17">
        <v>1</v>
      </c>
      <c r="F655" s="36">
        <f>IFERROR(E655/$Q655,0)</f>
        <v>0.33333333333333331</v>
      </c>
      <c r="G655" s="17">
        <v>0</v>
      </c>
      <c r="H655" s="36">
        <f>IFERROR(G655/$R655,0)</f>
        <v>0</v>
      </c>
      <c r="I655" s="17">
        <v>1</v>
      </c>
      <c r="J655" s="36">
        <f>IFERROR(I655/$Q655,0)</f>
        <v>0.33333333333333331</v>
      </c>
      <c r="K655" s="17">
        <v>0</v>
      </c>
      <c r="L655" s="36">
        <f>IFERROR(K655/$R655,0)</f>
        <v>0</v>
      </c>
      <c r="M655" s="17">
        <v>1</v>
      </c>
      <c r="N655" s="36">
        <f>IFERROR(M655/$Q655,0)</f>
        <v>0.33333333333333331</v>
      </c>
      <c r="O655" s="17">
        <v>0</v>
      </c>
      <c r="P655" s="36">
        <f>IFERROR(O655/$R655,0)</f>
        <v>0</v>
      </c>
      <c r="Q655" s="17">
        <v>3</v>
      </c>
      <c r="R655" s="17">
        <v>0</v>
      </c>
    </row>
    <row r="656" spans="1:18" ht="15.75" customHeight="1" x14ac:dyDescent="0.25">
      <c r="A656" s="37">
        <v>2020</v>
      </c>
      <c r="B656" s="35">
        <v>171720</v>
      </c>
      <c r="C656" s="34" t="s">
        <v>149</v>
      </c>
      <c r="D656" s="34" t="s">
        <v>103</v>
      </c>
      <c r="E656" s="17">
        <v>2</v>
      </c>
      <c r="F656" s="36">
        <f>IFERROR(E656/$Q656,0)</f>
        <v>0.18181818181818182</v>
      </c>
      <c r="G656" s="17">
        <v>1</v>
      </c>
      <c r="H656" s="36">
        <f>IFERROR(G656/$R656,0)</f>
        <v>0.33333333333333331</v>
      </c>
      <c r="I656" s="17">
        <v>3</v>
      </c>
      <c r="J656" s="36">
        <f>IFERROR(I656/$Q656,0)</f>
        <v>0.27272727272727271</v>
      </c>
      <c r="K656" s="17">
        <v>0</v>
      </c>
      <c r="L656" s="36">
        <f>IFERROR(K656/$R656,0)</f>
        <v>0</v>
      </c>
      <c r="M656" s="17">
        <v>6</v>
      </c>
      <c r="N656" s="36">
        <f>IFERROR(M656/$Q656,0)</f>
        <v>0.54545454545454541</v>
      </c>
      <c r="O656" s="17">
        <v>2</v>
      </c>
      <c r="P656" s="36">
        <f>IFERROR(O656/$R656,0)</f>
        <v>0.66666666666666663</v>
      </c>
      <c r="Q656" s="17">
        <v>11</v>
      </c>
      <c r="R656" s="17">
        <v>3</v>
      </c>
    </row>
    <row r="657" spans="1:18" ht="15.75" customHeight="1" x14ac:dyDescent="0.25">
      <c r="A657" s="37">
        <v>2020</v>
      </c>
      <c r="B657" s="35">
        <v>171750</v>
      </c>
      <c r="C657" s="34" t="s">
        <v>144</v>
      </c>
      <c r="D657" s="34" t="s">
        <v>104</v>
      </c>
      <c r="E657" s="17">
        <v>44</v>
      </c>
      <c r="F657" s="36">
        <f>IFERROR(E657/$Q657,0)</f>
        <v>0.1337386018237082</v>
      </c>
      <c r="G657" s="17">
        <v>0</v>
      </c>
      <c r="H657" s="36">
        <f>IFERROR(G657/$R657,0)</f>
        <v>0</v>
      </c>
      <c r="I657" s="17">
        <v>128</v>
      </c>
      <c r="J657" s="36">
        <f>IFERROR(I657/$Q657,0)</f>
        <v>0.38905775075987842</v>
      </c>
      <c r="K657" s="17">
        <v>0</v>
      </c>
      <c r="L657" s="36">
        <f>IFERROR(K657/$R657,0)</f>
        <v>0</v>
      </c>
      <c r="M657" s="17">
        <v>157</v>
      </c>
      <c r="N657" s="36">
        <f>IFERROR(M657/$Q657,0)</f>
        <v>0.47720364741641336</v>
      </c>
      <c r="O657" s="17">
        <v>0</v>
      </c>
      <c r="P657" s="36">
        <f>IFERROR(O657/$R657,0)</f>
        <v>0</v>
      </c>
      <c r="Q657" s="17">
        <v>329</v>
      </c>
      <c r="R657" s="17">
        <v>0</v>
      </c>
    </row>
    <row r="658" spans="1:18" ht="15.75" customHeight="1" x14ac:dyDescent="0.25">
      <c r="A658" s="37">
        <v>2020</v>
      </c>
      <c r="B658" s="35">
        <v>171780</v>
      </c>
      <c r="C658" s="34" t="s">
        <v>147</v>
      </c>
      <c r="D658" s="34" t="s">
        <v>105</v>
      </c>
      <c r="E658" s="17">
        <v>8</v>
      </c>
      <c r="F658" s="36">
        <f>IFERROR(E658/$Q658,0)</f>
        <v>0.15686274509803921</v>
      </c>
      <c r="G658" s="17">
        <v>0</v>
      </c>
      <c r="H658" s="36">
        <f>IFERROR(G658/$R658,0)</f>
        <v>0</v>
      </c>
      <c r="I658" s="17">
        <v>27</v>
      </c>
      <c r="J658" s="36">
        <f>IFERROR(I658/$Q658,0)</f>
        <v>0.52941176470588236</v>
      </c>
      <c r="K658" s="17">
        <v>0</v>
      </c>
      <c r="L658" s="36">
        <f>IFERROR(K658/$R658,0)</f>
        <v>0</v>
      </c>
      <c r="M658" s="17">
        <v>16</v>
      </c>
      <c r="N658" s="36">
        <f>IFERROR(M658/$Q658,0)</f>
        <v>0.31372549019607843</v>
      </c>
      <c r="O658" s="17">
        <v>0</v>
      </c>
      <c r="P658" s="36">
        <f>IFERROR(O658/$R658,0)</f>
        <v>0</v>
      </c>
      <c r="Q658" s="17">
        <v>51</v>
      </c>
      <c r="R658" s="17">
        <v>0</v>
      </c>
    </row>
    <row r="659" spans="1:18" ht="15.75" customHeight="1" x14ac:dyDescent="0.25">
      <c r="A659" s="37">
        <v>2020</v>
      </c>
      <c r="B659" s="35">
        <v>171790</v>
      </c>
      <c r="C659" s="34" t="s">
        <v>151</v>
      </c>
      <c r="D659" s="34" t="s">
        <v>106</v>
      </c>
      <c r="E659" s="17">
        <v>12</v>
      </c>
      <c r="F659" s="36">
        <f>IFERROR(E659/$Q659,0)</f>
        <v>0.17142857142857143</v>
      </c>
      <c r="G659" s="17">
        <v>2</v>
      </c>
      <c r="H659" s="36">
        <f>IFERROR(G659/$R659,0)</f>
        <v>1</v>
      </c>
      <c r="I659" s="17">
        <v>25</v>
      </c>
      <c r="J659" s="36">
        <f>IFERROR(I659/$Q659,0)</f>
        <v>0.35714285714285715</v>
      </c>
      <c r="K659" s="17">
        <v>0</v>
      </c>
      <c r="L659" s="36">
        <f>IFERROR(K659/$R659,0)</f>
        <v>0</v>
      </c>
      <c r="M659" s="17">
        <v>33</v>
      </c>
      <c r="N659" s="36">
        <f>IFERROR(M659/$Q659,0)</f>
        <v>0.47142857142857142</v>
      </c>
      <c r="O659" s="17">
        <v>0</v>
      </c>
      <c r="P659" s="36">
        <f>IFERROR(O659/$R659,0)</f>
        <v>0</v>
      </c>
      <c r="Q659" s="17">
        <v>70</v>
      </c>
      <c r="R659" s="17">
        <v>2</v>
      </c>
    </row>
    <row r="660" spans="1:18" ht="15.75" customHeight="1" x14ac:dyDescent="0.25">
      <c r="A660" s="37">
        <v>2020</v>
      </c>
      <c r="B660" s="35">
        <v>171800</v>
      </c>
      <c r="C660" s="34" t="s">
        <v>147</v>
      </c>
      <c r="D660" s="34" t="s">
        <v>107</v>
      </c>
      <c r="E660" s="17">
        <v>4</v>
      </c>
      <c r="F660" s="36">
        <f>IFERROR(E660/$Q660,0)</f>
        <v>0.1</v>
      </c>
      <c r="G660" s="17">
        <v>0</v>
      </c>
      <c r="H660" s="36">
        <f>IFERROR(G660/$R660,0)</f>
        <v>0</v>
      </c>
      <c r="I660" s="17">
        <v>16</v>
      </c>
      <c r="J660" s="36">
        <f>IFERROR(I660/$Q660,0)</f>
        <v>0.4</v>
      </c>
      <c r="K660" s="17">
        <v>0</v>
      </c>
      <c r="L660" s="36">
        <f>IFERROR(K660/$R660,0)</f>
        <v>0</v>
      </c>
      <c r="M660" s="17">
        <v>20</v>
      </c>
      <c r="N660" s="36">
        <f>IFERROR(M660/$Q660,0)</f>
        <v>0.5</v>
      </c>
      <c r="O660" s="17">
        <v>0</v>
      </c>
      <c r="P660" s="36">
        <f>IFERROR(O660/$R660,0)</f>
        <v>0</v>
      </c>
      <c r="Q660" s="17">
        <v>40</v>
      </c>
      <c r="R660" s="17">
        <v>0</v>
      </c>
    </row>
    <row r="661" spans="1:18" ht="15.75" customHeight="1" x14ac:dyDescent="0.25">
      <c r="A661" s="37">
        <v>2020</v>
      </c>
      <c r="B661" s="35">
        <v>171820</v>
      </c>
      <c r="C661" s="34" t="s">
        <v>151</v>
      </c>
      <c r="D661" s="34" t="s">
        <v>108</v>
      </c>
      <c r="E661" s="17">
        <v>103</v>
      </c>
      <c r="F661" s="36">
        <f>IFERROR(E661/$Q661,0)</f>
        <v>0.1409028727770178</v>
      </c>
      <c r="G661" s="17">
        <v>0</v>
      </c>
      <c r="H661" s="36">
        <f>IFERROR(G661/$R661,0)</f>
        <v>0</v>
      </c>
      <c r="I661" s="17">
        <v>269</v>
      </c>
      <c r="J661" s="36">
        <f>IFERROR(I661/$Q661,0)</f>
        <v>0.36798905608755128</v>
      </c>
      <c r="K661" s="17">
        <v>2</v>
      </c>
      <c r="L661" s="36">
        <f>IFERROR(K661/$R661,0)</f>
        <v>0.33333333333333331</v>
      </c>
      <c r="M661" s="17">
        <v>359</v>
      </c>
      <c r="N661" s="36">
        <f>IFERROR(M661/$Q661,0)</f>
        <v>0.49110807113543092</v>
      </c>
      <c r="O661" s="17">
        <v>4</v>
      </c>
      <c r="P661" s="36">
        <f>IFERROR(O661/$R661,0)</f>
        <v>0.66666666666666663</v>
      </c>
      <c r="Q661" s="17">
        <v>731</v>
      </c>
      <c r="R661" s="17">
        <v>6</v>
      </c>
    </row>
    <row r="662" spans="1:18" ht="15.75" customHeight="1" x14ac:dyDescent="0.25">
      <c r="A662" s="37">
        <v>2020</v>
      </c>
      <c r="B662" s="35">
        <v>171830</v>
      </c>
      <c r="C662" s="34" t="s">
        <v>145</v>
      </c>
      <c r="D662" s="34" t="s">
        <v>109</v>
      </c>
      <c r="E662" s="17">
        <v>7</v>
      </c>
      <c r="F662" s="36">
        <f>IFERROR(E662/$Q662,0)</f>
        <v>0.14583333333333334</v>
      </c>
      <c r="G662" s="17">
        <v>0</v>
      </c>
      <c r="H662" s="36">
        <f>IFERROR(G662/$R662,0)</f>
        <v>0</v>
      </c>
      <c r="I662" s="17">
        <v>21</v>
      </c>
      <c r="J662" s="36">
        <f>IFERROR(I662/$Q662,0)</f>
        <v>0.4375</v>
      </c>
      <c r="K662" s="17">
        <v>0</v>
      </c>
      <c r="L662" s="36">
        <f>IFERROR(K662/$R662,0)</f>
        <v>0</v>
      </c>
      <c r="M662" s="17">
        <v>20</v>
      </c>
      <c r="N662" s="36">
        <f>IFERROR(M662/$Q662,0)</f>
        <v>0.41666666666666669</v>
      </c>
      <c r="O662" s="17">
        <v>0</v>
      </c>
      <c r="P662" s="36">
        <f>IFERROR(O662/$R662,0)</f>
        <v>0</v>
      </c>
      <c r="Q662" s="17">
        <v>48</v>
      </c>
      <c r="R662" s="17">
        <v>0</v>
      </c>
    </row>
    <row r="663" spans="1:18" ht="15.75" customHeight="1" x14ac:dyDescent="0.25">
      <c r="A663" s="37">
        <v>2020</v>
      </c>
      <c r="B663" s="35">
        <v>171840</v>
      </c>
      <c r="C663" s="34" t="s">
        <v>150</v>
      </c>
      <c r="D663" s="34" t="s">
        <v>110</v>
      </c>
      <c r="E663" s="17">
        <v>24</v>
      </c>
      <c r="F663" s="36">
        <f>IFERROR(E663/$Q663,0)</f>
        <v>0.16438356164383561</v>
      </c>
      <c r="G663" s="17">
        <v>0</v>
      </c>
      <c r="H663" s="36">
        <f>IFERROR(G663/$R663,0)</f>
        <v>0</v>
      </c>
      <c r="I663" s="17">
        <v>54</v>
      </c>
      <c r="J663" s="36">
        <f>IFERROR(I663/$Q663,0)</f>
        <v>0.36986301369863012</v>
      </c>
      <c r="K663" s="17">
        <v>0</v>
      </c>
      <c r="L663" s="36">
        <f>IFERROR(K663/$R663,0)</f>
        <v>0</v>
      </c>
      <c r="M663" s="17">
        <v>68</v>
      </c>
      <c r="N663" s="36">
        <f>IFERROR(M663/$Q663,0)</f>
        <v>0.46575342465753422</v>
      </c>
      <c r="O663" s="17">
        <v>0</v>
      </c>
      <c r="P663" s="36">
        <f>IFERROR(O663/$R663,0)</f>
        <v>0</v>
      </c>
      <c r="Q663" s="17">
        <v>146</v>
      </c>
      <c r="R663" s="17">
        <v>0</v>
      </c>
    </row>
    <row r="664" spans="1:18" ht="15.75" customHeight="1" x14ac:dyDescent="0.25">
      <c r="A664" s="37">
        <v>2020</v>
      </c>
      <c r="B664" s="35">
        <v>171845</v>
      </c>
      <c r="C664" s="34" t="s">
        <v>144</v>
      </c>
      <c r="D664" s="34" t="s">
        <v>111</v>
      </c>
      <c r="E664" s="17">
        <v>8</v>
      </c>
      <c r="F664" s="36">
        <f>IFERROR(E664/$Q664,0)</f>
        <v>0.14814814814814814</v>
      </c>
      <c r="G664" s="17">
        <v>0</v>
      </c>
      <c r="H664" s="36">
        <f>IFERROR(G664/$R664,0)</f>
        <v>0</v>
      </c>
      <c r="I664" s="17">
        <v>21</v>
      </c>
      <c r="J664" s="36">
        <f>IFERROR(I664/$Q664,0)</f>
        <v>0.3888888888888889</v>
      </c>
      <c r="K664" s="17">
        <v>0</v>
      </c>
      <c r="L664" s="36">
        <f>IFERROR(K664/$R664,0)</f>
        <v>0</v>
      </c>
      <c r="M664" s="17">
        <v>25</v>
      </c>
      <c r="N664" s="36">
        <f>IFERROR(M664/$Q664,0)</f>
        <v>0.46296296296296297</v>
      </c>
      <c r="O664" s="17">
        <v>0</v>
      </c>
      <c r="P664" s="36">
        <f>IFERROR(O664/$R664,0)</f>
        <v>0</v>
      </c>
      <c r="Q664" s="17">
        <v>54</v>
      </c>
      <c r="R664" s="17">
        <v>0</v>
      </c>
    </row>
    <row r="665" spans="1:18" ht="15.75" customHeight="1" x14ac:dyDescent="0.25">
      <c r="A665" s="37">
        <v>2020</v>
      </c>
      <c r="B665" s="35">
        <v>171850</v>
      </c>
      <c r="C665" s="34" t="s">
        <v>150</v>
      </c>
      <c r="D665" s="34" t="s">
        <v>112</v>
      </c>
      <c r="E665" s="17">
        <v>1</v>
      </c>
      <c r="F665" s="36">
        <f>IFERROR(E665/$Q665,0)</f>
        <v>7.6923076923076927E-2</v>
      </c>
      <c r="G665" s="17">
        <v>0</v>
      </c>
      <c r="H665" s="36">
        <f>IFERROR(G665/$R665,0)</f>
        <v>0</v>
      </c>
      <c r="I665" s="17">
        <v>7</v>
      </c>
      <c r="J665" s="36">
        <f>IFERROR(I665/$Q665,0)</f>
        <v>0.53846153846153844</v>
      </c>
      <c r="K665" s="17">
        <v>1</v>
      </c>
      <c r="L665" s="36">
        <f>IFERROR(K665/$R665,0)</f>
        <v>1</v>
      </c>
      <c r="M665" s="17">
        <v>5</v>
      </c>
      <c r="N665" s="36">
        <f>IFERROR(M665/$Q665,0)</f>
        <v>0.38461538461538464</v>
      </c>
      <c r="O665" s="17">
        <v>0</v>
      </c>
      <c r="P665" s="36">
        <f>IFERROR(O665/$R665,0)</f>
        <v>0</v>
      </c>
      <c r="Q665" s="17">
        <v>13</v>
      </c>
      <c r="R665" s="17">
        <v>1</v>
      </c>
    </row>
    <row r="666" spans="1:18" ht="15.75" customHeight="1" x14ac:dyDescent="0.25">
      <c r="A666" s="37">
        <v>2020</v>
      </c>
      <c r="B666" s="35">
        <v>171855</v>
      </c>
      <c r="C666" s="34" t="s">
        <v>145</v>
      </c>
      <c r="D666" s="34" t="s">
        <v>113</v>
      </c>
      <c r="E666" s="17">
        <v>0</v>
      </c>
      <c r="F666" s="36">
        <f>IFERROR(E666/$Q666,0)</f>
        <v>0</v>
      </c>
      <c r="G666" s="17">
        <v>0</v>
      </c>
      <c r="H666" s="36">
        <f>IFERROR(G666/$R666,0)</f>
        <v>0</v>
      </c>
      <c r="I666" s="17">
        <v>0</v>
      </c>
      <c r="J666" s="36">
        <f>IFERROR(I666/$Q666,0)</f>
        <v>0</v>
      </c>
      <c r="K666" s="17">
        <v>0</v>
      </c>
      <c r="L666" s="36">
        <f>IFERROR(K666/$R666,0)</f>
        <v>0</v>
      </c>
      <c r="M666" s="17">
        <v>0</v>
      </c>
      <c r="N666" s="36">
        <f>IFERROR(M666/$Q666,0)</f>
        <v>0</v>
      </c>
      <c r="O666" s="17">
        <v>0</v>
      </c>
      <c r="P666" s="36">
        <f>IFERROR(O666/$R666,0)</f>
        <v>0</v>
      </c>
      <c r="Q666" s="17">
        <v>0</v>
      </c>
      <c r="R666" s="17">
        <v>0</v>
      </c>
    </row>
    <row r="667" spans="1:18" ht="15.75" customHeight="1" x14ac:dyDescent="0.25">
      <c r="A667" s="37">
        <v>2020</v>
      </c>
      <c r="B667" s="35">
        <v>171865</v>
      </c>
      <c r="C667" s="34" t="s">
        <v>147</v>
      </c>
      <c r="D667" s="34" t="s">
        <v>114</v>
      </c>
      <c r="E667" s="17">
        <v>1</v>
      </c>
      <c r="F667" s="36">
        <f>IFERROR(E667/$Q667,0)</f>
        <v>0.16666666666666666</v>
      </c>
      <c r="G667" s="17">
        <v>0</v>
      </c>
      <c r="H667" s="36">
        <f>IFERROR(G667/$R667,0)</f>
        <v>0</v>
      </c>
      <c r="I667" s="17">
        <v>3</v>
      </c>
      <c r="J667" s="36">
        <f>IFERROR(I667/$Q667,0)</f>
        <v>0.5</v>
      </c>
      <c r="K667" s="17">
        <v>0</v>
      </c>
      <c r="L667" s="36">
        <f>IFERROR(K667/$R667,0)</f>
        <v>0</v>
      </c>
      <c r="M667" s="17">
        <v>2</v>
      </c>
      <c r="N667" s="36">
        <f>IFERROR(M667/$Q667,0)</f>
        <v>0.33333333333333331</v>
      </c>
      <c r="O667" s="17">
        <v>0</v>
      </c>
      <c r="P667" s="36">
        <f>IFERROR(O667/$R667,0)</f>
        <v>0</v>
      </c>
      <c r="Q667" s="17">
        <v>6</v>
      </c>
      <c r="R667" s="17">
        <v>0</v>
      </c>
    </row>
    <row r="668" spans="1:18" ht="15.75" customHeight="1" x14ac:dyDescent="0.25">
      <c r="A668" s="37">
        <v>2020</v>
      </c>
      <c r="B668" s="35">
        <v>171870</v>
      </c>
      <c r="C668" s="34" t="s">
        <v>148</v>
      </c>
      <c r="D668" s="34" t="s">
        <v>115</v>
      </c>
      <c r="E668" s="17">
        <v>14</v>
      </c>
      <c r="F668" s="36">
        <f>IFERROR(E668/$Q668,0)</f>
        <v>0.16666666666666666</v>
      </c>
      <c r="G668" s="17">
        <v>2</v>
      </c>
      <c r="H668" s="36">
        <f>IFERROR(G668/$R668,0)</f>
        <v>0.22222222222222221</v>
      </c>
      <c r="I668" s="17">
        <v>36</v>
      </c>
      <c r="J668" s="36">
        <f>IFERROR(I668/$Q668,0)</f>
        <v>0.42857142857142855</v>
      </c>
      <c r="K668" s="17">
        <v>4</v>
      </c>
      <c r="L668" s="36">
        <f>IFERROR(K668/$R668,0)</f>
        <v>0.44444444444444442</v>
      </c>
      <c r="M668" s="17">
        <v>34</v>
      </c>
      <c r="N668" s="36">
        <f>IFERROR(M668/$Q668,0)</f>
        <v>0.40476190476190477</v>
      </c>
      <c r="O668" s="17">
        <v>3</v>
      </c>
      <c r="P668" s="36">
        <f>IFERROR(O668/$R668,0)</f>
        <v>0.33333333333333331</v>
      </c>
      <c r="Q668" s="17">
        <v>84</v>
      </c>
      <c r="R668" s="17">
        <v>9</v>
      </c>
    </row>
    <row r="669" spans="1:18" ht="15.75" customHeight="1" x14ac:dyDescent="0.25">
      <c r="A669" s="37">
        <v>2020</v>
      </c>
      <c r="B669" s="35">
        <v>171875</v>
      </c>
      <c r="C669" s="34" t="s">
        <v>148</v>
      </c>
      <c r="D669" s="34" t="s">
        <v>116</v>
      </c>
      <c r="E669" s="17">
        <v>5</v>
      </c>
      <c r="F669" s="36">
        <f>IFERROR(E669/$Q669,0)</f>
        <v>0.1111111111111111</v>
      </c>
      <c r="G669" s="17">
        <v>0</v>
      </c>
      <c r="H669" s="36">
        <f>IFERROR(G669/$R669,0)</f>
        <v>0</v>
      </c>
      <c r="I669" s="17">
        <v>24</v>
      </c>
      <c r="J669" s="36">
        <f>IFERROR(I669/$Q669,0)</f>
        <v>0.53333333333333333</v>
      </c>
      <c r="K669" s="17">
        <v>0</v>
      </c>
      <c r="L669" s="36">
        <f>IFERROR(K669/$R669,0)</f>
        <v>0</v>
      </c>
      <c r="M669" s="17">
        <v>16</v>
      </c>
      <c r="N669" s="36">
        <f>IFERROR(M669/$Q669,0)</f>
        <v>0.35555555555555557</v>
      </c>
      <c r="O669" s="17">
        <v>0</v>
      </c>
      <c r="P669" s="36">
        <f>IFERROR(O669/$R669,0)</f>
        <v>0</v>
      </c>
      <c r="Q669" s="17">
        <v>45</v>
      </c>
      <c r="R669" s="17">
        <v>0</v>
      </c>
    </row>
    <row r="670" spans="1:18" ht="15.75" customHeight="1" x14ac:dyDescent="0.25">
      <c r="A670" s="37">
        <v>2020</v>
      </c>
      <c r="B670" s="35">
        <v>171880</v>
      </c>
      <c r="C670" s="34" t="s">
        <v>145</v>
      </c>
      <c r="D670" s="34" t="s">
        <v>117</v>
      </c>
      <c r="E670" s="17">
        <v>1</v>
      </c>
      <c r="F670" s="36">
        <f>IFERROR(E670/$Q670,0)</f>
        <v>3.2258064516129031E-2</v>
      </c>
      <c r="G670" s="17">
        <v>0</v>
      </c>
      <c r="H670" s="36">
        <f>IFERROR(G670/$R670,0)</f>
        <v>0</v>
      </c>
      <c r="I670" s="17">
        <v>18</v>
      </c>
      <c r="J670" s="36">
        <f>IFERROR(I670/$Q670,0)</f>
        <v>0.58064516129032262</v>
      </c>
      <c r="K670" s="17">
        <v>2</v>
      </c>
      <c r="L670" s="36">
        <f>IFERROR(K670/$R670,0)</f>
        <v>0.33333333333333331</v>
      </c>
      <c r="M670" s="17">
        <v>12</v>
      </c>
      <c r="N670" s="36">
        <f>IFERROR(M670/$Q670,0)</f>
        <v>0.38709677419354838</v>
      </c>
      <c r="O670" s="17">
        <v>4</v>
      </c>
      <c r="P670" s="36">
        <f>IFERROR(O670/$R670,0)</f>
        <v>0.66666666666666663</v>
      </c>
      <c r="Q670" s="17">
        <v>31</v>
      </c>
      <c r="R670" s="17">
        <v>6</v>
      </c>
    </row>
    <row r="671" spans="1:18" ht="15.75" customHeight="1" x14ac:dyDescent="0.25">
      <c r="A671" s="37">
        <v>2020</v>
      </c>
      <c r="B671" s="35">
        <v>171884</v>
      </c>
      <c r="C671" s="34" t="s">
        <v>146</v>
      </c>
      <c r="D671" s="34" t="s">
        <v>118</v>
      </c>
      <c r="E671" s="17">
        <v>8</v>
      </c>
      <c r="F671" s="36">
        <f>IFERROR(E671/$Q671,0)</f>
        <v>0.13114754098360656</v>
      </c>
      <c r="G671" s="17">
        <v>0</v>
      </c>
      <c r="H671" s="36">
        <f>IFERROR(G671/$R671,0)</f>
        <v>0</v>
      </c>
      <c r="I671" s="17">
        <v>19</v>
      </c>
      <c r="J671" s="36">
        <f>IFERROR(I671/$Q671,0)</f>
        <v>0.31147540983606559</v>
      </c>
      <c r="K671" s="17">
        <v>1</v>
      </c>
      <c r="L671" s="36">
        <f>IFERROR(K671/$R671,0)</f>
        <v>1</v>
      </c>
      <c r="M671" s="17">
        <v>34</v>
      </c>
      <c r="N671" s="36">
        <f>IFERROR(M671/$Q671,0)</f>
        <v>0.55737704918032782</v>
      </c>
      <c r="O671" s="17">
        <v>0</v>
      </c>
      <c r="P671" s="36">
        <f>IFERROR(O671/$R671,0)</f>
        <v>0</v>
      </c>
      <c r="Q671" s="17">
        <v>61</v>
      </c>
      <c r="R671" s="17">
        <v>1</v>
      </c>
    </row>
    <row r="672" spans="1:18" ht="15.75" customHeight="1" x14ac:dyDescent="0.25">
      <c r="A672" s="37">
        <v>2020</v>
      </c>
      <c r="B672" s="35">
        <v>171886</v>
      </c>
      <c r="C672" s="34" t="s">
        <v>149</v>
      </c>
      <c r="D672" s="34" t="s">
        <v>119</v>
      </c>
      <c r="E672" s="17">
        <v>37</v>
      </c>
      <c r="F672" s="36">
        <f>IFERROR(E672/$Q672,0)</f>
        <v>0.12292358803986711</v>
      </c>
      <c r="G672" s="17">
        <v>0</v>
      </c>
      <c r="H672" s="36">
        <f>IFERROR(G672/$R672,0)</f>
        <v>0</v>
      </c>
      <c r="I672" s="17">
        <v>115</v>
      </c>
      <c r="J672" s="36">
        <f>IFERROR(I672/$Q672,0)</f>
        <v>0.38205980066445183</v>
      </c>
      <c r="K672" s="17">
        <v>1</v>
      </c>
      <c r="L672" s="36">
        <f>IFERROR(K672/$R672,0)</f>
        <v>0.5</v>
      </c>
      <c r="M672" s="17">
        <v>149</v>
      </c>
      <c r="N672" s="36">
        <f>IFERROR(M672/$Q672,0)</f>
        <v>0.49501661129568109</v>
      </c>
      <c r="O672" s="17">
        <v>1</v>
      </c>
      <c r="P672" s="36">
        <f>IFERROR(O672/$R672,0)</f>
        <v>0.5</v>
      </c>
      <c r="Q672" s="17">
        <v>301</v>
      </c>
      <c r="R672" s="17">
        <v>2</v>
      </c>
    </row>
    <row r="673" spans="1:18" ht="15.75" customHeight="1" x14ac:dyDescent="0.25">
      <c r="A673" s="37">
        <v>2020</v>
      </c>
      <c r="B673" s="35">
        <v>171888</v>
      </c>
      <c r="C673" s="34" t="s">
        <v>150</v>
      </c>
      <c r="D673" s="34" t="s">
        <v>120</v>
      </c>
      <c r="E673" s="17">
        <v>0</v>
      </c>
      <c r="F673" s="36">
        <f>IFERROR(E673/$Q673,0)</f>
        <v>0</v>
      </c>
      <c r="G673" s="17">
        <v>0</v>
      </c>
      <c r="H673" s="36">
        <f>IFERROR(G673/$R673,0)</f>
        <v>0</v>
      </c>
      <c r="I673" s="17">
        <v>1</v>
      </c>
      <c r="J673" s="36">
        <f>IFERROR(I673/$Q673,0)</f>
        <v>1</v>
      </c>
      <c r="K673" s="17">
        <v>0</v>
      </c>
      <c r="L673" s="36">
        <f>IFERROR(K673/$R673,0)</f>
        <v>0</v>
      </c>
      <c r="M673" s="17">
        <v>0</v>
      </c>
      <c r="N673" s="36">
        <f>IFERROR(M673/$Q673,0)</f>
        <v>0</v>
      </c>
      <c r="O673" s="17">
        <v>0</v>
      </c>
      <c r="P673" s="36">
        <f>IFERROR(O673/$R673,0)</f>
        <v>0</v>
      </c>
      <c r="Q673" s="17">
        <v>1</v>
      </c>
      <c r="R673" s="17">
        <v>0</v>
      </c>
    </row>
    <row r="674" spans="1:18" ht="15.75" customHeight="1" x14ac:dyDescent="0.25">
      <c r="A674" s="37">
        <v>2020</v>
      </c>
      <c r="B674" s="35">
        <v>171889</v>
      </c>
      <c r="C674" s="34" t="s">
        <v>146</v>
      </c>
      <c r="D674" s="34" t="s">
        <v>121</v>
      </c>
      <c r="E674" s="17">
        <v>16</v>
      </c>
      <c r="F674" s="36">
        <f>IFERROR(E674/$Q674,0)</f>
        <v>0.11851851851851852</v>
      </c>
      <c r="G674" s="17">
        <v>0</v>
      </c>
      <c r="H674" s="36">
        <f>IFERROR(G674/$R674,0)</f>
        <v>0</v>
      </c>
      <c r="I674" s="17">
        <v>58</v>
      </c>
      <c r="J674" s="36">
        <f>IFERROR(I674/$Q674,0)</f>
        <v>0.42962962962962964</v>
      </c>
      <c r="K674" s="17">
        <v>0</v>
      </c>
      <c r="L674" s="36">
        <f>IFERROR(K674/$R674,0)</f>
        <v>0</v>
      </c>
      <c r="M674" s="17">
        <v>61</v>
      </c>
      <c r="N674" s="36">
        <f>IFERROR(M674/$Q674,0)</f>
        <v>0.45185185185185184</v>
      </c>
      <c r="O674" s="17">
        <v>0</v>
      </c>
      <c r="P674" s="36">
        <f>IFERROR(O674/$R674,0)</f>
        <v>0</v>
      </c>
      <c r="Q674" s="17">
        <v>135</v>
      </c>
      <c r="R674" s="17">
        <v>0</v>
      </c>
    </row>
    <row r="675" spans="1:18" ht="15.75" customHeight="1" x14ac:dyDescent="0.25">
      <c r="A675" s="37">
        <v>2020</v>
      </c>
      <c r="B675" s="35">
        <v>171890</v>
      </c>
      <c r="C675" s="34" t="s">
        <v>151</v>
      </c>
      <c r="D675" s="34" t="s">
        <v>122</v>
      </c>
      <c r="E675" s="17">
        <v>2</v>
      </c>
      <c r="F675" s="36">
        <f>IFERROR(E675/$Q675,0)</f>
        <v>0.125</v>
      </c>
      <c r="G675" s="17">
        <v>0</v>
      </c>
      <c r="H675" s="36">
        <f>IFERROR(G675/$R675,0)</f>
        <v>0</v>
      </c>
      <c r="I675" s="17">
        <v>8</v>
      </c>
      <c r="J675" s="36">
        <f>IFERROR(I675/$Q675,0)</f>
        <v>0.5</v>
      </c>
      <c r="K675" s="17">
        <v>0</v>
      </c>
      <c r="L675" s="36">
        <f>IFERROR(K675/$R675,0)</f>
        <v>0</v>
      </c>
      <c r="M675" s="17">
        <v>6</v>
      </c>
      <c r="N675" s="36">
        <f>IFERROR(M675/$Q675,0)</f>
        <v>0.375</v>
      </c>
      <c r="O675" s="17">
        <v>0</v>
      </c>
      <c r="P675" s="36">
        <f>IFERROR(O675/$R675,0)</f>
        <v>0</v>
      </c>
      <c r="Q675" s="17">
        <v>16</v>
      </c>
      <c r="R675" s="17">
        <v>0</v>
      </c>
    </row>
    <row r="676" spans="1:18" ht="15.75" customHeight="1" x14ac:dyDescent="0.25">
      <c r="A676" s="37">
        <v>2020</v>
      </c>
      <c r="B676" s="35">
        <v>171900</v>
      </c>
      <c r="C676" s="34" t="s">
        <v>148</v>
      </c>
      <c r="D676" s="34" t="s">
        <v>123</v>
      </c>
      <c r="E676" s="17">
        <v>10</v>
      </c>
      <c r="F676" s="36">
        <f>IFERROR(E676/$Q676,0)</f>
        <v>0.43478260869565216</v>
      </c>
      <c r="G676" s="17">
        <v>0</v>
      </c>
      <c r="H676" s="36">
        <f>IFERROR(G676/$R676,0)</f>
        <v>0</v>
      </c>
      <c r="I676" s="17">
        <v>7</v>
      </c>
      <c r="J676" s="36">
        <f>IFERROR(I676/$Q676,0)</f>
        <v>0.30434782608695654</v>
      </c>
      <c r="K676" s="17">
        <v>0</v>
      </c>
      <c r="L676" s="36">
        <f>IFERROR(K676/$R676,0)</f>
        <v>0</v>
      </c>
      <c r="M676" s="17">
        <v>6</v>
      </c>
      <c r="N676" s="36">
        <f>IFERROR(M676/$Q676,0)</f>
        <v>0.2608695652173913</v>
      </c>
      <c r="O676" s="17">
        <v>0</v>
      </c>
      <c r="P676" s="36">
        <f>IFERROR(O676/$R676,0)</f>
        <v>0</v>
      </c>
      <c r="Q676" s="17">
        <v>23</v>
      </c>
      <c r="R676" s="17">
        <v>0</v>
      </c>
    </row>
    <row r="677" spans="1:18" ht="15.75" customHeight="1" x14ac:dyDescent="0.25">
      <c r="A677" s="37">
        <v>2020</v>
      </c>
      <c r="B677" s="35">
        <v>172000</v>
      </c>
      <c r="C677" s="34" t="s">
        <v>145</v>
      </c>
      <c r="D677" s="34" t="s">
        <v>124</v>
      </c>
      <c r="E677" s="17">
        <v>1</v>
      </c>
      <c r="F677" s="36">
        <f>IFERROR(E677/$Q677,0)</f>
        <v>0.33333333333333331</v>
      </c>
      <c r="G677" s="17">
        <v>0</v>
      </c>
      <c r="H677" s="36">
        <f>IFERROR(G677/$R677,0)</f>
        <v>0</v>
      </c>
      <c r="I677" s="17">
        <v>2</v>
      </c>
      <c r="J677" s="36">
        <f>IFERROR(I677/$Q677,0)</f>
        <v>0.66666666666666663</v>
      </c>
      <c r="K677" s="17">
        <v>0</v>
      </c>
      <c r="L677" s="36">
        <f>IFERROR(K677/$R677,0)</f>
        <v>0</v>
      </c>
      <c r="M677" s="17">
        <v>0</v>
      </c>
      <c r="N677" s="36">
        <f>IFERROR(M677/$Q677,0)</f>
        <v>0</v>
      </c>
      <c r="O677" s="17">
        <v>0</v>
      </c>
      <c r="P677" s="36">
        <f>IFERROR(O677/$R677,0)</f>
        <v>0</v>
      </c>
      <c r="Q677" s="17">
        <v>3</v>
      </c>
      <c r="R677" s="17">
        <v>0</v>
      </c>
    </row>
    <row r="678" spans="1:18" ht="15.75" customHeight="1" x14ac:dyDescent="0.25">
      <c r="A678" s="37">
        <v>2020</v>
      </c>
      <c r="B678" s="35">
        <v>172010</v>
      </c>
      <c r="C678" s="34" t="s">
        <v>145</v>
      </c>
      <c r="D678" s="34" t="s">
        <v>125</v>
      </c>
      <c r="E678" s="17">
        <v>13</v>
      </c>
      <c r="F678" s="36">
        <f>IFERROR(E678/$Q678,0)</f>
        <v>0.18840579710144928</v>
      </c>
      <c r="G678" s="17">
        <v>0</v>
      </c>
      <c r="H678" s="36">
        <f>IFERROR(G678/$R678,0)</f>
        <v>0</v>
      </c>
      <c r="I678" s="17">
        <v>28</v>
      </c>
      <c r="J678" s="36">
        <f>IFERROR(I678/$Q678,0)</f>
        <v>0.40579710144927539</v>
      </c>
      <c r="K678" s="17">
        <v>1</v>
      </c>
      <c r="L678" s="36">
        <f>IFERROR(K678/$R678,0)</f>
        <v>1</v>
      </c>
      <c r="M678" s="17">
        <v>28</v>
      </c>
      <c r="N678" s="36">
        <f>IFERROR(M678/$Q678,0)</f>
        <v>0.40579710144927539</v>
      </c>
      <c r="O678" s="17">
        <v>0</v>
      </c>
      <c r="P678" s="36">
        <f>IFERROR(O678/$R678,0)</f>
        <v>0</v>
      </c>
      <c r="Q678" s="17">
        <v>69</v>
      </c>
      <c r="R678" s="17">
        <v>1</v>
      </c>
    </row>
    <row r="679" spans="1:18" ht="15.75" customHeight="1" x14ac:dyDescent="0.25">
      <c r="A679" s="37">
        <v>2020</v>
      </c>
      <c r="B679" s="35">
        <v>172015</v>
      </c>
      <c r="C679" s="34" t="s">
        <v>148</v>
      </c>
      <c r="D679" s="34" t="s">
        <v>126</v>
      </c>
      <c r="E679" s="17">
        <v>21</v>
      </c>
      <c r="F679" s="36">
        <f>IFERROR(E679/$Q679,0)</f>
        <v>0.25301204819277107</v>
      </c>
      <c r="G679" s="17">
        <v>0</v>
      </c>
      <c r="H679" s="36">
        <f>IFERROR(G679/$R679,0)</f>
        <v>0</v>
      </c>
      <c r="I679" s="17">
        <v>36</v>
      </c>
      <c r="J679" s="36">
        <f>IFERROR(I679/$Q679,0)</f>
        <v>0.43373493975903615</v>
      </c>
      <c r="K679" s="17">
        <v>1</v>
      </c>
      <c r="L679" s="36">
        <f>IFERROR(K679/$R679,0)</f>
        <v>1</v>
      </c>
      <c r="M679" s="17">
        <v>26</v>
      </c>
      <c r="N679" s="36">
        <f>IFERROR(M679/$Q679,0)</f>
        <v>0.31325301204819278</v>
      </c>
      <c r="O679" s="17">
        <v>0</v>
      </c>
      <c r="P679" s="36">
        <f>IFERROR(O679/$R679,0)</f>
        <v>0</v>
      </c>
      <c r="Q679" s="17">
        <v>83</v>
      </c>
      <c r="R679" s="17">
        <v>1</v>
      </c>
    </row>
    <row r="680" spans="1:18" ht="15.75" customHeight="1" x14ac:dyDescent="0.25">
      <c r="A680" s="37">
        <v>2020</v>
      </c>
      <c r="B680" s="35">
        <v>172020</v>
      </c>
      <c r="C680" s="34" t="s">
        <v>145</v>
      </c>
      <c r="D680" s="34" t="s">
        <v>127</v>
      </c>
      <c r="E680" s="17">
        <v>43</v>
      </c>
      <c r="F680" s="36">
        <f>IFERROR(E680/$Q680,0)</f>
        <v>0.11436170212765957</v>
      </c>
      <c r="G680" s="17">
        <v>1</v>
      </c>
      <c r="H680" s="36">
        <f>IFERROR(G680/$R680,0)</f>
        <v>0.16666666666666666</v>
      </c>
      <c r="I680" s="17">
        <v>167</v>
      </c>
      <c r="J680" s="36">
        <f>IFERROR(I680/$Q680,0)</f>
        <v>0.44414893617021278</v>
      </c>
      <c r="K680" s="17">
        <v>3</v>
      </c>
      <c r="L680" s="36">
        <f>IFERROR(K680/$R680,0)</f>
        <v>0.5</v>
      </c>
      <c r="M680" s="17">
        <v>166</v>
      </c>
      <c r="N680" s="36">
        <f>IFERROR(M680/$Q680,0)</f>
        <v>0.44148936170212766</v>
      </c>
      <c r="O680" s="17">
        <v>2</v>
      </c>
      <c r="P680" s="36">
        <f>IFERROR(O680/$R680,0)</f>
        <v>0.33333333333333331</v>
      </c>
      <c r="Q680" s="17">
        <v>376</v>
      </c>
      <c r="R680" s="17">
        <v>6</v>
      </c>
    </row>
    <row r="681" spans="1:18" ht="15.75" customHeight="1" x14ac:dyDescent="0.25">
      <c r="A681" s="37">
        <v>2020</v>
      </c>
      <c r="B681" s="35">
        <v>172025</v>
      </c>
      <c r="C681" s="34" t="s">
        <v>146</v>
      </c>
      <c r="D681" s="34" t="s">
        <v>128</v>
      </c>
      <c r="E681" s="17">
        <v>16</v>
      </c>
      <c r="F681" s="36">
        <f>IFERROR(E681/$Q681,0)</f>
        <v>0.23880597014925373</v>
      </c>
      <c r="G681" s="17">
        <v>0</v>
      </c>
      <c r="H681" s="36">
        <f>IFERROR(G681/$R681,0)</f>
        <v>0</v>
      </c>
      <c r="I681" s="17">
        <v>27</v>
      </c>
      <c r="J681" s="36">
        <f>IFERROR(I681/$Q681,0)</f>
        <v>0.40298507462686567</v>
      </c>
      <c r="K681" s="17">
        <v>0</v>
      </c>
      <c r="L681" s="36">
        <f>IFERROR(K681/$R681,0)</f>
        <v>0</v>
      </c>
      <c r="M681" s="17">
        <v>24</v>
      </c>
      <c r="N681" s="36">
        <f>IFERROR(M681/$Q681,0)</f>
        <v>0.35820895522388058</v>
      </c>
      <c r="O681" s="17">
        <v>1</v>
      </c>
      <c r="P681" s="36">
        <f>IFERROR(O681/$R681,0)</f>
        <v>1</v>
      </c>
      <c r="Q681" s="17">
        <v>67</v>
      </c>
      <c r="R681" s="17">
        <v>1</v>
      </c>
    </row>
    <row r="682" spans="1:18" ht="15.75" customHeight="1" x14ac:dyDescent="0.25">
      <c r="A682" s="37">
        <v>2020</v>
      </c>
      <c r="B682" s="35">
        <v>172030</v>
      </c>
      <c r="C682" s="34" t="s">
        <v>145</v>
      </c>
      <c r="D682" s="34" t="s">
        <v>129</v>
      </c>
      <c r="E682" s="17">
        <v>9</v>
      </c>
      <c r="F682" s="36">
        <f>IFERROR(E682/$Q682,0)</f>
        <v>0.20930232558139536</v>
      </c>
      <c r="G682" s="17">
        <v>0</v>
      </c>
      <c r="H682" s="36">
        <f>IFERROR(G682/$R682,0)</f>
        <v>0</v>
      </c>
      <c r="I682" s="17">
        <v>19</v>
      </c>
      <c r="J682" s="36">
        <f>IFERROR(I682/$Q682,0)</f>
        <v>0.44186046511627908</v>
      </c>
      <c r="K682" s="17">
        <v>0</v>
      </c>
      <c r="L682" s="36">
        <f>IFERROR(K682/$R682,0)</f>
        <v>0</v>
      </c>
      <c r="M682" s="17">
        <v>15</v>
      </c>
      <c r="N682" s="36">
        <f>IFERROR(M682/$Q682,0)</f>
        <v>0.34883720930232559</v>
      </c>
      <c r="O682" s="17">
        <v>2</v>
      </c>
      <c r="P682" s="36">
        <f>IFERROR(O682/$R682,0)</f>
        <v>1</v>
      </c>
      <c r="Q682" s="17">
        <v>43</v>
      </c>
      <c r="R682" s="17">
        <v>2</v>
      </c>
    </row>
    <row r="683" spans="1:18" ht="15.75" customHeight="1" x14ac:dyDescent="0.25">
      <c r="A683" s="37">
        <v>2020</v>
      </c>
      <c r="B683" s="35">
        <v>172049</v>
      </c>
      <c r="C683" s="34" t="s">
        <v>146</v>
      </c>
      <c r="D683" s="34" t="s">
        <v>130</v>
      </c>
      <c r="E683" s="17">
        <v>54</v>
      </c>
      <c r="F683" s="36">
        <f>IFERROR(E683/$Q683,0)</f>
        <v>0.14438502673796791</v>
      </c>
      <c r="G683" s="17">
        <v>1</v>
      </c>
      <c r="H683" s="36">
        <f>IFERROR(G683/$R683,0)</f>
        <v>0.33333333333333331</v>
      </c>
      <c r="I683" s="17">
        <v>146</v>
      </c>
      <c r="J683" s="36">
        <f>IFERROR(I683/$Q683,0)</f>
        <v>0.39037433155080214</v>
      </c>
      <c r="K683" s="17">
        <v>0</v>
      </c>
      <c r="L683" s="36">
        <f>IFERROR(K683/$R683,0)</f>
        <v>0</v>
      </c>
      <c r="M683" s="17">
        <v>174</v>
      </c>
      <c r="N683" s="36">
        <f>IFERROR(M683/$Q683,0)</f>
        <v>0.46524064171122997</v>
      </c>
      <c r="O683" s="17">
        <v>2</v>
      </c>
      <c r="P683" s="36">
        <f>IFERROR(O683/$R683,0)</f>
        <v>0.66666666666666663</v>
      </c>
      <c r="Q683" s="17">
        <v>374</v>
      </c>
      <c r="R683" s="17">
        <v>3</v>
      </c>
    </row>
    <row r="684" spans="1:18" ht="15.75" customHeight="1" x14ac:dyDescent="0.25">
      <c r="A684" s="37">
        <v>2020</v>
      </c>
      <c r="B684" s="35">
        <v>172065</v>
      </c>
      <c r="C684" s="34" t="s">
        <v>151</v>
      </c>
      <c r="D684" s="34" t="s">
        <v>131</v>
      </c>
      <c r="E684" s="17">
        <v>55</v>
      </c>
      <c r="F684" s="36">
        <f>IFERROR(E684/$Q684,0)</f>
        <v>0.1971326164874552</v>
      </c>
      <c r="G684" s="17">
        <v>3</v>
      </c>
      <c r="H684" s="36">
        <f>IFERROR(G684/$R684,0)</f>
        <v>0.33333333333333331</v>
      </c>
      <c r="I684" s="17">
        <v>113</v>
      </c>
      <c r="J684" s="36">
        <f>IFERROR(I684/$Q684,0)</f>
        <v>0.4050179211469534</v>
      </c>
      <c r="K684" s="17">
        <v>2</v>
      </c>
      <c r="L684" s="36">
        <f>IFERROR(K684/$R684,0)</f>
        <v>0.22222222222222221</v>
      </c>
      <c r="M684" s="17">
        <v>111</v>
      </c>
      <c r="N684" s="36">
        <f>IFERROR(M684/$Q684,0)</f>
        <v>0.39784946236559138</v>
      </c>
      <c r="O684" s="17">
        <v>4</v>
      </c>
      <c r="P684" s="36">
        <f>IFERROR(O684/$R684,0)</f>
        <v>0.44444444444444442</v>
      </c>
      <c r="Q684" s="17">
        <v>279</v>
      </c>
      <c r="R684" s="17">
        <v>9</v>
      </c>
    </row>
    <row r="685" spans="1:18" ht="15.75" customHeight="1" x14ac:dyDescent="0.25">
      <c r="A685" s="37">
        <v>2020</v>
      </c>
      <c r="B685" s="35">
        <v>172080</v>
      </c>
      <c r="C685" s="34" t="s">
        <v>145</v>
      </c>
      <c r="D685" s="34" t="s">
        <v>132</v>
      </c>
      <c r="E685" s="17">
        <v>154</v>
      </c>
      <c r="F685" s="36">
        <f>IFERROR(E685/$Q685,0)</f>
        <v>0.17782909930715934</v>
      </c>
      <c r="G685" s="17">
        <v>2</v>
      </c>
      <c r="H685" s="36">
        <f>IFERROR(G685/$R685,0)</f>
        <v>0.4</v>
      </c>
      <c r="I685" s="17">
        <v>333</v>
      </c>
      <c r="J685" s="36">
        <f>IFERROR(I685/$Q685,0)</f>
        <v>0.38452655889145498</v>
      </c>
      <c r="K685" s="17">
        <v>1</v>
      </c>
      <c r="L685" s="36">
        <f>IFERROR(K685/$R685,0)</f>
        <v>0.2</v>
      </c>
      <c r="M685" s="17">
        <v>379</v>
      </c>
      <c r="N685" s="36">
        <f>IFERROR(M685/$Q685,0)</f>
        <v>0.43764434180138567</v>
      </c>
      <c r="O685" s="17">
        <v>2</v>
      </c>
      <c r="P685" s="36">
        <f>IFERROR(O685/$R685,0)</f>
        <v>0.4</v>
      </c>
      <c r="Q685" s="17">
        <v>866</v>
      </c>
      <c r="R685" s="17">
        <v>5</v>
      </c>
    </row>
    <row r="686" spans="1:18" ht="15.75" customHeight="1" x14ac:dyDescent="0.25">
      <c r="A686" s="37">
        <v>2020</v>
      </c>
      <c r="B686" s="35">
        <v>172085</v>
      </c>
      <c r="C686" s="34" t="s">
        <v>146</v>
      </c>
      <c r="D686" s="34" t="s">
        <v>133</v>
      </c>
      <c r="E686" s="17">
        <v>21</v>
      </c>
      <c r="F686" s="36">
        <f>IFERROR(E686/$Q686,0)</f>
        <v>0.12352941176470589</v>
      </c>
      <c r="G686" s="17">
        <v>0</v>
      </c>
      <c r="H686" s="36">
        <f>IFERROR(G686/$R686,0)</f>
        <v>0</v>
      </c>
      <c r="I686" s="17">
        <v>75</v>
      </c>
      <c r="J686" s="36">
        <f>IFERROR(I686/$Q686,0)</f>
        <v>0.44117647058823528</v>
      </c>
      <c r="K686" s="17">
        <v>0</v>
      </c>
      <c r="L686" s="36">
        <f>IFERROR(K686/$R686,0)</f>
        <v>0</v>
      </c>
      <c r="M686" s="17">
        <v>74</v>
      </c>
      <c r="N686" s="36">
        <f>IFERROR(M686/$Q686,0)</f>
        <v>0.43529411764705883</v>
      </c>
      <c r="O686" s="17">
        <v>0</v>
      </c>
      <c r="P686" s="36">
        <f>IFERROR(O686/$R686,0)</f>
        <v>0</v>
      </c>
      <c r="Q686" s="17">
        <v>170</v>
      </c>
      <c r="R686" s="17">
        <v>0</v>
      </c>
    </row>
    <row r="687" spans="1:18" ht="15.75" customHeight="1" x14ac:dyDescent="0.25">
      <c r="A687" s="37">
        <v>2020</v>
      </c>
      <c r="B687" s="35">
        <v>170825</v>
      </c>
      <c r="C687" s="34" t="s">
        <v>148</v>
      </c>
      <c r="D687" s="34" t="s">
        <v>134</v>
      </c>
      <c r="E687" s="17">
        <v>4</v>
      </c>
      <c r="F687" s="36">
        <f>IFERROR(E687/$Q687,0)</f>
        <v>0.1</v>
      </c>
      <c r="G687" s="17">
        <v>1</v>
      </c>
      <c r="H687" s="36">
        <f>IFERROR(G687/$R687,0)</f>
        <v>0.25</v>
      </c>
      <c r="I687" s="17">
        <v>20</v>
      </c>
      <c r="J687" s="36">
        <f>IFERROR(I687/$Q687,0)</f>
        <v>0.5</v>
      </c>
      <c r="K687" s="17">
        <v>2</v>
      </c>
      <c r="L687" s="36">
        <f>IFERROR(K687/$R687,0)</f>
        <v>0.5</v>
      </c>
      <c r="M687" s="17">
        <v>16</v>
      </c>
      <c r="N687" s="36">
        <f>IFERROR(M687/$Q687,0)</f>
        <v>0.4</v>
      </c>
      <c r="O687" s="17">
        <v>1</v>
      </c>
      <c r="P687" s="36">
        <f>IFERROR(O687/$R687,0)</f>
        <v>0.25</v>
      </c>
      <c r="Q687" s="17">
        <v>40</v>
      </c>
      <c r="R687" s="17">
        <v>4</v>
      </c>
    </row>
    <row r="688" spans="1:18" ht="15.75" customHeight="1" x14ac:dyDescent="0.25">
      <c r="A688" s="37">
        <v>2020</v>
      </c>
      <c r="B688" s="35">
        <v>172090</v>
      </c>
      <c r="C688" s="34" t="s">
        <v>147</v>
      </c>
      <c r="D688" s="34" t="s">
        <v>135</v>
      </c>
      <c r="E688" s="17">
        <v>3</v>
      </c>
      <c r="F688" s="36">
        <f>IFERROR(E688/$Q688,0)</f>
        <v>0.14285714285714285</v>
      </c>
      <c r="G688" s="17">
        <v>0</v>
      </c>
      <c r="H688" s="36">
        <f>IFERROR(G688/$R688,0)</f>
        <v>0</v>
      </c>
      <c r="I688" s="17">
        <v>11</v>
      </c>
      <c r="J688" s="36">
        <f>IFERROR(I688/$Q688,0)</f>
        <v>0.52380952380952384</v>
      </c>
      <c r="K688" s="17">
        <v>0</v>
      </c>
      <c r="L688" s="36">
        <f>IFERROR(K688/$R688,0)</f>
        <v>0</v>
      </c>
      <c r="M688" s="17">
        <v>7</v>
      </c>
      <c r="N688" s="36">
        <f>IFERROR(M688/$Q688,0)</f>
        <v>0.33333333333333331</v>
      </c>
      <c r="O688" s="17">
        <v>0</v>
      </c>
      <c r="P688" s="36">
        <f>IFERROR(O688/$R688,0)</f>
        <v>0</v>
      </c>
      <c r="Q688" s="17">
        <v>21</v>
      </c>
      <c r="R688" s="17">
        <v>0</v>
      </c>
    </row>
    <row r="689" spans="1:18" ht="15.75" customHeight="1" x14ac:dyDescent="0.25">
      <c r="A689" s="37">
        <v>2020</v>
      </c>
      <c r="B689" s="35">
        <v>172093</v>
      </c>
      <c r="C689" s="34" t="s">
        <v>147</v>
      </c>
      <c r="D689" s="34" t="s">
        <v>136</v>
      </c>
      <c r="E689" s="17">
        <v>1</v>
      </c>
      <c r="F689" s="36">
        <f>IFERROR(E689/$Q689,0)</f>
        <v>0.14285714285714285</v>
      </c>
      <c r="G689" s="17">
        <v>0</v>
      </c>
      <c r="H689" s="36">
        <f>IFERROR(G689/$R689,0)</f>
        <v>0</v>
      </c>
      <c r="I689" s="17">
        <v>3</v>
      </c>
      <c r="J689" s="36">
        <f>IFERROR(I689/$Q689,0)</f>
        <v>0.42857142857142855</v>
      </c>
      <c r="K689" s="17">
        <v>0</v>
      </c>
      <c r="L689" s="36">
        <f>IFERROR(K689/$R689,0)</f>
        <v>0</v>
      </c>
      <c r="M689" s="17">
        <v>3</v>
      </c>
      <c r="N689" s="36">
        <f>IFERROR(M689/$Q689,0)</f>
        <v>0.42857142857142855</v>
      </c>
      <c r="O689" s="17">
        <v>1</v>
      </c>
      <c r="P689" s="36">
        <f>IFERROR(O689/$R689,0)</f>
        <v>1</v>
      </c>
      <c r="Q689" s="17">
        <v>7</v>
      </c>
      <c r="R689" s="17">
        <v>1</v>
      </c>
    </row>
    <row r="690" spans="1:18" ht="15.75" customHeight="1" x14ac:dyDescent="0.25">
      <c r="A690" s="37">
        <v>2020</v>
      </c>
      <c r="B690" s="35">
        <v>172097</v>
      </c>
      <c r="C690" s="34" t="s">
        <v>146</v>
      </c>
      <c r="D690" s="34" t="s">
        <v>137</v>
      </c>
      <c r="E690" s="17">
        <v>9</v>
      </c>
      <c r="F690" s="36">
        <f>IFERROR(E690/$Q690,0)</f>
        <v>0.1125</v>
      </c>
      <c r="G690" s="17">
        <v>0</v>
      </c>
      <c r="H690" s="36">
        <f>IFERROR(G690/$R690,0)</f>
        <v>0</v>
      </c>
      <c r="I690" s="17">
        <v>34</v>
      </c>
      <c r="J690" s="36">
        <f>IFERROR(I690/$Q690,0)</f>
        <v>0.42499999999999999</v>
      </c>
      <c r="K690" s="17">
        <v>0</v>
      </c>
      <c r="L690" s="36">
        <f>IFERROR(K690/$R690,0)</f>
        <v>0</v>
      </c>
      <c r="M690" s="17">
        <v>37</v>
      </c>
      <c r="N690" s="36">
        <f>IFERROR(M690/$Q690,0)</f>
        <v>0.46250000000000002</v>
      </c>
      <c r="O690" s="17">
        <v>0</v>
      </c>
      <c r="P690" s="36">
        <f>IFERROR(O690/$R690,0)</f>
        <v>0</v>
      </c>
      <c r="Q690" s="17">
        <v>80</v>
      </c>
      <c r="R690" s="17">
        <v>0</v>
      </c>
    </row>
    <row r="691" spans="1:18" ht="15.75" customHeight="1" x14ac:dyDescent="0.25">
      <c r="A691" s="37">
        <v>2020</v>
      </c>
      <c r="B691" s="35">
        <v>172110</v>
      </c>
      <c r="C691" s="34" t="s">
        <v>148</v>
      </c>
      <c r="D691" s="34" t="s">
        <v>138</v>
      </c>
      <c r="E691" s="17">
        <v>47</v>
      </c>
      <c r="F691" s="36">
        <f>IFERROR(E691/$Q691,0)</f>
        <v>0.17279411764705882</v>
      </c>
      <c r="G691" s="17">
        <v>0</v>
      </c>
      <c r="H691" s="36">
        <f>IFERROR(G691/$R691,0)</f>
        <v>0</v>
      </c>
      <c r="I691" s="17">
        <v>116</v>
      </c>
      <c r="J691" s="36">
        <f>IFERROR(I691/$Q691,0)</f>
        <v>0.4264705882352941</v>
      </c>
      <c r="K691" s="17">
        <v>2</v>
      </c>
      <c r="L691" s="36">
        <f>IFERROR(K691/$R691,0)</f>
        <v>0.66666666666666663</v>
      </c>
      <c r="M691" s="17">
        <v>109</v>
      </c>
      <c r="N691" s="36">
        <f>IFERROR(M691/$Q691,0)</f>
        <v>0.40073529411764708</v>
      </c>
      <c r="O691" s="17">
        <v>1</v>
      </c>
      <c r="P691" s="36">
        <f>IFERROR(O691/$R691,0)</f>
        <v>0.33333333333333331</v>
      </c>
      <c r="Q691" s="17">
        <v>272</v>
      </c>
      <c r="R691" s="17">
        <v>3</v>
      </c>
    </row>
    <row r="692" spans="1:18" ht="15.75" customHeight="1" x14ac:dyDescent="0.25">
      <c r="A692" s="37">
        <v>2020</v>
      </c>
      <c r="B692" s="35">
        <v>172120</v>
      </c>
      <c r="C692" s="34" t="s">
        <v>145</v>
      </c>
      <c r="D692" s="34" t="s">
        <v>139</v>
      </c>
      <c r="E692" s="17">
        <v>29</v>
      </c>
      <c r="F692" s="36">
        <f>IFERROR(E692/$Q692,0)</f>
        <v>0.13364055299539171</v>
      </c>
      <c r="G692" s="17">
        <v>0</v>
      </c>
      <c r="H692" s="36">
        <f>IFERROR(G692/$R692,0)</f>
        <v>0</v>
      </c>
      <c r="I692" s="17">
        <v>96</v>
      </c>
      <c r="J692" s="36">
        <f>IFERROR(I692/$Q692,0)</f>
        <v>0.44239631336405533</v>
      </c>
      <c r="K692" s="17">
        <v>2</v>
      </c>
      <c r="L692" s="36">
        <f>IFERROR(K692/$R692,0)</f>
        <v>0.66666666666666663</v>
      </c>
      <c r="M692" s="17">
        <v>92</v>
      </c>
      <c r="N692" s="36">
        <f>IFERROR(M692/$Q692,0)</f>
        <v>0.42396313364055299</v>
      </c>
      <c r="O692" s="17">
        <v>1</v>
      </c>
      <c r="P692" s="36">
        <f>IFERROR(O692/$R692,0)</f>
        <v>0.33333333333333331</v>
      </c>
      <c r="Q692" s="17">
        <v>217</v>
      </c>
      <c r="R692" s="17">
        <v>3</v>
      </c>
    </row>
    <row r="693" spans="1:18" ht="15.75" customHeight="1" x14ac:dyDescent="0.25">
      <c r="A693" s="37">
        <v>2020</v>
      </c>
      <c r="B693" s="35">
        <v>172125</v>
      </c>
      <c r="C693" s="34" t="s">
        <v>150</v>
      </c>
      <c r="D693" s="34" t="s">
        <v>140</v>
      </c>
      <c r="E693" s="17">
        <v>21</v>
      </c>
      <c r="F693" s="36">
        <f>IFERROR(E693/$Q693,0)</f>
        <v>0.21428571428571427</v>
      </c>
      <c r="G693" s="17">
        <v>0</v>
      </c>
      <c r="H693" s="36">
        <f>IFERROR(G693/$R693,0)</f>
        <v>0</v>
      </c>
      <c r="I693" s="17">
        <v>42</v>
      </c>
      <c r="J693" s="36">
        <f>IFERROR(I693/$Q693,0)</f>
        <v>0.42857142857142855</v>
      </c>
      <c r="K693" s="17">
        <v>3</v>
      </c>
      <c r="L693" s="36">
        <f>IFERROR(K693/$R693,0)</f>
        <v>0.75</v>
      </c>
      <c r="M693" s="17">
        <v>35</v>
      </c>
      <c r="N693" s="36">
        <f>IFERROR(M693/$Q693,0)</f>
        <v>0.35714285714285715</v>
      </c>
      <c r="O693" s="17">
        <v>1</v>
      </c>
      <c r="P693" s="36">
        <f>IFERROR(O693/$R693,0)</f>
        <v>0.25</v>
      </c>
      <c r="Q693" s="17">
        <v>98</v>
      </c>
      <c r="R693" s="17">
        <v>4</v>
      </c>
    </row>
    <row r="694" spans="1:18" ht="15.75" customHeight="1" x14ac:dyDescent="0.25">
      <c r="A694" s="37">
        <v>2020</v>
      </c>
      <c r="B694" s="35">
        <v>172130</v>
      </c>
      <c r="C694" s="34" t="s">
        <v>150</v>
      </c>
      <c r="D694" s="34" t="s">
        <v>141</v>
      </c>
      <c r="E694" s="17">
        <v>0</v>
      </c>
      <c r="F694" s="36">
        <f>IFERROR(E694/$Q694,0)</f>
        <v>0</v>
      </c>
      <c r="G694" s="17">
        <v>0</v>
      </c>
      <c r="H694" s="36">
        <f>IFERROR(G694/$R694,0)</f>
        <v>0</v>
      </c>
      <c r="I694" s="17">
        <v>0</v>
      </c>
      <c r="J694" s="36">
        <f>IFERROR(I694/$Q694,0)</f>
        <v>0</v>
      </c>
      <c r="K694" s="17">
        <v>0</v>
      </c>
      <c r="L694" s="36">
        <f>IFERROR(K694/$R694,0)</f>
        <v>0</v>
      </c>
      <c r="M694" s="17">
        <v>0</v>
      </c>
      <c r="N694" s="36">
        <f>IFERROR(M694/$Q694,0)</f>
        <v>0</v>
      </c>
      <c r="O694" s="17">
        <v>0</v>
      </c>
      <c r="P694" s="36">
        <f>IFERROR(O694/$R694,0)</f>
        <v>0</v>
      </c>
      <c r="Q694" s="17">
        <v>0</v>
      </c>
      <c r="R694" s="17">
        <v>0</v>
      </c>
    </row>
    <row r="695" spans="1:18" ht="15.75" customHeight="1" x14ac:dyDescent="0.25">
      <c r="A695" s="37">
        <v>2020</v>
      </c>
      <c r="B695" s="35">
        <v>172208</v>
      </c>
      <c r="C695" s="34" t="s">
        <v>149</v>
      </c>
      <c r="D695" s="34" t="s">
        <v>142</v>
      </c>
      <c r="E695" s="17">
        <v>56</v>
      </c>
      <c r="F695" s="36">
        <f>IFERROR(E695/$Q695,0)</f>
        <v>0.18666666666666668</v>
      </c>
      <c r="G695" s="17">
        <v>1</v>
      </c>
      <c r="H695" s="36">
        <f>IFERROR(G695/$R695,0)</f>
        <v>0.14285714285714285</v>
      </c>
      <c r="I695" s="17">
        <v>128</v>
      </c>
      <c r="J695" s="36">
        <f>IFERROR(I695/$Q695,0)</f>
        <v>0.42666666666666669</v>
      </c>
      <c r="K695" s="17">
        <v>4</v>
      </c>
      <c r="L695" s="36">
        <f>IFERROR(K695/$R695,0)</f>
        <v>0.5714285714285714</v>
      </c>
      <c r="M695" s="17">
        <v>116</v>
      </c>
      <c r="N695" s="36">
        <f>IFERROR(M695/$Q695,0)</f>
        <v>0.38666666666666666</v>
      </c>
      <c r="O695" s="17">
        <v>2</v>
      </c>
      <c r="P695" s="36">
        <f>IFERROR(O695/$R695,0)</f>
        <v>0.2857142857142857</v>
      </c>
      <c r="Q695" s="17">
        <v>300</v>
      </c>
      <c r="R695" s="17">
        <v>7</v>
      </c>
    </row>
    <row r="696" spans="1:18" ht="15.75" customHeight="1" x14ac:dyDescent="0.25">
      <c r="A696" s="37">
        <v>2020</v>
      </c>
      <c r="B696" s="35">
        <v>172210</v>
      </c>
      <c r="C696" s="34" t="s">
        <v>149</v>
      </c>
      <c r="D696" s="34" t="s">
        <v>143</v>
      </c>
      <c r="E696" s="17">
        <v>10</v>
      </c>
      <c r="F696" s="36">
        <f>IFERROR(E696/$Q696,0)</f>
        <v>0.21739130434782608</v>
      </c>
      <c r="G696" s="17">
        <v>2</v>
      </c>
      <c r="H696" s="36">
        <f>IFERROR(G696/$R696,0)</f>
        <v>0.125</v>
      </c>
      <c r="I696" s="17">
        <v>14</v>
      </c>
      <c r="J696" s="36">
        <f>IFERROR(I696/$Q696,0)</f>
        <v>0.30434782608695654</v>
      </c>
      <c r="K696" s="17">
        <v>5</v>
      </c>
      <c r="L696" s="36">
        <f>IFERROR(K696/$R696,0)</f>
        <v>0.3125</v>
      </c>
      <c r="M696" s="17">
        <v>22</v>
      </c>
      <c r="N696" s="36">
        <f>IFERROR(M696/$Q696,0)</f>
        <v>0.47826086956521741</v>
      </c>
      <c r="O696" s="17">
        <v>9</v>
      </c>
      <c r="P696" s="36">
        <f>IFERROR(O696/$R696,0)</f>
        <v>0.5625</v>
      </c>
      <c r="Q696" s="17">
        <v>46</v>
      </c>
      <c r="R696" s="17">
        <v>16</v>
      </c>
    </row>
    <row r="697" spans="1:18" ht="15.75" customHeight="1" x14ac:dyDescent="0.25">
      <c r="A697" s="37">
        <v>2019</v>
      </c>
      <c r="B697" s="35">
        <v>170025</v>
      </c>
      <c r="C697" s="34" t="s">
        <v>144</v>
      </c>
      <c r="D697" s="34" t="s">
        <v>5</v>
      </c>
      <c r="E697" s="17">
        <v>6</v>
      </c>
      <c r="F697" s="36">
        <f>IFERROR(E697/$Q697,0)</f>
        <v>2.1739130434782608E-2</v>
      </c>
      <c r="G697" s="17">
        <v>1</v>
      </c>
      <c r="H697" s="36">
        <f>IFERROR(G697/$R697,0)</f>
        <v>0.2</v>
      </c>
      <c r="I697" s="17">
        <v>33</v>
      </c>
      <c r="J697" s="36">
        <f>IFERROR(I697/$Q697,0)</f>
        <v>0.11956521739130435</v>
      </c>
      <c r="K697" s="17">
        <v>1</v>
      </c>
      <c r="L697" s="36">
        <f>IFERROR(K697/$R697,0)</f>
        <v>0.2</v>
      </c>
      <c r="M697" s="17">
        <v>24</v>
      </c>
      <c r="N697" s="36">
        <f>IFERROR(M697/$Q697,0)</f>
        <v>8.6956521739130432E-2</v>
      </c>
      <c r="O697" s="17">
        <v>3</v>
      </c>
      <c r="P697" s="36">
        <f>IFERROR(O697/$R697,0)</f>
        <v>0.6</v>
      </c>
      <c r="Q697" s="17">
        <v>276</v>
      </c>
      <c r="R697" s="17">
        <v>5</v>
      </c>
    </row>
    <row r="698" spans="1:18" ht="15.75" customHeight="1" x14ac:dyDescent="0.25">
      <c r="A698" s="37">
        <v>2019</v>
      </c>
      <c r="B698" s="35">
        <v>170030</v>
      </c>
      <c r="C698" s="34" t="s">
        <v>145</v>
      </c>
      <c r="D698" s="34" t="s">
        <v>6</v>
      </c>
      <c r="E698" s="17">
        <v>38</v>
      </c>
      <c r="F698" s="36">
        <f>IFERROR(E698/$Q698,0)</f>
        <v>0.14785992217898833</v>
      </c>
      <c r="G698" s="17">
        <v>1</v>
      </c>
      <c r="H698" s="36">
        <f>IFERROR(G698/$R698,0)</f>
        <v>0.16666666666666666</v>
      </c>
      <c r="I698" s="17">
        <v>106</v>
      </c>
      <c r="J698" s="36">
        <f>IFERROR(I698/$Q698,0)</f>
        <v>0.41245136186770426</v>
      </c>
      <c r="K698" s="17">
        <v>1</v>
      </c>
      <c r="L698" s="36">
        <f>IFERROR(K698/$R698,0)</f>
        <v>0.16666666666666666</v>
      </c>
      <c r="M698" s="17">
        <v>132</v>
      </c>
      <c r="N698" s="36">
        <f>IFERROR(M698/$Q698,0)</f>
        <v>0.51361867704280151</v>
      </c>
      <c r="O698" s="17">
        <v>4</v>
      </c>
      <c r="P698" s="36">
        <f>IFERROR(O698/$R698,0)</f>
        <v>0.66666666666666663</v>
      </c>
      <c r="Q698" s="17">
        <v>257</v>
      </c>
      <c r="R698" s="17">
        <v>6</v>
      </c>
    </row>
    <row r="699" spans="1:18" ht="15.75" customHeight="1" x14ac:dyDescent="0.25">
      <c r="A699" s="37">
        <v>2019</v>
      </c>
      <c r="B699" s="35">
        <v>170035</v>
      </c>
      <c r="C699" s="34" t="s">
        <v>146</v>
      </c>
      <c r="D699" s="34" t="s">
        <v>7</v>
      </c>
      <c r="E699" s="17">
        <v>40</v>
      </c>
      <c r="F699" s="36">
        <f>IFERROR(E699/$Q699,0)</f>
        <v>0.27027027027027029</v>
      </c>
      <c r="G699" s="17">
        <v>1</v>
      </c>
      <c r="H699" s="36">
        <f>IFERROR(G699/$R699,0)</f>
        <v>0.2</v>
      </c>
      <c r="I699" s="17">
        <v>106</v>
      </c>
      <c r="J699" s="36">
        <f>IFERROR(I699/$Q699,0)</f>
        <v>0.71621621621621623</v>
      </c>
      <c r="K699" s="17">
        <v>2</v>
      </c>
      <c r="L699" s="36">
        <f>IFERROR(K699/$R699,0)</f>
        <v>0.4</v>
      </c>
      <c r="M699" s="17">
        <v>111</v>
      </c>
      <c r="N699" s="36">
        <f>IFERROR(M699/$Q699,0)</f>
        <v>0.75</v>
      </c>
      <c r="O699" s="17">
        <v>2</v>
      </c>
      <c r="P699" s="36">
        <f>IFERROR(O699/$R699,0)</f>
        <v>0.4</v>
      </c>
      <c r="Q699" s="17">
        <v>148</v>
      </c>
      <c r="R699" s="17">
        <v>5</v>
      </c>
    </row>
    <row r="700" spans="1:18" ht="15.75" customHeight="1" x14ac:dyDescent="0.25">
      <c r="A700" s="37">
        <v>2019</v>
      </c>
      <c r="B700" s="35">
        <v>170040</v>
      </c>
      <c r="C700" s="34" t="s">
        <v>147</v>
      </c>
      <c r="D700" s="34" t="s">
        <v>8</v>
      </c>
      <c r="E700" s="17">
        <v>33</v>
      </c>
      <c r="F700" s="36">
        <f>IFERROR(E700/$Q700,0)</f>
        <v>0.16751269035532995</v>
      </c>
      <c r="G700" s="17">
        <v>1</v>
      </c>
      <c r="H700" s="36">
        <f>IFERROR(G700/$R700,0)</f>
        <v>0.16666666666666666</v>
      </c>
      <c r="I700" s="17">
        <v>61</v>
      </c>
      <c r="J700" s="36">
        <f>IFERROR(I700/$Q700,0)</f>
        <v>0.30964467005076141</v>
      </c>
      <c r="K700" s="17">
        <v>0</v>
      </c>
      <c r="L700" s="36">
        <f>IFERROR(K700/$R700,0)</f>
        <v>0</v>
      </c>
      <c r="M700" s="17">
        <v>54</v>
      </c>
      <c r="N700" s="36">
        <f>IFERROR(M700/$Q700,0)</f>
        <v>0.27411167512690354</v>
      </c>
      <c r="O700" s="17">
        <v>5</v>
      </c>
      <c r="P700" s="36">
        <f>IFERROR(O700/$R700,0)</f>
        <v>0.83333333333333337</v>
      </c>
      <c r="Q700" s="17">
        <v>197</v>
      </c>
      <c r="R700" s="17">
        <v>6</v>
      </c>
    </row>
    <row r="701" spans="1:18" ht="15.75" customHeight="1" x14ac:dyDescent="0.25">
      <c r="A701" s="37">
        <v>2019</v>
      </c>
      <c r="B701" s="35">
        <v>170070</v>
      </c>
      <c r="C701" s="34" t="s">
        <v>146</v>
      </c>
      <c r="D701" s="34" t="s">
        <v>9</v>
      </c>
      <c r="E701" s="17">
        <v>26</v>
      </c>
      <c r="F701" s="36">
        <f>IFERROR(E701/$Q701,0)</f>
        <v>6.5822784810126586E-2</v>
      </c>
      <c r="G701" s="17">
        <v>0</v>
      </c>
      <c r="H701" s="36">
        <f>IFERROR(G701/$R701,0)</f>
        <v>0</v>
      </c>
      <c r="I701" s="17">
        <v>77</v>
      </c>
      <c r="J701" s="36">
        <f>IFERROR(I701/$Q701,0)</f>
        <v>0.19493670886075951</v>
      </c>
      <c r="K701" s="17">
        <v>0</v>
      </c>
      <c r="L701" s="36">
        <f>IFERROR(K701/$R701,0)</f>
        <v>0</v>
      </c>
      <c r="M701" s="17">
        <v>94</v>
      </c>
      <c r="N701" s="36">
        <f>IFERROR(M701/$Q701,0)</f>
        <v>0.23797468354430379</v>
      </c>
      <c r="O701" s="17">
        <v>1</v>
      </c>
      <c r="P701" s="36">
        <f>IFERROR(O701/$R701,0)</f>
        <v>1</v>
      </c>
      <c r="Q701" s="17">
        <v>395</v>
      </c>
      <c r="R701" s="17">
        <v>1</v>
      </c>
    </row>
    <row r="702" spans="1:18" ht="15.75" customHeight="1" x14ac:dyDescent="0.25">
      <c r="A702" s="37">
        <v>2019</v>
      </c>
      <c r="B702" s="35">
        <v>170100</v>
      </c>
      <c r="C702" s="34" t="s">
        <v>145</v>
      </c>
      <c r="D702" s="34" t="s">
        <v>10</v>
      </c>
      <c r="E702" s="17">
        <v>51</v>
      </c>
      <c r="F702" s="36">
        <f>IFERROR(E702/$Q702,0)</f>
        <v>0.6</v>
      </c>
      <c r="G702" s="17">
        <v>0</v>
      </c>
      <c r="H702" s="36">
        <f>IFERROR(G702/$R702,0)</f>
        <v>0</v>
      </c>
      <c r="I702" s="17">
        <v>132</v>
      </c>
      <c r="J702" s="36">
        <f>IFERROR(I702/$Q702,0)</f>
        <v>1.5529411764705883</v>
      </c>
      <c r="K702" s="17">
        <v>2</v>
      </c>
      <c r="L702" s="36">
        <f>IFERROR(K702/$R702,0)</f>
        <v>0.25</v>
      </c>
      <c r="M702" s="17">
        <v>212</v>
      </c>
      <c r="N702" s="36">
        <f>IFERROR(M702/$Q702,0)</f>
        <v>2.4941176470588236</v>
      </c>
      <c r="O702" s="17">
        <v>6</v>
      </c>
      <c r="P702" s="36">
        <f>IFERROR(O702/$R702,0)</f>
        <v>0.75</v>
      </c>
      <c r="Q702" s="17">
        <v>85</v>
      </c>
      <c r="R702" s="17">
        <v>8</v>
      </c>
    </row>
    <row r="703" spans="1:18" ht="15.75" customHeight="1" x14ac:dyDescent="0.25">
      <c r="A703" s="37">
        <v>2019</v>
      </c>
      <c r="B703" s="35">
        <v>170105</v>
      </c>
      <c r="C703" s="34" t="s">
        <v>145</v>
      </c>
      <c r="D703" s="34" t="s">
        <v>11</v>
      </c>
      <c r="E703" s="17">
        <v>17</v>
      </c>
      <c r="F703" s="36">
        <f>IFERROR(E703/$Q703,0)</f>
        <v>3.0965391621129327E-2</v>
      </c>
      <c r="G703" s="17">
        <v>1</v>
      </c>
      <c r="H703" s="36">
        <f>IFERROR(G703/$R703,0)</f>
        <v>0.5</v>
      </c>
      <c r="I703" s="17">
        <v>39</v>
      </c>
      <c r="J703" s="36">
        <f>IFERROR(I703/$Q703,0)</f>
        <v>7.1038251366120214E-2</v>
      </c>
      <c r="K703" s="17">
        <v>0</v>
      </c>
      <c r="L703" s="36">
        <f>IFERROR(K703/$R703,0)</f>
        <v>0</v>
      </c>
      <c r="M703" s="17">
        <v>29</v>
      </c>
      <c r="N703" s="36">
        <f>IFERROR(M703/$Q703,0)</f>
        <v>5.2823315118397086E-2</v>
      </c>
      <c r="O703" s="17">
        <v>1</v>
      </c>
      <c r="P703" s="36">
        <f>IFERROR(O703/$R703,0)</f>
        <v>0.5</v>
      </c>
      <c r="Q703" s="17">
        <v>549</v>
      </c>
      <c r="R703" s="17">
        <v>2</v>
      </c>
    </row>
    <row r="704" spans="1:18" ht="15.75" customHeight="1" x14ac:dyDescent="0.25">
      <c r="A704" s="37">
        <v>2019</v>
      </c>
      <c r="B704" s="35">
        <v>170110</v>
      </c>
      <c r="C704" s="34" t="s">
        <v>148</v>
      </c>
      <c r="D704" s="34" t="s">
        <v>12</v>
      </c>
      <c r="E704" s="17">
        <v>84</v>
      </c>
      <c r="F704" s="36">
        <f>IFERROR(E704/$Q704,0)</f>
        <v>0.21052631578947367</v>
      </c>
      <c r="G704" s="17">
        <v>1</v>
      </c>
      <c r="H704" s="36">
        <f>IFERROR(G704/$R704,0)</f>
        <v>0.125</v>
      </c>
      <c r="I704" s="17">
        <v>249</v>
      </c>
      <c r="J704" s="36">
        <f>IFERROR(I704/$Q704,0)</f>
        <v>0.62406015037593987</v>
      </c>
      <c r="K704" s="17">
        <v>2</v>
      </c>
      <c r="L704" s="36">
        <f>IFERROR(K704/$R704,0)</f>
        <v>0.25</v>
      </c>
      <c r="M704" s="17">
        <v>216</v>
      </c>
      <c r="N704" s="36">
        <f>IFERROR(M704/$Q704,0)</f>
        <v>0.54135338345864659</v>
      </c>
      <c r="O704" s="17">
        <v>5</v>
      </c>
      <c r="P704" s="36">
        <f>IFERROR(O704/$R704,0)</f>
        <v>0.625</v>
      </c>
      <c r="Q704" s="17">
        <v>399</v>
      </c>
      <c r="R704" s="17">
        <v>8</v>
      </c>
    </row>
    <row r="705" spans="1:18" ht="15.75" customHeight="1" x14ac:dyDescent="0.25">
      <c r="A705" s="37">
        <v>2019</v>
      </c>
      <c r="B705" s="35">
        <v>170130</v>
      </c>
      <c r="C705" s="34" t="s">
        <v>149</v>
      </c>
      <c r="D705" s="34" t="s">
        <v>13</v>
      </c>
      <c r="E705" s="17">
        <v>60</v>
      </c>
      <c r="F705" s="36">
        <f>IFERROR(E705/$Q705,0)</f>
        <v>0.1941747572815534</v>
      </c>
      <c r="G705" s="17">
        <v>1</v>
      </c>
      <c r="H705" s="36">
        <f>IFERROR(G705/$R705,0)</f>
        <v>0.33333333333333331</v>
      </c>
      <c r="I705" s="17">
        <v>174</v>
      </c>
      <c r="J705" s="36">
        <f>IFERROR(I705/$Q705,0)</f>
        <v>0.56310679611650483</v>
      </c>
      <c r="K705" s="17">
        <v>0</v>
      </c>
      <c r="L705" s="36">
        <f>IFERROR(K705/$R705,0)</f>
        <v>0</v>
      </c>
      <c r="M705" s="17">
        <v>165</v>
      </c>
      <c r="N705" s="36">
        <f>IFERROR(M705/$Q705,0)</f>
        <v>0.53398058252427183</v>
      </c>
      <c r="O705" s="17">
        <v>2</v>
      </c>
      <c r="P705" s="36">
        <f>IFERROR(O705/$R705,0)</f>
        <v>0.66666666666666663</v>
      </c>
      <c r="Q705" s="17">
        <v>309</v>
      </c>
      <c r="R705" s="17">
        <v>3</v>
      </c>
    </row>
    <row r="706" spans="1:18" ht="15.75" customHeight="1" x14ac:dyDescent="0.25">
      <c r="A706" s="37">
        <v>2019</v>
      </c>
      <c r="B706" s="35">
        <v>170190</v>
      </c>
      <c r="C706" s="34" t="s">
        <v>144</v>
      </c>
      <c r="D706" s="34" t="s">
        <v>14</v>
      </c>
      <c r="E706" s="17">
        <v>26</v>
      </c>
      <c r="F706" s="36">
        <f>IFERROR(E706/$Q706,0)</f>
        <v>5.0290135396518373E-2</v>
      </c>
      <c r="G706" s="17">
        <v>0</v>
      </c>
      <c r="H706" s="36">
        <f>IFERROR(G706/$R706,0)</f>
        <v>0</v>
      </c>
      <c r="I706" s="17">
        <v>132</v>
      </c>
      <c r="J706" s="36">
        <f>IFERROR(I706/$Q706,0)</f>
        <v>0.25531914893617019</v>
      </c>
      <c r="K706" s="17">
        <v>3</v>
      </c>
      <c r="L706" s="36">
        <f>IFERROR(K706/$R706,0)</f>
        <v>0.6</v>
      </c>
      <c r="M706" s="17">
        <v>151</v>
      </c>
      <c r="N706" s="36">
        <f>IFERROR(M706/$Q706,0)</f>
        <v>0.29206963249516443</v>
      </c>
      <c r="O706" s="17">
        <v>2</v>
      </c>
      <c r="P706" s="36">
        <f>IFERROR(O706/$R706,0)</f>
        <v>0.4</v>
      </c>
      <c r="Q706" s="17">
        <v>517</v>
      </c>
      <c r="R706" s="17">
        <v>5</v>
      </c>
    </row>
    <row r="707" spans="1:18" ht="15.75" customHeight="1" x14ac:dyDescent="0.25">
      <c r="A707" s="37">
        <v>2019</v>
      </c>
      <c r="B707" s="35">
        <v>170200</v>
      </c>
      <c r="C707" s="34" t="s">
        <v>146</v>
      </c>
      <c r="D707" s="34" t="s">
        <v>15</v>
      </c>
      <c r="E707" s="17">
        <v>68</v>
      </c>
      <c r="F707" s="36">
        <f>IFERROR(E707/$Q707,0)</f>
        <v>1.9710144927536231E-2</v>
      </c>
      <c r="G707" s="17">
        <v>0</v>
      </c>
      <c r="H707" s="36">
        <f>IFERROR(G707/$R707,0)</f>
        <v>0</v>
      </c>
      <c r="I707" s="17">
        <v>190</v>
      </c>
      <c r="J707" s="36">
        <f>IFERROR(I707/$Q707,0)</f>
        <v>5.5072463768115941E-2</v>
      </c>
      <c r="K707" s="17">
        <v>2</v>
      </c>
      <c r="L707" s="36">
        <f>IFERROR(K707/$R707,0)</f>
        <v>0.66666666666666663</v>
      </c>
      <c r="M707" s="17">
        <v>259</v>
      </c>
      <c r="N707" s="36">
        <f>IFERROR(M707/$Q707,0)</f>
        <v>7.5072463768115938E-2</v>
      </c>
      <c r="O707" s="17">
        <v>1</v>
      </c>
      <c r="P707" s="36">
        <f>IFERROR(O707/$R707,0)</f>
        <v>0.33333333333333331</v>
      </c>
      <c r="Q707" s="16">
        <v>3450</v>
      </c>
      <c r="R707" s="17">
        <v>3</v>
      </c>
    </row>
    <row r="708" spans="1:18" ht="15.75" customHeight="1" x14ac:dyDescent="0.25">
      <c r="A708" s="37">
        <v>2019</v>
      </c>
      <c r="B708" s="35">
        <v>170210</v>
      </c>
      <c r="C708" s="34" t="s">
        <v>149</v>
      </c>
      <c r="D708" s="34" t="s">
        <v>16</v>
      </c>
      <c r="E708" s="17">
        <v>417</v>
      </c>
      <c r="F708" s="36">
        <f>IFERROR(E708/$Q708,0)</f>
        <v>1.5916030534351144</v>
      </c>
      <c r="G708" s="17">
        <v>6</v>
      </c>
      <c r="H708" s="36">
        <f>IFERROR(G708/$R708,0)</f>
        <v>0.125</v>
      </c>
      <c r="I708" s="16">
        <v>1371</v>
      </c>
      <c r="J708" s="36">
        <f>IFERROR(I708/$Q708,0)</f>
        <v>5.2328244274809164</v>
      </c>
      <c r="K708" s="17">
        <v>15</v>
      </c>
      <c r="L708" s="36">
        <f>IFERROR(K708/$R708,0)</f>
        <v>0.3125</v>
      </c>
      <c r="M708" s="16">
        <v>1662</v>
      </c>
      <c r="N708" s="36">
        <f>IFERROR(M708/$Q708,0)</f>
        <v>6.343511450381679</v>
      </c>
      <c r="O708" s="17">
        <v>27</v>
      </c>
      <c r="P708" s="36">
        <f>IFERROR(O708/$R708,0)</f>
        <v>0.5625</v>
      </c>
      <c r="Q708" s="17">
        <v>262</v>
      </c>
      <c r="R708" s="17">
        <v>48</v>
      </c>
    </row>
    <row r="709" spans="1:18" ht="15.75" customHeight="1" x14ac:dyDescent="0.25">
      <c r="A709" s="37">
        <v>2019</v>
      </c>
      <c r="B709" s="35">
        <v>170215</v>
      </c>
      <c r="C709" s="34" t="s">
        <v>149</v>
      </c>
      <c r="D709" s="34" t="s">
        <v>17</v>
      </c>
      <c r="E709" s="17">
        <v>31</v>
      </c>
      <c r="F709" s="36">
        <f>IFERROR(E709/$Q709,0)</f>
        <v>3.5469107551487411E-2</v>
      </c>
      <c r="G709" s="17">
        <v>1</v>
      </c>
      <c r="H709" s="36">
        <f>IFERROR(G709/$R709,0)</f>
        <v>0.14285714285714285</v>
      </c>
      <c r="I709" s="17">
        <v>98</v>
      </c>
      <c r="J709" s="36">
        <f>IFERROR(I709/$Q709,0)</f>
        <v>0.11212814645308924</v>
      </c>
      <c r="K709" s="17">
        <v>4</v>
      </c>
      <c r="L709" s="36">
        <f>IFERROR(K709/$R709,0)</f>
        <v>0.5714285714285714</v>
      </c>
      <c r="M709" s="17">
        <v>133</v>
      </c>
      <c r="N709" s="36">
        <f>IFERROR(M709/$Q709,0)</f>
        <v>0.15217391304347827</v>
      </c>
      <c r="O709" s="17">
        <v>2</v>
      </c>
      <c r="P709" s="36">
        <f>IFERROR(O709/$R709,0)</f>
        <v>0.2857142857142857</v>
      </c>
      <c r="Q709" s="17">
        <v>874</v>
      </c>
      <c r="R709" s="17">
        <v>7</v>
      </c>
    </row>
    <row r="710" spans="1:18" ht="15.75" customHeight="1" x14ac:dyDescent="0.25">
      <c r="A710" s="37">
        <v>2019</v>
      </c>
      <c r="B710" s="35">
        <v>170220</v>
      </c>
      <c r="C710" s="34" t="s">
        <v>145</v>
      </c>
      <c r="D710" s="34" t="s">
        <v>18</v>
      </c>
      <c r="E710" s="17">
        <v>151</v>
      </c>
      <c r="F710" s="36">
        <f>IFERROR(E710/$Q710,0)</f>
        <v>0.90419161676646709</v>
      </c>
      <c r="G710" s="17">
        <v>4</v>
      </c>
      <c r="H710" s="36">
        <f>IFERROR(G710/$R710,0)</f>
        <v>0.25</v>
      </c>
      <c r="I710" s="17">
        <v>401</v>
      </c>
      <c r="J710" s="36">
        <f>IFERROR(I710/$Q710,0)</f>
        <v>2.4011976047904193</v>
      </c>
      <c r="K710" s="17">
        <v>7</v>
      </c>
      <c r="L710" s="36">
        <f>IFERROR(K710/$R710,0)</f>
        <v>0.4375</v>
      </c>
      <c r="M710" s="17">
        <v>322</v>
      </c>
      <c r="N710" s="36">
        <f>IFERROR(M710/$Q710,0)</f>
        <v>1.9281437125748504</v>
      </c>
      <c r="O710" s="17">
        <v>5</v>
      </c>
      <c r="P710" s="36">
        <f>IFERROR(O710/$R710,0)</f>
        <v>0.3125</v>
      </c>
      <c r="Q710" s="17">
        <v>167</v>
      </c>
      <c r="R710" s="17">
        <v>16</v>
      </c>
    </row>
    <row r="711" spans="1:18" ht="15.75" customHeight="1" x14ac:dyDescent="0.25">
      <c r="A711" s="37">
        <v>2019</v>
      </c>
      <c r="B711" s="35">
        <v>170230</v>
      </c>
      <c r="C711" s="34" t="s">
        <v>150</v>
      </c>
      <c r="D711" s="34" t="s">
        <v>19</v>
      </c>
      <c r="E711" s="17">
        <v>14</v>
      </c>
      <c r="F711" s="36">
        <f>IFERROR(E711/$Q711,0)</f>
        <v>7.1428571428571425E-2</v>
      </c>
      <c r="G711" s="17">
        <v>0</v>
      </c>
      <c r="H711" s="36">
        <f>IFERROR(G711/$R711,0)</f>
        <v>0</v>
      </c>
      <c r="I711" s="17">
        <v>65</v>
      </c>
      <c r="J711" s="36">
        <f>IFERROR(I711/$Q711,0)</f>
        <v>0.33163265306122447</v>
      </c>
      <c r="K711" s="17">
        <v>0</v>
      </c>
      <c r="L711" s="36">
        <f>IFERROR(K711/$R711,0)</f>
        <v>0</v>
      </c>
      <c r="M711" s="17">
        <v>88</v>
      </c>
      <c r="N711" s="36">
        <f>IFERROR(M711/$Q711,0)</f>
        <v>0.44897959183673469</v>
      </c>
      <c r="O711" s="17">
        <v>1</v>
      </c>
      <c r="P711" s="36">
        <f>IFERROR(O711/$R711,0)</f>
        <v>1</v>
      </c>
      <c r="Q711" s="17">
        <v>196</v>
      </c>
      <c r="R711" s="17">
        <v>1</v>
      </c>
    </row>
    <row r="712" spans="1:18" ht="15.75" customHeight="1" x14ac:dyDescent="0.25">
      <c r="A712" s="37">
        <v>2019</v>
      </c>
      <c r="B712" s="35">
        <v>170240</v>
      </c>
      <c r="C712" s="34" t="s">
        <v>147</v>
      </c>
      <c r="D712" s="34" t="s">
        <v>20</v>
      </c>
      <c r="E712" s="17">
        <v>40</v>
      </c>
      <c r="F712" s="36">
        <f>IFERROR(E712/$Q712,0)</f>
        <v>5.8309037900874633E-2</v>
      </c>
      <c r="G712" s="17">
        <v>2</v>
      </c>
      <c r="H712" s="36">
        <f>IFERROR(G712/$R712,0)</f>
        <v>0.2857142857142857</v>
      </c>
      <c r="I712" s="17">
        <v>75</v>
      </c>
      <c r="J712" s="36">
        <f>IFERROR(I712/$Q712,0)</f>
        <v>0.10932944606413994</v>
      </c>
      <c r="K712" s="17">
        <v>3</v>
      </c>
      <c r="L712" s="36">
        <f>IFERROR(K712/$R712,0)</f>
        <v>0.42857142857142855</v>
      </c>
      <c r="M712" s="17">
        <v>81</v>
      </c>
      <c r="N712" s="36">
        <f>IFERROR(M712/$Q712,0)</f>
        <v>0.11807580174927114</v>
      </c>
      <c r="O712" s="17">
        <v>2</v>
      </c>
      <c r="P712" s="36">
        <f>IFERROR(O712/$R712,0)</f>
        <v>0.2857142857142857</v>
      </c>
      <c r="Q712" s="17">
        <v>686</v>
      </c>
      <c r="R712" s="17">
        <v>7</v>
      </c>
    </row>
    <row r="713" spans="1:18" ht="15.75" customHeight="1" x14ac:dyDescent="0.25">
      <c r="A713" s="37">
        <v>2019</v>
      </c>
      <c r="B713" s="35">
        <v>170255</v>
      </c>
      <c r="C713" s="34" t="s">
        <v>145</v>
      </c>
      <c r="D713" s="34" t="s">
        <v>21</v>
      </c>
      <c r="E713" s="17">
        <v>89</v>
      </c>
      <c r="F713" s="36">
        <f>IFERROR(E713/$Q713,0)</f>
        <v>0.717741935483871</v>
      </c>
      <c r="G713" s="17">
        <v>0</v>
      </c>
      <c r="H713" s="36">
        <f>IFERROR(G713/$R713,0)</f>
        <v>0</v>
      </c>
      <c r="I713" s="17">
        <v>267</v>
      </c>
      <c r="J713" s="36">
        <f>IFERROR(I713/$Q713,0)</f>
        <v>2.153225806451613</v>
      </c>
      <c r="K713" s="17">
        <v>3</v>
      </c>
      <c r="L713" s="36">
        <f>IFERROR(K713/$R713,0)</f>
        <v>0.75</v>
      </c>
      <c r="M713" s="17">
        <v>330</v>
      </c>
      <c r="N713" s="36">
        <f>IFERROR(M713/$Q713,0)</f>
        <v>2.661290322580645</v>
      </c>
      <c r="O713" s="17">
        <v>1</v>
      </c>
      <c r="P713" s="36">
        <f>IFERROR(O713/$R713,0)</f>
        <v>0.25</v>
      </c>
      <c r="Q713" s="17">
        <v>124</v>
      </c>
      <c r="R713" s="17">
        <v>4</v>
      </c>
    </row>
    <row r="714" spans="1:18" ht="15.75" customHeight="1" x14ac:dyDescent="0.25">
      <c r="A714" s="37">
        <v>2019</v>
      </c>
      <c r="B714" s="35">
        <v>170270</v>
      </c>
      <c r="C714" s="34" t="s">
        <v>147</v>
      </c>
      <c r="D714" s="34" t="s">
        <v>22</v>
      </c>
      <c r="E714" s="17">
        <v>38</v>
      </c>
      <c r="F714" s="36">
        <f>IFERROR(E714/$Q714,0)</f>
        <v>0.23312883435582821</v>
      </c>
      <c r="G714" s="17">
        <v>0</v>
      </c>
      <c r="H714" s="36">
        <f>IFERROR(G714/$R714,0)</f>
        <v>0</v>
      </c>
      <c r="I714" s="17">
        <v>44</v>
      </c>
      <c r="J714" s="36">
        <f>IFERROR(I714/$Q714,0)</f>
        <v>0.26993865030674846</v>
      </c>
      <c r="K714" s="17">
        <v>1</v>
      </c>
      <c r="L714" s="36">
        <f>IFERROR(K714/$R714,0)</f>
        <v>0.5</v>
      </c>
      <c r="M714" s="17">
        <v>42</v>
      </c>
      <c r="N714" s="36">
        <f>IFERROR(M714/$Q714,0)</f>
        <v>0.25766871165644173</v>
      </c>
      <c r="O714" s="17">
        <v>1</v>
      </c>
      <c r="P714" s="36">
        <f>IFERROR(O714/$R714,0)</f>
        <v>0.5</v>
      </c>
      <c r="Q714" s="17">
        <v>163</v>
      </c>
      <c r="R714" s="17">
        <v>2</v>
      </c>
    </row>
    <row r="715" spans="1:18" ht="15.75" customHeight="1" x14ac:dyDescent="0.25">
      <c r="A715" s="37">
        <v>2019</v>
      </c>
      <c r="B715" s="35">
        <v>170290</v>
      </c>
      <c r="C715" s="34" t="s">
        <v>145</v>
      </c>
      <c r="D715" s="34" t="s">
        <v>23</v>
      </c>
      <c r="E715" s="17">
        <v>20</v>
      </c>
      <c r="F715" s="36">
        <f>IFERROR(E715/$Q715,0)</f>
        <v>0.14388489208633093</v>
      </c>
      <c r="G715" s="17">
        <v>0</v>
      </c>
      <c r="H715" s="36">
        <f>IFERROR(G715/$R715,0)</f>
        <v>0</v>
      </c>
      <c r="I715" s="17">
        <v>61</v>
      </c>
      <c r="J715" s="36">
        <f>IFERROR(I715/$Q715,0)</f>
        <v>0.43884892086330934</v>
      </c>
      <c r="K715" s="17">
        <v>1</v>
      </c>
      <c r="L715" s="36">
        <f>IFERROR(K715/$R715,0)</f>
        <v>0.16666666666666666</v>
      </c>
      <c r="M715" s="17">
        <v>82</v>
      </c>
      <c r="N715" s="36">
        <f>IFERROR(M715/$Q715,0)</f>
        <v>0.58992805755395683</v>
      </c>
      <c r="O715" s="17">
        <v>5</v>
      </c>
      <c r="P715" s="36">
        <f>IFERROR(O715/$R715,0)</f>
        <v>0.83333333333333337</v>
      </c>
      <c r="Q715" s="17">
        <v>139</v>
      </c>
      <c r="R715" s="17">
        <v>6</v>
      </c>
    </row>
    <row r="716" spans="1:18" ht="15.75" customHeight="1" x14ac:dyDescent="0.25">
      <c r="A716" s="37">
        <v>2019</v>
      </c>
      <c r="B716" s="35">
        <v>170300</v>
      </c>
      <c r="C716" s="34" t="s">
        <v>149</v>
      </c>
      <c r="D716" s="34" t="s">
        <v>24</v>
      </c>
      <c r="E716" s="17">
        <v>28</v>
      </c>
      <c r="F716" s="36">
        <f>IFERROR(E716/$Q716,0)</f>
        <v>0.24561403508771928</v>
      </c>
      <c r="G716" s="17">
        <v>0</v>
      </c>
      <c r="H716" s="36">
        <f>IFERROR(G716/$R716,0)</f>
        <v>0</v>
      </c>
      <c r="I716" s="17">
        <v>53</v>
      </c>
      <c r="J716" s="36">
        <f>IFERROR(I716/$Q716,0)</f>
        <v>0.46491228070175439</v>
      </c>
      <c r="K716" s="17">
        <v>2</v>
      </c>
      <c r="L716" s="36">
        <f>IFERROR(K716/$R716,0)</f>
        <v>0.4</v>
      </c>
      <c r="M716" s="17">
        <v>58</v>
      </c>
      <c r="N716" s="36">
        <f>IFERROR(M716/$Q716,0)</f>
        <v>0.50877192982456143</v>
      </c>
      <c r="O716" s="17">
        <v>3</v>
      </c>
      <c r="P716" s="36">
        <f>IFERROR(O716/$R716,0)</f>
        <v>0.6</v>
      </c>
      <c r="Q716" s="17">
        <v>114</v>
      </c>
      <c r="R716" s="17">
        <v>5</v>
      </c>
    </row>
    <row r="717" spans="1:18" ht="15.75" customHeight="1" x14ac:dyDescent="0.25">
      <c r="A717" s="37">
        <v>2019</v>
      </c>
      <c r="B717" s="35">
        <v>170305</v>
      </c>
      <c r="C717" s="34" t="s">
        <v>150</v>
      </c>
      <c r="D717" s="34" t="s">
        <v>25</v>
      </c>
      <c r="E717" s="17">
        <v>10</v>
      </c>
      <c r="F717" s="36">
        <f>IFERROR(E717/$Q717,0)</f>
        <v>7.0921985815602842E-2</v>
      </c>
      <c r="G717" s="17">
        <v>0</v>
      </c>
      <c r="H717" s="36">
        <f>IFERROR(G717/$R717,0)</f>
        <v>0</v>
      </c>
      <c r="I717" s="17">
        <v>41</v>
      </c>
      <c r="J717" s="36">
        <f>IFERROR(I717/$Q717,0)</f>
        <v>0.29078014184397161</v>
      </c>
      <c r="K717" s="17">
        <v>0</v>
      </c>
      <c r="L717" s="36">
        <f>IFERROR(K717/$R717,0)</f>
        <v>0</v>
      </c>
      <c r="M717" s="17">
        <v>63</v>
      </c>
      <c r="N717" s="36">
        <f>IFERROR(M717/$Q717,0)</f>
        <v>0.44680851063829785</v>
      </c>
      <c r="O717" s="17">
        <v>0</v>
      </c>
      <c r="P717" s="36">
        <f>IFERROR(O717/$R717,0)</f>
        <v>0</v>
      </c>
      <c r="Q717" s="17">
        <v>141</v>
      </c>
      <c r="R717" s="17">
        <v>0</v>
      </c>
    </row>
    <row r="718" spans="1:18" ht="15.75" customHeight="1" x14ac:dyDescent="0.25">
      <c r="A718" s="37">
        <v>2019</v>
      </c>
      <c r="B718" s="35">
        <v>170307</v>
      </c>
      <c r="C718" s="34" t="s">
        <v>149</v>
      </c>
      <c r="D718" s="34" t="s">
        <v>26</v>
      </c>
      <c r="E718" s="17">
        <v>26</v>
      </c>
      <c r="F718" s="36">
        <f>IFERROR(E718/$Q718,0)</f>
        <v>0.23423423423423423</v>
      </c>
      <c r="G718" s="17">
        <v>1</v>
      </c>
      <c r="H718" s="36">
        <f>IFERROR(G718/$R718,0)</f>
        <v>0.25</v>
      </c>
      <c r="I718" s="17">
        <v>67</v>
      </c>
      <c r="J718" s="36">
        <f>IFERROR(I718/$Q718,0)</f>
        <v>0.60360360360360366</v>
      </c>
      <c r="K718" s="17">
        <v>1</v>
      </c>
      <c r="L718" s="36">
        <f>IFERROR(K718/$R718,0)</f>
        <v>0.25</v>
      </c>
      <c r="M718" s="17">
        <v>48</v>
      </c>
      <c r="N718" s="36">
        <f>IFERROR(M718/$Q718,0)</f>
        <v>0.43243243243243246</v>
      </c>
      <c r="O718" s="17">
        <v>2</v>
      </c>
      <c r="P718" s="36">
        <f>IFERROR(O718/$R718,0)</f>
        <v>0.5</v>
      </c>
      <c r="Q718" s="17">
        <v>111</v>
      </c>
      <c r="R718" s="17">
        <v>4</v>
      </c>
    </row>
    <row r="719" spans="1:18" ht="15.75" customHeight="1" x14ac:dyDescent="0.25">
      <c r="A719" s="37">
        <v>2019</v>
      </c>
      <c r="B719" s="35">
        <v>170310</v>
      </c>
      <c r="C719" s="34" t="s">
        <v>144</v>
      </c>
      <c r="D719" s="34" t="s">
        <v>27</v>
      </c>
      <c r="E719" s="17">
        <v>14</v>
      </c>
      <c r="F719" s="36">
        <f>IFERROR(E719/$Q719,0)</f>
        <v>7.650273224043716E-2</v>
      </c>
      <c r="G719" s="17">
        <v>0</v>
      </c>
      <c r="H719" s="36">
        <f>IFERROR(G719/$R719,0)</f>
        <v>0</v>
      </c>
      <c r="I719" s="17">
        <v>69</v>
      </c>
      <c r="J719" s="36">
        <f>IFERROR(I719/$Q719,0)</f>
        <v>0.37704918032786883</v>
      </c>
      <c r="K719" s="17">
        <v>0</v>
      </c>
      <c r="L719" s="36">
        <f>IFERROR(K719/$R719,0)</f>
        <v>0</v>
      </c>
      <c r="M719" s="17">
        <v>28</v>
      </c>
      <c r="N719" s="36">
        <f>IFERROR(M719/$Q719,0)</f>
        <v>0.15300546448087432</v>
      </c>
      <c r="O719" s="17">
        <v>2</v>
      </c>
      <c r="P719" s="36">
        <f>IFERROR(O719/$R719,0)</f>
        <v>1</v>
      </c>
      <c r="Q719" s="17">
        <v>183</v>
      </c>
      <c r="R719" s="17">
        <v>2</v>
      </c>
    </row>
    <row r="720" spans="1:18" ht="15.75" customHeight="1" x14ac:dyDescent="0.25">
      <c r="A720" s="37">
        <v>2019</v>
      </c>
      <c r="B720" s="35">
        <v>170320</v>
      </c>
      <c r="C720" s="34" t="s">
        <v>150</v>
      </c>
      <c r="D720" s="34" t="s">
        <v>28</v>
      </c>
      <c r="E720" s="17">
        <v>31</v>
      </c>
      <c r="F720" s="36">
        <f>IFERROR(E720/$Q720,0)</f>
        <v>0.28703703703703703</v>
      </c>
      <c r="G720" s="17">
        <v>1</v>
      </c>
      <c r="H720" s="36">
        <f>IFERROR(G720/$R720,0)</f>
        <v>0.5</v>
      </c>
      <c r="I720" s="17">
        <v>66</v>
      </c>
      <c r="J720" s="36">
        <f>IFERROR(I720/$Q720,0)</f>
        <v>0.61111111111111116</v>
      </c>
      <c r="K720" s="17">
        <v>1</v>
      </c>
      <c r="L720" s="36">
        <f>IFERROR(K720/$R720,0)</f>
        <v>0.5</v>
      </c>
      <c r="M720" s="17">
        <v>86</v>
      </c>
      <c r="N720" s="36">
        <f>IFERROR(M720/$Q720,0)</f>
        <v>0.79629629629629628</v>
      </c>
      <c r="O720" s="17">
        <v>0</v>
      </c>
      <c r="P720" s="36">
        <f>IFERROR(O720/$R720,0)</f>
        <v>0</v>
      </c>
      <c r="Q720" s="17">
        <v>108</v>
      </c>
      <c r="R720" s="17">
        <v>2</v>
      </c>
    </row>
    <row r="721" spans="1:18" ht="15.75" customHeight="1" x14ac:dyDescent="0.25">
      <c r="A721" s="37">
        <v>2019</v>
      </c>
      <c r="B721" s="35">
        <v>170330</v>
      </c>
      <c r="C721" s="34" t="s">
        <v>150</v>
      </c>
      <c r="D721" s="34" t="s">
        <v>29</v>
      </c>
      <c r="E721" s="17">
        <v>19</v>
      </c>
      <c r="F721" s="36">
        <f>IFERROR(E721/$Q721,0)</f>
        <v>0.16521739130434782</v>
      </c>
      <c r="G721" s="17">
        <v>1</v>
      </c>
      <c r="H721" s="36">
        <f>IFERROR(G721/$R721,0)</f>
        <v>0.33333333333333331</v>
      </c>
      <c r="I721" s="17">
        <v>41</v>
      </c>
      <c r="J721" s="36">
        <f>IFERROR(I721/$Q721,0)</f>
        <v>0.35652173913043478</v>
      </c>
      <c r="K721" s="17">
        <v>2</v>
      </c>
      <c r="L721" s="36">
        <f>IFERROR(K721/$R721,0)</f>
        <v>0.66666666666666663</v>
      </c>
      <c r="M721" s="17">
        <v>48</v>
      </c>
      <c r="N721" s="36">
        <f>IFERROR(M721/$Q721,0)</f>
        <v>0.41739130434782606</v>
      </c>
      <c r="O721" s="17">
        <v>0</v>
      </c>
      <c r="P721" s="36">
        <f>IFERROR(O721/$R721,0)</f>
        <v>0</v>
      </c>
      <c r="Q721" s="17">
        <v>115</v>
      </c>
      <c r="R721" s="17">
        <v>3</v>
      </c>
    </row>
    <row r="722" spans="1:18" ht="15.75" customHeight="1" x14ac:dyDescent="0.25">
      <c r="A722" s="37">
        <v>2019</v>
      </c>
      <c r="B722" s="35">
        <v>170360</v>
      </c>
      <c r="C722" s="34" t="s">
        <v>150</v>
      </c>
      <c r="D722" s="34" t="s">
        <v>30</v>
      </c>
      <c r="E722" s="17">
        <v>11</v>
      </c>
      <c r="F722" s="36">
        <f>IFERROR(E722/$Q722,0)</f>
        <v>4.583333333333333E-2</v>
      </c>
      <c r="G722" s="17">
        <v>0</v>
      </c>
      <c r="H722" s="36">
        <f>IFERROR(G722/$R722,0)</f>
        <v>0</v>
      </c>
      <c r="I722" s="17">
        <v>47</v>
      </c>
      <c r="J722" s="36">
        <f>IFERROR(I722/$Q722,0)</f>
        <v>0.19583333333333333</v>
      </c>
      <c r="K722" s="17">
        <v>1</v>
      </c>
      <c r="L722" s="36">
        <f>IFERROR(K722/$R722,0)</f>
        <v>0.5</v>
      </c>
      <c r="M722" s="17">
        <v>57</v>
      </c>
      <c r="N722" s="36">
        <f>IFERROR(M722/$Q722,0)</f>
        <v>0.23749999999999999</v>
      </c>
      <c r="O722" s="17">
        <v>1</v>
      </c>
      <c r="P722" s="36">
        <f>IFERROR(O722/$R722,0)</f>
        <v>0.5</v>
      </c>
      <c r="Q722" s="17">
        <v>240</v>
      </c>
      <c r="R722" s="17">
        <v>2</v>
      </c>
    </row>
    <row r="723" spans="1:18" ht="15.75" customHeight="1" x14ac:dyDescent="0.25">
      <c r="A723" s="37">
        <v>2019</v>
      </c>
      <c r="B723" s="35">
        <v>170370</v>
      </c>
      <c r="C723" s="34" t="s">
        <v>151</v>
      </c>
      <c r="D723" s="34" t="s">
        <v>31</v>
      </c>
      <c r="E723" s="17">
        <v>28</v>
      </c>
      <c r="F723" s="36">
        <f>IFERROR(E723/$Q723,0)</f>
        <v>0.14432989690721648</v>
      </c>
      <c r="G723" s="17">
        <v>0</v>
      </c>
      <c r="H723" s="36">
        <f>IFERROR(G723/$R723,0)</f>
        <v>0</v>
      </c>
      <c r="I723" s="17">
        <v>83</v>
      </c>
      <c r="J723" s="36">
        <f>IFERROR(I723/$Q723,0)</f>
        <v>0.42783505154639173</v>
      </c>
      <c r="K723" s="17">
        <v>3</v>
      </c>
      <c r="L723" s="36">
        <f>IFERROR(K723/$R723,0)</f>
        <v>0.42857142857142855</v>
      </c>
      <c r="M723" s="17">
        <v>129</v>
      </c>
      <c r="N723" s="36">
        <f>IFERROR(M723/$Q723,0)</f>
        <v>0.66494845360824739</v>
      </c>
      <c r="O723" s="17">
        <v>4</v>
      </c>
      <c r="P723" s="36">
        <f>IFERROR(O723/$R723,0)</f>
        <v>0.5714285714285714</v>
      </c>
      <c r="Q723" s="17">
        <v>194</v>
      </c>
      <c r="R723" s="17">
        <v>7</v>
      </c>
    </row>
    <row r="724" spans="1:18" ht="15.75" customHeight="1" x14ac:dyDescent="0.25">
      <c r="A724" s="37">
        <v>2019</v>
      </c>
      <c r="B724" s="35">
        <v>170380</v>
      </c>
      <c r="C724" s="34" t="s">
        <v>145</v>
      </c>
      <c r="D724" s="34" t="s">
        <v>32</v>
      </c>
      <c r="E724" s="17">
        <v>20</v>
      </c>
      <c r="F724" s="36">
        <f>IFERROR(E724/$Q724,0)</f>
        <v>0.18691588785046728</v>
      </c>
      <c r="G724" s="17">
        <v>0</v>
      </c>
      <c r="H724" s="36">
        <f>IFERROR(G724/$R724,0)</f>
        <v>0</v>
      </c>
      <c r="I724" s="17">
        <v>89</v>
      </c>
      <c r="J724" s="36">
        <f>IFERROR(I724/$Q724,0)</f>
        <v>0.83177570093457942</v>
      </c>
      <c r="K724" s="17">
        <v>1</v>
      </c>
      <c r="L724" s="36">
        <f>IFERROR(K724/$R724,0)</f>
        <v>1</v>
      </c>
      <c r="M724" s="17">
        <v>85</v>
      </c>
      <c r="N724" s="36">
        <f>IFERROR(M724/$Q724,0)</f>
        <v>0.79439252336448596</v>
      </c>
      <c r="O724" s="17">
        <v>0</v>
      </c>
      <c r="P724" s="36">
        <f>IFERROR(O724/$R724,0)</f>
        <v>0</v>
      </c>
      <c r="Q724" s="17">
        <v>107</v>
      </c>
      <c r="R724" s="17">
        <v>1</v>
      </c>
    </row>
    <row r="725" spans="1:18" ht="15.75" customHeight="1" x14ac:dyDescent="0.25">
      <c r="A725" s="37">
        <v>2019</v>
      </c>
      <c r="B725" s="35">
        <v>170382</v>
      </c>
      <c r="C725" s="34" t="s">
        <v>145</v>
      </c>
      <c r="D725" s="34" t="s">
        <v>33</v>
      </c>
      <c r="E725" s="17">
        <v>15</v>
      </c>
      <c r="F725" s="36">
        <f>IFERROR(E725/$Q725,0)</f>
        <v>7.3170731707317069E-2</v>
      </c>
      <c r="G725" s="17">
        <v>0</v>
      </c>
      <c r="H725" s="36">
        <f>IFERROR(G725/$R725,0)</f>
        <v>0</v>
      </c>
      <c r="I725" s="17">
        <v>48</v>
      </c>
      <c r="J725" s="36">
        <f>IFERROR(I725/$Q725,0)</f>
        <v>0.23414634146341465</v>
      </c>
      <c r="K725" s="17">
        <v>1</v>
      </c>
      <c r="L725" s="36">
        <f>IFERROR(K725/$R725,0)</f>
        <v>0.5</v>
      </c>
      <c r="M725" s="17">
        <v>44</v>
      </c>
      <c r="N725" s="36">
        <f>IFERROR(M725/$Q725,0)</f>
        <v>0.21463414634146341</v>
      </c>
      <c r="O725" s="17">
        <v>1</v>
      </c>
      <c r="P725" s="36">
        <f>IFERROR(O725/$R725,0)</f>
        <v>0.5</v>
      </c>
      <c r="Q725" s="17">
        <v>205</v>
      </c>
      <c r="R725" s="17">
        <v>2</v>
      </c>
    </row>
    <row r="726" spans="1:18" ht="15.75" customHeight="1" x14ac:dyDescent="0.25">
      <c r="A726" s="37">
        <v>2019</v>
      </c>
      <c r="B726" s="35">
        <v>170384</v>
      </c>
      <c r="C726" s="34" t="s">
        <v>149</v>
      </c>
      <c r="D726" s="34" t="s">
        <v>34</v>
      </c>
      <c r="E726" s="17">
        <v>34</v>
      </c>
      <c r="F726" s="36">
        <f>IFERROR(E726/$Q726,0)</f>
        <v>0.12734082397003746</v>
      </c>
      <c r="G726" s="17">
        <v>2</v>
      </c>
      <c r="H726" s="36">
        <f>IFERROR(G726/$R726,0)</f>
        <v>0.66666666666666663</v>
      </c>
      <c r="I726" s="17">
        <v>88</v>
      </c>
      <c r="J726" s="36">
        <f>IFERROR(I726/$Q726,0)</f>
        <v>0.32958801498127338</v>
      </c>
      <c r="K726" s="17">
        <v>1</v>
      </c>
      <c r="L726" s="36">
        <f>IFERROR(K726/$R726,0)</f>
        <v>0.33333333333333331</v>
      </c>
      <c r="M726" s="17">
        <v>83</v>
      </c>
      <c r="N726" s="36">
        <f>IFERROR(M726/$Q726,0)</f>
        <v>0.31086142322097376</v>
      </c>
      <c r="O726" s="17">
        <v>0</v>
      </c>
      <c r="P726" s="36">
        <f>IFERROR(O726/$R726,0)</f>
        <v>0</v>
      </c>
      <c r="Q726" s="17">
        <v>267</v>
      </c>
      <c r="R726" s="17">
        <v>3</v>
      </c>
    </row>
    <row r="727" spans="1:18" ht="15.75" customHeight="1" x14ac:dyDescent="0.25">
      <c r="A727" s="37">
        <v>2019</v>
      </c>
      <c r="B727" s="35">
        <v>170386</v>
      </c>
      <c r="C727" s="34" t="s">
        <v>146</v>
      </c>
      <c r="D727" s="34" t="s">
        <v>35</v>
      </c>
      <c r="E727" s="17">
        <v>36</v>
      </c>
      <c r="F727" s="36">
        <f>IFERROR(E727/$Q727,0)</f>
        <v>0.24161073825503357</v>
      </c>
      <c r="G727" s="17">
        <v>1</v>
      </c>
      <c r="H727" s="36">
        <f>IFERROR(G727/$R727,0)</f>
        <v>0.16666666666666666</v>
      </c>
      <c r="I727" s="17">
        <v>106</v>
      </c>
      <c r="J727" s="36">
        <f>IFERROR(I727/$Q727,0)</f>
        <v>0.71140939597315433</v>
      </c>
      <c r="K727" s="17">
        <v>3</v>
      </c>
      <c r="L727" s="36">
        <f>IFERROR(K727/$R727,0)</f>
        <v>0.5</v>
      </c>
      <c r="M727" s="17">
        <v>125</v>
      </c>
      <c r="N727" s="36">
        <f>IFERROR(M727/$Q727,0)</f>
        <v>0.83892617449664431</v>
      </c>
      <c r="O727" s="17">
        <v>2</v>
      </c>
      <c r="P727" s="36">
        <f>IFERROR(O727/$R727,0)</f>
        <v>0.33333333333333331</v>
      </c>
      <c r="Q727" s="17">
        <v>149</v>
      </c>
      <c r="R727" s="17">
        <v>6</v>
      </c>
    </row>
    <row r="728" spans="1:18" ht="15.75" customHeight="1" x14ac:dyDescent="0.25">
      <c r="A728" s="37">
        <v>2019</v>
      </c>
      <c r="B728" s="35">
        <v>170388</v>
      </c>
      <c r="C728" s="34" t="s">
        <v>149</v>
      </c>
      <c r="D728" s="34" t="s">
        <v>36</v>
      </c>
      <c r="E728" s="17">
        <v>20</v>
      </c>
      <c r="F728" s="36">
        <f>IFERROR(E728/$Q728,0)</f>
        <v>9.5238095238095233E-2</v>
      </c>
      <c r="G728" s="17">
        <v>0</v>
      </c>
      <c r="H728" s="36">
        <f>IFERROR(G728/$R728,0)</f>
        <v>0</v>
      </c>
      <c r="I728" s="17">
        <v>55</v>
      </c>
      <c r="J728" s="36">
        <f>IFERROR(I728/$Q728,0)</f>
        <v>0.26190476190476192</v>
      </c>
      <c r="K728" s="17">
        <v>0</v>
      </c>
      <c r="L728" s="36">
        <f>IFERROR(K728/$R728,0)</f>
        <v>0</v>
      </c>
      <c r="M728" s="17">
        <v>74</v>
      </c>
      <c r="N728" s="36">
        <f>IFERROR(M728/$Q728,0)</f>
        <v>0.35238095238095241</v>
      </c>
      <c r="O728" s="17">
        <v>1</v>
      </c>
      <c r="P728" s="36">
        <f>IFERROR(O728/$R728,0)</f>
        <v>1</v>
      </c>
      <c r="Q728" s="17">
        <v>210</v>
      </c>
      <c r="R728" s="17">
        <v>1</v>
      </c>
    </row>
    <row r="729" spans="1:18" ht="15.75" customHeight="1" x14ac:dyDescent="0.25">
      <c r="A729" s="37">
        <v>2019</v>
      </c>
      <c r="B729" s="35">
        <v>170389</v>
      </c>
      <c r="C729" s="34" t="s">
        <v>145</v>
      </c>
      <c r="D729" s="34" t="s">
        <v>37</v>
      </c>
      <c r="E729" s="17">
        <v>38</v>
      </c>
      <c r="F729" s="36">
        <f>IFERROR(E729/$Q729,0)</f>
        <v>0.24675324675324675</v>
      </c>
      <c r="G729" s="17">
        <v>0</v>
      </c>
      <c r="H729" s="36">
        <f>IFERROR(G729/$R729,0)</f>
        <v>0</v>
      </c>
      <c r="I729" s="17">
        <v>95</v>
      </c>
      <c r="J729" s="36">
        <f>IFERROR(I729/$Q729,0)</f>
        <v>0.61688311688311692</v>
      </c>
      <c r="K729" s="17">
        <v>1</v>
      </c>
      <c r="L729" s="36">
        <f>IFERROR(K729/$R729,0)</f>
        <v>1</v>
      </c>
      <c r="M729" s="17">
        <v>77</v>
      </c>
      <c r="N729" s="36">
        <f>IFERROR(M729/$Q729,0)</f>
        <v>0.5</v>
      </c>
      <c r="O729" s="17">
        <v>0</v>
      </c>
      <c r="P729" s="36">
        <f>IFERROR(O729/$R729,0)</f>
        <v>0</v>
      </c>
      <c r="Q729" s="17">
        <v>154</v>
      </c>
      <c r="R729" s="17">
        <v>1</v>
      </c>
    </row>
    <row r="730" spans="1:18" ht="15.75" customHeight="1" x14ac:dyDescent="0.25">
      <c r="A730" s="37">
        <v>2019</v>
      </c>
      <c r="B730" s="35">
        <v>170390</v>
      </c>
      <c r="C730" s="34" t="s">
        <v>144</v>
      </c>
      <c r="D730" s="34" t="s">
        <v>38</v>
      </c>
      <c r="E730" s="17">
        <v>21</v>
      </c>
      <c r="F730" s="36">
        <f>IFERROR(E730/$Q730,0)</f>
        <v>0.21212121212121213</v>
      </c>
      <c r="G730" s="17">
        <v>1</v>
      </c>
      <c r="H730" s="36">
        <f>IFERROR(G730/$R730,0)</f>
        <v>0.14285714285714285</v>
      </c>
      <c r="I730" s="17">
        <v>65</v>
      </c>
      <c r="J730" s="36">
        <f>IFERROR(I730/$Q730,0)</f>
        <v>0.65656565656565657</v>
      </c>
      <c r="K730" s="17">
        <v>1</v>
      </c>
      <c r="L730" s="36">
        <f>IFERROR(K730/$R730,0)</f>
        <v>0.14285714285714285</v>
      </c>
      <c r="M730" s="17">
        <v>68</v>
      </c>
      <c r="N730" s="36">
        <f>IFERROR(M730/$Q730,0)</f>
        <v>0.68686868686868685</v>
      </c>
      <c r="O730" s="17">
        <v>5</v>
      </c>
      <c r="P730" s="36">
        <f>IFERROR(O730/$R730,0)</f>
        <v>0.7142857142857143</v>
      </c>
      <c r="Q730" s="17">
        <v>99</v>
      </c>
      <c r="R730" s="17">
        <v>7</v>
      </c>
    </row>
    <row r="731" spans="1:18" ht="15.75" customHeight="1" x14ac:dyDescent="0.25">
      <c r="A731" s="37">
        <v>2019</v>
      </c>
      <c r="B731" s="35">
        <v>170410</v>
      </c>
      <c r="C731" s="34" t="s">
        <v>150</v>
      </c>
      <c r="D731" s="34" t="s">
        <v>39</v>
      </c>
      <c r="E731" s="17">
        <v>15</v>
      </c>
      <c r="F731" s="36">
        <f>IFERROR(E731/$Q731,0)</f>
        <v>7.0754716981132074E-2</v>
      </c>
      <c r="G731" s="17">
        <v>0</v>
      </c>
      <c r="H731" s="36">
        <f>IFERROR(G731/$R731,0)</f>
        <v>0</v>
      </c>
      <c r="I731" s="17">
        <v>43</v>
      </c>
      <c r="J731" s="36">
        <f>IFERROR(I731/$Q731,0)</f>
        <v>0.20283018867924529</v>
      </c>
      <c r="K731" s="17">
        <v>0</v>
      </c>
      <c r="L731" s="36">
        <f>IFERROR(K731/$R731,0)</f>
        <v>0</v>
      </c>
      <c r="M731" s="17">
        <v>41</v>
      </c>
      <c r="N731" s="36">
        <f>IFERROR(M731/$Q731,0)</f>
        <v>0.19339622641509435</v>
      </c>
      <c r="O731" s="17">
        <v>1</v>
      </c>
      <c r="P731" s="36">
        <f>IFERROR(O731/$R731,0)</f>
        <v>1</v>
      </c>
      <c r="Q731" s="17">
        <v>212</v>
      </c>
      <c r="R731" s="17">
        <v>1</v>
      </c>
    </row>
    <row r="732" spans="1:18" ht="15.75" customHeight="1" x14ac:dyDescent="0.25">
      <c r="A732" s="37">
        <v>2019</v>
      </c>
      <c r="B732" s="35">
        <v>170510</v>
      </c>
      <c r="C732" s="34" t="s">
        <v>151</v>
      </c>
      <c r="D732" s="34" t="s">
        <v>40</v>
      </c>
      <c r="E732" s="17">
        <v>48</v>
      </c>
      <c r="F732" s="36">
        <f>IFERROR(E732/$Q732,0)</f>
        <v>0.40677966101694918</v>
      </c>
      <c r="G732" s="17">
        <v>0</v>
      </c>
      <c r="H732" s="36">
        <f>IFERROR(G732/$R732,0)</f>
        <v>0</v>
      </c>
      <c r="I732" s="17">
        <v>105</v>
      </c>
      <c r="J732" s="36">
        <f>IFERROR(I732/$Q732,0)</f>
        <v>0.88983050847457623</v>
      </c>
      <c r="K732" s="17">
        <v>3</v>
      </c>
      <c r="L732" s="36">
        <f>IFERROR(K732/$R732,0)</f>
        <v>0.6</v>
      </c>
      <c r="M732" s="17">
        <v>59</v>
      </c>
      <c r="N732" s="36">
        <f>IFERROR(M732/$Q732,0)</f>
        <v>0.5</v>
      </c>
      <c r="O732" s="17">
        <v>2</v>
      </c>
      <c r="P732" s="36">
        <f>IFERROR(O732/$R732,0)</f>
        <v>0.4</v>
      </c>
      <c r="Q732" s="17">
        <v>118</v>
      </c>
      <c r="R732" s="17">
        <v>5</v>
      </c>
    </row>
    <row r="733" spans="1:18" ht="15.75" customHeight="1" x14ac:dyDescent="0.25">
      <c r="A733" s="37">
        <v>2019</v>
      </c>
      <c r="B733" s="35">
        <v>170460</v>
      </c>
      <c r="C733" s="34" t="s">
        <v>144</v>
      </c>
      <c r="D733" s="34" t="s">
        <v>41</v>
      </c>
      <c r="E733" s="17">
        <v>18</v>
      </c>
      <c r="F733" s="36">
        <f>IFERROR(E733/$Q733,0)</f>
        <v>2.4896265560165973E-2</v>
      </c>
      <c r="G733" s="17">
        <v>0</v>
      </c>
      <c r="H733" s="36">
        <f>IFERROR(G733/$R733,0)</f>
        <v>0</v>
      </c>
      <c r="I733" s="17">
        <v>47</v>
      </c>
      <c r="J733" s="36">
        <f>IFERROR(I733/$Q733,0)</f>
        <v>6.5006915629322273E-2</v>
      </c>
      <c r="K733" s="17">
        <v>1</v>
      </c>
      <c r="L733" s="36">
        <f>IFERROR(K733/$R733,0)</f>
        <v>0.5</v>
      </c>
      <c r="M733" s="17">
        <v>53</v>
      </c>
      <c r="N733" s="36">
        <f>IFERROR(M733/$Q733,0)</f>
        <v>7.3305670816044263E-2</v>
      </c>
      <c r="O733" s="17">
        <v>1</v>
      </c>
      <c r="P733" s="36">
        <f>IFERROR(O733/$R733,0)</f>
        <v>0.5</v>
      </c>
      <c r="Q733" s="17">
        <v>723</v>
      </c>
      <c r="R733" s="17">
        <v>2</v>
      </c>
    </row>
    <row r="734" spans="1:18" ht="15.75" customHeight="1" x14ac:dyDescent="0.25">
      <c r="A734" s="37">
        <v>2019</v>
      </c>
      <c r="B734" s="35">
        <v>170550</v>
      </c>
      <c r="C734" s="34" t="s">
        <v>150</v>
      </c>
      <c r="D734" s="34" t="s">
        <v>42</v>
      </c>
      <c r="E734" s="17">
        <v>107</v>
      </c>
      <c r="F734" s="36">
        <f>IFERROR(E734/$Q734,0)</f>
        <v>0.26289926289926291</v>
      </c>
      <c r="G734" s="17">
        <v>3</v>
      </c>
      <c r="H734" s="36">
        <f>IFERROR(G734/$R734,0)</f>
        <v>0.13636363636363635</v>
      </c>
      <c r="I734" s="17">
        <v>308</v>
      </c>
      <c r="J734" s="36">
        <f>IFERROR(I734/$Q734,0)</f>
        <v>0.7567567567567568</v>
      </c>
      <c r="K734" s="17">
        <v>7</v>
      </c>
      <c r="L734" s="36">
        <f>IFERROR(K734/$R734,0)</f>
        <v>0.31818181818181818</v>
      </c>
      <c r="M734" s="17">
        <v>308</v>
      </c>
      <c r="N734" s="36">
        <f>IFERROR(M734/$Q734,0)</f>
        <v>0.7567567567567568</v>
      </c>
      <c r="O734" s="17">
        <v>12</v>
      </c>
      <c r="P734" s="36">
        <f>IFERROR(O734/$R734,0)</f>
        <v>0.54545454545454541</v>
      </c>
      <c r="Q734" s="17">
        <v>407</v>
      </c>
      <c r="R734" s="17">
        <v>22</v>
      </c>
    </row>
    <row r="735" spans="1:18" ht="15.75" customHeight="1" x14ac:dyDescent="0.25">
      <c r="A735" s="37">
        <v>2019</v>
      </c>
      <c r="B735" s="35">
        <v>171670</v>
      </c>
      <c r="C735" s="34" t="s">
        <v>150</v>
      </c>
      <c r="D735" s="34" t="s">
        <v>43</v>
      </c>
      <c r="E735" s="17">
        <v>46</v>
      </c>
      <c r="F735" s="36">
        <f>IFERROR(E735/$Q735,0)</f>
        <v>0.27218934911242604</v>
      </c>
      <c r="G735" s="17">
        <v>1</v>
      </c>
      <c r="H735" s="36">
        <f>IFERROR(G735/$R735,0)</f>
        <v>0.2</v>
      </c>
      <c r="I735" s="17">
        <v>156</v>
      </c>
      <c r="J735" s="36">
        <f>IFERROR(I735/$Q735,0)</f>
        <v>0.92307692307692313</v>
      </c>
      <c r="K735" s="17">
        <v>1</v>
      </c>
      <c r="L735" s="36">
        <f>IFERROR(K735/$R735,0)</f>
        <v>0.2</v>
      </c>
      <c r="M735" s="17">
        <v>205</v>
      </c>
      <c r="N735" s="36">
        <f>IFERROR(M735/$Q735,0)</f>
        <v>1.2130177514792899</v>
      </c>
      <c r="O735" s="17">
        <v>3</v>
      </c>
      <c r="P735" s="36">
        <f>IFERROR(O735/$R735,0)</f>
        <v>0.6</v>
      </c>
      <c r="Q735" s="17">
        <v>169</v>
      </c>
      <c r="R735" s="17">
        <v>5</v>
      </c>
    </row>
    <row r="736" spans="1:18" ht="15.75" customHeight="1" x14ac:dyDescent="0.25">
      <c r="A736" s="37">
        <v>2019</v>
      </c>
      <c r="B736" s="35">
        <v>170555</v>
      </c>
      <c r="C736" s="34" t="s">
        <v>147</v>
      </c>
      <c r="D736" s="34" t="s">
        <v>44</v>
      </c>
      <c r="E736" s="17">
        <v>34</v>
      </c>
      <c r="F736" s="36">
        <f>IFERROR(E736/$Q736,0)</f>
        <v>0.10967741935483871</v>
      </c>
      <c r="G736" s="17">
        <v>0</v>
      </c>
      <c r="H736" s="36">
        <f>IFERROR(G736/$R736,0)</f>
        <v>0</v>
      </c>
      <c r="I736" s="17">
        <v>58</v>
      </c>
      <c r="J736" s="36">
        <f>IFERROR(I736/$Q736,0)</f>
        <v>0.18709677419354839</v>
      </c>
      <c r="K736" s="17">
        <v>0</v>
      </c>
      <c r="L736" s="36">
        <f>IFERROR(K736/$R736,0)</f>
        <v>0</v>
      </c>
      <c r="M736" s="17">
        <v>77</v>
      </c>
      <c r="N736" s="36">
        <f>IFERROR(M736/$Q736,0)</f>
        <v>0.24838709677419354</v>
      </c>
      <c r="O736" s="17">
        <v>0</v>
      </c>
      <c r="P736" s="36">
        <f>IFERROR(O736/$R736,0)</f>
        <v>0</v>
      </c>
      <c r="Q736" s="17">
        <v>310</v>
      </c>
      <c r="R736" s="17">
        <v>0</v>
      </c>
    </row>
    <row r="737" spans="1:18" ht="15.75" customHeight="1" x14ac:dyDescent="0.25">
      <c r="A737" s="37">
        <v>2019</v>
      </c>
      <c r="B737" s="35">
        <v>170560</v>
      </c>
      <c r="C737" s="34" t="s">
        <v>147</v>
      </c>
      <c r="D737" s="34" t="s">
        <v>45</v>
      </c>
      <c r="E737" s="17">
        <v>67</v>
      </c>
      <c r="F737" s="36">
        <f>IFERROR(E737/$Q737,0)</f>
        <v>1.2884615384615385</v>
      </c>
      <c r="G737" s="17">
        <v>0</v>
      </c>
      <c r="H737" s="36">
        <f>IFERROR(G737/$R737,0)</f>
        <v>0</v>
      </c>
      <c r="I737" s="17">
        <v>128</v>
      </c>
      <c r="J737" s="36">
        <f>IFERROR(I737/$Q737,0)</f>
        <v>2.4615384615384617</v>
      </c>
      <c r="K737" s="17">
        <v>0</v>
      </c>
      <c r="L737" s="36">
        <f>IFERROR(K737/$R737,0)</f>
        <v>0</v>
      </c>
      <c r="M737" s="17">
        <v>115</v>
      </c>
      <c r="N737" s="36">
        <f>IFERROR(M737/$Q737,0)</f>
        <v>2.2115384615384617</v>
      </c>
      <c r="O737" s="17">
        <v>0</v>
      </c>
      <c r="P737" s="36">
        <f>IFERROR(O737/$R737,0)</f>
        <v>0</v>
      </c>
      <c r="Q737" s="17">
        <v>52</v>
      </c>
      <c r="R737" s="17">
        <v>0</v>
      </c>
    </row>
    <row r="738" spans="1:18" ht="15.75" customHeight="1" x14ac:dyDescent="0.25">
      <c r="A738" s="37">
        <v>2019</v>
      </c>
      <c r="B738" s="35">
        <v>170600</v>
      </c>
      <c r="C738" s="34" t="s">
        <v>150</v>
      </c>
      <c r="D738" s="34" t="s">
        <v>46</v>
      </c>
      <c r="E738" s="17">
        <v>11</v>
      </c>
      <c r="F738" s="36">
        <f>IFERROR(E738/$Q738,0)</f>
        <v>8.7301587301587297E-2</v>
      </c>
      <c r="G738" s="17">
        <v>0</v>
      </c>
      <c r="H738" s="36">
        <f>IFERROR(G738/$R738,0)</f>
        <v>0</v>
      </c>
      <c r="I738" s="17">
        <v>20</v>
      </c>
      <c r="J738" s="36">
        <f>IFERROR(I738/$Q738,0)</f>
        <v>0.15873015873015872</v>
      </c>
      <c r="K738" s="17">
        <v>5</v>
      </c>
      <c r="L738" s="36">
        <f>IFERROR(K738/$R738,0)</f>
        <v>0.7142857142857143</v>
      </c>
      <c r="M738" s="17">
        <v>21</v>
      </c>
      <c r="N738" s="36">
        <f>IFERROR(M738/$Q738,0)</f>
        <v>0.16666666666666666</v>
      </c>
      <c r="O738" s="17">
        <v>2</v>
      </c>
      <c r="P738" s="36">
        <f>IFERROR(O738/$R738,0)</f>
        <v>0.2857142857142857</v>
      </c>
      <c r="Q738" s="17">
        <v>126</v>
      </c>
      <c r="R738" s="17">
        <v>7</v>
      </c>
    </row>
    <row r="739" spans="1:18" ht="15.75" customHeight="1" x14ac:dyDescent="0.25">
      <c r="A739" s="37">
        <v>2019</v>
      </c>
      <c r="B739" s="35">
        <v>170610</v>
      </c>
      <c r="C739" s="34" t="s">
        <v>144</v>
      </c>
      <c r="D739" s="34" t="s">
        <v>47</v>
      </c>
      <c r="E739" s="17">
        <v>21</v>
      </c>
      <c r="F739" s="36">
        <f>IFERROR(E739/$Q739,0)</f>
        <v>0.35</v>
      </c>
      <c r="G739" s="17">
        <v>4</v>
      </c>
      <c r="H739" s="36">
        <f>IFERROR(G739/$R739,0)</f>
        <v>0.30769230769230771</v>
      </c>
      <c r="I739" s="17">
        <v>58</v>
      </c>
      <c r="J739" s="36">
        <f>IFERROR(I739/$Q739,0)</f>
        <v>0.96666666666666667</v>
      </c>
      <c r="K739" s="17">
        <v>7</v>
      </c>
      <c r="L739" s="36">
        <f>IFERROR(K739/$R739,0)</f>
        <v>0.53846153846153844</v>
      </c>
      <c r="M739" s="17">
        <v>47</v>
      </c>
      <c r="N739" s="36">
        <f>IFERROR(M739/$Q739,0)</f>
        <v>0.78333333333333333</v>
      </c>
      <c r="O739" s="17">
        <v>2</v>
      </c>
      <c r="P739" s="36">
        <f>IFERROR(O739/$R739,0)</f>
        <v>0.15384615384615385</v>
      </c>
      <c r="Q739" s="17">
        <v>60</v>
      </c>
      <c r="R739" s="17">
        <v>13</v>
      </c>
    </row>
    <row r="740" spans="1:18" ht="15.75" customHeight="1" x14ac:dyDescent="0.25">
      <c r="A740" s="37">
        <v>2019</v>
      </c>
      <c r="B740" s="35">
        <v>170625</v>
      </c>
      <c r="C740" s="34" t="s">
        <v>146</v>
      </c>
      <c r="D740" s="34" t="s">
        <v>48</v>
      </c>
      <c r="E740" s="17">
        <v>9</v>
      </c>
      <c r="F740" s="36">
        <f>IFERROR(E740/$Q740,0)</f>
        <v>0.11842105263157894</v>
      </c>
      <c r="G740" s="17">
        <v>0</v>
      </c>
      <c r="H740" s="36">
        <f>IFERROR(G740/$R740,0)</f>
        <v>0</v>
      </c>
      <c r="I740" s="17">
        <v>22</v>
      </c>
      <c r="J740" s="36">
        <f>IFERROR(I740/$Q740,0)</f>
        <v>0.28947368421052633</v>
      </c>
      <c r="K740" s="17">
        <v>0</v>
      </c>
      <c r="L740" s="36">
        <f>IFERROR(K740/$R740,0)</f>
        <v>0</v>
      </c>
      <c r="M740" s="17">
        <v>29</v>
      </c>
      <c r="N740" s="36">
        <f>IFERROR(M740/$Q740,0)</f>
        <v>0.38157894736842107</v>
      </c>
      <c r="O740" s="17">
        <v>3</v>
      </c>
      <c r="P740" s="36">
        <f>IFERROR(O740/$R740,0)</f>
        <v>1</v>
      </c>
      <c r="Q740" s="17">
        <v>76</v>
      </c>
      <c r="R740" s="17">
        <v>3</v>
      </c>
    </row>
    <row r="741" spans="1:18" ht="15.75" customHeight="1" x14ac:dyDescent="0.25">
      <c r="A741" s="37">
        <v>2019</v>
      </c>
      <c r="B741" s="35">
        <v>170650</v>
      </c>
      <c r="C741" s="34" t="s">
        <v>149</v>
      </c>
      <c r="D741" s="34" t="s">
        <v>49</v>
      </c>
      <c r="E741" s="17">
        <v>19</v>
      </c>
      <c r="F741" s="36">
        <f>IFERROR(E741/$Q741,0)</f>
        <v>3.345070422535211E-2</v>
      </c>
      <c r="G741" s="17">
        <v>1</v>
      </c>
      <c r="H741" s="36">
        <f>IFERROR(G741/$R741,0)</f>
        <v>0.25</v>
      </c>
      <c r="I741" s="17">
        <v>22</v>
      </c>
      <c r="J741" s="36">
        <f>IFERROR(I741/$Q741,0)</f>
        <v>3.873239436619718E-2</v>
      </c>
      <c r="K741" s="17">
        <v>0</v>
      </c>
      <c r="L741" s="36">
        <f>IFERROR(K741/$R741,0)</f>
        <v>0</v>
      </c>
      <c r="M741" s="17">
        <v>35</v>
      </c>
      <c r="N741" s="36">
        <f>IFERROR(M741/$Q741,0)</f>
        <v>6.1619718309859156E-2</v>
      </c>
      <c r="O741" s="17">
        <v>3</v>
      </c>
      <c r="P741" s="36">
        <f>IFERROR(O741/$R741,0)</f>
        <v>0.75</v>
      </c>
      <c r="Q741" s="17">
        <v>568</v>
      </c>
      <c r="R741" s="17">
        <v>4</v>
      </c>
    </row>
    <row r="742" spans="1:18" ht="15.75" customHeight="1" x14ac:dyDescent="0.25">
      <c r="A742" s="37">
        <v>2019</v>
      </c>
      <c r="B742" s="35">
        <v>170700</v>
      </c>
      <c r="C742" s="34" t="s">
        <v>147</v>
      </c>
      <c r="D742" s="34" t="s">
        <v>50</v>
      </c>
      <c r="E742" s="17">
        <v>98</v>
      </c>
      <c r="F742" s="36">
        <f>IFERROR(E742/$Q742,0)</f>
        <v>0.34507042253521125</v>
      </c>
      <c r="G742" s="17">
        <v>3</v>
      </c>
      <c r="H742" s="36">
        <f>IFERROR(G742/$R742,0)</f>
        <v>0.21428571428571427</v>
      </c>
      <c r="I742" s="17">
        <v>231</v>
      </c>
      <c r="J742" s="36">
        <f>IFERROR(I742/$Q742,0)</f>
        <v>0.81338028169014087</v>
      </c>
      <c r="K742" s="17">
        <v>3</v>
      </c>
      <c r="L742" s="36">
        <f>IFERROR(K742/$R742,0)</f>
        <v>0.21428571428571427</v>
      </c>
      <c r="M742" s="17">
        <v>239</v>
      </c>
      <c r="N742" s="36">
        <f>IFERROR(M742/$Q742,0)</f>
        <v>0.84154929577464788</v>
      </c>
      <c r="O742" s="17">
        <v>8</v>
      </c>
      <c r="P742" s="36">
        <f>IFERROR(O742/$R742,0)</f>
        <v>0.5714285714285714</v>
      </c>
      <c r="Q742" s="17">
        <v>284</v>
      </c>
      <c r="R742" s="17">
        <v>14</v>
      </c>
    </row>
    <row r="743" spans="1:18" ht="15.75" customHeight="1" x14ac:dyDescent="0.25">
      <c r="A743" s="37">
        <v>2019</v>
      </c>
      <c r="B743" s="35">
        <v>170710</v>
      </c>
      <c r="C743" s="34" t="s">
        <v>144</v>
      </c>
      <c r="D743" s="34" t="s">
        <v>51</v>
      </c>
      <c r="E743" s="17">
        <v>38</v>
      </c>
      <c r="F743" s="36">
        <f>IFERROR(E743/$Q743,0)</f>
        <v>0.17351598173515981</v>
      </c>
      <c r="G743" s="17">
        <v>0</v>
      </c>
      <c r="H743" s="36">
        <f>IFERROR(G743/$R743,0)</f>
        <v>0</v>
      </c>
      <c r="I743" s="17">
        <v>112</v>
      </c>
      <c r="J743" s="36">
        <f>IFERROR(I743/$Q743,0)</f>
        <v>0.51141552511415522</v>
      </c>
      <c r="K743" s="17">
        <v>0</v>
      </c>
      <c r="L743" s="36">
        <f>IFERROR(K743/$R743,0)</f>
        <v>0</v>
      </c>
      <c r="M743" s="17">
        <v>134</v>
      </c>
      <c r="N743" s="36">
        <f>IFERROR(M743/$Q743,0)</f>
        <v>0.61187214611872143</v>
      </c>
      <c r="O743" s="17">
        <v>0</v>
      </c>
      <c r="P743" s="36">
        <f>IFERROR(O743/$R743,0)</f>
        <v>0</v>
      </c>
      <c r="Q743" s="17">
        <v>219</v>
      </c>
      <c r="R743" s="17">
        <v>0</v>
      </c>
    </row>
    <row r="744" spans="1:18" ht="15.75" customHeight="1" x14ac:dyDescent="0.25">
      <c r="A744" s="37">
        <v>2019</v>
      </c>
      <c r="B744" s="35">
        <v>170720</v>
      </c>
      <c r="C744" s="34" t="s">
        <v>144</v>
      </c>
      <c r="D744" s="34" t="s">
        <v>52</v>
      </c>
      <c r="E744" s="17">
        <v>35</v>
      </c>
      <c r="F744" s="36">
        <f>IFERROR(E744/$Q744,0)</f>
        <v>0.12323943661971831</v>
      </c>
      <c r="G744" s="17">
        <v>0</v>
      </c>
      <c r="H744" s="36">
        <f>IFERROR(G744/$R744,0)</f>
        <v>0</v>
      </c>
      <c r="I744" s="17">
        <v>118</v>
      </c>
      <c r="J744" s="36">
        <f>IFERROR(I744/$Q744,0)</f>
        <v>0.41549295774647887</v>
      </c>
      <c r="K744" s="17">
        <v>3</v>
      </c>
      <c r="L744" s="36">
        <f>IFERROR(K744/$R744,0)</f>
        <v>0.5</v>
      </c>
      <c r="M744" s="17">
        <v>66</v>
      </c>
      <c r="N744" s="36">
        <f>IFERROR(M744/$Q744,0)</f>
        <v>0.23239436619718309</v>
      </c>
      <c r="O744" s="17">
        <v>3</v>
      </c>
      <c r="P744" s="36">
        <f>IFERROR(O744/$R744,0)</f>
        <v>0.5</v>
      </c>
      <c r="Q744" s="17">
        <v>284</v>
      </c>
      <c r="R744" s="17">
        <v>6</v>
      </c>
    </row>
    <row r="745" spans="1:18" ht="15.75" customHeight="1" x14ac:dyDescent="0.25">
      <c r="A745" s="37">
        <v>2019</v>
      </c>
      <c r="B745" s="35">
        <v>170730</v>
      </c>
      <c r="C745" s="34" t="s">
        <v>146</v>
      </c>
      <c r="D745" s="34" t="s">
        <v>53</v>
      </c>
      <c r="E745" s="17">
        <v>36</v>
      </c>
      <c r="F745" s="36">
        <f>IFERROR(E745/$Q745,0)</f>
        <v>0.35294117647058826</v>
      </c>
      <c r="G745" s="17">
        <v>1</v>
      </c>
      <c r="H745" s="36">
        <f>IFERROR(G745/$R745,0)</f>
        <v>0.5</v>
      </c>
      <c r="I745" s="17">
        <v>106</v>
      </c>
      <c r="J745" s="36">
        <f>IFERROR(I745/$Q745,0)</f>
        <v>1.0392156862745099</v>
      </c>
      <c r="K745" s="17">
        <v>0</v>
      </c>
      <c r="L745" s="36">
        <f>IFERROR(K745/$R745,0)</f>
        <v>0</v>
      </c>
      <c r="M745" s="17">
        <v>142</v>
      </c>
      <c r="N745" s="36">
        <f>IFERROR(M745/$Q745,0)</f>
        <v>1.392156862745098</v>
      </c>
      <c r="O745" s="17">
        <v>1</v>
      </c>
      <c r="P745" s="36">
        <f>IFERROR(O745/$R745,0)</f>
        <v>0.5</v>
      </c>
      <c r="Q745" s="17">
        <v>102</v>
      </c>
      <c r="R745" s="17">
        <v>2</v>
      </c>
    </row>
    <row r="746" spans="1:18" ht="15.75" customHeight="1" x14ac:dyDescent="0.25">
      <c r="A746" s="37">
        <v>2019</v>
      </c>
      <c r="B746" s="35">
        <v>170740</v>
      </c>
      <c r="C746" s="34" t="s">
        <v>145</v>
      </c>
      <c r="D746" s="34" t="s">
        <v>54</v>
      </c>
      <c r="E746" s="17">
        <v>9</v>
      </c>
      <c r="F746" s="36">
        <f>IFERROR(E746/$Q746,0)</f>
        <v>0.15517241379310345</v>
      </c>
      <c r="G746" s="17">
        <v>0</v>
      </c>
      <c r="H746" s="36">
        <f>IFERROR(G746/$R746,0)</f>
        <v>0</v>
      </c>
      <c r="I746" s="17">
        <v>33</v>
      </c>
      <c r="J746" s="36">
        <f>IFERROR(I746/$Q746,0)</f>
        <v>0.56896551724137934</v>
      </c>
      <c r="K746" s="17">
        <v>1</v>
      </c>
      <c r="L746" s="36">
        <f>IFERROR(K746/$R746,0)</f>
        <v>0.2</v>
      </c>
      <c r="M746" s="17">
        <v>60</v>
      </c>
      <c r="N746" s="36">
        <f>IFERROR(M746/$Q746,0)</f>
        <v>1.0344827586206897</v>
      </c>
      <c r="O746" s="17">
        <v>4</v>
      </c>
      <c r="P746" s="36">
        <f>IFERROR(O746/$R746,0)</f>
        <v>0.8</v>
      </c>
      <c r="Q746" s="17">
        <v>58</v>
      </c>
      <c r="R746" s="17">
        <v>5</v>
      </c>
    </row>
    <row r="747" spans="1:18" ht="15.75" customHeight="1" x14ac:dyDescent="0.25">
      <c r="A747" s="37">
        <v>2019</v>
      </c>
      <c r="B747" s="35">
        <v>170755</v>
      </c>
      <c r="C747" s="34" t="s">
        <v>151</v>
      </c>
      <c r="D747" s="34" t="s">
        <v>55</v>
      </c>
      <c r="E747" s="17">
        <v>6</v>
      </c>
      <c r="F747" s="36">
        <f>IFERROR(E747/$Q747,0)</f>
        <v>7.4999999999999997E-2</v>
      </c>
      <c r="G747" s="17">
        <v>0</v>
      </c>
      <c r="H747" s="36">
        <f>IFERROR(G747/$R747,0)</f>
        <v>0</v>
      </c>
      <c r="I747" s="17">
        <v>16</v>
      </c>
      <c r="J747" s="36">
        <f>IFERROR(I747/$Q747,0)</f>
        <v>0.2</v>
      </c>
      <c r="K747" s="17">
        <v>0</v>
      </c>
      <c r="L747" s="36">
        <f>IFERROR(K747/$R747,0)</f>
        <v>0</v>
      </c>
      <c r="M747" s="17">
        <v>36</v>
      </c>
      <c r="N747" s="36">
        <f>IFERROR(M747/$Q747,0)</f>
        <v>0.45</v>
      </c>
      <c r="O747" s="17">
        <v>2</v>
      </c>
      <c r="P747" s="36">
        <f>IFERROR(O747/$R747,0)</f>
        <v>1</v>
      </c>
      <c r="Q747" s="17">
        <v>80</v>
      </c>
      <c r="R747" s="17">
        <v>2</v>
      </c>
    </row>
    <row r="748" spans="1:18" ht="15.75" customHeight="1" x14ac:dyDescent="0.25">
      <c r="A748" s="37">
        <v>2019</v>
      </c>
      <c r="B748" s="35">
        <v>170765</v>
      </c>
      <c r="C748" s="34" t="s">
        <v>146</v>
      </c>
      <c r="D748" s="34" t="s">
        <v>56</v>
      </c>
      <c r="E748" s="17">
        <v>12</v>
      </c>
      <c r="F748" s="36">
        <f>IFERROR(E748/$Q748,0)</f>
        <v>4.0540540540540543E-2</v>
      </c>
      <c r="G748" s="17">
        <v>0</v>
      </c>
      <c r="H748" s="36">
        <f>IFERROR(G748/$R748,0)</f>
        <v>0</v>
      </c>
      <c r="I748" s="17">
        <v>38</v>
      </c>
      <c r="J748" s="36">
        <f>IFERROR(I748/$Q748,0)</f>
        <v>0.12837837837837837</v>
      </c>
      <c r="K748" s="17">
        <v>1</v>
      </c>
      <c r="L748" s="36">
        <f>IFERROR(K748/$R748,0)</f>
        <v>0.5</v>
      </c>
      <c r="M748" s="17">
        <v>30</v>
      </c>
      <c r="N748" s="36">
        <f>IFERROR(M748/$Q748,0)</f>
        <v>0.10135135135135136</v>
      </c>
      <c r="O748" s="17">
        <v>1</v>
      </c>
      <c r="P748" s="36">
        <f>IFERROR(O748/$R748,0)</f>
        <v>0.5</v>
      </c>
      <c r="Q748" s="17">
        <v>296</v>
      </c>
      <c r="R748" s="17">
        <v>2</v>
      </c>
    </row>
    <row r="749" spans="1:18" ht="15.75" customHeight="1" x14ac:dyDescent="0.25">
      <c r="A749" s="37">
        <v>2019</v>
      </c>
      <c r="B749" s="35">
        <v>170770</v>
      </c>
      <c r="C749" s="34" t="s">
        <v>149</v>
      </c>
      <c r="D749" s="34" t="s">
        <v>57</v>
      </c>
      <c r="E749" s="17">
        <v>58</v>
      </c>
      <c r="F749" s="36">
        <f>IFERROR(E749/$Q749,0)</f>
        <v>0.42335766423357662</v>
      </c>
      <c r="G749" s="17">
        <v>1</v>
      </c>
      <c r="H749" s="36">
        <f>IFERROR(G749/$R749,0)</f>
        <v>0.16666666666666666</v>
      </c>
      <c r="I749" s="17">
        <v>117</v>
      </c>
      <c r="J749" s="36">
        <f>IFERROR(I749/$Q749,0)</f>
        <v>0.85401459854014594</v>
      </c>
      <c r="K749" s="17">
        <v>1</v>
      </c>
      <c r="L749" s="36">
        <f>IFERROR(K749/$R749,0)</f>
        <v>0.16666666666666666</v>
      </c>
      <c r="M749" s="17">
        <v>121</v>
      </c>
      <c r="N749" s="36">
        <f>IFERROR(M749/$Q749,0)</f>
        <v>0.88321167883211682</v>
      </c>
      <c r="O749" s="17">
        <v>4</v>
      </c>
      <c r="P749" s="36">
        <f>IFERROR(O749/$R749,0)</f>
        <v>0.66666666666666663</v>
      </c>
      <c r="Q749" s="17">
        <v>137</v>
      </c>
      <c r="R749" s="17">
        <v>6</v>
      </c>
    </row>
    <row r="750" spans="1:18" ht="15.75" customHeight="1" x14ac:dyDescent="0.25">
      <c r="A750" s="37">
        <v>2019</v>
      </c>
      <c r="B750" s="35">
        <v>170820</v>
      </c>
      <c r="C750" s="34" t="s">
        <v>146</v>
      </c>
      <c r="D750" s="34" t="s">
        <v>58</v>
      </c>
      <c r="E750" s="17">
        <v>21</v>
      </c>
      <c r="F750" s="36">
        <f>IFERROR(E750/$Q750,0)</f>
        <v>0.19444444444444445</v>
      </c>
      <c r="G750" s="17">
        <v>5</v>
      </c>
      <c r="H750" s="36">
        <f>IFERROR(G750/$R750,0)</f>
        <v>0.18518518518518517</v>
      </c>
      <c r="I750" s="17">
        <v>50</v>
      </c>
      <c r="J750" s="36">
        <f>IFERROR(I750/$Q750,0)</f>
        <v>0.46296296296296297</v>
      </c>
      <c r="K750" s="17">
        <v>5</v>
      </c>
      <c r="L750" s="36">
        <f>IFERROR(K750/$R750,0)</f>
        <v>0.18518518518518517</v>
      </c>
      <c r="M750" s="17">
        <v>66</v>
      </c>
      <c r="N750" s="36">
        <f>IFERROR(M750/$Q750,0)</f>
        <v>0.61111111111111116</v>
      </c>
      <c r="O750" s="17">
        <v>17</v>
      </c>
      <c r="P750" s="36">
        <f>IFERROR(O750/$R750,0)</f>
        <v>0.62962962962962965</v>
      </c>
      <c r="Q750" s="17">
        <v>108</v>
      </c>
      <c r="R750" s="17">
        <v>27</v>
      </c>
    </row>
    <row r="751" spans="1:18" ht="15.75" customHeight="1" x14ac:dyDescent="0.25">
      <c r="A751" s="37">
        <v>2019</v>
      </c>
      <c r="B751" s="35">
        <v>170830</v>
      </c>
      <c r="C751" s="34" t="s">
        <v>150</v>
      </c>
      <c r="D751" s="34" t="s">
        <v>59</v>
      </c>
      <c r="E751" s="17">
        <v>14</v>
      </c>
      <c r="F751" s="36">
        <f>IFERROR(E751/$Q751,0)</f>
        <v>7.7777777777777779E-2</v>
      </c>
      <c r="G751" s="17">
        <v>0</v>
      </c>
      <c r="H751" s="36">
        <f>IFERROR(G751/$R751,0)</f>
        <v>0</v>
      </c>
      <c r="I751" s="17">
        <v>44</v>
      </c>
      <c r="J751" s="36">
        <f>IFERROR(I751/$Q751,0)</f>
        <v>0.24444444444444444</v>
      </c>
      <c r="K751" s="17">
        <v>0</v>
      </c>
      <c r="L751" s="36">
        <f>IFERROR(K751/$R751,0)</f>
        <v>0</v>
      </c>
      <c r="M751" s="17">
        <v>50</v>
      </c>
      <c r="N751" s="36">
        <f>IFERROR(M751/$Q751,0)</f>
        <v>0.27777777777777779</v>
      </c>
      <c r="O751" s="17">
        <v>1</v>
      </c>
      <c r="P751" s="36">
        <f>IFERROR(O751/$R751,0)</f>
        <v>1</v>
      </c>
      <c r="Q751" s="17">
        <v>180</v>
      </c>
      <c r="R751" s="17">
        <v>1</v>
      </c>
    </row>
    <row r="752" spans="1:18" ht="15.75" customHeight="1" x14ac:dyDescent="0.25">
      <c r="A752" s="37">
        <v>2019</v>
      </c>
      <c r="B752" s="35">
        <v>170900</v>
      </c>
      <c r="C752" s="34" t="s">
        <v>149</v>
      </c>
      <c r="D752" s="34" t="s">
        <v>60</v>
      </c>
      <c r="E752" s="17">
        <v>29</v>
      </c>
      <c r="F752" s="36">
        <f>IFERROR(E752/$Q752,0)</f>
        <v>2.5239338555265448E-2</v>
      </c>
      <c r="G752" s="17">
        <v>1</v>
      </c>
      <c r="H752" s="36">
        <f>IFERROR(G752/$R752,0)</f>
        <v>1</v>
      </c>
      <c r="I752" s="17">
        <v>77</v>
      </c>
      <c r="J752" s="36">
        <f>IFERROR(I752/$Q752,0)</f>
        <v>6.7014795474325498E-2</v>
      </c>
      <c r="K752" s="17">
        <v>0</v>
      </c>
      <c r="L752" s="36">
        <f>IFERROR(K752/$R752,0)</f>
        <v>0</v>
      </c>
      <c r="M752" s="17">
        <v>74</v>
      </c>
      <c r="N752" s="36">
        <f>IFERROR(M752/$Q752,0)</f>
        <v>6.4403829416884245E-2</v>
      </c>
      <c r="O752" s="17">
        <v>0</v>
      </c>
      <c r="P752" s="36">
        <f>IFERROR(O752/$R752,0)</f>
        <v>0</v>
      </c>
      <c r="Q752" s="16">
        <v>1149</v>
      </c>
      <c r="R752" s="17">
        <v>1</v>
      </c>
    </row>
    <row r="753" spans="1:18" ht="15.75" customHeight="1" x14ac:dyDescent="0.25">
      <c r="A753" s="37">
        <v>2019</v>
      </c>
      <c r="B753" s="35">
        <v>170930</v>
      </c>
      <c r="C753" s="34" t="s">
        <v>150</v>
      </c>
      <c r="D753" s="34" t="s">
        <v>61</v>
      </c>
      <c r="E753" s="17">
        <v>125</v>
      </c>
      <c r="F753" s="36">
        <f>IFERROR(E753/$Q753,0)</f>
        <v>0.43554006968641112</v>
      </c>
      <c r="G753" s="17">
        <v>4</v>
      </c>
      <c r="H753" s="36">
        <f>IFERROR(G753/$R753,0)</f>
        <v>0.26666666666666666</v>
      </c>
      <c r="I753" s="17">
        <v>417</v>
      </c>
      <c r="J753" s="36">
        <f>IFERROR(I753/$Q753,0)</f>
        <v>1.4529616724738676</v>
      </c>
      <c r="K753" s="17">
        <v>5</v>
      </c>
      <c r="L753" s="36">
        <f>IFERROR(K753/$R753,0)</f>
        <v>0.33333333333333331</v>
      </c>
      <c r="M753" s="17">
        <v>607</v>
      </c>
      <c r="N753" s="36">
        <f>IFERROR(M753/$Q753,0)</f>
        <v>2.1149825783972127</v>
      </c>
      <c r="O753" s="17">
        <v>6</v>
      </c>
      <c r="P753" s="36">
        <f>IFERROR(O753/$R753,0)</f>
        <v>0.4</v>
      </c>
      <c r="Q753" s="17">
        <v>287</v>
      </c>
      <c r="R753" s="17">
        <v>15</v>
      </c>
    </row>
    <row r="754" spans="1:18" ht="15.75" customHeight="1" x14ac:dyDescent="0.25">
      <c r="A754" s="37">
        <v>2019</v>
      </c>
      <c r="B754" s="35">
        <v>170950</v>
      </c>
      <c r="C754" s="34" t="s">
        <v>146</v>
      </c>
      <c r="D754" s="34" t="s">
        <v>62</v>
      </c>
      <c r="E754" s="17">
        <v>41</v>
      </c>
      <c r="F754" s="36">
        <f>IFERROR(E754/$Q754,0)</f>
        <v>0.31297709923664124</v>
      </c>
      <c r="G754" s="17">
        <v>16</v>
      </c>
      <c r="H754" s="36">
        <f>IFERROR(G754/$R754,0)</f>
        <v>0.15841584158415842</v>
      </c>
      <c r="I754" s="17">
        <v>138</v>
      </c>
      <c r="J754" s="36">
        <f>IFERROR(I754/$Q754,0)</f>
        <v>1.0534351145038168</v>
      </c>
      <c r="K754" s="17">
        <v>64</v>
      </c>
      <c r="L754" s="36">
        <f>IFERROR(K754/$R754,0)</f>
        <v>0.63366336633663367</v>
      </c>
      <c r="M754" s="17">
        <v>108</v>
      </c>
      <c r="N754" s="36">
        <f>IFERROR(M754/$Q754,0)</f>
        <v>0.82442748091603058</v>
      </c>
      <c r="O754" s="17">
        <v>21</v>
      </c>
      <c r="P754" s="36">
        <f>IFERROR(O754/$R754,0)</f>
        <v>0.20792079207920791</v>
      </c>
      <c r="Q754" s="17">
        <v>131</v>
      </c>
      <c r="R754" s="17">
        <v>101</v>
      </c>
    </row>
    <row r="755" spans="1:18" ht="15.75" customHeight="1" x14ac:dyDescent="0.25">
      <c r="A755" s="37">
        <v>2019</v>
      </c>
      <c r="B755" s="35">
        <v>170980</v>
      </c>
      <c r="C755" s="34" t="s">
        <v>151</v>
      </c>
      <c r="D755" s="34" t="s">
        <v>63</v>
      </c>
      <c r="E755" s="17">
        <v>24</v>
      </c>
      <c r="F755" s="36">
        <f>IFERROR(E755/$Q755,0)</f>
        <v>0.11940298507462686</v>
      </c>
      <c r="G755" s="17">
        <v>0</v>
      </c>
      <c r="H755" s="36">
        <f>IFERROR(G755/$R755,0)</f>
        <v>0</v>
      </c>
      <c r="I755" s="17">
        <v>54</v>
      </c>
      <c r="J755" s="36">
        <f>IFERROR(I755/$Q755,0)</f>
        <v>0.26865671641791045</v>
      </c>
      <c r="K755" s="17">
        <v>1</v>
      </c>
      <c r="L755" s="36">
        <f>IFERROR(K755/$R755,0)</f>
        <v>1</v>
      </c>
      <c r="M755" s="17">
        <v>53</v>
      </c>
      <c r="N755" s="36">
        <f>IFERROR(M755/$Q755,0)</f>
        <v>0.26368159203980102</v>
      </c>
      <c r="O755" s="17">
        <v>0</v>
      </c>
      <c r="P755" s="36">
        <f>IFERROR(O755/$R755,0)</f>
        <v>0</v>
      </c>
      <c r="Q755" s="17">
        <v>201</v>
      </c>
      <c r="R755" s="17">
        <v>1</v>
      </c>
    </row>
    <row r="756" spans="1:18" ht="15.75" customHeight="1" x14ac:dyDescent="0.25">
      <c r="A756" s="37">
        <v>2019</v>
      </c>
      <c r="B756" s="35">
        <v>171050</v>
      </c>
      <c r="C756" s="34" t="s">
        <v>150</v>
      </c>
      <c r="D756" s="34" t="s">
        <v>64</v>
      </c>
      <c r="E756" s="17">
        <v>23</v>
      </c>
      <c r="F756" s="36">
        <f>IFERROR(E756/$Q756,0)</f>
        <v>0.184</v>
      </c>
      <c r="G756" s="17">
        <v>2</v>
      </c>
      <c r="H756" s="36">
        <f>IFERROR(G756/$R756,0)</f>
        <v>0.2857142857142857</v>
      </c>
      <c r="I756" s="17">
        <v>68</v>
      </c>
      <c r="J756" s="36">
        <f>IFERROR(I756/$Q756,0)</f>
        <v>0.54400000000000004</v>
      </c>
      <c r="K756" s="17">
        <v>2</v>
      </c>
      <c r="L756" s="36">
        <f>IFERROR(K756/$R756,0)</f>
        <v>0.2857142857142857</v>
      </c>
      <c r="M756" s="17">
        <v>110</v>
      </c>
      <c r="N756" s="36">
        <f>IFERROR(M756/$Q756,0)</f>
        <v>0.88</v>
      </c>
      <c r="O756" s="17">
        <v>3</v>
      </c>
      <c r="P756" s="36">
        <f>IFERROR(O756/$R756,0)</f>
        <v>0.42857142857142855</v>
      </c>
      <c r="Q756" s="17">
        <v>125</v>
      </c>
      <c r="R756" s="17">
        <v>7</v>
      </c>
    </row>
    <row r="757" spans="1:18" ht="15.75" customHeight="1" x14ac:dyDescent="0.25">
      <c r="A757" s="37">
        <v>2019</v>
      </c>
      <c r="B757" s="35">
        <v>171070</v>
      </c>
      <c r="C757" s="34" t="s">
        <v>145</v>
      </c>
      <c r="D757" s="34" t="s">
        <v>65</v>
      </c>
      <c r="E757" s="17">
        <v>20</v>
      </c>
      <c r="F757" s="36">
        <f>IFERROR(E757/$Q757,0)</f>
        <v>8.7336244541484712E-2</v>
      </c>
      <c r="G757" s="17">
        <v>0</v>
      </c>
      <c r="H757" s="36">
        <f>IFERROR(G757/$R757,0)</f>
        <v>0</v>
      </c>
      <c r="I757" s="17">
        <v>53</v>
      </c>
      <c r="J757" s="36">
        <f>IFERROR(I757/$Q757,0)</f>
        <v>0.23144104803493451</v>
      </c>
      <c r="K757" s="17">
        <v>1</v>
      </c>
      <c r="L757" s="36">
        <f>IFERROR(K757/$R757,0)</f>
        <v>0.5</v>
      </c>
      <c r="M757" s="17">
        <v>52</v>
      </c>
      <c r="N757" s="36">
        <f>IFERROR(M757/$Q757,0)</f>
        <v>0.22707423580786026</v>
      </c>
      <c r="O757" s="17">
        <v>1</v>
      </c>
      <c r="P757" s="36">
        <f>IFERROR(O757/$R757,0)</f>
        <v>0.5</v>
      </c>
      <c r="Q757" s="17">
        <v>229</v>
      </c>
      <c r="R757" s="17">
        <v>2</v>
      </c>
    </row>
    <row r="758" spans="1:18" ht="15.75" customHeight="1" x14ac:dyDescent="0.25">
      <c r="A758" s="37">
        <v>2019</v>
      </c>
      <c r="B758" s="35">
        <v>171090</v>
      </c>
      <c r="C758" s="34" t="s">
        <v>150</v>
      </c>
      <c r="D758" s="34" t="s">
        <v>66</v>
      </c>
      <c r="E758" s="17">
        <v>24</v>
      </c>
      <c r="F758" s="36">
        <f>IFERROR(E758/$Q758,0)</f>
        <v>0.22018348623853212</v>
      </c>
      <c r="G758" s="17">
        <v>0</v>
      </c>
      <c r="H758" s="36">
        <f>IFERROR(G758/$R758,0)</f>
        <v>0</v>
      </c>
      <c r="I758" s="17">
        <v>90</v>
      </c>
      <c r="J758" s="36">
        <f>IFERROR(I758/$Q758,0)</f>
        <v>0.82568807339449546</v>
      </c>
      <c r="K758" s="17">
        <v>1</v>
      </c>
      <c r="L758" s="36">
        <f>IFERROR(K758/$R758,0)</f>
        <v>1</v>
      </c>
      <c r="M758" s="17">
        <v>115</v>
      </c>
      <c r="N758" s="36">
        <f>IFERROR(M758/$Q758,0)</f>
        <v>1.0550458715596329</v>
      </c>
      <c r="O758" s="17">
        <v>0</v>
      </c>
      <c r="P758" s="36">
        <f>IFERROR(O758/$R758,0)</f>
        <v>0</v>
      </c>
      <c r="Q758" s="17">
        <v>109</v>
      </c>
      <c r="R758" s="17">
        <v>1</v>
      </c>
    </row>
    <row r="759" spans="1:18" ht="15.75" customHeight="1" x14ac:dyDescent="0.25">
      <c r="A759" s="37">
        <v>2019</v>
      </c>
      <c r="B759" s="35">
        <v>171110</v>
      </c>
      <c r="C759" s="34" t="s">
        <v>150</v>
      </c>
      <c r="D759" s="34" t="s">
        <v>67</v>
      </c>
      <c r="E759" s="17">
        <v>11</v>
      </c>
      <c r="F759" s="36">
        <f>IFERROR(E759/$Q759,0)</f>
        <v>5.4187192118226604E-2</v>
      </c>
      <c r="G759" s="17">
        <v>0</v>
      </c>
      <c r="H759" s="36">
        <f>IFERROR(G759/$R759,0)</f>
        <v>0</v>
      </c>
      <c r="I759" s="17">
        <v>40</v>
      </c>
      <c r="J759" s="36">
        <f>IFERROR(I759/$Q759,0)</f>
        <v>0.19704433497536947</v>
      </c>
      <c r="K759" s="17">
        <v>1</v>
      </c>
      <c r="L759" s="36">
        <f>IFERROR(K759/$R759,0)</f>
        <v>0.33333333333333331</v>
      </c>
      <c r="M759" s="17">
        <v>58</v>
      </c>
      <c r="N759" s="36">
        <f>IFERROR(M759/$Q759,0)</f>
        <v>0.2857142857142857</v>
      </c>
      <c r="O759" s="17">
        <v>2</v>
      </c>
      <c r="P759" s="36">
        <f>IFERROR(O759/$R759,0)</f>
        <v>0.66666666666666663</v>
      </c>
      <c r="Q759" s="17">
        <v>203</v>
      </c>
      <c r="R759" s="17">
        <v>3</v>
      </c>
    </row>
    <row r="760" spans="1:18" ht="15.75" customHeight="1" x14ac:dyDescent="0.25">
      <c r="A760" s="37">
        <v>2019</v>
      </c>
      <c r="B760" s="35">
        <v>171150</v>
      </c>
      <c r="C760" s="34" t="s">
        <v>146</v>
      </c>
      <c r="D760" s="34" t="s">
        <v>68</v>
      </c>
      <c r="E760" s="17">
        <v>25</v>
      </c>
      <c r="F760" s="36">
        <f>IFERROR(E760/$Q760,0)</f>
        <v>0.24038461538461539</v>
      </c>
      <c r="G760" s="17">
        <v>1</v>
      </c>
      <c r="H760" s="36">
        <f>IFERROR(G760/$R760,0)</f>
        <v>0.2</v>
      </c>
      <c r="I760" s="17">
        <v>92</v>
      </c>
      <c r="J760" s="36">
        <f>IFERROR(I760/$Q760,0)</f>
        <v>0.88461538461538458</v>
      </c>
      <c r="K760" s="17">
        <v>3</v>
      </c>
      <c r="L760" s="36">
        <f>IFERROR(K760/$R760,0)</f>
        <v>0.6</v>
      </c>
      <c r="M760" s="17">
        <v>86</v>
      </c>
      <c r="N760" s="36">
        <f>IFERROR(M760/$Q760,0)</f>
        <v>0.82692307692307687</v>
      </c>
      <c r="O760" s="17">
        <v>1</v>
      </c>
      <c r="P760" s="36">
        <f>IFERROR(O760/$R760,0)</f>
        <v>0.2</v>
      </c>
      <c r="Q760" s="17">
        <v>104</v>
      </c>
      <c r="R760" s="17">
        <v>5</v>
      </c>
    </row>
    <row r="761" spans="1:18" ht="15.75" customHeight="1" x14ac:dyDescent="0.25">
      <c r="A761" s="37">
        <v>2019</v>
      </c>
      <c r="B761" s="35">
        <v>171180</v>
      </c>
      <c r="C761" s="34" t="s">
        <v>150</v>
      </c>
      <c r="D761" s="34" t="s">
        <v>69</v>
      </c>
      <c r="E761" s="17">
        <v>11</v>
      </c>
      <c r="F761" s="36">
        <f>IFERROR(E761/$Q761,0)</f>
        <v>0.52380952380952384</v>
      </c>
      <c r="G761" s="17">
        <v>0</v>
      </c>
      <c r="H761" s="36">
        <f>IFERROR(G761/$R761,0)</f>
        <v>0</v>
      </c>
      <c r="I761" s="17">
        <v>59</v>
      </c>
      <c r="J761" s="36">
        <f>IFERROR(I761/$Q761,0)</f>
        <v>2.8095238095238093</v>
      </c>
      <c r="K761" s="17">
        <v>1</v>
      </c>
      <c r="L761" s="36">
        <f>IFERROR(K761/$R761,0)</f>
        <v>1</v>
      </c>
      <c r="M761" s="17">
        <v>34</v>
      </c>
      <c r="N761" s="36">
        <f>IFERROR(M761/$Q761,0)</f>
        <v>1.6190476190476191</v>
      </c>
      <c r="O761" s="17">
        <v>0</v>
      </c>
      <c r="P761" s="36">
        <f>IFERROR(O761/$R761,0)</f>
        <v>0</v>
      </c>
      <c r="Q761" s="17">
        <v>21</v>
      </c>
      <c r="R761" s="17">
        <v>1</v>
      </c>
    </row>
    <row r="762" spans="1:18" ht="15.75" customHeight="1" x14ac:dyDescent="0.25">
      <c r="A762" s="37">
        <v>2019</v>
      </c>
      <c r="B762" s="35">
        <v>171190</v>
      </c>
      <c r="C762" s="34" t="s">
        <v>144</v>
      </c>
      <c r="D762" s="34" t="s">
        <v>70</v>
      </c>
      <c r="E762" s="17">
        <v>2</v>
      </c>
      <c r="F762" s="36">
        <f>IFERROR(E762/$Q762,0)</f>
        <v>9.3023255813953487E-3</v>
      </c>
      <c r="G762" s="17">
        <v>1</v>
      </c>
      <c r="H762" s="36">
        <f>IFERROR(G762/$R762,0)</f>
        <v>0.25</v>
      </c>
      <c r="I762" s="17">
        <v>6</v>
      </c>
      <c r="J762" s="36">
        <f>IFERROR(I762/$Q762,0)</f>
        <v>2.7906976744186046E-2</v>
      </c>
      <c r="K762" s="17">
        <v>1</v>
      </c>
      <c r="L762" s="36">
        <f>IFERROR(K762/$R762,0)</f>
        <v>0.25</v>
      </c>
      <c r="M762" s="17">
        <v>13</v>
      </c>
      <c r="N762" s="36">
        <f>IFERROR(M762/$Q762,0)</f>
        <v>6.0465116279069767E-2</v>
      </c>
      <c r="O762" s="17">
        <v>2</v>
      </c>
      <c r="P762" s="36">
        <f>IFERROR(O762/$R762,0)</f>
        <v>0.5</v>
      </c>
      <c r="Q762" s="17">
        <v>215</v>
      </c>
      <c r="R762" s="17">
        <v>4</v>
      </c>
    </row>
    <row r="763" spans="1:18" ht="15.75" customHeight="1" x14ac:dyDescent="0.25">
      <c r="A763" s="37">
        <v>2019</v>
      </c>
      <c r="B763" s="35">
        <v>171195</v>
      </c>
      <c r="C763" s="34" t="s">
        <v>148</v>
      </c>
      <c r="D763" s="34" t="s">
        <v>71</v>
      </c>
      <c r="E763" s="17">
        <v>42</v>
      </c>
      <c r="F763" s="36">
        <f>IFERROR(E763/$Q763,0)</f>
        <v>42</v>
      </c>
      <c r="G763" s="17">
        <v>1</v>
      </c>
      <c r="H763" s="36">
        <f>IFERROR(G763/$R763,0)</f>
        <v>0.33333333333333331</v>
      </c>
      <c r="I763" s="17">
        <v>101</v>
      </c>
      <c r="J763" s="36">
        <f>IFERROR(I763/$Q763,0)</f>
        <v>101</v>
      </c>
      <c r="K763" s="17">
        <v>2</v>
      </c>
      <c r="L763" s="36">
        <f>IFERROR(K763/$R763,0)</f>
        <v>0.66666666666666663</v>
      </c>
      <c r="M763" s="17">
        <v>72</v>
      </c>
      <c r="N763" s="36">
        <f>IFERROR(M763/$Q763,0)</f>
        <v>72</v>
      </c>
      <c r="O763" s="17">
        <v>0</v>
      </c>
      <c r="P763" s="36">
        <f>IFERROR(O763/$R763,0)</f>
        <v>0</v>
      </c>
      <c r="Q763" s="17">
        <v>1</v>
      </c>
      <c r="R763" s="17">
        <v>3</v>
      </c>
    </row>
    <row r="764" spans="1:18" ht="15.75" customHeight="1" x14ac:dyDescent="0.25">
      <c r="A764" s="37">
        <v>2019</v>
      </c>
      <c r="B764" s="35">
        <v>171200</v>
      </c>
      <c r="C764" s="34" t="s">
        <v>148</v>
      </c>
      <c r="D764" s="34" t="s">
        <v>72</v>
      </c>
      <c r="E764" s="17">
        <v>0</v>
      </c>
      <c r="F764" s="36">
        <f>IFERROR(E764/$Q764,0)</f>
        <v>0</v>
      </c>
      <c r="G764" s="17">
        <v>0</v>
      </c>
      <c r="H764" s="36">
        <f>IFERROR(G764/$R764,0)</f>
        <v>0</v>
      </c>
      <c r="I764" s="17">
        <v>0</v>
      </c>
      <c r="J764" s="36">
        <f>IFERROR(I764/$Q764,0)</f>
        <v>0</v>
      </c>
      <c r="K764" s="17">
        <v>0</v>
      </c>
      <c r="L764" s="36">
        <f>IFERROR(K764/$R764,0)</f>
        <v>0</v>
      </c>
      <c r="M764" s="17">
        <v>1</v>
      </c>
      <c r="N764" s="36">
        <f>IFERROR(M764/$Q764,0)</f>
        <v>1.0526315789473684E-2</v>
      </c>
      <c r="O764" s="17">
        <v>1</v>
      </c>
      <c r="P764" s="36">
        <f>IFERROR(O764/$R764,0)</f>
        <v>1</v>
      </c>
      <c r="Q764" s="17">
        <v>95</v>
      </c>
      <c r="R764" s="17">
        <v>1</v>
      </c>
    </row>
    <row r="765" spans="1:18" ht="15.75" customHeight="1" x14ac:dyDescent="0.25">
      <c r="A765" s="37">
        <v>2019</v>
      </c>
      <c r="B765" s="35">
        <v>171215</v>
      </c>
      <c r="C765" s="34" t="s">
        <v>147</v>
      </c>
      <c r="D765" s="34" t="s">
        <v>73</v>
      </c>
      <c r="E765" s="17">
        <v>20</v>
      </c>
      <c r="F765" s="36">
        <f>IFERROR(E765/$Q765,0)</f>
        <v>0.2247191011235955</v>
      </c>
      <c r="G765" s="17">
        <v>1</v>
      </c>
      <c r="H765" s="36">
        <f>IFERROR(G765/$R765,0)</f>
        <v>1</v>
      </c>
      <c r="I765" s="17">
        <v>37</v>
      </c>
      <c r="J765" s="36">
        <f>IFERROR(I765/$Q765,0)</f>
        <v>0.4157303370786517</v>
      </c>
      <c r="K765" s="17">
        <v>0</v>
      </c>
      <c r="L765" s="36">
        <f>IFERROR(K765/$R765,0)</f>
        <v>0</v>
      </c>
      <c r="M765" s="17">
        <v>38</v>
      </c>
      <c r="N765" s="36">
        <f>IFERROR(M765/$Q765,0)</f>
        <v>0.42696629213483145</v>
      </c>
      <c r="O765" s="17">
        <v>0</v>
      </c>
      <c r="P765" s="36">
        <f>IFERROR(O765/$R765,0)</f>
        <v>0</v>
      </c>
      <c r="Q765" s="17">
        <v>89</v>
      </c>
      <c r="R765" s="17">
        <v>1</v>
      </c>
    </row>
    <row r="766" spans="1:18" ht="15.75" customHeight="1" x14ac:dyDescent="0.25">
      <c r="A766" s="37">
        <v>2019</v>
      </c>
      <c r="B766" s="35">
        <v>171240</v>
      </c>
      <c r="C766" s="34" t="s">
        <v>148</v>
      </c>
      <c r="D766" s="34" t="s">
        <v>74</v>
      </c>
      <c r="E766" s="17">
        <v>29</v>
      </c>
      <c r="F766" s="36">
        <f>IFERROR(E766/$Q766,0)</f>
        <v>0.25217391304347825</v>
      </c>
      <c r="G766" s="17">
        <v>0</v>
      </c>
      <c r="H766" s="36">
        <f>IFERROR(G766/$R766,0)</f>
        <v>0</v>
      </c>
      <c r="I766" s="17">
        <v>35</v>
      </c>
      <c r="J766" s="36">
        <f>IFERROR(I766/$Q766,0)</f>
        <v>0.30434782608695654</v>
      </c>
      <c r="K766" s="17">
        <v>0</v>
      </c>
      <c r="L766" s="36">
        <f>IFERROR(K766/$R766,0)</f>
        <v>0</v>
      </c>
      <c r="M766" s="17">
        <v>25</v>
      </c>
      <c r="N766" s="36">
        <f>IFERROR(M766/$Q766,0)</f>
        <v>0.21739130434782608</v>
      </c>
      <c r="O766" s="17">
        <v>1</v>
      </c>
      <c r="P766" s="36">
        <f>IFERROR(O766/$R766,0)</f>
        <v>1</v>
      </c>
      <c r="Q766" s="17">
        <v>115</v>
      </c>
      <c r="R766" s="17">
        <v>1</v>
      </c>
    </row>
    <row r="767" spans="1:18" ht="15.75" customHeight="1" x14ac:dyDescent="0.25">
      <c r="A767" s="37">
        <v>2019</v>
      </c>
      <c r="B767" s="35">
        <v>171245</v>
      </c>
      <c r="C767" s="34" t="s">
        <v>145</v>
      </c>
      <c r="D767" s="34" t="s">
        <v>75</v>
      </c>
      <c r="E767" s="17">
        <v>30</v>
      </c>
      <c r="F767" s="36">
        <f>IFERROR(E767/$Q767,0)</f>
        <v>0.14218009478672985</v>
      </c>
      <c r="G767" s="17">
        <v>2</v>
      </c>
      <c r="H767" s="36">
        <f>IFERROR(G767/$R767,0)</f>
        <v>0.5</v>
      </c>
      <c r="I767" s="17">
        <v>48</v>
      </c>
      <c r="J767" s="36">
        <f>IFERROR(I767/$Q767,0)</f>
        <v>0.22748815165876776</v>
      </c>
      <c r="K767" s="17">
        <v>0</v>
      </c>
      <c r="L767" s="36">
        <f>IFERROR(K767/$R767,0)</f>
        <v>0</v>
      </c>
      <c r="M767" s="17">
        <v>37</v>
      </c>
      <c r="N767" s="36">
        <f>IFERROR(M767/$Q767,0)</f>
        <v>0.17535545023696683</v>
      </c>
      <c r="O767" s="17">
        <v>2</v>
      </c>
      <c r="P767" s="36">
        <f>IFERROR(O767/$R767,0)</f>
        <v>0.5</v>
      </c>
      <c r="Q767" s="17">
        <v>211</v>
      </c>
      <c r="R767" s="17">
        <v>4</v>
      </c>
    </row>
    <row r="768" spans="1:18" ht="15.75" customHeight="1" x14ac:dyDescent="0.25">
      <c r="A768" s="37">
        <v>2019</v>
      </c>
      <c r="B768" s="35">
        <v>171250</v>
      </c>
      <c r="C768" s="34" t="s">
        <v>144</v>
      </c>
      <c r="D768" s="34" t="s">
        <v>76</v>
      </c>
      <c r="E768" s="17">
        <v>27</v>
      </c>
      <c r="F768" s="36">
        <f>IFERROR(E768/$Q768,0)</f>
        <v>0.33333333333333331</v>
      </c>
      <c r="G768" s="17">
        <v>2</v>
      </c>
      <c r="H768" s="36">
        <f>IFERROR(G768/$R768,0)</f>
        <v>0.4</v>
      </c>
      <c r="I768" s="17">
        <v>91</v>
      </c>
      <c r="J768" s="36">
        <f>IFERROR(I768/$Q768,0)</f>
        <v>1.1234567901234569</v>
      </c>
      <c r="K768" s="17">
        <v>3</v>
      </c>
      <c r="L768" s="36">
        <f>IFERROR(K768/$R768,0)</f>
        <v>0.6</v>
      </c>
      <c r="M768" s="17">
        <v>93</v>
      </c>
      <c r="N768" s="36">
        <f>IFERROR(M768/$Q768,0)</f>
        <v>1.1481481481481481</v>
      </c>
      <c r="O768" s="17">
        <v>0</v>
      </c>
      <c r="P768" s="36">
        <f>IFERROR(O768/$R768,0)</f>
        <v>0</v>
      </c>
      <c r="Q768" s="17">
        <v>81</v>
      </c>
      <c r="R768" s="17">
        <v>5</v>
      </c>
    </row>
    <row r="769" spans="1:18" ht="15.75" customHeight="1" x14ac:dyDescent="0.25">
      <c r="A769" s="37">
        <v>2019</v>
      </c>
      <c r="B769" s="35">
        <v>171270</v>
      </c>
      <c r="C769" s="34" t="s">
        <v>151</v>
      </c>
      <c r="D769" s="34" t="s">
        <v>77</v>
      </c>
      <c r="E769" s="17">
        <v>27</v>
      </c>
      <c r="F769" s="36">
        <f>IFERROR(E769/$Q769,0)</f>
        <v>0.13636363636363635</v>
      </c>
      <c r="G769" s="17">
        <v>0</v>
      </c>
      <c r="H769" s="36">
        <f>IFERROR(G769/$R769,0)</f>
        <v>0</v>
      </c>
      <c r="I769" s="17">
        <v>33</v>
      </c>
      <c r="J769" s="36">
        <f>IFERROR(I769/$Q769,0)</f>
        <v>0.16666666666666666</v>
      </c>
      <c r="K769" s="17">
        <v>0</v>
      </c>
      <c r="L769" s="36">
        <f>IFERROR(K769/$R769,0)</f>
        <v>0</v>
      </c>
      <c r="M769" s="17">
        <v>21</v>
      </c>
      <c r="N769" s="36">
        <f>IFERROR(M769/$Q769,0)</f>
        <v>0.10606060606060606</v>
      </c>
      <c r="O769" s="17">
        <v>0</v>
      </c>
      <c r="P769" s="36">
        <f>IFERROR(O769/$R769,0)</f>
        <v>0</v>
      </c>
      <c r="Q769" s="17">
        <v>198</v>
      </c>
      <c r="R769" s="17">
        <v>0</v>
      </c>
    </row>
    <row r="770" spans="1:18" ht="15.75" customHeight="1" x14ac:dyDescent="0.25">
      <c r="A770" s="37">
        <v>2019</v>
      </c>
      <c r="B770" s="35">
        <v>171280</v>
      </c>
      <c r="C770" s="34" t="s">
        <v>145</v>
      </c>
      <c r="D770" s="34" t="s">
        <v>78</v>
      </c>
      <c r="E770" s="17">
        <v>37</v>
      </c>
      <c r="F770" s="36">
        <f>IFERROR(E770/$Q770,0)</f>
        <v>2.5273224043715847E-2</v>
      </c>
      <c r="G770" s="17">
        <v>0</v>
      </c>
      <c r="H770" s="36">
        <f>IFERROR(G770/$R770,0)</f>
        <v>0</v>
      </c>
      <c r="I770" s="17">
        <v>72</v>
      </c>
      <c r="J770" s="36">
        <f>IFERROR(I770/$Q770,0)</f>
        <v>4.9180327868852458E-2</v>
      </c>
      <c r="K770" s="17">
        <v>2</v>
      </c>
      <c r="L770" s="36">
        <f>IFERROR(K770/$R770,0)</f>
        <v>1</v>
      </c>
      <c r="M770" s="17">
        <v>89</v>
      </c>
      <c r="N770" s="36">
        <f>IFERROR(M770/$Q770,0)</f>
        <v>6.0792349726775954E-2</v>
      </c>
      <c r="O770" s="17">
        <v>0</v>
      </c>
      <c r="P770" s="36">
        <f>IFERROR(O770/$R770,0)</f>
        <v>0</v>
      </c>
      <c r="Q770" s="16">
        <v>1464</v>
      </c>
      <c r="R770" s="17">
        <v>2</v>
      </c>
    </row>
    <row r="771" spans="1:18" ht="15.75" customHeight="1" x14ac:dyDescent="0.25">
      <c r="A771" s="37">
        <v>2019</v>
      </c>
      <c r="B771" s="35">
        <v>171320</v>
      </c>
      <c r="C771" s="34" t="s">
        <v>148</v>
      </c>
      <c r="D771" s="34" t="s">
        <v>79</v>
      </c>
      <c r="E771" s="17">
        <v>223</v>
      </c>
      <c r="F771" s="36">
        <f>IFERROR(E771/$Q771,0)</f>
        <v>0.9065040650406504</v>
      </c>
      <c r="G771" s="17">
        <v>1</v>
      </c>
      <c r="H771" s="36">
        <f>IFERROR(G771/$R771,0)</f>
        <v>6.6666666666666666E-2</v>
      </c>
      <c r="I771" s="17">
        <v>673</v>
      </c>
      <c r="J771" s="36">
        <f>IFERROR(I771/$Q771,0)</f>
        <v>2.7357723577235773</v>
      </c>
      <c r="K771" s="17">
        <v>6</v>
      </c>
      <c r="L771" s="36">
        <f>IFERROR(K771/$R771,0)</f>
        <v>0.4</v>
      </c>
      <c r="M771" s="17">
        <v>568</v>
      </c>
      <c r="N771" s="36">
        <f>IFERROR(M771/$Q771,0)</f>
        <v>2.3089430894308944</v>
      </c>
      <c r="O771" s="17">
        <v>8</v>
      </c>
      <c r="P771" s="36">
        <f>IFERROR(O771/$R771,0)</f>
        <v>0.53333333333333333</v>
      </c>
      <c r="Q771" s="17">
        <v>246</v>
      </c>
      <c r="R771" s="17">
        <v>15</v>
      </c>
    </row>
    <row r="772" spans="1:18" ht="15.75" customHeight="1" x14ac:dyDescent="0.25">
      <c r="A772" s="37">
        <v>2019</v>
      </c>
      <c r="B772" s="35">
        <v>171330</v>
      </c>
      <c r="C772" s="34" t="s">
        <v>148</v>
      </c>
      <c r="D772" s="34" t="s">
        <v>80</v>
      </c>
      <c r="E772" s="17">
        <v>34</v>
      </c>
      <c r="F772" s="36">
        <f>IFERROR(E772/$Q772,0)</f>
        <v>0.2982456140350877</v>
      </c>
      <c r="G772" s="17">
        <v>3</v>
      </c>
      <c r="H772" s="36">
        <f>IFERROR(G772/$R772,0)</f>
        <v>0.25</v>
      </c>
      <c r="I772" s="17">
        <v>85</v>
      </c>
      <c r="J772" s="36">
        <f>IFERROR(I772/$Q772,0)</f>
        <v>0.74561403508771928</v>
      </c>
      <c r="K772" s="17">
        <v>3</v>
      </c>
      <c r="L772" s="36">
        <f>IFERROR(K772/$R772,0)</f>
        <v>0.25</v>
      </c>
      <c r="M772" s="17">
        <v>127</v>
      </c>
      <c r="N772" s="36">
        <f>IFERROR(M772/$Q772,0)</f>
        <v>1.1140350877192982</v>
      </c>
      <c r="O772" s="17">
        <v>6</v>
      </c>
      <c r="P772" s="36">
        <f>IFERROR(O772/$R772,0)</f>
        <v>0.5</v>
      </c>
      <c r="Q772" s="17">
        <v>114</v>
      </c>
      <c r="R772" s="17">
        <v>12</v>
      </c>
    </row>
    <row r="773" spans="1:18" ht="15.75" customHeight="1" x14ac:dyDescent="0.25">
      <c r="A773" s="37">
        <v>2019</v>
      </c>
      <c r="B773" s="35">
        <v>171360</v>
      </c>
      <c r="C773" s="34" t="s">
        <v>151</v>
      </c>
      <c r="D773" s="34" t="s">
        <v>81</v>
      </c>
      <c r="E773" s="17">
        <v>9</v>
      </c>
      <c r="F773" s="36">
        <f>IFERROR(E773/$Q773,0)</f>
        <v>7.7586206896551727E-2</v>
      </c>
      <c r="G773" s="17">
        <v>1</v>
      </c>
      <c r="H773" s="36">
        <f>IFERROR(G773/$R773,0)</f>
        <v>0.2</v>
      </c>
      <c r="I773" s="17">
        <v>35</v>
      </c>
      <c r="J773" s="36">
        <f>IFERROR(I773/$Q773,0)</f>
        <v>0.30172413793103448</v>
      </c>
      <c r="K773" s="17">
        <v>1</v>
      </c>
      <c r="L773" s="36">
        <f>IFERROR(K773/$R773,0)</f>
        <v>0.2</v>
      </c>
      <c r="M773" s="17">
        <v>70</v>
      </c>
      <c r="N773" s="36">
        <f>IFERROR(M773/$Q773,0)</f>
        <v>0.60344827586206895</v>
      </c>
      <c r="O773" s="17">
        <v>3</v>
      </c>
      <c r="P773" s="36">
        <f>IFERROR(O773/$R773,0)</f>
        <v>0.6</v>
      </c>
      <c r="Q773" s="17">
        <v>116</v>
      </c>
      <c r="R773" s="17">
        <v>5</v>
      </c>
    </row>
    <row r="774" spans="1:18" ht="15.75" customHeight="1" x14ac:dyDescent="0.25">
      <c r="A774" s="37">
        <v>2019</v>
      </c>
      <c r="B774" s="35">
        <v>171370</v>
      </c>
      <c r="C774" s="34" t="s">
        <v>144</v>
      </c>
      <c r="D774" s="34" t="s">
        <v>82</v>
      </c>
      <c r="E774" s="17">
        <v>24</v>
      </c>
      <c r="F774" s="36">
        <f>IFERROR(E774/$Q774,0)</f>
        <v>0.12972972972972974</v>
      </c>
      <c r="G774" s="17">
        <v>0</v>
      </c>
      <c r="H774" s="36">
        <f>IFERROR(G774/$R774,0)</f>
        <v>0</v>
      </c>
      <c r="I774" s="17">
        <v>36</v>
      </c>
      <c r="J774" s="36">
        <f>IFERROR(I774/$Q774,0)</f>
        <v>0.19459459459459461</v>
      </c>
      <c r="K774" s="17">
        <v>0</v>
      </c>
      <c r="L774" s="36">
        <f>IFERROR(K774/$R774,0)</f>
        <v>0</v>
      </c>
      <c r="M774" s="17">
        <v>56</v>
      </c>
      <c r="N774" s="36">
        <f>IFERROR(M774/$Q774,0)</f>
        <v>0.30270270270270272</v>
      </c>
      <c r="O774" s="17">
        <v>0</v>
      </c>
      <c r="P774" s="36">
        <f>IFERROR(O774/$R774,0)</f>
        <v>0</v>
      </c>
      <c r="Q774" s="17">
        <v>185</v>
      </c>
      <c r="R774" s="17">
        <v>0</v>
      </c>
    </row>
    <row r="775" spans="1:18" ht="15.75" customHeight="1" x14ac:dyDescent="0.25">
      <c r="A775" s="37">
        <v>2019</v>
      </c>
      <c r="B775" s="35">
        <v>171395</v>
      </c>
      <c r="C775" s="34" t="s">
        <v>149</v>
      </c>
      <c r="D775" s="34" t="s">
        <v>83</v>
      </c>
      <c r="E775" s="17">
        <v>33</v>
      </c>
      <c r="F775" s="36">
        <f>IFERROR(E775/$Q775,0)</f>
        <v>6.4077669902912623E-2</v>
      </c>
      <c r="G775" s="17">
        <v>2</v>
      </c>
      <c r="H775" s="36">
        <f>IFERROR(G775/$R775,0)</f>
        <v>0.5</v>
      </c>
      <c r="I775" s="17">
        <v>64</v>
      </c>
      <c r="J775" s="36">
        <f>IFERROR(I775/$Q775,0)</f>
        <v>0.12427184466019417</v>
      </c>
      <c r="K775" s="17">
        <v>1</v>
      </c>
      <c r="L775" s="36">
        <f>IFERROR(K775/$R775,0)</f>
        <v>0.25</v>
      </c>
      <c r="M775" s="17">
        <v>88</v>
      </c>
      <c r="N775" s="36">
        <f>IFERROR(M775/$Q775,0)</f>
        <v>0.17087378640776699</v>
      </c>
      <c r="O775" s="17">
        <v>1</v>
      </c>
      <c r="P775" s="36">
        <f>IFERROR(O775/$R775,0)</f>
        <v>0.25</v>
      </c>
      <c r="Q775" s="17">
        <v>515</v>
      </c>
      <c r="R775" s="17">
        <v>4</v>
      </c>
    </row>
    <row r="776" spans="1:18" ht="15.75" customHeight="1" x14ac:dyDescent="0.25">
      <c r="A776" s="37">
        <v>2019</v>
      </c>
      <c r="B776" s="35">
        <v>171420</v>
      </c>
      <c r="C776" s="34" t="s">
        <v>151</v>
      </c>
      <c r="D776" s="34" t="s">
        <v>84</v>
      </c>
      <c r="E776" s="17">
        <v>93</v>
      </c>
      <c r="F776" s="36">
        <f>IFERROR(E776/$Q776,0)</f>
        <v>0.42857142857142855</v>
      </c>
      <c r="G776" s="17">
        <v>2</v>
      </c>
      <c r="H776" s="36">
        <f>IFERROR(G776/$R776,0)</f>
        <v>0.18181818181818182</v>
      </c>
      <c r="I776" s="17">
        <v>208</v>
      </c>
      <c r="J776" s="36">
        <f>IFERROR(I776/$Q776,0)</f>
        <v>0.95852534562211977</v>
      </c>
      <c r="K776" s="17">
        <v>6</v>
      </c>
      <c r="L776" s="36">
        <f>IFERROR(K776/$R776,0)</f>
        <v>0.54545454545454541</v>
      </c>
      <c r="M776" s="17">
        <v>214</v>
      </c>
      <c r="N776" s="36">
        <f>IFERROR(M776/$Q776,0)</f>
        <v>0.98617511520737322</v>
      </c>
      <c r="O776" s="17">
        <v>3</v>
      </c>
      <c r="P776" s="36">
        <f>IFERROR(O776/$R776,0)</f>
        <v>0.27272727272727271</v>
      </c>
      <c r="Q776" s="17">
        <v>217</v>
      </c>
      <c r="R776" s="17">
        <v>11</v>
      </c>
    </row>
    <row r="777" spans="1:18" ht="15.75" customHeight="1" x14ac:dyDescent="0.25">
      <c r="A777" s="37">
        <v>2019</v>
      </c>
      <c r="B777" s="35">
        <v>171430</v>
      </c>
      <c r="C777" s="34" t="s">
        <v>145</v>
      </c>
      <c r="D777" s="34" t="s">
        <v>85</v>
      </c>
      <c r="E777" s="17">
        <v>30</v>
      </c>
      <c r="F777" s="36">
        <f>IFERROR(E777/$Q777,0)</f>
        <v>6.8807339449541288E-2</v>
      </c>
      <c r="G777" s="17">
        <v>1</v>
      </c>
      <c r="H777" s="36">
        <f>IFERROR(G777/$R777,0)</f>
        <v>0.33333333333333331</v>
      </c>
      <c r="I777" s="17">
        <v>91</v>
      </c>
      <c r="J777" s="36">
        <f>IFERROR(I777/$Q777,0)</f>
        <v>0.20871559633027523</v>
      </c>
      <c r="K777" s="17">
        <v>1</v>
      </c>
      <c r="L777" s="36">
        <f>IFERROR(K777/$R777,0)</f>
        <v>0.33333333333333331</v>
      </c>
      <c r="M777" s="17">
        <v>96</v>
      </c>
      <c r="N777" s="36">
        <f>IFERROR(M777/$Q777,0)</f>
        <v>0.22018348623853212</v>
      </c>
      <c r="O777" s="17">
        <v>1</v>
      </c>
      <c r="P777" s="36">
        <f>IFERROR(O777/$R777,0)</f>
        <v>0.33333333333333331</v>
      </c>
      <c r="Q777" s="17">
        <v>436</v>
      </c>
      <c r="R777" s="17">
        <v>3</v>
      </c>
    </row>
    <row r="778" spans="1:18" ht="15.75" customHeight="1" x14ac:dyDescent="0.25">
      <c r="A778" s="37">
        <v>2019</v>
      </c>
      <c r="B778" s="35">
        <v>171488</v>
      </c>
      <c r="C778" s="34" t="s">
        <v>149</v>
      </c>
      <c r="D778" s="34" t="s">
        <v>86</v>
      </c>
      <c r="E778" s="17">
        <v>55</v>
      </c>
      <c r="F778" s="36">
        <f>IFERROR(E778/$Q778,0)</f>
        <v>0.14784946236559141</v>
      </c>
      <c r="G778" s="17">
        <v>2</v>
      </c>
      <c r="H778" s="36">
        <f>IFERROR(G778/$R778,0)</f>
        <v>0.15384615384615385</v>
      </c>
      <c r="I778" s="17">
        <v>217</v>
      </c>
      <c r="J778" s="36">
        <f>IFERROR(I778/$Q778,0)</f>
        <v>0.58333333333333337</v>
      </c>
      <c r="K778" s="17">
        <v>6</v>
      </c>
      <c r="L778" s="36">
        <f>IFERROR(K778/$R778,0)</f>
        <v>0.46153846153846156</v>
      </c>
      <c r="M778" s="17">
        <v>164</v>
      </c>
      <c r="N778" s="36">
        <f>IFERROR(M778/$Q778,0)</f>
        <v>0.44086021505376344</v>
      </c>
      <c r="O778" s="17">
        <v>5</v>
      </c>
      <c r="P778" s="36">
        <f>IFERROR(O778/$R778,0)</f>
        <v>0.38461538461538464</v>
      </c>
      <c r="Q778" s="17">
        <v>372</v>
      </c>
      <c r="R778" s="17">
        <v>13</v>
      </c>
    </row>
    <row r="779" spans="1:18" ht="15.75" customHeight="1" x14ac:dyDescent="0.25">
      <c r="A779" s="37">
        <v>2019</v>
      </c>
      <c r="B779" s="35">
        <v>171500</v>
      </c>
      <c r="C779" s="34" t="s">
        <v>144</v>
      </c>
      <c r="D779" s="34" t="s">
        <v>87</v>
      </c>
      <c r="E779" s="17">
        <v>55</v>
      </c>
      <c r="F779" s="36">
        <f>IFERROR(E779/$Q779,0)</f>
        <v>0.43650793650793651</v>
      </c>
      <c r="G779" s="17">
        <v>1</v>
      </c>
      <c r="H779" s="36">
        <f>IFERROR(G779/$R779,0)</f>
        <v>0.2</v>
      </c>
      <c r="I779" s="17">
        <v>161</v>
      </c>
      <c r="J779" s="36">
        <f>IFERROR(I779/$Q779,0)</f>
        <v>1.2777777777777777</v>
      </c>
      <c r="K779" s="17">
        <v>2</v>
      </c>
      <c r="L779" s="36">
        <f>IFERROR(K779/$R779,0)</f>
        <v>0.4</v>
      </c>
      <c r="M779" s="17">
        <v>156</v>
      </c>
      <c r="N779" s="36">
        <f>IFERROR(M779/$Q779,0)</f>
        <v>1.2380952380952381</v>
      </c>
      <c r="O779" s="17">
        <v>2</v>
      </c>
      <c r="P779" s="36">
        <f>IFERROR(O779/$R779,0)</f>
        <v>0.4</v>
      </c>
      <c r="Q779" s="17">
        <v>126</v>
      </c>
      <c r="R779" s="17">
        <v>5</v>
      </c>
    </row>
    <row r="780" spans="1:18" ht="15.75" customHeight="1" x14ac:dyDescent="0.25">
      <c r="A780" s="37">
        <v>2019</v>
      </c>
      <c r="B780" s="35">
        <v>171510</v>
      </c>
      <c r="C780" s="34" t="s">
        <v>148</v>
      </c>
      <c r="D780" s="34" t="s">
        <v>88</v>
      </c>
      <c r="E780" s="17">
        <v>16</v>
      </c>
      <c r="F780" s="36">
        <f>IFERROR(E780/$Q780,0)</f>
        <v>9.580838323353294E-2</v>
      </c>
      <c r="G780" s="17">
        <v>0</v>
      </c>
      <c r="H780" s="36">
        <f>IFERROR(G780/$R780,0)</f>
        <v>0</v>
      </c>
      <c r="I780" s="17">
        <v>63</v>
      </c>
      <c r="J780" s="36">
        <f>IFERROR(I780/$Q780,0)</f>
        <v>0.3772455089820359</v>
      </c>
      <c r="K780" s="17">
        <v>0</v>
      </c>
      <c r="L780" s="36">
        <f>IFERROR(K780/$R780,0)</f>
        <v>0</v>
      </c>
      <c r="M780" s="17">
        <v>47</v>
      </c>
      <c r="N780" s="36">
        <f>IFERROR(M780/$Q780,0)</f>
        <v>0.28143712574850299</v>
      </c>
      <c r="O780" s="17">
        <v>0</v>
      </c>
      <c r="P780" s="36">
        <f>IFERROR(O780/$R780,0)</f>
        <v>0</v>
      </c>
      <c r="Q780" s="17">
        <v>167</v>
      </c>
      <c r="R780" s="17">
        <v>0</v>
      </c>
    </row>
    <row r="781" spans="1:18" ht="15.75" customHeight="1" x14ac:dyDescent="0.25">
      <c r="A781" s="37">
        <v>2019</v>
      </c>
      <c r="B781" s="35">
        <v>171515</v>
      </c>
      <c r="C781" s="34" t="s">
        <v>147</v>
      </c>
      <c r="D781" s="34" t="s">
        <v>89</v>
      </c>
      <c r="E781" s="17">
        <v>39</v>
      </c>
      <c r="F781" s="36">
        <f>IFERROR(E781/$Q781,0)</f>
        <v>4.875</v>
      </c>
      <c r="G781" s="17">
        <v>1</v>
      </c>
      <c r="H781" s="36">
        <f>IFERROR(G781/$R781,0)</f>
        <v>1</v>
      </c>
      <c r="I781" s="17">
        <v>65</v>
      </c>
      <c r="J781" s="36">
        <f>IFERROR(I781/$Q781,0)</f>
        <v>8.125</v>
      </c>
      <c r="K781" s="17">
        <v>0</v>
      </c>
      <c r="L781" s="36">
        <f>IFERROR(K781/$R781,0)</f>
        <v>0</v>
      </c>
      <c r="M781" s="17">
        <v>63</v>
      </c>
      <c r="N781" s="36">
        <f>IFERROR(M781/$Q781,0)</f>
        <v>7.875</v>
      </c>
      <c r="O781" s="17">
        <v>0</v>
      </c>
      <c r="P781" s="36">
        <f>IFERROR(O781/$R781,0)</f>
        <v>0</v>
      </c>
      <c r="Q781" s="17">
        <v>8</v>
      </c>
      <c r="R781" s="17">
        <v>1</v>
      </c>
    </row>
    <row r="782" spans="1:18" ht="15.75" customHeight="1" x14ac:dyDescent="0.25">
      <c r="A782" s="37">
        <v>2019</v>
      </c>
      <c r="B782" s="35">
        <v>171525</v>
      </c>
      <c r="C782" s="34" t="s">
        <v>147</v>
      </c>
      <c r="D782" s="34" t="s">
        <v>90</v>
      </c>
      <c r="E782" s="17">
        <v>2</v>
      </c>
      <c r="F782" s="36">
        <f>IFERROR(E782/$Q782,0)</f>
        <v>2.1739130434782608E-2</v>
      </c>
      <c r="G782" s="17">
        <v>1</v>
      </c>
      <c r="H782" s="36">
        <f>IFERROR(G782/$R782,0)</f>
        <v>0.2</v>
      </c>
      <c r="I782" s="17">
        <v>1</v>
      </c>
      <c r="J782" s="36">
        <f>IFERROR(I782/$Q782,0)</f>
        <v>1.0869565217391304E-2</v>
      </c>
      <c r="K782" s="17">
        <v>1</v>
      </c>
      <c r="L782" s="36">
        <f>IFERROR(K782/$R782,0)</f>
        <v>0.2</v>
      </c>
      <c r="M782" s="17">
        <v>5</v>
      </c>
      <c r="N782" s="36">
        <f>IFERROR(M782/$Q782,0)</f>
        <v>5.434782608695652E-2</v>
      </c>
      <c r="O782" s="17">
        <v>3</v>
      </c>
      <c r="P782" s="36">
        <f>IFERROR(O782/$R782,0)</f>
        <v>0.6</v>
      </c>
      <c r="Q782" s="17">
        <v>92</v>
      </c>
      <c r="R782" s="17">
        <v>5</v>
      </c>
    </row>
    <row r="783" spans="1:18" ht="15.75" customHeight="1" x14ac:dyDescent="0.25">
      <c r="A783" s="37">
        <v>2019</v>
      </c>
      <c r="B783" s="35">
        <v>171550</v>
      </c>
      <c r="C783" s="34" t="s">
        <v>151</v>
      </c>
      <c r="D783" s="34" t="s">
        <v>91</v>
      </c>
      <c r="E783" s="17">
        <v>14</v>
      </c>
      <c r="F783" s="36">
        <f>IFERROR(E783/$Q783,0)</f>
        <v>2.3553162853297443E-3</v>
      </c>
      <c r="G783" s="17">
        <v>0</v>
      </c>
      <c r="H783" s="36">
        <f>IFERROR(G783/$R783,0)</f>
        <v>0</v>
      </c>
      <c r="I783" s="17">
        <v>26</v>
      </c>
      <c r="J783" s="36">
        <f>IFERROR(I783/$Q783,0)</f>
        <v>4.3741588156123818E-3</v>
      </c>
      <c r="K783" s="17">
        <v>0</v>
      </c>
      <c r="L783" s="36">
        <f>IFERROR(K783/$R783,0)</f>
        <v>0</v>
      </c>
      <c r="M783" s="17">
        <v>52</v>
      </c>
      <c r="N783" s="36">
        <f>IFERROR(M783/$Q783,0)</f>
        <v>8.7483176312247637E-3</v>
      </c>
      <c r="O783" s="17">
        <v>0</v>
      </c>
      <c r="P783" s="36">
        <f>IFERROR(O783/$R783,0)</f>
        <v>0</v>
      </c>
      <c r="Q783" s="16">
        <v>5944</v>
      </c>
      <c r="R783" s="17">
        <v>0</v>
      </c>
    </row>
    <row r="784" spans="1:18" ht="15.75" customHeight="1" x14ac:dyDescent="0.25">
      <c r="A784" s="37">
        <v>2019</v>
      </c>
      <c r="B784" s="35">
        <v>172100</v>
      </c>
      <c r="C784" s="34" t="s">
        <v>148</v>
      </c>
      <c r="D784" s="34" t="s">
        <v>92</v>
      </c>
      <c r="E784" s="17">
        <v>635</v>
      </c>
      <c r="F784" s="36">
        <f>IFERROR(E784/$Q784,0)</f>
        <v>3.4324324324324325</v>
      </c>
      <c r="G784" s="17">
        <v>8</v>
      </c>
      <c r="H784" s="36">
        <f>IFERROR(G784/$R784,0)</f>
        <v>0.14545454545454545</v>
      </c>
      <c r="I784" s="16">
        <v>2266</v>
      </c>
      <c r="J784" s="36">
        <f>IFERROR(I784/$Q784,0)</f>
        <v>12.248648648648649</v>
      </c>
      <c r="K784" s="17">
        <v>26</v>
      </c>
      <c r="L784" s="36">
        <f>IFERROR(K784/$R784,0)</f>
        <v>0.47272727272727272</v>
      </c>
      <c r="M784" s="16">
        <v>3043</v>
      </c>
      <c r="N784" s="36">
        <f>IFERROR(M784/$Q784,0)</f>
        <v>16.44864864864865</v>
      </c>
      <c r="O784" s="17">
        <v>21</v>
      </c>
      <c r="P784" s="36">
        <f>IFERROR(O784/$R784,0)</f>
        <v>0.38181818181818183</v>
      </c>
      <c r="Q784" s="17">
        <v>185</v>
      </c>
      <c r="R784" s="17">
        <v>55</v>
      </c>
    </row>
    <row r="785" spans="1:18" ht="15.75" customHeight="1" x14ac:dyDescent="0.25">
      <c r="A785" s="37">
        <v>2019</v>
      </c>
      <c r="B785" s="35">
        <v>171570</v>
      </c>
      <c r="C785" s="34" t="s">
        <v>150</v>
      </c>
      <c r="D785" s="34" t="s">
        <v>93</v>
      </c>
      <c r="E785" s="17">
        <v>36</v>
      </c>
      <c r="F785" s="36">
        <f>IFERROR(E785/$Q785,0)</f>
        <v>0.46753246753246752</v>
      </c>
      <c r="G785" s="17">
        <v>1</v>
      </c>
      <c r="H785" s="36">
        <f>IFERROR(G785/$R785,0)</f>
        <v>0.5</v>
      </c>
      <c r="I785" s="17">
        <v>76</v>
      </c>
      <c r="J785" s="36">
        <f>IFERROR(I785/$Q785,0)</f>
        <v>0.98701298701298701</v>
      </c>
      <c r="K785" s="17">
        <v>1</v>
      </c>
      <c r="L785" s="36">
        <f>IFERROR(K785/$R785,0)</f>
        <v>0.5</v>
      </c>
      <c r="M785" s="17">
        <v>73</v>
      </c>
      <c r="N785" s="36">
        <f>IFERROR(M785/$Q785,0)</f>
        <v>0.94805194805194803</v>
      </c>
      <c r="O785" s="17">
        <v>0</v>
      </c>
      <c r="P785" s="36">
        <f>IFERROR(O785/$R785,0)</f>
        <v>0</v>
      </c>
      <c r="Q785" s="17">
        <v>77</v>
      </c>
      <c r="R785" s="17">
        <v>2</v>
      </c>
    </row>
    <row r="786" spans="1:18" ht="15.75" customHeight="1" x14ac:dyDescent="0.25">
      <c r="A786" s="37">
        <v>2019</v>
      </c>
      <c r="B786" s="35">
        <v>171380</v>
      </c>
      <c r="C786" s="34" t="s">
        <v>145</v>
      </c>
      <c r="D786" s="34" t="s">
        <v>94</v>
      </c>
      <c r="E786" s="17">
        <v>24</v>
      </c>
      <c r="F786" s="36">
        <f>IFERROR(E786/$Q786,0)</f>
        <v>8.1632653061224483E-2</v>
      </c>
      <c r="G786" s="17">
        <v>1</v>
      </c>
      <c r="H786" s="36">
        <f>IFERROR(G786/$R786,0)</f>
        <v>0.5</v>
      </c>
      <c r="I786" s="17">
        <v>31</v>
      </c>
      <c r="J786" s="36">
        <f>IFERROR(I786/$Q786,0)</f>
        <v>0.10544217687074831</v>
      </c>
      <c r="K786" s="17">
        <v>0</v>
      </c>
      <c r="L786" s="36">
        <f>IFERROR(K786/$R786,0)</f>
        <v>0</v>
      </c>
      <c r="M786" s="17">
        <v>22</v>
      </c>
      <c r="N786" s="36">
        <f>IFERROR(M786/$Q786,0)</f>
        <v>7.4829931972789115E-2</v>
      </c>
      <c r="O786" s="17">
        <v>1</v>
      </c>
      <c r="P786" s="36">
        <f>IFERROR(O786/$R786,0)</f>
        <v>0.5</v>
      </c>
      <c r="Q786" s="17">
        <v>294</v>
      </c>
      <c r="R786" s="17">
        <v>2</v>
      </c>
    </row>
    <row r="787" spans="1:18" ht="15.75" customHeight="1" x14ac:dyDescent="0.25">
      <c r="A787" s="37">
        <v>2019</v>
      </c>
      <c r="B787" s="35">
        <v>171575</v>
      </c>
      <c r="C787" s="34" t="s">
        <v>146</v>
      </c>
      <c r="D787" s="34" t="s">
        <v>95</v>
      </c>
      <c r="E787" s="17">
        <v>50</v>
      </c>
      <c r="F787" s="36">
        <f>IFERROR(E787/$Q787,0)</f>
        <v>0.10989010989010989</v>
      </c>
      <c r="G787" s="17">
        <v>0</v>
      </c>
      <c r="H787" s="36">
        <f>IFERROR(G787/$R787,0)</f>
        <v>0</v>
      </c>
      <c r="I787" s="17">
        <v>117</v>
      </c>
      <c r="J787" s="36">
        <f>IFERROR(I787/$Q787,0)</f>
        <v>0.25714285714285712</v>
      </c>
      <c r="K787" s="17">
        <v>1</v>
      </c>
      <c r="L787" s="36">
        <f>IFERROR(K787/$R787,0)</f>
        <v>1</v>
      </c>
      <c r="M787" s="17">
        <v>127</v>
      </c>
      <c r="N787" s="36">
        <f>IFERROR(M787/$Q787,0)</f>
        <v>0.27912087912087913</v>
      </c>
      <c r="O787" s="17">
        <v>0</v>
      </c>
      <c r="P787" s="36">
        <f>IFERROR(O787/$R787,0)</f>
        <v>0</v>
      </c>
      <c r="Q787" s="17">
        <v>455</v>
      </c>
      <c r="R787" s="17">
        <v>1</v>
      </c>
    </row>
    <row r="788" spans="1:18" ht="15.75" customHeight="1" x14ac:dyDescent="0.25">
      <c r="A788" s="37">
        <v>2019</v>
      </c>
      <c r="B788" s="35">
        <v>171610</v>
      </c>
      <c r="C788" s="34" t="s">
        <v>144</v>
      </c>
      <c r="D788" s="34" t="s">
        <v>96</v>
      </c>
      <c r="E788" s="17">
        <v>54</v>
      </c>
      <c r="F788" s="36">
        <f>IFERROR(E788/$Q788,0)</f>
        <v>0.14285714285714285</v>
      </c>
      <c r="G788" s="17">
        <v>1</v>
      </c>
      <c r="H788" s="36">
        <f>IFERROR(G788/$R788,0)</f>
        <v>9.0909090909090912E-2</v>
      </c>
      <c r="I788" s="17">
        <v>187</v>
      </c>
      <c r="J788" s="36">
        <f>IFERROR(I788/$Q788,0)</f>
        <v>0.49470899470899471</v>
      </c>
      <c r="K788" s="17">
        <v>8</v>
      </c>
      <c r="L788" s="36">
        <f>IFERROR(K788/$R788,0)</f>
        <v>0.72727272727272729</v>
      </c>
      <c r="M788" s="17">
        <v>214</v>
      </c>
      <c r="N788" s="36">
        <f>IFERROR(M788/$Q788,0)</f>
        <v>0.56613756613756616</v>
      </c>
      <c r="O788" s="17">
        <v>2</v>
      </c>
      <c r="P788" s="36">
        <f>IFERROR(O788/$R788,0)</f>
        <v>0.18181818181818182</v>
      </c>
      <c r="Q788" s="17">
        <v>378</v>
      </c>
      <c r="R788" s="17">
        <v>11</v>
      </c>
    </row>
    <row r="789" spans="1:18" ht="15.75" customHeight="1" x14ac:dyDescent="0.25">
      <c r="A789" s="37">
        <v>2019</v>
      </c>
      <c r="B789" s="35">
        <v>171620</v>
      </c>
      <c r="C789" s="34" t="s">
        <v>147</v>
      </c>
      <c r="D789" s="34" t="s">
        <v>97</v>
      </c>
      <c r="E789" s="17">
        <v>96</v>
      </c>
      <c r="F789" s="36">
        <f>IFERROR(E789/$Q789,0)</f>
        <v>0.71641791044776115</v>
      </c>
      <c r="G789" s="17">
        <v>2</v>
      </c>
      <c r="H789" s="36">
        <f>IFERROR(G789/$R789,0)</f>
        <v>0.25</v>
      </c>
      <c r="I789" s="17">
        <v>171</v>
      </c>
      <c r="J789" s="36">
        <f>IFERROR(I789/$Q789,0)</f>
        <v>1.2761194029850746</v>
      </c>
      <c r="K789" s="17">
        <v>1</v>
      </c>
      <c r="L789" s="36">
        <f>IFERROR(K789/$R789,0)</f>
        <v>0.125</v>
      </c>
      <c r="M789" s="17">
        <v>111</v>
      </c>
      <c r="N789" s="36">
        <f>IFERROR(M789/$Q789,0)</f>
        <v>0.82835820895522383</v>
      </c>
      <c r="O789" s="17">
        <v>5</v>
      </c>
      <c r="P789" s="36">
        <f>IFERROR(O789/$R789,0)</f>
        <v>0.625</v>
      </c>
      <c r="Q789" s="17">
        <v>134</v>
      </c>
      <c r="R789" s="17">
        <v>8</v>
      </c>
    </row>
    <row r="790" spans="1:18" ht="15.75" customHeight="1" x14ac:dyDescent="0.25">
      <c r="A790" s="37">
        <v>2019</v>
      </c>
      <c r="B790" s="35">
        <v>171630</v>
      </c>
      <c r="C790" s="34" t="s">
        <v>149</v>
      </c>
      <c r="D790" s="34" t="s">
        <v>98</v>
      </c>
      <c r="E790" s="17">
        <v>20</v>
      </c>
      <c r="F790" s="36">
        <f>IFERROR(E790/$Q790,0)</f>
        <v>8.6580086580086577E-2</v>
      </c>
      <c r="G790" s="17">
        <v>0</v>
      </c>
      <c r="H790" s="36">
        <f>IFERROR(G790/$R790,0)</f>
        <v>0</v>
      </c>
      <c r="I790" s="17">
        <v>53</v>
      </c>
      <c r="J790" s="36">
        <f>IFERROR(I790/$Q790,0)</f>
        <v>0.22943722943722944</v>
      </c>
      <c r="K790" s="17">
        <v>0</v>
      </c>
      <c r="L790" s="36">
        <f>IFERROR(K790/$R790,0)</f>
        <v>0</v>
      </c>
      <c r="M790" s="17">
        <v>61</v>
      </c>
      <c r="N790" s="36">
        <f>IFERROR(M790/$Q790,0)</f>
        <v>0.26406926406926406</v>
      </c>
      <c r="O790" s="17">
        <v>1</v>
      </c>
      <c r="P790" s="36">
        <f>IFERROR(O790/$R790,0)</f>
        <v>1</v>
      </c>
      <c r="Q790" s="17">
        <v>231</v>
      </c>
      <c r="R790" s="17">
        <v>1</v>
      </c>
    </row>
    <row r="791" spans="1:18" ht="15.75" customHeight="1" x14ac:dyDescent="0.25">
      <c r="A791" s="37">
        <v>2019</v>
      </c>
      <c r="B791" s="35">
        <v>171650</v>
      </c>
      <c r="C791" s="34" t="s">
        <v>150</v>
      </c>
      <c r="D791" s="34" t="s">
        <v>99</v>
      </c>
      <c r="E791" s="17">
        <v>23</v>
      </c>
      <c r="F791" s="36">
        <f>IFERROR(E791/$Q791,0)</f>
        <v>4.6747967479674794E-2</v>
      </c>
      <c r="G791" s="17">
        <v>0</v>
      </c>
      <c r="H791" s="36">
        <f>IFERROR(G791/$R791,0)</f>
        <v>0</v>
      </c>
      <c r="I791" s="17">
        <v>96</v>
      </c>
      <c r="J791" s="36">
        <f>IFERROR(I791/$Q791,0)</f>
        <v>0.1951219512195122</v>
      </c>
      <c r="K791" s="17">
        <v>0</v>
      </c>
      <c r="L791" s="36">
        <f>IFERROR(K791/$R791,0)</f>
        <v>0</v>
      </c>
      <c r="M791" s="17">
        <v>112</v>
      </c>
      <c r="N791" s="36">
        <f>IFERROR(M791/$Q791,0)</f>
        <v>0.22764227642276422</v>
      </c>
      <c r="O791" s="17">
        <v>4</v>
      </c>
      <c r="P791" s="36">
        <f>IFERROR(O791/$R791,0)</f>
        <v>1</v>
      </c>
      <c r="Q791" s="17">
        <v>492</v>
      </c>
      <c r="R791" s="17">
        <v>4</v>
      </c>
    </row>
    <row r="792" spans="1:18" ht="15.75" customHeight="1" x14ac:dyDescent="0.25">
      <c r="A792" s="37">
        <v>2019</v>
      </c>
      <c r="B792" s="35">
        <v>171660</v>
      </c>
      <c r="C792" s="34" t="s">
        <v>146</v>
      </c>
      <c r="D792" s="34" t="s">
        <v>100</v>
      </c>
      <c r="E792" s="17">
        <v>65</v>
      </c>
      <c r="F792" s="36">
        <f>IFERROR(E792/$Q792,0)</f>
        <v>0.50387596899224807</v>
      </c>
      <c r="G792" s="17">
        <v>0</v>
      </c>
      <c r="H792" s="36">
        <f>IFERROR(G792/$R792,0)</f>
        <v>0</v>
      </c>
      <c r="I792" s="17">
        <v>188</v>
      </c>
      <c r="J792" s="36">
        <f>IFERROR(I792/$Q792,0)</f>
        <v>1.4573643410852712</v>
      </c>
      <c r="K792" s="17">
        <v>2</v>
      </c>
      <c r="L792" s="36">
        <f>IFERROR(K792/$R792,0)</f>
        <v>0.66666666666666663</v>
      </c>
      <c r="M792" s="17">
        <v>239</v>
      </c>
      <c r="N792" s="36">
        <f>IFERROR(M792/$Q792,0)</f>
        <v>1.8527131782945736</v>
      </c>
      <c r="O792" s="17">
        <v>1</v>
      </c>
      <c r="P792" s="36">
        <f>IFERROR(O792/$R792,0)</f>
        <v>0.33333333333333331</v>
      </c>
      <c r="Q792" s="17">
        <v>129</v>
      </c>
      <c r="R792" s="17">
        <v>3</v>
      </c>
    </row>
    <row r="793" spans="1:18" ht="15.75" customHeight="1" x14ac:dyDescent="0.25">
      <c r="A793" s="37">
        <v>2019</v>
      </c>
      <c r="B793" s="35">
        <v>171665</v>
      </c>
      <c r="C793" s="34" t="s">
        <v>150</v>
      </c>
      <c r="D793" s="34" t="s">
        <v>101</v>
      </c>
      <c r="E793" s="17">
        <v>13</v>
      </c>
      <c r="F793" s="36">
        <f>IFERROR(E793/$Q793,0)</f>
        <v>5.0980392156862744E-2</v>
      </c>
      <c r="G793" s="17">
        <v>1</v>
      </c>
      <c r="H793" s="36">
        <f>IFERROR(G793/$R793,0)</f>
        <v>0.33333333333333331</v>
      </c>
      <c r="I793" s="17">
        <v>59</v>
      </c>
      <c r="J793" s="36">
        <f>IFERROR(I793/$Q793,0)</f>
        <v>0.23137254901960785</v>
      </c>
      <c r="K793" s="17">
        <v>2</v>
      </c>
      <c r="L793" s="36">
        <f>IFERROR(K793/$R793,0)</f>
        <v>0.66666666666666663</v>
      </c>
      <c r="M793" s="17">
        <v>57</v>
      </c>
      <c r="N793" s="36">
        <f>IFERROR(M793/$Q793,0)</f>
        <v>0.22352941176470589</v>
      </c>
      <c r="O793" s="17">
        <v>0</v>
      </c>
      <c r="P793" s="36">
        <f>IFERROR(O793/$R793,0)</f>
        <v>0</v>
      </c>
      <c r="Q793" s="17">
        <v>255</v>
      </c>
      <c r="R793" s="17">
        <v>3</v>
      </c>
    </row>
    <row r="794" spans="1:18" ht="15.75" customHeight="1" x14ac:dyDescent="0.25">
      <c r="A794" s="37">
        <v>2019</v>
      </c>
      <c r="B794" s="35">
        <v>171700</v>
      </c>
      <c r="C794" s="34" t="s">
        <v>151</v>
      </c>
      <c r="D794" s="34" t="s">
        <v>102</v>
      </c>
      <c r="E794" s="17">
        <v>39</v>
      </c>
      <c r="F794" s="36">
        <f>IFERROR(E794/$Q794,0)</f>
        <v>39</v>
      </c>
      <c r="G794" s="17">
        <v>0</v>
      </c>
      <c r="H794" s="36">
        <f>IFERROR(G794/$R794,0)</f>
        <v>0</v>
      </c>
      <c r="I794" s="17">
        <v>103</v>
      </c>
      <c r="J794" s="36">
        <f>IFERROR(I794/$Q794,0)</f>
        <v>103</v>
      </c>
      <c r="K794" s="17">
        <v>0</v>
      </c>
      <c r="L794" s="36">
        <f>IFERROR(K794/$R794,0)</f>
        <v>0</v>
      </c>
      <c r="M794" s="17">
        <v>113</v>
      </c>
      <c r="N794" s="36">
        <f>IFERROR(M794/$Q794,0)</f>
        <v>113</v>
      </c>
      <c r="O794" s="17">
        <v>0</v>
      </c>
      <c r="P794" s="36">
        <f>IFERROR(O794/$R794,0)</f>
        <v>0</v>
      </c>
      <c r="Q794" s="17">
        <v>1</v>
      </c>
      <c r="R794" s="17">
        <v>0</v>
      </c>
    </row>
    <row r="795" spans="1:18" ht="15.75" customHeight="1" x14ac:dyDescent="0.25">
      <c r="A795" s="37">
        <v>2019</v>
      </c>
      <c r="B795" s="35">
        <v>171720</v>
      </c>
      <c r="C795" s="34" t="s">
        <v>149</v>
      </c>
      <c r="D795" s="34" t="s">
        <v>103</v>
      </c>
      <c r="E795" s="17">
        <v>1</v>
      </c>
      <c r="F795" s="36">
        <f>IFERROR(E795/$Q795,0)</f>
        <v>4.1666666666666666E-3</v>
      </c>
      <c r="G795" s="17">
        <v>1</v>
      </c>
      <c r="H795" s="36">
        <f>IFERROR(G795/$R795,0)</f>
        <v>1</v>
      </c>
      <c r="I795" s="17">
        <v>0</v>
      </c>
      <c r="J795" s="36">
        <f>IFERROR(I795/$Q795,0)</f>
        <v>0</v>
      </c>
      <c r="K795" s="17">
        <v>0</v>
      </c>
      <c r="L795" s="36">
        <f>IFERROR(K795/$R795,0)</f>
        <v>0</v>
      </c>
      <c r="M795" s="17">
        <v>0</v>
      </c>
      <c r="N795" s="36">
        <f>IFERROR(M795/$Q795,0)</f>
        <v>0</v>
      </c>
      <c r="O795" s="17">
        <v>0</v>
      </c>
      <c r="P795" s="36">
        <f>IFERROR(O795/$R795,0)</f>
        <v>0</v>
      </c>
      <c r="Q795" s="17">
        <v>240</v>
      </c>
      <c r="R795" s="17">
        <v>1</v>
      </c>
    </row>
    <row r="796" spans="1:18" ht="15.75" customHeight="1" x14ac:dyDescent="0.25">
      <c r="A796" s="37">
        <v>2019</v>
      </c>
      <c r="B796" s="35">
        <v>171750</v>
      </c>
      <c r="C796" s="34" t="s">
        <v>144</v>
      </c>
      <c r="D796" s="34" t="s">
        <v>104</v>
      </c>
      <c r="E796" s="17">
        <v>39</v>
      </c>
      <c r="F796" s="36">
        <f>IFERROR(E796/$Q796,0)</f>
        <v>0.25161290322580643</v>
      </c>
      <c r="G796" s="17">
        <v>0</v>
      </c>
      <c r="H796" s="36">
        <f>IFERROR(G796/$R796,0)</f>
        <v>0</v>
      </c>
      <c r="I796" s="17">
        <v>86</v>
      </c>
      <c r="J796" s="36">
        <f>IFERROR(I796/$Q796,0)</f>
        <v>0.55483870967741933</v>
      </c>
      <c r="K796" s="17">
        <v>0</v>
      </c>
      <c r="L796" s="36">
        <f>IFERROR(K796/$R796,0)</f>
        <v>0</v>
      </c>
      <c r="M796" s="17">
        <v>115</v>
      </c>
      <c r="N796" s="36">
        <f>IFERROR(M796/$Q796,0)</f>
        <v>0.74193548387096775</v>
      </c>
      <c r="O796" s="17">
        <v>0</v>
      </c>
      <c r="P796" s="36">
        <f>IFERROR(O796/$R796,0)</f>
        <v>0</v>
      </c>
      <c r="Q796" s="17">
        <v>155</v>
      </c>
      <c r="R796" s="17">
        <v>0</v>
      </c>
    </row>
    <row r="797" spans="1:18" ht="15.75" customHeight="1" x14ac:dyDescent="0.25">
      <c r="A797" s="37">
        <v>2019</v>
      </c>
      <c r="B797" s="35">
        <v>171780</v>
      </c>
      <c r="C797" s="34" t="s">
        <v>147</v>
      </c>
      <c r="D797" s="34" t="s">
        <v>105</v>
      </c>
      <c r="E797" s="17">
        <v>29</v>
      </c>
      <c r="F797" s="36">
        <f>IFERROR(E797/$Q797,0)</f>
        <v>1.3181818181818181</v>
      </c>
      <c r="G797" s="17">
        <v>0</v>
      </c>
      <c r="H797" s="36">
        <f>IFERROR(G797/$R797,0)</f>
        <v>0</v>
      </c>
      <c r="I797" s="17">
        <v>74</v>
      </c>
      <c r="J797" s="36">
        <f>IFERROR(I797/$Q797,0)</f>
        <v>3.3636363636363638</v>
      </c>
      <c r="K797" s="17">
        <v>0</v>
      </c>
      <c r="L797" s="36">
        <f>IFERROR(K797/$R797,0)</f>
        <v>0</v>
      </c>
      <c r="M797" s="17">
        <v>52</v>
      </c>
      <c r="N797" s="36">
        <f>IFERROR(M797/$Q797,0)</f>
        <v>2.3636363636363638</v>
      </c>
      <c r="O797" s="17">
        <v>3</v>
      </c>
      <c r="P797" s="36">
        <f>IFERROR(O797/$R797,0)</f>
        <v>1</v>
      </c>
      <c r="Q797" s="17">
        <v>22</v>
      </c>
      <c r="R797" s="17">
        <v>3</v>
      </c>
    </row>
    <row r="798" spans="1:18" ht="15.75" customHeight="1" x14ac:dyDescent="0.25">
      <c r="A798" s="37">
        <v>2019</v>
      </c>
      <c r="B798" s="35">
        <v>171790</v>
      </c>
      <c r="C798" s="34" t="s">
        <v>151</v>
      </c>
      <c r="D798" s="34" t="s">
        <v>106</v>
      </c>
      <c r="E798" s="17">
        <v>1</v>
      </c>
      <c r="F798" s="36">
        <f>IFERROR(E798/$Q798,0)</f>
        <v>9.0090090090090089E-3</v>
      </c>
      <c r="G798" s="17">
        <v>0</v>
      </c>
      <c r="H798" s="36">
        <f>IFERROR(G798/$R798,0)</f>
        <v>0</v>
      </c>
      <c r="I798" s="17">
        <v>6</v>
      </c>
      <c r="J798" s="36">
        <f>IFERROR(I798/$Q798,0)</f>
        <v>5.4054054054054057E-2</v>
      </c>
      <c r="K798" s="17">
        <v>1</v>
      </c>
      <c r="L798" s="36">
        <f>IFERROR(K798/$R798,0)</f>
        <v>1</v>
      </c>
      <c r="M798" s="17">
        <v>15</v>
      </c>
      <c r="N798" s="36">
        <f>IFERROR(M798/$Q798,0)</f>
        <v>0.13513513513513514</v>
      </c>
      <c r="O798" s="17">
        <v>0</v>
      </c>
      <c r="P798" s="36">
        <f>IFERROR(O798/$R798,0)</f>
        <v>0</v>
      </c>
      <c r="Q798" s="17">
        <v>111</v>
      </c>
      <c r="R798" s="17">
        <v>1</v>
      </c>
    </row>
    <row r="799" spans="1:18" ht="15.75" customHeight="1" x14ac:dyDescent="0.25">
      <c r="A799" s="37">
        <v>2019</v>
      </c>
      <c r="B799" s="35">
        <v>171800</v>
      </c>
      <c r="C799" s="34" t="s">
        <v>147</v>
      </c>
      <c r="D799" s="34" t="s">
        <v>107</v>
      </c>
      <c r="E799" s="17">
        <v>16</v>
      </c>
      <c r="F799" s="36">
        <f>IFERROR(E799/$Q799,0)</f>
        <v>4.2105263157894736E-2</v>
      </c>
      <c r="G799" s="17">
        <v>1</v>
      </c>
      <c r="H799" s="36">
        <f>IFERROR(G799/$R799,0)</f>
        <v>1</v>
      </c>
      <c r="I799" s="17">
        <v>40</v>
      </c>
      <c r="J799" s="36">
        <f>IFERROR(I799/$Q799,0)</f>
        <v>0.10526315789473684</v>
      </c>
      <c r="K799" s="17">
        <v>0</v>
      </c>
      <c r="L799" s="36">
        <f>IFERROR(K799/$R799,0)</f>
        <v>0</v>
      </c>
      <c r="M799" s="17">
        <v>55</v>
      </c>
      <c r="N799" s="36">
        <f>IFERROR(M799/$Q799,0)</f>
        <v>0.14473684210526316</v>
      </c>
      <c r="O799" s="17">
        <v>0</v>
      </c>
      <c r="P799" s="36">
        <f>IFERROR(O799/$R799,0)</f>
        <v>0</v>
      </c>
      <c r="Q799" s="17">
        <v>380</v>
      </c>
      <c r="R799" s="17">
        <v>1</v>
      </c>
    </row>
    <row r="800" spans="1:18" ht="15.75" customHeight="1" x14ac:dyDescent="0.25">
      <c r="A800" s="37">
        <v>2019</v>
      </c>
      <c r="B800" s="35">
        <v>171820</v>
      </c>
      <c r="C800" s="34" t="s">
        <v>151</v>
      </c>
      <c r="D800" s="34" t="s">
        <v>108</v>
      </c>
      <c r="E800" s="17">
        <v>43</v>
      </c>
      <c r="F800" s="36">
        <f>IFERROR(E800/$Q800,0)</f>
        <v>0.18067226890756302</v>
      </c>
      <c r="G800" s="17">
        <v>6</v>
      </c>
      <c r="H800" s="36">
        <f>IFERROR(G800/$R800,0)</f>
        <v>9.2307692307692313E-2</v>
      </c>
      <c r="I800" s="17">
        <v>143</v>
      </c>
      <c r="J800" s="36">
        <f>IFERROR(I800/$Q800,0)</f>
        <v>0.60084033613445376</v>
      </c>
      <c r="K800" s="17">
        <v>17</v>
      </c>
      <c r="L800" s="36">
        <f>IFERROR(K800/$R800,0)</f>
        <v>0.26153846153846155</v>
      </c>
      <c r="M800" s="17">
        <v>194</v>
      </c>
      <c r="N800" s="36">
        <f>IFERROR(M800/$Q800,0)</f>
        <v>0.81512605042016806</v>
      </c>
      <c r="O800" s="17">
        <v>42</v>
      </c>
      <c r="P800" s="36">
        <f>IFERROR(O800/$R800,0)</f>
        <v>0.64615384615384619</v>
      </c>
      <c r="Q800" s="17">
        <v>238</v>
      </c>
      <c r="R800" s="17">
        <v>65</v>
      </c>
    </row>
    <row r="801" spans="1:18" ht="15.75" customHeight="1" x14ac:dyDescent="0.25">
      <c r="A801" s="37">
        <v>2019</v>
      </c>
      <c r="B801" s="35">
        <v>171830</v>
      </c>
      <c r="C801" s="34" t="s">
        <v>145</v>
      </c>
      <c r="D801" s="34" t="s">
        <v>109</v>
      </c>
      <c r="E801" s="17">
        <v>41</v>
      </c>
      <c r="F801" s="36">
        <f>IFERROR(E801/$Q801,0)</f>
        <v>0.19902912621359223</v>
      </c>
      <c r="G801" s="17">
        <v>0</v>
      </c>
      <c r="H801" s="36">
        <f>IFERROR(G801/$R801,0)</f>
        <v>0</v>
      </c>
      <c r="I801" s="17">
        <v>95</v>
      </c>
      <c r="J801" s="36">
        <f>IFERROR(I801/$Q801,0)</f>
        <v>0.46116504854368934</v>
      </c>
      <c r="K801" s="17">
        <v>1</v>
      </c>
      <c r="L801" s="36">
        <f>IFERROR(K801/$R801,0)</f>
        <v>1</v>
      </c>
      <c r="M801" s="17">
        <v>102</v>
      </c>
      <c r="N801" s="36">
        <f>IFERROR(M801/$Q801,0)</f>
        <v>0.49514563106796117</v>
      </c>
      <c r="O801" s="17">
        <v>0</v>
      </c>
      <c r="P801" s="36">
        <f>IFERROR(O801/$R801,0)</f>
        <v>0</v>
      </c>
      <c r="Q801" s="17">
        <v>206</v>
      </c>
      <c r="R801" s="17">
        <v>1</v>
      </c>
    </row>
    <row r="802" spans="1:18" ht="15.75" customHeight="1" x14ac:dyDescent="0.25">
      <c r="A802" s="37">
        <v>2019</v>
      </c>
      <c r="B802" s="35">
        <v>171840</v>
      </c>
      <c r="C802" s="34" t="s">
        <v>150</v>
      </c>
      <c r="D802" s="34" t="s">
        <v>110</v>
      </c>
      <c r="E802" s="17">
        <v>27</v>
      </c>
      <c r="F802" s="36">
        <f>IFERROR(E802/$Q802,0)</f>
        <v>0.23893805309734514</v>
      </c>
      <c r="G802" s="17">
        <v>0</v>
      </c>
      <c r="H802" s="36">
        <f>IFERROR(G802/$R802,0)</f>
        <v>0</v>
      </c>
      <c r="I802" s="17">
        <v>64</v>
      </c>
      <c r="J802" s="36">
        <f>IFERROR(I802/$Q802,0)</f>
        <v>0.5663716814159292</v>
      </c>
      <c r="K802" s="17">
        <v>3</v>
      </c>
      <c r="L802" s="36">
        <f>IFERROR(K802/$R802,0)</f>
        <v>0.5</v>
      </c>
      <c r="M802" s="17">
        <v>115</v>
      </c>
      <c r="N802" s="36">
        <f>IFERROR(M802/$Q802,0)</f>
        <v>1.0176991150442478</v>
      </c>
      <c r="O802" s="17">
        <v>3</v>
      </c>
      <c r="P802" s="36">
        <f>IFERROR(O802/$R802,0)</f>
        <v>0.5</v>
      </c>
      <c r="Q802" s="17">
        <v>113</v>
      </c>
      <c r="R802" s="17">
        <v>6</v>
      </c>
    </row>
    <row r="803" spans="1:18" ht="15.75" customHeight="1" x14ac:dyDescent="0.25">
      <c r="A803" s="37">
        <v>2019</v>
      </c>
      <c r="B803" s="35">
        <v>171845</v>
      </c>
      <c r="C803" s="34" t="s">
        <v>144</v>
      </c>
      <c r="D803" s="34" t="s">
        <v>111</v>
      </c>
      <c r="E803" s="17">
        <v>11</v>
      </c>
      <c r="F803" s="36">
        <f>IFERROR(E803/$Q803,0)</f>
        <v>6.5868263473053898E-2</v>
      </c>
      <c r="G803" s="17">
        <v>0</v>
      </c>
      <c r="H803" s="36">
        <f>IFERROR(G803/$R803,0)</f>
        <v>0</v>
      </c>
      <c r="I803" s="17">
        <v>58</v>
      </c>
      <c r="J803" s="36">
        <f>IFERROR(I803/$Q803,0)</f>
        <v>0.3473053892215569</v>
      </c>
      <c r="K803" s="17">
        <v>1</v>
      </c>
      <c r="L803" s="36">
        <f>IFERROR(K803/$R803,0)</f>
        <v>1</v>
      </c>
      <c r="M803" s="17">
        <v>44</v>
      </c>
      <c r="N803" s="36">
        <f>IFERROR(M803/$Q803,0)</f>
        <v>0.26347305389221559</v>
      </c>
      <c r="O803" s="17">
        <v>0</v>
      </c>
      <c r="P803" s="36">
        <f>IFERROR(O803/$R803,0)</f>
        <v>0</v>
      </c>
      <c r="Q803" s="17">
        <v>167</v>
      </c>
      <c r="R803" s="17">
        <v>1</v>
      </c>
    </row>
    <row r="804" spans="1:18" ht="15.75" customHeight="1" x14ac:dyDescent="0.25">
      <c r="A804" s="37">
        <v>2019</v>
      </c>
      <c r="B804" s="35">
        <v>171850</v>
      </c>
      <c r="C804" s="34" t="s">
        <v>150</v>
      </c>
      <c r="D804" s="34" t="s">
        <v>112</v>
      </c>
      <c r="E804" s="17">
        <v>32</v>
      </c>
      <c r="F804" s="36">
        <f>IFERROR(E804/$Q804,0)</f>
        <v>0.25</v>
      </c>
      <c r="G804" s="17">
        <v>1</v>
      </c>
      <c r="H804" s="36">
        <f>IFERROR(G804/$R804,0)</f>
        <v>1</v>
      </c>
      <c r="I804" s="17">
        <v>70</v>
      </c>
      <c r="J804" s="36">
        <f>IFERROR(I804/$Q804,0)</f>
        <v>0.546875</v>
      </c>
      <c r="K804" s="17">
        <v>0</v>
      </c>
      <c r="L804" s="36">
        <f>IFERROR(K804/$R804,0)</f>
        <v>0</v>
      </c>
      <c r="M804" s="17">
        <v>65</v>
      </c>
      <c r="N804" s="36">
        <f>IFERROR(M804/$Q804,0)</f>
        <v>0.5078125</v>
      </c>
      <c r="O804" s="17">
        <v>0</v>
      </c>
      <c r="P804" s="36">
        <f>IFERROR(O804/$R804,0)</f>
        <v>0</v>
      </c>
      <c r="Q804" s="17">
        <v>128</v>
      </c>
      <c r="R804" s="17">
        <v>1</v>
      </c>
    </row>
    <row r="805" spans="1:18" ht="15.75" customHeight="1" x14ac:dyDescent="0.25">
      <c r="A805" s="37">
        <v>2019</v>
      </c>
      <c r="B805" s="35">
        <v>171855</v>
      </c>
      <c r="C805" s="34" t="s">
        <v>145</v>
      </c>
      <c r="D805" s="34" t="s">
        <v>113</v>
      </c>
      <c r="E805" s="17">
        <v>15</v>
      </c>
      <c r="F805" s="36">
        <f>IFERROR(E805/$Q805,0)</f>
        <v>0.31914893617021278</v>
      </c>
      <c r="G805" s="17">
        <v>0</v>
      </c>
      <c r="H805" s="36">
        <f>IFERROR(G805/$R805,0)</f>
        <v>0</v>
      </c>
      <c r="I805" s="17">
        <v>45</v>
      </c>
      <c r="J805" s="36">
        <f>IFERROR(I805/$Q805,0)</f>
        <v>0.95744680851063835</v>
      </c>
      <c r="K805" s="17">
        <v>1</v>
      </c>
      <c r="L805" s="36">
        <f>IFERROR(K805/$R805,0)</f>
        <v>1</v>
      </c>
      <c r="M805" s="17">
        <v>68</v>
      </c>
      <c r="N805" s="36">
        <f>IFERROR(M805/$Q805,0)</f>
        <v>1.446808510638298</v>
      </c>
      <c r="O805" s="17">
        <v>0</v>
      </c>
      <c r="P805" s="36">
        <f>IFERROR(O805/$R805,0)</f>
        <v>0</v>
      </c>
      <c r="Q805" s="17">
        <v>47</v>
      </c>
      <c r="R805" s="17">
        <v>1</v>
      </c>
    </row>
    <row r="806" spans="1:18" ht="15.75" customHeight="1" x14ac:dyDescent="0.25">
      <c r="A806" s="37">
        <v>2019</v>
      </c>
      <c r="B806" s="35">
        <v>171865</v>
      </c>
      <c r="C806" s="34" t="s">
        <v>147</v>
      </c>
      <c r="D806" s="34" t="s">
        <v>114</v>
      </c>
      <c r="E806" s="17">
        <v>10</v>
      </c>
      <c r="F806" s="36">
        <f>IFERROR(E806/$Q806,0)</f>
        <v>0.38461538461538464</v>
      </c>
      <c r="G806" s="17">
        <v>0</v>
      </c>
      <c r="H806" s="36">
        <f>IFERROR(G806/$R806,0)</f>
        <v>0</v>
      </c>
      <c r="I806" s="17">
        <v>18</v>
      </c>
      <c r="J806" s="36">
        <f>IFERROR(I806/$Q806,0)</f>
        <v>0.69230769230769229</v>
      </c>
      <c r="K806" s="17">
        <v>0</v>
      </c>
      <c r="L806" s="36">
        <f>IFERROR(K806/$R806,0)</f>
        <v>0</v>
      </c>
      <c r="M806" s="17">
        <v>19</v>
      </c>
      <c r="N806" s="36">
        <f>IFERROR(M806/$Q806,0)</f>
        <v>0.73076923076923073</v>
      </c>
      <c r="O806" s="17">
        <v>0</v>
      </c>
      <c r="P806" s="36">
        <f>IFERROR(O806/$R806,0)</f>
        <v>0</v>
      </c>
      <c r="Q806" s="17">
        <v>26</v>
      </c>
      <c r="R806" s="17">
        <v>0</v>
      </c>
    </row>
    <row r="807" spans="1:18" ht="15.75" customHeight="1" x14ac:dyDescent="0.25">
      <c r="A807" s="37">
        <v>2019</v>
      </c>
      <c r="B807" s="35">
        <v>171870</v>
      </c>
      <c r="C807" s="34" t="s">
        <v>148</v>
      </c>
      <c r="D807" s="34" t="s">
        <v>115</v>
      </c>
      <c r="E807" s="17">
        <v>2</v>
      </c>
      <c r="F807" s="36">
        <f>IFERROR(E807/$Q807,0)</f>
        <v>7.5187969924812026E-3</v>
      </c>
      <c r="G807" s="17">
        <v>1</v>
      </c>
      <c r="H807" s="36">
        <f>IFERROR(G807/$R807,0)</f>
        <v>0.1111111111111111</v>
      </c>
      <c r="I807" s="17">
        <v>10</v>
      </c>
      <c r="J807" s="36">
        <f>IFERROR(I807/$Q807,0)</f>
        <v>3.7593984962406013E-2</v>
      </c>
      <c r="K807" s="17">
        <v>4</v>
      </c>
      <c r="L807" s="36">
        <f>IFERROR(K807/$R807,0)</f>
        <v>0.44444444444444442</v>
      </c>
      <c r="M807" s="17">
        <v>14</v>
      </c>
      <c r="N807" s="36">
        <f>IFERROR(M807/$Q807,0)</f>
        <v>5.2631578947368418E-2</v>
      </c>
      <c r="O807" s="17">
        <v>4</v>
      </c>
      <c r="P807" s="36">
        <f>IFERROR(O807/$R807,0)</f>
        <v>0.44444444444444442</v>
      </c>
      <c r="Q807" s="17">
        <v>266</v>
      </c>
      <c r="R807" s="17">
        <v>9</v>
      </c>
    </row>
    <row r="808" spans="1:18" ht="15.75" customHeight="1" x14ac:dyDescent="0.25">
      <c r="A808" s="37">
        <v>2019</v>
      </c>
      <c r="B808" s="35">
        <v>171875</v>
      </c>
      <c r="C808" s="34" t="s">
        <v>148</v>
      </c>
      <c r="D808" s="34" t="s">
        <v>116</v>
      </c>
      <c r="E808" s="17">
        <v>42</v>
      </c>
      <c r="F808" s="36">
        <f>IFERROR(E808/$Q808,0)</f>
        <v>0.71186440677966101</v>
      </c>
      <c r="G808" s="17">
        <v>1</v>
      </c>
      <c r="H808" s="36">
        <f>IFERROR(G808/$R808,0)</f>
        <v>0.25</v>
      </c>
      <c r="I808" s="17">
        <v>102</v>
      </c>
      <c r="J808" s="36">
        <f>IFERROR(I808/$Q808,0)</f>
        <v>1.728813559322034</v>
      </c>
      <c r="K808" s="17">
        <v>1</v>
      </c>
      <c r="L808" s="36">
        <f>IFERROR(K808/$R808,0)</f>
        <v>0.25</v>
      </c>
      <c r="M808" s="17">
        <v>122</v>
      </c>
      <c r="N808" s="36">
        <f>IFERROR(M808/$Q808,0)</f>
        <v>2.0677966101694913</v>
      </c>
      <c r="O808" s="17">
        <v>2</v>
      </c>
      <c r="P808" s="36">
        <f>IFERROR(O808/$R808,0)</f>
        <v>0.5</v>
      </c>
      <c r="Q808" s="17">
        <v>59</v>
      </c>
      <c r="R808" s="17">
        <v>4</v>
      </c>
    </row>
    <row r="809" spans="1:18" ht="15.75" customHeight="1" x14ac:dyDescent="0.25">
      <c r="A809" s="37">
        <v>2019</v>
      </c>
      <c r="B809" s="35">
        <v>171880</v>
      </c>
      <c r="C809" s="34" t="s">
        <v>145</v>
      </c>
      <c r="D809" s="34" t="s">
        <v>117</v>
      </c>
      <c r="E809" s="17">
        <v>5</v>
      </c>
      <c r="F809" s="36">
        <f>IFERROR(E809/$Q809,0)</f>
        <v>2.4390243902439025E-2</v>
      </c>
      <c r="G809" s="17">
        <v>0</v>
      </c>
      <c r="H809" s="36">
        <f>IFERROR(G809/$R809,0)</f>
        <v>0</v>
      </c>
      <c r="I809" s="17">
        <v>20</v>
      </c>
      <c r="J809" s="36">
        <f>IFERROR(I809/$Q809,0)</f>
        <v>9.7560975609756101E-2</v>
      </c>
      <c r="K809" s="17">
        <v>2</v>
      </c>
      <c r="L809" s="36">
        <f>IFERROR(K809/$R809,0)</f>
        <v>0.2857142857142857</v>
      </c>
      <c r="M809" s="17">
        <v>34</v>
      </c>
      <c r="N809" s="36">
        <f>IFERROR(M809/$Q809,0)</f>
        <v>0.16585365853658537</v>
      </c>
      <c r="O809" s="17">
        <v>5</v>
      </c>
      <c r="P809" s="36">
        <f>IFERROR(O809/$R809,0)</f>
        <v>0.7142857142857143</v>
      </c>
      <c r="Q809" s="17">
        <v>205</v>
      </c>
      <c r="R809" s="17">
        <v>7</v>
      </c>
    </row>
    <row r="810" spans="1:18" ht="15.75" customHeight="1" x14ac:dyDescent="0.25">
      <c r="A810" s="37">
        <v>2019</v>
      </c>
      <c r="B810" s="35">
        <v>171884</v>
      </c>
      <c r="C810" s="34" t="s">
        <v>146</v>
      </c>
      <c r="D810" s="34" t="s">
        <v>118</v>
      </c>
      <c r="E810" s="17">
        <v>25</v>
      </c>
      <c r="F810" s="36">
        <f>IFERROR(E810/$Q810,0)</f>
        <v>9.6525096525096526E-2</v>
      </c>
      <c r="G810" s="17">
        <v>1</v>
      </c>
      <c r="H810" s="36">
        <f>IFERROR(G810/$R810,0)</f>
        <v>0.25</v>
      </c>
      <c r="I810" s="17">
        <v>81</v>
      </c>
      <c r="J810" s="36">
        <f>IFERROR(I810/$Q810,0)</f>
        <v>0.31274131274131273</v>
      </c>
      <c r="K810" s="17">
        <v>3</v>
      </c>
      <c r="L810" s="36">
        <f>IFERROR(K810/$R810,0)</f>
        <v>0.75</v>
      </c>
      <c r="M810" s="17">
        <v>99</v>
      </c>
      <c r="N810" s="36">
        <f>IFERROR(M810/$Q810,0)</f>
        <v>0.38223938223938225</v>
      </c>
      <c r="O810" s="17">
        <v>0</v>
      </c>
      <c r="P810" s="36">
        <f>IFERROR(O810/$R810,0)</f>
        <v>0</v>
      </c>
      <c r="Q810" s="17">
        <v>259</v>
      </c>
      <c r="R810" s="17">
        <v>4</v>
      </c>
    </row>
    <row r="811" spans="1:18" ht="15.75" customHeight="1" x14ac:dyDescent="0.25">
      <c r="A811" s="37">
        <v>2019</v>
      </c>
      <c r="B811" s="35">
        <v>171886</v>
      </c>
      <c r="C811" s="34" t="s">
        <v>149</v>
      </c>
      <c r="D811" s="34" t="s">
        <v>119</v>
      </c>
      <c r="E811" s="17">
        <v>45</v>
      </c>
      <c r="F811" s="36">
        <f>IFERROR(E811/$Q811,0)</f>
        <v>0.24590163934426229</v>
      </c>
      <c r="G811" s="17">
        <v>0</v>
      </c>
      <c r="H811" s="36">
        <f>IFERROR(G811/$R811,0)</f>
        <v>0</v>
      </c>
      <c r="I811" s="17">
        <v>82</v>
      </c>
      <c r="J811" s="36">
        <f>IFERROR(I811/$Q811,0)</f>
        <v>0.44808743169398907</v>
      </c>
      <c r="K811" s="17">
        <v>1</v>
      </c>
      <c r="L811" s="36">
        <f>IFERROR(K811/$R811,0)</f>
        <v>0.25</v>
      </c>
      <c r="M811" s="17">
        <v>132</v>
      </c>
      <c r="N811" s="36">
        <f>IFERROR(M811/$Q811,0)</f>
        <v>0.72131147540983609</v>
      </c>
      <c r="O811" s="17">
        <v>3</v>
      </c>
      <c r="P811" s="36">
        <f>IFERROR(O811/$R811,0)</f>
        <v>0.75</v>
      </c>
      <c r="Q811" s="17">
        <v>183</v>
      </c>
      <c r="R811" s="17">
        <v>4</v>
      </c>
    </row>
    <row r="812" spans="1:18" ht="15.75" customHeight="1" x14ac:dyDescent="0.25">
      <c r="A812" s="37">
        <v>2019</v>
      </c>
      <c r="B812" s="35">
        <v>171888</v>
      </c>
      <c r="C812" s="34" t="s">
        <v>150</v>
      </c>
      <c r="D812" s="34" t="s">
        <v>120</v>
      </c>
      <c r="E812" s="17">
        <v>33</v>
      </c>
      <c r="F812" s="36">
        <f>IFERROR(E812/$Q812,0)</f>
        <v>0.26190476190476192</v>
      </c>
      <c r="G812" s="17">
        <v>0</v>
      </c>
      <c r="H812" s="36">
        <f>IFERROR(G812/$R812,0)</f>
        <v>0</v>
      </c>
      <c r="I812" s="17">
        <v>71</v>
      </c>
      <c r="J812" s="36">
        <f>IFERROR(I812/$Q812,0)</f>
        <v>0.56349206349206349</v>
      </c>
      <c r="K812" s="17">
        <v>0</v>
      </c>
      <c r="L812" s="36">
        <f>IFERROR(K812/$R812,0)</f>
        <v>0</v>
      </c>
      <c r="M812" s="17">
        <v>79</v>
      </c>
      <c r="N812" s="36">
        <f>IFERROR(M812/$Q812,0)</f>
        <v>0.62698412698412698</v>
      </c>
      <c r="O812" s="17">
        <v>0</v>
      </c>
      <c r="P812" s="36">
        <f>IFERROR(O812/$R812,0)</f>
        <v>0</v>
      </c>
      <c r="Q812" s="17">
        <v>126</v>
      </c>
      <c r="R812" s="17">
        <v>0</v>
      </c>
    </row>
    <row r="813" spans="1:18" ht="15.75" customHeight="1" x14ac:dyDescent="0.25">
      <c r="A813" s="37">
        <v>2019</v>
      </c>
      <c r="B813" s="35">
        <v>171889</v>
      </c>
      <c r="C813" s="34" t="s">
        <v>146</v>
      </c>
      <c r="D813" s="34" t="s">
        <v>121</v>
      </c>
      <c r="E813" s="17">
        <v>16</v>
      </c>
      <c r="F813" s="36">
        <f>IFERROR(E813/$Q813,0)</f>
        <v>0.14814814814814814</v>
      </c>
      <c r="G813" s="17">
        <v>0</v>
      </c>
      <c r="H813" s="36">
        <f>IFERROR(G813/$R813,0)</f>
        <v>0</v>
      </c>
      <c r="I813" s="17">
        <v>53</v>
      </c>
      <c r="J813" s="36">
        <f>IFERROR(I813/$Q813,0)</f>
        <v>0.49074074074074076</v>
      </c>
      <c r="K813" s="17">
        <v>0</v>
      </c>
      <c r="L813" s="36">
        <f>IFERROR(K813/$R813,0)</f>
        <v>0</v>
      </c>
      <c r="M813" s="17">
        <v>57</v>
      </c>
      <c r="N813" s="36">
        <f>IFERROR(M813/$Q813,0)</f>
        <v>0.52777777777777779</v>
      </c>
      <c r="O813" s="17">
        <v>0</v>
      </c>
      <c r="P813" s="36">
        <f>IFERROR(O813/$R813,0)</f>
        <v>0</v>
      </c>
      <c r="Q813" s="17">
        <v>108</v>
      </c>
      <c r="R813" s="17">
        <v>0</v>
      </c>
    </row>
    <row r="814" spans="1:18" ht="15.75" customHeight="1" x14ac:dyDescent="0.25">
      <c r="A814" s="37">
        <v>2019</v>
      </c>
      <c r="B814" s="35">
        <v>171890</v>
      </c>
      <c r="C814" s="34" t="s">
        <v>151</v>
      </c>
      <c r="D814" s="34" t="s">
        <v>122</v>
      </c>
      <c r="E814" s="17">
        <v>16</v>
      </c>
      <c r="F814" s="36">
        <f>IFERROR(E814/$Q814,0)</f>
        <v>8.4210526315789472E-2</v>
      </c>
      <c r="G814" s="17">
        <v>0</v>
      </c>
      <c r="H814" s="36">
        <f>IFERROR(G814/$R814,0)</f>
        <v>0</v>
      </c>
      <c r="I814" s="17">
        <v>42</v>
      </c>
      <c r="J814" s="36">
        <f>IFERROR(I814/$Q814,0)</f>
        <v>0.22105263157894736</v>
      </c>
      <c r="K814" s="17">
        <v>0</v>
      </c>
      <c r="L814" s="36">
        <f>IFERROR(K814/$R814,0)</f>
        <v>0</v>
      </c>
      <c r="M814" s="17">
        <v>50</v>
      </c>
      <c r="N814" s="36">
        <f>IFERROR(M814/$Q814,0)</f>
        <v>0.26315789473684209</v>
      </c>
      <c r="O814" s="17">
        <v>2</v>
      </c>
      <c r="P814" s="36">
        <f>IFERROR(O814/$R814,0)</f>
        <v>1</v>
      </c>
      <c r="Q814" s="17">
        <v>190</v>
      </c>
      <c r="R814" s="17">
        <v>2</v>
      </c>
    </row>
    <row r="815" spans="1:18" ht="15.75" customHeight="1" x14ac:dyDescent="0.25">
      <c r="A815" s="37">
        <v>2019</v>
      </c>
      <c r="B815" s="35">
        <v>171900</v>
      </c>
      <c r="C815" s="34" t="s">
        <v>148</v>
      </c>
      <c r="D815" s="34" t="s">
        <v>123</v>
      </c>
      <c r="E815" s="17">
        <v>35</v>
      </c>
      <c r="F815" s="36">
        <f>IFERROR(E815/$Q815,0)</f>
        <v>0.3125</v>
      </c>
      <c r="G815" s="17">
        <v>0</v>
      </c>
      <c r="H815" s="36">
        <f>IFERROR(G815/$R815,0)</f>
        <v>0</v>
      </c>
      <c r="I815" s="17">
        <v>71</v>
      </c>
      <c r="J815" s="36">
        <f>IFERROR(I815/$Q815,0)</f>
        <v>0.6339285714285714</v>
      </c>
      <c r="K815" s="17">
        <v>0</v>
      </c>
      <c r="L815" s="36">
        <f>IFERROR(K815/$R815,0)</f>
        <v>0</v>
      </c>
      <c r="M815" s="17">
        <v>84</v>
      </c>
      <c r="N815" s="36">
        <f>IFERROR(M815/$Q815,0)</f>
        <v>0.75</v>
      </c>
      <c r="O815" s="17">
        <v>0</v>
      </c>
      <c r="P815" s="36">
        <f>IFERROR(O815/$R815,0)</f>
        <v>0</v>
      </c>
      <c r="Q815" s="17">
        <v>112</v>
      </c>
      <c r="R815" s="17">
        <v>0</v>
      </c>
    </row>
    <row r="816" spans="1:18" ht="15.75" customHeight="1" x14ac:dyDescent="0.25">
      <c r="A816" s="37">
        <v>2019</v>
      </c>
      <c r="B816" s="35">
        <v>172000</v>
      </c>
      <c r="C816" s="34" t="s">
        <v>145</v>
      </c>
      <c r="D816" s="34" t="s">
        <v>124</v>
      </c>
      <c r="E816" s="17">
        <v>12</v>
      </c>
      <c r="F816" s="36">
        <f>IFERROR(E816/$Q816,0)</f>
        <v>0.17910447761194029</v>
      </c>
      <c r="G816" s="17">
        <v>0</v>
      </c>
      <c r="H816" s="36">
        <f>IFERROR(G816/$R816,0)</f>
        <v>0</v>
      </c>
      <c r="I816" s="17">
        <v>48</v>
      </c>
      <c r="J816" s="36">
        <f>IFERROR(I816/$Q816,0)</f>
        <v>0.71641791044776115</v>
      </c>
      <c r="K816" s="17">
        <v>0</v>
      </c>
      <c r="L816" s="36">
        <f>IFERROR(K816/$R816,0)</f>
        <v>0</v>
      </c>
      <c r="M816" s="17">
        <v>52</v>
      </c>
      <c r="N816" s="36">
        <f>IFERROR(M816/$Q816,0)</f>
        <v>0.77611940298507465</v>
      </c>
      <c r="O816" s="17">
        <v>2</v>
      </c>
      <c r="P816" s="36">
        <f>IFERROR(O816/$R816,0)</f>
        <v>1</v>
      </c>
      <c r="Q816" s="17">
        <v>67</v>
      </c>
      <c r="R816" s="17">
        <v>2</v>
      </c>
    </row>
    <row r="817" spans="1:18" ht="15.75" customHeight="1" x14ac:dyDescent="0.25">
      <c r="A817" s="37">
        <v>2019</v>
      </c>
      <c r="B817" s="35">
        <v>172010</v>
      </c>
      <c r="C817" s="34" t="s">
        <v>145</v>
      </c>
      <c r="D817" s="34" t="s">
        <v>125</v>
      </c>
      <c r="E817" s="17">
        <v>15</v>
      </c>
      <c r="F817" s="36">
        <f>IFERROR(E817/$Q817,0)</f>
        <v>0.27272727272727271</v>
      </c>
      <c r="G817" s="17">
        <v>0</v>
      </c>
      <c r="H817" s="36">
        <f>IFERROR(G817/$R817,0)</f>
        <v>0</v>
      </c>
      <c r="I817" s="17">
        <v>21</v>
      </c>
      <c r="J817" s="36">
        <f>IFERROR(I817/$Q817,0)</f>
        <v>0.38181818181818183</v>
      </c>
      <c r="K817" s="17">
        <v>0</v>
      </c>
      <c r="L817" s="36">
        <f>IFERROR(K817/$R817,0)</f>
        <v>0</v>
      </c>
      <c r="M817" s="17">
        <v>31</v>
      </c>
      <c r="N817" s="36">
        <f>IFERROR(M817/$Q817,0)</f>
        <v>0.5636363636363636</v>
      </c>
      <c r="O817" s="17">
        <v>1</v>
      </c>
      <c r="P817" s="36">
        <f>IFERROR(O817/$R817,0)</f>
        <v>1</v>
      </c>
      <c r="Q817" s="17">
        <v>55</v>
      </c>
      <c r="R817" s="17">
        <v>1</v>
      </c>
    </row>
    <row r="818" spans="1:18" ht="15.75" customHeight="1" x14ac:dyDescent="0.25">
      <c r="A818" s="37">
        <v>2019</v>
      </c>
      <c r="B818" s="35">
        <v>172015</v>
      </c>
      <c r="C818" s="34" t="s">
        <v>148</v>
      </c>
      <c r="D818" s="34" t="s">
        <v>126</v>
      </c>
      <c r="E818" s="17">
        <v>19</v>
      </c>
      <c r="F818" s="36">
        <f>IFERROR(E818/$Q818,0)</f>
        <v>0.11585365853658537</v>
      </c>
      <c r="G818" s="17">
        <v>0</v>
      </c>
      <c r="H818" s="36">
        <f>IFERROR(G818/$R818,0)</f>
        <v>0</v>
      </c>
      <c r="I818" s="17">
        <v>28</v>
      </c>
      <c r="J818" s="36">
        <f>IFERROR(I818/$Q818,0)</f>
        <v>0.17073170731707318</v>
      </c>
      <c r="K818" s="17">
        <v>1</v>
      </c>
      <c r="L818" s="36">
        <f>IFERROR(K818/$R818,0)</f>
        <v>1</v>
      </c>
      <c r="M818" s="17">
        <v>8</v>
      </c>
      <c r="N818" s="36">
        <f>IFERROR(M818/$Q818,0)</f>
        <v>4.878048780487805E-2</v>
      </c>
      <c r="O818" s="17">
        <v>0</v>
      </c>
      <c r="P818" s="36">
        <f>IFERROR(O818/$R818,0)</f>
        <v>0</v>
      </c>
      <c r="Q818" s="17">
        <v>164</v>
      </c>
      <c r="R818" s="17">
        <v>1</v>
      </c>
    </row>
    <row r="819" spans="1:18" ht="15.75" customHeight="1" x14ac:dyDescent="0.25">
      <c r="A819" s="37">
        <v>2019</v>
      </c>
      <c r="B819" s="35">
        <v>172020</v>
      </c>
      <c r="C819" s="34" t="s">
        <v>145</v>
      </c>
      <c r="D819" s="34" t="s">
        <v>127</v>
      </c>
      <c r="E819" s="17">
        <v>19</v>
      </c>
      <c r="F819" s="36">
        <f>IFERROR(E819/$Q819,0)</f>
        <v>0.24358974358974358</v>
      </c>
      <c r="G819" s="17">
        <v>0</v>
      </c>
      <c r="H819" s="36">
        <f>IFERROR(G819/$R819,0)</f>
        <v>0</v>
      </c>
      <c r="I819" s="17">
        <v>62</v>
      </c>
      <c r="J819" s="36">
        <f>IFERROR(I819/$Q819,0)</f>
        <v>0.79487179487179482</v>
      </c>
      <c r="K819" s="17">
        <v>4</v>
      </c>
      <c r="L819" s="36">
        <f>IFERROR(K819/$R819,0)</f>
        <v>0.66666666666666663</v>
      </c>
      <c r="M819" s="17">
        <v>83</v>
      </c>
      <c r="N819" s="36">
        <f>IFERROR(M819/$Q819,0)</f>
        <v>1.0641025641025641</v>
      </c>
      <c r="O819" s="17">
        <v>2</v>
      </c>
      <c r="P819" s="36">
        <f>IFERROR(O819/$R819,0)</f>
        <v>0.33333333333333331</v>
      </c>
      <c r="Q819" s="17">
        <v>78</v>
      </c>
      <c r="R819" s="17">
        <v>6</v>
      </c>
    </row>
    <row r="820" spans="1:18" ht="15.75" customHeight="1" x14ac:dyDescent="0.25">
      <c r="A820" s="37">
        <v>2019</v>
      </c>
      <c r="B820" s="35">
        <v>172025</v>
      </c>
      <c r="C820" s="34" t="s">
        <v>146</v>
      </c>
      <c r="D820" s="34" t="s">
        <v>128</v>
      </c>
      <c r="E820" s="17">
        <v>15</v>
      </c>
      <c r="F820" s="36">
        <f>IFERROR(E820/$Q820,0)</f>
        <v>7.8947368421052627E-2</v>
      </c>
      <c r="G820" s="17">
        <v>1</v>
      </c>
      <c r="H820" s="36">
        <f>IFERROR(G820/$R820,0)</f>
        <v>0.16666666666666666</v>
      </c>
      <c r="I820" s="17">
        <v>32</v>
      </c>
      <c r="J820" s="36">
        <f>IFERROR(I820/$Q820,0)</f>
        <v>0.16842105263157894</v>
      </c>
      <c r="K820" s="17">
        <v>2</v>
      </c>
      <c r="L820" s="36">
        <f>IFERROR(K820/$R820,0)</f>
        <v>0.33333333333333331</v>
      </c>
      <c r="M820" s="17">
        <v>31</v>
      </c>
      <c r="N820" s="36">
        <f>IFERROR(M820/$Q820,0)</f>
        <v>0.16315789473684211</v>
      </c>
      <c r="O820" s="17">
        <v>3</v>
      </c>
      <c r="P820" s="36">
        <f>IFERROR(O820/$R820,0)</f>
        <v>0.5</v>
      </c>
      <c r="Q820" s="17">
        <v>190</v>
      </c>
      <c r="R820" s="17">
        <v>6</v>
      </c>
    </row>
    <row r="821" spans="1:18" ht="15.75" customHeight="1" x14ac:dyDescent="0.25">
      <c r="A821" s="37">
        <v>2019</v>
      </c>
      <c r="B821" s="35">
        <v>172030</v>
      </c>
      <c r="C821" s="34" t="s">
        <v>145</v>
      </c>
      <c r="D821" s="34" t="s">
        <v>129</v>
      </c>
      <c r="E821" s="17">
        <v>39</v>
      </c>
      <c r="F821" s="36">
        <f>IFERROR(E821/$Q821,0)</f>
        <v>9.7744360902255634E-2</v>
      </c>
      <c r="G821" s="17">
        <v>0</v>
      </c>
      <c r="H821" s="36">
        <f>IFERROR(G821/$R821,0)</f>
        <v>0</v>
      </c>
      <c r="I821" s="17">
        <v>79</v>
      </c>
      <c r="J821" s="36">
        <f>IFERROR(I821/$Q821,0)</f>
        <v>0.19799498746867167</v>
      </c>
      <c r="K821" s="17">
        <v>1</v>
      </c>
      <c r="L821" s="36">
        <f>IFERROR(K821/$R821,0)</f>
        <v>1</v>
      </c>
      <c r="M821" s="17">
        <v>72</v>
      </c>
      <c r="N821" s="36">
        <f>IFERROR(M821/$Q821,0)</f>
        <v>0.18045112781954886</v>
      </c>
      <c r="O821" s="17">
        <v>0</v>
      </c>
      <c r="P821" s="36">
        <f>IFERROR(O821/$R821,0)</f>
        <v>0</v>
      </c>
      <c r="Q821" s="17">
        <v>399</v>
      </c>
      <c r="R821" s="17">
        <v>1</v>
      </c>
    </row>
    <row r="822" spans="1:18" ht="15.75" customHeight="1" x14ac:dyDescent="0.25">
      <c r="A822" s="37">
        <v>2019</v>
      </c>
      <c r="B822" s="35">
        <v>172049</v>
      </c>
      <c r="C822" s="34" t="s">
        <v>146</v>
      </c>
      <c r="D822" s="34" t="s">
        <v>130</v>
      </c>
      <c r="E822" s="17">
        <v>82</v>
      </c>
      <c r="F822" s="36">
        <f>IFERROR(E822/$Q822,0)</f>
        <v>0.21578947368421053</v>
      </c>
      <c r="G822" s="17">
        <v>0</v>
      </c>
      <c r="H822" s="36">
        <f>IFERROR(G822/$R822,0)</f>
        <v>0</v>
      </c>
      <c r="I822" s="17">
        <v>144</v>
      </c>
      <c r="J822" s="36">
        <f>IFERROR(I822/$Q822,0)</f>
        <v>0.37894736842105264</v>
      </c>
      <c r="K822" s="17">
        <v>1</v>
      </c>
      <c r="L822" s="36">
        <f>IFERROR(K822/$R822,0)</f>
        <v>0.5</v>
      </c>
      <c r="M822" s="17">
        <v>173</v>
      </c>
      <c r="N822" s="36">
        <f>IFERROR(M822/$Q822,0)</f>
        <v>0.45526315789473687</v>
      </c>
      <c r="O822" s="17">
        <v>1</v>
      </c>
      <c r="P822" s="36">
        <f>IFERROR(O822/$R822,0)</f>
        <v>0.5</v>
      </c>
      <c r="Q822" s="17">
        <v>380</v>
      </c>
      <c r="R822" s="17">
        <v>2</v>
      </c>
    </row>
    <row r="823" spans="1:18" ht="15.75" customHeight="1" x14ac:dyDescent="0.25">
      <c r="A823" s="37">
        <v>2019</v>
      </c>
      <c r="B823" s="35">
        <v>172065</v>
      </c>
      <c r="C823" s="34" t="s">
        <v>151</v>
      </c>
      <c r="D823" s="34" t="s">
        <v>131</v>
      </c>
      <c r="E823" s="17">
        <v>75</v>
      </c>
      <c r="F823" s="36">
        <f>IFERROR(E823/$Q823,0)</f>
        <v>0.10040160642570281</v>
      </c>
      <c r="G823" s="17">
        <v>2</v>
      </c>
      <c r="H823" s="36">
        <f>IFERROR(G823/$R823,0)</f>
        <v>0.2857142857142857</v>
      </c>
      <c r="I823" s="17">
        <v>174</v>
      </c>
      <c r="J823" s="36">
        <f>IFERROR(I823/$Q823,0)</f>
        <v>0.23293172690763053</v>
      </c>
      <c r="K823" s="17">
        <v>0</v>
      </c>
      <c r="L823" s="36">
        <f>IFERROR(K823/$R823,0)</f>
        <v>0</v>
      </c>
      <c r="M823" s="17">
        <v>131</v>
      </c>
      <c r="N823" s="36">
        <f>IFERROR(M823/$Q823,0)</f>
        <v>0.1753681392235609</v>
      </c>
      <c r="O823" s="17">
        <v>5</v>
      </c>
      <c r="P823" s="36">
        <f>IFERROR(O823/$R823,0)</f>
        <v>0.7142857142857143</v>
      </c>
      <c r="Q823" s="17">
        <v>747</v>
      </c>
      <c r="R823" s="17">
        <v>7</v>
      </c>
    </row>
    <row r="824" spans="1:18" ht="15.75" customHeight="1" x14ac:dyDescent="0.25">
      <c r="A824" s="37">
        <v>2019</v>
      </c>
      <c r="B824" s="35">
        <v>172080</v>
      </c>
      <c r="C824" s="34" t="s">
        <v>145</v>
      </c>
      <c r="D824" s="34" t="s">
        <v>132</v>
      </c>
      <c r="E824" s="17">
        <v>132</v>
      </c>
      <c r="F824" s="36">
        <f>IFERROR(E824/$Q824,0)</f>
        <v>0.6</v>
      </c>
      <c r="G824" s="17">
        <v>1</v>
      </c>
      <c r="H824" s="36">
        <f>IFERROR(G824/$R824,0)</f>
        <v>0.1</v>
      </c>
      <c r="I824" s="17">
        <v>287</v>
      </c>
      <c r="J824" s="36">
        <f>IFERROR(I824/$Q824,0)</f>
        <v>1.3045454545454545</v>
      </c>
      <c r="K824" s="17">
        <v>5</v>
      </c>
      <c r="L824" s="36">
        <f>IFERROR(K824/$R824,0)</f>
        <v>0.5</v>
      </c>
      <c r="M824" s="17">
        <v>328</v>
      </c>
      <c r="N824" s="36">
        <f>IFERROR(M824/$Q824,0)</f>
        <v>1.490909090909091</v>
      </c>
      <c r="O824" s="17">
        <v>4</v>
      </c>
      <c r="P824" s="36">
        <f>IFERROR(O824/$R824,0)</f>
        <v>0.4</v>
      </c>
      <c r="Q824" s="17">
        <v>220</v>
      </c>
      <c r="R824" s="17">
        <v>10</v>
      </c>
    </row>
    <row r="825" spans="1:18" ht="15.75" customHeight="1" x14ac:dyDescent="0.25">
      <c r="A825" s="37">
        <v>2019</v>
      </c>
      <c r="B825" s="35">
        <v>172085</v>
      </c>
      <c r="C825" s="34" t="s">
        <v>146</v>
      </c>
      <c r="D825" s="34" t="s">
        <v>133</v>
      </c>
      <c r="E825" s="17">
        <v>34</v>
      </c>
      <c r="F825" s="36">
        <f>IFERROR(E825/$Q825,0)</f>
        <v>3.0909090909090908</v>
      </c>
      <c r="G825" s="17">
        <v>0</v>
      </c>
      <c r="H825" s="36">
        <f>IFERROR(G825/$R825,0)</f>
        <v>0</v>
      </c>
      <c r="I825" s="17">
        <v>102</v>
      </c>
      <c r="J825" s="36">
        <f>IFERROR(I825/$Q825,0)</f>
        <v>9.2727272727272734</v>
      </c>
      <c r="K825" s="17">
        <v>0</v>
      </c>
      <c r="L825" s="36">
        <f>IFERROR(K825/$R825,0)</f>
        <v>0</v>
      </c>
      <c r="M825" s="17">
        <v>84</v>
      </c>
      <c r="N825" s="36">
        <f>IFERROR(M825/$Q825,0)</f>
        <v>7.6363636363636367</v>
      </c>
      <c r="O825" s="17">
        <v>1</v>
      </c>
      <c r="P825" s="36">
        <f>IFERROR(O825/$R825,0)</f>
        <v>1</v>
      </c>
      <c r="Q825" s="17">
        <v>11</v>
      </c>
      <c r="R825" s="17">
        <v>1</v>
      </c>
    </row>
    <row r="826" spans="1:18" ht="15.75" customHeight="1" x14ac:dyDescent="0.25">
      <c r="A826" s="37">
        <v>2019</v>
      </c>
      <c r="B826" s="35">
        <v>170825</v>
      </c>
      <c r="C826" s="34" t="s">
        <v>148</v>
      </c>
      <c r="D826" s="34" t="s">
        <v>134</v>
      </c>
      <c r="E826" s="17">
        <v>5</v>
      </c>
      <c r="F826" s="36">
        <f>IFERROR(E826/$Q826,0)</f>
        <v>0.10204081632653061</v>
      </c>
      <c r="G826" s="17">
        <v>0</v>
      </c>
      <c r="H826" s="36">
        <f>IFERROR(G826/$R826,0)</f>
        <v>0</v>
      </c>
      <c r="I826" s="17">
        <v>2</v>
      </c>
      <c r="J826" s="36">
        <f>IFERROR(I826/$Q826,0)</f>
        <v>4.0816326530612242E-2</v>
      </c>
      <c r="K826" s="17">
        <v>1</v>
      </c>
      <c r="L826" s="36">
        <f>IFERROR(K826/$R826,0)</f>
        <v>1</v>
      </c>
      <c r="M826" s="17">
        <v>4</v>
      </c>
      <c r="N826" s="36">
        <f>IFERROR(M826/$Q826,0)</f>
        <v>8.1632653061224483E-2</v>
      </c>
      <c r="O826" s="17">
        <v>0</v>
      </c>
      <c r="P826" s="36">
        <f>IFERROR(O826/$R826,0)</f>
        <v>0</v>
      </c>
      <c r="Q826" s="17">
        <v>49</v>
      </c>
      <c r="R826" s="17">
        <v>1</v>
      </c>
    </row>
    <row r="827" spans="1:18" ht="15.75" customHeight="1" x14ac:dyDescent="0.25">
      <c r="A827" s="37">
        <v>2019</v>
      </c>
      <c r="B827" s="35">
        <v>172090</v>
      </c>
      <c r="C827" s="34" t="s">
        <v>147</v>
      </c>
      <c r="D827" s="34" t="s">
        <v>135</v>
      </c>
      <c r="E827" s="17">
        <v>4</v>
      </c>
      <c r="F827" s="36">
        <f>IFERROR(E827/$Q827,0)</f>
        <v>2</v>
      </c>
      <c r="G827" s="17">
        <v>0</v>
      </c>
      <c r="H827" s="36">
        <f>IFERROR(G827/$R827,0)</f>
        <v>0</v>
      </c>
      <c r="I827" s="17">
        <v>27</v>
      </c>
      <c r="J827" s="36">
        <f>IFERROR(I827/$Q827,0)</f>
        <v>13.5</v>
      </c>
      <c r="K827" s="17">
        <v>0</v>
      </c>
      <c r="L827" s="36">
        <f>IFERROR(K827/$R827,0)</f>
        <v>0</v>
      </c>
      <c r="M827" s="17">
        <v>18</v>
      </c>
      <c r="N827" s="36">
        <f>IFERROR(M827/$Q827,0)</f>
        <v>9</v>
      </c>
      <c r="O827" s="17">
        <v>3</v>
      </c>
      <c r="P827" s="36">
        <f>IFERROR(O827/$R827,0)</f>
        <v>1</v>
      </c>
      <c r="Q827" s="17">
        <v>2</v>
      </c>
      <c r="R827" s="17">
        <v>3</v>
      </c>
    </row>
    <row r="828" spans="1:18" ht="15.75" customHeight="1" x14ac:dyDescent="0.25">
      <c r="A828" s="37">
        <v>2019</v>
      </c>
      <c r="B828" s="35">
        <v>172093</v>
      </c>
      <c r="C828" s="34" t="s">
        <v>147</v>
      </c>
      <c r="D828" s="34" t="s">
        <v>136</v>
      </c>
      <c r="E828" s="17">
        <v>1</v>
      </c>
      <c r="F828" s="36">
        <f>IFERROR(E828/$Q828,0)</f>
        <v>7.4074074074074077E-3</v>
      </c>
      <c r="G828" s="17">
        <v>0</v>
      </c>
      <c r="H828" s="36">
        <f>IFERROR(G828/$R828,0)</f>
        <v>0</v>
      </c>
      <c r="I828" s="17">
        <v>0</v>
      </c>
      <c r="J828" s="36">
        <f>IFERROR(I828/$Q828,0)</f>
        <v>0</v>
      </c>
      <c r="K828" s="17">
        <v>0</v>
      </c>
      <c r="L828" s="36">
        <f>IFERROR(K828/$R828,0)</f>
        <v>0</v>
      </c>
      <c r="M828" s="17">
        <v>1</v>
      </c>
      <c r="N828" s="36">
        <f>IFERROR(M828/$Q828,0)</f>
        <v>7.4074074074074077E-3</v>
      </c>
      <c r="O828" s="17">
        <v>1</v>
      </c>
      <c r="P828" s="36">
        <f>IFERROR(O828/$R828,0)</f>
        <v>1</v>
      </c>
      <c r="Q828" s="17">
        <v>135</v>
      </c>
      <c r="R828" s="17">
        <v>1</v>
      </c>
    </row>
    <row r="829" spans="1:18" ht="15.75" customHeight="1" x14ac:dyDescent="0.25">
      <c r="A829" s="37">
        <v>2019</v>
      </c>
      <c r="B829" s="35">
        <v>172097</v>
      </c>
      <c r="C829" s="34" t="s">
        <v>146</v>
      </c>
      <c r="D829" s="34" t="s">
        <v>137</v>
      </c>
      <c r="E829" s="17">
        <v>18</v>
      </c>
      <c r="F829" s="36">
        <f>IFERROR(E829/$Q829,0)</f>
        <v>0.12328767123287671</v>
      </c>
      <c r="G829" s="17">
        <v>0</v>
      </c>
      <c r="H829" s="36">
        <f>IFERROR(G829/$R829,0)</f>
        <v>0</v>
      </c>
      <c r="I829" s="17">
        <v>55</v>
      </c>
      <c r="J829" s="36">
        <f>IFERROR(I829/$Q829,0)</f>
        <v>0.37671232876712329</v>
      </c>
      <c r="K829" s="17">
        <v>0</v>
      </c>
      <c r="L829" s="36">
        <f>IFERROR(K829/$R829,0)</f>
        <v>0</v>
      </c>
      <c r="M829" s="17">
        <v>62</v>
      </c>
      <c r="N829" s="36">
        <f>IFERROR(M829/$Q829,0)</f>
        <v>0.42465753424657532</v>
      </c>
      <c r="O829" s="17">
        <v>0</v>
      </c>
      <c r="P829" s="36">
        <f>IFERROR(O829/$R829,0)</f>
        <v>0</v>
      </c>
      <c r="Q829" s="17">
        <v>146</v>
      </c>
      <c r="R829" s="17">
        <v>0</v>
      </c>
    </row>
    <row r="830" spans="1:18" ht="15.75" customHeight="1" x14ac:dyDescent="0.25">
      <c r="A830" s="37">
        <v>2019</v>
      </c>
      <c r="B830" s="35">
        <v>172110</v>
      </c>
      <c r="C830" s="34" t="s">
        <v>148</v>
      </c>
      <c r="D830" s="34" t="s">
        <v>138</v>
      </c>
      <c r="E830" s="17">
        <v>22</v>
      </c>
      <c r="F830" s="36">
        <f>IFERROR(E830/$Q830,0)</f>
        <v>2.6347305389221556E-2</v>
      </c>
      <c r="G830" s="17">
        <v>1</v>
      </c>
      <c r="H830" s="36">
        <f>IFERROR(G830/$R830,0)</f>
        <v>0.16666666666666666</v>
      </c>
      <c r="I830" s="17">
        <v>69</v>
      </c>
      <c r="J830" s="36">
        <f>IFERROR(I830/$Q830,0)</f>
        <v>8.263473053892216E-2</v>
      </c>
      <c r="K830" s="17">
        <v>4</v>
      </c>
      <c r="L830" s="36">
        <f>IFERROR(K830/$R830,0)</f>
        <v>0.66666666666666663</v>
      </c>
      <c r="M830" s="17">
        <v>55</v>
      </c>
      <c r="N830" s="36">
        <f>IFERROR(M830/$Q830,0)</f>
        <v>6.5868263473053898E-2</v>
      </c>
      <c r="O830" s="17">
        <v>1</v>
      </c>
      <c r="P830" s="36">
        <f>IFERROR(O830/$R830,0)</f>
        <v>0.16666666666666666</v>
      </c>
      <c r="Q830" s="17">
        <v>835</v>
      </c>
      <c r="R830" s="17">
        <v>6</v>
      </c>
    </row>
    <row r="831" spans="1:18" ht="15.75" customHeight="1" x14ac:dyDescent="0.25">
      <c r="A831" s="37">
        <v>2019</v>
      </c>
      <c r="B831" s="35">
        <v>172120</v>
      </c>
      <c r="C831" s="34" t="s">
        <v>145</v>
      </c>
      <c r="D831" s="34" t="s">
        <v>139</v>
      </c>
      <c r="E831" s="17">
        <v>140</v>
      </c>
      <c r="F831" s="36">
        <f>IFERROR(E831/$Q831,0)</f>
        <v>1.0687022900763359</v>
      </c>
      <c r="G831" s="17">
        <v>3</v>
      </c>
      <c r="H831" s="36">
        <f>IFERROR(G831/$R831,0)</f>
        <v>0.125</v>
      </c>
      <c r="I831" s="17">
        <v>341</v>
      </c>
      <c r="J831" s="36">
        <f>IFERROR(I831/$Q831,0)</f>
        <v>2.6030534351145036</v>
      </c>
      <c r="K831" s="17">
        <v>17</v>
      </c>
      <c r="L831" s="36">
        <f>IFERROR(K831/$R831,0)</f>
        <v>0.70833333333333337</v>
      </c>
      <c r="M831" s="17">
        <v>354</v>
      </c>
      <c r="N831" s="36">
        <f>IFERROR(M831/$Q831,0)</f>
        <v>2.7022900763358777</v>
      </c>
      <c r="O831" s="17">
        <v>4</v>
      </c>
      <c r="P831" s="36">
        <f>IFERROR(O831/$R831,0)</f>
        <v>0.16666666666666666</v>
      </c>
      <c r="Q831" s="17">
        <v>131</v>
      </c>
      <c r="R831" s="17">
        <v>24</v>
      </c>
    </row>
    <row r="832" spans="1:18" ht="15.75" customHeight="1" x14ac:dyDescent="0.25">
      <c r="A832" s="37">
        <v>2019</v>
      </c>
      <c r="B832" s="35">
        <v>172125</v>
      </c>
      <c r="C832" s="34" t="s">
        <v>150</v>
      </c>
      <c r="D832" s="34" t="s">
        <v>140</v>
      </c>
      <c r="E832" s="17">
        <v>32</v>
      </c>
      <c r="F832" s="36">
        <f>IFERROR(E832/$Q832,0)</f>
        <v>0.34782608695652173</v>
      </c>
      <c r="G832" s="17">
        <v>1</v>
      </c>
      <c r="H832" s="36">
        <f>IFERROR(G832/$R832,0)</f>
        <v>0.33333333333333331</v>
      </c>
      <c r="I832" s="17">
        <v>51</v>
      </c>
      <c r="J832" s="36">
        <f>IFERROR(I832/$Q832,0)</f>
        <v>0.55434782608695654</v>
      </c>
      <c r="K832" s="17">
        <v>0</v>
      </c>
      <c r="L832" s="36">
        <f>IFERROR(K832/$R832,0)</f>
        <v>0</v>
      </c>
      <c r="M832" s="17">
        <v>48</v>
      </c>
      <c r="N832" s="36">
        <f>IFERROR(M832/$Q832,0)</f>
        <v>0.52173913043478259</v>
      </c>
      <c r="O832" s="17">
        <v>2</v>
      </c>
      <c r="P832" s="36">
        <f>IFERROR(O832/$R832,0)</f>
        <v>0.66666666666666663</v>
      </c>
      <c r="Q832" s="17">
        <v>92</v>
      </c>
      <c r="R832" s="17">
        <v>3</v>
      </c>
    </row>
    <row r="833" spans="1:18" ht="15.75" customHeight="1" x14ac:dyDescent="0.25">
      <c r="A833" s="37">
        <v>2019</v>
      </c>
      <c r="B833" s="35">
        <v>172130</v>
      </c>
      <c r="C833" s="34" t="s">
        <v>150</v>
      </c>
      <c r="D833" s="34" t="s">
        <v>141</v>
      </c>
      <c r="E833" s="17">
        <v>10</v>
      </c>
      <c r="F833" s="36">
        <f>IFERROR(E833/$Q833,0)</f>
        <v>2.564102564102564E-2</v>
      </c>
      <c r="G833" s="17">
        <v>0</v>
      </c>
      <c r="H833" s="36">
        <f>IFERROR(G833/$R833,0)</f>
        <v>0</v>
      </c>
      <c r="I833" s="17">
        <v>29</v>
      </c>
      <c r="J833" s="36">
        <f>IFERROR(I833/$Q833,0)</f>
        <v>7.4358974358974358E-2</v>
      </c>
      <c r="K833" s="17">
        <v>0</v>
      </c>
      <c r="L833" s="36">
        <f>IFERROR(K833/$R833,0)</f>
        <v>0</v>
      </c>
      <c r="M833" s="17">
        <v>53</v>
      </c>
      <c r="N833" s="36">
        <f>IFERROR(M833/$Q833,0)</f>
        <v>0.13589743589743589</v>
      </c>
      <c r="O833" s="17">
        <v>0</v>
      </c>
      <c r="P833" s="36">
        <f>IFERROR(O833/$R833,0)</f>
        <v>0</v>
      </c>
      <c r="Q833" s="17">
        <v>390</v>
      </c>
      <c r="R833" s="17">
        <v>0</v>
      </c>
    </row>
    <row r="834" spans="1:18" ht="15.75" customHeight="1" x14ac:dyDescent="0.25">
      <c r="A834" s="37">
        <v>2019</v>
      </c>
      <c r="B834" s="35">
        <v>172208</v>
      </c>
      <c r="C834" s="34" t="s">
        <v>149</v>
      </c>
      <c r="D834" s="34" t="s">
        <v>142</v>
      </c>
      <c r="E834" s="17">
        <v>68</v>
      </c>
      <c r="F834" s="36">
        <f>IFERROR(E834/$Q834,0)</f>
        <v>0.13793103448275862</v>
      </c>
      <c r="G834" s="17">
        <v>1</v>
      </c>
      <c r="H834" s="36">
        <f>IFERROR(G834/$R834,0)</f>
        <v>0.14285714285714285</v>
      </c>
      <c r="I834" s="17">
        <v>156</v>
      </c>
      <c r="J834" s="36">
        <f>IFERROR(I834/$Q834,0)</f>
        <v>0.31643002028397565</v>
      </c>
      <c r="K834" s="17">
        <v>3</v>
      </c>
      <c r="L834" s="36">
        <f>IFERROR(K834/$R834,0)</f>
        <v>0.42857142857142855</v>
      </c>
      <c r="M834" s="17">
        <v>166</v>
      </c>
      <c r="N834" s="36">
        <f>IFERROR(M834/$Q834,0)</f>
        <v>0.33671399594320489</v>
      </c>
      <c r="O834" s="17">
        <v>3</v>
      </c>
      <c r="P834" s="36">
        <f>IFERROR(O834/$R834,0)</f>
        <v>0.42857142857142855</v>
      </c>
      <c r="Q834" s="17">
        <v>493</v>
      </c>
      <c r="R834" s="17">
        <v>7</v>
      </c>
    </row>
    <row r="835" spans="1:18" ht="15.75" customHeight="1" x14ac:dyDescent="0.25">
      <c r="A835" s="37">
        <v>2019</v>
      </c>
      <c r="B835" s="35">
        <v>172210</v>
      </c>
      <c r="C835" s="34" t="s">
        <v>149</v>
      </c>
      <c r="D835" s="34" t="s">
        <v>143</v>
      </c>
      <c r="E835" s="17">
        <v>57</v>
      </c>
      <c r="F835" s="36">
        <f>IFERROR(E835/$Q835,0)</f>
        <v>0</v>
      </c>
      <c r="G835" s="17">
        <v>1</v>
      </c>
      <c r="H835" s="36">
        <f>IFERROR(G835/$R835,0)</f>
        <v>0.05</v>
      </c>
      <c r="I835" s="17">
        <v>192</v>
      </c>
      <c r="J835" s="36">
        <f>IFERROR(I835/$Q835,0)</f>
        <v>0</v>
      </c>
      <c r="K835" s="17">
        <v>8</v>
      </c>
      <c r="L835" s="36">
        <f>IFERROR(K835/$R835,0)</f>
        <v>0.4</v>
      </c>
      <c r="M835" s="17">
        <v>244</v>
      </c>
      <c r="N835" s="36">
        <f>IFERROR(M835/$Q835,0)</f>
        <v>0</v>
      </c>
      <c r="O835" s="17">
        <v>11</v>
      </c>
      <c r="P835" s="36">
        <f>IFERROR(O835/$R835,0)</f>
        <v>0.55000000000000004</v>
      </c>
      <c r="Q835" s="16"/>
      <c r="R835" s="17">
        <v>20</v>
      </c>
    </row>
    <row r="836" spans="1:18" ht="15.75" customHeight="1" x14ac:dyDescent="0.25">
      <c r="A836" s="37">
        <v>2018</v>
      </c>
      <c r="B836" s="35">
        <v>170025</v>
      </c>
      <c r="C836" s="34" t="s">
        <v>144</v>
      </c>
      <c r="D836" s="34" t="s">
        <v>5</v>
      </c>
      <c r="E836" s="35"/>
      <c r="F836" s="36">
        <f>IFERROR(E836/$Q836,0)</f>
        <v>0</v>
      </c>
      <c r="G836" s="38"/>
      <c r="H836" s="36">
        <f>IFERROR(G836/$R836,0)</f>
        <v>0</v>
      </c>
      <c r="I836" s="35"/>
      <c r="J836" s="36">
        <f>IFERROR(I836/$Q836,0)</f>
        <v>0</v>
      </c>
      <c r="K836" s="38"/>
      <c r="L836" s="36">
        <f>IFERROR(K836/$R836,0)</f>
        <v>0</v>
      </c>
      <c r="M836" s="35"/>
      <c r="N836" s="36">
        <f>IFERROR(M836/$Q836,0)</f>
        <v>0</v>
      </c>
      <c r="O836" s="38"/>
      <c r="P836" s="36">
        <f>IFERROR(O836/$R836,0)</f>
        <v>0</v>
      </c>
      <c r="Q836" s="35"/>
      <c r="R836" s="38"/>
    </row>
    <row r="837" spans="1:18" ht="15.75" customHeight="1" x14ac:dyDescent="0.25">
      <c r="A837" s="37">
        <v>2018</v>
      </c>
      <c r="B837" s="35">
        <v>170030</v>
      </c>
      <c r="C837" s="34" t="s">
        <v>145</v>
      </c>
      <c r="D837" s="34" t="s">
        <v>6</v>
      </c>
      <c r="E837" s="35"/>
      <c r="F837" s="36">
        <f>IFERROR(E837/$Q837,0)</f>
        <v>0</v>
      </c>
      <c r="G837" s="38"/>
      <c r="H837" s="36">
        <f>IFERROR(G837/$R837,0)</f>
        <v>0</v>
      </c>
      <c r="I837" s="35"/>
      <c r="J837" s="36">
        <f>IFERROR(I837/$Q837,0)</f>
        <v>0</v>
      </c>
      <c r="K837" s="38"/>
      <c r="L837" s="36">
        <f>IFERROR(K837/$R837,0)</f>
        <v>0</v>
      </c>
      <c r="M837" s="35"/>
      <c r="N837" s="36">
        <f>IFERROR(M837/$Q837,0)</f>
        <v>0</v>
      </c>
      <c r="O837" s="38"/>
      <c r="P837" s="36">
        <f>IFERROR(O837/$R837,0)</f>
        <v>0</v>
      </c>
      <c r="Q837" s="35"/>
      <c r="R837" s="38"/>
    </row>
    <row r="838" spans="1:18" ht="15.75" customHeight="1" x14ac:dyDescent="0.25">
      <c r="A838" s="37">
        <v>2018</v>
      </c>
      <c r="B838" s="35">
        <v>170035</v>
      </c>
      <c r="C838" s="34" t="s">
        <v>146</v>
      </c>
      <c r="D838" s="34" t="s">
        <v>7</v>
      </c>
      <c r="E838" s="35"/>
      <c r="F838" s="36">
        <f>IFERROR(E838/$Q838,0)</f>
        <v>0</v>
      </c>
      <c r="G838" s="38"/>
      <c r="H838" s="36">
        <f>IFERROR(G838/$R838,0)</f>
        <v>0</v>
      </c>
      <c r="I838" s="35"/>
      <c r="J838" s="36">
        <f>IFERROR(I838/$Q838,0)</f>
        <v>0</v>
      </c>
      <c r="K838" s="38"/>
      <c r="L838" s="36">
        <f>IFERROR(K838/$R838,0)</f>
        <v>0</v>
      </c>
      <c r="M838" s="35"/>
      <c r="N838" s="36">
        <f>IFERROR(M838/$Q838,0)</f>
        <v>0</v>
      </c>
      <c r="O838" s="38"/>
      <c r="P838" s="36">
        <f>IFERROR(O838/$R838,0)</f>
        <v>0</v>
      </c>
      <c r="Q838" s="35"/>
      <c r="R838" s="38"/>
    </row>
    <row r="839" spans="1:18" ht="15.75" customHeight="1" x14ac:dyDescent="0.25">
      <c r="A839" s="37">
        <v>2018</v>
      </c>
      <c r="B839" s="35">
        <v>170040</v>
      </c>
      <c r="C839" s="34" t="s">
        <v>147</v>
      </c>
      <c r="D839" s="34" t="s">
        <v>8</v>
      </c>
      <c r="E839" s="35"/>
      <c r="F839" s="36">
        <f>IFERROR(E839/$Q839,0)</f>
        <v>0</v>
      </c>
      <c r="G839" s="38"/>
      <c r="H839" s="36">
        <f>IFERROR(G839/$R839,0)</f>
        <v>0</v>
      </c>
      <c r="I839" s="35"/>
      <c r="J839" s="36">
        <f>IFERROR(I839/$Q839,0)</f>
        <v>0</v>
      </c>
      <c r="K839" s="38"/>
      <c r="L839" s="36">
        <f>IFERROR(K839/$R839,0)</f>
        <v>0</v>
      </c>
      <c r="M839" s="35"/>
      <c r="N839" s="36">
        <f>IFERROR(M839/$Q839,0)</f>
        <v>0</v>
      </c>
      <c r="O839" s="38"/>
      <c r="P839" s="36">
        <f>IFERROR(O839/$R839,0)</f>
        <v>0</v>
      </c>
      <c r="Q839" s="35"/>
      <c r="R839" s="38"/>
    </row>
    <row r="840" spans="1:18" ht="15.75" customHeight="1" x14ac:dyDescent="0.25">
      <c r="A840" s="37">
        <v>2018</v>
      </c>
      <c r="B840" s="35">
        <v>170070</v>
      </c>
      <c r="C840" s="34" t="s">
        <v>146</v>
      </c>
      <c r="D840" s="34" t="s">
        <v>9</v>
      </c>
      <c r="E840" s="35"/>
      <c r="F840" s="36">
        <f>IFERROR(E840/$Q840,0)</f>
        <v>0</v>
      </c>
      <c r="G840" s="38"/>
      <c r="H840" s="36">
        <f>IFERROR(G840/$R840,0)</f>
        <v>0</v>
      </c>
      <c r="I840" s="35"/>
      <c r="J840" s="36">
        <f>IFERROR(I840/$Q840,0)</f>
        <v>0</v>
      </c>
      <c r="K840" s="38"/>
      <c r="L840" s="36">
        <f>IFERROR(K840/$R840,0)</f>
        <v>0</v>
      </c>
      <c r="M840" s="35"/>
      <c r="N840" s="36">
        <f>IFERROR(M840/$Q840,0)</f>
        <v>0</v>
      </c>
      <c r="O840" s="38"/>
      <c r="P840" s="36">
        <f>IFERROR(O840/$R840,0)</f>
        <v>0</v>
      </c>
      <c r="Q840" s="35"/>
      <c r="R840" s="38"/>
    </row>
    <row r="841" spans="1:18" ht="15.75" customHeight="1" x14ac:dyDescent="0.25">
      <c r="A841" s="37">
        <v>2018</v>
      </c>
      <c r="B841" s="35">
        <v>170100</v>
      </c>
      <c r="C841" s="34" t="s">
        <v>145</v>
      </c>
      <c r="D841" s="34" t="s">
        <v>10</v>
      </c>
      <c r="E841" s="35"/>
      <c r="F841" s="36">
        <f>IFERROR(E841/$Q841,0)</f>
        <v>0</v>
      </c>
      <c r="G841" s="38"/>
      <c r="H841" s="36">
        <f>IFERROR(G841/$R841,0)</f>
        <v>0</v>
      </c>
      <c r="I841" s="35"/>
      <c r="J841" s="36">
        <f>IFERROR(I841/$Q841,0)</f>
        <v>0</v>
      </c>
      <c r="K841" s="38"/>
      <c r="L841" s="36">
        <f>IFERROR(K841/$R841,0)</f>
        <v>0</v>
      </c>
      <c r="M841" s="35"/>
      <c r="N841" s="36">
        <f>IFERROR(M841/$Q841,0)</f>
        <v>0</v>
      </c>
      <c r="O841" s="38"/>
      <c r="P841" s="36">
        <f>IFERROR(O841/$R841,0)</f>
        <v>0</v>
      </c>
      <c r="Q841" s="35"/>
      <c r="R841" s="38"/>
    </row>
    <row r="842" spans="1:18" ht="15.75" customHeight="1" x14ac:dyDescent="0.25">
      <c r="A842" s="37">
        <v>2018</v>
      </c>
      <c r="B842" s="35">
        <v>170105</v>
      </c>
      <c r="C842" s="34" t="s">
        <v>145</v>
      </c>
      <c r="D842" s="34" t="s">
        <v>11</v>
      </c>
      <c r="E842" s="35"/>
      <c r="F842" s="36">
        <f>IFERROR(E842/$Q842,0)</f>
        <v>0</v>
      </c>
      <c r="G842" s="38"/>
      <c r="H842" s="36">
        <f>IFERROR(G842/$R842,0)</f>
        <v>0</v>
      </c>
      <c r="I842" s="35"/>
      <c r="J842" s="36">
        <f>IFERROR(I842/$Q842,0)</f>
        <v>0</v>
      </c>
      <c r="K842" s="38"/>
      <c r="L842" s="36">
        <f>IFERROR(K842/$R842,0)</f>
        <v>0</v>
      </c>
      <c r="M842" s="35"/>
      <c r="N842" s="36">
        <f>IFERROR(M842/$Q842,0)</f>
        <v>0</v>
      </c>
      <c r="O842" s="38"/>
      <c r="P842" s="36">
        <f>IFERROR(O842/$R842,0)</f>
        <v>0</v>
      </c>
      <c r="Q842" s="35"/>
      <c r="R842" s="38"/>
    </row>
    <row r="843" spans="1:18" ht="15.75" customHeight="1" x14ac:dyDescent="0.25">
      <c r="A843" s="37">
        <v>2018</v>
      </c>
      <c r="B843" s="35">
        <v>170110</v>
      </c>
      <c r="C843" s="34" t="s">
        <v>148</v>
      </c>
      <c r="D843" s="34" t="s">
        <v>12</v>
      </c>
      <c r="E843" s="35"/>
      <c r="F843" s="36">
        <f>IFERROR(E843/$Q843,0)</f>
        <v>0</v>
      </c>
      <c r="G843" s="38"/>
      <c r="H843" s="36">
        <f>IFERROR(G843/$R843,0)</f>
        <v>0</v>
      </c>
      <c r="I843" s="35"/>
      <c r="J843" s="36">
        <f>IFERROR(I843/$Q843,0)</f>
        <v>0</v>
      </c>
      <c r="K843" s="38"/>
      <c r="L843" s="36">
        <f>IFERROR(K843/$R843,0)</f>
        <v>0</v>
      </c>
      <c r="M843" s="35"/>
      <c r="N843" s="36">
        <f>IFERROR(M843/$Q843,0)</f>
        <v>0</v>
      </c>
      <c r="O843" s="38"/>
      <c r="P843" s="36">
        <f>IFERROR(O843/$R843,0)</f>
        <v>0</v>
      </c>
      <c r="Q843" s="35"/>
      <c r="R843" s="38"/>
    </row>
    <row r="844" spans="1:18" ht="15.75" customHeight="1" x14ac:dyDescent="0.25">
      <c r="A844" s="37">
        <v>2018</v>
      </c>
      <c r="B844" s="35">
        <v>170130</v>
      </c>
      <c r="C844" s="34" t="s">
        <v>149</v>
      </c>
      <c r="D844" s="34" t="s">
        <v>13</v>
      </c>
      <c r="E844" s="35"/>
      <c r="F844" s="36">
        <f>IFERROR(E844/$Q844,0)</f>
        <v>0</v>
      </c>
      <c r="G844" s="38"/>
      <c r="H844" s="36">
        <f>IFERROR(G844/$R844,0)</f>
        <v>0</v>
      </c>
      <c r="I844" s="35"/>
      <c r="J844" s="36">
        <f>IFERROR(I844/$Q844,0)</f>
        <v>0</v>
      </c>
      <c r="K844" s="38"/>
      <c r="L844" s="36">
        <f>IFERROR(K844/$R844,0)</f>
        <v>0</v>
      </c>
      <c r="M844" s="35"/>
      <c r="N844" s="36">
        <f>IFERROR(M844/$Q844,0)</f>
        <v>0</v>
      </c>
      <c r="O844" s="38"/>
      <c r="P844" s="36">
        <f>IFERROR(O844/$R844,0)</f>
        <v>0</v>
      </c>
      <c r="Q844" s="35"/>
      <c r="R844" s="38"/>
    </row>
    <row r="845" spans="1:18" ht="15.75" customHeight="1" x14ac:dyDescent="0.25">
      <c r="A845" s="37">
        <v>2018</v>
      </c>
      <c r="B845" s="35">
        <v>170190</v>
      </c>
      <c r="C845" s="34" t="s">
        <v>144</v>
      </c>
      <c r="D845" s="34" t="s">
        <v>14</v>
      </c>
      <c r="E845" s="35"/>
      <c r="F845" s="36">
        <f>IFERROR(E845/$Q845,0)</f>
        <v>0</v>
      </c>
      <c r="G845" s="38"/>
      <c r="H845" s="36">
        <f>IFERROR(G845/$R845,0)</f>
        <v>0</v>
      </c>
      <c r="I845" s="35"/>
      <c r="J845" s="36">
        <f>IFERROR(I845/$Q845,0)</f>
        <v>0</v>
      </c>
      <c r="K845" s="38"/>
      <c r="L845" s="36">
        <f>IFERROR(K845/$R845,0)</f>
        <v>0</v>
      </c>
      <c r="M845" s="35"/>
      <c r="N845" s="36">
        <f>IFERROR(M845/$Q845,0)</f>
        <v>0</v>
      </c>
      <c r="O845" s="38"/>
      <c r="P845" s="36">
        <f>IFERROR(O845/$R845,0)</f>
        <v>0</v>
      </c>
      <c r="Q845" s="35"/>
      <c r="R845" s="38"/>
    </row>
    <row r="846" spans="1:18" ht="15.75" customHeight="1" x14ac:dyDescent="0.25">
      <c r="A846" s="37">
        <v>2018</v>
      </c>
      <c r="B846" s="35">
        <v>170200</v>
      </c>
      <c r="C846" s="34" t="s">
        <v>146</v>
      </c>
      <c r="D846" s="34" t="s">
        <v>15</v>
      </c>
      <c r="E846" s="35"/>
      <c r="F846" s="36">
        <f>IFERROR(E846/$Q846,0)</f>
        <v>0</v>
      </c>
      <c r="G846" s="38"/>
      <c r="H846" s="36">
        <f>IFERROR(G846/$R846,0)</f>
        <v>0</v>
      </c>
      <c r="I846" s="35"/>
      <c r="J846" s="36">
        <f>IFERROR(I846/$Q846,0)</f>
        <v>0</v>
      </c>
      <c r="K846" s="38"/>
      <c r="L846" s="36">
        <f>IFERROR(K846/$R846,0)</f>
        <v>0</v>
      </c>
      <c r="M846" s="35"/>
      <c r="N846" s="36">
        <f>IFERROR(M846/$Q846,0)</f>
        <v>0</v>
      </c>
      <c r="O846" s="38"/>
      <c r="P846" s="36">
        <f>IFERROR(O846/$R846,0)</f>
        <v>0</v>
      </c>
      <c r="Q846" s="35"/>
      <c r="R846" s="38"/>
    </row>
    <row r="847" spans="1:18" ht="15.75" customHeight="1" x14ac:dyDescent="0.25">
      <c r="A847" s="37">
        <v>2018</v>
      </c>
      <c r="B847" s="35">
        <v>170210</v>
      </c>
      <c r="C847" s="34" t="s">
        <v>149</v>
      </c>
      <c r="D847" s="34" t="s">
        <v>16</v>
      </c>
      <c r="E847" s="35"/>
      <c r="F847" s="36">
        <f>IFERROR(E847/$Q847,0)</f>
        <v>0</v>
      </c>
      <c r="G847" s="38"/>
      <c r="H847" s="36">
        <f>IFERROR(G847/$R847,0)</f>
        <v>0</v>
      </c>
      <c r="I847" s="35"/>
      <c r="J847" s="36">
        <f>IFERROR(I847/$Q847,0)</f>
        <v>0</v>
      </c>
      <c r="K847" s="38"/>
      <c r="L847" s="36">
        <f>IFERROR(K847/$R847,0)</f>
        <v>0</v>
      </c>
      <c r="M847" s="35"/>
      <c r="N847" s="36">
        <f>IFERROR(M847/$Q847,0)</f>
        <v>0</v>
      </c>
      <c r="O847" s="39"/>
      <c r="P847" s="36">
        <f>IFERROR(O847/$R847,0)</f>
        <v>0</v>
      </c>
      <c r="Q847" s="35"/>
      <c r="R847" s="39"/>
    </row>
    <row r="848" spans="1:18" ht="15.75" customHeight="1" x14ac:dyDescent="0.25">
      <c r="A848" s="37">
        <v>2018</v>
      </c>
      <c r="B848" s="35">
        <v>170215</v>
      </c>
      <c r="C848" s="34" t="s">
        <v>149</v>
      </c>
      <c r="D848" s="34" t="s">
        <v>17</v>
      </c>
      <c r="E848" s="35"/>
      <c r="F848" s="36">
        <f>IFERROR(E848/$Q848,0)</f>
        <v>0</v>
      </c>
      <c r="G848" s="38"/>
      <c r="H848" s="36">
        <f>IFERROR(G848/$R848,0)</f>
        <v>0</v>
      </c>
      <c r="I848" s="35"/>
      <c r="J848" s="36">
        <f>IFERROR(I848/$Q848,0)</f>
        <v>0</v>
      </c>
      <c r="K848" s="38"/>
      <c r="L848" s="36">
        <f>IFERROR(K848/$R848,0)</f>
        <v>0</v>
      </c>
      <c r="M848" s="35"/>
      <c r="N848" s="36">
        <f>IFERROR(M848/$Q848,0)</f>
        <v>0</v>
      </c>
      <c r="O848" s="38"/>
      <c r="P848" s="36">
        <f>IFERROR(O848/$R848,0)</f>
        <v>0</v>
      </c>
      <c r="Q848" s="35"/>
      <c r="R848" s="38"/>
    </row>
    <row r="849" spans="1:18" ht="15.75" customHeight="1" x14ac:dyDescent="0.25">
      <c r="A849" s="37">
        <v>2018</v>
      </c>
      <c r="B849" s="35">
        <v>170220</v>
      </c>
      <c r="C849" s="34" t="s">
        <v>145</v>
      </c>
      <c r="D849" s="34" t="s">
        <v>18</v>
      </c>
      <c r="E849" s="35"/>
      <c r="F849" s="36">
        <f>IFERROR(E849/$Q849,0)</f>
        <v>0</v>
      </c>
      <c r="G849" s="38"/>
      <c r="H849" s="36">
        <f>IFERROR(G849/$R849,0)</f>
        <v>0</v>
      </c>
      <c r="I849" s="35"/>
      <c r="J849" s="36">
        <f>IFERROR(I849/$Q849,0)</f>
        <v>0</v>
      </c>
      <c r="K849" s="38"/>
      <c r="L849" s="36">
        <f>IFERROR(K849/$R849,0)</f>
        <v>0</v>
      </c>
      <c r="M849" s="35"/>
      <c r="N849" s="36">
        <f>IFERROR(M849/$Q849,0)</f>
        <v>0</v>
      </c>
      <c r="O849" s="39"/>
      <c r="P849" s="36">
        <f>IFERROR(O849/$R849,0)</f>
        <v>0</v>
      </c>
      <c r="Q849" s="35"/>
      <c r="R849" s="39"/>
    </row>
    <row r="850" spans="1:18" ht="15.75" customHeight="1" x14ac:dyDescent="0.25">
      <c r="A850" s="37">
        <v>2018</v>
      </c>
      <c r="B850" s="35">
        <v>170230</v>
      </c>
      <c r="C850" s="34" t="s">
        <v>150</v>
      </c>
      <c r="D850" s="34" t="s">
        <v>19</v>
      </c>
      <c r="E850" s="35"/>
      <c r="F850" s="36">
        <f>IFERROR(E850/$Q850,0)</f>
        <v>0</v>
      </c>
      <c r="G850" s="38"/>
      <c r="H850" s="36">
        <f>IFERROR(G850/$R850,0)</f>
        <v>0</v>
      </c>
      <c r="I850" s="35"/>
      <c r="J850" s="36">
        <f>IFERROR(I850/$Q850,0)</f>
        <v>0</v>
      </c>
      <c r="K850" s="38"/>
      <c r="L850" s="36">
        <f>IFERROR(K850/$R850,0)</f>
        <v>0</v>
      </c>
      <c r="M850" s="35"/>
      <c r="N850" s="36">
        <f>IFERROR(M850/$Q850,0)</f>
        <v>0</v>
      </c>
      <c r="O850" s="38"/>
      <c r="P850" s="36">
        <f>IFERROR(O850/$R850,0)</f>
        <v>0</v>
      </c>
      <c r="Q850" s="35"/>
      <c r="R850" s="38"/>
    </row>
    <row r="851" spans="1:18" ht="15.75" customHeight="1" x14ac:dyDescent="0.25">
      <c r="A851" s="37">
        <v>2018</v>
      </c>
      <c r="B851" s="35">
        <v>170240</v>
      </c>
      <c r="C851" s="34" t="s">
        <v>147</v>
      </c>
      <c r="D851" s="34" t="s">
        <v>20</v>
      </c>
      <c r="E851" s="35"/>
      <c r="F851" s="36">
        <f>IFERROR(E851/$Q851,0)</f>
        <v>0</v>
      </c>
      <c r="G851" s="38"/>
      <c r="H851" s="36">
        <f>IFERROR(G851/$R851,0)</f>
        <v>0</v>
      </c>
      <c r="I851" s="35"/>
      <c r="J851" s="36">
        <f>IFERROR(I851/$Q851,0)</f>
        <v>0</v>
      </c>
      <c r="K851" s="38"/>
      <c r="L851" s="36">
        <f>IFERROR(K851/$R851,0)</f>
        <v>0</v>
      </c>
      <c r="M851" s="35"/>
      <c r="N851" s="36">
        <f>IFERROR(M851/$Q851,0)</f>
        <v>0</v>
      </c>
      <c r="O851" s="38"/>
      <c r="P851" s="36">
        <f>IFERROR(O851/$R851,0)</f>
        <v>0</v>
      </c>
      <c r="Q851" s="35"/>
      <c r="R851" s="38"/>
    </row>
    <row r="852" spans="1:18" ht="15.75" customHeight="1" x14ac:dyDescent="0.25">
      <c r="A852" s="37">
        <v>2018</v>
      </c>
      <c r="B852" s="35">
        <v>170255</v>
      </c>
      <c r="C852" s="34" t="s">
        <v>145</v>
      </c>
      <c r="D852" s="34" t="s">
        <v>21</v>
      </c>
      <c r="E852" s="35"/>
      <c r="F852" s="36">
        <f>IFERROR(E852/$Q852,0)</f>
        <v>0</v>
      </c>
      <c r="G852" s="38"/>
      <c r="H852" s="36">
        <f>IFERROR(G852/$R852,0)</f>
        <v>0</v>
      </c>
      <c r="I852" s="35"/>
      <c r="J852" s="36">
        <f>IFERROR(I852/$Q852,0)</f>
        <v>0</v>
      </c>
      <c r="K852" s="38"/>
      <c r="L852" s="36">
        <f>IFERROR(K852/$R852,0)</f>
        <v>0</v>
      </c>
      <c r="M852" s="35"/>
      <c r="N852" s="36">
        <f>IFERROR(M852/$Q852,0)</f>
        <v>0</v>
      </c>
      <c r="O852" s="38"/>
      <c r="P852" s="36">
        <f>IFERROR(O852/$R852,0)</f>
        <v>0</v>
      </c>
      <c r="Q852" s="35"/>
      <c r="R852" s="38"/>
    </row>
    <row r="853" spans="1:18" ht="15.75" customHeight="1" x14ac:dyDescent="0.25">
      <c r="A853" s="37">
        <v>2018</v>
      </c>
      <c r="B853" s="35">
        <v>170270</v>
      </c>
      <c r="C853" s="34" t="s">
        <v>147</v>
      </c>
      <c r="D853" s="34" t="s">
        <v>22</v>
      </c>
      <c r="E853" s="35"/>
      <c r="F853" s="36">
        <f>IFERROR(E853/$Q853,0)</f>
        <v>0</v>
      </c>
      <c r="G853" s="38"/>
      <c r="H853" s="36">
        <f>IFERROR(G853/$R853,0)</f>
        <v>0</v>
      </c>
      <c r="I853" s="35"/>
      <c r="J853" s="36">
        <f>IFERROR(I853/$Q853,0)</f>
        <v>0</v>
      </c>
      <c r="K853" s="38"/>
      <c r="L853" s="36">
        <f>IFERROR(K853/$R853,0)</f>
        <v>0</v>
      </c>
      <c r="M853" s="35"/>
      <c r="N853" s="36">
        <f>IFERROR(M853/$Q853,0)</f>
        <v>0</v>
      </c>
      <c r="O853" s="38"/>
      <c r="P853" s="36">
        <f>IFERROR(O853/$R853,0)</f>
        <v>0</v>
      </c>
      <c r="Q853" s="35"/>
      <c r="R853" s="38"/>
    </row>
    <row r="854" spans="1:18" ht="15.75" customHeight="1" x14ac:dyDescent="0.25">
      <c r="A854" s="37">
        <v>2018</v>
      </c>
      <c r="B854" s="35">
        <v>170290</v>
      </c>
      <c r="C854" s="34" t="s">
        <v>145</v>
      </c>
      <c r="D854" s="34" t="s">
        <v>23</v>
      </c>
      <c r="E854" s="35"/>
      <c r="F854" s="36">
        <f>IFERROR(E854/$Q854,0)</f>
        <v>0</v>
      </c>
      <c r="G854" s="38"/>
      <c r="H854" s="36">
        <f>IFERROR(G854/$R854,0)</f>
        <v>0</v>
      </c>
      <c r="I854" s="35"/>
      <c r="J854" s="36">
        <f>IFERROR(I854/$Q854,0)</f>
        <v>0</v>
      </c>
      <c r="K854" s="38"/>
      <c r="L854" s="36">
        <f>IFERROR(K854/$R854,0)</f>
        <v>0</v>
      </c>
      <c r="M854" s="35"/>
      <c r="N854" s="36">
        <f>IFERROR(M854/$Q854,0)</f>
        <v>0</v>
      </c>
      <c r="O854" s="38"/>
      <c r="P854" s="36">
        <f>IFERROR(O854/$R854,0)</f>
        <v>0</v>
      </c>
      <c r="Q854" s="35"/>
      <c r="R854" s="38"/>
    </row>
    <row r="855" spans="1:18" ht="15.75" customHeight="1" x14ac:dyDescent="0.25">
      <c r="A855" s="37">
        <v>2018</v>
      </c>
      <c r="B855" s="35">
        <v>170300</v>
      </c>
      <c r="C855" s="34" t="s">
        <v>149</v>
      </c>
      <c r="D855" s="34" t="s">
        <v>24</v>
      </c>
      <c r="E855" s="35"/>
      <c r="F855" s="36">
        <f>IFERROR(E855/$Q855,0)</f>
        <v>0</v>
      </c>
      <c r="G855" s="38"/>
      <c r="H855" s="36">
        <f>IFERROR(G855/$R855,0)</f>
        <v>0</v>
      </c>
      <c r="I855" s="35"/>
      <c r="J855" s="36">
        <f>IFERROR(I855/$Q855,0)</f>
        <v>0</v>
      </c>
      <c r="K855" s="38"/>
      <c r="L855" s="36">
        <f>IFERROR(K855/$R855,0)</f>
        <v>0</v>
      </c>
      <c r="M855" s="35"/>
      <c r="N855" s="36">
        <f>IFERROR(M855/$Q855,0)</f>
        <v>0</v>
      </c>
      <c r="O855" s="38"/>
      <c r="P855" s="36">
        <f>IFERROR(O855/$R855,0)</f>
        <v>0</v>
      </c>
      <c r="Q855" s="35"/>
      <c r="R855" s="38"/>
    </row>
    <row r="856" spans="1:18" ht="15.75" customHeight="1" x14ac:dyDescent="0.25">
      <c r="A856" s="37">
        <v>2018</v>
      </c>
      <c r="B856" s="35">
        <v>170305</v>
      </c>
      <c r="C856" s="34" t="s">
        <v>150</v>
      </c>
      <c r="D856" s="34" t="s">
        <v>25</v>
      </c>
      <c r="E856" s="35"/>
      <c r="F856" s="36">
        <f>IFERROR(E856/$Q856,0)</f>
        <v>0</v>
      </c>
      <c r="G856" s="38"/>
      <c r="H856" s="36">
        <f>IFERROR(G856/$R856,0)</f>
        <v>0</v>
      </c>
      <c r="I856" s="35"/>
      <c r="J856" s="36">
        <f>IFERROR(I856/$Q856,0)</f>
        <v>0</v>
      </c>
      <c r="K856" s="38"/>
      <c r="L856" s="36">
        <f>IFERROR(K856/$R856,0)</f>
        <v>0</v>
      </c>
      <c r="M856" s="35"/>
      <c r="N856" s="36">
        <f>IFERROR(M856/$Q856,0)</f>
        <v>0</v>
      </c>
      <c r="O856" s="38"/>
      <c r="P856" s="36">
        <f>IFERROR(O856/$R856,0)</f>
        <v>0</v>
      </c>
      <c r="Q856" s="35"/>
      <c r="R856" s="38"/>
    </row>
    <row r="857" spans="1:18" ht="15.75" customHeight="1" x14ac:dyDescent="0.25">
      <c r="A857" s="37">
        <v>2018</v>
      </c>
      <c r="B857" s="35">
        <v>170307</v>
      </c>
      <c r="C857" s="34" t="s">
        <v>149</v>
      </c>
      <c r="D857" s="34" t="s">
        <v>26</v>
      </c>
      <c r="E857" s="35"/>
      <c r="F857" s="36">
        <f>IFERROR(E857/$Q857,0)</f>
        <v>0</v>
      </c>
      <c r="G857" s="38"/>
      <c r="H857" s="36">
        <f>IFERROR(G857/$R857,0)</f>
        <v>0</v>
      </c>
      <c r="I857" s="35"/>
      <c r="J857" s="36">
        <f>IFERROR(I857/$Q857,0)</f>
        <v>0</v>
      </c>
      <c r="K857" s="38"/>
      <c r="L857" s="36">
        <f>IFERROR(K857/$R857,0)</f>
        <v>0</v>
      </c>
      <c r="M857" s="35"/>
      <c r="N857" s="36">
        <f>IFERROR(M857/$Q857,0)</f>
        <v>0</v>
      </c>
      <c r="O857" s="38"/>
      <c r="P857" s="36">
        <f>IFERROR(O857/$R857,0)</f>
        <v>0</v>
      </c>
      <c r="Q857" s="35"/>
      <c r="R857" s="38"/>
    </row>
    <row r="858" spans="1:18" ht="15.75" customHeight="1" x14ac:dyDescent="0.25">
      <c r="A858" s="37">
        <v>2018</v>
      </c>
      <c r="B858" s="35">
        <v>170310</v>
      </c>
      <c r="C858" s="34" t="s">
        <v>144</v>
      </c>
      <c r="D858" s="34" t="s">
        <v>27</v>
      </c>
      <c r="E858" s="35"/>
      <c r="F858" s="36">
        <f>IFERROR(E858/$Q858,0)</f>
        <v>0</v>
      </c>
      <c r="G858" s="38"/>
      <c r="H858" s="36">
        <f>IFERROR(G858/$R858,0)</f>
        <v>0</v>
      </c>
      <c r="I858" s="35"/>
      <c r="J858" s="36">
        <f>IFERROR(I858/$Q858,0)</f>
        <v>0</v>
      </c>
      <c r="K858" s="38"/>
      <c r="L858" s="36">
        <f>IFERROR(K858/$R858,0)</f>
        <v>0</v>
      </c>
      <c r="M858" s="35"/>
      <c r="N858" s="36">
        <f>IFERROR(M858/$Q858,0)</f>
        <v>0</v>
      </c>
      <c r="O858" s="38"/>
      <c r="P858" s="36">
        <f>IFERROR(O858/$R858,0)</f>
        <v>0</v>
      </c>
      <c r="Q858" s="35"/>
      <c r="R858" s="38"/>
    </row>
    <row r="859" spans="1:18" ht="15.75" customHeight="1" x14ac:dyDescent="0.25">
      <c r="A859" s="37">
        <v>2018</v>
      </c>
      <c r="B859" s="35">
        <v>170320</v>
      </c>
      <c r="C859" s="34" t="s">
        <v>150</v>
      </c>
      <c r="D859" s="34" t="s">
        <v>28</v>
      </c>
      <c r="E859" s="35"/>
      <c r="F859" s="36">
        <f>IFERROR(E859/$Q859,0)</f>
        <v>0</v>
      </c>
      <c r="G859" s="38"/>
      <c r="H859" s="36">
        <f>IFERROR(G859/$R859,0)</f>
        <v>0</v>
      </c>
      <c r="I859" s="35"/>
      <c r="J859" s="36">
        <f>IFERROR(I859/$Q859,0)</f>
        <v>0</v>
      </c>
      <c r="K859" s="38"/>
      <c r="L859" s="36">
        <f>IFERROR(K859/$R859,0)</f>
        <v>0</v>
      </c>
      <c r="M859" s="35"/>
      <c r="N859" s="36">
        <f>IFERROR(M859/$Q859,0)</f>
        <v>0</v>
      </c>
      <c r="O859" s="38"/>
      <c r="P859" s="36">
        <f>IFERROR(O859/$R859,0)</f>
        <v>0</v>
      </c>
      <c r="Q859" s="35"/>
      <c r="R859" s="38"/>
    </row>
    <row r="860" spans="1:18" ht="15.75" customHeight="1" x14ac:dyDescent="0.25">
      <c r="A860" s="37">
        <v>2018</v>
      </c>
      <c r="B860" s="35">
        <v>170330</v>
      </c>
      <c r="C860" s="34" t="s">
        <v>150</v>
      </c>
      <c r="D860" s="34" t="s">
        <v>29</v>
      </c>
      <c r="E860" s="35"/>
      <c r="F860" s="36">
        <f>IFERROR(E860/$Q860,0)</f>
        <v>0</v>
      </c>
      <c r="G860" s="38"/>
      <c r="H860" s="36">
        <f>IFERROR(G860/$R860,0)</f>
        <v>0</v>
      </c>
      <c r="I860" s="35"/>
      <c r="J860" s="36">
        <f>IFERROR(I860/$Q860,0)</f>
        <v>0</v>
      </c>
      <c r="K860" s="38"/>
      <c r="L860" s="36">
        <f>IFERROR(K860/$R860,0)</f>
        <v>0</v>
      </c>
      <c r="M860" s="35"/>
      <c r="N860" s="36">
        <f>IFERROR(M860/$Q860,0)</f>
        <v>0</v>
      </c>
      <c r="O860" s="38"/>
      <c r="P860" s="36">
        <f>IFERROR(O860/$R860,0)</f>
        <v>0</v>
      </c>
      <c r="Q860" s="35"/>
      <c r="R860" s="38"/>
    </row>
    <row r="861" spans="1:18" ht="15.75" customHeight="1" x14ac:dyDescent="0.25">
      <c r="A861" s="37">
        <v>2018</v>
      </c>
      <c r="B861" s="35">
        <v>170360</v>
      </c>
      <c r="C861" s="34" t="s">
        <v>150</v>
      </c>
      <c r="D861" s="34" t="s">
        <v>30</v>
      </c>
      <c r="E861" s="35"/>
      <c r="F861" s="36">
        <f>IFERROR(E861/$Q861,0)</f>
        <v>0</v>
      </c>
      <c r="G861" s="38"/>
      <c r="H861" s="36">
        <f>IFERROR(G861/$R861,0)</f>
        <v>0</v>
      </c>
      <c r="I861" s="35"/>
      <c r="J861" s="36">
        <f>IFERROR(I861/$Q861,0)</f>
        <v>0</v>
      </c>
      <c r="K861" s="38"/>
      <c r="L861" s="36">
        <f>IFERROR(K861/$R861,0)</f>
        <v>0</v>
      </c>
      <c r="M861" s="35"/>
      <c r="N861" s="36">
        <f>IFERROR(M861/$Q861,0)</f>
        <v>0</v>
      </c>
      <c r="O861" s="38"/>
      <c r="P861" s="36">
        <f>IFERROR(O861/$R861,0)</f>
        <v>0</v>
      </c>
      <c r="Q861" s="35"/>
      <c r="R861" s="38"/>
    </row>
    <row r="862" spans="1:18" ht="15.75" customHeight="1" x14ac:dyDescent="0.25">
      <c r="A862" s="37">
        <v>2018</v>
      </c>
      <c r="B862" s="35">
        <v>170370</v>
      </c>
      <c r="C862" s="34" t="s">
        <v>151</v>
      </c>
      <c r="D862" s="34" t="s">
        <v>31</v>
      </c>
      <c r="E862" s="35"/>
      <c r="F862" s="36">
        <f>IFERROR(E862/$Q862,0)</f>
        <v>0</v>
      </c>
      <c r="G862" s="38"/>
      <c r="H862" s="36">
        <f>IFERROR(G862/$R862,0)</f>
        <v>0</v>
      </c>
      <c r="I862" s="35"/>
      <c r="J862" s="36">
        <f>IFERROR(I862/$Q862,0)</f>
        <v>0</v>
      </c>
      <c r="K862" s="38"/>
      <c r="L862" s="36">
        <f>IFERROR(K862/$R862,0)</f>
        <v>0</v>
      </c>
      <c r="M862" s="35"/>
      <c r="N862" s="36">
        <f>IFERROR(M862/$Q862,0)</f>
        <v>0</v>
      </c>
      <c r="O862" s="38"/>
      <c r="P862" s="36">
        <f>IFERROR(O862/$R862,0)</f>
        <v>0</v>
      </c>
      <c r="Q862" s="35"/>
      <c r="R862" s="38"/>
    </row>
    <row r="863" spans="1:18" ht="15.75" customHeight="1" x14ac:dyDescent="0.25">
      <c r="A863" s="37">
        <v>2018</v>
      </c>
      <c r="B863" s="35">
        <v>170380</v>
      </c>
      <c r="C863" s="34" t="s">
        <v>145</v>
      </c>
      <c r="D863" s="34" t="s">
        <v>32</v>
      </c>
      <c r="E863" s="35"/>
      <c r="F863" s="36">
        <f>IFERROR(E863/$Q863,0)</f>
        <v>0</v>
      </c>
      <c r="G863" s="38"/>
      <c r="H863" s="36">
        <f>IFERROR(G863/$R863,0)</f>
        <v>0</v>
      </c>
      <c r="I863" s="35"/>
      <c r="J863" s="36">
        <f>IFERROR(I863/$Q863,0)</f>
        <v>0</v>
      </c>
      <c r="K863" s="38"/>
      <c r="L863" s="36">
        <f>IFERROR(K863/$R863,0)</f>
        <v>0</v>
      </c>
      <c r="M863" s="35"/>
      <c r="N863" s="36">
        <f>IFERROR(M863/$Q863,0)</f>
        <v>0</v>
      </c>
      <c r="O863" s="38"/>
      <c r="P863" s="36">
        <f>IFERROR(O863/$R863,0)</f>
        <v>0</v>
      </c>
      <c r="Q863" s="35"/>
      <c r="R863" s="38"/>
    </row>
    <row r="864" spans="1:18" ht="15.75" customHeight="1" x14ac:dyDescent="0.25">
      <c r="A864" s="37">
        <v>2018</v>
      </c>
      <c r="B864" s="35">
        <v>170382</v>
      </c>
      <c r="C864" s="34" t="s">
        <v>145</v>
      </c>
      <c r="D864" s="34" t="s">
        <v>33</v>
      </c>
      <c r="E864" s="35"/>
      <c r="F864" s="36">
        <f>IFERROR(E864/$Q864,0)</f>
        <v>0</v>
      </c>
      <c r="G864" s="38"/>
      <c r="H864" s="36">
        <f>IFERROR(G864/$R864,0)</f>
        <v>0</v>
      </c>
      <c r="I864" s="35"/>
      <c r="J864" s="36">
        <f>IFERROR(I864/$Q864,0)</f>
        <v>0</v>
      </c>
      <c r="K864" s="38"/>
      <c r="L864" s="36">
        <f>IFERROR(K864/$R864,0)</f>
        <v>0</v>
      </c>
      <c r="M864" s="35"/>
      <c r="N864" s="36">
        <f>IFERROR(M864/$Q864,0)</f>
        <v>0</v>
      </c>
      <c r="O864" s="38"/>
      <c r="P864" s="36">
        <f>IFERROR(O864/$R864,0)</f>
        <v>0</v>
      </c>
      <c r="Q864" s="35"/>
      <c r="R864" s="38"/>
    </row>
    <row r="865" spans="1:18" ht="15.75" customHeight="1" x14ac:dyDescent="0.25">
      <c r="A865" s="37">
        <v>2018</v>
      </c>
      <c r="B865" s="35">
        <v>170384</v>
      </c>
      <c r="C865" s="34" t="s">
        <v>149</v>
      </c>
      <c r="D865" s="34" t="s">
        <v>34</v>
      </c>
      <c r="E865" s="35"/>
      <c r="F865" s="36">
        <f>IFERROR(E865/$Q865,0)</f>
        <v>0</v>
      </c>
      <c r="G865" s="38"/>
      <c r="H865" s="36">
        <f>IFERROR(G865/$R865,0)</f>
        <v>0</v>
      </c>
      <c r="I865" s="35"/>
      <c r="J865" s="36">
        <f>IFERROR(I865/$Q865,0)</f>
        <v>0</v>
      </c>
      <c r="K865" s="38"/>
      <c r="L865" s="36">
        <f>IFERROR(K865/$R865,0)</f>
        <v>0</v>
      </c>
      <c r="M865" s="35"/>
      <c r="N865" s="36">
        <f>IFERROR(M865/$Q865,0)</f>
        <v>0</v>
      </c>
      <c r="O865" s="38"/>
      <c r="P865" s="36">
        <f>IFERROR(O865/$R865,0)</f>
        <v>0</v>
      </c>
      <c r="Q865" s="35"/>
      <c r="R865" s="38"/>
    </row>
    <row r="866" spans="1:18" ht="15.75" customHeight="1" x14ac:dyDescent="0.25">
      <c r="A866" s="37">
        <v>2018</v>
      </c>
      <c r="B866" s="35">
        <v>170386</v>
      </c>
      <c r="C866" s="34" t="s">
        <v>146</v>
      </c>
      <c r="D866" s="34" t="s">
        <v>35</v>
      </c>
      <c r="E866" s="35"/>
      <c r="F866" s="36">
        <f>IFERROR(E866/$Q866,0)</f>
        <v>0</v>
      </c>
      <c r="G866" s="38"/>
      <c r="H866" s="36">
        <f>IFERROR(G866/$R866,0)</f>
        <v>0</v>
      </c>
      <c r="I866" s="35"/>
      <c r="J866" s="36">
        <f>IFERROR(I866/$Q866,0)</f>
        <v>0</v>
      </c>
      <c r="K866" s="38"/>
      <c r="L866" s="36">
        <f>IFERROR(K866/$R866,0)</f>
        <v>0</v>
      </c>
      <c r="M866" s="35"/>
      <c r="N866" s="36">
        <f>IFERROR(M866/$Q866,0)</f>
        <v>0</v>
      </c>
      <c r="O866" s="38"/>
      <c r="P866" s="36">
        <f>IFERROR(O866/$R866,0)</f>
        <v>0</v>
      </c>
      <c r="Q866" s="35"/>
      <c r="R866" s="38"/>
    </row>
    <row r="867" spans="1:18" ht="15.75" customHeight="1" x14ac:dyDescent="0.25">
      <c r="A867" s="37">
        <v>2018</v>
      </c>
      <c r="B867" s="35">
        <v>170388</v>
      </c>
      <c r="C867" s="34" t="s">
        <v>149</v>
      </c>
      <c r="D867" s="34" t="s">
        <v>36</v>
      </c>
      <c r="E867" s="35"/>
      <c r="F867" s="36">
        <f>IFERROR(E867/$Q867,0)</f>
        <v>0</v>
      </c>
      <c r="G867" s="38"/>
      <c r="H867" s="36">
        <f>IFERROR(G867/$R867,0)</f>
        <v>0</v>
      </c>
      <c r="I867" s="35"/>
      <c r="J867" s="36">
        <f>IFERROR(I867/$Q867,0)</f>
        <v>0</v>
      </c>
      <c r="K867" s="38"/>
      <c r="L867" s="36">
        <f>IFERROR(K867/$R867,0)</f>
        <v>0</v>
      </c>
      <c r="M867" s="35"/>
      <c r="N867" s="36">
        <f>IFERROR(M867/$Q867,0)</f>
        <v>0</v>
      </c>
      <c r="O867" s="38"/>
      <c r="P867" s="36">
        <f>IFERROR(O867/$R867,0)</f>
        <v>0</v>
      </c>
      <c r="Q867" s="35"/>
      <c r="R867" s="38"/>
    </row>
    <row r="868" spans="1:18" ht="15.75" customHeight="1" x14ac:dyDescent="0.25">
      <c r="A868" s="37">
        <v>2018</v>
      </c>
      <c r="B868" s="35">
        <v>170389</v>
      </c>
      <c r="C868" s="34" t="s">
        <v>145</v>
      </c>
      <c r="D868" s="34" t="s">
        <v>37</v>
      </c>
      <c r="E868" s="35"/>
      <c r="F868" s="36">
        <f>IFERROR(E868/$Q868,0)</f>
        <v>0</v>
      </c>
      <c r="G868" s="38"/>
      <c r="H868" s="36">
        <f>IFERROR(G868/$R868,0)</f>
        <v>0</v>
      </c>
      <c r="I868" s="35"/>
      <c r="J868" s="36">
        <f>IFERROR(I868/$Q868,0)</f>
        <v>0</v>
      </c>
      <c r="K868" s="38"/>
      <c r="L868" s="36">
        <f>IFERROR(K868/$R868,0)</f>
        <v>0</v>
      </c>
      <c r="M868" s="35"/>
      <c r="N868" s="36">
        <f>IFERROR(M868/$Q868,0)</f>
        <v>0</v>
      </c>
      <c r="O868" s="38"/>
      <c r="P868" s="36">
        <f>IFERROR(O868/$R868,0)</f>
        <v>0</v>
      </c>
      <c r="Q868" s="35"/>
      <c r="R868" s="38"/>
    </row>
    <row r="869" spans="1:18" ht="15.75" customHeight="1" x14ac:dyDescent="0.25">
      <c r="A869" s="37">
        <v>2018</v>
      </c>
      <c r="B869" s="35">
        <v>170390</v>
      </c>
      <c r="C869" s="34" t="s">
        <v>144</v>
      </c>
      <c r="D869" s="34" t="s">
        <v>38</v>
      </c>
      <c r="E869" s="35"/>
      <c r="F869" s="36">
        <f>IFERROR(E869/$Q869,0)</f>
        <v>0</v>
      </c>
      <c r="G869" s="38"/>
      <c r="H869" s="36">
        <f>IFERROR(G869/$R869,0)</f>
        <v>0</v>
      </c>
      <c r="I869" s="35"/>
      <c r="J869" s="36">
        <f>IFERROR(I869/$Q869,0)</f>
        <v>0</v>
      </c>
      <c r="K869" s="38"/>
      <c r="L869" s="36">
        <f>IFERROR(K869/$R869,0)</f>
        <v>0</v>
      </c>
      <c r="M869" s="35"/>
      <c r="N869" s="36">
        <f>IFERROR(M869/$Q869,0)</f>
        <v>0</v>
      </c>
      <c r="O869" s="38"/>
      <c r="P869" s="36">
        <f>IFERROR(O869/$R869,0)</f>
        <v>0</v>
      </c>
      <c r="Q869" s="35"/>
      <c r="R869" s="38"/>
    </row>
    <row r="870" spans="1:18" ht="15.75" customHeight="1" x14ac:dyDescent="0.25">
      <c r="A870" s="37">
        <v>2018</v>
      </c>
      <c r="B870" s="35">
        <v>170410</v>
      </c>
      <c r="C870" s="34" t="s">
        <v>150</v>
      </c>
      <c r="D870" s="34" t="s">
        <v>39</v>
      </c>
      <c r="E870" s="35"/>
      <c r="F870" s="36">
        <f>IFERROR(E870/$Q870,0)</f>
        <v>0</v>
      </c>
      <c r="G870" s="38"/>
      <c r="H870" s="36">
        <f>IFERROR(G870/$R870,0)</f>
        <v>0</v>
      </c>
      <c r="I870" s="35"/>
      <c r="J870" s="36">
        <f>IFERROR(I870/$Q870,0)</f>
        <v>0</v>
      </c>
      <c r="K870" s="38"/>
      <c r="L870" s="36">
        <f>IFERROR(K870/$R870,0)</f>
        <v>0</v>
      </c>
      <c r="M870" s="35"/>
      <c r="N870" s="36">
        <f>IFERROR(M870/$Q870,0)</f>
        <v>0</v>
      </c>
      <c r="O870" s="38"/>
      <c r="P870" s="36">
        <f>IFERROR(O870/$R870,0)</f>
        <v>0</v>
      </c>
      <c r="Q870" s="35"/>
      <c r="R870" s="38"/>
    </row>
    <row r="871" spans="1:18" ht="15.75" customHeight="1" x14ac:dyDescent="0.25">
      <c r="A871" s="37">
        <v>2018</v>
      </c>
      <c r="B871" s="35">
        <v>170510</v>
      </c>
      <c r="C871" s="34" t="s">
        <v>151</v>
      </c>
      <c r="D871" s="34" t="s">
        <v>40</v>
      </c>
      <c r="E871" s="35"/>
      <c r="F871" s="36">
        <f>IFERROR(E871/$Q871,0)</f>
        <v>0</v>
      </c>
      <c r="G871" s="38"/>
      <c r="H871" s="36">
        <f>IFERROR(G871/$R871,0)</f>
        <v>0</v>
      </c>
      <c r="I871" s="35"/>
      <c r="J871" s="36">
        <f>IFERROR(I871/$Q871,0)</f>
        <v>0</v>
      </c>
      <c r="K871" s="38"/>
      <c r="L871" s="36">
        <f>IFERROR(K871/$R871,0)</f>
        <v>0</v>
      </c>
      <c r="M871" s="35"/>
      <c r="N871" s="36">
        <f>IFERROR(M871/$Q871,0)</f>
        <v>0</v>
      </c>
      <c r="O871" s="38"/>
      <c r="P871" s="36">
        <f>IFERROR(O871/$R871,0)</f>
        <v>0</v>
      </c>
      <c r="Q871" s="35"/>
      <c r="R871" s="38"/>
    </row>
    <row r="872" spans="1:18" ht="15.75" customHeight="1" x14ac:dyDescent="0.25">
      <c r="A872" s="37">
        <v>2018</v>
      </c>
      <c r="B872" s="35">
        <v>170460</v>
      </c>
      <c r="C872" s="34" t="s">
        <v>144</v>
      </c>
      <c r="D872" s="34" t="s">
        <v>41</v>
      </c>
      <c r="E872" s="35"/>
      <c r="F872" s="36">
        <f>IFERROR(E872/$Q872,0)</f>
        <v>0</v>
      </c>
      <c r="G872" s="38"/>
      <c r="H872" s="36">
        <f>IFERROR(G872/$R872,0)</f>
        <v>0</v>
      </c>
      <c r="I872" s="35"/>
      <c r="J872" s="36">
        <f>IFERROR(I872/$Q872,0)</f>
        <v>0</v>
      </c>
      <c r="K872" s="38"/>
      <c r="L872" s="36">
        <f>IFERROR(K872/$R872,0)</f>
        <v>0</v>
      </c>
      <c r="M872" s="35"/>
      <c r="N872" s="36">
        <f>IFERROR(M872/$Q872,0)</f>
        <v>0</v>
      </c>
      <c r="O872" s="38"/>
      <c r="P872" s="36">
        <f>IFERROR(O872/$R872,0)</f>
        <v>0</v>
      </c>
      <c r="Q872" s="35"/>
      <c r="R872" s="38"/>
    </row>
    <row r="873" spans="1:18" ht="15.75" customHeight="1" x14ac:dyDescent="0.25">
      <c r="A873" s="37">
        <v>2018</v>
      </c>
      <c r="B873" s="35">
        <v>170550</v>
      </c>
      <c r="C873" s="34" t="s">
        <v>150</v>
      </c>
      <c r="D873" s="34" t="s">
        <v>42</v>
      </c>
      <c r="E873" s="35"/>
      <c r="F873" s="36">
        <f>IFERROR(E873/$Q873,0)</f>
        <v>0</v>
      </c>
      <c r="G873" s="38"/>
      <c r="H873" s="36">
        <f>IFERROR(G873/$R873,0)</f>
        <v>0</v>
      </c>
      <c r="I873" s="35"/>
      <c r="J873" s="36">
        <f>IFERROR(I873/$Q873,0)</f>
        <v>0</v>
      </c>
      <c r="K873" s="38"/>
      <c r="L873" s="36">
        <f>IFERROR(K873/$R873,0)</f>
        <v>0</v>
      </c>
      <c r="M873" s="35"/>
      <c r="N873" s="36">
        <f>IFERROR(M873/$Q873,0)</f>
        <v>0</v>
      </c>
      <c r="O873" s="38"/>
      <c r="P873" s="36">
        <f>IFERROR(O873/$R873,0)</f>
        <v>0</v>
      </c>
      <c r="Q873" s="35"/>
      <c r="R873" s="38"/>
    </row>
    <row r="874" spans="1:18" ht="15.75" customHeight="1" x14ac:dyDescent="0.25">
      <c r="A874" s="37">
        <v>2018</v>
      </c>
      <c r="B874" s="35">
        <v>171670</v>
      </c>
      <c r="C874" s="34" t="s">
        <v>150</v>
      </c>
      <c r="D874" s="34" t="s">
        <v>43</v>
      </c>
      <c r="E874" s="35"/>
      <c r="F874" s="36">
        <f>IFERROR(E874/$Q874,0)</f>
        <v>0</v>
      </c>
      <c r="G874" s="38"/>
      <c r="H874" s="36">
        <f>IFERROR(G874/$R874,0)</f>
        <v>0</v>
      </c>
      <c r="I874" s="35"/>
      <c r="J874" s="36">
        <f>IFERROR(I874/$Q874,0)</f>
        <v>0</v>
      </c>
      <c r="K874" s="38"/>
      <c r="L874" s="36">
        <f>IFERROR(K874/$R874,0)</f>
        <v>0</v>
      </c>
      <c r="M874" s="35"/>
      <c r="N874" s="36">
        <f>IFERROR(M874/$Q874,0)</f>
        <v>0</v>
      </c>
      <c r="O874" s="38"/>
      <c r="P874" s="36">
        <f>IFERROR(O874/$R874,0)</f>
        <v>0</v>
      </c>
      <c r="Q874" s="35"/>
      <c r="R874" s="38"/>
    </row>
    <row r="875" spans="1:18" ht="15.75" customHeight="1" x14ac:dyDescent="0.25">
      <c r="A875" s="37">
        <v>2018</v>
      </c>
      <c r="B875" s="35">
        <v>170555</v>
      </c>
      <c r="C875" s="34" t="s">
        <v>147</v>
      </c>
      <c r="D875" s="34" t="s">
        <v>44</v>
      </c>
      <c r="E875" s="35"/>
      <c r="F875" s="36">
        <f>IFERROR(E875/$Q875,0)</f>
        <v>0</v>
      </c>
      <c r="G875" s="38"/>
      <c r="H875" s="36">
        <f>IFERROR(G875/$R875,0)</f>
        <v>0</v>
      </c>
      <c r="I875" s="35"/>
      <c r="J875" s="36">
        <f>IFERROR(I875/$Q875,0)</f>
        <v>0</v>
      </c>
      <c r="K875" s="38"/>
      <c r="L875" s="36">
        <f>IFERROR(K875/$R875,0)</f>
        <v>0</v>
      </c>
      <c r="M875" s="35"/>
      <c r="N875" s="36">
        <f>IFERROR(M875/$Q875,0)</f>
        <v>0</v>
      </c>
      <c r="O875" s="38"/>
      <c r="P875" s="36">
        <f>IFERROR(O875/$R875,0)</f>
        <v>0</v>
      </c>
      <c r="Q875" s="35"/>
      <c r="R875" s="38"/>
    </row>
    <row r="876" spans="1:18" ht="15.75" customHeight="1" x14ac:dyDescent="0.25">
      <c r="A876" s="37">
        <v>2018</v>
      </c>
      <c r="B876" s="35">
        <v>170560</v>
      </c>
      <c r="C876" s="34" t="s">
        <v>147</v>
      </c>
      <c r="D876" s="34" t="s">
        <v>45</v>
      </c>
      <c r="E876" s="35"/>
      <c r="F876" s="36">
        <f>IFERROR(E876/$Q876,0)</f>
        <v>0</v>
      </c>
      <c r="G876" s="38"/>
      <c r="H876" s="36">
        <f>IFERROR(G876/$R876,0)</f>
        <v>0</v>
      </c>
      <c r="I876" s="35"/>
      <c r="J876" s="36">
        <f>IFERROR(I876/$Q876,0)</f>
        <v>0</v>
      </c>
      <c r="K876" s="38"/>
      <c r="L876" s="36">
        <f>IFERROR(K876/$R876,0)</f>
        <v>0</v>
      </c>
      <c r="M876" s="35"/>
      <c r="N876" s="36">
        <f>IFERROR(M876/$Q876,0)</f>
        <v>0</v>
      </c>
      <c r="O876" s="38"/>
      <c r="P876" s="36">
        <f>IFERROR(O876/$R876,0)</f>
        <v>0</v>
      </c>
      <c r="Q876" s="35"/>
      <c r="R876" s="38"/>
    </row>
    <row r="877" spans="1:18" ht="15.75" customHeight="1" x14ac:dyDescent="0.25">
      <c r="A877" s="37">
        <v>2018</v>
      </c>
      <c r="B877" s="35">
        <v>170600</v>
      </c>
      <c r="C877" s="34" t="s">
        <v>150</v>
      </c>
      <c r="D877" s="34" t="s">
        <v>46</v>
      </c>
      <c r="E877" s="35"/>
      <c r="F877" s="36">
        <f>IFERROR(E877/$Q877,0)</f>
        <v>0</v>
      </c>
      <c r="G877" s="38"/>
      <c r="H877" s="36">
        <f>IFERROR(G877/$R877,0)</f>
        <v>0</v>
      </c>
      <c r="I877" s="35"/>
      <c r="J877" s="36">
        <f>IFERROR(I877/$Q877,0)</f>
        <v>0</v>
      </c>
      <c r="K877" s="38"/>
      <c r="L877" s="36">
        <f>IFERROR(K877/$R877,0)</f>
        <v>0</v>
      </c>
      <c r="M877" s="35"/>
      <c r="N877" s="36">
        <f>IFERROR(M877/$Q877,0)</f>
        <v>0</v>
      </c>
      <c r="O877" s="38"/>
      <c r="P877" s="36">
        <f>IFERROR(O877/$R877,0)</f>
        <v>0</v>
      </c>
      <c r="Q877" s="35"/>
      <c r="R877" s="38"/>
    </row>
    <row r="878" spans="1:18" ht="15.75" customHeight="1" x14ac:dyDescent="0.25">
      <c r="A878" s="37">
        <v>2018</v>
      </c>
      <c r="B878" s="35">
        <v>170610</v>
      </c>
      <c r="C878" s="34" t="s">
        <v>144</v>
      </c>
      <c r="D878" s="34" t="s">
        <v>47</v>
      </c>
      <c r="E878" s="35"/>
      <c r="F878" s="36">
        <f>IFERROR(E878/$Q878,0)</f>
        <v>0</v>
      </c>
      <c r="G878" s="38"/>
      <c r="H878" s="36">
        <f>IFERROR(G878/$R878,0)</f>
        <v>0</v>
      </c>
      <c r="I878" s="35"/>
      <c r="J878" s="36">
        <f>IFERROR(I878/$Q878,0)</f>
        <v>0</v>
      </c>
      <c r="K878" s="38"/>
      <c r="L878" s="36">
        <f>IFERROR(K878/$R878,0)</f>
        <v>0</v>
      </c>
      <c r="M878" s="35"/>
      <c r="N878" s="36">
        <f>IFERROR(M878/$Q878,0)</f>
        <v>0</v>
      </c>
      <c r="O878" s="38"/>
      <c r="P878" s="36">
        <f>IFERROR(O878/$R878,0)</f>
        <v>0</v>
      </c>
      <c r="Q878" s="35"/>
      <c r="R878" s="38"/>
    </row>
    <row r="879" spans="1:18" ht="15.75" customHeight="1" x14ac:dyDescent="0.25">
      <c r="A879" s="37">
        <v>2018</v>
      </c>
      <c r="B879" s="35">
        <v>170625</v>
      </c>
      <c r="C879" s="34" t="s">
        <v>146</v>
      </c>
      <c r="D879" s="34" t="s">
        <v>48</v>
      </c>
      <c r="E879" s="35"/>
      <c r="F879" s="36">
        <f>IFERROR(E879/$Q879,0)</f>
        <v>0</v>
      </c>
      <c r="G879" s="38"/>
      <c r="H879" s="36">
        <f>IFERROR(G879/$R879,0)</f>
        <v>0</v>
      </c>
      <c r="I879" s="35"/>
      <c r="J879" s="36">
        <f>IFERROR(I879/$Q879,0)</f>
        <v>0</v>
      </c>
      <c r="K879" s="38"/>
      <c r="L879" s="36">
        <f>IFERROR(K879/$R879,0)</f>
        <v>0</v>
      </c>
      <c r="M879" s="35"/>
      <c r="N879" s="36">
        <f>IFERROR(M879/$Q879,0)</f>
        <v>0</v>
      </c>
      <c r="O879" s="38"/>
      <c r="P879" s="36">
        <f>IFERROR(O879/$R879,0)</f>
        <v>0</v>
      </c>
      <c r="Q879" s="35"/>
      <c r="R879" s="38"/>
    </row>
    <row r="880" spans="1:18" ht="15.75" customHeight="1" x14ac:dyDescent="0.25">
      <c r="A880" s="37">
        <v>2018</v>
      </c>
      <c r="B880" s="35">
        <v>170650</v>
      </c>
      <c r="C880" s="34" t="s">
        <v>149</v>
      </c>
      <c r="D880" s="34" t="s">
        <v>49</v>
      </c>
      <c r="E880" s="35"/>
      <c r="F880" s="36">
        <f>IFERROR(E880/$Q880,0)</f>
        <v>0</v>
      </c>
      <c r="G880" s="38"/>
      <c r="H880" s="36">
        <f>IFERROR(G880/$R880,0)</f>
        <v>0</v>
      </c>
      <c r="I880" s="35"/>
      <c r="J880" s="36">
        <f>IFERROR(I880/$Q880,0)</f>
        <v>0</v>
      </c>
      <c r="K880" s="38"/>
      <c r="L880" s="36">
        <f>IFERROR(K880/$R880,0)</f>
        <v>0</v>
      </c>
      <c r="M880" s="35"/>
      <c r="N880" s="36">
        <f>IFERROR(M880/$Q880,0)</f>
        <v>0</v>
      </c>
      <c r="O880" s="38"/>
      <c r="P880" s="36">
        <f>IFERROR(O880/$R880,0)</f>
        <v>0</v>
      </c>
      <c r="Q880" s="35"/>
      <c r="R880" s="38"/>
    </row>
    <row r="881" spans="1:18" ht="15.75" customHeight="1" x14ac:dyDescent="0.25">
      <c r="A881" s="37">
        <v>2018</v>
      </c>
      <c r="B881" s="35">
        <v>170700</v>
      </c>
      <c r="C881" s="34" t="s">
        <v>147</v>
      </c>
      <c r="D881" s="34" t="s">
        <v>50</v>
      </c>
      <c r="E881" s="35"/>
      <c r="F881" s="36">
        <f>IFERROR(E881/$Q881,0)</f>
        <v>0</v>
      </c>
      <c r="G881" s="38"/>
      <c r="H881" s="36">
        <f>IFERROR(G881/$R881,0)</f>
        <v>0</v>
      </c>
      <c r="I881" s="35"/>
      <c r="J881" s="36">
        <f>IFERROR(I881/$Q881,0)</f>
        <v>0</v>
      </c>
      <c r="K881" s="38"/>
      <c r="L881" s="36">
        <f>IFERROR(K881/$R881,0)</f>
        <v>0</v>
      </c>
      <c r="M881" s="35"/>
      <c r="N881" s="36">
        <f>IFERROR(M881/$Q881,0)</f>
        <v>0</v>
      </c>
      <c r="O881" s="38"/>
      <c r="P881" s="36">
        <f>IFERROR(O881/$R881,0)</f>
        <v>0</v>
      </c>
      <c r="Q881" s="35"/>
      <c r="R881" s="38"/>
    </row>
    <row r="882" spans="1:18" ht="15.75" customHeight="1" x14ac:dyDescent="0.25">
      <c r="A882" s="37">
        <v>2018</v>
      </c>
      <c r="B882" s="35">
        <v>170710</v>
      </c>
      <c r="C882" s="34" t="s">
        <v>144</v>
      </c>
      <c r="D882" s="34" t="s">
        <v>51</v>
      </c>
      <c r="E882" s="35"/>
      <c r="F882" s="36">
        <f>IFERROR(E882/$Q882,0)</f>
        <v>0</v>
      </c>
      <c r="G882" s="38"/>
      <c r="H882" s="36">
        <f>IFERROR(G882/$R882,0)</f>
        <v>0</v>
      </c>
      <c r="I882" s="35"/>
      <c r="J882" s="36">
        <f>IFERROR(I882/$Q882,0)</f>
        <v>0</v>
      </c>
      <c r="K882" s="38"/>
      <c r="L882" s="36">
        <f>IFERROR(K882/$R882,0)</f>
        <v>0</v>
      </c>
      <c r="M882" s="35"/>
      <c r="N882" s="36">
        <f>IFERROR(M882/$Q882,0)</f>
        <v>0</v>
      </c>
      <c r="O882" s="38"/>
      <c r="P882" s="36">
        <f>IFERROR(O882/$R882,0)</f>
        <v>0</v>
      </c>
      <c r="Q882" s="35"/>
      <c r="R882" s="38"/>
    </row>
    <row r="883" spans="1:18" ht="15.75" customHeight="1" x14ac:dyDescent="0.25">
      <c r="A883" s="37">
        <v>2018</v>
      </c>
      <c r="B883" s="35">
        <v>170720</v>
      </c>
      <c r="C883" s="34" t="s">
        <v>144</v>
      </c>
      <c r="D883" s="34" t="s">
        <v>52</v>
      </c>
      <c r="E883" s="35"/>
      <c r="F883" s="36">
        <f>IFERROR(E883/$Q883,0)</f>
        <v>0</v>
      </c>
      <c r="G883" s="38"/>
      <c r="H883" s="36">
        <f>IFERROR(G883/$R883,0)</f>
        <v>0</v>
      </c>
      <c r="I883" s="35"/>
      <c r="J883" s="36">
        <f>IFERROR(I883/$Q883,0)</f>
        <v>0</v>
      </c>
      <c r="K883" s="38"/>
      <c r="L883" s="36">
        <f>IFERROR(K883/$R883,0)</f>
        <v>0</v>
      </c>
      <c r="M883" s="35"/>
      <c r="N883" s="36">
        <f>IFERROR(M883/$Q883,0)</f>
        <v>0</v>
      </c>
      <c r="O883" s="38"/>
      <c r="P883" s="36">
        <f>IFERROR(O883/$R883,0)</f>
        <v>0</v>
      </c>
      <c r="Q883" s="35"/>
      <c r="R883" s="38"/>
    </row>
    <row r="884" spans="1:18" ht="15.75" customHeight="1" x14ac:dyDescent="0.25">
      <c r="A884" s="37">
        <v>2018</v>
      </c>
      <c r="B884" s="35">
        <v>170730</v>
      </c>
      <c r="C884" s="34" t="s">
        <v>146</v>
      </c>
      <c r="D884" s="34" t="s">
        <v>53</v>
      </c>
      <c r="E884" s="35"/>
      <c r="F884" s="36">
        <f>IFERROR(E884/$Q884,0)</f>
        <v>0</v>
      </c>
      <c r="G884" s="38"/>
      <c r="H884" s="36">
        <f>IFERROR(G884/$R884,0)</f>
        <v>0</v>
      </c>
      <c r="I884" s="35"/>
      <c r="J884" s="36">
        <f>IFERROR(I884/$Q884,0)</f>
        <v>0</v>
      </c>
      <c r="K884" s="38"/>
      <c r="L884" s="36">
        <f>IFERROR(K884/$R884,0)</f>
        <v>0</v>
      </c>
      <c r="M884" s="35"/>
      <c r="N884" s="36">
        <f>IFERROR(M884/$Q884,0)</f>
        <v>0</v>
      </c>
      <c r="O884" s="38"/>
      <c r="P884" s="36">
        <f>IFERROR(O884/$R884,0)</f>
        <v>0</v>
      </c>
      <c r="Q884" s="35"/>
      <c r="R884" s="38"/>
    </row>
    <row r="885" spans="1:18" ht="15.75" customHeight="1" x14ac:dyDescent="0.25">
      <c r="A885" s="37">
        <v>2018</v>
      </c>
      <c r="B885" s="35">
        <v>170740</v>
      </c>
      <c r="C885" s="34" t="s">
        <v>145</v>
      </c>
      <c r="D885" s="34" t="s">
        <v>54</v>
      </c>
      <c r="E885" s="35"/>
      <c r="F885" s="36">
        <f>IFERROR(E885/$Q885,0)</f>
        <v>0</v>
      </c>
      <c r="G885" s="38"/>
      <c r="H885" s="36">
        <f>IFERROR(G885/$R885,0)</f>
        <v>0</v>
      </c>
      <c r="I885" s="35"/>
      <c r="J885" s="36">
        <f>IFERROR(I885/$Q885,0)</f>
        <v>0</v>
      </c>
      <c r="K885" s="38"/>
      <c r="L885" s="36">
        <f>IFERROR(K885/$R885,0)</f>
        <v>0</v>
      </c>
      <c r="M885" s="35"/>
      <c r="N885" s="36">
        <f>IFERROR(M885/$Q885,0)</f>
        <v>0</v>
      </c>
      <c r="O885" s="38"/>
      <c r="P885" s="36">
        <f>IFERROR(O885/$R885,0)</f>
        <v>0</v>
      </c>
      <c r="Q885" s="35"/>
      <c r="R885" s="38"/>
    </row>
    <row r="886" spans="1:18" ht="15.75" customHeight="1" x14ac:dyDescent="0.25">
      <c r="A886" s="37">
        <v>2018</v>
      </c>
      <c r="B886" s="35">
        <v>170755</v>
      </c>
      <c r="C886" s="34" t="s">
        <v>151</v>
      </c>
      <c r="D886" s="34" t="s">
        <v>55</v>
      </c>
      <c r="E886" s="35"/>
      <c r="F886" s="36">
        <f>IFERROR(E886/$Q886,0)</f>
        <v>0</v>
      </c>
      <c r="G886" s="38"/>
      <c r="H886" s="36">
        <f>IFERROR(G886/$R886,0)</f>
        <v>0</v>
      </c>
      <c r="I886" s="35"/>
      <c r="J886" s="36">
        <f>IFERROR(I886/$Q886,0)</f>
        <v>0</v>
      </c>
      <c r="K886" s="38"/>
      <c r="L886" s="36">
        <f>IFERROR(K886/$R886,0)</f>
        <v>0</v>
      </c>
      <c r="M886" s="35"/>
      <c r="N886" s="36">
        <f>IFERROR(M886/$Q886,0)</f>
        <v>0</v>
      </c>
      <c r="O886" s="38"/>
      <c r="P886" s="36">
        <f>IFERROR(O886/$R886,0)</f>
        <v>0</v>
      </c>
      <c r="Q886" s="35"/>
      <c r="R886" s="38"/>
    </row>
    <row r="887" spans="1:18" ht="15.75" customHeight="1" x14ac:dyDescent="0.25">
      <c r="A887" s="37">
        <v>2018</v>
      </c>
      <c r="B887" s="35">
        <v>170765</v>
      </c>
      <c r="C887" s="34" t="s">
        <v>146</v>
      </c>
      <c r="D887" s="34" t="s">
        <v>56</v>
      </c>
      <c r="E887" s="35"/>
      <c r="F887" s="36">
        <f>IFERROR(E887/$Q887,0)</f>
        <v>0</v>
      </c>
      <c r="G887" s="38"/>
      <c r="H887" s="36">
        <f>IFERROR(G887/$R887,0)</f>
        <v>0</v>
      </c>
      <c r="I887" s="35"/>
      <c r="J887" s="36">
        <f>IFERROR(I887/$Q887,0)</f>
        <v>0</v>
      </c>
      <c r="K887" s="38"/>
      <c r="L887" s="36">
        <f>IFERROR(K887/$R887,0)</f>
        <v>0</v>
      </c>
      <c r="M887" s="35"/>
      <c r="N887" s="36">
        <f>IFERROR(M887/$Q887,0)</f>
        <v>0</v>
      </c>
      <c r="O887" s="38"/>
      <c r="P887" s="36">
        <f>IFERROR(O887/$R887,0)</f>
        <v>0</v>
      </c>
      <c r="Q887" s="35"/>
      <c r="R887" s="38"/>
    </row>
    <row r="888" spans="1:18" ht="15.75" customHeight="1" x14ac:dyDescent="0.25">
      <c r="A888" s="37">
        <v>2018</v>
      </c>
      <c r="B888" s="35">
        <v>170770</v>
      </c>
      <c r="C888" s="34" t="s">
        <v>149</v>
      </c>
      <c r="D888" s="34" t="s">
        <v>57</v>
      </c>
      <c r="E888" s="35"/>
      <c r="F888" s="36">
        <f>IFERROR(E888/$Q888,0)</f>
        <v>0</v>
      </c>
      <c r="G888" s="38"/>
      <c r="H888" s="36">
        <f>IFERROR(G888/$R888,0)</f>
        <v>0</v>
      </c>
      <c r="I888" s="35"/>
      <c r="J888" s="36">
        <f>IFERROR(I888/$Q888,0)</f>
        <v>0</v>
      </c>
      <c r="K888" s="38"/>
      <c r="L888" s="36">
        <f>IFERROR(K888/$R888,0)</f>
        <v>0</v>
      </c>
      <c r="M888" s="35"/>
      <c r="N888" s="36">
        <f>IFERROR(M888/$Q888,0)</f>
        <v>0</v>
      </c>
      <c r="O888" s="38"/>
      <c r="P888" s="36">
        <f>IFERROR(O888/$R888,0)</f>
        <v>0</v>
      </c>
      <c r="Q888" s="35"/>
      <c r="R888" s="38"/>
    </row>
    <row r="889" spans="1:18" ht="15.75" customHeight="1" x14ac:dyDescent="0.25">
      <c r="A889" s="37">
        <v>2018</v>
      </c>
      <c r="B889" s="35">
        <v>170820</v>
      </c>
      <c r="C889" s="34" t="s">
        <v>146</v>
      </c>
      <c r="D889" s="34" t="s">
        <v>58</v>
      </c>
      <c r="E889" s="35"/>
      <c r="F889" s="36">
        <f>IFERROR(E889/$Q889,0)</f>
        <v>0</v>
      </c>
      <c r="G889" s="38"/>
      <c r="H889" s="36">
        <f>IFERROR(G889/$R889,0)</f>
        <v>0</v>
      </c>
      <c r="I889" s="35"/>
      <c r="J889" s="36">
        <f>IFERROR(I889/$Q889,0)</f>
        <v>0</v>
      </c>
      <c r="K889" s="38"/>
      <c r="L889" s="36">
        <f>IFERROR(K889/$R889,0)</f>
        <v>0</v>
      </c>
      <c r="M889" s="35"/>
      <c r="N889" s="36">
        <f>IFERROR(M889/$Q889,0)</f>
        <v>0</v>
      </c>
      <c r="O889" s="38"/>
      <c r="P889" s="36">
        <f>IFERROR(O889/$R889,0)</f>
        <v>0</v>
      </c>
      <c r="Q889" s="35"/>
      <c r="R889" s="38"/>
    </row>
    <row r="890" spans="1:18" ht="15.75" customHeight="1" x14ac:dyDescent="0.25">
      <c r="A890" s="37">
        <v>2018</v>
      </c>
      <c r="B890" s="35">
        <v>170830</v>
      </c>
      <c r="C890" s="34" t="s">
        <v>150</v>
      </c>
      <c r="D890" s="34" t="s">
        <v>59</v>
      </c>
      <c r="E890" s="35"/>
      <c r="F890" s="36">
        <f>IFERROR(E890/$Q890,0)</f>
        <v>0</v>
      </c>
      <c r="G890" s="38"/>
      <c r="H890" s="36">
        <f>IFERROR(G890/$R890,0)</f>
        <v>0</v>
      </c>
      <c r="I890" s="35"/>
      <c r="J890" s="36">
        <f>IFERROR(I890/$Q890,0)</f>
        <v>0</v>
      </c>
      <c r="K890" s="38"/>
      <c r="L890" s="36">
        <f>IFERROR(K890/$R890,0)</f>
        <v>0</v>
      </c>
      <c r="M890" s="35"/>
      <c r="N890" s="36">
        <f>IFERROR(M890/$Q890,0)</f>
        <v>0</v>
      </c>
      <c r="O890" s="38"/>
      <c r="P890" s="36">
        <f>IFERROR(O890/$R890,0)</f>
        <v>0</v>
      </c>
      <c r="Q890" s="35"/>
      <c r="R890" s="38"/>
    </row>
    <row r="891" spans="1:18" ht="15.75" customHeight="1" x14ac:dyDescent="0.25">
      <c r="A891" s="37">
        <v>2018</v>
      </c>
      <c r="B891" s="35">
        <v>170900</v>
      </c>
      <c r="C891" s="34" t="s">
        <v>149</v>
      </c>
      <c r="D891" s="34" t="s">
        <v>60</v>
      </c>
      <c r="E891" s="35"/>
      <c r="F891" s="36">
        <f>IFERROR(E891/$Q891,0)</f>
        <v>0</v>
      </c>
      <c r="G891" s="38"/>
      <c r="H891" s="36">
        <f>IFERROR(G891/$R891,0)</f>
        <v>0</v>
      </c>
      <c r="I891" s="35"/>
      <c r="J891" s="36">
        <f>IFERROR(I891/$Q891,0)</f>
        <v>0</v>
      </c>
      <c r="K891" s="38"/>
      <c r="L891" s="36">
        <f>IFERROR(K891/$R891,0)</f>
        <v>0</v>
      </c>
      <c r="M891" s="35"/>
      <c r="N891" s="36">
        <f>IFERROR(M891/$Q891,0)</f>
        <v>0</v>
      </c>
      <c r="O891" s="38"/>
      <c r="P891" s="36">
        <f>IFERROR(O891/$R891,0)</f>
        <v>0</v>
      </c>
      <c r="Q891" s="35"/>
      <c r="R891" s="38"/>
    </row>
    <row r="892" spans="1:18" ht="15.75" customHeight="1" x14ac:dyDescent="0.25">
      <c r="A892" s="37">
        <v>2018</v>
      </c>
      <c r="B892" s="35">
        <v>170930</v>
      </c>
      <c r="C892" s="34" t="s">
        <v>150</v>
      </c>
      <c r="D892" s="34" t="s">
        <v>61</v>
      </c>
      <c r="E892" s="35"/>
      <c r="F892" s="36">
        <f>IFERROR(E892/$Q892,0)</f>
        <v>0</v>
      </c>
      <c r="G892" s="38"/>
      <c r="H892" s="36">
        <f>IFERROR(G892/$R892,0)</f>
        <v>0</v>
      </c>
      <c r="I892" s="35"/>
      <c r="J892" s="36">
        <f>IFERROR(I892/$Q892,0)</f>
        <v>0</v>
      </c>
      <c r="K892" s="38"/>
      <c r="L892" s="36">
        <f>IFERROR(K892/$R892,0)</f>
        <v>0</v>
      </c>
      <c r="M892" s="35"/>
      <c r="N892" s="36">
        <f>IFERROR(M892/$Q892,0)</f>
        <v>0</v>
      </c>
      <c r="O892" s="38"/>
      <c r="P892" s="36">
        <f>IFERROR(O892/$R892,0)</f>
        <v>0</v>
      </c>
      <c r="Q892" s="35"/>
      <c r="R892" s="38"/>
    </row>
    <row r="893" spans="1:18" ht="15.75" customHeight="1" x14ac:dyDescent="0.25">
      <c r="A893" s="37">
        <v>2018</v>
      </c>
      <c r="B893" s="35">
        <v>170950</v>
      </c>
      <c r="C893" s="34" t="s">
        <v>146</v>
      </c>
      <c r="D893" s="34" t="s">
        <v>62</v>
      </c>
      <c r="E893" s="35"/>
      <c r="F893" s="36">
        <f>IFERROR(E893/$Q893,0)</f>
        <v>0</v>
      </c>
      <c r="G893" s="38"/>
      <c r="H893" s="36">
        <f>IFERROR(G893/$R893,0)</f>
        <v>0</v>
      </c>
      <c r="I893" s="35"/>
      <c r="J893" s="36">
        <f>IFERROR(I893/$Q893,0)</f>
        <v>0</v>
      </c>
      <c r="K893" s="38"/>
      <c r="L893" s="36">
        <f>IFERROR(K893/$R893,0)</f>
        <v>0</v>
      </c>
      <c r="M893" s="35"/>
      <c r="N893" s="36">
        <f>IFERROR(M893/$Q893,0)</f>
        <v>0</v>
      </c>
      <c r="O893" s="39"/>
      <c r="P893" s="36">
        <f>IFERROR(O893/$R893,0)</f>
        <v>0</v>
      </c>
      <c r="Q893" s="35"/>
      <c r="R893" s="39"/>
    </row>
    <row r="894" spans="1:18" ht="15.75" customHeight="1" x14ac:dyDescent="0.25">
      <c r="A894" s="37">
        <v>2018</v>
      </c>
      <c r="B894" s="35">
        <v>170980</v>
      </c>
      <c r="C894" s="34" t="s">
        <v>151</v>
      </c>
      <c r="D894" s="34" t="s">
        <v>63</v>
      </c>
      <c r="E894" s="35"/>
      <c r="F894" s="36">
        <f>IFERROR(E894/$Q894,0)</f>
        <v>0</v>
      </c>
      <c r="G894" s="38"/>
      <c r="H894" s="36">
        <f>IFERROR(G894/$R894,0)</f>
        <v>0</v>
      </c>
      <c r="I894" s="35"/>
      <c r="J894" s="36">
        <f>IFERROR(I894/$Q894,0)</f>
        <v>0</v>
      </c>
      <c r="K894" s="38"/>
      <c r="L894" s="36">
        <f>IFERROR(K894/$R894,0)</f>
        <v>0</v>
      </c>
      <c r="M894" s="35"/>
      <c r="N894" s="36">
        <f>IFERROR(M894/$Q894,0)</f>
        <v>0</v>
      </c>
      <c r="O894" s="38"/>
      <c r="P894" s="36">
        <f>IFERROR(O894/$R894,0)</f>
        <v>0</v>
      </c>
      <c r="Q894" s="35"/>
      <c r="R894" s="38"/>
    </row>
    <row r="895" spans="1:18" ht="15.75" customHeight="1" x14ac:dyDescent="0.25">
      <c r="A895" s="37">
        <v>2018</v>
      </c>
      <c r="B895" s="35">
        <v>171050</v>
      </c>
      <c r="C895" s="34" t="s">
        <v>150</v>
      </c>
      <c r="D895" s="34" t="s">
        <v>64</v>
      </c>
      <c r="E895" s="35"/>
      <c r="F895" s="36">
        <f>IFERROR(E895/$Q895,0)</f>
        <v>0</v>
      </c>
      <c r="G895" s="38"/>
      <c r="H895" s="36">
        <f>IFERROR(G895/$R895,0)</f>
        <v>0</v>
      </c>
      <c r="I895" s="35"/>
      <c r="J895" s="36">
        <f>IFERROR(I895/$Q895,0)</f>
        <v>0</v>
      </c>
      <c r="K895" s="38"/>
      <c r="L895" s="36">
        <f>IFERROR(K895/$R895,0)</f>
        <v>0</v>
      </c>
      <c r="M895" s="35"/>
      <c r="N895" s="36">
        <f>IFERROR(M895/$Q895,0)</f>
        <v>0</v>
      </c>
      <c r="O895" s="38"/>
      <c r="P895" s="36">
        <f>IFERROR(O895/$R895,0)</f>
        <v>0</v>
      </c>
      <c r="Q895" s="35"/>
      <c r="R895" s="38"/>
    </row>
    <row r="896" spans="1:18" ht="15.75" customHeight="1" x14ac:dyDescent="0.25">
      <c r="A896" s="37">
        <v>2018</v>
      </c>
      <c r="B896" s="35">
        <v>171070</v>
      </c>
      <c r="C896" s="34" t="s">
        <v>145</v>
      </c>
      <c r="D896" s="34" t="s">
        <v>65</v>
      </c>
      <c r="E896" s="35"/>
      <c r="F896" s="36">
        <f>IFERROR(E896/$Q896,0)</f>
        <v>0</v>
      </c>
      <c r="G896" s="38"/>
      <c r="H896" s="36">
        <f>IFERROR(G896/$R896,0)</f>
        <v>0</v>
      </c>
      <c r="I896" s="35"/>
      <c r="J896" s="36">
        <f>IFERROR(I896/$Q896,0)</f>
        <v>0</v>
      </c>
      <c r="K896" s="38"/>
      <c r="L896" s="36">
        <f>IFERROR(K896/$R896,0)</f>
        <v>0</v>
      </c>
      <c r="M896" s="35"/>
      <c r="N896" s="36">
        <f>IFERROR(M896/$Q896,0)</f>
        <v>0</v>
      </c>
      <c r="O896" s="38"/>
      <c r="P896" s="36">
        <f>IFERROR(O896/$R896,0)</f>
        <v>0</v>
      </c>
      <c r="Q896" s="35"/>
      <c r="R896" s="38"/>
    </row>
    <row r="897" spans="1:18" ht="15.75" customHeight="1" x14ac:dyDescent="0.25">
      <c r="A897" s="37">
        <v>2018</v>
      </c>
      <c r="B897" s="35">
        <v>171090</v>
      </c>
      <c r="C897" s="34" t="s">
        <v>150</v>
      </c>
      <c r="D897" s="34" t="s">
        <v>66</v>
      </c>
      <c r="E897" s="35"/>
      <c r="F897" s="36">
        <f>IFERROR(E897/$Q897,0)</f>
        <v>0</v>
      </c>
      <c r="G897" s="38"/>
      <c r="H897" s="36">
        <f>IFERROR(G897/$R897,0)</f>
        <v>0</v>
      </c>
      <c r="I897" s="35"/>
      <c r="J897" s="36">
        <f>IFERROR(I897/$Q897,0)</f>
        <v>0</v>
      </c>
      <c r="K897" s="38"/>
      <c r="L897" s="36">
        <f>IFERROR(K897/$R897,0)</f>
        <v>0</v>
      </c>
      <c r="M897" s="35"/>
      <c r="N897" s="36">
        <f>IFERROR(M897/$Q897,0)</f>
        <v>0</v>
      </c>
      <c r="O897" s="38"/>
      <c r="P897" s="36">
        <f>IFERROR(O897/$R897,0)</f>
        <v>0</v>
      </c>
      <c r="Q897" s="35"/>
      <c r="R897" s="38"/>
    </row>
    <row r="898" spans="1:18" ht="15.75" customHeight="1" x14ac:dyDescent="0.25">
      <c r="A898" s="37">
        <v>2018</v>
      </c>
      <c r="B898" s="35">
        <v>171110</v>
      </c>
      <c r="C898" s="34" t="s">
        <v>150</v>
      </c>
      <c r="D898" s="34" t="s">
        <v>67</v>
      </c>
      <c r="E898" s="35"/>
      <c r="F898" s="36">
        <f>IFERROR(E898/$Q898,0)</f>
        <v>0</v>
      </c>
      <c r="G898" s="38"/>
      <c r="H898" s="36">
        <f>IFERROR(G898/$R898,0)</f>
        <v>0</v>
      </c>
      <c r="I898" s="35"/>
      <c r="J898" s="36">
        <f>IFERROR(I898/$Q898,0)</f>
        <v>0</v>
      </c>
      <c r="K898" s="38"/>
      <c r="L898" s="36">
        <f>IFERROR(K898/$R898,0)</f>
        <v>0</v>
      </c>
      <c r="M898" s="35"/>
      <c r="N898" s="36">
        <f>IFERROR(M898/$Q898,0)</f>
        <v>0</v>
      </c>
      <c r="O898" s="38"/>
      <c r="P898" s="36">
        <f>IFERROR(O898/$R898,0)</f>
        <v>0</v>
      </c>
      <c r="Q898" s="35"/>
      <c r="R898" s="38"/>
    </row>
    <row r="899" spans="1:18" ht="15.75" customHeight="1" x14ac:dyDescent="0.25">
      <c r="A899" s="37">
        <v>2018</v>
      </c>
      <c r="B899" s="35">
        <v>171150</v>
      </c>
      <c r="C899" s="34" t="s">
        <v>146</v>
      </c>
      <c r="D899" s="34" t="s">
        <v>68</v>
      </c>
      <c r="E899" s="35"/>
      <c r="F899" s="36">
        <f>IFERROR(E899/$Q899,0)</f>
        <v>0</v>
      </c>
      <c r="G899" s="38"/>
      <c r="H899" s="36">
        <f>IFERROR(G899/$R899,0)</f>
        <v>0</v>
      </c>
      <c r="I899" s="35"/>
      <c r="J899" s="36">
        <f>IFERROR(I899/$Q899,0)</f>
        <v>0</v>
      </c>
      <c r="K899" s="38"/>
      <c r="L899" s="36">
        <f>IFERROR(K899/$R899,0)</f>
        <v>0</v>
      </c>
      <c r="M899" s="35"/>
      <c r="N899" s="36">
        <f>IFERROR(M899/$Q899,0)</f>
        <v>0</v>
      </c>
      <c r="O899" s="38"/>
      <c r="P899" s="36">
        <f>IFERROR(O899/$R899,0)</f>
        <v>0</v>
      </c>
      <c r="Q899" s="35"/>
      <c r="R899" s="38"/>
    </row>
    <row r="900" spans="1:18" ht="15.75" customHeight="1" x14ac:dyDescent="0.25">
      <c r="A900" s="37">
        <v>2018</v>
      </c>
      <c r="B900" s="35">
        <v>171180</v>
      </c>
      <c r="C900" s="34" t="s">
        <v>150</v>
      </c>
      <c r="D900" s="34" t="s">
        <v>69</v>
      </c>
      <c r="E900" s="35"/>
      <c r="F900" s="36">
        <f>IFERROR(E900/$Q900,0)</f>
        <v>0</v>
      </c>
      <c r="G900" s="38"/>
      <c r="H900" s="36">
        <f>IFERROR(G900/$R900,0)</f>
        <v>0</v>
      </c>
      <c r="I900" s="35"/>
      <c r="J900" s="36">
        <f>IFERROR(I900/$Q900,0)</f>
        <v>0</v>
      </c>
      <c r="K900" s="38"/>
      <c r="L900" s="36">
        <f>IFERROR(K900/$R900,0)</f>
        <v>0</v>
      </c>
      <c r="M900" s="35"/>
      <c r="N900" s="36">
        <f>IFERROR(M900/$Q900,0)</f>
        <v>0</v>
      </c>
      <c r="O900" s="38"/>
      <c r="P900" s="36">
        <f>IFERROR(O900/$R900,0)</f>
        <v>0</v>
      </c>
      <c r="Q900" s="35"/>
      <c r="R900" s="38"/>
    </row>
    <row r="901" spans="1:18" ht="15.75" customHeight="1" x14ac:dyDescent="0.25">
      <c r="A901" s="37">
        <v>2018</v>
      </c>
      <c r="B901" s="35">
        <v>171190</v>
      </c>
      <c r="C901" s="34" t="s">
        <v>144</v>
      </c>
      <c r="D901" s="34" t="s">
        <v>70</v>
      </c>
      <c r="E901" s="35"/>
      <c r="F901" s="36">
        <f>IFERROR(E901/$Q901,0)</f>
        <v>0</v>
      </c>
      <c r="G901" s="38"/>
      <c r="H901" s="36">
        <f>IFERROR(G901/$R901,0)</f>
        <v>0</v>
      </c>
      <c r="I901" s="35"/>
      <c r="J901" s="36">
        <f>IFERROR(I901/$Q901,0)</f>
        <v>0</v>
      </c>
      <c r="K901" s="38"/>
      <c r="L901" s="36">
        <f>IFERROR(K901/$R901,0)</f>
        <v>0</v>
      </c>
      <c r="M901" s="35"/>
      <c r="N901" s="36">
        <f>IFERROR(M901/$Q901,0)</f>
        <v>0</v>
      </c>
      <c r="O901" s="38"/>
      <c r="P901" s="36">
        <f>IFERROR(O901/$R901,0)</f>
        <v>0</v>
      </c>
      <c r="Q901" s="35"/>
      <c r="R901" s="38"/>
    </row>
    <row r="902" spans="1:18" ht="15.75" customHeight="1" x14ac:dyDescent="0.25">
      <c r="A902" s="37">
        <v>2018</v>
      </c>
      <c r="B902" s="35">
        <v>171195</v>
      </c>
      <c r="C902" s="34" t="s">
        <v>148</v>
      </c>
      <c r="D902" s="34" t="s">
        <v>71</v>
      </c>
      <c r="E902" s="35"/>
      <c r="F902" s="36">
        <f>IFERROR(E902/$Q902,0)</f>
        <v>0</v>
      </c>
      <c r="G902" s="38"/>
      <c r="H902" s="36">
        <f>IFERROR(G902/$R902,0)</f>
        <v>0</v>
      </c>
      <c r="I902" s="35"/>
      <c r="J902" s="36">
        <f>IFERROR(I902/$Q902,0)</f>
        <v>0</v>
      </c>
      <c r="K902" s="38"/>
      <c r="L902" s="36">
        <f>IFERROR(K902/$R902,0)</f>
        <v>0</v>
      </c>
      <c r="M902" s="35"/>
      <c r="N902" s="36">
        <f>IFERROR(M902/$Q902,0)</f>
        <v>0</v>
      </c>
      <c r="O902" s="38"/>
      <c r="P902" s="36">
        <f>IFERROR(O902/$R902,0)</f>
        <v>0</v>
      </c>
      <c r="Q902" s="35"/>
      <c r="R902" s="38"/>
    </row>
    <row r="903" spans="1:18" ht="15.75" customHeight="1" x14ac:dyDescent="0.25">
      <c r="A903" s="37">
        <v>2018</v>
      </c>
      <c r="B903" s="35">
        <v>171200</v>
      </c>
      <c r="C903" s="34" t="s">
        <v>148</v>
      </c>
      <c r="D903" s="34" t="s">
        <v>72</v>
      </c>
      <c r="E903" s="35"/>
      <c r="F903" s="36">
        <f>IFERROR(E903/$Q903,0)</f>
        <v>0</v>
      </c>
      <c r="G903" s="38"/>
      <c r="H903" s="36">
        <f>IFERROR(G903/$R903,0)</f>
        <v>0</v>
      </c>
      <c r="I903" s="35"/>
      <c r="J903" s="36">
        <f>IFERROR(I903/$Q903,0)</f>
        <v>0</v>
      </c>
      <c r="K903" s="38"/>
      <c r="L903" s="36">
        <f>IFERROR(K903/$R903,0)</f>
        <v>0</v>
      </c>
      <c r="M903" s="35"/>
      <c r="N903" s="36">
        <f>IFERROR(M903/$Q903,0)</f>
        <v>0</v>
      </c>
      <c r="O903" s="38"/>
      <c r="P903" s="36">
        <f>IFERROR(O903/$R903,0)</f>
        <v>0</v>
      </c>
      <c r="Q903" s="35"/>
      <c r="R903" s="38"/>
    </row>
    <row r="904" spans="1:18" ht="15.75" customHeight="1" x14ac:dyDescent="0.25">
      <c r="A904" s="37">
        <v>2018</v>
      </c>
      <c r="B904" s="35">
        <v>171215</v>
      </c>
      <c r="C904" s="34" t="s">
        <v>147</v>
      </c>
      <c r="D904" s="34" t="s">
        <v>73</v>
      </c>
      <c r="E904" s="35"/>
      <c r="F904" s="36">
        <f>IFERROR(E904/$Q904,0)</f>
        <v>0</v>
      </c>
      <c r="G904" s="38"/>
      <c r="H904" s="36">
        <f>IFERROR(G904/$R904,0)</f>
        <v>0</v>
      </c>
      <c r="I904" s="35"/>
      <c r="J904" s="36">
        <f>IFERROR(I904/$Q904,0)</f>
        <v>0</v>
      </c>
      <c r="K904" s="38"/>
      <c r="L904" s="36">
        <f>IFERROR(K904/$R904,0)</f>
        <v>0</v>
      </c>
      <c r="M904" s="35"/>
      <c r="N904" s="36">
        <f>IFERROR(M904/$Q904,0)</f>
        <v>0</v>
      </c>
      <c r="O904" s="38"/>
      <c r="P904" s="36">
        <f>IFERROR(O904/$R904,0)</f>
        <v>0</v>
      </c>
      <c r="Q904" s="35"/>
      <c r="R904" s="38"/>
    </row>
    <row r="905" spans="1:18" ht="15.75" customHeight="1" x14ac:dyDescent="0.25">
      <c r="A905" s="37">
        <v>2018</v>
      </c>
      <c r="B905" s="35">
        <v>171240</v>
      </c>
      <c r="C905" s="34" t="s">
        <v>148</v>
      </c>
      <c r="D905" s="34" t="s">
        <v>74</v>
      </c>
      <c r="E905" s="35"/>
      <c r="F905" s="36">
        <f>IFERROR(E905/$Q905,0)</f>
        <v>0</v>
      </c>
      <c r="G905" s="38"/>
      <c r="H905" s="36">
        <f>IFERROR(G905/$R905,0)</f>
        <v>0</v>
      </c>
      <c r="I905" s="35"/>
      <c r="J905" s="36">
        <f>IFERROR(I905/$Q905,0)</f>
        <v>0</v>
      </c>
      <c r="K905" s="38"/>
      <c r="L905" s="36">
        <f>IFERROR(K905/$R905,0)</f>
        <v>0</v>
      </c>
      <c r="M905" s="35"/>
      <c r="N905" s="36">
        <f>IFERROR(M905/$Q905,0)</f>
        <v>0</v>
      </c>
      <c r="O905" s="38"/>
      <c r="P905" s="36">
        <f>IFERROR(O905/$R905,0)</f>
        <v>0</v>
      </c>
      <c r="Q905" s="35"/>
      <c r="R905" s="38"/>
    </row>
    <row r="906" spans="1:18" ht="15.75" customHeight="1" x14ac:dyDescent="0.25">
      <c r="A906" s="37">
        <v>2018</v>
      </c>
      <c r="B906" s="35">
        <v>171245</v>
      </c>
      <c r="C906" s="34" t="s">
        <v>145</v>
      </c>
      <c r="D906" s="34" t="s">
        <v>75</v>
      </c>
      <c r="E906" s="35"/>
      <c r="F906" s="36">
        <f>IFERROR(E906/$Q906,0)</f>
        <v>0</v>
      </c>
      <c r="G906" s="38"/>
      <c r="H906" s="36">
        <f>IFERROR(G906/$R906,0)</f>
        <v>0</v>
      </c>
      <c r="I906" s="35"/>
      <c r="J906" s="36">
        <f>IFERROR(I906/$Q906,0)</f>
        <v>0</v>
      </c>
      <c r="K906" s="38"/>
      <c r="L906" s="36">
        <f>IFERROR(K906/$R906,0)</f>
        <v>0</v>
      </c>
      <c r="M906" s="35"/>
      <c r="N906" s="36">
        <f>IFERROR(M906/$Q906,0)</f>
        <v>0</v>
      </c>
      <c r="O906" s="38"/>
      <c r="P906" s="36">
        <f>IFERROR(O906/$R906,0)</f>
        <v>0</v>
      </c>
      <c r="Q906" s="35"/>
      <c r="R906" s="38"/>
    </row>
    <row r="907" spans="1:18" ht="15.75" customHeight="1" x14ac:dyDescent="0.25">
      <c r="A907" s="37">
        <v>2018</v>
      </c>
      <c r="B907" s="35">
        <v>171250</v>
      </c>
      <c r="C907" s="34" t="s">
        <v>144</v>
      </c>
      <c r="D907" s="34" t="s">
        <v>76</v>
      </c>
      <c r="E907" s="35"/>
      <c r="F907" s="36">
        <f>IFERROR(E907/$Q907,0)</f>
        <v>0</v>
      </c>
      <c r="G907" s="38"/>
      <c r="H907" s="36">
        <f>IFERROR(G907/$R907,0)</f>
        <v>0</v>
      </c>
      <c r="I907" s="35"/>
      <c r="J907" s="36">
        <f>IFERROR(I907/$Q907,0)</f>
        <v>0</v>
      </c>
      <c r="K907" s="38"/>
      <c r="L907" s="36">
        <f>IFERROR(K907/$R907,0)</f>
        <v>0</v>
      </c>
      <c r="M907" s="35"/>
      <c r="N907" s="36">
        <f>IFERROR(M907/$Q907,0)</f>
        <v>0</v>
      </c>
      <c r="O907" s="38"/>
      <c r="P907" s="36">
        <f>IFERROR(O907/$R907,0)</f>
        <v>0</v>
      </c>
      <c r="Q907" s="35"/>
      <c r="R907" s="38"/>
    </row>
    <row r="908" spans="1:18" ht="15.75" customHeight="1" x14ac:dyDescent="0.25">
      <c r="A908" s="37">
        <v>2018</v>
      </c>
      <c r="B908" s="35">
        <v>171270</v>
      </c>
      <c r="C908" s="34" t="s">
        <v>151</v>
      </c>
      <c r="D908" s="34" t="s">
        <v>77</v>
      </c>
      <c r="E908" s="35"/>
      <c r="F908" s="36">
        <f>IFERROR(E908/$Q908,0)</f>
        <v>0</v>
      </c>
      <c r="G908" s="38"/>
      <c r="H908" s="36">
        <f>IFERROR(G908/$R908,0)</f>
        <v>0</v>
      </c>
      <c r="I908" s="35"/>
      <c r="J908" s="36">
        <f>IFERROR(I908/$Q908,0)</f>
        <v>0</v>
      </c>
      <c r="K908" s="38"/>
      <c r="L908" s="36">
        <f>IFERROR(K908/$R908,0)</f>
        <v>0</v>
      </c>
      <c r="M908" s="35"/>
      <c r="N908" s="36">
        <f>IFERROR(M908/$Q908,0)</f>
        <v>0</v>
      </c>
      <c r="O908" s="38"/>
      <c r="P908" s="36">
        <f>IFERROR(O908/$R908,0)</f>
        <v>0</v>
      </c>
      <c r="Q908" s="35"/>
      <c r="R908" s="38"/>
    </row>
    <row r="909" spans="1:18" ht="15.75" customHeight="1" x14ac:dyDescent="0.25">
      <c r="A909" s="37">
        <v>2018</v>
      </c>
      <c r="B909" s="35">
        <v>171280</v>
      </c>
      <c r="C909" s="34" t="s">
        <v>145</v>
      </c>
      <c r="D909" s="34" t="s">
        <v>78</v>
      </c>
      <c r="E909" s="35"/>
      <c r="F909" s="36">
        <f>IFERROR(E909/$Q909,0)</f>
        <v>0</v>
      </c>
      <c r="G909" s="38"/>
      <c r="H909" s="36">
        <f>IFERROR(G909/$R909,0)</f>
        <v>0</v>
      </c>
      <c r="I909" s="35"/>
      <c r="J909" s="36">
        <f>IFERROR(I909/$Q909,0)</f>
        <v>0</v>
      </c>
      <c r="K909" s="38"/>
      <c r="L909" s="36">
        <f>IFERROR(K909/$R909,0)</f>
        <v>0</v>
      </c>
      <c r="M909" s="35"/>
      <c r="N909" s="36">
        <f>IFERROR(M909/$Q909,0)</f>
        <v>0</v>
      </c>
      <c r="O909" s="38"/>
      <c r="P909" s="36">
        <f>IFERROR(O909/$R909,0)</f>
        <v>0</v>
      </c>
      <c r="Q909" s="35"/>
      <c r="R909" s="38"/>
    </row>
    <row r="910" spans="1:18" ht="15.75" customHeight="1" x14ac:dyDescent="0.25">
      <c r="A910" s="37">
        <v>2018</v>
      </c>
      <c r="B910" s="35">
        <v>171320</v>
      </c>
      <c r="C910" s="34" t="s">
        <v>148</v>
      </c>
      <c r="D910" s="34" t="s">
        <v>79</v>
      </c>
      <c r="E910" s="35"/>
      <c r="F910" s="36">
        <f>IFERROR(E910/$Q910,0)</f>
        <v>0</v>
      </c>
      <c r="G910" s="38"/>
      <c r="H910" s="36">
        <f>IFERROR(G910/$R910,0)</f>
        <v>0</v>
      </c>
      <c r="I910" s="35"/>
      <c r="J910" s="36">
        <f>IFERROR(I910/$Q910,0)</f>
        <v>0</v>
      </c>
      <c r="K910" s="38"/>
      <c r="L910" s="36">
        <f>IFERROR(K910/$R910,0)</f>
        <v>0</v>
      </c>
      <c r="M910" s="35"/>
      <c r="N910" s="36">
        <f>IFERROR(M910/$Q910,0)</f>
        <v>0</v>
      </c>
      <c r="O910" s="38"/>
      <c r="P910" s="36">
        <f>IFERROR(O910/$R910,0)</f>
        <v>0</v>
      </c>
      <c r="Q910" s="35"/>
      <c r="R910" s="38"/>
    </row>
    <row r="911" spans="1:18" ht="15.75" customHeight="1" x14ac:dyDescent="0.25">
      <c r="A911" s="37">
        <v>2018</v>
      </c>
      <c r="B911" s="35">
        <v>171330</v>
      </c>
      <c r="C911" s="34" t="s">
        <v>148</v>
      </c>
      <c r="D911" s="34" t="s">
        <v>80</v>
      </c>
      <c r="E911" s="35"/>
      <c r="F911" s="36">
        <f>IFERROR(E911/$Q911,0)</f>
        <v>0</v>
      </c>
      <c r="G911" s="38"/>
      <c r="H911" s="36">
        <f>IFERROR(G911/$R911,0)</f>
        <v>0</v>
      </c>
      <c r="I911" s="35"/>
      <c r="J911" s="36">
        <f>IFERROR(I911/$Q911,0)</f>
        <v>0</v>
      </c>
      <c r="K911" s="38"/>
      <c r="L911" s="36">
        <f>IFERROR(K911/$R911,0)</f>
        <v>0</v>
      </c>
      <c r="M911" s="35"/>
      <c r="N911" s="36">
        <f>IFERROR(M911/$Q911,0)</f>
        <v>0</v>
      </c>
      <c r="O911" s="38"/>
      <c r="P911" s="36">
        <f>IFERROR(O911/$R911,0)</f>
        <v>0</v>
      </c>
      <c r="Q911" s="35"/>
      <c r="R911" s="38"/>
    </row>
    <row r="912" spans="1:18" ht="15.75" customHeight="1" x14ac:dyDescent="0.25">
      <c r="A912" s="37">
        <v>2018</v>
      </c>
      <c r="B912" s="35">
        <v>171360</v>
      </c>
      <c r="C912" s="34" t="s">
        <v>151</v>
      </c>
      <c r="D912" s="34" t="s">
        <v>81</v>
      </c>
      <c r="E912" s="35"/>
      <c r="F912" s="36">
        <f>IFERROR(E912/$Q912,0)</f>
        <v>0</v>
      </c>
      <c r="G912" s="38"/>
      <c r="H912" s="36">
        <f>IFERROR(G912/$R912,0)</f>
        <v>0</v>
      </c>
      <c r="I912" s="35"/>
      <c r="J912" s="36">
        <f>IFERROR(I912/$Q912,0)</f>
        <v>0</v>
      </c>
      <c r="K912" s="38"/>
      <c r="L912" s="36">
        <f>IFERROR(K912/$R912,0)</f>
        <v>0</v>
      </c>
      <c r="M912" s="35"/>
      <c r="N912" s="36">
        <f>IFERROR(M912/$Q912,0)</f>
        <v>0</v>
      </c>
      <c r="O912" s="38"/>
      <c r="P912" s="36">
        <f>IFERROR(O912/$R912,0)</f>
        <v>0</v>
      </c>
      <c r="Q912" s="35"/>
      <c r="R912" s="38"/>
    </row>
    <row r="913" spans="1:18" ht="15.75" customHeight="1" x14ac:dyDescent="0.25">
      <c r="A913" s="37">
        <v>2018</v>
      </c>
      <c r="B913" s="35">
        <v>171370</v>
      </c>
      <c r="C913" s="34" t="s">
        <v>144</v>
      </c>
      <c r="D913" s="34" t="s">
        <v>82</v>
      </c>
      <c r="E913" s="35"/>
      <c r="F913" s="36">
        <f>IFERROR(E913/$Q913,0)</f>
        <v>0</v>
      </c>
      <c r="G913" s="38"/>
      <c r="H913" s="36">
        <f>IFERROR(G913/$R913,0)</f>
        <v>0</v>
      </c>
      <c r="I913" s="35"/>
      <c r="J913" s="36">
        <f>IFERROR(I913/$Q913,0)</f>
        <v>0</v>
      </c>
      <c r="K913" s="38"/>
      <c r="L913" s="36">
        <f>IFERROR(K913/$R913,0)</f>
        <v>0</v>
      </c>
      <c r="M913" s="35"/>
      <c r="N913" s="36">
        <f>IFERROR(M913/$Q913,0)</f>
        <v>0</v>
      </c>
      <c r="O913" s="38"/>
      <c r="P913" s="36">
        <f>IFERROR(O913/$R913,0)</f>
        <v>0</v>
      </c>
      <c r="Q913" s="35"/>
      <c r="R913" s="38"/>
    </row>
    <row r="914" spans="1:18" ht="15.75" customHeight="1" x14ac:dyDescent="0.25">
      <c r="A914" s="37">
        <v>2018</v>
      </c>
      <c r="B914" s="35">
        <v>171395</v>
      </c>
      <c r="C914" s="34" t="s">
        <v>149</v>
      </c>
      <c r="D914" s="34" t="s">
        <v>83</v>
      </c>
      <c r="E914" s="35"/>
      <c r="F914" s="36">
        <f>IFERROR(E914/$Q914,0)</f>
        <v>0</v>
      </c>
      <c r="G914" s="38"/>
      <c r="H914" s="36">
        <f>IFERROR(G914/$R914,0)</f>
        <v>0</v>
      </c>
      <c r="I914" s="35"/>
      <c r="J914" s="36">
        <f>IFERROR(I914/$Q914,0)</f>
        <v>0</v>
      </c>
      <c r="K914" s="38"/>
      <c r="L914" s="36">
        <f>IFERROR(K914/$R914,0)</f>
        <v>0</v>
      </c>
      <c r="M914" s="35"/>
      <c r="N914" s="36">
        <f>IFERROR(M914/$Q914,0)</f>
        <v>0</v>
      </c>
      <c r="O914" s="38"/>
      <c r="P914" s="36">
        <f>IFERROR(O914/$R914,0)</f>
        <v>0</v>
      </c>
      <c r="Q914" s="35"/>
      <c r="R914" s="38"/>
    </row>
    <row r="915" spans="1:18" ht="15.75" customHeight="1" x14ac:dyDescent="0.25">
      <c r="A915" s="37">
        <v>2018</v>
      </c>
      <c r="B915" s="35">
        <v>171420</v>
      </c>
      <c r="C915" s="34" t="s">
        <v>151</v>
      </c>
      <c r="D915" s="34" t="s">
        <v>84</v>
      </c>
      <c r="E915" s="35"/>
      <c r="F915" s="36">
        <f>IFERROR(E915/$Q915,0)</f>
        <v>0</v>
      </c>
      <c r="G915" s="38"/>
      <c r="H915" s="36">
        <f>IFERROR(G915/$R915,0)</f>
        <v>0</v>
      </c>
      <c r="I915" s="35"/>
      <c r="J915" s="36">
        <f>IFERROR(I915/$Q915,0)</f>
        <v>0</v>
      </c>
      <c r="K915" s="38"/>
      <c r="L915" s="36">
        <f>IFERROR(K915/$R915,0)</f>
        <v>0</v>
      </c>
      <c r="M915" s="35"/>
      <c r="N915" s="36">
        <f>IFERROR(M915/$Q915,0)</f>
        <v>0</v>
      </c>
      <c r="O915" s="38"/>
      <c r="P915" s="36">
        <f>IFERROR(O915/$R915,0)</f>
        <v>0</v>
      </c>
      <c r="Q915" s="35"/>
      <c r="R915" s="38"/>
    </row>
    <row r="916" spans="1:18" ht="15.75" customHeight="1" x14ac:dyDescent="0.25">
      <c r="A916" s="37">
        <v>2018</v>
      </c>
      <c r="B916" s="35">
        <v>171430</v>
      </c>
      <c r="C916" s="34" t="s">
        <v>145</v>
      </c>
      <c r="D916" s="34" t="s">
        <v>85</v>
      </c>
      <c r="E916" s="35"/>
      <c r="F916" s="36">
        <f>IFERROR(E916/$Q916,0)</f>
        <v>0</v>
      </c>
      <c r="G916" s="38"/>
      <c r="H916" s="36">
        <f>IFERROR(G916/$R916,0)</f>
        <v>0</v>
      </c>
      <c r="I916" s="35"/>
      <c r="J916" s="36">
        <f>IFERROR(I916/$Q916,0)</f>
        <v>0</v>
      </c>
      <c r="K916" s="38"/>
      <c r="L916" s="36">
        <f>IFERROR(K916/$R916,0)</f>
        <v>0</v>
      </c>
      <c r="M916" s="35"/>
      <c r="N916" s="36">
        <f>IFERROR(M916/$Q916,0)</f>
        <v>0</v>
      </c>
      <c r="O916" s="38"/>
      <c r="P916" s="36">
        <f>IFERROR(O916/$R916,0)</f>
        <v>0</v>
      </c>
      <c r="Q916" s="35"/>
      <c r="R916" s="38"/>
    </row>
    <row r="917" spans="1:18" ht="15.75" customHeight="1" x14ac:dyDescent="0.25">
      <c r="A917" s="37">
        <v>2018</v>
      </c>
      <c r="B917" s="35">
        <v>171488</v>
      </c>
      <c r="C917" s="34" t="s">
        <v>149</v>
      </c>
      <c r="D917" s="34" t="s">
        <v>86</v>
      </c>
      <c r="E917" s="35"/>
      <c r="F917" s="36">
        <f>IFERROR(E917/$Q917,0)</f>
        <v>0</v>
      </c>
      <c r="G917" s="38"/>
      <c r="H917" s="36">
        <f>IFERROR(G917/$R917,0)</f>
        <v>0</v>
      </c>
      <c r="I917" s="35"/>
      <c r="J917" s="36">
        <f>IFERROR(I917/$Q917,0)</f>
        <v>0</v>
      </c>
      <c r="K917" s="38"/>
      <c r="L917" s="36">
        <f>IFERROR(K917/$R917,0)</f>
        <v>0</v>
      </c>
      <c r="M917" s="35"/>
      <c r="N917" s="36">
        <f>IFERROR(M917/$Q917,0)</f>
        <v>0</v>
      </c>
      <c r="O917" s="38"/>
      <c r="P917" s="36">
        <f>IFERROR(O917/$R917,0)</f>
        <v>0</v>
      </c>
      <c r="Q917" s="35"/>
      <c r="R917" s="38"/>
    </row>
    <row r="918" spans="1:18" ht="15.75" customHeight="1" x14ac:dyDescent="0.25">
      <c r="A918" s="37">
        <v>2018</v>
      </c>
      <c r="B918" s="35">
        <v>171500</v>
      </c>
      <c r="C918" s="34" t="s">
        <v>144</v>
      </c>
      <c r="D918" s="34" t="s">
        <v>87</v>
      </c>
      <c r="E918" s="35"/>
      <c r="F918" s="36">
        <f>IFERROR(E918/$Q918,0)</f>
        <v>0</v>
      </c>
      <c r="G918" s="38"/>
      <c r="H918" s="36">
        <f>IFERROR(G918/$R918,0)</f>
        <v>0</v>
      </c>
      <c r="I918" s="35"/>
      <c r="J918" s="36">
        <f>IFERROR(I918/$Q918,0)</f>
        <v>0</v>
      </c>
      <c r="K918" s="38"/>
      <c r="L918" s="36">
        <f>IFERROR(K918/$R918,0)</f>
        <v>0</v>
      </c>
      <c r="M918" s="35"/>
      <c r="N918" s="36">
        <f>IFERROR(M918/$Q918,0)</f>
        <v>0</v>
      </c>
      <c r="O918" s="38"/>
      <c r="P918" s="36">
        <f>IFERROR(O918/$R918,0)</f>
        <v>0</v>
      </c>
      <c r="Q918" s="35"/>
      <c r="R918" s="38"/>
    </row>
    <row r="919" spans="1:18" ht="15.75" customHeight="1" x14ac:dyDescent="0.25">
      <c r="A919" s="37">
        <v>2018</v>
      </c>
      <c r="B919" s="35">
        <v>171510</v>
      </c>
      <c r="C919" s="34" t="s">
        <v>148</v>
      </c>
      <c r="D919" s="34" t="s">
        <v>88</v>
      </c>
      <c r="E919" s="35"/>
      <c r="F919" s="36">
        <f>IFERROR(E919/$Q919,0)</f>
        <v>0</v>
      </c>
      <c r="G919" s="38"/>
      <c r="H919" s="36">
        <f>IFERROR(G919/$R919,0)</f>
        <v>0</v>
      </c>
      <c r="I919" s="35"/>
      <c r="J919" s="36">
        <f>IFERROR(I919/$Q919,0)</f>
        <v>0</v>
      </c>
      <c r="K919" s="38"/>
      <c r="L919" s="36">
        <f>IFERROR(K919/$R919,0)</f>
        <v>0</v>
      </c>
      <c r="M919" s="35"/>
      <c r="N919" s="36">
        <f>IFERROR(M919/$Q919,0)</f>
        <v>0</v>
      </c>
      <c r="O919" s="38"/>
      <c r="P919" s="36">
        <f>IFERROR(O919/$R919,0)</f>
        <v>0</v>
      </c>
      <c r="Q919" s="35"/>
      <c r="R919" s="38"/>
    </row>
    <row r="920" spans="1:18" ht="15.75" customHeight="1" x14ac:dyDescent="0.25">
      <c r="A920" s="37">
        <v>2018</v>
      </c>
      <c r="B920" s="35">
        <v>171515</v>
      </c>
      <c r="C920" s="34" t="s">
        <v>147</v>
      </c>
      <c r="D920" s="34" t="s">
        <v>89</v>
      </c>
      <c r="E920" s="35"/>
      <c r="F920" s="36">
        <f>IFERROR(E920/$Q920,0)</f>
        <v>0</v>
      </c>
      <c r="G920" s="38"/>
      <c r="H920" s="36">
        <f>IFERROR(G920/$R920,0)</f>
        <v>0</v>
      </c>
      <c r="I920" s="35"/>
      <c r="J920" s="36">
        <f>IFERROR(I920/$Q920,0)</f>
        <v>0</v>
      </c>
      <c r="K920" s="38"/>
      <c r="L920" s="36">
        <f>IFERROR(K920/$R920,0)</f>
        <v>0</v>
      </c>
      <c r="M920" s="35"/>
      <c r="N920" s="36">
        <f>IFERROR(M920/$Q920,0)</f>
        <v>0</v>
      </c>
      <c r="O920" s="38"/>
      <c r="P920" s="36">
        <f>IFERROR(O920/$R920,0)</f>
        <v>0</v>
      </c>
      <c r="Q920" s="35"/>
      <c r="R920" s="38"/>
    </row>
    <row r="921" spans="1:18" ht="15.75" customHeight="1" x14ac:dyDescent="0.25">
      <c r="A921" s="37">
        <v>2018</v>
      </c>
      <c r="B921" s="35">
        <v>171525</v>
      </c>
      <c r="C921" s="34" t="s">
        <v>147</v>
      </c>
      <c r="D921" s="34" t="s">
        <v>90</v>
      </c>
      <c r="E921" s="35"/>
      <c r="F921" s="36">
        <f>IFERROR(E921/$Q921,0)</f>
        <v>0</v>
      </c>
      <c r="G921" s="38"/>
      <c r="H921" s="36">
        <f>IFERROR(G921/$R921,0)</f>
        <v>0</v>
      </c>
      <c r="I921" s="35"/>
      <c r="J921" s="36">
        <f>IFERROR(I921/$Q921,0)</f>
        <v>0</v>
      </c>
      <c r="K921" s="38"/>
      <c r="L921" s="36">
        <f>IFERROR(K921/$R921,0)</f>
        <v>0</v>
      </c>
      <c r="M921" s="35"/>
      <c r="N921" s="36">
        <f>IFERROR(M921/$Q921,0)</f>
        <v>0</v>
      </c>
      <c r="O921" s="38"/>
      <c r="P921" s="36">
        <f>IFERROR(O921/$R921,0)</f>
        <v>0</v>
      </c>
      <c r="Q921" s="35"/>
      <c r="R921" s="38"/>
    </row>
    <row r="922" spans="1:18" ht="15.75" customHeight="1" x14ac:dyDescent="0.25">
      <c r="A922" s="37">
        <v>2018</v>
      </c>
      <c r="B922" s="35">
        <v>171550</v>
      </c>
      <c r="C922" s="34" t="s">
        <v>151</v>
      </c>
      <c r="D922" s="34" t="s">
        <v>91</v>
      </c>
      <c r="E922" s="35"/>
      <c r="F922" s="36">
        <f>IFERROR(E922/$Q922,0)</f>
        <v>0</v>
      </c>
      <c r="G922" s="38"/>
      <c r="H922" s="36">
        <f>IFERROR(G922/$R922,0)</f>
        <v>0</v>
      </c>
      <c r="I922" s="35"/>
      <c r="J922" s="36">
        <f>IFERROR(I922/$Q922,0)</f>
        <v>0</v>
      </c>
      <c r="K922" s="38"/>
      <c r="L922" s="36">
        <f>IFERROR(K922/$R922,0)</f>
        <v>0</v>
      </c>
      <c r="M922" s="35"/>
      <c r="N922" s="36">
        <f>IFERROR(M922/$Q922,0)</f>
        <v>0</v>
      </c>
      <c r="O922" s="38"/>
      <c r="P922" s="36">
        <f>IFERROR(O922/$R922,0)</f>
        <v>0</v>
      </c>
      <c r="Q922" s="35"/>
      <c r="R922" s="38"/>
    </row>
    <row r="923" spans="1:18" ht="15.75" customHeight="1" x14ac:dyDescent="0.25">
      <c r="A923" s="37">
        <v>2018</v>
      </c>
      <c r="B923" s="35">
        <v>172100</v>
      </c>
      <c r="C923" s="34" t="s">
        <v>148</v>
      </c>
      <c r="D923" s="34" t="s">
        <v>92</v>
      </c>
      <c r="E923" s="35"/>
      <c r="F923" s="36">
        <f>IFERROR(E923/$Q923,0)</f>
        <v>0</v>
      </c>
      <c r="G923" s="38"/>
      <c r="H923" s="36">
        <f>IFERROR(G923/$R923,0)</f>
        <v>0</v>
      </c>
      <c r="I923" s="35"/>
      <c r="J923" s="36">
        <f>IFERROR(I923/$Q923,0)</f>
        <v>0</v>
      </c>
      <c r="K923" s="38"/>
      <c r="L923" s="36">
        <f>IFERROR(K923/$R923,0)</f>
        <v>0</v>
      </c>
      <c r="M923" s="35"/>
      <c r="N923" s="36">
        <f>IFERROR(M923/$Q923,0)</f>
        <v>0</v>
      </c>
      <c r="O923" s="39"/>
      <c r="P923" s="36">
        <f>IFERROR(O923/$R923,0)</f>
        <v>0</v>
      </c>
      <c r="Q923" s="35"/>
      <c r="R923" s="39"/>
    </row>
    <row r="924" spans="1:18" ht="15.75" customHeight="1" x14ac:dyDescent="0.25">
      <c r="A924" s="37">
        <v>2018</v>
      </c>
      <c r="B924" s="35">
        <v>171570</v>
      </c>
      <c r="C924" s="34" t="s">
        <v>150</v>
      </c>
      <c r="D924" s="34" t="s">
        <v>93</v>
      </c>
      <c r="E924" s="35"/>
      <c r="F924" s="36">
        <f>IFERROR(E924/$Q924,0)</f>
        <v>0</v>
      </c>
      <c r="G924" s="38"/>
      <c r="H924" s="36">
        <f>IFERROR(G924/$R924,0)</f>
        <v>0</v>
      </c>
      <c r="I924" s="35"/>
      <c r="J924" s="36">
        <f>IFERROR(I924/$Q924,0)</f>
        <v>0</v>
      </c>
      <c r="K924" s="38"/>
      <c r="L924" s="36">
        <f>IFERROR(K924/$R924,0)</f>
        <v>0</v>
      </c>
      <c r="M924" s="35"/>
      <c r="N924" s="36">
        <f>IFERROR(M924/$Q924,0)</f>
        <v>0</v>
      </c>
      <c r="O924" s="38"/>
      <c r="P924" s="36">
        <f>IFERROR(O924/$R924,0)</f>
        <v>0</v>
      </c>
      <c r="Q924" s="35"/>
      <c r="R924" s="38"/>
    </row>
    <row r="925" spans="1:18" ht="15.75" customHeight="1" x14ac:dyDescent="0.25">
      <c r="A925" s="37">
        <v>2018</v>
      </c>
      <c r="B925" s="35">
        <v>171380</v>
      </c>
      <c r="C925" s="34" t="s">
        <v>145</v>
      </c>
      <c r="D925" s="34" t="s">
        <v>94</v>
      </c>
      <c r="E925" s="35"/>
      <c r="F925" s="36">
        <f>IFERROR(E925/$Q925,0)</f>
        <v>0</v>
      </c>
      <c r="G925" s="38"/>
      <c r="H925" s="36">
        <f>IFERROR(G925/$R925,0)</f>
        <v>0</v>
      </c>
      <c r="I925" s="35"/>
      <c r="J925" s="36">
        <f>IFERROR(I925/$Q925,0)</f>
        <v>0</v>
      </c>
      <c r="K925" s="38"/>
      <c r="L925" s="36">
        <f>IFERROR(K925/$R925,0)</f>
        <v>0</v>
      </c>
      <c r="M925" s="35"/>
      <c r="N925" s="36">
        <f>IFERROR(M925/$Q925,0)</f>
        <v>0</v>
      </c>
      <c r="O925" s="38"/>
      <c r="P925" s="36">
        <f>IFERROR(O925/$R925,0)</f>
        <v>0</v>
      </c>
      <c r="Q925" s="35"/>
      <c r="R925" s="38"/>
    </row>
    <row r="926" spans="1:18" ht="15.75" customHeight="1" x14ac:dyDescent="0.25">
      <c r="A926" s="37">
        <v>2018</v>
      </c>
      <c r="B926" s="35">
        <v>171575</v>
      </c>
      <c r="C926" s="34" t="s">
        <v>146</v>
      </c>
      <c r="D926" s="34" t="s">
        <v>95</v>
      </c>
      <c r="E926" s="35"/>
      <c r="F926" s="36">
        <f>IFERROR(E926/$Q926,0)</f>
        <v>0</v>
      </c>
      <c r="G926" s="38"/>
      <c r="H926" s="36">
        <f>IFERROR(G926/$R926,0)</f>
        <v>0</v>
      </c>
      <c r="I926" s="35"/>
      <c r="J926" s="36">
        <f>IFERROR(I926/$Q926,0)</f>
        <v>0</v>
      </c>
      <c r="K926" s="38"/>
      <c r="L926" s="36">
        <f>IFERROR(K926/$R926,0)</f>
        <v>0</v>
      </c>
      <c r="M926" s="35"/>
      <c r="N926" s="36">
        <f>IFERROR(M926/$Q926,0)</f>
        <v>0</v>
      </c>
      <c r="O926" s="38"/>
      <c r="P926" s="36">
        <f>IFERROR(O926/$R926,0)</f>
        <v>0</v>
      </c>
      <c r="Q926" s="35"/>
      <c r="R926" s="38"/>
    </row>
    <row r="927" spans="1:18" ht="15.75" customHeight="1" x14ac:dyDescent="0.25">
      <c r="A927" s="37">
        <v>2018</v>
      </c>
      <c r="B927" s="35">
        <v>171610</v>
      </c>
      <c r="C927" s="34" t="s">
        <v>144</v>
      </c>
      <c r="D927" s="34" t="s">
        <v>96</v>
      </c>
      <c r="E927" s="35"/>
      <c r="F927" s="36">
        <f>IFERROR(E927/$Q927,0)</f>
        <v>0</v>
      </c>
      <c r="G927" s="38"/>
      <c r="H927" s="36">
        <f>IFERROR(G927/$R927,0)</f>
        <v>0</v>
      </c>
      <c r="I927" s="35"/>
      <c r="J927" s="36">
        <f>IFERROR(I927/$Q927,0)</f>
        <v>0</v>
      </c>
      <c r="K927" s="38"/>
      <c r="L927" s="36">
        <f>IFERROR(K927/$R927,0)</f>
        <v>0</v>
      </c>
      <c r="M927" s="35"/>
      <c r="N927" s="36">
        <f>IFERROR(M927/$Q927,0)</f>
        <v>0</v>
      </c>
      <c r="O927" s="38"/>
      <c r="P927" s="36">
        <f>IFERROR(O927/$R927,0)</f>
        <v>0</v>
      </c>
      <c r="Q927" s="35"/>
      <c r="R927" s="38"/>
    </row>
    <row r="928" spans="1:18" ht="15.75" customHeight="1" x14ac:dyDescent="0.25">
      <c r="A928" s="37">
        <v>2018</v>
      </c>
      <c r="B928" s="35">
        <v>171620</v>
      </c>
      <c r="C928" s="34" t="s">
        <v>147</v>
      </c>
      <c r="D928" s="34" t="s">
        <v>97</v>
      </c>
      <c r="E928" s="35"/>
      <c r="F928" s="36">
        <f>IFERROR(E928/$Q928,0)</f>
        <v>0</v>
      </c>
      <c r="G928" s="38"/>
      <c r="H928" s="36">
        <f>IFERROR(G928/$R928,0)</f>
        <v>0</v>
      </c>
      <c r="I928" s="35"/>
      <c r="J928" s="36">
        <f>IFERROR(I928/$Q928,0)</f>
        <v>0</v>
      </c>
      <c r="K928" s="38"/>
      <c r="L928" s="36">
        <f>IFERROR(K928/$R928,0)</f>
        <v>0</v>
      </c>
      <c r="M928" s="35"/>
      <c r="N928" s="36">
        <f>IFERROR(M928/$Q928,0)</f>
        <v>0</v>
      </c>
      <c r="O928" s="38"/>
      <c r="P928" s="36">
        <f>IFERROR(O928/$R928,0)</f>
        <v>0</v>
      </c>
      <c r="Q928" s="35"/>
      <c r="R928" s="38"/>
    </row>
    <row r="929" spans="1:18" ht="15.75" customHeight="1" x14ac:dyDescent="0.25">
      <c r="A929" s="37">
        <v>2018</v>
      </c>
      <c r="B929" s="35">
        <v>171630</v>
      </c>
      <c r="C929" s="34" t="s">
        <v>149</v>
      </c>
      <c r="D929" s="34" t="s">
        <v>98</v>
      </c>
      <c r="E929" s="35"/>
      <c r="F929" s="36">
        <f>IFERROR(E929/$Q929,0)</f>
        <v>0</v>
      </c>
      <c r="G929" s="38"/>
      <c r="H929" s="36">
        <f>IFERROR(G929/$R929,0)</f>
        <v>0</v>
      </c>
      <c r="I929" s="35"/>
      <c r="J929" s="36">
        <f>IFERROR(I929/$Q929,0)</f>
        <v>0</v>
      </c>
      <c r="K929" s="38"/>
      <c r="L929" s="36">
        <f>IFERROR(K929/$R929,0)</f>
        <v>0</v>
      </c>
      <c r="M929" s="35"/>
      <c r="N929" s="36">
        <f>IFERROR(M929/$Q929,0)</f>
        <v>0</v>
      </c>
      <c r="O929" s="38"/>
      <c r="P929" s="36">
        <f>IFERROR(O929/$R929,0)</f>
        <v>0</v>
      </c>
      <c r="Q929" s="35"/>
      <c r="R929" s="38"/>
    </row>
    <row r="930" spans="1:18" ht="15.75" customHeight="1" x14ac:dyDescent="0.25">
      <c r="A930" s="37">
        <v>2018</v>
      </c>
      <c r="B930" s="35">
        <v>171650</v>
      </c>
      <c r="C930" s="34" t="s">
        <v>150</v>
      </c>
      <c r="D930" s="34" t="s">
        <v>99</v>
      </c>
      <c r="E930" s="35"/>
      <c r="F930" s="36">
        <f>IFERROR(E930/$Q930,0)</f>
        <v>0</v>
      </c>
      <c r="G930" s="38"/>
      <c r="H930" s="36">
        <f>IFERROR(G930/$R930,0)</f>
        <v>0</v>
      </c>
      <c r="I930" s="35"/>
      <c r="J930" s="36">
        <f>IFERROR(I930/$Q930,0)</f>
        <v>0</v>
      </c>
      <c r="K930" s="38"/>
      <c r="L930" s="36">
        <f>IFERROR(K930/$R930,0)</f>
        <v>0</v>
      </c>
      <c r="M930" s="35"/>
      <c r="N930" s="36">
        <f>IFERROR(M930/$Q930,0)</f>
        <v>0</v>
      </c>
      <c r="O930" s="38"/>
      <c r="P930" s="36">
        <f>IFERROR(O930/$R930,0)</f>
        <v>0</v>
      </c>
      <c r="Q930" s="35"/>
      <c r="R930" s="38"/>
    </row>
    <row r="931" spans="1:18" ht="15.75" customHeight="1" x14ac:dyDescent="0.25">
      <c r="A931" s="37">
        <v>2018</v>
      </c>
      <c r="B931" s="35">
        <v>171660</v>
      </c>
      <c r="C931" s="34" t="s">
        <v>146</v>
      </c>
      <c r="D931" s="34" t="s">
        <v>100</v>
      </c>
      <c r="E931" s="35"/>
      <c r="F931" s="36">
        <f>IFERROR(E931/$Q931,0)</f>
        <v>0</v>
      </c>
      <c r="G931" s="38"/>
      <c r="H931" s="36">
        <f>IFERROR(G931/$R931,0)</f>
        <v>0</v>
      </c>
      <c r="I931" s="35"/>
      <c r="J931" s="36">
        <f>IFERROR(I931/$Q931,0)</f>
        <v>0</v>
      </c>
      <c r="K931" s="38"/>
      <c r="L931" s="36">
        <f>IFERROR(K931/$R931,0)</f>
        <v>0</v>
      </c>
      <c r="M931" s="35"/>
      <c r="N931" s="36">
        <f>IFERROR(M931/$Q931,0)</f>
        <v>0</v>
      </c>
      <c r="O931" s="38"/>
      <c r="P931" s="36">
        <f>IFERROR(O931/$R931,0)</f>
        <v>0</v>
      </c>
      <c r="Q931" s="35"/>
      <c r="R931" s="38"/>
    </row>
    <row r="932" spans="1:18" ht="15.75" customHeight="1" x14ac:dyDescent="0.25">
      <c r="A932" s="37">
        <v>2018</v>
      </c>
      <c r="B932" s="35">
        <v>171665</v>
      </c>
      <c r="C932" s="34" t="s">
        <v>150</v>
      </c>
      <c r="D932" s="34" t="s">
        <v>101</v>
      </c>
      <c r="E932" s="35"/>
      <c r="F932" s="36">
        <f>IFERROR(E932/$Q932,0)</f>
        <v>0</v>
      </c>
      <c r="G932" s="38"/>
      <c r="H932" s="36">
        <f>IFERROR(G932/$R932,0)</f>
        <v>0</v>
      </c>
      <c r="I932" s="35"/>
      <c r="J932" s="36">
        <f>IFERROR(I932/$Q932,0)</f>
        <v>0</v>
      </c>
      <c r="K932" s="38"/>
      <c r="L932" s="36">
        <f>IFERROR(K932/$R932,0)</f>
        <v>0</v>
      </c>
      <c r="M932" s="35"/>
      <c r="N932" s="36">
        <f>IFERROR(M932/$Q932,0)</f>
        <v>0</v>
      </c>
      <c r="O932" s="38"/>
      <c r="P932" s="36">
        <f>IFERROR(O932/$R932,0)</f>
        <v>0</v>
      </c>
      <c r="Q932" s="35"/>
      <c r="R932" s="38"/>
    </row>
    <row r="933" spans="1:18" ht="15.75" customHeight="1" x14ac:dyDescent="0.25">
      <c r="A933" s="37">
        <v>2018</v>
      </c>
      <c r="B933" s="35">
        <v>171700</v>
      </c>
      <c r="C933" s="34" t="s">
        <v>151</v>
      </c>
      <c r="D933" s="34" t="s">
        <v>102</v>
      </c>
      <c r="E933" s="35"/>
      <c r="F933" s="36">
        <f>IFERROR(E933/$Q933,0)</f>
        <v>0</v>
      </c>
      <c r="G933" s="38"/>
      <c r="H933" s="36">
        <f>IFERROR(G933/$R933,0)</f>
        <v>0</v>
      </c>
      <c r="I933" s="35"/>
      <c r="J933" s="36">
        <f>IFERROR(I933/$Q933,0)</f>
        <v>0</v>
      </c>
      <c r="K933" s="38"/>
      <c r="L933" s="36">
        <f>IFERROR(K933/$R933,0)</f>
        <v>0</v>
      </c>
      <c r="M933" s="35"/>
      <c r="N933" s="36">
        <f>IFERROR(M933/$Q933,0)</f>
        <v>0</v>
      </c>
      <c r="O933" s="38"/>
      <c r="P933" s="36">
        <f>IFERROR(O933/$R933,0)</f>
        <v>0</v>
      </c>
      <c r="Q933" s="35"/>
      <c r="R933" s="38"/>
    </row>
    <row r="934" spans="1:18" ht="15.75" customHeight="1" x14ac:dyDescent="0.25">
      <c r="A934" s="37">
        <v>2018</v>
      </c>
      <c r="B934" s="35">
        <v>171720</v>
      </c>
      <c r="C934" s="34" t="s">
        <v>149</v>
      </c>
      <c r="D934" s="34" t="s">
        <v>103</v>
      </c>
      <c r="E934" s="35"/>
      <c r="F934" s="36">
        <f>IFERROR(E934/$Q934,0)</f>
        <v>0</v>
      </c>
      <c r="G934" s="38"/>
      <c r="H934" s="36">
        <f>IFERROR(G934/$R934,0)</f>
        <v>0</v>
      </c>
      <c r="I934" s="35"/>
      <c r="J934" s="36">
        <f>IFERROR(I934/$Q934,0)</f>
        <v>0</v>
      </c>
      <c r="K934" s="38"/>
      <c r="L934" s="36">
        <f>IFERROR(K934/$R934,0)</f>
        <v>0</v>
      </c>
      <c r="M934" s="35"/>
      <c r="N934" s="36">
        <f>IFERROR(M934/$Q934,0)</f>
        <v>0</v>
      </c>
      <c r="O934" s="38"/>
      <c r="P934" s="36">
        <f>IFERROR(O934/$R934,0)</f>
        <v>0</v>
      </c>
      <c r="Q934" s="35"/>
      <c r="R934" s="38"/>
    </row>
    <row r="935" spans="1:18" ht="15.75" customHeight="1" x14ac:dyDescent="0.25">
      <c r="A935" s="37">
        <v>2018</v>
      </c>
      <c r="B935" s="35">
        <v>171750</v>
      </c>
      <c r="C935" s="34" t="s">
        <v>144</v>
      </c>
      <c r="D935" s="34" t="s">
        <v>104</v>
      </c>
      <c r="E935" s="35"/>
      <c r="F935" s="36">
        <f>IFERROR(E935/$Q935,0)</f>
        <v>0</v>
      </c>
      <c r="G935" s="38"/>
      <c r="H935" s="36">
        <f>IFERROR(G935/$R935,0)</f>
        <v>0</v>
      </c>
      <c r="I935" s="35"/>
      <c r="J935" s="36">
        <f>IFERROR(I935/$Q935,0)</f>
        <v>0</v>
      </c>
      <c r="K935" s="38"/>
      <c r="L935" s="36">
        <f>IFERROR(K935/$R935,0)</f>
        <v>0</v>
      </c>
      <c r="M935" s="35"/>
      <c r="N935" s="36">
        <f>IFERROR(M935/$Q935,0)</f>
        <v>0</v>
      </c>
      <c r="O935" s="38"/>
      <c r="P935" s="36">
        <f>IFERROR(O935/$R935,0)</f>
        <v>0</v>
      </c>
      <c r="Q935" s="35"/>
      <c r="R935" s="38"/>
    </row>
    <row r="936" spans="1:18" ht="15.75" customHeight="1" x14ac:dyDescent="0.25">
      <c r="A936" s="37">
        <v>2018</v>
      </c>
      <c r="B936" s="35">
        <v>171780</v>
      </c>
      <c r="C936" s="34" t="s">
        <v>147</v>
      </c>
      <c r="D936" s="34" t="s">
        <v>105</v>
      </c>
      <c r="E936" s="35"/>
      <c r="F936" s="36">
        <f>IFERROR(E936/$Q936,0)</f>
        <v>0</v>
      </c>
      <c r="G936" s="38"/>
      <c r="H936" s="36">
        <f>IFERROR(G936/$R936,0)</f>
        <v>0</v>
      </c>
      <c r="I936" s="35"/>
      <c r="J936" s="36">
        <f>IFERROR(I936/$Q936,0)</f>
        <v>0</v>
      </c>
      <c r="K936" s="38"/>
      <c r="L936" s="36">
        <f>IFERROR(K936/$R936,0)</f>
        <v>0</v>
      </c>
      <c r="M936" s="35"/>
      <c r="N936" s="36">
        <f>IFERROR(M936/$Q936,0)</f>
        <v>0</v>
      </c>
      <c r="O936" s="38"/>
      <c r="P936" s="36">
        <f>IFERROR(O936/$R936,0)</f>
        <v>0</v>
      </c>
      <c r="Q936" s="35"/>
      <c r="R936" s="38"/>
    </row>
    <row r="937" spans="1:18" ht="15.75" customHeight="1" x14ac:dyDescent="0.25">
      <c r="A937" s="37">
        <v>2018</v>
      </c>
      <c r="B937" s="35">
        <v>171790</v>
      </c>
      <c r="C937" s="34" t="s">
        <v>151</v>
      </c>
      <c r="D937" s="34" t="s">
        <v>106</v>
      </c>
      <c r="E937" s="35"/>
      <c r="F937" s="36">
        <f>IFERROR(E937/$Q937,0)</f>
        <v>0</v>
      </c>
      <c r="G937" s="38"/>
      <c r="H937" s="36">
        <f>IFERROR(G937/$R937,0)</f>
        <v>0</v>
      </c>
      <c r="I937" s="35"/>
      <c r="J937" s="36">
        <f>IFERROR(I937/$Q937,0)</f>
        <v>0</v>
      </c>
      <c r="K937" s="38"/>
      <c r="L937" s="36">
        <f>IFERROR(K937/$R937,0)</f>
        <v>0</v>
      </c>
      <c r="M937" s="35"/>
      <c r="N937" s="36">
        <f>IFERROR(M937/$Q937,0)</f>
        <v>0</v>
      </c>
      <c r="O937" s="38"/>
      <c r="P937" s="36">
        <f>IFERROR(O937/$R937,0)</f>
        <v>0</v>
      </c>
      <c r="Q937" s="35"/>
      <c r="R937" s="38"/>
    </row>
    <row r="938" spans="1:18" ht="15.75" customHeight="1" x14ac:dyDescent="0.25">
      <c r="A938" s="37">
        <v>2018</v>
      </c>
      <c r="B938" s="35">
        <v>171800</v>
      </c>
      <c r="C938" s="34" t="s">
        <v>147</v>
      </c>
      <c r="D938" s="34" t="s">
        <v>107</v>
      </c>
      <c r="E938" s="35"/>
      <c r="F938" s="36">
        <f>IFERROR(E938/$Q938,0)</f>
        <v>0</v>
      </c>
      <c r="G938" s="38"/>
      <c r="H938" s="36">
        <f>IFERROR(G938/$R938,0)</f>
        <v>0</v>
      </c>
      <c r="I938" s="35"/>
      <c r="J938" s="36">
        <f>IFERROR(I938/$Q938,0)</f>
        <v>0</v>
      </c>
      <c r="K938" s="38"/>
      <c r="L938" s="36">
        <f>IFERROR(K938/$R938,0)</f>
        <v>0</v>
      </c>
      <c r="M938" s="35"/>
      <c r="N938" s="36">
        <f>IFERROR(M938/$Q938,0)</f>
        <v>0</v>
      </c>
      <c r="O938" s="38"/>
      <c r="P938" s="36">
        <f>IFERROR(O938/$R938,0)</f>
        <v>0</v>
      </c>
      <c r="Q938" s="35"/>
      <c r="R938" s="38"/>
    </row>
    <row r="939" spans="1:18" ht="15.75" customHeight="1" x14ac:dyDescent="0.25">
      <c r="A939" s="37">
        <v>2018</v>
      </c>
      <c r="B939" s="35">
        <v>171820</v>
      </c>
      <c r="C939" s="34" t="s">
        <v>151</v>
      </c>
      <c r="D939" s="34" t="s">
        <v>108</v>
      </c>
      <c r="E939" s="35"/>
      <c r="F939" s="36">
        <f>IFERROR(E939/$Q939,0)</f>
        <v>0</v>
      </c>
      <c r="G939" s="38"/>
      <c r="H939" s="36">
        <f>IFERROR(G939/$R939,0)</f>
        <v>0</v>
      </c>
      <c r="I939" s="35"/>
      <c r="J939" s="36">
        <f>IFERROR(I939/$Q939,0)</f>
        <v>0</v>
      </c>
      <c r="K939" s="38"/>
      <c r="L939" s="36">
        <f>IFERROR(K939/$R939,0)</f>
        <v>0</v>
      </c>
      <c r="M939" s="35"/>
      <c r="N939" s="36">
        <f>IFERROR(M939/$Q939,0)</f>
        <v>0</v>
      </c>
      <c r="O939" s="39"/>
      <c r="P939" s="36">
        <f>IFERROR(O939/$R939,0)</f>
        <v>0</v>
      </c>
      <c r="Q939" s="35"/>
      <c r="R939" s="39"/>
    </row>
    <row r="940" spans="1:18" ht="15.75" customHeight="1" x14ac:dyDescent="0.25">
      <c r="A940" s="37">
        <v>2018</v>
      </c>
      <c r="B940" s="35">
        <v>171830</v>
      </c>
      <c r="C940" s="34" t="s">
        <v>145</v>
      </c>
      <c r="D940" s="34" t="s">
        <v>109</v>
      </c>
      <c r="E940" s="35"/>
      <c r="F940" s="36">
        <f>IFERROR(E940/$Q940,0)</f>
        <v>0</v>
      </c>
      <c r="G940" s="38"/>
      <c r="H940" s="36">
        <f>IFERROR(G940/$R940,0)</f>
        <v>0</v>
      </c>
      <c r="I940" s="35"/>
      <c r="J940" s="36">
        <f>IFERROR(I940/$Q940,0)</f>
        <v>0</v>
      </c>
      <c r="K940" s="38"/>
      <c r="L940" s="36">
        <f>IFERROR(K940/$R940,0)</f>
        <v>0</v>
      </c>
      <c r="M940" s="35"/>
      <c r="N940" s="36">
        <f>IFERROR(M940/$Q940,0)</f>
        <v>0</v>
      </c>
      <c r="O940" s="38"/>
      <c r="P940" s="36">
        <f>IFERROR(O940/$R940,0)</f>
        <v>0</v>
      </c>
      <c r="Q940" s="35"/>
      <c r="R940" s="38"/>
    </row>
    <row r="941" spans="1:18" ht="15.75" customHeight="1" x14ac:dyDescent="0.25">
      <c r="A941" s="37">
        <v>2018</v>
      </c>
      <c r="B941" s="35">
        <v>171840</v>
      </c>
      <c r="C941" s="34" t="s">
        <v>150</v>
      </c>
      <c r="D941" s="34" t="s">
        <v>110</v>
      </c>
      <c r="E941" s="35"/>
      <c r="F941" s="36">
        <f>IFERROR(E941/$Q941,0)</f>
        <v>0</v>
      </c>
      <c r="G941" s="38"/>
      <c r="H941" s="36">
        <f>IFERROR(G941/$R941,0)</f>
        <v>0</v>
      </c>
      <c r="I941" s="35"/>
      <c r="J941" s="36">
        <f>IFERROR(I941/$Q941,0)</f>
        <v>0</v>
      </c>
      <c r="K941" s="38"/>
      <c r="L941" s="36">
        <f>IFERROR(K941/$R941,0)</f>
        <v>0</v>
      </c>
      <c r="M941" s="35"/>
      <c r="N941" s="36">
        <f>IFERROR(M941/$Q941,0)</f>
        <v>0</v>
      </c>
      <c r="O941" s="38"/>
      <c r="P941" s="36">
        <f>IFERROR(O941/$R941,0)</f>
        <v>0</v>
      </c>
      <c r="Q941" s="35"/>
      <c r="R941" s="38"/>
    </row>
    <row r="942" spans="1:18" ht="15.75" customHeight="1" x14ac:dyDescent="0.25">
      <c r="A942" s="37">
        <v>2018</v>
      </c>
      <c r="B942" s="35">
        <v>171845</v>
      </c>
      <c r="C942" s="34" t="s">
        <v>144</v>
      </c>
      <c r="D942" s="34" t="s">
        <v>111</v>
      </c>
      <c r="E942" s="35"/>
      <c r="F942" s="36">
        <f>IFERROR(E942/$Q942,0)</f>
        <v>0</v>
      </c>
      <c r="G942" s="38"/>
      <c r="H942" s="36">
        <f>IFERROR(G942/$R942,0)</f>
        <v>0</v>
      </c>
      <c r="I942" s="35"/>
      <c r="J942" s="36">
        <f>IFERROR(I942/$Q942,0)</f>
        <v>0</v>
      </c>
      <c r="K942" s="38"/>
      <c r="L942" s="36">
        <f>IFERROR(K942/$R942,0)</f>
        <v>0</v>
      </c>
      <c r="M942" s="35"/>
      <c r="N942" s="36">
        <f>IFERROR(M942/$Q942,0)</f>
        <v>0</v>
      </c>
      <c r="O942" s="38"/>
      <c r="P942" s="36">
        <f>IFERROR(O942/$R942,0)</f>
        <v>0</v>
      </c>
      <c r="Q942" s="35"/>
      <c r="R942" s="38"/>
    </row>
    <row r="943" spans="1:18" ht="15.75" customHeight="1" x14ac:dyDescent="0.25">
      <c r="A943" s="37">
        <v>2018</v>
      </c>
      <c r="B943" s="35">
        <v>171850</v>
      </c>
      <c r="C943" s="34" t="s">
        <v>150</v>
      </c>
      <c r="D943" s="34" t="s">
        <v>112</v>
      </c>
      <c r="E943" s="35"/>
      <c r="F943" s="36">
        <f>IFERROR(E943/$Q943,0)</f>
        <v>0</v>
      </c>
      <c r="G943" s="38"/>
      <c r="H943" s="36">
        <f>IFERROR(G943/$R943,0)</f>
        <v>0</v>
      </c>
      <c r="I943" s="35"/>
      <c r="J943" s="36">
        <f>IFERROR(I943/$Q943,0)</f>
        <v>0</v>
      </c>
      <c r="K943" s="38"/>
      <c r="L943" s="36">
        <f>IFERROR(K943/$R943,0)</f>
        <v>0</v>
      </c>
      <c r="M943" s="35"/>
      <c r="N943" s="36">
        <f>IFERROR(M943/$Q943,0)</f>
        <v>0</v>
      </c>
      <c r="O943" s="38"/>
      <c r="P943" s="36">
        <f>IFERROR(O943/$R943,0)</f>
        <v>0</v>
      </c>
      <c r="Q943" s="35"/>
      <c r="R943" s="38"/>
    </row>
    <row r="944" spans="1:18" ht="15.75" customHeight="1" x14ac:dyDescent="0.25">
      <c r="A944" s="37">
        <v>2018</v>
      </c>
      <c r="B944" s="35">
        <v>171855</v>
      </c>
      <c r="C944" s="34" t="s">
        <v>145</v>
      </c>
      <c r="D944" s="34" t="s">
        <v>113</v>
      </c>
      <c r="E944" s="35"/>
      <c r="F944" s="36">
        <f>IFERROR(E944/$Q944,0)</f>
        <v>0</v>
      </c>
      <c r="G944" s="38"/>
      <c r="H944" s="36">
        <f>IFERROR(G944/$R944,0)</f>
        <v>0</v>
      </c>
      <c r="I944" s="35"/>
      <c r="J944" s="36">
        <f>IFERROR(I944/$Q944,0)</f>
        <v>0</v>
      </c>
      <c r="K944" s="38"/>
      <c r="L944" s="36">
        <f>IFERROR(K944/$R944,0)</f>
        <v>0</v>
      </c>
      <c r="M944" s="35"/>
      <c r="N944" s="36">
        <f>IFERROR(M944/$Q944,0)</f>
        <v>0</v>
      </c>
      <c r="O944" s="38"/>
      <c r="P944" s="36">
        <f>IFERROR(O944/$R944,0)</f>
        <v>0</v>
      </c>
      <c r="Q944" s="35"/>
      <c r="R944" s="38"/>
    </row>
    <row r="945" spans="1:18" ht="15.75" customHeight="1" x14ac:dyDescent="0.25">
      <c r="A945" s="37">
        <v>2018</v>
      </c>
      <c r="B945" s="35">
        <v>171865</v>
      </c>
      <c r="C945" s="34" t="s">
        <v>147</v>
      </c>
      <c r="D945" s="34" t="s">
        <v>114</v>
      </c>
      <c r="E945" s="35"/>
      <c r="F945" s="36">
        <f>IFERROR(E945/$Q945,0)</f>
        <v>0</v>
      </c>
      <c r="G945" s="38"/>
      <c r="H945" s="36">
        <f>IFERROR(G945/$R945,0)</f>
        <v>0</v>
      </c>
      <c r="I945" s="35"/>
      <c r="J945" s="36">
        <f>IFERROR(I945/$Q945,0)</f>
        <v>0</v>
      </c>
      <c r="K945" s="38"/>
      <c r="L945" s="36">
        <f>IFERROR(K945/$R945,0)</f>
        <v>0</v>
      </c>
      <c r="M945" s="35"/>
      <c r="N945" s="36">
        <f>IFERROR(M945/$Q945,0)</f>
        <v>0</v>
      </c>
      <c r="O945" s="38"/>
      <c r="P945" s="36">
        <f>IFERROR(O945/$R945,0)</f>
        <v>0</v>
      </c>
      <c r="Q945" s="35"/>
      <c r="R945" s="38"/>
    </row>
    <row r="946" spans="1:18" ht="15.75" customHeight="1" x14ac:dyDescent="0.25">
      <c r="A946" s="37">
        <v>2018</v>
      </c>
      <c r="B946" s="35">
        <v>171870</v>
      </c>
      <c r="C946" s="34" t="s">
        <v>148</v>
      </c>
      <c r="D946" s="34" t="s">
        <v>115</v>
      </c>
      <c r="E946" s="35"/>
      <c r="F946" s="36">
        <f>IFERROR(E946/$Q946,0)</f>
        <v>0</v>
      </c>
      <c r="G946" s="38"/>
      <c r="H946" s="36">
        <f>IFERROR(G946/$R946,0)</f>
        <v>0</v>
      </c>
      <c r="I946" s="35"/>
      <c r="J946" s="36">
        <f>IFERROR(I946/$Q946,0)</f>
        <v>0</v>
      </c>
      <c r="K946" s="38"/>
      <c r="L946" s="36">
        <f>IFERROR(K946/$R946,0)</f>
        <v>0</v>
      </c>
      <c r="M946" s="35"/>
      <c r="N946" s="36">
        <f>IFERROR(M946/$Q946,0)</f>
        <v>0</v>
      </c>
      <c r="O946" s="38"/>
      <c r="P946" s="36">
        <f>IFERROR(O946/$R946,0)</f>
        <v>0</v>
      </c>
      <c r="Q946" s="35"/>
      <c r="R946" s="38"/>
    </row>
    <row r="947" spans="1:18" ht="15.75" customHeight="1" x14ac:dyDescent="0.25">
      <c r="A947" s="37">
        <v>2018</v>
      </c>
      <c r="B947" s="35">
        <v>171875</v>
      </c>
      <c r="C947" s="34" t="s">
        <v>148</v>
      </c>
      <c r="D947" s="34" t="s">
        <v>116</v>
      </c>
      <c r="E947" s="35"/>
      <c r="F947" s="36">
        <f>IFERROR(E947/$Q947,0)</f>
        <v>0</v>
      </c>
      <c r="G947" s="38"/>
      <c r="H947" s="36">
        <f>IFERROR(G947/$R947,0)</f>
        <v>0</v>
      </c>
      <c r="I947" s="35"/>
      <c r="J947" s="36">
        <f>IFERROR(I947/$Q947,0)</f>
        <v>0</v>
      </c>
      <c r="K947" s="38"/>
      <c r="L947" s="36">
        <f>IFERROR(K947/$R947,0)</f>
        <v>0</v>
      </c>
      <c r="M947" s="35"/>
      <c r="N947" s="36">
        <f>IFERROR(M947/$Q947,0)</f>
        <v>0</v>
      </c>
      <c r="O947" s="38"/>
      <c r="P947" s="36">
        <f>IFERROR(O947/$R947,0)</f>
        <v>0</v>
      </c>
      <c r="Q947" s="35"/>
      <c r="R947" s="38"/>
    </row>
    <row r="948" spans="1:18" ht="15.75" customHeight="1" x14ac:dyDescent="0.25">
      <c r="A948" s="37">
        <v>2018</v>
      </c>
      <c r="B948" s="35">
        <v>171880</v>
      </c>
      <c r="C948" s="34" t="s">
        <v>145</v>
      </c>
      <c r="D948" s="34" t="s">
        <v>117</v>
      </c>
      <c r="E948" s="35"/>
      <c r="F948" s="36">
        <f>IFERROR(E948/$Q948,0)</f>
        <v>0</v>
      </c>
      <c r="G948" s="38"/>
      <c r="H948" s="36">
        <f>IFERROR(G948/$R948,0)</f>
        <v>0</v>
      </c>
      <c r="I948" s="35"/>
      <c r="J948" s="36">
        <f>IFERROR(I948/$Q948,0)</f>
        <v>0</v>
      </c>
      <c r="K948" s="38"/>
      <c r="L948" s="36">
        <f>IFERROR(K948/$R948,0)</f>
        <v>0</v>
      </c>
      <c r="M948" s="35"/>
      <c r="N948" s="36">
        <f>IFERROR(M948/$Q948,0)</f>
        <v>0</v>
      </c>
      <c r="O948" s="38"/>
      <c r="P948" s="36">
        <f>IFERROR(O948/$R948,0)</f>
        <v>0</v>
      </c>
      <c r="Q948" s="35"/>
      <c r="R948" s="38"/>
    </row>
    <row r="949" spans="1:18" ht="15.75" customHeight="1" x14ac:dyDescent="0.25">
      <c r="A949" s="37">
        <v>2018</v>
      </c>
      <c r="B949" s="35">
        <v>171884</v>
      </c>
      <c r="C949" s="34" t="s">
        <v>146</v>
      </c>
      <c r="D949" s="34" t="s">
        <v>118</v>
      </c>
      <c r="E949" s="35"/>
      <c r="F949" s="36">
        <f>IFERROR(E949/$Q949,0)</f>
        <v>0</v>
      </c>
      <c r="G949" s="38"/>
      <c r="H949" s="36">
        <f>IFERROR(G949/$R949,0)</f>
        <v>0</v>
      </c>
      <c r="I949" s="35"/>
      <c r="J949" s="36">
        <f>IFERROR(I949/$Q949,0)</f>
        <v>0</v>
      </c>
      <c r="K949" s="38"/>
      <c r="L949" s="36">
        <f>IFERROR(K949/$R949,0)</f>
        <v>0</v>
      </c>
      <c r="M949" s="35"/>
      <c r="N949" s="36">
        <f>IFERROR(M949/$Q949,0)</f>
        <v>0</v>
      </c>
      <c r="O949" s="38"/>
      <c r="P949" s="36">
        <f>IFERROR(O949/$R949,0)</f>
        <v>0</v>
      </c>
      <c r="Q949" s="35"/>
      <c r="R949" s="38"/>
    </row>
    <row r="950" spans="1:18" ht="15.75" customHeight="1" x14ac:dyDescent="0.25">
      <c r="A950" s="37">
        <v>2018</v>
      </c>
      <c r="B950" s="35">
        <v>171886</v>
      </c>
      <c r="C950" s="34" t="s">
        <v>149</v>
      </c>
      <c r="D950" s="34" t="s">
        <v>119</v>
      </c>
      <c r="E950" s="35"/>
      <c r="F950" s="36">
        <f>IFERROR(E950/$Q950,0)</f>
        <v>0</v>
      </c>
      <c r="G950" s="38"/>
      <c r="H950" s="36">
        <f>IFERROR(G950/$R950,0)</f>
        <v>0</v>
      </c>
      <c r="I950" s="35"/>
      <c r="J950" s="36">
        <f>IFERROR(I950/$Q950,0)</f>
        <v>0</v>
      </c>
      <c r="K950" s="38"/>
      <c r="L950" s="36">
        <f>IFERROR(K950/$R950,0)</f>
        <v>0</v>
      </c>
      <c r="M950" s="35"/>
      <c r="N950" s="36">
        <f>IFERROR(M950/$Q950,0)</f>
        <v>0</v>
      </c>
      <c r="O950" s="38"/>
      <c r="P950" s="36">
        <f>IFERROR(O950/$R950,0)</f>
        <v>0</v>
      </c>
      <c r="Q950" s="35"/>
      <c r="R950" s="38"/>
    </row>
    <row r="951" spans="1:18" ht="15.75" customHeight="1" x14ac:dyDescent="0.25">
      <c r="A951" s="37">
        <v>2018</v>
      </c>
      <c r="B951" s="35">
        <v>171888</v>
      </c>
      <c r="C951" s="34" t="s">
        <v>150</v>
      </c>
      <c r="D951" s="34" t="s">
        <v>120</v>
      </c>
      <c r="E951" s="35"/>
      <c r="F951" s="36">
        <f>IFERROR(E951/$Q951,0)</f>
        <v>0</v>
      </c>
      <c r="G951" s="38"/>
      <c r="H951" s="36">
        <f>IFERROR(G951/$R951,0)</f>
        <v>0</v>
      </c>
      <c r="I951" s="35"/>
      <c r="J951" s="36">
        <f>IFERROR(I951/$Q951,0)</f>
        <v>0</v>
      </c>
      <c r="K951" s="38"/>
      <c r="L951" s="36">
        <f>IFERROR(K951/$R951,0)</f>
        <v>0</v>
      </c>
      <c r="M951" s="35"/>
      <c r="N951" s="36">
        <f>IFERROR(M951/$Q951,0)</f>
        <v>0</v>
      </c>
      <c r="O951" s="38"/>
      <c r="P951" s="36">
        <f>IFERROR(O951/$R951,0)</f>
        <v>0</v>
      </c>
      <c r="Q951" s="35"/>
      <c r="R951" s="38"/>
    </row>
    <row r="952" spans="1:18" ht="15.75" customHeight="1" x14ac:dyDescent="0.25">
      <c r="A952" s="37">
        <v>2018</v>
      </c>
      <c r="B952" s="35">
        <v>171889</v>
      </c>
      <c r="C952" s="34" t="s">
        <v>146</v>
      </c>
      <c r="D952" s="34" t="s">
        <v>121</v>
      </c>
      <c r="E952" s="35"/>
      <c r="F952" s="36">
        <f>IFERROR(E952/$Q952,0)</f>
        <v>0</v>
      </c>
      <c r="G952" s="38"/>
      <c r="H952" s="36">
        <f>IFERROR(G952/$R952,0)</f>
        <v>0</v>
      </c>
      <c r="I952" s="35"/>
      <c r="J952" s="36">
        <f>IFERROR(I952/$Q952,0)</f>
        <v>0</v>
      </c>
      <c r="K952" s="38"/>
      <c r="L952" s="36">
        <f>IFERROR(K952/$R952,0)</f>
        <v>0</v>
      </c>
      <c r="M952" s="35"/>
      <c r="N952" s="36">
        <f>IFERROR(M952/$Q952,0)</f>
        <v>0</v>
      </c>
      <c r="O952" s="38"/>
      <c r="P952" s="36">
        <f>IFERROR(O952/$R952,0)</f>
        <v>0</v>
      </c>
      <c r="Q952" s="35"/>
      <c r="R952" s="38"/>
    </row>
    <row r="953" spans="1:18" ht="15.75" customHeight="1" x14ac:dyDescent="0.25">
      <c r="A953" s="37">
        <v>2018</v>
      </c>
      <c r="B953" s="35">
        <v>171890</v>
      </c>
      <c r="C953" s="34" t="s">
        <v>151</v>
      </c>
      <c r="D953" s="34" t="s">
        <v>122</v>
      </c>
      <c r="E953" s="35"/>
      <c r="F953" s="36">
        <f>IFERROR(E953/$Q953,0)</f>
        <v>0</v>
      </c>
      <c r="G953" s="38"/>
      <c r="H953" s="36">
        <f>IFERROR(G953/$R953,0)</f>
        <v>0</v>
      </c>
      <c r="I953" s="35"/>
      <c r="J953" s="36">
        <f>IFERROR(I953/$Q953,0)</f>
        <v>0</v>
      </c>
      <c r="K953" s="38"/>
      <c r="L953" s="36">
        <f>IFERROR(K953/$R953,0)</f>
        <v>0</v>
      </c>
      <c r="M953" s="35"/>
      <c r="N953" s="36">
        <f>IFERROR(M953/$Q953,0)</f>
        <v>0</v>
      </c>
      <c r="O953" s="38"/>
      <c r="P953" s="36">
        <f>IFERROR(O953/$R953,0)</f>
        <v>0</v>
      </c>
      <c r="Q953" s="35"/>
      <c r="R953" s="38"/>
    </row>
    <row r="954" spans="1:18" ht="15.75" customHeight="1" x14ac:dyDescent="0.25">
      <c r="A954" s="37">
        <v>2018</v>
      </c>
      <c r="B954" s="35">
        <v>171900</v>
      </c>
      <c r="C954" s="34" t="s">
        <v>148</v>
      </c>
      <c r="D954" s="34" t="s">
        <v>123</v>
      </c>
      <c r="E954" s="35"/>
      <c r="F954" s="36">
        <f>IFERROR(E954/$Q954,0)</f>
        <v>0</v>
      </c>
      <c r="G954" s="38"/>
      <c r="H954" s="36">
        <f>IFERROR(G954/$R954,0)</f>
        <v>0</v>
      </c>
      <c r="I954" s="35"/>
      <c r="J954" s="36">
        <f>IFERROR(I954/$Q954,0)</f>
        <v>0</v>
      </c>
      <c r="K954" s="38"/>
      <c r="L954" s="36">
        <f>IFERROR(K954/$R954,0)</f>
        <v>0</v>
      </c>
      <c r="M954" s="35"/>
      <c r="N954" s="36">
        <f>IFERROR(M954/$Q954,0)</f>
        <v>0</v>
      </c>
      <c r="O954" s="38"/>
      <c r="P954" s="36">
        <f>IFERROR(O954/$R954,0)</f>
        <v>0</v>
      </c>
      <c r="Q954" s="35"/>
      <c r="R954" s="38"/>
    </row>
    <row r="955" spans="1:18" ht="15.75" customHeight="1" x14ac:dyDescent="0.25">
      <c r="A955" s="37">
        <v>2018</v>
      </c>
      <c r="B955" s="35">
        <v>172000</v>
      </c>
      <c r="C955" s="34" t="s">
        <v>145</v>
      </c>
      <c r="D955" s="34" t="s">
        <v>124</v>
      </c>
      <c r="E955" s="35"/>
      <c r="F955" s="36">
        <f>IFERROR(E955/$Q955,0)</f>
        <v>0</v>
      </c>
      <c r="G955" s="38"/>
      <c r="H955" s="36">
        <f>IFERROR(G955/$R955,0)</f>
        <v>0</v>
      </c>
      <c r="I955" s="35"/>
      <c r="J955" s="36">
        <f>IFERROR(I955/$Q955,0)</f>
        <v>0</v>
      </c>
      <c r="K955" s="38"/>
      <c r="L955" s="36">
        <f>IFERROR(K955/$R955,0)</f>
        <v>0</v>
      </c>
      <c r="M955" s="35"/>
      <c r="N955" s="36">
        <f>IFERROR(M955/$Q955,0)</f>
        <v>0</v>
      </c>
      <c r="O955" s="38"/>
      <c r="P955" s="36">
        <f>IFERROR(O955/$R955,0)</f>
        <v>0</v>
      </c>
      <c r="Q955" s="35"/>
      <c r="R955" s="38"/>
    </row>
    <row r="956" spans="1:18" ht="15.75" customHeight="1" x14ac:dyDescent="0.25">
      <c r="A956" s="37">
        <v>2018</v>
      </c>
      <c r="B956" s="35">
        <v>172010</v>
      </c>
      <c r="C956" s="34" t="s">
        <v>145</v>
      </c>
      <c r="D956" s="34" t="s">
        <v>125</v>
      </c>
      <c r="E956" s="35"/>
      <c r="F956" s="36">
        <f>IFERROR(E956/$Q956,0)</f>
        <v>0</v>
      </c>
      <c r="G956" s="38"/>
      <c r="H956" s="36">
        <f>IFERROR(G956/$R956,0)</f>
        <v>0</v>
      </c>
      <c r="I956" s="35"/>
      <c r="J956" s="36">
        <f>IFERROR(I956/$Q956,0)</f>
        <v>0</v>
      </c>
      <c r="K956" s="38"/>
      <c r="L956" s="36">
        <f>IFERROR(K956/$R956,0)</f>
        <v>0</v>
      </c>
      <c r="M956" s="35"/>
      <c r="N956" s="36">
        <f>IFERROR(M956/$Q956,0)</f>
        <v>0</v>
      </c>
      <c r="O956" s="38"/>
      <c r="P956" s="36">
        <f>IFERROR(O956/$R956,0)</f>
        <v>0</v>
      </c>
      <c r="Q956" s="35"/>
      <c r="R956" s="38"/>
    </row>
    <row r="957" spans="1:18" ht="15.75" customHeight="1" x14ac:dyDescent="0.25">
      <c r="A957" s="37">
        <v>2018</v>
      </c>
      <c r="B957" s="35">
        <v>172015</v>
      </c>
      <c r="C957" s="34" t="s">
        <v>148</v>
      </c>
      <c r="D957" s="34" t="s">
        <v>126</v>
      </c>
      <c r="E957" s="35"/>
      <c r="F957" s="36">
        <f>IFERROR(E957/$Q957,0)</f>
        <v>0</v>
      </c>
      <c r="G957" s="38"/>
      <c r="H957" s="36">
        <f>IFERROR(G957/$R957,0)</f>
        <v>0</v>
      </c>
      <c r="I957" s="35"/>
      <c r="J957" s="36">
        <f>IFERROR(I957/$Q957,0)</f>
        <v>0</v>
      </c>
      <c r="K957" s="38"/>
      <c r="L957" s="36">
        <f>IFERROR(K957/$R957,0)</f>
        <v>0</v>
      </c>
      <c r="M957" s="35"/>
      <c r="N957" s="36">
        <f>IFERROR(M957/$Q957,0)</f>
        <v>0</v>
      </c>
      <c r="O957" s="38"/>
      <c r="P957" s="36">
        <f>IFERROR(O957/$R957,0)</f>
        <v>0</v>
      </c>
      <c r="Q957" s="35"/>
      <c r="R957" s="38"/>
    </row>
    <row r="958" spans="1:18" ht="15.75" customHeight="1" x14ac:dyDescent="0.25">
      <c r="A958" s="37">
        <v>2018</v>
      </c>
      <c r="B958" s="35">
        <v>172020</v>
      </c>
      <c r="C958" s="34" t="s">
        <v>145</v>
      </c>
      <c r="D958" s="34" t="s">
        <v>127</v>
      </c>
      <c r="E958" s="35"/>
      <c r="F958" s="36">
        <f>IFERROR(E958/$Q958,0)</f>
        <v>0</v>
      </c>
      <c r="G958" s="38"/>
      <c r="H958" s="36">
        <f>IFERROR(G958/$R958,0)</f>
        <v>0</v>
      </c>
      <c r="I958" s="35"/>
      <c r="J958" s="36">
        <f>IFERROR(I958/$Q958,0)</f>
        <v>0</v>
      </c>
      <c r="K958" s="38"/>
      <c r="L958" s="36">
        <f>IFERROR(K958/$R958,0)</f>
        <v>0</v>
      </c>
      <c r="M958" s="35"/>
      <c r="N958" s="36">
        <f>IFERROR(M958/$Q958,0)</f>
        <v>0</v>
      </c>
      <c r="O958" s="38"/>
      <c r="P958" s="36">
        <f>IFERROR(O958/$R958,0)</f>
        <v>0</v>
      </c>
      <c r="Q958" s="35"/>
      <c r="R958" s="38"/>
    </row>
    <row r="959" spans="1:18" ht="15.75" customHeight="1" x14ac:dyDescent="0.25">
      <c r="A959" s="37">
        <v>2018</v>
      </c>
      <c r="B959" s="35">
        <v>172025</v>
      </c>
      <c r="C959" s="34" t="s">
        <v>146</v>
      </c>
      <c r="D959" s="34" t="s">
        <v>128</v>
      </c>
      <c r="E959" s="35"/>
      <c r="F959" s="36">
        <f>IFERROR(E959/$Q959,0)</f>
        <v>0</v>
      </c>
      <c r="G959" s="38"/>
      <c r="H959" s="36">
        <f>IFERROR(G959/$R959,0)</f>
        <v>0</v>
      </c>
      <c r="I959" s="35"/>
      <c r="J959" s="36">
        <f>IFERROR(I959/$Q959,0)</f>
        <v>0</v>
      </c>
      <c r="K959" s="38"/>
      <c r="L959" s="36">
        <f>IFERROR(K959/$R959,0)</f>
        <v>0</v>
      </c>
      <c r="M959" s="35"/>
      <c r="N959" s="36">
        <f>IFERROR(M959/$Q959,0)</f>
        <v>0</v>
      </c>
      <c r="O959" s="38"/>
      <c r="P959" s="36">
        <f>IFERROR(O959/$R959,0)</f>
        <v>0</v>
      </c>
      <c r="Q959" s="35"/>
      <c r="R959" s="38"/>
    </row>
    <row r="960" spans="1:18" ht="15.75" customHeight="1" x14ac:dyDescent="0.25">
      <c r="A960" s="37">
        <v>2018</v>
      </c>
      <c r="B960" s="35">
        <v>172030</v>
      </c>
      <c r="C960" s="34" t="s">
        <v>145</v>
      </c>
      <c r="D960" s="34" t="s">
        <v>129</v>
      </c>
      <c r="E960" s="35"/>
      <c r="F960" s="36">
        <f>IFERROR(E960/$Q960,0)</f>
        <v>0</v>
      </c>
      <c r="G960" s="38"/>
      <c r="H960" s="36">
        <f>IFERROR(G960/$R960,0)</f>
        <v>0</v>
      </c>
      <c r="I960" s="35"/>
      <c r="J960" s="36">
        <f>IFERROR(I960/$Q960,0)</f>
        <v>0</v>
      </c>
      <c r="K960" s="38"/>
      <c r="L960" s="36">
        <f>IFERROR(K960/$R960,0)</f>
        <v>0</v>
      </c>
      <c r="M960" s="35"/>
      <c r="N960" s="36">
        <f>IFERROR(M960/$Q960,0)</f>
        <v>0</v>
      </c>
      <c r="O960" s="38"/>
      <c r="P960" s="36">
        <f>IFERROR(O960/$R960,0)</f>
        <v>0</v>
      </c>
      <c r="Q960" s="35"/>
      <c r="R960" s="38"/>
    </row>
    <row r="961" spans="1:18" ht="15.75" customHeight="1" x14ac:dyDescent="0.25">
      <c r="A961" s="37">
        <v>2018</v>
      </c>
      <c r="B961" s="35">
        <v>172049</v>
      </c>
      <c r="C961" s="34" t="s">
        <v>146</v>
      </c>
      <c r="D961" s="34" t="s">
        <v>130</v>
      </c>
      <c r="E961" s="35"/>
      <c r="F961" s="36">
        <f>IFERROR(E961/$Q961,0)</f>
        <v>0</v>
      </c>
      <c r="G961" s="38"/>
      <c r="H961" s="36">
        <f>IFERROR(G961/$R961,0)</f>
        <v>0</v>
      </c>
      <c r="I961" s="35"/>
      <c r="J961" s="36">
        <f>IFERROR(I961/$Q961,0)</f>
        <v>0</v>
      </c>
      <c r="K961" s="38"/>
      <c r="L961" s="36">
        <f>IFERROR(K961/$R961,0)</f>
        <v>0</v>
      </c>
      <c r="M961" s="35"/>
      <c r="N961" s="36">
        <f>IFERROR(M961/$Q961,0)</f>
        <v>0</v>
      </c>
      <c r="O961" s="38"/>
      <c r="P961" s="36">
        <f>IFERROR(O961/$R961,0)</f>
        <v>0</v>
      </c>
      <c r="Q961" s="35"/>
      <c r="R961" s="38"/>
    </row>
    <row r="962" spans="1:18" ht="15.75" customHeight="1" x14ac:dyDescent="0.25">
      <c r="A962" s="37">
        <v>2018</v>
      </c>
      <c r="B962" s="35">
        <v>172065</v>
      </c>
      <c r="C962" s="34" t="s">
        <v>151</v>
      </c>
      <c r="D962" s="34" t="s">
        <v>131</v>
      </c>
      <c r="E962" s="35"/>
      <c r="F962" s="36">
        <f>IFERROR(E962/$Q962,0)</f>
        <v>0</v>
      </c>
      <c r="G962" s="38"/>
      <c r="H962" s="36">
        <f>IFERROR(G962/$R962,0)</f>
        <v>0</v>
      </c>
      <c r="I962" s="35"/>
      <c r="J962" s="36">
        <f>IFERROR(I962/$Q962,0)</f>
        <v>0</v>
      </c>
      <c r="K962" s="38"/>
      <c r="L962" s="36">
        <f>IFERROR(K962/$R962,0)</f>
        <v>0</v>
      </c>
      <c r="M962" s="35"/>
      <c r="N962" s="36">
        <f>IFERROR(M962/$Q962,0)</f>
        <v>0</v>
      </c>
      <c r="O962" s="38"/>
      <c r="P962" s="36">
        <f>IFERROR(O962/$R962,0)</f>
        <v>0</v>
      </c>
      <c r="Q962" s="35"/>
      <c r="R962" s="38"/>
    </row>
    <row r="963" spans="1:18" ht="15.75" customHeight="1" x14ac:dyDescent="0.25">
      <c r="A963" s="37">
        <v>2018</v>
      </c>
      <c r="B963" s="35">
        <v>172080</v>
      </c>
      <c r="C963" s="34" t="s">
        <v>145</v>
      </c>
      <c r="D963" s="34" t="s">
        <v>132</v>
      </c>
      <c r="E963" s="35"/>
      <c r="F963" s="36">
        <f>IFERROR(E963/$Q963,0)</f>
        <v>0</v>
      </c>
      <c r="G963" s="38"/>
      <c r="H963" s="36">
        <f>IFERROR(G963/$R963,0)</f>
        <v>0</v>
      </c>
      <c r="I963" s="35"/>
      <c r="J963" s="36">
        <f>IFERROR(I963/$Q963,0)</f>
        <v>0</v>
      </c>
      <c r="K963" s="38"/>
      <c r="L963" s="36">
        <f>IFERROR(K963/$R963,0)</f>
        <v>0</v>
      </c>
      <c r="M963" s="35"/>
      <c r="N963" s="36">
        <f>IFERROR(M963/$Q963,0)</f>
        <v>0</v>
      </c>
      <c r="O963" s="38"/>
      <c r="P963" s="36">
        <f>IFERROR(O963/$R963,0)</f>
        <v>0</v>
      </c>
      <c r="Q963" s="35"/>
      <c r="R963" s="38"/>
    </row>
    <row r="964" spans="1:18" ht="15.75" customHeight="1" x14ac:dyDescent="0.25">
      <c r="A964" s="37">
        <v>2018</v>
      </c>
      <c r="B964" s="35">
        <v>172085</v>
      </c>
      <c r="C964" s="34" t="s">
        <v>146</v>
      </c>
      <c r="D964" s="34" t="s">
        <v>133</v>
      </c>
      <c r="E964" s="35"/>
      <c r="F964" s="36">
        <f>IFERROR(E964/$Q964,0)</f>
        <v>0</v>
      </c>
      <c r="G964" s="38"/>
      <c r="H964" s="36">
        <f>IFERROR(G964/$R964,0)</f>
        <v>0</v>
      </c>
      <c r="I964" s="35"/>
      <c r="J964" s="36">
        <f>IFERROR(I964/$Q964,0)</f>
        <v>0</v>
      </c>
      <c r="K964" s="38"/>
      <c r="L964" s="36">
        <f>IFERROR(K964/$R964,0)</f>
        <v>0</v>
      </c>
      <c r="M964" s="35"/>
      <c r="N964" s="36">
        <f>IFERROR(M964/$Q964,0)</f>
        <v>0</v>
      </c>
      <c r="O964" s="38"/>
      <c r="P964" s="36">
        <f>IFERROR(O964/$R964,0)</f>
        <v>0</v>
      </c>
      <c r="Q964" s="35"/>
      <c r="R964" s="38"/>
    </row>
    <row r="965" spans="1:18" ht="15.75" customHeight="1" x14ac:dyDescent="0.25">
      <c r="A965" s="37">
        <v>2018</v>
      </c>
      <c r="B965" s="35">
        <v>170825</v>
      </c>
      <c r="C965" s="34" t="s">
        <v>148</v>
      </c>
      <c r="D965" s="34" t="s">
        <v>134</v>
      </c>
      <c r="E965" s="35"/>
      <c r="F965" s="36">
        <f>IFERROR(E965/$Q965,0)</f>
        <v>0</v>
      </c>
      <c r="G965" s="38"/>
      <c r="H965" s="36">
        <f>IFERROR(G965/$R965,0)</f>
        <v>0</v>
      </c>
      <c r="I965" s="35"/>
      <c r="J965" s="36">
        <f>IFERROR(I965/$Q965,0)</f>
        <v>0</v>
      </c>
      <c r="K965" s="38"/>
      <c r="L965" s="36">
        <f>IFERROR(K965/$R965,0)</f>
        <v>0</v>
      </c>
      <c r="M965" s="35"/>
      <c r="N965" s="36">
        <f>IFERROR(M965/$Q965,0)</f>
        <v>0</v>
      </c>
      <c r="O965" s="38"/>
      <c r="P965" s="36">
        <f>IFERROR(O965/$R965,0)</f>
        <v>0</v>
      </c>
      <c r="Q965" s="35"/>
      <c r="R965" s="38"/>
    </row>
    <row r="966" spans="1:18" ht="15.75" customHeight="1" x14ac:dyDescent="0.25">
      <c r="A966" s="37">
        <v>2018</v>
      </c>
      <c r="B966" s="35">
        <v>172090</v>
      </c>
      <c r="C966" s="34" t="s">
        <v>147</v>
      </c>
      <c r="D966" s="34" t="s">
        <v>135</v>
      </c>
      <c r="E966" s="35"/>
      <c r="F966" s="36">
        <f>IFERROR(E966/$Q966,0)</f>
        <v>0</v>
      </c>
      <c r="G966" s="38"/>
      <c r="H966" s="36">
        <f>IFERROR(G966/$R966,0)</f>
        <v>0</v>
      </c>
      <c r="I966" s="35"/>
      <c r="J966" s="36">
        <f>IFERROR(I966/$Q966,0)</f>
        <v>0</v>
      </c>
      <c r="K966" s="38"/>
      <c r="L966" s="36">
        <f>IFERROR(K966/$R966,0)</f>
        <v>0</v>
      </c>
      <c r="M966" s="35"/>
      <c r="N966" s="36">
        <f>IFERROR(M966/$Q966,0)</f>
        <v>0</v>
      </c>
      <c r="O966" s="38"/>
      <c r="P966" s="36">
        <f>IFERROR(O966/$R966,0)</f>
        <v>0</v>
      </c>
      <c r="Q966" s="35"/>
      <c r="R966" s="38"/>
    </row>
    <row r="967" spans="1:18" ht="15.75" customHeight="1" x14ac:dyDescent="0.25">
      <c r="A967" s="37">
        <v>2018</v>
      </c>
      <c r="B967" s="35">
        <v>172093</v>
      </c>
      <c r="C967" s="34" t="s">
        <v>147</v>
      </c>
      <c r="D967" s="34" t="s">
        <v>136</v>
      </c>
      <c r="E967" s="35"/>
      <c r="F967" s="36">
        <f>IFERROR(E967/$Q967,0)</f>
        <v>0</v>
      </c>
      <c r="G967" s="38"/>
      <c r="H967" s="36">
        <f>IFERROR(G967/$R967,0)</f>
        <v>0</v>
      </c>
      <c r="I967" s="35"/>
      <c r="J967" s="36">
        <f>IFERROR(I967/$Q967,0)</f>
        <v>0</v>
      </c>
      <c r="K967" s="38"/>
      <c r="L967" s="36">
        <f>IFERROR(K967/$R967,0)</f>
        <v>0</v>
      </c>
      <c r="M967" s="35"/>
      <c r="N967" s="36">
        <f>IFERROR(M967/$Q967,0)</f>
        <v>0</v>
      </c>
      <c r="O967" s="38"/>
      <c r="P967" s="36">
        <f>IFERROR(O967/$R967,0)</f>
        <v>0</v>
      </c>
      <c r="Q967" s="35"/>
      <c r="R967" s="38"/>
    </row>
    <row r="968" spans="1:18" ht="15.75" customHeight="1" x14ac:dyDescent="0.25">
      <c r="A968" s="37">
        <v>2018</v>
      </c>
      <c r="B968" s="35">
        <v>172097</v>
      </c>
      <c r="C968" s="34" t="s">
        <v>146</v>
      </c>
      <c r="D968" s="34" t="s">
        <v>137</v>
      </c>
      <c r="E968" s="35"/>
      <c r="F968" s="36">
        <f>IFERROR(E968/$Q968,0)</f>
        <v>0</v>
      </c>
      <c r="G968" s="38"/>
      <c r="H968" s="36">
        <f>IFERROR(G968/$R968,0)</f>
        <v>0</v>
      </c>
      <c r="I968" s="35"/>
      <c r="J968" s="36">
        <f>IFERROR(I968/$Q968,0)</f>
        <v>0</v>
      </c>
      <c r="K968" s="38"/>
      <c r="L968" s="36">
        <f>IFERROR(K968/$R968,0)</f>
        <v>0</v>
      </c>
      <c r="M968" s="35"/>
      <c r="N968" s="36">
        <f>IFERROR(M968/$Q968,0)</f>
        <v>0</v>
      </c>
      <c r="O968" s="38"/>
      <c r="P968" s="36">
        <f>IFERROR(O968/$R968,0)</f>
        <v>0</v>
      </c>
      <c r="Q968" s="35"/>
      <c r="R968" s="38"/>
    </row>
    <row r="969" spans="1:18" ht="15.75" customHeight="1" x14ac:dyDescent="0.25">
      <c r="A969" s="37">
        <v>2018</v>
      </c>
      <c r="B969" s="35">
        <v>172110</v>
      </c>
      <c r="C969" s="34" t="s">
        <v>148</v>
      </c>
      <c r="D969" s="34" t="s">
        <v>138</v>
      </c>
      <c r="E969" s="35"/>
      <c r="F969" s="36">
        <f>IFERROR(E969/$Q969,0)</f>
        <v>0</v>
      </c>
      <c r="G969" s="38"/>
      <c r="H969" s="36">
        <f>IFERROR(G969/$R969,0)</f>
        <v>0</v>
      </c>
      <c r="I969" s="35"/>
      <c r="J969" s="36">
        <f>IFERROR(I969/$Q969,0)</f>
        <v>0</v>
      </c>
      <c r="K969" s="38"/>
      <c r="L969" s="36">
        <f>IFERROR(K969/$R969,0)</f>
        <v>0</v>
      </c>
      <c r="M969" s="35"/>
      <c r="N969" s="36">
        <f>IFERROR(M969/$Q969,0)</f>
        <v>0</v>
      </c>
      <c r="O969" s="38"/>
      <c r="P969" s="36">
        <f>IFERROR(O969/$R969,0)</f>
        <v>0</v>
      </c>
      <c r="Q969" s="35"/>
      <c r="R969" s="38"/>
    </row>
    <row r="970" spans="1:18" ht="15.75" customHeight="1" x14ac:dyDescent="0.25">
      <c r="A970" s="37">
        <v>2018</v>
      </c>
      <c r="B970" s="35">
        <v>172120</v>
      </c>
      <c r="C970" s="34" t="s">
        <v>145</v>
      </c>
      <c r="D970" s="34" t="s">
        <v>139</v>
      </c>
      <c r="E970" s="35"/>
      <c r="F970" s="36">
        <f>IFERROR(E970/$Q970,0)</f>
        <v>0</v>
      </c>
      <c r="G970" s="38"/>
      <c r="H970" s="36">
        <f>IFERROR(G970/$R970,0)</f>
        <v>0</v>
      </c>
      <c r="I970" s="35"/>
      <c r="J970" s="36">
        <f>IFERROR(I970/$Q970,0)</f>
        <v>0</v>
      </c>
      <c r="K970" s="38"/>
      <c r="L970" s="36">
        <f>IFERROR(K970/$R970,0)</f>
        <v>0</v>
      </c>
      <c r="M970" s="35"/>
      <c r="N970" s="36">
        <f>IFERROR(M970/$Q970,0)</f>
        <v>0</v>
      </c>
      <c r="O970" s="39"/>
      <c r="P970" s="36">
        <f>IFERROR(O970/$R970,0)</f>
        <v>0</v>
      </c>
      <c r="Q970" s="35"/>
      <c r="R970" s="39"/>
    </row>
    <row r="971" spans="1:18" ht="15.75" customHeight="1" x14ac:dyDescent="0.25">
      <c r="A971" s="37">
        <v>2018</v>
      </c>
      <c r="B971" s="35">
        <v>172125</v>
      </c>
      <c r="C971" s="34" t="s">
        <v>150</v>
      </c>
      <c r="D971" s="34" t="s">
        <v>140</v>
      </c>
      <c r="E971" s="35"/>
      <c r="F971" s="36">
        <f>IFERROR(E971/$Q971,0)</f>
        <v>0</v>
      </c>
      <c r="G971" s="38"/>
      <c r="H971" s="36">
        <f>IFERROR(G971/$R971,0)</f>
        <v>0</v>
      </c>
      <c r="I971" s="35"/>
      <c r="J971" s="36">
        <f>IFERROR(I971/$Q971,0)</f>
        <v>0</v>
      </c>
      <c r="K971" s="38"/>
      <c r="L971" s="36">
        <f>IFERROR(K971/$R971,0)</f>
        <v>0</v>
      </c>
      <c r="M971" s="35"/>
      <c r="N971" s="36">
        <f>IFERROR(M971/$Q971,0)</f>
        <v>0</v>
      </c>
      <c r="O971" s="38"/>
      <c r="P971" s="36">
        <f>IFERROR(O971/$R971,0)</f>
        <v>0</v>
      </c>
      <c r="Q971" s="35"/>
      <c r="R971" s="38"/>
    </row>
    <row r="972" spans="1:18" ht="15.75" customHeight="1" x14ac:dyDescent="0.25">
      <c r="A972" s="37">
        <v>2018</v>
      </c>
      <c r="B972" s="35">
        <v>172130</v>
      </c>
      <c r="C972" s="34" t="s">
        <v>150</v>
      </c>
      <c r="D972" s="34" t="s">
        <v>141</v>
      </c>
      <c r="E972" s="35"/>
      <c r="F972" s="36">
        <f>IFERROR(E972/$Q972,0)</f>
        <v>0</v>
      </c>
      <c r="G972" s="38"/>
      <c r="H972" s="36">
        <f>IFERROR(G972/$R972,0)</f>
        <v>0</v>
      </c>
      <c r="I972" s="35"/>
      <c r="J972" s="36">
        <f>IFERROR(I972/$Q972,0)</f>
        <v>0</v>
      </c>
      <c r="K972" s="38"/>
      <c r="L972" s="36">
        <f>IFERROR(K972/$R972,0)</f>
        <v>0</v>
      </c>
      <c r="M972" s="35"/>
      <c r="N972" s="36">
        <f>IFERROR(M972/$Q972,0)</f>
        <v>0</v>
      </c>
      <c r="O972" s="38"/>
      <c r="P972" s="36">
        <f>IFERROR(O972/$R972,0)</f>
        <v>0</v>
      </c>
      <c r="Q972" s="35"/>
      <c r="R972" s="38"/>
    </row>
    <row r="973" spans="1:18" ht="15.75" customHeight="1" x14ac:dyDescent="0.25">
      <c r="A973" s="37">
        <v>2018</v>
      </c>
      <c r="B973" s="35">
        <v>172208</v>
      </c>
      <c r="C973" s="34" t="s">
        <v>149</v>
      </c>
      <c r="D973" s="34" t="s">
        <v>142</v>
      </c>
      <c r="E973" s="35"/>
      <c r="F973" s="36">
        <f>IFERROR(E973/$Q973,0)</f>
        <v>0</v>
      </c>
      <c r="G973" s="38"/>
      <c r="H973" s="36">
        <f>IFERROR(G973/$R973,0)</f>
        <v>0</v>
      </c>
      <c r="I973" s="35"/>
      <c r="J973" s="36">
        <f>IFERROR(I973/$Q973,0)</f>
        <v>0</v>
      </c>
      <c r="K973" s="38"/>
      <c r="L973" s="36">
        <f>IFERROR(K973/$R973,0)</f>
        <v>0</v>
      </c>
      <c r="M973" s="35"/>
      <c r="N973" s="36">
        <f>IFERROR(M973/$Q973,0)</f>
        <v>0</v>
      </c>
      <c r="O973" s="38"/>
      <c r="P973" s="36">
        <f>IFERROR(O973/$R973,0)</f>
        <v>0</v>
      </c>
      <c r="Q973" s="35"/>
      <c r="R973" s="38"/>
    </row>
    <row r="974" spans="1:18" ht="15.75" customHeight="1" x14ac:dyDescent="0.25">
      <c r="A974" s="37">
        <v>2018</v>
      </c>
      <c r="B974" s="35">
        <v>172210</v>
      </c>
      <c r="C974" s="34" t="s">
        <v>149</v>
      </c>
      <c r="D974" s="34" t="s">
        <v>143</v>
      </c>
      <c r="E974" s="35"/>
      <c r="F974" s="36">
        <f>IFERROR(E974/$Q974,0)</f>
        <v>0</v>
      </c>
      <c r="G974" s="38"/>
      <c r="H974" s="36">
        <f>IFERROR(G974/$R974,0)</f>
        <v>0</v>
      </c>
      <c r="I974" s="35"/>
      <c r="J974" s="36">
        <f>IFERROR(I974/$Q974,0)</f>
        <v>0</v>
      </c>
      <c r="K974" s="38"/>
      <c r="L974" s="36">
        <f>IFERROR(K974/$R974,0)</f>
        <v>0</v>
      </c>
      <c r="M974" s="35"/>
      <c r="N974" s="36">
        <f>IFERROR(M974/$Q974,0)</f>
        <v>0</v>
      </c>
      <c r="O974" s="38"/>
      <c r="P974" s="36">
        <f>IFERROR(O974/$R974,0)</f>
        <v>0</v>
      </c>
      <c r="Q974" s="35"/>
      <c r="R974" s="38"/>
    </row>
    <row r="975" spans="1:18" ht="15.75" customHeight="1" x14ac:dyDescent="0.25">
      <c r="A975" s="37">
        <v>2017</v>
      </c>
      <c r="B975" s="35">
        <v>170025</v>
      </c>
      <c r="C975" s="34" t="s">
        <v>144</v>
      </c>
      <c r="D975" s="34" t="s">
        <v>5</v>
      </c>
      <c r="E975" s="35"/>
      <c r="F975" s="36">
        <f>IFERROR(E975/$Q975,0)</f>
        <v>0</v>
      </c>
      <c r="G975" s="38"/>
      <c r="H975" s="36">
        <f>IFERROR(G975/$R975,0)</f>
        <v>0</v>
      </c>
      <c r="I975" s="35"/>
      <c r="J975" s="36">
        <f>IFERROR(I975/$Q975,0)</f>
        <v>0</v>
      </c>
      <c r="K975" s="38"/>
      <c r="L975" s="36">
        <f>IFERROR(K975/$R975,0)</f>
        <v>0</v>
      </c>
      <c r="M975" s="35"/>
      <c r="N975" s="36">
        <f>IFERROR(M975/$Q975,0)</f>
        <v>0</v>
      </c>
      <c r="O975" s="38"/>
      <c r="P975" s="36">
        <f>IFERROR(O975/$R975,0)</f>
        <v>0</v>
      </c>
      <c r="Q975" s="35"/>
      <c r="R975" s="38"/>
    </row>
    <row r="976" spans="1:18" ht="15.75" customHeight="1" x14ac:dyDescent="0.25">
      <c r="A976" s="37">
        <v>2017</v>
      </c>
      <c r="B976" s="35">
        <v>170030</v>
      </c>
      <c r="C976" s="34" t="s">
        <v>145</v>
      </c>
      <c r="D976" s="34" t="s">
        <v>6</v>
      </c>
      <c r="E976" s="35"/>
      <c r="F976" s="36">
        <f>IFERROR(E976/$Q976,0)</f>
        <v>0</v>
      </c>
      <c r="G976" s="38"/>
      <c r="H976" s="36">
        <f>IFERROR(G976/$R976,0)</f>
        <v>0</v>
      </c>
      <c r="I976" s="35"/>
      <c r="J976" s="36">
        <f>IFERROR(I976/$Q976,0)</f>
        <v>0</v>
      </c>
      <c r="K976" s="38"/>
      <c r="L976" s="36">
        <f>IFERROR(K976/$R976,0)</f>
        <v>0</v>
      </c>
      <c r="M976" s="35"/>
      <c r="N976" s="36">
        <f>IFERROR(M976/$Q976,0)</f>
        <v>0</v>
      </c>
      <c r="O976" s="38"/>
      <c r="P976" s="36">
        <f>IFERROR(O976/$R976,0)</f>
        <v>0</v>
      </c>
      <c r="Q976" s="35"/>
      <c r="R976" s="38"/>
    </row>
    <row r="977" spans="1:18" ht="15.75" customHeight="1" x14ac:dyDescent="0.25">
      <c r="A977" s="37">
        <v>2017</v>
      </c>
      <c r="B977" s="35">
        <v>170035</v>
      </c>
      <c r="C977" s="34" t="s">
        <v>146</v>
      </c>
      <c r="D977" s="34" t="s">
        <v>7</v>
      </c>
      <c r="E977" s="35"/>
      <c r="F977" s="36">
        <f>IFERROR(E977/$Q977,0)</f>
        <v>0</v>
      </c>
      <c r="G977" s="38"/>
      <c r="H977" s="36">
        <f>IFERROR(G977/$R977,0)</f>
        <v>0</v>
      </c>
      <c r="I977" s="35"/>
      <c r="J977" s="36">
        <f>IFERROR(I977/$Q977,0)</f>
        <v>0</v>
      </c>
      <c r="K977" s="38"/>
      <c r="L977" s="36">
        <f>IFERROR(K977/$R977,0)</f>
        <v>0</v>
      </c>
      <c r="M977" s="35"/>
      <c r="N977" s="36">
        <f>IFERROR(M977/$Q977,0)</f>
        <v>0</v>
      </c>
      <c r="O977" s="38"/>
      <c r="P977" s="36">
        <f>IFERROR(O977/$R977,0)</f>
        <v>0</v>
      </c>
      <c r="Q977" s="35"/>
      <c r="R977" s="38"/>
    </row>
    <row r="978" spans="1:18" ht="15.75" customHeight="1" x14ac:dyDescent="0.25">
      <c r="A978" s="37">
        <v>2017</v>
      </c>
      <c r="B978" s="35">
        <v>170040</v>
      </c>
      <c r="C978" s="34" t="s">
        <v>147</v>
      </c>
      <c r="D978" s="34" t="s">
        <v>8</v>
      </c>
      <c r="E978" s="35"/>
      <c r="F978" s="36">
        <f>IFERROR(E978/$Q978,0)</f>
        <v>0</v>
      </c>
      <c r="G978" s="38"/>
      <c r="H978" s="36">
        <f>IFERROR(G978/$R978,0)</f>
        <v>0</v>
      </c>
      <c r="I978" s="35"/>
      <c r="J978" s="36">
        <f>IFERROR(I978/$Q978,0)</f>
        <v>0</v>
      </c>
      <c r="K978" s="38"/>
      <c r="L978" s="36">
        <f>IFERROR(K978/$R978,0)</f>
        <v>0</v>
      </c>
      <c r="M978" s="35"/>
      <c r="N978" s="36">
        <f>IFERROR(M978/$Q978,0)</f>
        <v>0</v>
      </c>
      <c r="O978" s="38"/>
      <c r="P978" s="36">
        <f>IFERROR(O978/$R978,0)</f>
        <v>0</v>
      </c>
      <c r="Q978" s="35"/>
      <c r="R978" s="38"/>
    </row>
    <row r="979" spans="1:18" ht="15.75" customHeight="1" x14ac:dyDescent="0.25">
      <c r="A979" s="37">
        <v>2017</v>
      </c>
      <c r="B979" s="35">
        <v>170070</v>
      </c>
      <c r="C979" s="34" t="s">
        <v>146</v>
      </c>
      <c r="D979" s="34" t="s">
        <v>9</v>
      </c>
      <c r="E979" s="35"/>
      <c r="F979" s="36">
        <f>IFERROR(E979/$Q979,0)</f>
        <v>0</v>
      </c>
      <c r="G979" s="38"/>
      <c r="H979" s="36">
        <f>IFERROR(G979/$R979,0)</f>
        <v>0</v>
      </c>
      <c r="I979" s="35"/>
      <c r="J979" s="36">
        <f>IFERROR(I979/$Q979,0)</f>
        <v>0</v>
      </c>
      <c r="K979" s="38"/>
      <c r="L979" s="36">
        <f>IFERROR(K979/$R979,0)</f>
        <v>0</v>
      </c>
      <c r="M979" s="35"/>
      <c r="N979" s="36">
        <f>IFERROR(M979/$Q979,0)</f>
        <v>0</v>
      </c>
      <c r="O979" s="38"/>
      <c r="P979" s="36">
        <f>IFERROR(O979/$R979,0)</f>
        <v>0</v>
      </c>
      <c r="Q979" s="35"/>
      <c r="R979" s="38"/>
    </row>
    <row r="980" spans="1:18" ht="15.75" customHeight="1" x14ac:dyDescent="0.25">
      <c r="A980" s="37">
        <v>2017</v>
      </c>
      <c r="B980" s="35">
        <v>170100</v>
      </c>
      <c r="C980" s="34" t="s">
        <v>145</v>
      </c>
      <c r="D980" s="34" t="s">
        <v>10</v>
      </c>
      <c r="E980" s="35"/>
      <c r="F980" s="36">
        <f>IFERROR(E980/$Q980,0)</f>
        <v>0</v>
      </c>
      <c r="G980" s="38"/>
      <c r="H980" s="36">
        <f>IFERROR(G980/$R980,0)</f>
        <v>0</v>
      </c>
      <c r="I980" s="35"/>
      <c r="J980" s="36">
        <f>IFERROR(I980/$Q980,0)</f>
        <v>0</v>
      </c>
      <c r="K980" s="38"/>
      <c r="L980" s="36">
        <f>IFERROR(K980/$R980,0)</f>
        <v>0</v>
      </c>
      <c r="M980" s="35"/>
      <c r="N980" s="36">
        <f>IFERROR(M980/$Q980,0)</f>
        <v>0</v>
      </c>
      <c r="O980" s="38"/>
      <c r="P980" s="36">
        <f>IFERROR(O980/$R980,0)</f>
        <v>0</v>
      </c>
      <c r="Q980" s="35"/>
      <c r="R980" s="38"/>
    </row>
    <row r="981" spans="1:18" ht="15.75" customHeight="1" x14ac:dyDescent="0.25">
      <c r="A981" s="37">
        <v>2017</v>
      </c>
      <c r="B981" s="35">
        <v>170105</v>
      </c>
      <c r="C981" s="34" t="s">
        <v>145</v>
      </c>
      <c r="D981" s="34" t="s">
        <v>11</v>
      </c>
      <c r="E981" s="35"/>
      <c r="F981" s="36">
        <f>IFERROR(E981/$Q981,0)</f>
        <v>0</v>
      </c>
      <c r="G981" s="38"/>
      <c r="H981" s="36">
        <f>IFERROR(G981/$R981,0)</f>
        <v>0</v>
      </c>
      <c r="I981" s="35"/>
      <c r="J981" s="36">
        <f>IFERROR(I981/$Q981,0)</f>
        <v>0</v>
      </c>
      <c r="K981" s="38"/>
      <c r="L981" s="36">
        <f>IFERROR(K981/$R981,0)</f>
        <v>0</v>
      </c>
      <c r="M981" s="35"/>
      <c r="N981" s="36">
        <f>IFERROR(M981/$Q981,0)</f>
        <v>0</v>
      </c>
      <c r="O981" s="38"/>
      <c r="P981" s="36">
        <f>IFERROR(O981/$R981,0)</f>
        <v>0</v>
      </c>
      <c r="Q981" s="35"/>
      <c r="R981" s="38"/>
    </row>
    <row r="982" spans="1:18" ht="15.75" customHeight="1" x14ac:dyDescent="0.25">
      <c r="A982" s="37">
        <v>2017</v>
      </c>
      <c r="B982" s="35">
        <v>170110</v>
      </c>
      <c r="C982" s="34" t="s">
        <v>148</v>
      </c>
      <c r="D982" s="34" t="s">
        <v>12</v>
      </c>
      <c r="E982" s="35"/>
      <c r="F982" s="36">
        <f>IFERROR(E982/$Q982,0)</f>
        <v>0</v>
      </c>
      <c r="G982" s="38"/>
      <c r="H982" s="36">
        <f>IFERROR(G982/$R982,0)</f>
        <v>0</v>
      </c>
      <c r="I982" s="35"/>
      <c r="J982" s="36">
        <f>IFERROR(I982/$Q982,0)</f>
        <v>0</v>
      </c>
      <c r="K982" s="38"/>
      <c r="L982" s="36">
        <f>IFERROR(K982/$R982,0)</f>
        <v>0</v>
      </c>
      <c r="M982" s="35"/>
      <c r="N982" s="36">
        <f>IFERROR(M982/$Q982,0)</f>
        <v>0</v>
      </c>
      <c r="O982" s="38"/>
      <c r="P982" s="36">
        <f>IFERROR(O982/$R982,0)</f>
        <v>0</v>
      </c>
      <c r="Q982" s="35"/>
      <c r="R982" s="38"/>
    </row>
    <row r="983" spans="1:18" ht="15.75" customHeight="1" x14ac:dyDescent="0.25">
      <c r="A983" s="37">
        <v>2017</v>
      </c>
      <c r="B983" s="35">
        <v>170130</v>
      </c>
      <c r="C983" s="34" t="s">
        <v>149</v>
      </c>
      <c r="D983" s="34" t="s">
        <v>13</v>
      </c>
      <c r="E983" s="35"/>
      <c r="F983" s="36">
        <f>IFERROR(E983/$Q983,0)</f>
        <v>0</v>
      </c>
      <c r="G983" s="38"/>
      <c r="H983" s="36">
        <f>IFERROR(G983/$R983,0)</f>
        <v>0</v>
      </c>
      <c r="I983" s="35"/>
      <c r="J983" s="36">
        <f>IFERROR(I983/$Q983,0)</f>
        <v>0</v>
      </c>
      <c r="K983" s="38"/>
      <c r="L983" s="36">
        <f>IFERROR(K983/$R983,0)</f>
        <v>0</v>
      </c>
      <c r="M983" s="35"/>
      <c r="N983" s="36">
        <f>IFERROR(M983/$Q983,0)</f>
        <v>0</v>
      </c>
      <c r="O983" s="38"/>
      <c r="P983" s="36">
        <f>IFERROR(O983/$R983,0)</f>
        <v>0</v>
      </c>
      <c r="Q983" s="35"/>
      <c r="R983" s="38"/>
    </row>
    <row r="984" spans="1:18" ht="15.75" customHeight="1" x14ac:dyDescent="0.25">
      <c r="A984" s="37">
        <v>2017</v>
      </c>
      <c r="B984" s="35">
        <v>170190</v>
      </c>
      <c r="C984" s="34" t="s">
        <v>144</v>
      </c>
      <c r="D984" s="34" t="s">
        <v>14</v>
      </c>
      <c r="E984" s="35"/>
      <c r="F984" s="36">
        <f>IFERROR(E984/$Q984,0)</f>
        <v>0</v>
      </c>
      <c r="G984" s="38"/>
      <c r="H984" s="36">
        <f>IFERROR(G984/$R984,0)</f>
        <v>0</v>
      </c>
      <c r="I984" s="35"/>
      <c r="J984" s="36">
        <f>IFERROR(I984/$Q984,0)</f>
        <v>0</v>
      </c>
      <c r="K984" s="38"/>
      <c r="L984" s="36">
        <f>IFERROR(K984/$R984,0)</f>
        <v>0</v>
      </c>
      <c r="M984" s="35"/>
      <c r="N984" s="36">
        <f>IFERROR(M984/$Q984,0)</f>
        <v>0</v>
      </c>
      <c r="O984" s="38"/>
      <c r="P984" s="36">
        <f>IFERROR(O984/$R984,0)</f>
        <v>0</v>
      </c>
      <c r="Q984" s="35"/>
      <c r="R984" s="38"/>
    </row>
    <row r="985" spans="1:18" ht="15.75" customHeight="1" x14ac:dyDescent="0.25">
      <c r="A985" s="37">
        <v>2017</v>
      </c>
      <c r="B985" s="35">
        <v>170200</v>
      </c>
      <c r="C985" s="34" t="s">
        <v>146</v>
      </c>
      <c r="D985" s="34" t="s">
        <v>15</v>
      </c>
      <c r="E985" s="35"/>
      <c r="F985" s="36">
        <f>IFERROR(E985/$Q985,0)</f>
        <v>0</v>
      </c>
      <c r="G985" s="38"/>
      <c r="H985" s="36">
        <f>IFERROR(G985/$R985,0)</f>
        <v>0</v>
      </c>
      <c r="I985" s="35"/>
      <c r="J985" s="36">
        <f>IFERROR(I985/$Q985,0)</f>
        <v>0</v>
      </c>
      <c r="K985" s="38"/>
      <c r="L985" s="36">
        <f>IFERROR(K985/$R985,0)</f>
        <v>0</v>
      </c>
      <c r="M985" s="35"/>
      <c r="N985" s="36">
        <f>IFERROR(M985/$Q985,0)</f>
        <v>0</v>
      </c>
      <c r="O985" s="38"/>
      <c r="P985" s="36">
        <f>IFERROR(O985/$R985,0)</f>
        <v>0</v>
      </c>
      <c r="Q985" s="35"/>
      <c r="R985" s="38"/>
    </row>
    <row r="986" spans="1:18" ht="15.75" customHeight="1" x14ac:dyDescent="0.25">
      <c r="A986" s="37">
        <v>2017</v>
      </c>
      <c r="B986" s="35">
        <v>170210</v>
      </c>
      <c r="C986" s="34" t="s">
        <v>149</v>
      </c>
      <c r="D986" s="34" t="s">
        <v>16</v>
      </c>
      <c r="E986" s="35"/>
      <c r="F986" s="36">
        <f>IFERROR(E986/$Q986,0)</f>
        <v>0</v>
      </c>
      <c r="G986" s="38"/>
      <c r="H986" s="36">
        <f>IFERROR(G986/$R986,0)</f>
        <v>0</v>
      </c>
      <c r="I986" s="35"/>
      <c r="J986" s="36">
        <f>IFERROR(I986/$Q986,0)</f>
        <v>0</v>
      </c>
      <c r="K986" s="38"/>
      <c r="L986" s="36">
        <f>IFERROR(K986/$R986,0)</f>
        <v>0</v>
      </c>
      <c r="M986" s="35"/>
      <c r="N986" s="36">
        <f>IFERROR(M986/$Q986,0)</f>
        <v>0</v>
      </c>
      <c r="O986" s="39"/>
      <c r="P986" s="36">
        <f>IFERROR(O986/$R986,0)</f>
        <v>0</v>
      </c>
      <c r="Q986" s="35"/>
      <c r="R986" s="39"/>
    </row>
    <row r="987" spans="1:18" ht="15.75" customHeight="1" x14ac:dyDescent="0.25">
      <c r="A987" s="37">
        <v>2017</v>
      </c>
      <c r="B987" s="35">
        <v>170215</v>
      </c>
      <c r="C987" s="34" t="s">
        <v>149</v>
      </c>
      <c r="D987" s="34" t="s">
        <v>17</v>
      </c>
      <c r="E987" s="35"/>
      <c r="F987" s="36">
        <f>IFERROR(E987/$Q987,0)</f>
        <v>0</v>
      </c>
      <c r="G987" s="38"/>
      <c r="H987" s="36">
        <f>IFERROR(G987/$R987,0)</f>
        <v>0</v>
      </c>
      <c r="I987" s="35"/>
      <c r="J987" s="36">
        <f>IFERROR(I987/$Q987,0)</f>
        <v>0</v>
      </c>
      <c r="K987" s="38"/>
      <c r="L987" s="36">
        <f>IFERROR(K987/$R987,0)</f>
        <v>0</v>
      </c>
      <c r="M987" s="35"/>
      <c r="N987" s="36">
        <f>IFERROR(M987/$Q987,0)</f>
        <v>0</v>
      </c>
      <c r="O987" s="38"/>
      <c r="P987" s="36">
        <f>IFERROR(O987/$R987,0)</f>
        <v>0</v>
      </c>
      <c r="Q987" s="35"/>
      <c r="R987" s="38"/>
    </row>
    <row r="988" spans="1:18" ht="15.75" customHeight="1" x14ac:dyDescent="0.25">
      <c r="A988" s="37">
        <v>2017</v>
      </c>
      <c r="B988" s="35">
        <v>170220</v>
      </c>
      <c r="C988" s="34" t="s">
        <v>145</v>
      </c>
      <c r="D988" s="34" t="s">
        <v>18</v>
      </c>
      <c r="E988" s="35"/>
      <c r="F988" s="36">
        <f>IFERROR(E988/$Q988,0)</f>
        <v>0</v>
      </c>
      <c r="G988" s="38"/>
      <c r="H988" s="36">
        <f>IFERROR(G988/$R988,0)</f>
        <v>0</v>
      </c>
      <c r="I988" s="35"/>
      <c r="J988" s="36">
        <f>IFERROR(I988/$Q988,0)</f>
        <v>0</v>
      </c>
      <c r="K988" s="38"/>
      <c r="L988" s="36">
        <f>IFERROR(K988/$R988,0)</f>
        <v>0</v>
      </c>
      <c r="M988" s="35"/>
      <c r="N988" s="36">
        <f>IFERROR(M988/$Q988,0)</f>
        <v>0</v>
      </c>
      <c r="O988" s="39"/>
      <c r="P988" s="36">
        <f>IFERROR(O988/$R988,0)</f>
        <v>0</v>
      </c>
      <c r="Q988" s="35"/>
      <c r="R988" s="39"/>
    </row>
    <row r="989" spans="1:18" ht="15.75" customHeight="1" x14ac:dyDescent="0.25">
      <c r="A989" s="37">
        <v>2017</v>
      </c>
      <c r="B989" s="35">
        <v>170230</v>
      </c>
      <c r="C989" s="34" t="s">
        <v>150</v>
      </c>
      <c r="D989" s="34" t="s">
        <v>19</v>
      </c>
      <c r="E989" s="35"/>
      <c r="F989" s="36">
        <f>IFERROR(E989/$Q989,0)</f>
        <v>0</v>
      </c>
      <c r="G989" s="38"/>
      <c r="H989" s="36">
        <f>IFERROR(G989/$R989,0)</f>
        <v>0</v>
      </c>
      <c r="I989" s="35"/>
      <c r="J989" s="36">
        <f>IFERROR(I989/$Q989,0)</f>
        <v>0</v>
      </c>
      <c r="K989" s="38"/>
      <c r="L989" s="36">
        <f>IFERROR(K989/$R989,0)</f>
        <v>0</v>
      </c>
      <c r="M989" s="35"/>
      <c r="N989" s="36">
        <f>IFERROR(M989/$Q989,0)</f>
        <v>0</v>
      </c>
      <c r="O989" s="38"/>
      <c r="P989" s="36">
        <f>IFERROR(O989/$R989,0)</f>
        <v>0</v>
      </c>
      <c r="Q989" s="35"/>
      <c r="R989" s="38"/>
    </row>
    <row r="990" spans="1:18" ht="15.75" customHeight="1" x14ac:dyDescent="0.25">
      <c r="A990" s="37">
        <v>2017</v>
      </c>
      <c r="B990" s="35">
        <v>170240</v>
      </c>
      <c r="C990" s="34" t="s">
        <v>147</v>
      </c>
      <c r="D990" s="34" t="s">
        <v>20</v>
      </c>
      <c r="E990" s="35"/>
      <c r="F990" s="36">
        <f>IFERROR(E990/$Q990,0)</f>
        <v>0</v>
      </c>
      <c r="G990" s="38"/>
      <c r="H990" s="36">
        <f>IFERROR(G990/$R990,0)</f>
        <v>0</v>
      </c>
      <c r="I990" s="35"/>
      <c r="J990" s="36">
        <f>IFERROR(I990/$Q990,0)</f>
        <v>0</v>
      </c>
      <c r="K990" s="38"/>
      <c r="L990" s="36">
        <f>IFERROR(K990/$R990,0)</f>
        <v>0</v>
      </c>
      <c r="M990" s="35"/>
      <c r="N990" s="36">
        <f>IFERROR(M990/$Q990,0)</f>
        <v>0</v>
      </c>
      <c r="O990" s="38"/>
      <c r="P990" s="36">
        <f>IFERROR(O990/$R990,0)</f>
        <v>0</v>
      </c>
      <c r="Q990" s="35"/>
      <c r="R990" s="38"/>
    </row>
    <row r="991" spans="1:18" ht="15.75" customHeight="1" x14ac:dyDescent="0.25">
      <c r="A991" s="37">
        <v>2017</v>
      </c>
      <c r="B991" s="35">
        <v>170255</v>
      </c>
      <c r="C991" s="34" t="s">
        <v>145</v>
      </c>
      <c r="D991" s="34" t="s">
        <v>21</v>
      </c>
      <c r="E991" s="35"/>
      <c r="F991" s="36">
        <f>IFERROR(E991/$Q991,0)</f>
        <v>0</v>
      </c>
      <c r="G991" s="38"/>
      <c r="H991" s="36">
        <f>IFERROR(G991/$R991,0)</f>
        <v>0</v>
      </c>
      <c r="I991" s="35"/>
      <c r="J991" s="36">
        <f>IFERROR(I991/$Q991,0)</f>
        <v>0</v>
      </c>
      <c r="K991" s="38"/>
      <c r="L991" s="36">
        <f>IFERROR(K991/$R991,0)</f>
        <v>0</v>
      </c>
      <c r="M991" s="35"/>
      <c r="N991" s="36">
        <f>IFERROR(M991/$Q991,0)</f>
        <v>0</v>
      </c>
      <c r="O991" s="38"/>
      <c r="P991" s="36">
        <f>IFERROR(O991/$R991,0)</f>
        <v>0</v>
      </c>
      <c r="Q991" s="35"/>
      <c r="R991" s="38"/>
    </row>
    <row r="992" spans="1:18" ht="15.75" customHeight="1" x14ac:dyDescent="0.25">
      <c r="A992" s="37">
        <v>2017</v>
      </c>
      <c r="B992" s="35">
        <v>170270</v>
      </c>
      <c r="C992" s="34" t="s">
        <v>147</v>
      </c>
      <c r="D992" s="34" t="s">
        <v>22</v>
      </c>
      <c r="E992" s="35"/>
      <c r="F992" s="36">
        <f>IFERROR(E992/$Q992,0)</f>
        <v>0</v>
      </c>
      <c r="G992" s="38"/>
      <c r="H992" s="36">
        <f>IFERROR(G992/$R992,0)</f>
        <v>0</v>
      </c>
      <c r="I992" s="35"/>
      <c r="J992" s="36">
        <f>IFERROR(I992/$Q992,0)</f>
        <v>0</v>
      </c>
      <c r="K992" s="38"/>
      <c r="L992" s="36">
        <f>IFERROR(K992/$R992,0)</f>
        <v>0</v>
      </c>
      <c r="M992" s="35"/>
      <c r="N992" s="36">
        <f>IFERROR(M992/$Q992,0)</f>
        <v>0</v>
      </c>
      <c r="O992" s="38"/>
      <c r="P992" s="36">
        <f>IFERROR(O992/$R992,0)</f>
        <v>0</v>
      </c>
      <c r="Q992" s="35"/>
      <c r="R992" s="38"/>
    </row>
    <row r="993" spans="1:18" ht="15.75" customHeight="1" x14ac:dyDescent="0.25">
      <c r="A993" s="37">
        <v>2017</v>
      </c>
      <c r="B993" s="35">
        <v>170290</v>
      </c>
      <c r="C993" s="34" t="s">
        <v>145</v>
      </c>
      <c r="D993" s="34" t="s">
        <v>23</v>
      </c>
      <c r="E993" s="35"/>
      <c r="F993" s="36">
        <f>IFERROR(E993/$Q993,0)</f>
        <v>0</v>
      </c>
      <c r="G993" s="38"/>
      <c r="H993" s="36">
        <f>IFERROR(G993/$R993,0)</f>
        <v>0</v>
      </c>
      <c r="I993" s="35"/>
      <c r="J993" s="36">
        <f>IFERROR(I993/$Q993,0)</f>
        <v>0</v>
      </c>
      <c r="K993" s="38"/>
      <c r="L993" s="36">
        <f>IFERROR(K993/$R993,0)</f>
        <v>0</v>
      </c>
      <c r="M993" s="35"/>
      <c r="N993" s="36">
        <f>IFERROR(M993/$Q993,0)</f>
        <v>0</v>
      </c>
      <c r="O993" s="38"/>
      <c r="P993" s="36">
        <f>IFERROR(O993/$R993,0)</f>
        <v>0</v>
      </c>
      <c r="Q993" s="35"/>
      <c r="R993" s="38"/>
    </row>
    <row r="994" spans="1:18" ht="15.75" customHeight="1" x14ac:dyDescent="0.25">
      <c r="A994" s="37">
        <v>2017</v>
      </c>
      <c r="B994" s="35">
        <v>170300</v>
      </c>
      <c r="C994" s="34" t="s">
        <v>149</v>
      </c>
      <c r="D994" s="34" t="s">
        <v>24</v>
      </c>
      <c r="E994" s="35"/>
      <c r="F994" s="36">
        <f>IFERROR(E994/$Q994,0)</f>
        <v>0</v>
      </c>
      <c r="G994" s="38"/>
      <c r="H994" s="36">
        <f>IFERROR(G994/$R994,0)</f>
        <v>0</v>
      </c>
      <c r="I994" s="35"/>
      <c r="J994" s="36">
        <f>IFERROR(I994/$Q994,0)</f>
        <v>0</v>
      </c>
      <c r="K994" s="38"/>
      <c r="L994" s="36">
        <f>IFERROR(K994/$R994,0)</f>
        <v>0</v>
      </c>
      <c r="M994" s="35"/>
      <c r="N994" s="36">
        <f>IFERROR(M994/$Q994,0)</f>
        <v>0</v>
      </c>
      <c r="O994" s="38"/>
      <c r="P994" s="36">
        <f>IFERROR(O994/$R994,0)</f>
        <v>0</v>
      </c>
      <c r="Q994" s="35"/>
      <c r="R994" s="38"/>
    </row>
    <row r="995" spans="1:18" ht="15.75" customHeight="1" x14ac:dyDescent="0.25">
      <c r="A995" s="37">
        <v>2017</v>
      </c>
      <c r="B995" s="35">
        <v>170305</v>
      </c>
      <c r="C995" s="34" t="s">
        <v>150</v>
      </c>
      <c r="D995" s="34" t="s">
        <v>25</v>
      </c>
      <c r="E995" s="35"/>
      <c r="F995" s="36">
        <f>IFERROR(E995/$Q995,0)</f>
        <v>0</v>
      </c>
      <c r="G995" s="38"/>
      <c r="H995" s="36">
        <f>IFERROR(G995/$R995,0)</f>
        <v>0</v>
      </c>
      <c r="I995" s="35"/>
      <c r="J995" s="36">
        <f>IFERROR(I995/$Q995,0)</f>
        <v>0</v>
      </c>
      <c r="K995" s="38"/>
      <c r="L995" s="36">
        <f>IFERROR(K995/$R995,0)</f>
        <v>0</v>
      </c>
      <c r="M995" s="35"/>
      <c r="N995" s="36">
        <f>IFERROR(M995/$Q995,0)</f>
        <v>0</v>
      </c>
      <c r="O995" s="38"/>
      <c r="P995" s="36">
        <f>IFERROR(O995/$R995,0)</f>
        <v>0</v>
      </c>
      <c r="Q995" s="35"/>
      <c r="R995" s="38"/>
    </row>
    <row r="996" spans="1:18" ht="15.75" customHeight="1" x14ac:dyDescent="0.25">
      <c r="A996" s="37">
        <v>2017</v>
      </c>
      <c r="B996" s="35">
        <v>170307</v>
      </c>
      <c r="C996" s="34" t="s">
        <v>149</v>
      </c>
      <c r="D996" s="34" t="s">
        <v>26</v>
      </c>
      <c r="E996" s="35"/>
      <c r="F996" s="36">
        <f>IFERROR(E996/$Q996,0)</f>
        <v>0</v>
      </c>
      <c r="G996" s="38"/>
      <c r="H996" s="36">
        <f>IFERROR(G996/$R996,0)</f>
        <v>0</v>
      </c>
      <c r="I996" s="35"/>
      <c r="J996" s="36">
        <f>IFERROR(I996/$Q996,0)</f>
        <v>0</v>
      </c>
      <c r="K996" s="38"/>
      <c r="L996" s="36">
        <f>IFERROR(K996/$R996,0)</f>
        <v>0</v>
      </c>
      <c r="M996" s="35"/>
      <c r="N996" s="36">
        <f>IFERROR(M996/$Q996,0)</f>
        <v>0</v>
      </c>
      <c r="O996" s="38"/>
      <c r="P996" s="36">
        <f>IFERROR(O996/$R996,0)</f>
        <v>0</v>
      </c>
      <c r="Q996" s="35"/>
      <c r="R996" s="38"/>
    </row>
    <row r="997" spans="1:18" ht="15.75" customHeight="1" x14ac:dyDescent="0.25">
      <c r="A997" s="37">
        <v>2017</v>
      </c>
      <c r="B997" s="35">
        <v>170310</v>
      </c>
      <c r="C997" s="34" t="s">
        <v>144</v>
      </c>
      <c r="D997" s="34" t="s">
        <v>27</v>
      </c>
      <c r="E997" s="35"/>
      <c r="F997" s="36">
        <f>IFERROR(E997/$Q997,0)</f>
        <v>0</v>
      </c>
      <c r="G997" s="38"/>
      <c r="H997" s="36">
        <f>IFERROR(G997/$R997,0)</f>
        <v>0</v>
      </c>
      <c r="I997" s="35"/>
      <c r="J997" s="36">
        <f>IFERROR(I997/$Q997,0)</f>
        <v>0</v>
      </c>
      <c r="K997" s="38"/>
      <c r="L997" s="36">
        <f>IFERROR(K997/$R997,0)</f>
        <v>0</v>
      </c>
      <c r="M997" s="35"/>
      <c r="N997" s="36">
        <f>IFERROR(M997/$Q997,0)</f>
        <v>0</v>
      </c>
      <c r="O997" s="38"/>
      <c r="P997" s="36">
        <f>IFERROR(O997/$R997,0)</f>
        <v>0</v>
      </c>
      <c r="Q997" s="35"/>
      <c r="R997" s="38"/>
    </row>
    <row r="998" spans="1:18" ht="15.75" customHeight="1" x14ac:dyDescent="0.25">
      <c r="A998" s="37">
        <v>2017</v>
      </c>
      <c r="B998" s="35">
        <v>170320</v>
      </c>
      <c r="C998" s="34" t="s">
        <v>150</v>
      </c>
      <c r="D998" s="34" t="s">
        <v>28</v>
      </c>
      <c r="E998" s="35"/>
      <c r="F998" s="36">
        <f>IFERROR(E998/$Q998,0)</f>
        <v>0</v>
      </c>
      <c r="G998" s="38"/>
      <c r="H998" s="36">
        <f>IFERROR(G998/$R998,0)</f>
        <v>0</v>
      </c>
      <c r="I998" s="35"/>
      <c r="J998" s="36">
        <f>IFERROR(I998/$Q998,0)</f>
        <v>0</v>
      </c>
      <c r="K998" s="38"/>
      <c r="L998" s="36">
        <f>IFERROR(K998/$R998,0)</f>
        <v>0</v>
      </c>
      <c r="M998" s="35"/>
      <c r="N998" s="36">
        <f>IFERROR(M998/$Q998,0)</f>
        <v>0</v>
      </c>
      <c r="O998" s="38"/>
      <c r="P998" s="36">
        <f>IFERROR(O998/$R998,0)</f>
        <v>0</v>
      </c>
      <c r="Q998" s="35"/>
      <c r="R998" s="38"/>
    </row>
    <row r="999" spans="1:18" ht="15.75" customHeight="1" x14ac:dyDescent="0.25">
      <c r="A999" s="37">
        <v>2017</v>
      </c>
      <c r="B999" s="35">
        <v>170330</v>
      </c>
      <c r="C999" s="34" t="s">
        <v>150</v>
      </c>
      <c r="D999" s="34" t="s">
        <v>29</v>
      </c>
      <c r="E999" s="35"/>
      <c r="F999" s="36">
        <f>IFERROR(E999/$Q999,0)</f>
        <v>0</v>
      </c>
      <c r="G999" s="38"/>
      <c r="H999" s="36">
        <f>IFERROR(G999/$R999,0)</f>
        <v>0</v>
      </c>
      <c r="I999" s="35"/>
      <c r="J999" s="36">
        <f>IFERROR(I999/$Q999,0)</f>
        <v>0</v>
      </c>
      <c r="K999" s="38"/>
      <c r="L999" s="36">
        <f>IFERROR(K999/$R999,0)</f>
        <v>0</v>
      </c>
      <c r="M999" s="35"/>
      <c r="N999" s="36">
        <f>IFERROR(M999/$Q999,0)</f>
        <v>0</v>
      </c>
      <c r="O999" s="38"/>
      <c r="P999" s="36">
        <f>IFERROR(O999/$R999,0)</f>
        <v>0</v>
      </c>
      <c r="Q999" s="35"/>
      <c r="R999" s="38"/>
    </row>
    <row r="1000" spans="1:18" ht="15.75" customHeight="1" x14ac:dyDescent="0.25">
      <c r="A1000" s="37">
        <v>2017</v>
      </c>
      <c r="B1000" s="35">
        <v>170360</v>
      </c>
      <c r="C1000" s="34" t="s">
        <v>150</v>
      </c>
      <c r="D1000" s="34" t="s">
        <v>30</v>
      </c>
      <c r="E1000" s="35"/>
      <c r="F1000" s="36">
        <f>IFERROR(E1000/$Q1000,0)</f>
        <v>0</v>
      </c>
      <c r="G1000" s="38"/>
      <c r="H1000" s="36">
        <f>IFERROR(G1000/$R1000,0)</f>
        <v>0</v>
      </c>
      <c r="I1000" s="35"/>
      <c r="J1000" s="36">
        <f>IFERROR(I1000/$Q1000,0)</f>
        <v>0</v>
      </c>
      <c r="K1000" s="38"/>
      <c r="L1000" s="36">
        <f>IFERROR(K1000/$R1000,0)</f>
        <v>0</v>
      </c>
      <c r="M1000" s="35"/>
      <c r="N1000" s="36">
        <f>IFERROR(M1000/$Q1000,0)</f>
        <v>0</v>
      </c>
      <c r="O1000" s="38"/>
      <c r="P1000" s="36">
        <f>IFERROR(O1000/$R1000,0)</f>
        <v>0</v>
      </c>
      <c r="Q1000" s="35"/>
      <c r="R1000" s="38"/>
    </row>
    <row r="1001" spans="1:18" ht="15.75" customHeight="1" x14ac:dyDescent="0.25">
      <c r="A1001" s="37">
        <v>2017</v>
      </c>
      <c r="B1001" s="35">
        <v>170370</v>
      </c>
      <c r="C1001" s="34" t="s">
        <v>151</v>
      </c>
      <c r="D1001" s="34" t="s">
        <v>31</v>
      </c>
      <c r="E1001" s="35"/>
      <c r="F1001" s="36">
        <f>IFERROR(E1001/$Q1001,0)</f>
        <v>0</v>
      </c>
      <c r="G1001" s="38"/>
      <c r="H1001" s="36">
        <f>IFERROR(G1001/$R1001,0)</f>
        <v>0</v>
      </c>
      <c r="I1001" s="35"/>
      <c r="J1001" s="36">
        <f>IFERROR(I1001/$Q1001,0)</f>
        <v>0</v>
      </c>
      <c r="K1001" s="38"/>
      <c r="L1001" s="36">
        <f>IFERROR(K1001/$R1001,0)</f>
        <v>0</v>
      </c>
      <c r="M1001" s="35"/>
      <c r="N1001" s="36">
        <f>IFERROR(M1001/$Q1001,0)</f>
        <v>0</v>
      </c>
      <c r="O1001" s="38"/>
      <c r="P1001" s="36">
        <f>IFERROR(O1001/$R1001,0)</f>
        <v>0</v>
      </c>
      <c r="Q1001" s="35"/>
      <c r="R1001" s="38"/>
    </row>
    <row r="1002" spans="1:18" ht="15.75" customHeight="1" x14ac:dyDescent="0.25">
      <c r="A1002" s="37">
        <v>2017</v>
      </c>
      <c r="B1002" s="35">
        <v>170380</v>
      </c>
      <c r="C1002" s="34" t="s">
        <v>145</v>
      </c>
      <c r="D1002" s="34" t="s">
        <v>32</v>
      </c>
      <c r="E1002" s="35"/>
      <c r="F1002" s="36">
        <f>IFERROR(E1002/$Q1002,0)</f>
        <v>0</v>
      </c>
      <c r="G1002" s="38"/>
      <c r="H1002" s="36">
        <f>IFERROR(G1002/$R1002,0)</f>
        <v>0</v>
      </c>
      <c r="I1002" s="35"/>
      <c r="J1002" s="36">
        <f>IFERROR(I1002/$Q1002,0)</f>
        <v>0</v>
      </c>
      <c r="K1002" s="38"/>
      <c r="L1002" s="36">
        <f>IFERROR(K1002/$R1002,0)</f>
        <v>0</v>
      </c>
      <c r="M1002" s="35"/>
      <c r="N1002" s="36">
        <f>IFERROR(M1002/$Q1002,0)</f>
        <v>0</v>
      </c>
      <c r="O1002" s="38"/>
      <c r="P1002" s="36">
        <f>IFERROR(O1002/$R1002,0)</f>
        <v>0</v>
      </c>
      <c r="Q1002" s="35"/>
      <c r="R1002" s="38"/>
    </row>
    <row r="1003" spans="1:18" ht="15.75" customHeight="1" x14ac:dyDescent="0.25">
      <c r="A1003" s="37">
        <v>2017</v>
      </c>
      <c r="B1003" s="35">
        <v>170382</v>
      </c>
      <c r="C1003" s="34" t="s">
        <v>145</v>
      </c>
      <c r="D1003" s="34" t="s">
        <v>33</v>
      </c>
      <c r="E1003" s="35"/>
      <c r="F1003" s="36">
        <f>IFERROR(E1003/$Q1003,0)</f>
        <v>0</v>
      </c>
      <c r="G1003" s="38"/>
      <c r="H1003" s="36">
        <f>IFERROR(G1003/$R1003,0)</f>
        <v>0</v>
      </c>
      <c r="I1003" s="35"/>
      <c r="J1003" s="36">
        <f>IFERROR(I1003/$Q1003,0)</f>
        <v>0</v>
      </c>
      <c r="K1003" s="38"/>
      <c r="L1003" s="36">
        <f>IFERROR(K1003/$R1003,0)</f>
        <v>0</v>
      </c>
      <c r="M1003" s="35"/>
      <c r="N1003" s="36">
        <f>IFERROR(M1003/$Q1003,0)</f>
        <v>0</v>
      </c>
      <c r="O1003" s="38"/>
      <c r="P1003" s="36">
        <f>IFERROR(O1003/$R1003,0)</f>
        <v>0</v>
      </c>
      <c r="Q1003" s="35"/>
      <c r="R1003" s="38"/>
    </row>
    <row r="1004" spans="1:18" ht="15.75" customHeight="1" x14ac:dyDescent="0.25">
      <c r="A1004" s="37">
        <v>2017</v>
      </c>
      <c r="B1004" s="35">
        <v>170384</v>
      </c>
      <c r="C1004" s="34" t="s">
        <v>149</v>
      </c>
      <c r="D1004" s="34" t="s">
        <v>34</v>
      </c>
      <c r="E1004" s="35"/>
      <c r="F1004" s="36">
        <f>IFERROR(E1004/$Q1004,0)</f>
        <v>0</v>
      </c>
      <c r="G1004" s="38"/>
      <c r="H1004" s="36">
        <f>IFERROR(G1004/$R1004,0)</f>
        <v>0</v>
      </c>
      <c r="I1004" s="35"/>
      <c r="J1004" s="36">
        <f>IFERROR(I1004/$Q1004,0)</f>
        <v>0</v>
      </c>
      <c r="K1004" s="38"/>
      <c r="L1004" s="36">
        <f>IFERROR(K1004/$R1004,0)</f>
        <v>0</v>
      </c>
      <c r="M1004" s="35"/>
      <c r="N1004" s="36">
        <f>IFERROR(M1004/$Q1004,0)</f>
        <v>0</v>
      </c>
      <c r="O1004" s="38"/>
      <c r="P1004" s="36">
        <f>IFERROR(O1004/$R1004,0)</f>
        <v>0</v>
      </c>
      <c r="Q1004" s="35"/>
      <c r="R1004" s="38"/>
    </row>
    <row r="1005" spans="1:18" ht="15.75" customHeight="1" x14ac:dyDescent="0.25">
      <c r="A1005" s="37">
        <v>2017</v>
      </c>
      <c r="B1005" s="35">
        <v>170386</v>
      </c>
      <c r="C1005" s="34" t="s">
        <v>146</v>
      </c>
      <c r="D1005" s="34" t="s">
        <v>35</v>
      </c>
      <c r="E1005" s="35"/>
      <c r="F1005" s="36">
        <f>IFERROR(E1005/$Q1005,0)</f>
        <v>0</v>
      </c>
      <c r="G1005" s="38"/>
      <c r="H1005" s="36">
        <f>IFERROR(G1005/$R1005,0)</f>
        <v>0</v>
      </c>
      <c r="I1005" s="35"/>
      <c r="J1005" s="36">
        <f>IFERROR(I1005/$Q1005,0)</f>
        <v>0</v>
      </c>
      <c r="K1005" s="38"/>
      <c r="L1005" s="36">
        <f>IFERROR(K1005/$R1005,0)</f>
        <v>0</v>
      </c>
      <c r="M1005" s="35"/>
      <c r="N1005" s="36">
        <f>IFERROR(M1005/$Q1005,0)</f>
        <v>0</v>
      </c>
      <c r="O1005" s="38"/>
      <c r="P1005" s="36">
        <f>IFERROR(O1005/$R1005,0)</f>
        <v>0</v>
      </c>
      <c r="Q1005" s="35"/>
      <c r="R1005" s="38"/>
    </row>
    <row r="1006" spans="1:18" ht="15.75" customHeight="1" x14ac:dyDescent="0.25">
      <c r="A1006" s="37">
        <v>2017</v>
      </c>
      <c r="B1006" s="35">
        <v>170388</v>
      </c>
      <c r="C1006" s="34" t="s">
        <v>149</v>
      </c>
      <c r="D1006" s="34" t="s">
        <v>36</v>
      </c>
      <c r="E1006" s="35"/>
      <c r="F1006" s="36">
        <f>IFERROR(E1006/$Q1006,0)</f>
        <v>0</v>
      </c>
      <c r="G1006" s="38"/>
      <c r="H1006" s="36">
        <f>IFERROR(G1006/$R1006,0)</f>
        <v>0</v>
      </c>
      <c r="I1006" s="35"/>
      <c r="J1006" s="36">
        <f>IFERROR(I1006/$Q1006,0)</f>
        <v>0</v>
      </c>
      <c r="K1006" s="38"/>
      <c r="L1006" s="36">
        <f>IFERROR(K1006/$R1006,0)</f>
        <v>0</v>
      </c>
      <c r="M1006" s="35"/>
      <c r="N1006" s="36">
        <f>IFERROR(M1006/$Q1006,0)</f>
        <v>0</v>
      </c>
      <c r="O1006" s="38"/>
      <c r="P1006" s="36">
        <f>IFERROR(O1006/$R1006,0)</f>
        <v>0</v>
      </c>
      <c r="Q1006" s="35"/>
      <c r="R1006" s="38"/>
    </row>
    <row r="1007" spans="1:18" ht="15.75" customHeight="1" x14ac:dyDescent="0.25">
      <c r="A1007" s="37">
        <v>2017</v>
      </c>
      <c r="B1007" s="35">
        <v>170389</v>
      </c>
      <c r="C1007" s="34" t="s">
        <v>145</v>
      </c>
      <c r="D1007" s="34" t="s">
        <v>37</v>
      </c>
      <c r="E1007" s="35"/>
      <c r="F1007" s="36">
        <f>IFERROR(E1007/$Q1007,0)</f>
        <v>0</v>
      </c>
      <c r="G1007" s="38"/>
      <c r="H1007" s="36">
        <f>IFERROR(G1007/$R1007,0)</f>
        <v>0</v>
      </c>
      <c r="I1007" s="35"/>
      <c r="J1007" s="36">
        <f>IFERROR(I1007/$Q1007,0)</f>
        <v>0</v>
      </c>
      <c r="K1007" s="38"/>
      <c r="L1007" s="36">
        <f>IFERROR(K1007/$R1007,0)</f>
        <v>0</v>
      </c>
      <c r="M1007" s="35"/>
      <c r="N1007" s="36">
        <f>IFERROR(M1007/$Q1007,0)</f>
        <v>0</v>
      </c>
      <c r="O1007" s="38"/>
      <c r="P1007" s="36">
        <f>IFERROR(O1007/$R1007,0)</f>
        <v>0</v>
      </c>
      <c r="Q1007" s="35"/>
      <c r="R1007" s="38"/>
    </row>
    <row r="1008" spans="1:18" ht="15.75" customHeight="1" x14ac:dyDescent="0.25">
      <c r="A1008" s="37">
        <v>2017</v>
      </c>
      <c r="B1008" s="35">
        <v>170390</v>
      </c>
      <c r="C1008" s="34" t="s">
        <v>144</v>
      </c>
      <c r="D1008" s="34" t="s">
        <v>38</v>
      </c>
      <c r="E1008" s="35"/>
      <c r="F1008" s="36">
        <f>IFERROR(E1008/$Q1008,0)</f>
        <v>0</v>
      </c>
      <c r="G1008" s="38"/>
      <c r="H1008" s="36">
        <f>IFERROR(G1008/$R1008,0)</f>
        <v>0</v>
      </c>
      <c r="I1008" s="35"/>
      <c r="J1008" s="36">
        <f>IFERROR(I1008/$Q1008,0)</f>
        <v>0</v>
      </c>
      <c r="K1008" s="38"/>
      <c r="L1008" s="36">
        <f>IFERROR(K1008/$R1008,0)</f>
        <v>0</v>
      </c>
      <c r="M1008" s="35"/>
      <c r="N1008" s="36">
        <f>IFERROR(M1008/$Q1008,0)</f>
        <v>0</v>
      </c>
      <c r="O1008" s="38"/>
      <c r="P1008" s="36">
        <f>IFERROR(O1008/$R1008,0)</f>
        <v>0</v>
      </c>
      <c r="Q1008" s="35"/>
      <c r="R1008" s="38"/>
    </row>
    <row r="1009" spans="1:18" ht="15.75" customHeight="1" x14ac:dyDescent="0.25">
      <c r="A1009" s="37">
        <v>2017</v>
      </c>
      <c r="B1009" s="35">
        <v>170410</v>
      </c>
      <c r="C1009" s="34" t="s">
        <v>150</v>
      </c>
      <c r="D1009" s="34" t="s">
        <v>39</v>
      </c>
      <c r="E1009" s="35"/>
      <c r="F1009" s="36">
        <f>IFERROR(E1009/$Q1009,0)</f>
        <v>0</v>
      </c>
      <c r="G1009" s="38"/>
      <c r="H1009" s="36">
        <f>IFERROR(G1009/$R1009,0)</f>
        <v>0</v>
      </c>
      <c r="I1009" s="35"/>
      <c r="J1009" s="36">
        <f>IFERROR(I1009/$Q1009,0)</f>
        <v>0</v>
      </c>
      <c r="K1009" s="38"/>
      <c r="L1009" s="36">
        <f>IFERROR(K1009/$R1009,0)</f>
        <v>0</v>
      </c>
      <c r="M1009" s="35"/>
      <c r="N1009" s="36">
        <f>IFERROR(M1009/$Q1009,0)</f>
        <v>0</v>
      </c>
      <c r="O1009" s="38"/>
      <c r="P1009" s="36">
        <f>IFERROR(O1009/$R1009,0)</f>
        <v>0</v>
      </c>
      <c r="Q1009" s="35"/>
      <c r="R1009" s="38"/>
    </row>
    <row r="1010" spans="1:18" ht="15.75" customHeight="1" x14ac:dyDescent="0.25">
      <c r="A1010" s="37">
        <v>2017</v>
      </c>
      <c r="B1010" s="35">
        <v>170510</v>
      </c>
      <c r="C1010" s="34" t="s">
        <v>151</v>
      </c>
      <c r="D1010" s="34" t="s">
        <v>40</v>
      </c>
      <c r="E1010" s="35"/>
      <c r="F1010" s="36">
        <f>IFERROR(E1010/$Q1010,0)</f>
        <v>0</v>
      </c>
      <c r="G1010" s="38"/>
      <c r="H1010" s="36">
        <f>IFERROR(G1010/$R1010,0)</f>
        <v>0</v>
      </c>
      <c r="I1010" s="35"/>
      <c r="J1010" s="36">
        <f>IFERROR(I1010/$Q1010,0)</f>
        <v>0</v>
      </c>
      <c r="K1010" s="38"/>
      <c r="L1010" s="36">
        <f>IFERROR(K1010/$R1010,0)</f>
        <v>0</v>
      </c>
      <c r="M1010" s="35"/>
      <c r="N1010" s="36">
        <f>IFERROR(M1010/$Q1010,0)</f>
        <v>0</v>
      </c>
      <c r="O1010" s="38"/>
      <c r="P1010" s="36">
        <f>IFERROR(O1010/$R1010,0)</f>
        <v>0</v>
      </c>
      <c r="Q1010" s="35"/>
      <c r="R1010" s="38"/>
    </row>
    <row r="1011" spans="1:18" ht="15.75" customHeight="1" x14ac:dyDescent="0.25">
      <c r="A1011" s="37">
        <v>2017</v>
      </c>
      <c r="B1011" s="35">
        <v>170460</v>
      </c>
      <c r="C1011" s="34" t="s">
        <v>144</v>
      </c>
      <c r="D1011" s="34" t="s">
        <v>41</v>
      </c>
      <c r="E1011" s="35"/>
      <c r="F1011" s="36">
        <f>IFERROR(E1011/$Q1011,0)</f>
        <v>0</v>
      </c>
      <c r="G1011" s="38"/>
      <c r="H1011" s="36">
        <f>IFERROR(G1011/$R1011,0)</f>
        <v>0</v>
      </c>
      <c r="I1011" s="35"/>
      <c r="J1011" s="36">
        <f>IFERROR(I1011/$Q1011,0)</f>
        <v>0</v>
      </c>
      <c r="K1011" s="38"/>
      <c r="L1011" s="36">
        <f>IFERROR(K1011/$R1011,0)</f>
        <v>0</v>
      </c>
      <c r="M1011" s="35"/>
      <c r="N1011" s="36">
        <f>IFERROR(M1011/$Q1011,0)</f>
        <v>0</v>
      </c>
      <c r="O1011" s="38"/>
      <c r="P1011" s="36">
        <f>IFERROR(O1011/$R1011,0)</f>
        <v>0</v>
      </c>
      <c r="Q1011" s="35"/>
      <c r="R1011" s="38"/>
    </row>
    <row r="1012" spans="1:18" ht="15.75" customHeight="1" x14ac:dyDescent="0.25">
      <c r="A1012" s="37">
        <v>2017</v>
      </c>
      <c r="B1012" s="35">
        <v>170550</v>
      </c>
      <c r="C1012" s="34" t="s">
        <v>150</v>
      </c>
      <c r="D1012" s="34" t="s">
        <v>42</v>
      </c>
      <c r="E1012" s="35"/>
      <c r="F1012" s="36">
        <f>IFERROR(E1012/$Q1012,0)</f>
        <v>0</v>
      </c>
      <c r="G1012" s="38"/>
      <c r="H1012" s="36">
        <f>IFERROR(G1012/$R1012,0)</f>
        <v>0</v>
      </c>
      <c r="I1012" s="35"/>
      <c r="J1012" s="36">
        <f>IFERROR(I1012/$Q1012,0)</f>
        <v>0</v>
      </c>
      <c r="K1012" s="38"/>
      <c r="L1012" s="36">
        <f>IFERROR(K1012/$R1012,0)</f>
        <v>0</v>
      </c>
      <c r="M1012" s="35"/>
      <c r="N1012" s="36">
        <f>IFERROR(M1012/$Q1012,0)</f>
        <v>0</v>
      </c>
      <c r="O1012" s="38"/>
      <c r="P1012" s="36">
        <f>IFERROR(O1012/$R1012,0)</f>
        <v>0</v>
      </c>
      <c r="Q1012" s="35"/>
      <c r="R1012" s="38"/>
    </row>
    <row r="1013" spans="1:18" ht="15.75" customHeight="1" x14ac:dyDescent="0.25">
      <c r="A1013" s="37">
        <v>2017</v>
      </c>
      <c r="B1013" s="35">
        <v>171670</v>
      </c>
      <c r="C1013" s="34" t="s">
        <v>150</v>
      </c>
      <c r="D1013" s="34" t="s">
        <v>43</v>
      </c>
      <c r="E1013" s="35"/>
      <c r="F1013" s="36">
        <f>IFERROR(E1013/$Q1013,0)</f>
        <v>0</v>
      </c>
      <c r="G1013" s="38"/>
      <c r="H1013" s="36">
        <f>IFERROR(G1013/$R1013,0)</f>
        <v>0</v>
      </c>
      <c r="I1013" s="35"/>
      <c r="J1013" s="36">
        <f>IFERROR(I1013/$Q1013,0)</f>
        <v>0</v>
      </c>
      <c r="K1013" s="38"/>
      <c r="L1013" s="36">
        <f>IFERROR(K1013/$R1013,0)</f>
        <v>0</v>
      </c>
      <c r="M1013" s="35"/>
      <c r="N1013" s="36">
        <f>IFERROR(M1013/$Q1013,0)</f>
        <v>0</v>
      </c>
      <c r="O1013" s="38"/>
      <c r="P1013" s="36">
        <f>IFERROR(O1013/$R1013,0)</f>
        <v>0</v>
      </c>
      <c r="Q1013" s="35"/>
      <c r="R1013" s="38"/>
    </row>
    <row r="1014" spans="1:18" ht="15.75" customHeight="1" x14ac:dyDescent="0.25">
      <c r="A1014" s="37">
        <v>2017</v>
      </c>
      <c r="B1014" s="35">
        <v>170555</v>
      </c>
      <c r="C1014" s="34" t="s">
        <v>147</v>
      </c>
      <c r="D1014" s="34" t="s">
        <v>44</v>
      </c>
      <c r="E1014" s="35"/>
      <c r="F1014" s="36">
        <f>IFERROR(E1014/$Q1014,0)</f>
        <v>0</v>
      </c>
      <c r="G1014" s="38"/>
      <c r="H1014" s="36">
        <f>IFERROR(G1014/$R1014,0)</f>
        <v>0</v>
      </c>
      <c r="I1014" s="35"/>
      <c r="J1014" s="36">
        <f>IFERROR(I1014/$Q1014,0)</f>
        <v>0</v>
      </c>
      <c r="K1014" s="38"/>
      <c r="L1014" s="36">
        <f>IFERROR(K1014/$R1014,0)</f>
        <v>0</v>
      </c>
      <c r="M1014" s="35"/>
      <c r="N1014" s="36">
        <f>IFERROR(M1014/$Q1014,0)</f>
        <v>0</v>
      </c>
      <c r="O1014" s="38"/>
      <c r="P1014" s="36">
        <f>IFERROR(O1014/$R1014,0)</f>
        <v>0</v>
      </c>
      <c r="Q1014" s="35"/>
      <c r="R1014" s="38"/>
    </row>
    <row r="1015" spans="1:18" ht="15.75" customHeight="1" x14ac:dyDescent="0.25">
      <c r="A1015" s="37">
        <v>2017</v>
      </c>
      <c r="B1015" s="35">
        <v>170560</v>
      </c>
      <c r="C1015" s="34" t="s">
        <v>147</v>
      </c>
      <c r="D1015" s="34" t="s">
        <v>45</v>
      </c>
      <c r="E1015" s="35"/>
      <c r="F1015" s="36">
        <f>IFERROR(E1015/$Q1015,0)</f>
        <v>0</v>
      </c>
      <c r="G1015" s="38"/>
      <c r="H1015" s="36">
        <f>IFERROR(G1015/$R1015,0)</f>
        <v>0</v>
      </c>
      <c r="I1015" s="35"/>
      <c r="J1015" s="36">
        <f>IFERROR(I1015/$Q1015,0)</f>
        <v>0</v>
      </c>
      <c r="K1015" s="38"/>
      <c r="L1015" s="36">
        <f>IFERROR(K1015/$R1015,0)</f>
        <v>0</v>
      </c>
      <c r="M1015" s="35"/>
      <c r="N1015" s="36">
        <f>IFERROR(M1015/$Q1015,0)</f>
        <v>0</v>
      </c>
      <c r="O1015" s="38"/>
      <c r="P1015" s="36">
        <f>IFERROR(O1015/$R1015,0)</f>
        <v>0</v>
      </c>
      <c r="Q1015" s="35"/>
      <c r="R1015" s="38"/>
    </row>
    <row r="1016" spans="1:18" ht="15.75" customHeight="1" x14ac:dyDescent="0.25">
      <c r="A1016" s="37">
        <v>2017</v>
      </c>
      <c r="B1016" s="35">
        <v>170600</v>
      </c>
      <c r="C1016" s="34" t="s">
        <v>150</v>
      </c>
      <c r="D1016" s="34" t="s">
        <v>46</v>
      </c>
      <c r="E1016" s="35"/>
      <c r="F1016" s="36">
        <f>IFERROR(E1016/$Q1016,0)</f>
        <v>0</v>
      </c>
      <c r="G1016" s="38"/>
      <c r="H1016" s="36">
        <f>IFERROR(G1016/$R1016,0)</f>
        <v>0</v>
      </c>
      <c r="I1016" s="35"/>
      <c r="J1016" s="36">
        <f>IFERROR(I1016/$Q1016,0)</f>
        <v>0</v>
      </c>
      <c r="K1016" s="38"/>
      <c r="L1016" s="36">
        <f>IFERROR(K1016/$R1016,0)</f>
        <v>0</v>
      </c>
      <c r="M1016" s="35"/>
      <c r="N1016" s="36">
        <f>IFERROR(M1016/$Q1016,0)</f>
        <v>0</v>
      </c>
      <c r="O1016" s="38"/>
      <c r="P1016" s="36">
        <f>IFERROR(O1016/$R1016,0)</f>
        <v>0</v>
      </c>
      <c r="Q1016" s="35"/>
      <c r="R1016" s="38"/>
    </row>
    <row r="1017" spans="1:18" ht="15.75" customHeight="1" x14ac:dyDescent="0.25">
      <c r="A1017" s="37">
        <v>2017</v>
      </c>
      <c r="B1017" s="35">
        <v>170610</v>
      </c>
      <c r="C1017" s="34" t="s">
        <v>144</v>
      </c>
      <c r="D1017" s="34" t="s">
        <v>47</v>
      </c>
      <c r="E1017" s="35"/>
      <c r="F1017" s="36">
        <f>IFERROR(E1017/$Q1017,0)</f>
        <v>0</v>
      </c>
      <c r="G1017" s="38"/>
      <c r="H1017" s="36">
        <f>IFERROR(G1017/$R1017,0)</f>
        <v>0</v>
      </c>
      <c r="I1017" s="35"/>
      <c r="J1017" s="36">
        <f>IFERROR(I1017/$Q1017,0)</f>
        <v>0</v>
      </c>
      <c r="K1017" s="38"/>
      <c r="L1017" s="36">
        <f>IFERROR(K1017/$R1017,0)</f>
        <v>0</v>
      </c>
      <c r="M1017" s="35"/>
      <c r="N1017" s="36">
        <f>IFERROR(M1017/$Q1017,0)</f>
        <v>0</v>
      </c>
      <c r="O1017" s="38"/>
      <c r="P1017" s="36">
        <f>IFERROR(O1017/$R1017,0)</f>
        <v>0</v>
      </c>
      <c r="Q1017" s="35"/>
      <c r="R1017" s="38"/>
    </row>
    <row r="1018" spans="1:18" ht="15.75" customHeight="1" x14ac:dyDescent="0.25">
      <c r="A1018" s="37">
        <v>2017</v>
      </c>
      <c r="B1018" s="35">
        <v>170625</v>
      </c>
      <c r="C1018" s="34" t="s">
        <v>146</v>
      </c>
      <c r="D1018" s="34" t="s">
        <v>48</v>
      </c>
      <c r="E1018" s="35"/>
      <c r="F1018" s="36">
        <f>IFERROR(E1018/$Q1018,0)</f>
        <v>0</v>
      </c>
      <c r="G1018" s="38"/>
      <c r="H1018" s="36">
        <f>IFERROR(G1018/$R1018,0)</f>
        <v>0</v>
      </c>
      <c r="I1018" s="35"/>
      <c r="J1018" s="36">
        <f>IFERROR(I1018/$Q1018,0)</f>
        <v>0</v>
      </c>
      <c r="K1018" s="38"/>
      <c r="L1018" s="36">
        <f>IFERROR(K1018/$R1018,0)</f>
        <v>0</v>
      </c>
      <c r="M1018" s="35"/>
      <c r="N1018" s="36">
        <f>IFERROR(M1018/$Q1018,0)</f>
        <v>0</v>
      </c>
      <c r="O1018" s="38"/>
      <c r="P1018" s="36">
        <f>IFERROR(O1018/$R1018,0)</f>
        <v>0</v>
      </c>
      <c r="Q1018" s="35"/>
      <c r="R1018" s="38"/>
    </row>
    <row r="1019" spans="1:18" ht="15.75" customHeight="1" x14ac:dyDescent="0.25">
      <c r="A1019" s="37">
        <v>2017</v>
      </c>
      <c r="B1019" s="35">
        <v>170650</v>
      </c>
      <c r="C1019" s="34" t="s">
        <v>149</v>
      </c>
      <c r="D1019" s="34" t="s">
        <v>49</v>
      </c>
      <c r="E1019" s="35"/>
      <c r="F1019" s="36">
        <f>IFERROR(E1019/$Q1019,0)</f>
        <v>0</v>
      </c>
      <c r="G1019" s="38"/>
      <c r="H1019" s="36">
        <f>IFERROR(G1019/$R1019,0)</f>
        <v>0</v>
      </c>
      <c r="I1019" s="35"/>
      <c r="J1019" s="36">
        <f>IFERROR(I1019/$Q1019,0)</f>
        <v>0</v>
      </c>
      <c r="K1019" s="38"/>
      <c r="L1019" s="36">
        <f>IFERROR(K1019/$R1019,0)</f>
        <v>0</v>
      </c>
      <c r="M1019" s="35"/>
      <c r="N1019" s="36">
        <f>IFERROR(M1019/$Q1019,0)</f>
        <v>0</v>
      </c>
      <c r="O1019" s="38"/>
      <c r="P1019" s="36">
        <f>IFERROR(O1019/$R1019,0)</f>
        <v>0</v>
      </c>
      <c r="Q1019" s="35"/>
      <c r="R1019" s="38"/>
    </row>
    <row r="1020" spans="1:18" ht="15.75" customHeight="1" x14ac:dyDescent="0.25">
      <c r="A1020" s="37">
        <v>2017</v>
      </c>
      <c r="B1020" s="35">
        <v>170700</v>
      </c>
      <c r="C1020" s="34" t="s">
        <v>147</v>
      </c>
      <c r="D1020" s="34" t="s">
        <v>50</v>
      </c>
      <c r="E1020" s="35"/>
      <c r="F1020" s="36">
        <f>IFERROR(E1020/$Q1020,0)</f>
        <v>0</v>
      </c>
      <c r="G1020" s="38"/>
      <c r="H1020" s="36">
        <f>IFERROR(G1020/$R1020,0)</f>
        <v>0</v>
      </c>
      <c r="I1020" s="35"/>
      <c r="J1020" s="36">
        <f>IFERROR(I1020/$Q1020,0)</f>
        <v>0</v>
      </c>
      <c r="K1020" s="38"/>
      <c r="L1020" s="36">
        <f>IFERROR(K1020/$R1020,0)</f>
        <v>0</v>
      </c>
      <c r="M1020" s="35"/>
      <c r="N1020" s="36">
        <f>IFERROR(M1020/$Q1020,0)</f>
        <v>0</v>
      </c>
      <c r="O1020" s="38"/>
      <c r="P1020" s="36">
        <f>IFERROR(O1020/$R1020,0)</f>
        <v>0</v>
      </c>
      <c r="Q1020" s="35"/>
      <c r="R1020" s="38"/>
    </row>
    <row r="1021" spans="1:18" ht="15.75" customHeight="1" x14ac:dyDescent="0.25">
      <c r="A1021" s="37">
        <v>2017</v>
      </c>
      <c r="B1021" s="35">
        <v>170710</v>
      </c>
      <c r="C1021" s="34" t="s">
        <v>144</v>
      </c>
      <c r="D1021" s="34" t="s">
        <v>51</v>
      </c>
      <c r="E1021" s="35"/>
      <c r="F1021" s="36">
        <f>IFERROR(E1021/$Q1021,0)</f>
        <v>0</v>
      </c>
      <c r="G1021" s="38"/>
      <c r="H1021" s="36">
        <f>IFERROR(G1021/$R1021,0)</f>
        <v>0</v>
      </c>
      <c r="I1021" s="35"/>
      <c r="J1021" s="36">
        <f>IFERROR(I1021/$Q1021,0)</f>
        <v>0</v>
      </c>
      <c r="K1021" s="38"/>
      <c r="L1021" s="36">
        <f>IFERROR(K1021/$R1021,0)</f>
        <v>0</v>
      </c>
      <c r="M1021" s="35"/>
      <c r="N1021" s="36">
        <f>IFERROR(M1021/$Q1021,0)</f>
        <v>0</v>
      </c>
      <c r="O1021" s="38"/>
      <c r="P1021" s="36">
        <f>IFERROR(O1021/$R1021,0)</f>
        <v>0</v>
      </c>
      <c r="Q1021" s="35"/>
      <c r="R1021" s="38"/>
    </row>
    <row r="1022" spans="1:18" ht="15.75" customHeight="1" x14ac:dyDescent="0.25">
      <c r="A1022" s="37">
        <v>2017</v>
      </c>
      <c r="B1022" s="35">
        <v>170720</v>
      </c>
      <c r="C1022" s="34" t="s">
        <v>144</v>
      </c>
      <c r="D1022" s="34" t="s">
        <v>52</v>
      </c>
      <c r="E1022" s="35"/>
      <c r="F1022" s="36">
        <f>IFERROR(E1022/$Q1022,0)</f>
        <v>0</v>
      </c>
      <c r="G1022" s="38"/>
      <c r="H1022" s="36">
        <f>IFERROR(G1022/$R1022,0)</f>
        <v>0</v>
      </c>
      <c r="I1022" s="35"/>
      <c r="J1022" s="36">
        <f>IFERROR(I1022/$Q1022,0)</f>
        <v>0</v>
      </c>
      <c r="K1022" s="38"/>
      <c r="L1022" s="36">
        <f>IFERROR(K1022/$R1022,0)</f>
        <v>0</v>
      </c>
      <c r="M1022" s="35"/>
      <c r="N1022" s="36">
        <f>IFERROR(M1022/$Q1022,0)</f>
        <v>0</v>
      </c>
      <c r="O1022" s="38"/>
      <c r="P1022" s="36">
        <f>IFERROR(O1022/$R1022,0)</f>
        <v>0</v>
      </c>
      <c r="Q1022" s="35"/>
      <c r="R1022" s="38"/>
    </row>
    <row r="1023" spans="1:18" ht="15.75" customHeight="1" x14ac:dyDescent="0.25">
      <c r="A1023" s="37">
        <v>2017</v>
      </c>
      <c r="B1023" s="35">
        <v>170730</v>
      </c>
      <c r="C1023" s="34" t="s">
        <v>146</v>
      </c>
      <c r="D1023" s="34" t="s">
        <v>53</v>
      </c>
      <c r="E1023" s="35"/>
      <c r="F1023" s="36">
        <f>IFERROR(E1023/$Q1023,0)</f>
        <v>0</v>
      </c>
      <c r="G1023" s="38"/>
      <c r="H1023" s="36">
        <f>IFERROR(G1023/$R1023,0)</f>
        <v>0</v>
      </c>
      <c r="I1023" s="35"/>
      <c r="J1023" s="36">
        <f>IFERROR(I1023/$Q1023,0)</f>
        <v>0</v>
      </c>
      <c r="K1023" s="38"/>
      <c r="L1023" s="36">
        <f>IFERROR(K1023/$R1023,0)</f>
        <v>0</v>
      </c>
      <c r="M1023" s="35"/>
      <c r="N1023" s="36">
        <f>IFERROR(M1023/$Q1023,0)</f>
        <v>0</v>
      </c>
      <c r="O1023" s="38"/>
      <c r="P1023" s="36">
        <f>IFERROR(O1023/$R1023,0)</f>
        <v>0</v>
      </c>
      <c r="Q1023" s="35"/>
      <c r="R1023" s="38"/>
    </row>
    <row r="1024" spans="1:18" ht="15.75" customHeight="1" x14ac:dyDescent="0.25">
      <c r="A1024" s="37">
        <v>2017</v>
      </c>
      <c r="B1024" s="35">
        <v>170740</v>
      </c>
      <c r="C1024" s="34" t="s">
        <v>145</v>
      </c>
      <c r="D1024" s="34" t="s">
        <v>54</v>
      </c>
      <c r="E1024" s="35"/>
      <c r="F1024" s="36">
        <f>IFERROR(E1024/$Q1024,0)</f>
        <v>0</v>
      </c>
      <c r="G1024" s="38"/>
      <c r="H1024" s="36">
        <f>IFERROR(G1024/$R1024,0)</f>
        <v>0</v>
      </c>
      <c r="I1024" s="35"/>
      <c r="J1024" s="36">
        <f>IFERROR(I1024/$Q1024,0)</f>
        <v>0</v>
      </c>
      <c r="K1024" s="38"/>
      <c r="L1024" s="36">
        <f>IFERROR(K1024/$R1024,0)</f>
        <v>0</v>
      </c>
      <c r="M1024" s="35"/>
      <c r="N1024" s="36">
        <f>IFERROR(M1024/$Q1024,0)</f>
        <v>0</v>
      </c>
      <c r="O1024" s="38"/>
      <c r="P1024" s="36">
        <f>IFERROR(O1024/$R1024,0)</f>
        <v>0</v>
      </c>
      <c r="Q1024" s="35"/>
      <c r="R1024" s="38"/>
    </row>
    <row r="1025" spans="1:18" ht="15.75" customHeight="1" x14ac:dyDescent="0.25">
      <c r="A1025" s="37">
        <v>2017</v>
      </c>
      <c r="B1025" s="35">
        <v>170755</v>
      </c>
      <c r="C1025" s="34" t="s">
        <v>151</v>
      </c>
      <c r="D1025" s="34" t="s">
        <v>55</v>
      </c>
      <c r="E1025" s="35"/>
      <c r="F1025" s="36">
        <f>IFERROR(E1025/$Q1025,0)</f>
        <v>0</v>
      </c>
      <c r="G1025" s="38"/>
      <c r="H1025" s="36">
        <f>IFERROR(G1025/$R1025,0)</f>
        <v>0</v>
      </c>
      <c r="I1025" s="35"/>
      <c r="J1025" s="36">
        <f>IFERROR(I1025/$Q1025,0)</f>
        <v>0</v>
      </c>
      <c r="K1025" s="38"/>
      <c r="L1025" s="36">
        <f>IFERROR(K1025/$R1025,0)</f>
        <v>0</v>
      </c>
      <c r="M1025" s="35"/>
      <c r="N1025" s="36">
        <f>IFERROR(M1025/$Q1025,0)</f>
        <v>0</v>
      </c>
      <c r="O1025" s="38"/>
      <c r="P1025" s="36">
        <f>IFERROR(O1025/$R1025,0)</f>
        <v>0</v>
      </c>
      <c r="Q1025" s="35"/>
      <c r="R1025" s="38"/>
    </row>
    <row r="1026" spans="1:18" ht="15.75" customHeight="1" x14ac:dyDescent="0.25">
      <c r="A1026" s="37">
        <v>2017</v>
      </c>
      <c r="B1026" s="35">
        <v>170765</v>
      </c>
      <c r="C1026" s="34" t="s">
        <v>146</v>
      </c>
      <c r="D1026" s="34" t="s">
        <v>56</v>
      </c>
      <c r="E1026" s="35"/>
      <c r="F1026" s="36">
        <f>IFERROR(E1026/$Q1026,0)</f>
        <v>0</v>
      </c>
      <c r="G1026" s="38"/>
      <c r="H1026" s="36">
        <f>IFERROR(G1026/$R1026,0)</f>
        <v>0</v>
      </c>
      <c r="I1026" s="35"/>
      <c r="J1026" s="36">
        <f>IFERROR(I1026/$Q1026,0)</f>
        <v>0</v>
      </c>
      <c r="K1026" s="38"/>
      <c r="L1026" s="36">
        <f>IFERROR(K1026/$R1026,0)</f>
        <v>0</v>
      </c>
      <c r="M1026" s="35"/>
      <c r="N1026" s="36">
        <f>IFERROR(M1026/$Q1026,0)</f>
        <v>0</v>
      </c>
      <c r="O1026" s="38"/>
      <c r="P1026" s="36">
        <f>IFERROR(O1026/$R1026,0)</f>
        <v>0</v>
      </c>
      <c r="Q1026" s="35"/>
      <c r="R1026" s="38"/>
    </row>
    <row r="1027" spans="1:18" ht="15.75" customHeight="1" x14ac:dyDescent="0.25">
      <c r="A1027" s="37">
        <v>2017</v>
      </c>
      <c r="B1027" s="35">
        <v>170770</v>
      </c>
      <c r="C1027" s="34" t="s">
        <v>149</v>
      </c>
      <c r="D1027" s="34" t="s">
        <v>57</v>
      </c>
      <c r="E1027" s="35"/>
      <c r="F1027" s="36">
        <f>IFERROR(E1027/$Q1027,0)</f>
        <v>0</v>
      </c>
      <c r="G1027" s="38"/>
      <c r="H1027" s="36">
        <f>IFERROR(G1027/$R1027,0)</f>
        <v>0</v>
      </c>
      <c r="I1027" s="35"/>
      <c r="J1027" s="36">
        <f>IFERROR(I1027/$Q1027,0)</f>
        <v>0</v>
      </c>
      <c r="K1027" s="38"/>
      <c r="L1027" s="36">
        <f>IFERROR(K1027/$R1027,0)</f>
        <v>0</v>
      </c>
      <c r="M1027" s="35"/>
      <c r="N1027" s="36">
        <f>IFERROR(M1027/$Q1027,0)</f>
        <v>0</v>
      </c>
      <c r="O1027" s="38"/>
      <c r="P1027" s="36">
        <f>IFERROR(O1027/$R1027,0)</f>
        <v>0</v>
      </c>
      <c r="Q1027" s="35"/>
      <c r="R1027" s="38"/>
    </row>
    <row r="1028" spans="1:18" ht="15.75" customHeight="1" x14ac:dyDescent="0.25">
      <c r="A1028" s="37">
        <v>2017</v>
      </c>
      <c r="B1028" s="35">
        <v>170820</v>
      </c>
      <c r="C1028" s="34" t="s">
        <v>146</v>
      </c>
      <c r="D1028" s="34" t="s">
        <v>58</v>
      </c>
      <c r="E1028" s="35"/>
      <c r="F1028" s="36">
        <f>IFERROR(E1028/$Q1028,0)</f>
        <v>0</v>
      </c>
      <c r="G1028" s="38"/>
      <c r="H1028" s="36">
        <f>IFERROR(G1028/$R1028,0)</f>
        <v>0</v>
      </c>
      <c r="I1028" s="35"/>
      <c r="J1028" s="36">
        <f>IFERROR(I1028/$Q1028,0)</f>
        <v>0</v>
      </c>
      <c r="K1028" s="38"/>
      <c r="L1028" s="36">
        <f>IFERROR(K1028/$R1028,0)</f>
        <v>0</v>
      </c>
      <c r="M1028" s="35"/>
      <c r="N1028" s="36">
        <f>IFERROR(M1028/$Q1028,0)</f>
        <v>0</v>
      </c>
      <c r="O1028" s="38"/>
      <c r="P1028" s="36">
        <f>IFERROR(O1028/$R1028,0)</f>
        <v>0</v>
      </c>
      <c r="Q1028" s="35"/>
      <c r="R1028" s="38"/>
    </row>
    <row r="1029" spans="1:18" ht="15.75" customHeight="1" x14ac:dyDescent="0.25">
      <c r="A1029" s="37">
        <v>2017</v>
      </c>
      <c r="B1029" s="35">
        <v>170830</v>
      </c>
      <c r="C1029" s="34" t="s">
        <v>150</v>
      </c>
      <c r="D1029" s="34" t="s">
        <v>59</v>
      </c>
      <c r="E1029" s="35"/>
      <c r="F1029" s="36">
        <f>IFERROR(E1029/$Q1029,0)</f>
        <v>0</v>
      </c>
      <c r="G1029" s="38"/>
      <c r="H1029" s="36">
        <f>IFERROR(G1029/$R1029,0)</f>
        <v>0</v>
      </c>
      <c r="I1029" s="35"/>
      <c r="J1029" s="36">
        <f>IFERROR(I1029/$Q1029,0)</f>
        <v>0</v>
      </c>
      <c r="K1029" s="38"/>
      <c r="L1029" s="36">
        <f>IFERROR(K1029/$R1029,0)</f>
        <v>0</v>
      </c>
      <c r="M1029" s="35"/>
      <c r="N1029" s="36">
        <f>IFERROR(M1029/$Q1029,0)</f>
        <v>0</v>
      </c>
      <c r="O1029" s="38"/>
      <c r="P1029" s="36">
        <f>IFERROR(O1029/$R1029,0)</f>
        <v>0</v>
      </c>
      <c r="Q1029" s="35"/>
      <c r="R1029" s="38"/>
    </row>
    <row r="1030" spans="1:18" ht="15.75" customHeight="1" x14ac:dyDescent="0.25">
      <c r="A1030" s="37">
        <v>2017</v>
      </c>
      <c r="B1030" s="35">
        <v>170900</v>
      </c>
      <c r="C1030" s="34" t="s">
        <v>149</v>
      </c>
      <c r="D1030" s="34" t="s">
        <v>60</v>
      </c>
      <c r="E1030" s="35"/>
      <c r="F1030" s="36">
        <f>IFERROR(E1030/$Q1030,0)</f>
        <v>0</v>
      </c>
      <c r="G1030" s="38"/>
      <c r="H1030" s="36">
        <f>IFERROR(G1030/$R1030,0)</f>
        <v>0</v>
      </c>
      <c r="I1030" s="35"/>
      <c r="J1030" s="36">
        <f>IFERROR(I1030/$Q1030,0)</f>
        <v>0</v>
      </c>
      <c r="K1030" s="38"/>
      <c r="L1030" s="36">
        <f>IFERROR(K1030/$R1030,0)</f>
        <v>0</v>
      </c>
      <c r="M1030" s="35"/>
      <c r="N1030" s="36">
        <f>IFERROR(M1030/$Q1030,0)</f>
        <v>0</v>
      </c>
      <c r="O1030" s="38"/>
      <c r="P1030" s="36">
        <f>IFERROR(O1030/$R1030,0)</f>
        <v>0</v>
      </c>
      <c r="Q1030" s="35"/>
      <c r="R1030" s="38"/>
    </row>
    <row r="1031" spans="1:18" ht="15.75" customHeight="1" x14ac:dyDescent="0.25">
      <c r="A1031" s="37">
        <v>2017</v>
      </c>
      <c r="B1031" s="35">
        <v>170930</v>
      </c>
      <c r="C1031" s="34" t="s">
        <v>150</v>
      </c>
      <c r="D1031" s="34" t="s">
        <v>61</v>
      </c>
      <c r="E1031" s="35"/>
      <c r="F1031" s="36">
        <f>IFERROR(E1031/$Q1031,0)</f>
        <v>0</v>
      </c>
      <c r="G1031" s="38"/>
      <c r="H1031" s="36">
        <f>IFERROR(G1031/$R1031,0)</f>
        <v>0</v>
      </c>
      <c r="I1031" s="35"/>
      <c r="J1031" s="36">
        <f>IFERROR(I1031/$Q1031,0)</f>
        <v>0</v>
      </c>
      <c r="K1031" s="38"/>
      <c r="L1031" s="36">
        <f>IFERROR(K1031/$R1031,0)</f>
        <v>0</v>
      </c>
      <c r="M1031" s="35"/>
      <c r="N1031" s="36">
        <f>IFERROR(M1031/$Q1031,0)</f>
        <v>0</v>
      </c>
      <c r="O1031" s="38"/>
      <c r="P1031" s="36">
        <f>IFERROR(O1031/$R1031,0)</f>
        <v>0</v>
      </c>
      <c r="Q1031" s="35"/>
      <c r="R1031" s="38"/>
    </row>
    <row r="1032" spans="1:18" ht="15.75" customHeight="1" x14ac:dyDescent="0.25">
      <c r="A1032" s="37">
        <v>2017</v>
      </c>
      <c r="B1032" s="35">
        <v>170950</v>
      </c>
      <c r="C1032" s="34" t="s">
        <v>146</v>
      </c>
      <c r="D1032" s="34" t="s">
        <v>62</v>
      </c>
      <c r="E1032" s="35"/>
      <c r="F1032" s="36">
        <f>IFERROR(E1032/$Q1032,0)</f>
        <v>0</v>
      </c>
      <c r="G1032" s="38"/>
      <c r="H1032" s="36">
        <f>IFERROR(G1032/$R1032,0)</f>
        <v>0</v>
      </c>
      <c r="I1032" s="35"/>
      <c r="J1032" s="36">
        <f>IFERROR(I1032/$Q1032,0)</f>
        <v>0</v>
      </c>
      <c r="K1032" s="38"/>
      <c r="L1032" s="36">
        <f>IFERROR(K1032/$R1032,0)</f>
        <v>0</v>
      </c>
      <c r="M1032" s="35"/>
      <c r="N1032" s="36">
        <f>IFERROR(M1032/$Q1032,0)</f>
        <v>0</v>
      </c>
      <c r="O1032" s="39"/>
      <c r="P1032" s="36">
        <f>IFERROR(O1032/$R1032,0)</f>
        <v>0</v>
      </c>
      <c r="Q1032" s="35"/>
      <c r="R1032" s="39"/>
    </row>
    <row r="1033" spans="1:18" ht="15.75" customHeight="1" x14ac:dyDescent="0.25">
      <c r="A1033" s="37">
        <v>2017</v>
      </c>
      <c r="B1033" s="35">
        <v>170980</v>
      </c>
      <c r="C1033" s="34" t="s">
        <v>151</v>
      </c>
      <c r="D1033" s="34" t="s">
        <v>63</v>
      </c>
      <c r="E1033" s="35"/>
      <c r="F1033" s="36">
        <f>IFERROR(E1033/$Q1033,0)</f>
        <v>0</v>
      </c>
      <c r="G1033" s="38"/>
      <c r="H1033" s="36">
        <f>IFERROR(G1033/$R1033,0)</f>
        <v>0</v>
      </c>
      <c r="I1033" s="35"/>
      <c r="J1033" s="36">
        <f>IFERROR(I1033/$Q1033,0)</f>
        <v>0</v>
      </c>
      <c r="K1033" s="38"/>
      <c r="L1033" s="36">
        <f>IFERROR(K1033/$R1033,0)</f>
        <v>0</v>
      </c>
      <c r="M1033" s="35"/>
      <c r="N1033" s="36">
        <f>IFERROR(M1033/$Q1033,0)</f>
        <v>0</v>
      </c>
      <c r="O1033" s="38"/>
      <c r="P1033" s="36">
        <f>IFERROR(O1033/$R1033,0)</f>
        <v>0</v>
      </c>
      <c r="Q1033" s="35"/>
      <c r="R1033" s="38"/>
    </row>
    <row r="1034" spans="1:18" ht="15.75" customHeight="1" x14ac:dyDescent="0.25">
      <c r="A1034" s="37">
        <v>2017</v>
      </c>
      <c r="B1034" s="35">
        <v>171050</v>
      </c>
      <c r="C1034" s="34" t="s">
        <v>150</v>
      </c>
      <c r="D1034" s="34" t="s">
        <v>64</v>
      </c>
      <c r="E1034" s="35"/>
      <c r="F1034" s="36">
        <f>IFERROR(E1034/$Q1034,0)</f>
        <v>0</v>
      </c>
      <c r="G1034" s="38"/>
      <c r="H1034" s="36">
        <f>IFERROR(G1034/$R1034,0)</f>
        <v>0</v>
      </c>
      <c r="I1034" s="35"/>
      <c r="J1034" s="36">
        <f>IFERROR(I1034/$Q1034,0)</f>
        <v>0</v>
      </c>
      <c r="K1034" s="38"/>
      <c r="L1034" s="36">
        <f>IFERROR(K1034/$R1034,0)</f>
        <v>0</v>
      </c>
      <c r="M1034" s="35"/>
      <c r="N1034" s="36">
        <f>IFERROR(M1034/$Q1034,0)</f>
        <v>0</v>
      </c>
      <c r="O1034" s="38"/>
      <c r="P1034" s="36">
        <f>IFERROR(O1034/$R1034,0)</f>
        <v>0</v>
      </c>
      <c r="Q1034" s="35"/>
      <c r="R1034" s="38"/>
    </row>
    <row r="1035" spans="1:18" ht="15.75" customHeight="1" x14ac:dyDescent="0.25">
      <c r="A1035" s="37">
        <v>2017</v>
      </c>
      <c r="B1035" s="35">
        <v>171070</v>
      </c>
      <c r="C1035" s="34" t="s">
        <v>145</v>
      </c>
      <c r="D1035" s="34" t="s">
        <v>65</v>
      </c>
      <c r="E1035" s="35"/>
      <c r="F1035" s="36">
        <f>IFERROR(E1035/$Q1035,0)</f>
        <v>0</v>
      </c>
      <c r="G1035" s="38"/>
      <c r="H1035" s="36">
        <f>IFERROR(G1035/$R1035,0)</f>
        <v>0</v>
      </c>
      <c r="I1035" s="35"/>
      <c r="J1035" s="36">
        <f>IFERROR(I1035/$Q1035,0)</f>
        <v>0</v>
      </c>
      <c r="K1035" s="38"/>
      <c r="L1035" s="36">
        <f>IFERROR(K1035/$R1035,0)</f>
        <v>0</v>
      </c>
      <c r="M1035" s="35"/>
      <c r="N1035" s="36">
        <f>IFERROR(M1035/$Q1035,0)</f>
        <v>0</v>
      </c>
      <c r="O1035" s="38"/>
      <c r="P1035" s="36">
        <f>IFERROR(O1035/$R1035,0)</f>
        <v>0</v>
      </c>
      <c r="Q1035" s="35"/>
      <c r="R1035" s="38"/>
    </row>
    <row r="1036" spans="1:18" ht="15.75" customHeight="1" x14ac:dyDescent="0.25">
      <c r="A1036" s="37">
        <v>2017</v>
      </c>
      <c r="B1036" s="35">
        <v>171090</v>
      </c>
      <c r="C1036" s="34" t="s">
        <v>150</v>
      </c>
      <c r="D1036" s="34" t="s">
        <v>66</v>
      </c>
      <c r="E1036" s="35"/>
      <c r="F1036" s="36">
        <f>IFERROR(E1036/$Q1036,0)</f>
        <v>0</v>
      </c>
      <c r="G1036" s="38"/>
      <c r="H1036" s="36">
        <f>IFERROR(G1036/$R1036,0)</f>
        <v>0</v>
      </c>
      <c r="I1036" s="35"/>
      <c r="J1036" s="36">
        <f>IFERROR(I1036/$Q1036,0)</f>
        <v>0</v>
      </c>
      <c r="K1036" s="38"/>
      <c r="L1036" s="36">
        <f>IFERROR(K1036/$R1036,0)</f>
        <v>0</v>
      </c>
      <c r="M1036" s="35"/>
      <c r="N1036" s="36">
        <f>IFERROR(M1036/$Q1036,0)</f>
        <v>0</v>
      </c>
      <c r="O1036" s="38"/>
      <c r="P1036" s="36">
        <f>IFERROR(O1036/$R1036,0)</f>
        <v>0</v>
      </c>
      <c r="Q1036" s="35"/>
      <c r="R1036" s="38"/>
    </row>
    <row r="1037" spans="1:18" ht="15.75" customHeight="1" x14ac:dyDescent="0.25">
      <c r="A1037" s="37">
        <v>2017</v>
      </c>
      <c r="B1037" s="35">
        <v>171110</v>
      </c>
      <c r="C1037" s="34" t="s">
        <v>150</v>
      </c>
      <c r="D1037" s="34" t="s">
        <v>67</v>
      </c>
      <c r="E1037" s="35"/>
      <c r="F1037" s="36">
        <f>IFERROR(E1037/$Q1037,0)</f>
        <v>0</v>
      </c>
      <c r="G1037" s="38"/>
      <c r="H1037" s="36">
        <f>IFERROR(G1037/$R1037,0)</f>
        <v>0</v>
      </c>
      <c r="I1037" s="35"/>
      <c r="J1037" s="36">
        <f>IFERROR(I1037/$Q1037,0)</f>
        <v>0</v>
      </c>
      <c r="K1037" s="38"/>
      <c r="L1037" s="36">
        <f>IFERROR(K1037/$R1037,0)</f>
        <v>0</v>
      </c>
      <c r="M1037" s="35"/>
      <c r="N1037" s="36">
        <f>IFERROR(M1037/$Q1037,0)</f>
        <v>0</v>
      </c>
      <c r="O1037" s="38"/>
      <c r="P1037" s="36">
        <f>IFERROR(O1037/$R1037,0)</f>
        <v>0</v>
      </c>
      <c r="Q1037" s="35"/>
      <c r="R1037" s="38"/>
    </row>
    <row r="1038" spans="1:18" ht="15.75" customHeight="1" x14ac:dyDescent="0.25">
      <c r="A1038" s="37">
        <v>2017</v>
      </c>
      <c r="B1038" s="35">
        <v>171150</v>
      </c>
      <c r="C1038" s="34" t="s">
        <v>146</v>
      </c>
      <c r="D1038" s="34" t="s">
        <v>68</v>
      </c>
      <c r="E1038" s="35"/>
      <c r="F1038" s="36">
        <f>IFERROR(E1038/$Q1038,0)</f>
        <v>0</v>
      </c>
      <c r="G1038" s="38"/>
      <c r="H1038" s="36">
        <f>IFERROR(G1038/$R1038,0)</f>
        <v>0</v>
      </c>
      <c r="I1038" s="35"/>
      <c r="J1038" s="36">
        <f>IFERROR(I1038/$Q1038,0)</f>
        <v>0</v>
      </c>
      <c r="K1038" s="38"/>
      <c r="L1038" s="36">
        <f>IFERROR(K1038/$R1038,0)</f>
        <v>0</v>
      </c>
      <c r="M1038" s="35"/>
      <c r="N1038" s="36">
        <f>IFERROR(M1038/$Q1038,0)</f>
        <v>0</v>
      </c>
      <c r="O1038" s="38"/>
      <c r="P1038" s="36">
        <f>IFERROR(O1038/$R1038,0)</f>
        <v>0</v>
      </c>
      <c r="Q1038" s="35"/>
      <c r="R1038" s="38"/>
    </row>
    <row r="1039" spans="1:18" ht="15.75" customHeight="1" x14ac:dyDescent="0.25">
      <c r="A1039" s="37">
        <v>2017</v>
      </c>
      <c r="B1039" s="35">
        <v>171180</v>
      </c>
      <c r="C1039" s="34" t="s">
        <v>150</v>
      </c>
      <c r="D1039" s="34" t="s">
        <v>69</v>
      </c>
      <c r="E1039" s="35"/>
      <c r="F1039" s="36">
        <f>IFERROR(E1039/$Q1039,0)</f>
        <v>0</v>
      </c>
      <c r="G1039" s="38"/>
      <c r="H1039" s="36">
        <f>IFERROR(G1039/$R1039,0)</f>
        <v>0</v>
      </c>
      <c r="I1039" s="35"/>
      <c r="J1039" s="36">
        <f>IFERROR(I1039/$Q1039,0)</f>
        <v>0</v>
      </c>
      <c r="K1039" s="38"/>
      <c r="L1039" s="36">
        <f>IFERROR(K1039/$R1039,0)</f>
        <v>0</v>
      </c>
      <c r="M1039" s="35"/>
      <c r="N1039" s="36">
        <f>IFERROR(M1039/$Q1039,0)</f>
        <v>0</v>
      </c>
      <c r="O1039" s="38"/>
      <c r="P1039" s="36">
        <f>IFERROR(O1039/$R1039,0)</f>
        <v>0</v>
      </c>
      <c r="Q1039" s="35"/>
      <c r="R1039" s="38"/>
    </row>
    <row r="1040" spans="1:18" ht="15.75" customHeight="1" x14ac:dyDescent="0.25">
      <c r="A1040" s="37">
        <v>2017</v>
      </c>
      <c r="B1040" s="35">
        <v>171190</v>
      </c>
      <c r="C1040" s="34" t="s">
        <v>144</v>
      </c>
      <c r="D1040" s="34" t="s">
        <v>70</v>
      </c>
      <c r="E1040" s="35"/>
      <c r="F1040" s="36">
        <f>IFERROR(E1040/$Q1040,0)</f>
        <v>0</v>
      </c>
      <c r="G1040" s="38"/>
      <c r="H1040" s="36">
        <f>IFERROR(G1040/$R1040,0)</f>
        <v>0</v>
      </c>
      <c r="I1040" s="35"/>
      <c r="J1040" s="36">
        <f>IFERROR(I1040/$Q1040,0)</f>
        <v>0</v>
      </c>
      <c r="K1040" s="38"/>
      <c r="L1040" s="36">
        <f>IFERROR(K1040/$R1040,0)</f>
        <v>0</v>
      </c>
      <c r="M1040" s="35"/>
      <c r="N1040" s="36">
        <f>IFERROR(M1040/$Q1040,0)</f>
        <v>0</v>
      </c>
      <c r="O1040" s="38"/>
      <c r="P1040" s="36">
        <f>IFERROR(O1040/$R1040,0)</f>
        <v>0</v>
      </c>
      <c r="Q1040" s="35"/>
      <c r="R1040" s="38"/>
    </row>
    <row r="1041" spans="1:18" ht="15.75" customHeight="1" x14ac:dyDescent="0.25">
      <c r="A1041" s="37">
        <v>2017</v>
      </c>
      <c r="B1041" s="35">
        <v>171195</v>
      </c>
      <c r="C1041" s="34" t="s">
        <v>148</v>
      </c>
      <c r="D1041" s="34" t="s">
        <v>71</v>
      </c>
      <c r="E1041" s="35"/>
      <c r="F1041" s="36">
        <f>IFERROR(E1041/$Q1041,0)</f>
        <v>0</v>
      </c>
      <c r="G1041" s="38"/>
      <c r="H1041" s="36">
        <f>IFERROR(G1041/$R1041,0)</f>
        <v>0</v>
      </c>
      <c r="I1041" s="35"/>
      <c r="J1041" s="36">
        <f>IFERROR(I1041/$Q1041,0)</f>
        <v>0</v>
      </c>
      <c r="K1041" s="38"/>
      <c r="L1041" s="36">
        <f>IFERROR(K1041/$R1041,0)</f>
        <v>0</v>
      </c>
      <c r="M1041" s="35"/>
      <c r="N1041" s="36">
        <f>IFERROR(M1041/$Q1041,0)</f>
        <v>0</v>
      </c>
      <c r="O1041" s="38"/>
      <c r="P1041" s="36">
        <f>IFERROR(O1041/$R1041,0)</f>
        <v>0</v>
      </c>
      <c r="Q1041" s="35"/>
      <c r="R1041" s="38"/>
    </row>
    <row r="1042" spans="1:18" ht="15.75" customHeight="1" x14ac:dyDescent="0.25">
      <c r="A1042" s="37">
        <v>2017</v>
      </c>
      <c r="B1042" s="35">
        <v>171200</v>
      </c>
      <c r="C1042" s="34" t="s">
        <v>148</v>
      </c>
      <c r="D1042" s="34" t="s">
        <v>72</v>
      </c>
      <c r="E1042" s="35"/>
      <c r="F1042" s="36">
        <f>IFERROR(E1042/$Q1042,0)</f>
        <v>0</v>
      </c>
      <c r="G1042" s="38"/>
      <c r="H1042" s="36">
        <f>IFERROR(G1042/$R1042,0)</f>
        <v>0</v>
      </c>
      <c r="I1042" s="35"/>
      <c r="J1042" s="36">
        <f>IFERROR(I1042/$Q1042,0)</f>
        <v>0</v>
      </c>
      <c r="K1042" s="38"/>
      <c r="L1042" s="36">
        <f>IFERROR(K1042/$R1042,0)</f>
        <v>0</v>
      </c>
      <c r="M1042" s="35"/>
      <c r="N1042" s="36">
        <f>IFERROR(M1042/$Q1042,0)</f>
        <v>0</v>
      </c>
      <c r="O1042" s="38"/>
      <c r="P1042" s="36">
        <f>IFERROR(O1042/$R1042,0)</f>
        <v>0</v>
      </c>
      <c r="Q1042" s="35"/>
      <c r="R1042" s="38"/>
    </row>
    <row r="1043" spans="1:18" ht="15.75" customHeight="1" x14ac:dyDescent="0.25">
      <c r="A1043" s="37">
        <v>2017</v>
      </c>
      <c r="B1043" s="35">
        <v>171215</v>
      </c>
      <c r="C1043" s="34" t="s">
        <v>147</v>
      </c>
      <c r="D1043" s="34" t="s">
        <v>73</v>
      </c>
      <c r="E1043" s="35"/>
      <c r="F1043" s="36">
        <f>IFERROR(E1043/$Q1043,0)</f>
        <v>0</v>
      </c>
      <c r="G1043" s="38"/>
      <c r="H1043" s="36">
        <f>IFERROR(G1043/$R1043,0)</f>
        <v>0</v>
      </c>
      <c r="I1043" s="35"/>
      <c r="J1043" s="36">
        <f>IFERROR(I1043/$Q1043,0)</f>
        <v>0</v>
      </c>
      <c r="K1043" s="38"/>
      <c r="L1043" s="36">
        <f>IFERROR(K1043/$R1043,0)</f>
        <v>0</v>
      </c>
      <c r="M1043" s="35"/>
      <c r="N1043" s="36">
        <f>IFERROR(M1043/$Q1043,0)</f>
        <v>0</v>
      </c>
      <c r="O1043" s="38"/>
      <c r="P1043" s="36">
        <f>IFERROR(O1043/$R1043,0)</f>
        <v>0</v>
      </c>
      <c r="Q1043" s="35"/>
      <c r="R1043" s="38"/>
    </row>
    <row r="1044" spans="1:18" ht="15.75" customHeight="1" x14ac:dyDescent="0.25">
      <c r="A1044" s="37">
        <v>2017</v>
      </c>
      <c r="B1044" s="35">
        <v>171240</v>
      </c>
      <c r="C1044" s="34" t="s">
        <v>148</v>
      </c>
      <c r="D1044" s="34" t="s">
        <v>74</v>
      </c>
      <c r="E1044" s="35"/>
      <c r="F1044" s="36">
        <f>IFERROR(E1044/$Q1044,0)</f>
        <v>0</v>
      </c>
      <c r="G1044" s="38"/>
      <c r="H1044" s="36">
        <f>IFERROR(G1044/$R1044,0)</f>
        <v>0</v>
      </c>
      <c r="I1044" s="35"/>
      <c r="J1044" s="36">
        <f>IFERROR(I1044/$Q1044,0)</f>
        <v>0</v>
      </c>
      <c r="K1044" s="38"/>
      <c r="L1044" s="36">
        <f>IFERROR(K1044/$R1044,0)</f>
        <v>0</v>
      </c>
      <c r="M1044" s="35"/>
      <c r="N1044" s="36">
        <f>IFERROR(M1044/$Q1044,0)</f>
        <v>0</v>
      </c>
      <c r="O1044" s="38"/>
      <c r="P1044" s="36">
        <f>IFERROR(O1044/$R1044,0)</f>
        <v>0</v>
      </c>
      <c r="Q1044" s="35"/>
      <c r="R1044" s="38"/>
    </row>
    <row r="1045" spans="1:18" ht="15.75" customHeight="1" x14ac:dyDescent="0.25">
      <c r="A1045" s="37">
        <v>2017</v>
      </c>
      <c r="B1045" s="35">
        <v>171245</v>
      </c>
      <c r="C1045" s="34" t="s">
        <v>145</v>
      </c>
      <c r="D1045" s="34" t="s">
        <v>75</v>
      </c>
      <c r="E1045" s="35"/>
      <c r="F1045" s="36">
        <f>IFERROR(E1045/$Q1045,0)</f>
        <v>0</v>
      </c>
      <c r="G1045" s="38"/>
      <c r="H1045" s="36">
        <f>IFERROR(G1045/$R1045,0)</f>
        <v>0</v>
      </c>
      <c r="I1045" s="35"/>
      <c r="J1045" s="36">
        <f>IFERROR(I1045/$Q1045,0)</f>
        <v>0</v>
      </c>
      <c r="K1045" s="38"/>
      <c r="L1045" s="36">
        <f>IFERROR(K1045/$R1045,0)</f>
        <v>0</v>
      </c>
      <c r="M1045" s="35"/>
      <c r="N1045" s="36">
        <f>IFERROR(M1045/$Q1045,0)</f>
        <v>0</v>
      </c>
      <c r="O1045" s="38"/>
      <c r="P1045" s="36">
        <f>IFERROR(O1045/$R1045,0)</f>
        <v>0</v>
      </c>
      <c r="Q1045" s="35"/>
      <c r="R1045" s="38"/>
    </row>
    <row r="1046" spans="1:18" ht="15.75" customHeight="1" x14ac:dyDescent="0.25">
      <c r="A1046" s="37">
        <v>2017</v>
      </c>
      <c r="B1046" s="35">
        <v>171250</v>
      </c>
      <c r="C1046" s="34" t="s">
        <v>144</v>
      </c>
      <c r="D1046" s="34" t="s">
        <v>76</v>
      </c>
      <c r="E1046" s="35"/>
      <c r="F1046" s="36">
        <f>IFERROR(E1046/$Q1046,0)</f>
        <v>0</v>
      </c>
      <c r="G1046" s="38"/>
      <c r="H1046" s="36">
        <f>IFERROR(G1046/$R1046,0)</f>
        <v>0</v>
      </c>
      <c r="I1046" s="35"/>
      <c r="J1046" s="36">
        <f>IFERROR(I1046/$Q1046,0)</f>
        <v>0</v>
      </c>
      <c r="K1046" s="38"/>
      <c r="L1046" s="36">
        <f>IFERROR(K1046/$R1046,0)</f>
        <v>0</v>
      </c>
      <c r="M1046" s="35"/>
      <c r="N1046" s="36">
        <f>IFERROR(M1046/$Q1046,0)</f>
        <v>0</v>
      </c>
      <c r="O1046" s="38"/>
      <c r="P1046" s="36">
        <f>IFERROR(O1046/$R1046,0)</f>
        <v>0</v>
      </c>
      <c r="Q1046" s="35"/>
      <c r="R1046" s="38"/>
    </row>
    <row r="1047" spans="1:18" ht="15.75" customHeight="1" x14ac:dyDescent="0.25">
      <c r="A1047" s="37">
        <v>2017</v>
      </c>
      <c r="B1047" s="35">
        <v>171270</v>
      </c>
      <c r="C1047" s="34" t="s">
        <v>151</v>
      </c>
      <c r="D1047" s="34" t="s">
        <v>77</v>
      </c>
      <c r="E1047" s="35"/>
      <c r="F1047" s="36">
        <f>IFERROR(E1047/$Q1047,0)</f>
        <v>0</v>
      </c>
      <c r="G1047" s="38"/>
      <c r="H1047" s="36">
        <f>IFERROR(G1047/$R1047,0)</f>
        <v>0</v>
      </c>
      <c r="I1047" s="35"/>
      <c r="J1047" s="36">
        <f>IFERROR(I1047/$Q1047,0)</f>
        <v>0</v>
      </c>
      <c r="K1047" s="38"/>
      <c r="L1047" s="36">
        <f>IFERROR(K1047/$R1047,0)</f>
        <v>0</v>
      </c>
      <c r="M1047" s="35"/>
      <c r="N1047" s="36">
        <f>IFERROR(M1047/$Q1047,0)</f>
        <v>0</v>
      </c>
      <c r="O1047" s="38"/>
      <c r="P1047" s="36">
        <f>IFERROR(O1047/$R1047,0)</f>
        <v>0</v>
      </c>
      <c r="Q1047" s="35"/>
      <c r="R1047" s="38"/>
    </row>
    <row r="1048" spans="1:18" ht="15.75" customHeight="1" x14ac:dyDescent="0.25">
      <c r="A1048" s="37">
        <v>2017</v>
      </c>
      <c r="B1048" s="35">
        <v>171280</v>
      </c>
      <c r="C1048" s="34" t="s">
        <v>145</v>
      </c>
      <c r="D1048" s="34" t="s">
        <v>78</v>
      </c>
      <c r="E1048" s="35"/>
      <c r="F1048" s="36">
        <f>IFERROR(E1048/$Q1048,0)</f>
        <v>0</v>
      </c>
      <c r="G1048" s="38"/>
      <c r="H1048" s="36">
        <f>IFERROR(G1048/$R1048,0)</f>
        <v>0</v>
      </c>
      <c r="I1048" s="35"/>
      <c r="J1048" s="36">
        <f>IFERROR(I1048/$Q1048,0)</f>
        <v>0</v>
      </c>
      <c r="K1048" s="38"/>
      <c r="L1048" s="36">
        <f>IFERROR(K1048/$R1048,0)</f>
        <v>0</v>
      </c>
      <c r="M1048" s="35"/>
      <c r="N1048" s="36">
        <f>IFERROR(M1048/$Q1048,0)</f>
        <v>0</v>
      </c>
      <c r="O1048" s="38"/>
      <c r="P1048" s="36">
        <f>IFERROR(O1048/$R1048,0)</f>
        <v>0</v>
      </c>
      <c r="Q1048" s="35"/>
      <c r="R1048" s="38"/>
    </row>
    <row r="1049" spans="1:18" ht="15.75" customHeight="1" x14ac:dyDescent="0.25">
      <c r="A1049" s="37">
        <v>2017</v>
      </c>
      <c r="B1049" s="35">
        <v>171320</v>
      </c>
      <c r="C1049" s="34" t="s">
        <v>148</v>
      </c>
      <c r="D1049" s="34" t="s">
        <v>79</v>
      </c>
      <c r="E1049" s="35"/>
      <c r="F1049" s="36">
        <f>IFERROR(E1049/$Q1049,0)</f>
        <v>0</v>
      </c>
      <c r="G1049" s="38"/>
      <c r="H1049" s="36">
        <f>IFERROR(G1049/$R1049,0)</f>
        <v>0</v>
      </c>
      <c r="I1049" s="35"/>
      <c r="J1049" s="36">
        <f>IFERROR(I1049/$Q1049,0)</f>
        <v>0</v>
      </c>
      <c r="K1049" s="38"/>
      <c r="L1049" s="36">
        <f>IFERROR(K1049/$R1049,0)</f>
        <v>0</v>
      </c>
      <c r="M1049" s="35"/>
      <c r="N1049" s="36">
        <f>IFERROR(M1049/$Q1049,0)</f>
        <v>0</v>
      </c>
      <c r="O1049" s="38"/>
      <c r="P1049" s="36">
        <f>IFERROR(O1049/$R1049,0)</f>
        <v>0</v>
      </c>
      <c r="Q1049" s="35"/>
      <c r="R1049" s="38"/>
    </row>
    <row r="1050" spans="1:18" ht="15.75" customHeight="1" x14ac:dyDescent="0.25">
      <c r="A1050" s="37">
        <v>2017</v>
      </c>
      <c r="B1050" s="35">
        <v>171330</v>
      </c>
      <c r="C1050" s="34" t="s">
        <v>148</v>
      </c>
      <c r="D1050" s="34" t="s">
        <v>80</v>
      </c>
      <c r="E1050" s="35"/>
      <c r="F1050" s="36">
        <f>IFERROR(E1050/$Q1050,0)</f>
        <v>0</v>
      </c>
      <c r="G1050" s="38"/>
      <c r="H1050" s="36">
        <f>IFERROR(G1050/$R1050,0)</f>
        <v>0</v>
      </c>
      <c r="I1050" s="35"/>
      <c r="J1050" s="36">
        <f>IFERROR(I1050/$Q1050,0)</f>
        <v>0</v>
      </c>
      <c r="K1050" s="38"/>
      <c r="L1050" s="36">
        <f>IFERROR(K1050/$R1050,0)</f>
        <v>0</v>
      </c>
      <c r="M1050" s="35"/>
      <c r="N1050" s="36">
        <f>IFERROR(M1050/$Q1050,0)</f>
        <v>0</v>
      </c>
      <c r="O1050" s="38"/>
      <c r="P1050" s="36">
        <f>IFERROR(O1050/$R1050,0)</f>
        <v>0</v>
      </c>
      <c r="Q1050" s="35"/>
      <c r="R1050" s="38"/>
    </row>
    <row r="1051" spans="1:18" ht="15.75" customHeight="1" x14ac:dyDescent="0.25">
      <c r="A1051" s="37">
        <v>2017</v>
      </c>
      <c r="B1051" s="35">
        <v>171360</v>
      </c>
      <c r="C1051" s="34" t="s">
        <v>151</v>
      </c>
      <c r="D1051" s="34" t="s">
        <v>81</v>
      </c>
      <c r="E1051" s="35"/>
      <c r="F1051" s="36">
        <f>IFERROR(E1051/$Q1051,0)</f>
        <v>0</v>
      </c>
      <c r="G1051" s="38"/>
      <c r="H1051" s="36">
        <f>IFERROR(G1051/$R1051,0)</f>
        <v>0</v>
      </c>
      <c r="I1051" s="35"/>
      <c r="J1051" s="36">
        <f>IFERROR(I1051/$Q1051,0)</f>
        <v>0</v>
      </c>
      <c r="K1051" s="38"/>
      <c r="L1051" s="36">
        <f>IFERROR(K1051/$R1051,0)</f>
        <v>0</v>
      </c>
      <c r="M1051" s="35"/>
      <c r="N1051" s="36">
        <f>IFERROR(M1051/$Q1051,0)</f>
        <v>0</v>
      </c>
      <c r="O1051" s="38"/>
      <c r="P1051" s="36">
        <f>IFERROR(O1051/$R1051,0)</f>
        <v>0</v>
      </c>
      <c r="Q1051" s="35"/>
      <c r="R1051" s="38"/>
    </row>
    <row r="1052" spans="1:18" ht="15.75" customHeight="1" x14ac:dyDescent="0.25">
      <c r="A1052" s="37">
        <v>2017</v>
      </c>
      <c r="B1052" s="35">
        <v>171370</v>
      </c>
      <c r="C1052" s="34" t="s">
        <v>144</v>
      </c>
      <c r="D1052" s="34" t="s">
        <v>82</v>
      </c>
      <c r="E1052" s="35"/>
      <c r="F1052" s="36">
        <f>IFERROR(E1052/$Q1052,0)</f>
        <v>0</v>
      </c>
      <c r="G1052" s="38"/>
      <c r="H1052" s="36">
        <f>IFERROR(G1052/$R1052,0)</f>
        <v>0</v>
      </c>
      <c r="I1052" s="35"/>
      <c r="J1052" s="36">
        <f>IFERROR(I1052/$Q1052,0)</f>
        <v>0</v>
      </c>
      <c r="K1052" s="38"/>
      <c r="L1052" s="36">
        <f>IFERROR(K1052/$R1052,0)</f>
        <v>0</v>
      </c>
      <c r="M1052" s="35"/>
      <c r="N1052" s="36">
        <f>IFERROR(M1052/$Q1052,0)</f>
        <v>0</v>
      </c>
      <c r="O1052" s="38"/>
      <c r="P1052" s="36">
        <f>IFERROR(O1052/$R1052,0)</f>
        <v>0</v>
      </c>
      <c r="Q1052" s="35"/>
      <c r="R1052" s="38"/>
    </row>
    <row r="1053" spans="1:18" ht="15.75" customHeight="1" x14ac:dyDescent="0.25">
      <c r="A1053" s="37">
        <v>2017</v>
      </c>
      <c r="B1053" s="35">
        <v>171395</v>
      </c>
      <c r="C1053" s="34" t="s">
        <v>149</v>
      </c>
      <c r="D1053" s="34" t="s">
        <v>83</v>
      </c>
      <c r="E1053" s="35"/>
      <c r="F1053" s="36">
        <f>IFERROR(E1053/$Q1053,0)</f>
        <v>0</v>
      </c>
      <c r="G1053" s="38"/>
      <c r="H1053" s="36">
        <f>IFERROR(G1053/$R1053,0)</f>
        <v>0</v>
      </c>
      <c r="I1053" s="35"/>
      <c r="J1053" s="36">
        <f>IFERROR(I1053/$Q1053,0)</f>
        <v>0</v>
      </c>
      <c r="K1053" s="38"/>
      <c r="L1053" s="36">
        <f>IFERROR(K1053/$R1053,0)</f>
        <v>0</v>
      </c>
      <c r="M1053" s="35"/>
      <c r="N1053" s="36">
        <f>IFERROR(M1053/$Q1053,0)</f>
        <v>0</v>
      </c>
      <c r="O1053" s="38"/>
      <c r="P1053" s="36">
        <f>IFERROR(O1053/$R1053,0)</f>
        <v>0</v>
      </c>
      <c r="Q1053" s="35"/>
      <c r="R1053" s="38"/>
    </row>
    <row r="1054" spans="1:18" ht="15.75" customHeight="1" x14ac:dyDescent="0.25">
      <c r="A1054" s="37">
        <v>2017</v>
      </c>
      <c r="B1054" s="35">
        <v>171420</v>
      </c>
      <c r="C1054" s="34" t="s">
        <v>151</v>
      </c>
      <c r="D1054" s="34" t="s">
        <v>84</v>
      </c>
      <c r="E1054" s="35"/>
      <c r="F1054" s="36">
        <f>IFERROR(E1054/$Q1054,0)</f>
        <v>0</v>
      </c>
      <c r="G1054" s="38"/>
      <c r="H1054" s="36">
        <f>IFERROR(G1054/$R1054,0)</f>
        <v>0</v>
      </c>
      <c r="I1054" s="35"/>
      <c r="J1054" s="36">
        <f>IFERROR(I1054/$Q1054,0)</f>
        <v>0</v>
      </c>
      <c r="K1054" s="38"/>
      <c r="L1054" s="36">
        <f>IFERROR(K1054/$R1054,0)</f>
        <v>0</v>
      </c>
      <c r="M1054" s="35"/>
      <c r="N1054" s="36">
        <f>IFERROR(M1054/$Q1054,0)</f>
        <v>0</v>
      </c>
      <c r="O1054" s="38"/>
      <c r="P1054" s="36">
        <f>IFERROR(O1054/$R1054,0)</f>
        <v>0</v>
      </c>
      <c r="Q1054" s="35"/>
      <c r="R1054" s="38"/>
    </row>
    <row r="1055" spans="1:18" ht="15.75" customHeight="1" x14ac:dyDescent="0.25">
      <c r="A1055" s="37">
        <v>2017</v>
      </c>
      <c r="B1055" s="35">
        <v>171430</v>
      </c>
      <c r="C1055" s="34" t="s">
        <v>145</v>
      </c>
      <c r="D1055" s="34" t="s">
        <v>85</v>
      </c>
      <c r="E1055" s="35"/>
      <c r="F1055" s="36">
        <f>IFERROR(E1055/$Q1055,0)</f>
        <v>0</v>
      </c>
      <c r="G1055" s="38"/>
      <c r="H1055" s="36">
        <f>IFERROR(G1055/$R1055,0)</f>
        <v>0</v>
      </c>
      <c r="I1055" s="35"/>
      <c r="J1055" s="36">
        <f>IFERROR(I1055/$Q1055,0)</f>
        <v>0</v>
      </c>
      <c r="K1055" s="38"/>
      <c r="L1055" s="36">
        <f>IFERROR(K1055/$R1055,0)</f>
        <v>0</v>
      </c>
      <c r="M1055" s="35"/>
      <c r="N1055" s="36">
        <f>IFERROR(M1055/$Q1055,0)</f>
        <v>0</v>
      </c>
      <c r="O1055" s="38"/>
      <c r="P1055" s="36">
        <f>IFERROR(O1055/$R1055,0)</f>
        <v>0</v>
      </c>
      <c r="Q1055" s="35"/>
      <c r="R1055" s="38"/>
    </row>
    <row r="1056" spans="1:18" ht="15.75" customHeight="1" x14ac:dyDescent="0.25">
      <c r="A1056" s="37">
        <v>2017</v>
      </c>
      <c r="B1056" s="35">
        <v>171488</v>
      </c>
      <c r="C1056" s="34" t="s">
        <v>149</v>
      </c>
      <c r="D1056" s="34" t="s">
        <v>86</v>
      </c>
      <c r="E1056" s="35"/>
      <c r="F1056" s="36">
        <f>IFERROR(E1056/$Q1056,0)</f>
        <v>0</v>
      </c>
      <c r="G1056" s="38"/>
      <c r="H1056" s="36">
        <f>IFERROR(G1056/$R1056,0)</f>
        <v>0</v>
      </c>
      <c r="I1056" s="35"/>
      <c r="J1056" s="36">
        <f>IFERROR(I1056/$Q1056,0)</f>
        <v>0</v>
      </c>
      <c r="K1056" s="38"/>
      <c r="L1056" s="36">
        <f>IFERROR(K1056/$R1056,0)</f>
        <v>0</v>
      </c>
      <c r="M1056" s="35"/>
      <c r="N1056" s="36">
        <f>IFERROR(M1056/$Q1056,0)</f>
        <v>0</v>
      </c>
      <c r="O1056" s="38"/>
      <c r="P1056" s="36">
        <f>IFERROR(O1056/$R1056,0)</f>
        <v>0</v>
      </c>
      <c r="Q1056" s="35"/>
      <c r="R1056" s="38"/>
    </row>
    <row r="1057" spans="1:18" ht="15.75" customHeight="1" x14ac:dyDescent="0.25">
      <c r="A1057" s="37">
        <v>2017</v>
      </c>
      <c r="B1057" s="35">
        <v>171500</v>
      </c>
      <c r="C1057" s="34" t="s">
        <v>144</v>
      </c>
      <c r="D1057" s="34" t="s">
        <v>87</v>
      </c>
      <c r="E1057" s="35"/>
      <c r="F1057" s="36">
        <f>IFERROR(E1057/$Q1057,0)</f>
        <v>0</v>
      </c>
      <c r="G1057" s="38"/>
      <c r="H1057" s="36">
        <f>IFERROR(G1057/$R1057,0)</f>
        <v>0</v>
      </c>
      <c r="I1057" s="35"/>
      <c r="J1057" s="36">
        <f>IFERROR(I1057/$Q1057,0)</f>
        <v>0</v>
      </c>
      <c r="K1057" s="38"/>
      <c r="L1057" s="36">
        <f>IFERROR(K1057/$R1057,0)</f>
        <v>0</v>
      </c>
      <c r="M1057" s="35"/>
      <c r="N1057" s="36">
        <f>IFERROR(M1057/$Q1057,0)</f>
        <v>0</v>
      </c>
      <c r="O1057" s="38"/>
      <c r="P1057" s="36">
        <f>IFERROR(O1057/$R1057,0)</f>
        <v>0</v>
      </c>
      <c r="Q1057" s="35"/>
      <c r="R1057" s="38"/>
    </row>
    <row r="1058" spans="1:18" ht="15.75" customHeight="1" x14ac:dyDescent="0.25">
      <c r="A1058" s="37">
        <v>2017</v>
      </c>
      <c r="B1058" s="35">
        <v>171510</v>
      </c>
      <c r="C1058" s="34" t="s">
        <v>148</v>
      </c>
      <c r="D1058" s="34" t="s">
        <v>88</v>
      </c>
      <c r="E1058" s="35"/>
      <c r="F1058" s="36">
        <f>IFERROR(E1058/$Q1058,0)</f>
        <v>0</v>
      </c>
      <c r="G1058" s="38"/>
      <c r="H1058" s="36">
        <f>IFERROR(G1058/$R1058,0)</f>
        <v>0</v>
      </c>
      <c r="I1058" s="35"/>
      <c r="J1058" s="36">
        <f>IFERROR(I1058/$Q1058,0)</f>
        <v>0</v>
      </c>
      <c r="K1058" s="38"/>
      <c r="L1058" s="36">
        <f>IFERROR(K1058/$R1058,0)</f>
        <v>0</v>
      </c>
      <c r="M1058" s="35"/>
      <c r="N1058" s="36">
        <f>IFERROR(M1058/$Q1058,0)</f>
        <v>0</v>
      </c>
      <c r="O1058" s="38"/>
      <c r="P1058" s="36">
        <f>IFERROR(O1058/$R1058,0)</f>
        <v>0</v>
      </c>
      <c r="Q1058" s="35"/>
      <c r="R1058" s="38"/>
    </row>
    <row r="1059" spans="1:18" ht="15.75" customHeight="1" x14ac:dyDescent="0.25">
      <c r="A1059" s="37">
        <v>2017</v>
      </c>
      <c r="B1059" s="35">
        <v>171515</v>
      </c>
      <c r="C1059" s="34" t="s">
        <v>147</v>
      </c>
      <c r="D1059" s="34" t="s">
        <v>89</v>
      </c>
      <c r="E1059" s="35"/>
      <c r="F1059" s="36">
        <f>IFERROR(E1059/$Q1059,0)</f>
        <v>0</v>
      </c>
      <c r="G1059" s="38"/>
      <c r="H1059" s="36">
        <f>IFERROR(G1059/$R1059,0)</f>
        <v>0</v>
      </c>
      <c r="I1059" s="35"/>
      <c r="J1059" s="36">
        <f>IFERROR(I1059/$Q1059,0)</f>
        <v>0</v>
      </c>
      <c r="K1059" s="38"/>
      <c r="L1059" s="36">
        <f>IFERROR(K1059/$R1059,0)</f>
        <v>0</v>
      </c>
      <c r="M1059" s="35"/>
      <c r="N1059" s="36">
        <f>IFERROR(M1059/$Q1059,0)</f>
        <v>0</v>
      </c>
      <c r="O1059" s="38"/>
      <c r="P1059" s="36">
        <f>IFERROR(O1059/$R1059,0)</f>
        <v>0</v>
      </c>
      <c r="Q1059" s="35"/>
      <c r="R1059" s="38"/>
    </row>
    <row r="1060" spans="1:18" ht="15.75" customHeight="1" x14ac:dyDescent="0.25">
      <c r="A1060" s="37">
        <v>2017</v>
      </c>
      <c r="B1060" s="35">
        <v>171525</v>
      </c>
      <c r="C1060" s="34" t="s">
        <v>147</v>
      </c>
      <c r="D1060" s="34" t="s">
        <v>90</v>
      </c>
      <c r="E1060" s="35"/>
      <c r="F1060" s="36">
        <f>IFERROR(E1060/$Q1060,0)</f>
        <v>0</v>
      </c>
      <c r="G1060" s="38"/>
      <c r="H1060" s="36">
        <f>IFERROR(G1060/$R1060,0)</f>
        <v>0</v>
      </c>
      <c r="I1060" s="35"/>
      <c r="J1060" s="36">
        <f>IFERROR(I1060/$Q1060,0)</f>
        <v>0</v>
      </c>
      <c r="K1060" s="38"/>
      <c r="L1060" s="36">
        <f>IFERROR(K1060/$R1060,0)</f>
        <v>0</v>
      </c>
      <c r="M1060" s="35"/>
      <c r="N1060" s="36">
        <f>IFERROR(M1060/$Q1060,0)</f>
        <v>0</v>
      </c>
      <c r="O1060" s="38"/>
      <c r="P1060" s="36">
        <f>IFERROR(O1060/$R1060,0)</f>
        <v>0</v>
      </c>
      <c r="Q1060" s="35"/>
      <c r="R1060" s="38"/>
    </row>
    <row r="1061" spans="1:18" ht="15.75" customHeight="1" x14ac:dyDescent="0.25">
      <c r="A1061" s="37">
        <v>2017</v>
      </c>
      <c r="B1061" s="35">
        <v>171550</v>
      </c>
      <c r="C1061" s="34" t="s">
        <v>151</v>
      </c>
      <c r="D1061" s="34" t="s">
        <v>91</v>
      </c>
      <c r="E1061" s="35"/>
      <c r="F1061" s="36">
        <f>IFERROR(E1061/$Q1061,0)</f>
        <v>0</v>
      </c>
      <c r="G1061" s="38"/>
      <c r="H1061" s="36">
        <f>IFERROR(G1061/$R1061,0)</f>
        <v>0</v>
      </c>
      <c r="I1061" s="35"/>
      <c r="J1061" s="36">
        <f>IFERROR(I1061/$Q1061,0)</f>
        <v>0</v>
      </c>
      <c r="K1061" s="38"/>
      <c r="L1061" s="36">
        <f>IFERROR(K1061/$R1061,0)</f>
        <v>0</v>
      </c>
      <c r="M1061" s="35"/>
      <c r="N1061" s="36">
        <f>IFERROR(M1061/$Q1061,0)</f>
        <v>0</v>
      </c>
      <c r="O1061" s="38"/>
      <c r="P1061" s="36">
        <f>IFERROR(O1061/$R1061,0)</f>
        <v>0</v>
      </c>
      <c r="Q1061" s="35"/>
      <c r="R1061" s="38"/>
    </row>
    <row r="1062" spans="1:18" ht="15.75" customHeight="1" x14ac:dyDescent="0.25">
      <c r="A1062" s="37">
        <v>2017</v>
      </c>
      <c r="B1062" s="35">
        <v>172100</v>
      </c>
      <c r="C1062" s="34" t="s">
        <v>148</v>
      </c>
      <c r="D1062" s="34" t="s">
        <v>92</v>
      </c>
      <c r="E1062" s="35"/>
      <c r="F1062" s="36">
        <f>IFERROR(E1062/$Q1062,0)</f>
        <v>0</v>
      </c>
      <c r="G1062" s="38"/>
      <c r="H1062" s="36">
        <f>IFERROR(G1062/$R1062,0)</f>
        <v>0</v>
      </c>
      <c r="I1062" s="35"/>
      <c r="J1062" s="36">
        <f>IFERROR(I1062/$Q1062,0)</f>
        <v>0</v>
      </c>
      <c r="K1062" s="38"/>
      <c r="L1062" s="36">
        <f>IFERROR(K1062/$R1062,0)</f>
        <v>0</v>
      </c>
      <c r="M1062" s="35"/>
      <c r="N1062" s="36">
        <f>IFERROR(M1062/$Q1062,0)</f>
        <v>0</v>
      </c>
      <c r="O1062" s="39"/>
      <c r="P1062" s="36">
        <f>IFERROR(O1062/$R1062,0)</f>
        <v>0</v>
      </c>
      <c r="Q1062" s="35"/>
      <c r="R1062" s="39"/>
    </row>
    <row r="1063" spans="1:18" ht="15.75" customHeight="1" x14ac:dyDescent="0.25">
      <c r="A1063" s="37">
        <v>2017</v>
      </c>
      <c r="B1063" s="35">
        <v>171570</v>
      </c>
      <c r="C1063" s="34" t="s">
        <v>150</v>
      </c>
      <c r="D1063" s="34" t="s">
        <v>93</v>
      </c>
      <c r="E1063" s="35"/>
      <c r="F1063" s="36">
        <f>IFERROR(E1063/$Q1063,0)</f>
        <v>0</v>
      </c>
      <c r="G1063" s="38"/>
      <c r="H1063" s="36">
        <f>IFERROR(G1063/$R1063,0)</f>
        <v>0</v>
      </c>
      <c r="I1063" s="35"/>
      <c r="J1063" s="36">
        <f>IFERROR(I1063/$Q1063,0)</f>
        <v>0</v>
      </c>
      <c r="K1063" s="38"/>
      <c r="L1063" s="36">
        <f>IFERROR(K1063/$R1063,0)</f>
        <v>0</v>
      </c>
      <c r="M1063" s="35"/>
      <c r="N1063" s="36">
        <f>IFERROR(M1063/$Q1063,0)</f>
        <v>0</v>
      </c>
      <c r="O1063" s="38"/>
      <c r="P1063" s="36">
        <f>IFERROR(O1063/$R1063,0)</f>
        <v>0</v>
      </c>
      <c r="Q1063" s="35"/>
      <c r="R1063" s="38"/>
    </row>
    <row r="1064" spans="1:18" ht="15.75" customHeight="1" x14ac:dyDescent="0.25">
      <c r="A1064" s="37">
        <v>2017</v>
      </c>
      <c r="B1064" s="35">
        <v>171380</v>
      </c>
      <c r="C1064" s="34" t="s">
        <v>145</v>
      </c>
      <c r="D1064" s="34" t="s">
        <v>94</v>
      </c>
      <c r="E1064" s="35"/>
      <c r="F1064" s="36">
        <f>IFERROR(E1064/$Q1064,0)</f>
        <v>0</v>
      </c>
      <c r="G1064" s="38"/>
      <c r="H1064" s="36">
        <f>IFERROR(G1064/$R1064,0)</f>
        <v>0</v>
      </c>
      <c r="I1064" s="35"/>
      <c r="J1064" s="36">
        <f>IFERROR(I1064/$Q1064,0)</f>
        <v>0</v>
      </c>
      <c r="K1064" s="38"/>
      <c r="L1064" s="36">
        <f>IFERROR(K1064/$R1064,0)</f>
        <v>0</v>
      </c>
      <c r="M1064" s="35"/>
      <c r="N1064" s="36">
        <f>IFERROR(M1064/$Q1064,0)</f>
        <v>0</v>
      </c>
      <c r="O1064" s="38"/>
      <c r="P1064" s="36">
        <f>IFERROR(O1064/$R1064,0)</f>
        <v>0</v>
      </c>
      <c r="Q1064" s="35"/>
      <c r="R1064" s="38"/>
    </row>
    <row r="1065" spans="1:18" ht="15.75" customHeight="1" x14ac:dyDescent="0.25">
      <c r="A1065" s="37">
        <v>2017</v>
      </c>
      <c r="B1065" s="35">
        <v>171575</v>
      </c>
      <c r="C1065" s="34" t="s">
        <v>146</v>
      </c>
      <c r="D1065" s="34" t="s">
        <v>95</v>
      </c>
      <c r="E1065" s="35"/>
      <c r="F1065" s="36">
        <f>IFERROR(E1065/$Q1065,0)</f>
        <v>0</v>
      </c>
      <c r="G1065" s="38"/>
      <c r="H1065" s="36">
        <f>IFERROR(G1065/$R1065,0)</f>
        <v>0</v>
      </c>
      <c r="I1065" s="35"/>
      <c r="J1065" s="36">
        <f>IFERROR(I1065/$Q1065,0)</f>
        <v>0</v>
      </c>
      <c r="K1065" s="38"/>
      <c r="L1065" s="36">
        <f>IFERROR(K1065/$R1065,0)</f>
        <v>0</v>
      </c>
      <c r="M1065" s="35"/>
      <c r="N1065" s="36">
        <f>IFERROR(M1065/$Q1065,0)</f>
        <v>0</v>
      </c>
      <c r="O1065" s="38"/>
      <c r="P1065" s="36">
        <f>IFERROR(O1065/$R1065,0)</f>
        <v>0</v>
      </c>
      <c r="Q1065" s="35"/>
      <c r="R1065" s="38"/>
    </row>
    <row r="1066" spans="1:18" ht="15.75" customHeight="1" x14ac:dyDescent="0.25">
      <c r="A1066" s="37">
        <v>2017</v>
      </c>
      <c r="B1066" s="35">
        <v>171610</v>
      </c>
      <c r="C1066" s="34" t="s">
        <v>144</v>
      </c>
      <c r="D1066" s="34" t="s">
        <v>96</v>
      </c>
      <c r="E1066" s="35"/>
      <c r="F1066" s="36">
        <f>IFERROR(E1066/$Q1066,0)</f>
        <v>0</v>
      </c>
      <c r="G1066" s="38"/>
      <c r="H1066" s="36">
        <f>IFERROR(G1066/$R1066,0)</f>
        <v>0</v>
      </c>
      <c r="I1066" s="35"/>
      <c r="J1066" s="36">
        <f>IFERROR(I1066/$Q1066,0)</f>
        <v>0</v>
      </c>
      <c r="K1066" s="38"/>
      <c r="L1066" s="36">
        <f>IFERROR(K1066/$R1066,0)</f>
        <v>0</v>
      </c>
      <c r="M1066" s="35"/>
      <c r="N1066" s="36">
        <f>IFERROR(M1066/$Q1066,0)</f>
        <v>0</v>
      </c>
      <c r="O1066" s="38"/>
      <c r="P1066" s="36">
        <f>IFERROR(O1066/$R1066,0)</f>
        <v>0</v>
      </c>
      <c r="Q1066" s="35"/>
      <c r="R1066" s="38"/>
    </row>
    <row r="1067" spans="1:18" ht="15.75" customHeight="1" x14ac:dyDescent="0.25">
      <c r="A1067" s="37">
        <v>2017</v>
      </c>
      <c r="B1067" s="35">
        <v>171620</v>
      </c>
      <c r="C1067" s="34" t="s">
        <v>147</v>
      </c>
      <c r="D1067" s="34" t="s">
        <v>97</v>
      </c>
      <c r="E1067" s="35"/>
      <c r="F1067" s="36">
        <f>IFERROR(E1067/$Q1067,0)</f>
        <v>0</v>
      </c>
      <c r="G1067" s="38"/>
      <c r="H1067" s="36">
        <f>IFERROR(G1067/$R1067,0)</f>
        <v>0</v>
      </c>
      <c r="I1067" s="35"/>
      <c r="J1067" s="36">
        <f>IFERROR(I1067/$Q1067,0)</f>
        <v>0</v>
      </c>
      <c r="K1067" s="38"/>
      <c r="L1067" s="36">
        <f>IFERROR(K1067/$R1067,0)</f>
        <v>0</v>
      </c>
      <c r="M1067" s="35"/>
      <c r="N1067" s="36">
        <f>IFERROR(M1067/$Q1067,0)</f>
        <v>0</v>
      </c>
      <c r="O1067" s="38"/>
      <c r="P1067" s="36">
        <f>IFERROR(O1067/$R1067,0)</f>
        <v>0</v>
      </c>
      <c r="Q1067" s="35"/>
      <c r="R1067" s="38"/>
    </row>
    <row r="1068" spans="1:18" ht="15.75" customHeight="1" x14ac:dyDescent="0.25">
      <c r="A1068" s="37">
        <v>2017</v>
      </c>
      <c r="B1068" s="35">
        <v>171630</v>
      </c>
      <c r="C1068" s="34" t="s">
        <v>149</v>
      </c>
      <c r="D1068" s="34" t="s">
        <v>98</v>
      </c>
      <c r="E1068" s="35"/>
      <c r="F1068" s="36">
        <f>IFERROR(E1068/$Q1068,0)</f>
        <v>0</v>
      </c>
      <c r="G1068" s="38"/>
      <c r="H1068" s="36">
        <f>IFERROR(G1068/$R1068,0)</f>
        <v>0</v>
      </c>
      <c r="I1068" s="35"/>
      <c r="J1068" s="36">
        <f>IFERROR(I1068/$Q1068,0)</f>
        <v>0</v>
      </c>
      <c r="K1068" s="38"/>
      <c r="L1068" s="36">
        <f>IFERROR(K1068/$R1068,0)</f>
        <v>0</v>
      </c>
      <c r="M1068" s="35"/>
      <c r="N1068" s="36">
        <f>IFERROR(M1068/$Q1068,0)</f>
        <v>0</v>
      </c>
      <c r="O1068" s="38"/>
      <c r="P1068" s="36">
        <f>IFERROR(O1068/$R1068,0)</f>
        <v>0</v>
      </c>
      <c r="Q1068" s="35"/>
      <c r="R1068" s="38"/>
    </row>
    <row r="1069" spans="1:18" ht="15.75" customHeight="1" x14ac:dyDescent="0.25">
      <c r="A1069" s="37">
        <v>2017</v>
      </c>
      <c r="B1069" s="35">
        <v>171650</v>
      </c>
      <c r="C1069" s="34" t="s">
        <v>150</v>
      </c>
      <c r="D1069" s="34" t="s">
        <v>99</v>
      </c>
      <c r="E1069" s="35"/>
      <c r="F1069" s="36">
        <f>IFERROR(E1069/$Q1069,0)</f>
        <v>0</v>
      </c>
      <c r="G1069" s="38"/>
      <c r="H1069" s="36">
        <f>IFERROR(G1069/$R1069,0)</f>
        <v>0</v>
      </c>
      <c r="I1069" s="35"/>
      <c r="J1069" s="36">
        <f>IFERROR(I1069/$Q1069,0)</f>
        <v>0</v>
      </c>
      <c r="K1069" s="38"/>
      <c r="L1069" s="36">
        <f>IFERROR(K1069/$R1069,0)</f>
        <v>0</v>
      </c>
      <c r="M1069" s="35"/>
      <c r="N1069" s="36">
        <f>IFERROR(M1069/$Q1069,0)</f>
        <v>0</v>
      </c>
      <c r="O1069" s="38"/>
      <c r="P1069" s="36">
        <f>IFERROR(O1069/$R1069,0)</f>
        <v>0</v>
      </c>
      <c r="Q1069" s="35"/>
      <c r="R1069" s="38"/>
    </row>
    <row r="1070" spans="1:18" ht="15.75" customHeight="1" x14ac:dyDescent="0.25">
      <c r="A1070" s="37">
        <v>2017</v>
      </c>
      <c r="B1070" s="35">
        <v>171660</v>
      </c>
      <c r="C1070" s="34" t="s">
        <v>146</v>
      </c>
      <c r="D1070" s="34" t="s">
        <v>100</v>
      </c>
      <c r="E1070" s="35"/>
      <c r="F1070" s="36">
        <f>IFERROR(E1070/$Q1070,0)</f>
        <v>0</v>
      </c>
      <c r="G1070" s="38"/>
      <c r="H1070" s="36">
        <f>IFERROR(G1070/$R1070,0)</f>
        <v>0</v>
      </c>
      <c r="I1070" s="35"/>
      <c r="J1070" s="36">
        <f>IFERROR(I1070/$Q1070,0)</f>
        <v>0</v>
      </c>
      <c r="K1070" s="38"/>
      <c r="L1070" s="36">
        <f>IFERROR(K1070/$R1070,0)</f>
        <v>0</v>
      </c>
      <c r="M1070" s="35"/>
      <c r="N1070" s="36">
        <f>IFERROR(M1070/$Q1070,0)</f>
        <v>0</v>
      </c>
      <c r="O1070" s="38"/>
      <c r="P1070" s="36">
        <f>IFERROR(O1070/$R1070,0)</f>
        <v>0</v>
      </c>
      <c r="Q1070" s="35"/>
      <c r="R1070" s="38"/>
    </row>
    <row r="1071" spans="1:18" ht="15.75" customHeight="1" x14ac:dyDescent="0.25">
      <c r="A1071" s="37">
        <v>2017</v>
      </c>
      <c r="B1071" s="35">
        <v>171665</v>
      </c>
      <c r="C1071" s="34" t="s">
        <v>150</v>
      </c>
      <c r="D1071" s="34" t="s">
        <v>101</v>
      </c>
      <c r="E1071" s="35"/>
      <c r="F1071" s="36">
        <f>IFERROR(E1071/$Q1071,0)</f>
        <v>0</v>
      </c>
      <c r="G1071" s="38"/>
      <c r="H1071" s="36">
        <f>IFERROR(G1071/$R1071,0)</f>
        <v>0</v>
      </c>
      <c r="I1071" s="35"/>
      <c r="J1071" s="36">
        <f>IFERROR(I1071/$Q1071,0)</f>
        <v>0</v>
      </c>
      <c r="K1071" s="38"/>
      <c r="L1071" s="36">
        <f>IFERROR(K1071/$R1071,0)</f>
        <v>0</v>
      </c>
      <c r="M1071" s="35"/>
      <c r="N1071" s="36">
        <f>IFERROR(M1071/$Q1071,0)</f>
        <v>0</v>
      </c>
      <c r="O1071" s="38"/>
      <c r="P1071" s="36">
        <f>IFERROR(O1071/$R1071,0)</f>
        <v>0</v>
      </c>
      <c r="Q1071" s="35"/>
      <c r="R1071" s="38"/>
    </row>
    <row r="1072" spans="1:18" ht="15.75" customHeight="1" x14ac:dyDescent="0.25">
      <c r="A1072" s="37">
        <v>2017</v>
      </c>
      <c r="B1072" s="35">
        <v>171700</v>
      </c>
      <c r="C1072" s="34" t="s">
        <v>151</v>
      </c>
      <c r="D1072" s="34" t="s">
        <v>102</v>
      </c>
      <c r="E1072" s="35"/>
      <c r="F1072" s="36">
        <f>IFERROR(E1072/$Q1072,0)</f>
        <v>0</v>
      </c>
      <c r="G1072" s="38"/>
      <c r="H1072" s="36">
        <f>IFERROR(G1072/$R1072,0)</f>
        <v>0</v>
      </c>
      <c r="I1072" s="35"/>
      <c r="J1072" s="36">
        <f>IFERROR(I1072/$Q1072,0)</f>
        <v>0</v>
      </c>
      <c r="K1072" s="38"/>
      <c r="L1072" s="36">
        <f>IFERROR(K1072/$R1072,0)</f>
        <v>0</v>
      </c>
      <c r="M1072" s="35"/>
      <c r="N1072" s="36">
        <f>IFERROR(M1072/$Q1072,0)</f>
        <v>0</v>
      </c>
      <c r="O1072" s="38"/>
      <c r="P1072" s="36">
        <f>IFERROR(O1072/$R1072,0)</f>
        <v>0</v>
      </c>
      <c r="Q1072" s="35"/>
      <c r="R1072" s="38"/>
    </row>
    <row r="1073" spans="1:18" ht="15.75" customHeight="1" x14ac:dyDescent="0.25">
      <c r="A1073" s="37">
        <v>2017</v>
      </c>
      <c r="B1073" s="35">
        <v>171720</v>
      </c>
      <c r="C1073" s="34" t="s">
        <v>149</v>
      </c>
      <c r="D1073" s="34" t="s">
        <v>103</v>
      </c>
      <c r="E1073" s="35"/>
      <c r="F1073" s="36">
        <f>IFERROR(E1073/$Q1073,0)</f>
        <v>0</v>
      </c>
      <c r="G1073" s="38"/>
      <c r="H1073" s="36">
        <f>IFERROR(G1073/$R1073,0)</f>
        <v>0</v>
      </c>
      <c r="I1073" s="35"/>
      <c r="J1073" s="36">
        <f>IFERROR(I1073/$Q1073,0)</f>
        <v>0</v>
      </c>
      <c r="K1073" s="38"/>
      <c r="L1073" s="36">
        <f>IFERROR(K1073/$R1073,0)</f>
        <v>0</v>
      </c>
      <c r="M1073" s="35"/>
      <c r="N1073" s="36">
        <f>IFERROR(M1073/$Q1073,0)</f>
        <v>0</v>
      </c>
      <c r="O1073" s="38"/>
      <c r="P1073" s="36">
        <f>IFERROR(O1073/$R1073,0)</f>
        <v>0</v>
      </c>
      <c r="Q1073" s="35"/>
      <c r="R1073" s="38"/>
    </row>
    <row r="1074" spans="1:18" ht="15.75" customHeight="1" x14ac:dyDescent="0.25">
      <c r="A1074" s="37">
        <v>2017</v>
      </c>
      <c r="B1074" s="35">
        <v>171750</v>
      </c>
      <c r="C1074" s="34" t="s">
        <v>144</v>
      </c>
      <c r="D1074" s="34" t="s">
        <v>104</v>
      </c>
      <c r="E1074" s="35"/>
      <c r="F1074" s="36">
        <f>IFERROR(E1074/$Q1074,0)</f>
        <v>0</v>
      </c>
      <c r="G1074" s="38"/>
      <c r="H1074" s="36">
        <f>IFERROR(G1074/$R1074,0)</f>
        <v>0</v>
      </c>
      <c r="I1074" s="35"/>
      <c r="J1074" s="36">
        <f>IFERROR(I1074/$Q1074,0)</f>
        <v>0</v>
      </c>
      <c r="K1074" s="38"/>
      <c r="L1074" s="36">
        <f>IFERROR(K1074/$R1074,0)</f>
        <v>0</v>
      </c>
      <c r="M1074" s="35"/>
      <c r="N1074" s="36">
        <f>IFERROR(M1074/$Q1074,0)</f>
        <v>0</v>
      </c>
      <c r="O1074" s="38"/>
      <c r="P1074" s="36">
        <f>IFERROR(O1074/$R1074,0)</f>
        <v>0</v>
      </c>
      <c r="Q1074" s="35"/>
      <c r="R1074" s="38"/>
    </row>
    <row r="1075" spans="1:18" ht="15.75" customHeight="1" x14ac:dyDescent="0.25">
      <c r="A1075" s="37">
        <v>2017</v>
      </c>
      <c r="B1075" s="35">
        <v>171780</v>
      </c>
      <c r="C1075" s="34" t="s">
        <v>147</v>
      </c>
      <c r="D1075" s="34" t="s">
        <v>105</v>
      </c>
      <c r="E1075" s="35"/>
      <c r="F1075" s="36">
        <f>IFERROR(E1075/$Q1075,0)</f>
        <v>0</v>
      </c>
      <c r="G1075" s="38"/>
      <c r="H1075" s="36">
        <f>IFERROR(G1075/$R1075,0)</f>
        <v>0</v>
      </c>
      <c r="I1075" s="35"/>
      <c r="J1075" s="36">
        <f>IFERROR(I1075/$Q1075,0)</f>
        <v>0</v>
      </c>
      <c r="K1075" s="38"/>
      <c r="L1075" s="36">
        <f>IFERROR(K1075/$R1075,0)</f>
        <v>0</v>
      </c>
      <c r="M1075" s="35"/>
      <c r="N1075" s="36">
        <f>IFERROR(M1075/$Q1075,0)</f>
        <v>0</v>
      </c>
      <c r="O1075" s="38"/>
      <c r="P1075" s="36">
        <f>IFERROR(O1075/$R1075,0)</f>
        <v>0</v>
      </c>
      <c r="Q1075" s="35"/>
      <c r="R1075" s="38"/>
    </row>
    <row r="1076" spans="1:18" ht="15.75" customHeight="1" x14ac:dyDescent="0.25">
      <c r="A1076" s="37">
        <v>2017</v>
      </c>
      <c r="B1076" s="35">
        <v>171790</v>
      </c>
      <c r="C1076" s="34" t="s">
        <v>151</v>
      </c>
      <c r="D1076" s="34" t="s">
        <v>106</v>
      </c>
      <c r="E1076" s="35"/>
      <c r="F1076" s="36">
        <f>IFERROR(E1076/$Q1076,0)</f>
        <v>0</v>
      </c>
      <c r="G1076" s="38"/>
      <c r="H1076" s="36">
        <f>IFERROR(G1076/$R1076,0)</f>
        <v>0</v>
      </c>
      <c r="I1076" s="35"/>
      <c r="J1076" s="36">
        <f>IFERROR(I1076/$Q1076,0)</f>
        <v>0</v>
      </c>
      <c r="K1076" s="38"/>
      <c r="L1076" s="36">
        <f>IFERROR(K1076/$R1076,0)</f>
        <v>0</v>
      </c>
      <c r="M1076" s="35"/>
      <c r="N1076" s="36">
        <f>IFERROR(M1076/$Q1076,0)</f>
        <v>0</v>
      </c>
      <c r="O1076" s="38"/>
      <c r="P1076" s="36">
        <f>IFERROR(O1076/$R1076,0)</f>
        <v>0</v>
      </c>
      <c r="Q1076" s="35"/>
      <c r="R1076" s="38"/>
    </row>
    <row r="1077" spans="1:18" ht="15.75" customHeight="1" x14ac:dyDescent="0.25">
      <c r="A1077" s="37">
        <v>2017</v>
      </c>
      <c r="B1077" s="35">
        <v>171800</v>
      </c>
      <c r="C1077" s="34" t="s">
        <v>147</v>
      </c>
      <c r="D1077" s="34" t="s">
        <v>107</v>
      </c>
      <c r="E1077" s="35"/>
      <c r="F1077" s="36">
        <f>IFERROR(E1077/$Q1077,0)</f>
        <v>0</v>
      </c>
      <c r="G1077" s="38"/>
      <c r="H1077" s="36">
        <f>IFERROR(G1077/$R1077,0)</f>
        <v>0</v>
      </c>
      <c r="I1077" s="35"/>
      <c r="J1077" s="36">
        <f>IFERROR(I1077/$Q1077,0)</f>
        <v>0</v>
      </c>
      <c r="K1077" s="38"/>
      <c r="L1077" s="36">
        <f>IFERROR(K1077/$R1077,0)</f>
        <v>0</v>
      </c>
      <c r="M1077" s="35"/>
      <c r="N1077" s="36">
        <f>IFERROR(M1077/$Q1077,0)</f>
        <v>0</v>
      </c>
      <c r="O1077" s="38"/>
      <c r="P1077" s="36">
        <f>IFERROR(O1077/$R1077,0)</f>
        <v>0</v>
      </c>
      <c r="Q1077" s="35"/>
      <c r="R1077" s="38"/>
    </row>
    <row r="1078" spans="1:18" ht="15.75" customHeight="1" x14ac:dyDescent="0.25">
      <c r="A1078" s="37">
        <v>2017</v>
      </c>
      <c r="B1078" s="35">
        <v>171820</v>
      </c>
      <c r="C1078" s="34" t="s">
        <v>151</v>
      </c>
      <c r="D1078" s="34" t="s">
        <v>108</v>
      </c>
      <c r="E1078" s="35"/>
      <c r="F1078" s="36">
        <f>IFERROR(E1078/$Q1078,0)</f>
        <v>0</v>
      </c>
      <c r="G1078" s="38"/>
      <c r="H1078" s="36">
        <f>IFERROR(G1078/$R1078,0)</f>
        <v>0</v>
      </c>
      <c r="I1078" s="35"/>
      <c r="J1078" s="36">
        <f>IFERROR(I1078/$Q1078,0)</f>
        <v>0</v>
      </c>
      <c r="K1078" s="38"/>
      <c r="L1078" s="36">
        <f>IFERROR(K1078/$R1078,0)</f>
        <v>0</v>
      </c>
      <c r="M1078" s="35"/>
      <c r="N1078" s="36">
        <f>IFERROR(M1078/$Q1078,0)</f>
        <v>0</v>
      </c>
      <c r="O1078" s="39"/>
      <c r="P1078" s="36">
        <f>IFERROR(O1078/$R1078,0)</f>
        <v>0</v>
      </c>
      <c r="Q1078" s="35"/>
      <c r="R1078" s="39"/>
    </row>
    <row r="1079" spans="1:18" ht="15.75" customHeight="1" x14ac:dyDescent="0.25">
      <c r="A1079" s="37">
        <v>2017</v>
      </c>
      <c r="B1079" s="35">
        <v>171830</v>
      </c>
      <c r="C1079" s="34" t="s">
        <v>145</v>
      </c>
      <c r="D1079" s="34" t="s">
        <v>109</v>
      </c>
      <c r="E1079" s="35"/>
      <c r="F1079" s="36">
        <f>IFERROR(E1079/$Q1079,0)</f>
        <v>0</v>
      </c>
      <c r="G1079" s="38"/>
      <c r="H1079" s="36">
        <f>IFERROR(G1079/$R1079,0)</f>
        <v>0</v>
      </c>
      <c r="I1079" s="35"/>
      <c r="J1079" s="36">
        <f>IFERROR(I1079/$Q1079,0)</f>
        <v>0</v>
      </c>
      <c r="K1079" s="38"/>
      <c r="L1079" s="36">
        <f>IFERROR(K1079/$R1079,0)</f>
        <v>0</v>
      </c>
      <c r="M1079" s="35"/>
      <c r="N1079" s="36">
        <f>IFERROR(M1079/$Q1079,0)</f>
        <v>0</v>
      </c>
      <c r="O1079" s="38"/>
      <c r="P1079" s="36">
        <f>IFERROR(O1079/$R1079,0)</f>
        <v>0</v>
      </c>
      <c r="Q1079" s="35"/>
      <c r="R1079" s="38"/>
    </row>
    <row r="1080" spans="1:18" ht="15.75" customHeight="1" x14ac:dyDescent="0.25">
      <c r="A1080" s="37">
        <v>2017</v>
      </c>
      <c r="B1080" s="35">
        <v>171840</v>
      </c>
      <c r="C1080" s="34" t="s">
        <v>150</v>
      </c>
      <c r="D1080" s="34" t="s">
        <v>110</v>
      </c>
      <c r="E1080" s="35"/>
      <c r="F1080" s="36">
        <f>IFERROR(E1080/$Q1080,0)</f>
        <v>0</v>
      </c>
      <c r="G1080" s="38"/>
      <c r="H1080" s="36">
        <f>IFERROR(G1080/$R1080,0)</f>
        <v>0</v>
      </c>
      <c r="I1080" s="35"/>
      <c r="J1080" s="36">
        <f>IFERROR(I1080/$Q1080,0)</f>
        <v>0</v>
      </c>
      <c r="K1080" s="38"/>
      <c r="L1080" s="36">
        <f>IFERROR(K1080/$R1080,0)</f>
        <v>0</v>
      </c>
      <c r="M1080" s="35"/>
      <c r="N1080" s="36">
        <f>IFERROR(M1080/$Q1080,0)</f>
        <v>0</v>
      </c>
      <c r="O1080" s="38"/>
      <c r="P1080" s="36">
        <f>IFERROR(O1080/$R1080,0)</f>
        <v>0</v>
      </c>
      <c r="Q1080" s="35"/>
      <c r="R1080" s="38"/>
    </row>
    <row r="1081" spans="1:18" ht="15.75" customHeight="1" x14ac:dyDescent="0.25">
      <c r="A1081" s="37">
        <v>2017</v>
      </c>
      <c r="B1081" s="35">
        <v>171845</v>
      </c>
      <c r="C1081" s="34" t="s">
        <v>144</v>
      </c>
      <c r="D1081" s="34" t="s">
        <v>111</v>
      </c>
      <c r="E1081" s="35"/>
      <c r="F1081" s="36">
        <f>IFERROR(E1081/$Q1081,0)</f>
        <v>0</v>
      </c>
      <c r="G1081" s="38"/>
      <c r="H1081" s="36">
        <f>IFERROR(G1081/$R1081,0)</f>
        <v>0</v>
      </c>
      <c r="I1081" s="35"/>
      <c r="J1081" s="36">
        <f>IFERROR(I1081/$Q1081,0)</f>
        <v>0</v>
      </c>
      <c r="K1081" s="38"/>
      <c r="L1081" s="36">
        <f>IFERROR(K1081/$R1081,0)</f>
        <v>0</v>
      </c>
      <c r="M1081" s="35"/>
      <c r="N1081" s="36">
        <f>IFERROR(M1081/$Q1081,0)</f>
        <v>0</v>
      </c>
      <c r="O1081" s="38"/>
      <c r="P1081" s="36">
        <f>IFERROR(O1081/$R1081,0)</f>
        <v>0</v>
      </c>
      <c r="Q1081" s="35"/>
      <c r="R1081" s="38"/>
    </row>
    <row r="1082" spans="1:18" ht="15.75" customHeight="1" x14ac:dyDescent="0.25">
      <c r="A1082" s="37">
        <v>2017</v>
      </c>
      <c r="B1082" s="35">
        <v>171850</v>
      </c>
      <c r="C1082" s="34" t="s">
        <v>150</v>
      </c>
      <c r="D1082" s="34" t="s">
        <v>112</v>
      </c>
      <c r="E1082" s="35"/>
      <c r="F1082" s="36">
        <f>IFERROR(E1082/$Q1082,0)</f>
        <v>0</v>
      </c>
      <c r="G1082" s="38"/>
      <c r="H1082" s="36">
        <f>IFERROR(G1082/$R1082,0)</f>
        <v>0</v>
      </c>
      <c r="I1082" s="35"/>
      <c r="J1082" s="36">
        <f>IFERROR(I1082/$Q1082,0)</f>
        <v>0</v>
      </c>
      <c r="K1082" s="38"/>
      <c r="L1082" s="36">
        <f>IFERROR(K1082/$R1082,0)</f>
        <v>0</v>
      </c>
      <c r="M1082" s="35"/>
      <c r="N1082" s="36">
        <f>IFERROR(M1082/$Q1082,0)</f>
        <v>0</v>
      </c>
      <c r="O1082" s="38"/>
      <c r="P1082" s="36">
        <f>IFERROR(O1082/$R1082,0)</f>
        <v>0</v>
      </c>
      <c r="Q1082" s="35"/>
      <c r="R1082" s="38"/>
    </row>
    <row r="1083" spans="1:18" ht="15.75" customHeight="1" x14ac:dyDescent="0.25">
      <c r="A1083" s="37">
        <v>2017</v>
      </c>
      <c r="B1083" s="35">
        <v>171855</v>
      </c>
      <c r="C1083" s="34" t="s">
        <v>145</v>
      </c>
      <c r="D1083" s="34" t="s">
        <v>113</v>
      </c>
      <c r="E1083" s="35"/>
      <c r="F1083" s="36">
        <f>IFERROR(E1083/$Q1083,0)</f>
        <v>0</v>
      </c>
      <c r="G1083" s="38"/>
      <c r="H1083" s="36">
        <f>IFERROR(G1083/$R1083,0)</f>
        <v>0</v>
      </c>
      <c r="I1083" s="35"/>
      <c r="J1083" s="36">
        <f>IFERROR(I1083/$Q1083,0)</f>
        <v>0</v>
      </c>
      <c r="K1083" s="38"/>
      <c r="L1083" s="36">
        <f>IFERROR(K1083/$R1083,0)</f>
        <v>0</v>
      </c>
      <c r="M1083" s="35"/>
      <c r="N1083" s="36">
        <f>IFERROR(M1083/$Q1083,0)</f>
        <v>0</v>
      </c>
      <c r="O1083" s="38"/>
      <c r="P1083" s="36">
        <f>IFERROR(O1083/$R1083,0)</f>
        <v>0</v>
      </c>
      <c r="Q1083" s="35"/>
      <c r="R1083" s="38"/>
    </row>
    <row r="1084" spans="1:18" ht="15.75" customHeight="1" x14ac:dyDescent="0.25">
      <c r="A1084" s="37">
        <v>2017</v>
      </c>
      <c r="B1084" s="35">
        <v>171865</v>
      </c>
      <c r="C1084" s="34" t="s">
        <v>147</v>
      </c>
      <c r="D1084" s="34" t="s">
        <v>114</v>
      </c>
      <c r="E1084" s="35"/>
      <c r="F1084" s="36">
        <f>IFERROR(E1084/$Q1084,0)</f>
        <v>0</v>
      </c>
      <c r="G1084" s="38"/>
      <c r="H1084" s="36">
        <f>IFERROR(G1084/$R1084,0)</f>
        <v>0</v>
      </c>
      <c r="I1084" s="35"/>
      <c r="J1084" s="36">
        <f>IFERROR(I1084/$Q1084,0)</f>
        <v>0</v>
      </c>
      <c r="K1084" s="38"/>
      <c r="L1084" s="36">
        <f>IFERROR(K1084/$R1084,0)</f>
        <v>0</v>
      </c>
      <c r="M1084" s="35"/>
      <c r="N1084" s="36">
        <f>IFERROR(M1084/$Q1084,0)</f>
        <v>0</v>
      </c>
      <c r="O1084" s="38"/>
      <c r="P1084" s="36">
        <f>IFERROR(O1084/$R1084,0)</f>
        <v>0</v>
      </c>
      <c r="Q1084" s="35"/>
      <c r="R1084" s="38"/>
    </row>
    <row r="1085" spans="1:18" ht="15.75" customHeight="1" x14ac:dyDescent="0.25">
      <c r="A1085" s="37">
        <v>2017</v>
      </c>
      <c r="B1085" s="35">
        <v>171870</v>
      </c>
      <c r="C1085" s="34" t="s">
        <v>148</v>
      </c>
      <c r="D1085" s="34" t="s">
        <v>115</v>
      </c>
      <c r="E1085" s="35"/>
      <c r="F1085" s="36">
        <f>IFERROR(E1085/$Q1085,0)</f>
        <v>0</v>
      </c>
      <c r="G1085" s="38"/>
      <c r="H1085" s="36">
        <f>IFERROR(G1085/$R1085,0)</f>
        <v>0</v>
      </c>
      <c r="I1085" s="35"/>
      <c r="J1085" s="36">
        <f>IFERROR(I1085/$Q1085,0)</f>
        <v>0</v>
      </c>
      <c r="K1085" s="38"/>
      <c r="L1085" s="36">
        <f>IFERROR(K1085/$R1085,0)</f>
        <v>0</v>
      </c>
      <c r="M1085" s="35"/>
      <c r="N1085" s="36">
        <f>IFERROR(M1085/$Q1085,0)</f>
        <v>0</v>
      </c>
      <c r="O1085" s="38"/>
      <c r="P1085" s="36">
        <f>IFERROR(O1085/$R1085,0)</f>
        <v>0</v>
      </c>
      <c r="Q1085" s="35"/>
      <c r="R1085" s="38"/>
    </row>
    <row r="1086" spans="1:18" ht="15.75" customHeight="1" x14ac:dyDescent="0.25">
      <c r="A1086" s="37">
        <v>2017</v>
      </c>
      <c r="B1086" s="35">
        <v>171875</v>
      </c>
      <c r="C1086" s="34" t="s">
        <v>148</v>
      </c>
      <c r="D1086" s="34" t="s">
        <v>116</v>
      </c>
      <c r="E1086" s="35"/>
      <c r="F1086" s="36">
        <f>IFERROR(E1086/$Q1086,0)</f>
        <v>0</v>
      </c>
      <c r="G1086" s="38"/>
      <c r="H1086" s="36">
        <f>IFERROR(G1086/$R1086,0)</f>
        <v>0</v>
      </c>
      <c r="I1086" s="35"/>
      <c r="J1086" s="36">
        <f>IFERROR(I1086/$Q1086,0)</f>
        <v>0</v>
      </c>
      <c r="K1086" s="38"/>
      <c r="L1086" s="36">
        <f>IFERROR(K1086/$R1086,0)</f>
        <v>0</v>
      </c>
      <c r="M1086" s="35"/>
      <c r="N1086" s="36">
        <f>IFERROR(M1086/$Q1086,0)</f>
        <v>0</v>
      </c>
      <c r="O1086" s="38"/>
      <c r="P1086" s="36">
        <f>IFERROR(O1086/$R1086,0)</f>
        <v>0</v>
      </c>
      <c r="Q1086" s="35"/>
      <c r="R1086" s="38"/>
    </row>
    <row r="1087" spans="1:18" ht="15.75" customHeight="1" x14ac:dyDescent="0.25">
      <c r="A1087" s="37">
        <v>2017</v>
      </c>
      <c r="B1087" s="35">
        <v>171880</v>
      </c>
      <c r="C1087" s="34" t="s">
        <v>145</v>
      </c>
      <c r="D1087" s="34" t="s">
        <v>117</v>
      </c>
      <c r="E1087" s="35"/>
      <c r="F1087" s="36">
        <f>IFERROR(E1087/$Q1087,0)</f>
        <v>0</v>
      </c>
      <c r="G1087" s="38"/>
      <c r="H1087" s="36">
        <f>IFERROR(G1087/$R1087,0)</f>
        <v>0</v>
      </c>
      <c r="I1087" s="35"/>
      <c r="J1087" s="36">
        <f>IFERROR(I1087/$Q1087,0)</f>
        <v>0</v>
      </c>
      <c r="K1087" s="38"/>
      <c r="L1087" s="36">
        <f>IFERROR(K1087/$R1087,0)</f>
        <v>0</v>
      </c>
      <c r="M1087" s="35"/>
      <c r="N1087" s="36">
        <f>IFERROR(M1087/$Q1087,0)</f>
        <v>0</v>
      </c>
      <c r="O1087" s="38"/>
      <c r="P1087" s="36">
        <f>IFERROR(O1087/$R1087,0)</f>
        <v>0</v>
      </c>
      <c r="Q1087" s="35"/>
      <c r="R1087" s="38"/>
    </row>
    <row r="1088" spans="1:18" ht="15.75" customHeight="1" x14ac:dyDescent="0.25">
      <c r="A1088" s="37">
        <v>2017</v>
      </c>
      <c r="B1088" s="35">
        <v>171884</v>
      </c>
      <c r="C1088" s="34" t="s">
        <v>146</v>
      </c>
      <c r="D1088" s="34" t="s">
        <v>118</v>
      </c>
      <c r="E1088" s="35"/>
      <c r="F1088" s="36">
        <f>IFERROR(E1088/$Q1088,0)</f>
        <v>0</v>
      </c>
      <c r="G1088" s="38"/>
      <c r="H1088" s="36">
        <f>IFERROR(G1088/$R1088,0)</f>
        <v>0</v>
      </c>
      <c r="I1088" s="35"/>
      <c r="J1088" s="36">
        <f>IFERROR(I1088/$Q1088,0)</f>
        <v>0</v>
      </c>
      <c r="K1088" s="38"/>
      <c r="L1088" s="36">
        <f>IFERROR(K1088/$R1088,0)</f>
        <v>0</v>
      </c>
      <c r="M1088" s="35"/>
      <c r="N1088" s="36">
        <f>IFERROR(M1088/$Q1088,0)</f>
        <v>0</v>
      </c>
      <c r="O1088" s="38"/>
      <c r="P1088" s="36">
        <f>IFERROR(O1088/$R1088,0)</f>
        <v>0</v>
      </c>
      <c r="Q1088" s="35"/>
      <c r="R1088" s="38"/>
    </row>
    <row r="1089" spans="1:18" ht="15.75" customHeight="1" x14ac:dyDescent="0.25">
      <c r="A1089" s="37">
        <v>2017</v>
      </c>
      <c r="B1089" s="35">
        <v>171886</v>
      </c>
      <c r="C1089" s="34" t="s">
        <v>149</v>
      </c>
      <c r="D1089" s="34" t="s">
        <v>119</v>
      </c>
      <c r="E1089" s="35"/>
      <c r="F1089" s="36">
        <f>IFERROR(E1089/$Q1089,0)</f>
        <v>0</v>
      </c>
      <c r="G1089" s="38"/>
      <c r="H1089" s="36">
        <f>IFERROR(G1089/$R1089,0)</f>
        <v>0</v>
      </c>
      <c r="I1089" s="35"/>
      <c r="J1089" s="36">
        <f>IFERROR(I1089/$Q1089,0)</f>
        <v>0</v>
      </c>
      <c r="K1089" s="38"/>
      <c r="L1089" s="36">
        <f>IFERROR(K1089/$R1089,0)</f>
        <v>0</v>
      </c>
      <c r="M1089" s="35"/>
      <c r="N1089" s="36">
        <f>IFERROR(M1089/$Q1089,0)</f>
        <v>0</v>
      </c>
      <c r="O1089" s="38"/>
      <c r="P1089" s="36">
        <f>IFERROR(O1089/$R1089,0)</f>
        <v>0</v>
      </c>
      <c r="Q1089" s="35"/>
      <c r="R1089" s="38"/>
    </row>
    <row r="1090" spans="1:18" ht="15.75" customHeight="1" x14ac:dyDescent="0.25">
      <c r="A1090" s="37">
        <v>2017</v>
      </c>
      <c r="B1090" s="35">
        <v>171888</v>
      </c>
      <c r="C1090" s="34" t="s">
        <v>150</v>
      </c>
      <c r="D1090" s="34" t="s">
        <v>120</v>
      </c>
      <c r="E1090" s="35"/>
      <c r="F1090" s="36">
        <f>IFERROR(E1090/$Q1090,0)</f>
        <v>0</v>
      </c>
      <c r="G1090" s="38"/>
      <c r="H1090" s="36">
        <f>IFERROR(G1090/$R1090,0)</f>
        <v>0</v>
      </c>
      <c r="I1090" s="35"/>
      <c r="J1090" s="36">
        <f>IFERROR(I1090/$Q1090,0)</f>
        <v>0</v>
      </c>
      <c r="K1090" s="38"/>
      <c r="L1090" s="36">
        <f>IFERROR(K1090/$R1090,0)</f>
        <v>0</v>
      </c>
      <c r="M1090" s="35"/>
      <c r="N1090" s="36">
        <f>IFERROR(M1090/$Q1090,0)</f>
        <v>0</v>
      </c>
      <c r="O1090" s="38"/>
      <c r="P1090" s="36">
        <f>IFERROR(O1090/$R1090,0)</f>
        <v>0</v>
      </c>
      <c r="Q1090" s="35"/>
      <c r="R1090" s="38"/>
    </row>
    <row r="1091" spans="1:18" ht="15.75" customHeight="1" x14ac:dyDescent="0.25">
      <c r="A1091" s="37">
        <v>2017</v>
      </c>
      <c r="B1091" s="35">
        <v>171889</v>
      </c>
      <c r="C1091" s="34" t="s">
        <v>146</v>
      </c>
      <c r="D1091" s="34" t="s">
        <v>121</v>
      </c>
      <c r="E1091" s="35"/>
      <c r="F1091" s="36">
        <f>IFERROR(E1091/$Q1091,0)</f>
        <v>0</v>
      </c>
      <c r="G1091" s="38"/>
      <c r="H1091" s="36">
        <f>IFERROR(G1091/$R1091,0)</f>
        <v>0</v>
      </c>
      <c r="I1091" s="35"/>
      <c r="J1091" s="36">
        <f>IFERROR(I1091/$Q1091,0)</f>
        <v>0</v>
      </c>
      <c r="K1091" s="38"/>
      <c r="L1091" s="36">
        <f>IFERROR(K1091/$R1091,0)</f>
        <v>0</v>
      </c>
      <c r="M1091" s="35"/>
      <c r="N1091" s="36">
        <f>IFERROR(M1091/$Q1091,0)</f>
        <v>0</v>
      </c>
      <c r="O1091" s="38"/>
      <c r="P1091" s="36">
        <f>IFERROR(O1091/$R1091,0)</f>
        <v>0</v>
      </c>
      <c r="Q1091" s="35"/>
      <c r="R1091" s="38"/>
    </row>
    <row r="1092" spans="1:18" ht="15.75" customHeight="1" x14ac:dyDescent="0.25">
      <c r="A1092" s="37">
        <v>2017</v>
      </c>
      <c r="B1092" s="35">
        <v>171890</v>
      </c>
      <c r="C1092" s="34" t="s">
        <v>151</v>
      </c>
      <c r="D1092" s="34" t="s">
        <v>122</v>
      </c>
      <c r="E1092" s="35"/>
      <c r="F1092" s="36">
        <f>IFERROR(E1092/$Q1092,0)</f>
        <v>0</v>
      </c>
      <c r="G1092" s="38"/>
      <c r="H1092" s="36">
        <f>IFERROR(G1092/$R1092,0)</f>
        <v>0</v>
      </c>
      <c r="I1092" s="35"/>
      <c r="J1092" s="36">
        <f>IFERROR(I1092/$Q1092,0)</f>
        <v>0</v>
      </c>
      <c r="K1092" s="38"/>
      <c r="L1092" s="36">
        <f>IFERROR(K1092/$R1092,0)</f>
        <v>0</v>
      </c>
      <c r="M1092" s="35"/>
      <c r="N1092" s="36">
        <f>IFERROR(M1092/$Q1092,0)</f>
        <v>0</v>
      </c>
      <c r="O1092" s="38"/>
      <c r="P1092" s="36">
        <f>IFERROR(O1092/$R1092,0)</f>
        <v>0</v>
      </c>
      <c r="Q1092" s="35"/>
      <c r="R1092" s="38"/>
    </row>
    <row r="1093" spans="1:18" ht="15.75" customHeight="1" x14ac:dyDescent="0.25">
      <c r="A1093" s="37">
        <v>2017</v>
      </c>
      <c r="B1093" s="35">
        <v>171900</v>
      </c>
      <c r="C1093" s="34" t="s">
        <v>148</v>
      </c>
      <c r="D1093" s="34" t="s">
        <v>123</v>
      </c>
      <c r="E1093" s="35"/>
      <c r="F1093" s="36">
        <f>IFERROR(E1093/$Q1093,0)</f>
        <v>0</v>
      </c>
      <c r="G1093" s="38"/>
      <c r="H1093" s="36">
        <f>IFERROR(G1093/$R1093,0)</f>
        <v>0</v>
      </c>
      <c r="I1093" s="35"/>
      <c r="J1093" s="36">
        <f>IFERROR(I1093/$Q1093,0)</f>
        <v>0</v>
      </c>
      <c r="K1093" s="38"/>
      <c r="L1093" s="36">
        <f>IFERROR(K1093/$R1093,0)</f>
        <v>0</v>
      </c>
      <c r="M1093" s="35"/>
      <c r="N1093" s="36">
        <f>IFERROR(M1093/$Q1093,0)</f>
        <v>0</v>
      </c>
      <c r="O1093" s="38"/>
      <c r="P1093" s="36">
        <f>IFERROR(O1093/$R1093,0)</f>
        <v>0</v>
      </c>
      <c r="Q1093" s="35"/>
      <c r="R1093" s="38"/>
    </row>
    <row r="1094" spans="1:18" ht="15.75" customHeight="1" x14ac:dyDescent="0.25">
      <c r="A1094" s="37">
        <v>2017</v>
      </c>
      <c r="B1094" s="35">
        <v>172000</v>
      </c>
      <c r="C1094" s="34" t="s">
        <v>145</v>
      </c>
      <c r="D1094" s="34" t="s">
        <v>124</v>
      </c>
      <c r="E1094" s="35"/>
      <c r="F1094" s="36">
        <f>IFERROR(E1094/$Q1094,0)</f>
        <v>0</v>
      </c>
      <c r="G1094" s="38"/>
      <c r="H1094" s="36">
        <f>IFERROR(G1094/$R1094,0)</f>
        <v>0</v>
      </c>
      <c r="I1094" s="35"/>
      <c r="J1094" s="36">
        <f>IFERROR(I1094/$Q1094,0)</f>
        <v>0</v>
      </c>
      <c r="K1094" s="38"/>
      <c r="L1094" s="36">
        <f>IFERROR(K1094/$R1094,0)</f>
        <v>0</v>
      </c>
      <c r="M1094" s="35"/>
      <c r="N1094" s="36">
        <f>IFERROR(M1094/$Q1094,0)</f>
        <v>0</v>
      </c>
      <c r="O1094" s="38"/>
      <c r="P1094" s="36">
        <f>IFERROR(O1094/$R1094,0)</f>
        <v>0</v>
      </c>
      <c r="Q1094" s="35"/>
      <c r="R1094" s="38"/>
    </row>
    <row r="1095" spans="1:18" ht="15.75" customHeight="1" x14ac:dyDescent="0.25">
      <c r="A1095" s="37">
        <v>2017</v>
      </c>
      <c r="B1095" s="35">
        <v>172010</v>
      </c>
      <c r="C1095" s="34" t="s">
        <v>145</v>
      </c>
      <c r="D1095" s="34" t="s">
        <v>125</v>
      </c>
      <c r="E1095" s="35"/>
      <c r="F1095" s="36">
        <f>IFERROR(E1095/$Q1095,0)</f>
        <v>0</v>
      </c>
      <c r="G1095" s="38"/>
      <c r="H1095" s="36">
        <f>IFERROR(G1095/$R1095,0)</f>
        <v>0</v>
      </c>
      <c r="I1095" s="35"/>
      <c r="J1095" s="36">
        <f>IFERROR(I1095/$Q1095,0)</f>
        <v>0</v>
      </c>
      <c r="K1095" s="38"/>
      <c r="L1095" s="36">
        <f>IFERROR(K1095/$R1095,0)</f>
        <v>0</v>
      </c>
      <c r="M1095" s="35"/>
      <c r="N1095" s="36">
        <f>IFERROR(M1095/$Q1095,0)</f>
        <v>0</v>
      </c>
      <c r="O1095" s="38"/>
      <c r="P1095" s="36">
        <f>IFERROR(O1095/$R1095,0)</f>
        <v>0</v>
      </c>
      <c r="Q1095" s="35"/>
      <c r="R1095" s="38"/>
    </row>
    <row r="1096" spans="1:18" ht="15.75" customHeight="1" x14ac:dyDescent="0.25">
      <c r="A1096" s="37">
        <v>2017</v>
      </c>
      <c r="B1096" s="35">
        <v>172015</v>
      </c>
      <c r="C1096" s="34" t="s">
        <v>148</v>
      </c>
      <c r="D1096" s="34" t="s">
        <v>126</v>
      </c>
      <c r="E1096" s="35"/>
      <c r="F1096" s="36">
        <f>IFERROR(E1096/$Q1096,0)</f>
        <v>0</v>
      </c>
      <c r="G1096" s="38"/>
      <c r="H1096" s="36">
        <f>IFERROR(G1096/$R1096,0)</f>
        <v>0</v>
      </c>
      <c r="I1096" s="35"/>
      <c r="J1096" s="36">
        <f>IFERROR(I1096/$Q1096,0)</f>
        <v>0</v>
      </c>
      <c r="K1096" s="38"/>
      <c r="L1096" s="36">
        <f>IFERROR(K1096/$R1096,0)</f>
        <v>0</v>
      </c>
      <c r="M1096" s="35"/>
      <c r="N1096" s="36">
        <f>IFERROR(M1096/$Q1096,0)</f>
        <v>0</v>
      </c>
      <c r="O1096" s="38"/>
      <c r="P1096" s="36">
        <f>IFERROR(O1096/$R1096,0)</f>
        <v>0</v>
      </c>
      <c r="Q1096" s="35"/>
      <c r="R1096" s="38"/>
    </row>
    <row r="1097" spans="1:18" ht="15.75" customHeight="1" x14ac:dyDescent="0.25">
      <c r="A1097" s="37">
        <v>2017</v>
      </c>
      <c r="B1097" s="35">
        <v>172020</v>
      </c>
      <c r="C1097" s="34" t="s">
        <v>145</v>
      </c>
      <c r="D1097" s="34" t="s">
        <v>127</v>
      </c>
      <c r="E1097" s="35"/>
      <c r="F1097" s="36">
        <f>IFERROR(E1097/$Q1097,0)</f>
        <v>0</v>
      </c>
      <c r="G1097" s="38"/>
      <c r="H1097" s="36">
        <f>IFERROR(G1097/$R1097,0)</f>
        <v>0</v>
      </c>
      <c r="I1097" s="35"/>
      <c r="J1097" s="36">
        <f>IFERROR(I1097/$Q1097,0)</f>
        <v>0</v>
      </c>
      <c r="K1097" s="38"/>
      <c r="L1097" s="36">
        <f>IFERROR(K1097/$R1097,0)</f>
        <v>0</v>
      </c>
      <c r="M1097" s="35"/>
      <c r="N1097" s="36">
        <f>IFERROR(M1097/$Q1097,0)</f>
        <v>0</v>
      </c>
      <c r="O1097" s="38"/>
      <c r="P1097" s="36">
        <f>IFERROR(O1097/$R1097,0)</f>
        <v>0</v>
      </c>
      <c r="Q1097" s="35"/>
      <c r="R1097" s="38"/>
    </row>
    <row r="1098" spans="1:18" ht="15.75" customHeight="1" x14ac:dyDescent="0.25">
      <c r="A1098" s="37">
        <v>2017</v>
      </c>
      <c r="B1098" s="35">
        <v>172025</v>
      </c>
      <c r="C1098" s="34" t="s">
        <v>146</v>
      </c>
      <c r="D1098" s="34" t="s">
        <v>128</v>
      </c>
      <c r="E1098" s="35"/>
      <c r="F1098" s="36">
        <f>IFERROR(E1098/$Q1098,0)</f>
        <v>0</v>
      </c>
      <c r="G1098" s="38"/>
      <c r="H1098" s="36">
        <f>IFERROR(G1098/$R1098,0)</f>
        <v>0</v>
      </c>
      <c r="I1098" s="35"/>
      <c r="J1098" s="36">
        <f>IFERROR(I1098/$Q1098,0)</f>
        <v>0</v>
      </c>
      <c r="K1098" s="38"/>
      <c r="L1098" s="36">
        <f>IFERROR(K1098/$R1098,0)</f>
        <v>0</v>
      </c>
      <c r="M1098" s="35"/>
      <c r="N1098" s="36">
        <f>IFERROR(M1098/$Q1098,0)</f>
        <v>0</v>
      </c>
      <c r="O1098" s="38"/>
      <c r="P1098" s="36">
        <f>IFERROR(O1098/$R1098,0)</f>
        <v>0</v>
      </c>
      <c r="Q1098" s="35"/>
      <c r="R1098" s="38"/>
    </row>
    <row r="1099" spans="1:18" ht="15.75" customHeight="1" x14ac:dyDescent="0.25">
      <c r="A1099" s="37">
        <v>2017</v>
      </c>
      <c r="B1099" s="35">
        <v>172030</v>
      </c>
      <c r="C1099" s="34" t="s">
        <v>145</v>
      </c>
      <c r="D1099" s="34" t="s">
        <v>129</v>
      </c>
      <c r="E1099" s="35"/>
      <c r="F1099" s="36">
        <f>IFERROR(E1099/$Q1099,0)</f>
        <v>0</v>
      </c>
      <c r="G1099" s="38"/>
      <c r="H1099" s="36">
        <f>IFERROR(G1099/$R1099,0)</f>
        <v>0</v>
      </c>
      <c r="I1099" s="35"/>
      <c r="J1099" s="36">
        <f>IFERROR(I1099/$Q1099,0)</f>
        <v>0</v>
      </c>
      <c r="K1099" s="38"/>
      <c r="L1099" s="36">
        <f>IFERROR(K1099/$R1099,0)</f>
        <v>0</v>
      </c>
      <c r="M1099" s="35"/>
      <c r="N1099" s="36">
        <f>IFERROR(M1099/$Q1099,0)</f>
        <v>0</v>
      </c>
      <c r="O1099" s="38"/>
      <c r="P1099" s="36">
        <f>IFERROR(O1099/$R1099,0)</f>
        <v>0</v>
      </c>
      <c r="Q1099" s="35"/>
      <c r="R1099" s="38"/>
    </row>
    <row r="1100" spans="1:18" ht="15.75" customHeight="1" x14ac:dyDescent="0.25">
      <c r="A1100" s="37">
        <v>2017</v>
      </c>
      <c r="B1100" s="35">
        <v>172049</v>
      </c>
      <c r="C1100" s="34" t="s">
        <v>146</v>
      </c>
      <c r="D1100" s="34" t="s">
        <v>130</v>
      </c>
      <c r="E1100" s="35"/>
      <c r="F1100" s="36">
        <f>IFERROR(E1100/$Q1100,0)</f>
        <v>0</v>
      </c>
      <c r="G1100" s="38"/>
      <c r="H1100" s="36">
        <f>IFERROR(G1100/$R1100,0)</f>
        <v>0</v>
      </c>
      <c r="I1100" s="35"/>
      <c r="J1100" s="36">
        <f>IFERROR(I1100/$Q1100,0)</f>
        <v>0</v>
      </c>
      <c r="K1100" s="38"/>
      <c r="L1100" s="36">
        <f>IFERROR(K1100/$R1100,0)</f>
        <v>0</v>
      </c>
      <c r="M1100" s="35"/>
      <c r="N1100" s="36">
        <f>IFERROR(M1100/$Q1100,0)</f>
        <v>0</v>
      </c>
      <c r="O1100" s="38"/>
      <c r="P1100" s="36">
        <f>IFERROR(O1100/$R1100,0)</f>
        <v>0</v>
      </c>
      <c r="Q1100" s="35"/>
      <c r="R1100" s="38"/>
    </row>
    <row r="1101" spans="1:18" ht="15.75" customHeight="1" x14ac:dyDescent="0.25">
      <c r="A1101" s="37">
        <v>2017</v>
      </c>
      <c r="B1101" s="35">
        <v>172065</v>
      </c>
      <c r="C1101" s="34" t="s">
        <v>151</v>
      </c>
      <c r="D1101" s="34" t="s">
        <v>131</v>
      </c>
      <c r="E1101" s="35"/>
      <c r="F1101" s="36">
        <f>IFERROR(E1101/$Q1101,0)</f>
        <v>0</v>
      </c>
      <c r="G1101" s="38"/>
      <c r="H1101" s="36">
        <f>IFERROR(G1101/$R1101,0)</f>
        <v>0</v>
      </c>
      <c r="I1101" s="35"/>
      <c r="J1101" s="36">
        <f>IFERROR(I1101/$Q1101,0)</f>
        <v>0</v>
      </c>
      <c r="K1101" s="38"/>
      <c r="L1101" s="36">
        <f>IFERROR(K1101/$R1101,0)</f>
        <v>0</v>
      </c>
      <c r="M1101" s="35"/>
      <c r="N1101" s="36">
        <f>IFERROR(M1101/$Q1101,0)</f>
        <v>0</v>
      </c>
      <c r="O1101" s="38"/>
      <c r="P1101" s="36">
        <f>IFERROR(O1101/$R1101,0)</f>
        <v>0</v>
      </c>
      <c r="Q1101" s="35"/>
      <c r="R1101" s="38"/>
    </row>
    <row r="1102" spans="1:18" ht="15.75" customHeight="1" x14ac:dyDescent="0.25">
      <c r="A1102" s="37">
        <v>2017</v>
      </c>
      <c r="B1102" s="35">
        <v>172080</v>
      </c>
      <c r="C1102" s="34" t="s">
        <v>145</v>
      </c>
      <c r="D1102" s="34" t="s">
        <v>132</v>
      </c>
      <c r="E1102" s="35"/>
      <c r="F1102" s="36">
        <f>IFERROR(E1102/$Q1102,0)</f>
        <v>0</v>
      </c>
      <c r="G1102" s="38"/>
      <c r="H1102" s="36">
        <f>IFERROR(G1102/$R1102,0)</f>
        <v>0</v>
      </c>
      <c r="I1102" s="35"/>
      <c r="J1102" s="36">
        <f>IFERROR(I1102/$Q1102,0)</f>
        <v>0</v>
      </c>
      <c r="K1102" s="38"/>
      <c r="L1102" s="36">
        <f>IFERROR(K1102/$R1102,0)</f>
        <v>0</v>
      </c>
      <c r="M1102" s="35"/>
      <c r="N1102" s="36">
        <f>IFERROR(M1102/$Q1102,0)</f>
        <v>0</v>
      </c>
      <c r="O1102" s="38"/>
      <c r="P1102" s="36">
        <f>IFERROR(O1102/$R1102,0)</f>
        <v>0</v>
      </c>
      <c r="Q1102" s="35"/>
      <c r="R1102" s="38"/>
    </row>
    <row r="1103" spans="1:18" ht="15.75" customHeight="1" x14ac:dyDescent="0.25">
      <c r="A1103" s="37">
        <v>2017</v>
      </c>
      <c r="B1103" s="35">
        <v>172085</v>
      </c>
      <c r="C1103" s="34" t="s">
        <v>146</v>
      </c>
      <c r="D1103" s="34" t="s">
        <v>133</v>
      </c>
      <c r="E1103" s="35"/>
      <c r="F1103" s="36">
        <f>IFERROR(E1103/$Q1103,0)</f>
        <v>0</v>
      </c>
      <c r="G1103" s="38"/>
      <c r="H1103" s="36">
        <f>IFERROR(G1103/$R1103,0)</f>
        <v>0</v>
      </c>
      <c r="I1103" s="35"/>
      <c r="J1103" s="36">
        <f>IFERROR(I1103/$Q1103,0)</f>
        <v>0</v>
      </c>
      <c r="K1103" s="38"/>
      <c r="L1103" s="36">
        <f>IFERROR(K1103/$R1103,0)</f>
        <v>0</v>
      </c>
      <c r="M1103" s="35"/>
      <c r="N1103" s="36">
        <f>IFERROR(M1103/$Q1103,0)</f>
        <v>0</v>
      </c>
      <c r="O1103" s="38"/>
      <c r="P1103" s="36">
        <f>IFERROR(O1103/$R1103,0)</f>
        <v>0</v>
      </c>
      <c r="Q1103" s="35"/>
      <c r="R1103" s="38"/>
    </row>
    <row r="1104" spans="1:18" ht="15.75" customHeight="1" x14ac:dyDescent="0.25">
      <c r="A1104" s="37">
        <v>2017</v>
      </c>
      <c r="B1104" s="35">
        <v>170825</v>
      </c>
      <c r="C1104" s="34" t="s">
        <v>148</v>
      </c>
      <c r="D1104" s="34" t="s">
        <v>134</v>
      </c>
      <c r="E1104" s="35"/>
      <c r="F1104" s="36">
        <f>IFERROR(E1104/$Q1104,0)</f>
        <v>0</v>
      </c>
      <c r="G1104" s="38"/>
      <c r="H1104" s="36">
        <f>IFERROR(G1104/$R1104,0)</f>
        <v>0</v>
      </c>
      <c r="I1104" s="35"/>
      <c r="J1104" s="36">
        <f>IFERROR(I1104/$Q1104,0)</f>
        <v>0</v>
      </c>
      <c r="K1104" s="38"/>
      <c r="L1104" s="36">
        <f>IFERROR(K1104/$R1104,0)</f>
        <v>0</v>
      </c>
      <c r="M1104" s="35"/>
      <c r="N1104" s="36">
        <f>IFERROR(M1104/$Q1104,0)</f>
        <v>0</v>
      </c>
      <c r="O1104" s="38"/>
      <c r="P1104" s="36">
        <f>IFERROR(O1104/$R1104,0)</f>
        <v>0</v>
      </c>
      <c r="Q1104" s="35"/>
      <c r="R1104" s="38"/>
    </row>
    <row r="1105" spans="1:18" ht="15.75" customHeight="1" x14ac:dyDescent="0.25">
      <c r="A1105" s="37">
        <v>2017</v>
      </c>
      <c r="B1105" s="35">
        <v>172090</v>
      </c>
      <c r="C1105" s="34" t="s">
        <v>147</v>
      </c>
      <c r="D1105" s="34" t="s">
        <v>135</v>
      </c>
      <c r="E1105" s="35"/>
      <c r="F1105" s="36">
        <f>IFERROR(E1105/$Q1105,0)</f>
        <v>0</v>
      </c>
      <c r="G1105" s="38"/>
      <c r="H1105" s="36">
        <f>IFERROR(G1105/$R1105,0)</f>
        <v>0</v>
      </c>
      <c r="I1105" s="35"/>
      <c r="J1105" s="36">
        <f>IFERROR(I1105/$Q1105,0)</f>
        <v>0</v>
      </c>
      <c r="K1105" s="38"/>
      <c r="L1105" s="36">
        <f>IFERROR(K1105/$R1105,0)</f>
        <v>0</v>
      </c>
      <c r="M1105" s="35"/>
      <c r="N1105" s="36">
        <f>IFERROR(M1105/$Q1105,0)</f>
        <v>0</v>
      </c>
      <c r="O1105" s="38"/>
      <c r="P1105" s="36">
        <f>IFERROR(O1105/$R1105,0)</f>
        <v>0</v>
      </c>
      <c r="Q1105" s="35"/>
      <c r="R1105" s="38"/>
    </row>
    <row r="1106" spans="1:18" ht="15.75" customHeight="1" x14ac:dyDescent="0.25">
      <c r="A1106" s="37">
        <v>2017</v>
      </c>
      <c r="B1106" s="35">
        <v>172093</v>
      </c>
      <c r="C1106" s="34" t="s">
        <v>147</v>
      </c>
      <c r="D1106" s="34" t="s">
        <v>136</v>
      </c>
      <c r="E1106" s="35"/>
      <c r="F1106" s="36">
        <f>IFERROR(E1106/$Q1106,0)</f>
        <v>0</v>
      </c>
      <c r="G1106" s="38"/>
      <c r="H1106" s="36">
        <f>IFERROR(G1106/$R1106,0)</f>
        <v>0</v>
      </c>
      <c r="I1106" s="35"/>
      <c r="J1106" s="36">
        <f>IFERROR(I1106/$Q1106,0)</f>
        <v>0</v>
      </c>
      <c r="K1106" s="38"/>
      <c r="L1106" s="36">
        <f>IFERROR(K1106/$R1106,0)</f>
        <v>0</v>
      </c>
      <c r="M1106" s="35"/>
      <c r="N1106" s="36">
        <f>IFERROR(M1106/$Q1106,0)</f>
        <v>0</v>
      </c>
      <c r="O1106" s="38"/>
      <c r="P1106" s="36">
        <f>IFERROR(O1106/$R1106,0)</f>
        <v>0</v>
      </c>
      <c r="Q1106" s="35"/>
      <c r="R1106" s="38"/>
    </row>
    <row r="1107" spans="1:18" ht="15.75" customHeight="1" x14ac:dyDescent="0.25">
      <c r="A1107" s="37">
        <v>2017</v>
      </c>
      <c r="B1107" s="35">
        <v>172097</v>
      </c>
      <c r="C1107" s="34" t="s">
        <v>146</v>
      </c>
      <c r="D1107" s="34" t="s">
        <v>137</v>
      </c>
      <c r="E1107" s="35"/>
      <c r="F1107" s="36">
        <f>IFERROR(E1107/$Q1107,0)</f>
        <v>0</v>
      </c>
      <c r="G1107" s="38"/>
      <c r="H1107" s="36">
        <f>IFERROR(G1107/$R1107,0)</f>
        <v>0</v>
      </c>
      <c r="I1107" s="35"/>
      <c r="J1107" s="36">
        <f>IFERROR(I1107/$Q1107,0)</f>
        <v>0</v>
      </c>
      <c r="K1107" s="38"/>
      <c r="L1107" s="36">
        <f>IFERROR(K1107/$R1107,0)</f>
        <v>0</v>
      </c>
      <c r="M1107" s="35"/>
      <c r="N1107" s="36">
        <f>IFERROR(M1107/$Q1107,0)</f>
        <v>0</v>
      </c>
      <c r="O1107" s="38"/>
      <c r="P1107" s="36">
        <f>IFERROR(O1107/$R1107,0)</f>
        <v>0</v>
      </c>
      <c r="Q1107" s="35"/>
      <c r="R1107" s="38"/>
    </row>
    <row r="1108" spans="1:18" ht="15.75" customHeight="1" x14ac:dyDescent="0.25">
      <c r="A1108" s="37">
        <v>2017</v>
      </c>
      <c r="B1108" s="35">
        <v>172110</v>
      </c>
      <c r="C1108" s="34" t="s">
        <v>148</v>
      </c>
      <c r="D1108" s="34" t="s">
        <v>138</v>
      </c>
      <c r="E1108" s="35"/>
      <c r="F1108" s="36">
        <f>IFERROR(E1108/$Q1108,0)</f>
        <v>0</v>
      </c>
      <c r="G1108" s="38"/>
      <c r="H1108" s="36">
        <f>IFERROR(G1108/$R1108,0)</f>
        <v>0</v>
      </c>
      <c r="I1108" s="35"/>
      <c r="J1108" s="36">
        <f>IFERROR(I1108/$Q1108,0)</f>
        <v>0</v>
      </c>
      <c r="K1108" s="38"/>
      <c r="L1108" s="36">
        <f>IFERROR(K1108/$R1108,0)</f>
        <v>0</v>
      </c>
      <c r="M1108" s="35"/>
      <c r="N1108" s="36">
        <f>IFERROR(M1108/$Q1108,0)</f>
        <v>0</v>
      </c>
      <c r="O1108" s="38"/>
      <c r="P1108" s="36">
        <f>IFERROR(O1108/$R1108,0)</f>
        <v>0</v>
      </c>
      <c r="Q1108" s="35"/>
      <c r="R1108" s="38"/>
    </row>
    <row r="1109" spans="1:18" ht="15.75" customHeight="1" x14ac:dyDescent="0.25">
      <c r="A1109" s="37">
        <v>2017</v>
      </c>
      <c r="B1109" s="35">
        <v>172120</v>
      </c>
      <c r="C1109" s="34" t="s">
        <v>145</v>
      </c>
      <c r="D1109" s="34" t="s">
        <v>139</v>
      </c>
      <c r="E1109" s="35"/>
      <c r="F1109" s="36">
        <f>IFERROR(E1109/$Q1109,0)</f>
        <v>0</v>
      </c>
      <c r="G1109" s="38"/>
      <c r="H1109" s="36">
        <f>IFERROR(G1109/$R1109,0)</f>
        <v>0</v>
      </c>
      <c r="I1109" s="35"/>
      <c r="J1109" s="36">
        <f>IFERROR(I1109/$Q1109,0)</f>
        <v>0</v>
      </c>
      <c r="K1109" s="38"/>
      <c r="L1109" s="36">
        <f>IFERROR(K1109/$R1109,0)</f>
        <v>0</v>
      </c>
      <c r="M1109" s="35"/>
      <c r="N1109" s="36">
        <f>IFERROR(M1109/$Q1109,0)</f>
        <v>0</v>
      </c>
      <c r="O1109" s="38"/>
      <c r="P1109" s="36">
        <f>IFERROR(O1109/$R1109,0)</f>
        <v>0</v>
      </c>
      <c r="Q1109" s="35"/>
      <c r="R1109" s="38"/>
    </row>
    <row r="1110" spans="1:18" ht="15.75" customHeight="1" x14ac:dyDescent="0.25">
      <c r="A1110" s="37">
        <v>2017</v>
      </c>
      <c r="B1110" s="35">
        <v>172125</v>
      </c>
      <c r="C1110" s="34" t="s">
        <v>150</v>
      </c>
      <c r="D1110" s="34" t="s">
        <v>140</v>
      </c>
      <c r="E1110" s="35"/>
      <c r="F1110" s="36">
        <f>IFERROR(E1110/$Q1110,0)</f>
        <v>0</v>
      </c>
      <c r="G1110" s="38"/>
      <c r="H1110" s="36">
        <f>IFERROR(G1110/$R1110,0)</f>
        <v>0</v>
      </c>
      <c r="I1110" s="35"/>
      <c r="J1110" s="36">
        <f>IFERROR(I1110/$Q1110,0)</f>
        <v>0</v>
      </c>
      <c r="K1110" s="38"/>
      <c r="L1110" s="36">
        <f>IFERROR(K1110/$R1110,0)</f>
        <v>0</v>
      </c>
      <c r="M1110" s="35"/>
      <c r="N1110" s="36">
        <f>IFERROR(M1110/$Q1110,0)</f>
        <v>0</v>
      </c>
      <c r="O1110" s="38"/>
      <c r="P1110" s="36">
        <f>IFERROR(O1110/$R1110,0)</f>
        <v>0</v>
      </c>
      <c r="Q1110" s="35"/>
      <c r="R1110" s="38"/>
    </row>
    <row r="1111" spans="1:18" ht="15.75" customHeight="1" x14ac:dyDescent="0.25">
      <c r="A1111" s="37">
        <v>2017</v>
      </c>
      <c r="B1111" s="35">
        <v>172130</v>
      </c>
      <c r="C1111" s="34" t="s">
        <v>150</v>
      </c>
      <c r="D1111" s="34" t="s">
        <v>141</v>
      </c>
      <c r="E1111" s="35"/>
      <c r="F1111" s="36">
        <f>IFERROR(E1111/$Q1111,0)</f>
        <v>0</v>
      </c>
      <c r="G1111" s="38"/>
      <c r="H1111" s="36">
        <f>IFERROR(G1111/$R1111,0)</f>
        <v>0</v>
      </c>
      <c r="I1111" s="35"/>
      <c r="J1111" s="36">
        <f>IFERROR(I1111/$Q1111,0)</f>
        <v>0</v>
      </c>
      <c r="K1111" s="38"/>
      <c r="L1111" s="36">
        <f>IFERROR(K1111/$R1111,0)</f>
        <v>0</v>
      </c>
      <c r="M1111" s="35"/>
      <c r="N1111" s="36">
        <f>IFERROR(M1111/$Q1111,0)</f>
        <v>0</v>
      </c>
      <c r="O1111" s="38"/>
      <c r="P1111" s="36">
        <f>IFERROR(O1111/$R1111,0)</f>
        <v>0</v>
      </c>
      <c r="Q1111" s="35"/>
      <c r="R1111" s="38"/>
    </row>
    <row r="1112" spans="1:18" ht="15.75" customHeight="1" x14ac:dyDescent="0.25">
      <c r="A1112" s="37">
        <v>2017</v>
      </c>
      <c r="B1112" s="35">
        <v>172208</v>
      </c>
      <c r="C1112" s="34" t="s">
        <v>149</v>
      </c>
      <c r="D1112" s="34" t="s">
        <v>142</v>
      </c>
      <c r="E1112" s="35"/>
      <c r="F1112" s="36">
        <f>IFERROR(E1112/$Q1112,0)</f>
        <v>0</v>
      </c>
      <c r="G1112" s="38"/>
      <c r="H1112" s="36">
        <f>IFERROR(G1112/$R1112,0)</f>
        <v>0</v>
      </c>
      <c r="I1112" s="35"/>
      <c r="J1112" s="36">
        <f>IFERROR(I1112/$Q1112,0)</f>
        <v>0</v>
      </c>
      <c r="K1112" s="38"/>
      <c r="L1112" s="36">
        <f>IFERROR(K1112/$R1112,0)</f>
        <v>0</v>
      </c>
      <c r="M1112" s="35"/>
      <c r="N1112" s="36">
        <f>IFERROR(M1112/$Q1112,0)</f>
        <v>0</v>
      </c>
      <c r="O1112" s="38"/>
      <c r="P1112" s="36">
        <f>IFERROR(O1112/$R1112,0)</f>
        <v>0</v>
      </c>
      <c r="Q1112" s="35"/>
      <c r="R1112" s="38"/>
    </row>
    <row r="1113" spans="1:18" ht="15.75" customHeight="1" x14ac:dyDescent="0.25">
      <c r="A1113" s="37">
        <v>2017</v>
      </c>
      <c r="B1113" s="35">
        <v>172210</v>
      </c>
      <c r="C1113" s="34" t="s">
        <v>149</v>
      </c>
      <c r="D1113" s="34" t="s">
        <v>143</v>
      </c>
      <c r="E1113" s="35"/>
      <c r="F1113" s="36">
        <f>IFERROR(E1113/$Q1113,0)</f>
        <v>0</v>
      </c>
      <c r="G1113" s="38"/>
      <c r="H1113" s="36">
        <f>IFERROR(G1113/$R1113,0)</f>
        <v>0</v>
      </c>
      <c r="I1113" s="35"/>
      <c r="J1113" s="36">
        <f>IFERROR(I1113/$Q1113,0)</f>
        <v>0</v>
      </c>
      <c r="K1113" s="38"/>
      <c r="L1113" s="36">
        <f>IFERROR(K1113/$R1113,0)</f>
        <v>0</v>
      </c>
      <c r="M1113" s="35"/>
      <c r="N1113" s="36">
        <f>IFERROR(M1113/$Q1113,0)</f>
        <v>0</v>
      </c>
      <c r="O1113" s="38"/>
      <c r="P1113" s="36">
        <f>IFERROR(O1113/$R1113,0)</f>
        <v>0</v>
      </c>
      <c r="Q1113" s="35"/>
      <c r="R1113" s="38"/>
    </row>
    <row r="1114" spans="1:18" ht="15.75" customHeight="1" x14ac:dyDescent="0.25">
      <c r="A1114" s="37">
        <v>2016</v>
      </c>
      <c r="B1114" s="35">
        <v>170025</v>
      </c>
      <c r="C1114" s="34" t="s">
        <v>144</v>
      </c>
      <c r="D1114" s="34" t="s">
        <v>5</v>
      </c>
      <c r="E1114" s="35"/>
      <c r="F1114" s="36">
        <f>IFERROR(E1114/$Q1114,0)</f>
        <v>0</v>
      </c>
      <c r="G1114" s="38"/>
      <c r="H1114" s="36">
        <f>IFERROR(G1114/$R1114,0)</f>
        <v>0</v>
      </c>
      <c r="I1114" s="35"/>
      <c r="J1114" s="36">
        <f>IFERROR(I1114/$Q1114,0)</f>
        <v>0</v>
      </c>
      <c r="K1114" s="38"/>
      <c r="L1114" s="36">
        <f>IFERROR(K1114/$R1114,0)</f>
        <v>0</v>
      </c>
      <c r="M1114" s="35"/>
      <c r="N1114" s="36">
        <f>IFERROR(M1114/$Q1114,0)</f>
        <v>0</v>
      </c>
      <c r="O1114" s="38"/>
      <c r="P1114" s="36">
        <f>IFERROR(O1114/$R1114,0)</f>
        <v>0</v>
      </c>
      <c r="Q1114" s="35"/>
      <c r="R1114" s="38"/>
    </row>
    <row r="1115" spans="1:18" ht="15.75" customHeight="1" x14ac:dyDescent="0.25">
      <c r="A1115" s="37">
        <v>2016</v>
      </c>
      <c r="B1115" s="35">
        <v>170030</v>
      </c>
      <c r="C1115" s="34" t="s">
        <v>145</v>
      </c>
      <c r="D1115" s="34" t="s">
        <v>6</v>
      </c>
      <c r="E1115" s="35"/>
      <c r="F1115" s="36">
        <f>IFERROR(E1115/$Q1115,0)</f>
        <v>0</v>
      </c>
      <c r="G1115" s="38"/>
      <c r="H1115" s="36">
        <f>IFERROR(G1115/$R1115,0)</f>
        <v>0</v>
      </c>
      <c r="I1115" s="35"/>
      <c r="J1115" s="36">
        <f>IFERROR(I1115/$Q1115,0)</f>
        <v>0</v>
      </c>
      <c r="K1115" s="38"/>
      <c r="L1115" s="36">
        <f>IFERROR(K1115/$R1115,0)</f>
        <v>0</v>
      </c>
      <c r="M1115" s="35"/>
      <c r="N1115" s="36">
        <f>IFERROR(M1115/$Q1115,0)</f>
        <v>0</v>
      </c>
      <c r="O1115" s="38"/>
      <c r="P1115" s="36">
        <f>IFERROR(O1115/$R1115,0)</f>
        <v>0</v>
      </c>
      <c r="Q1115" s="35"/>
      <c r="R1115" s="38"/>
    </row>
    <row r="1116" spans="1:18" ht="15.75" customHeight="1" x14ac:dyDescent="0.25">
      <c r="A1116" s="37">
        <v>2016</v>
      </c>
      <c r="B1116" s="35">
        <v>170035</v>
      </c>
      <c r="C1116" s="34" t="s">
        <v>146</v>
      </c>
      <c r="D1116" s="34" t="s">
        <v>7</v>
      </c>
      <c r="E1116" s="35"/>
      <c r="F1116" s="36">
        <f>IFERROR(E1116/$Q1116,0)</f>
        <v>0</v>
      </c>
      <c r="G1116" s="38"/>
      <c r="H1116" s="36">
        <f>IFERROR(G1116/$R1116,0)</f>
        <v>0</v>
      </c>
      <c r="I1116" s="35"/>
      <c r="J1116" s="36">
        <f>IFERROR(I1116/$Q1116,0)</f>
        <v>0</v>
      </c>
      <c r="K1116" s="38"/>
      <c r="L1116" s="36">
        <f>IFERROR(K1116/$R1116,0)</f>
        <v>0</v>
      </c>
      <c r="M1116" s="35"/>
      <c r="N1116" s="36">
        <f>IFERROR(M1116/$Q1116,0)</f>
        <v>0</v>
      </c>
      <c r="O1116" s="38"/>
      <c r="P1116" s="36">
        <f>IFERROR(O1116/$R1116,0)</f>
        <v>0</v>
      </c>
      <c r="Q1116" s="35"/>
      <c r="R1116" s="38"/>
    </row>
    <row r="1117" spans="1:18" ht="15.75" customHeight="1" x14ac:dyDescent="0.25">
      <c r="A1117" s="37">
        <v>2016</v>
      </c>
      <c r="B1117" s="35">
        <v>170040</v>
      </c>
      <c r="C1117" s="34" t="s">
        <v>147</v>
      </c>
      <c r="D1117" s="34" t="s">
        <v>8</v>
      </c>
      <c r="E1117" s="35"/>
      <c r="F1117" s="36">
        <f>IFERROR(E1117/$Q1117,0)</f>
        <v>0</v>
      </c>
      <c r="G1117" s="38"/>
      <c r="H1117" s="36">
        <f>IFERROR(G1117/$R1117,0)</f>
        <v>0</v>
      </c>
      <c r="I1117" s="35"/>
      <c r="J1117" s="36">
        <f>IFERROR(I1117/$Q1117,0)</f>
        <v>0</v>
      </c>
      <c r="K1117" s="38"/>
      <c r="L1117" s="36">
        <f>IFERROR(K1117/$R1117,0)</f>
        <v>0</v>
      </c>
      <c r="M1117" s="35"/>
      <c r="N1117" s="36">
        <f>IFERROR(M1117/$Q1117,0)</f>
        <v>0</v>
      </c>
      <c r="O1117" s="38"/>
      <c r="P1117" s="36">
        <f>IFERROR(O1117/$R1117,0)</f>
        <v>0</v>
      </c>
      <c r="Q1117" s="35"/>
      <c r="R1117" s="38"/>
    </row>
    <row r="1118" spans="1:18" ht="15.75" customHeight="1" x14ac:dyDescent="0.25">
      <c r="A1118" s="37">
        <v>2016</v>
      </c>
      <c r="B1118" s="35">
        <v>170070</v>
      </c>
      <c r="C1118" s="34" t="s">
        <v>146</v>
      </c>
      <c r="D1118" s="34" t="s">
        <v>9</v>
      </c>
      <c r="E1118" s="35"/>
      <c r="F1118" s="36">
        <f>IFERROR(E1118/$Q1118,0)</f>
        <v>0</v>
      </c>
      <c r="G1118" s="38"/>
      <c r="H1118" s="36">
        <f>IFERROR(G1118/$R1118,0)</f>
        <v>0</v>
      </c>
      <c r="I1118" s="35"/>
      <c r="J1118" s="36">
        <f>IFERROR(I1118/$Q1118,0)</f>
        <v>0</v>
      </c>
      <c r="K1118" s="38"/>
      <c r="L1118" s="36">
        <f>IFERROR(K1118/$R1118,0)</f>
        <v>0</v>
      </c>
      <c r="M1118" s="35"/>
      <c r="N1118" s="36">
        <f>IFERROR(M1118/$Q1118,0)</f>
        <v>0</v>
      </c>
      <c r="O1118" s="38"/>
      <c r="P1118" s="36">
        <f>IFERROR(O1118/$R1118,0)</f>
        <v>0</v>
      </c>
      <c r="Q1118" s="35"/>
      <c r="R1118" s="38"/>
    </row>
    <row r="1119" spans="1:18" ht="15.75" customHeight="1" x14ac:dyDescent="0.25">
      <c r="A1119" s="37">
        <v>2016</v>
      </c>
      <c r="B1119" s="35">
        <v>170100</v>
      </c>
      <c r="C1119" s="34" t="s">
        <v>145</v>
      </c>
      <c r="D1119" s="34" t="s">
        <v>10</v>
      </c>
      <c r="E1119" s="35"/>
      <c r="F1119" s="36">
        <f>IFERROR(E1119/$Q1119,0)</f>
        <v>0</v>
      </c>
      <c r="G1119" s="38"/>
      <c r="H1119" s="36">
        <f>IFERROR(G1119/$R1119,0)</f>
        <v>0</v>
      </c>
      <c r="I1119" s="35"/>
      <c r="J1119" s="36">
        <f>IFERROR(I1119/$Q1119,0)</f>
        <v>0</v>
      </c>
      <c r="K1119" s="38"/>
      <c r="L1119" s="36">
        <f>IFERROR(K1119/$R1119,0)</f>
        <v>0</v>
      </c>
      <c r="M1119" s="35"/>
      <c r="N1119" s="36">
        <f>IFERROR(M1119/$Q1119,0)</f>
        <v>0</v>
      </c>
      <c r="O1119" s="38"/>
      <c r="P1119" s="36">
        <f>IFERROR(O1119/$R1119,0)</f>
        <v>0</v>
      </c>
      <c r="Q1119" s="35"/>
      <c r="R1119" s="38"/>
    </row>
    <row r="1120" spans="1:18" ht="15.75" customHeight="1" x14ac:dyDescent="0.25">
      <c r="A1120" s="37">
        <v>2016</v>
      </c>
      <c r="B1120" s="35">
        <v>170105</v>
      </c>
      <c r="C1120" s="34" t="s">
        <v>145</v>
      </c>
      <c r="D1120" s="34" t="s">
        <v>11</v>
      </c>
      <c r="E1120" s="35"/>
      <c r="F1120" s="36">
        <f>IFERROR(E1120/$Q1120,0)</f>
        <v>0</v>
      </c>
      <c r="G1120" s="38"/>
      <c r="H1120" s="36">
        <f>IFERROR(G1120/$R1120,0)</f>
        <v>0</v>
      </c>
      <c r="I1120" s="35"/>
      <c r="J1120" s="36">
        <f>IFERROR(I1120/$Q1120,0)</f>
        <v>0</v>
      </c>
      <c r="K1120" s="38"/>
      <c r="L1120" s="36">
        <f>IFERROR(K1120/$R1120,0)</f>
        <v>0</v>
      </c>
      <c r="M1120" s="35"/>
      <c r="N1120" s="36">
        <f>IFERROR(M1120/$Q1120,0)</f>
        <v>0</v>
      </c>
      <c r="O1120" s="38"/>
      <c r="P1120" s="36">
        <f>IFERROR(O1120/$R1120,0)</f>
        <v>0</v>
      </c>
      <c r="Q1120" s="35"/>
      <c r="R1120" s="38"/>
    </row>
    <row r="1121" spans="1:18" ht="15.75" customHeight="1" x14ac:dyDescent="0.25">
      <c r="A1121" s="37">
        <v>2016</v>
      </c>
      <c r="B1121" s="35">
        <v>170110</v>
      </c>
      <c r="C1121" s="34" t="s">
        <v>148</v>
      </c>
      <c r="D1121" s="34" t="s">
        <v>12</v>
      </c>
      <c r="E1121" s="35"/>
      <c r="F1121" s="36">
        <f>IFERROR(E1121/$Q1121,0)</f>
        <v>0</v>
      </c>
      <c r="G1121" s="38"/>
      <c r="H1121" s="36">
        <f>IFERROR(G1121/$R1121,0)</f>
        <v>0</v>
      </c>
      <c r="I1121" s="35"/>
      <c r="J1121" s="36">
        <f>IFERROR(I1121/$Q1121,0)</f>
        <v>0</v>
      </c>
      <c r="K1121" s="38"/>
      <c r="L1121" s="36">
        <f>IFERROR(K1121/$R1121,0)</f>
        <v>0</v>
      </c>
      <c r="M1121" s="35"/>
      <c r="N1121" s="36">
        <f>IFERROR(M1121/$Q1121,0)</f>
        <v>0</v>
      </c>
      <c r="O1121" s="38"/>
      <c r="P1121" s="36">
        <f>IFERROR(O1121/$R1121,0)</f>
        <v>0</v>
      </c>
      <c r="Q1121" s="35"/>
      <c r="R1121" s="38"/>
    </row>
    <row r="1122" spans="1:18" ht="15.75" customHeight="1" x14ac:dyDescent="0.25">
      <c r="A1122" s="37">
        <v>2016</v>
      </c>
      <c r="B1122" s="35">
        <v>170130</v>
      </c>
      <c r="C1122" s="34" t="s">
        <v>149</v>
      </c>
      <c r="D1122" s="34" t="s">
        <v>13</v>
      </c>
      <c r="E1122" s="35"/>
      <c r="F1122" s="36">
        <f>IFERROR(E1122/$Q1122,0)</f>
        <v>0</v>
      </c>
      <c r="G1122" s="38"/>
      <c r="H1122" s="36">
        <f>IFERROR(G1122/$R1122,0)</f>
        <v>0</v>
      </c>
      <c r="I1122" s="35"/>
      <c r="J1122" s="36">
        <f>IFERROR(I1122/$Q1122,0)</f>
        <v>0</v>
      </c>
      <c r="K1122" s="38"/>
      <c r="L1122" s="36">
        <f>IFERROR(K1122/$R1122,0)</f>
        <v>0</v>
      </c>
      <c r="M1122" s="35"/>
      <c r="N1122" s="36">
        <f>IFERROR(M1122/$Q1122,0)</f>
        <v>0</v>
      </c>
      <c r="O1122" s="38"/>
      <c r="P1122" s="36">
        <f>IFERROR(O1122/$R1122,0)</f>
        <v>0</v>
      </c>
      <c r="Q1122" s="35"/>
      <c r="R1122" s="38"/>
    </row>
    <row r="1123" spans="1:18" ht="15.75" customHeight="1" x14ac:dyDescent="0.25">
      <c r="A1123" s="37">
        <v>2016</v>
      </c>
      <c r="B1123" s="35">
        <v>170190</v>
      </c>
      <c r="C1123" s="34" t="s">
        <v>144</v>
      </c>
      <c r="D1123" s="34" t="s">
        <v>14</v>
      </c>
      <c r="E1123" s="35"/>
      <c r="F1123" s="36">
        <f>IFERROR(E1123/$Q1123,0)</f>
        <v>0</v>
      </c>
      <c r="G1123" s="38"/>
      <c r="H1123" s="36">
        <f>IFERROR(G1123/$R1123,0)</f>
        <v>0</v>
      </c>
      <c r="I1123" s="35"/>
      <c r="J1123" s="36">
        <f>IFERROR(I1123/$Q1123,0)</f>
        <v>0</v>
      </c>
      <c r="K1123" s="38"/>
      <c r="L1123" s="36">
        <f>IFERROR(K1123/$R1123,0)</f>
        <v>0</v>
      </c>
      <c r="M1123" s="35"/>
      <c r="N1123" s="36">
        <f>IFERROR(M1123/$Q1123,0)</f>
        <v>0</v>
      </c>
      <c r="O1123" s="38"/>
      <c r="P1123" s="36">
        <f>IFERROR(O1123/$R1123,0)</f>
        <v>0</v>
      </c>
      <c r="Q1123" s="35"/>
      <c r="R1123" s="38"/>
    </row>
    <row r="1124" spans="1:18" ht="15.75" customHeight="1" x14ac:dyDescent="0.25">
      <c r="A1124" s="37">
        <v>2016</v>
      </c>
      <c r="B1124" s="35">
        <v>170200</v>
      </c>
      <c r="C1124" s="34" t="s">
        <v>146</v>
      </c>
      <c r="D1124" s="34" t="s">
        <v>15</v>
      </c>
      <c r="E1124" s="35"/>
      <c r="F1124" s="36">
        <f>IFERROR(E1124/$Q1124,0)</f>
        <v>0</v>
      </c>
      <c r="G1124" s="38"/>
      <c r="H1124" s="36">
        <f>IFERROR(G1124/$R1124,0)</f>
        <v>0</v>
      </c>
      <c r="I1124" s="35"/>
      <c r="J1124" s="36">
        <f>IFERROR(I1124/$Q1124,0)</f>
        <v>0</v>
      </c>
      <c r="K1124" s="38"/>
      <c r="L1124" s="36">
        <f>IFERROR(K1124/$R1124,0)</f>
        <v>0</v>
      </c>
      <c r="M1124" s="35"/>
      <c r="N1124" s="36">
        <f>IFERROR(M1124/$Q1124,0)</f>
        <v>0</v>
      </c>
      <c r="O1124" s="38"/>
      <c r="P1124" s="36">
        <f>IFERROR(O1124/$R1124,0)</f>
        <v>0</v>
      </c>
      <c r="Q1124" s="35"/>
      <c r="R1124" s="38"/>
    </row>
    <row r="1125" spans="1:18" ht="15.75" customHeight="1" x14ac:dyDescent="0.25">
      <c r="A1125" s="37">
        <v>2016</v>
      </c>
      <c r="B1125" s="35">
        <v>170210</v>
      </c>
      <c r="C1125" s="34" t="s">
        <v>149</v>
      </c>
      <c r="D1125" s="34" t="s">
        <v>16</v>
      </c>
      <c r="E1125" s="35"/>
      <c r="F1125" s="36">
        <f>IFERROR(E1125/$Q1125,0)</f>
        <v>0</v>
      </c>
      <c r="G1125" s="38"/>
      <c r="H1125" s="36">
        <f>IFERROR(G1125/$R1125,0)</f>
        <v>0</v>
      </c>
      <c r="I1125" s="35"/>
      <c r="J1125" s="36">
        <f>IFERROR(I1125/$Q1125,0)</f>
        <v>0</v>
      </c>
      <c r="K1125" s="38"/>
      <c r="L1125" s="36">
        <f>IFERROR(K1125/$R1125,0)</f>
        <v>0</v>
      </c>
      <c r="M1125" s="35"/>
      <c r="N1125" s="36">
        <f>IFERROR(M1125/$Q1125,0)</f>
        <v>0</v>
      </c>
      <c r="O1125" s="39"/>
      <c r="P1125" s="36">
        <f>IFERROR(O1125/$R1125,0)</f>
        <v>0</v>
      </c>
      <c r="Q1125" s="35"/>
      <c r="R1125" s="39"/>
    </row>
    <row r="1126" spans="1:18" ht="15.75" customHeight="1" x14ac:dyDescent="0.25">
      <c r="A1126" s="37">
        <v>2016</v>
      </c>
      <c r="B1126" s="35">
        <v>170215</v>
      </c>
      <c r="C1126" s="34" t="s">
        <v>149</v>
      </c>
      <c r="D1126" s="34" t="s">
        <v>17</v>
      </c>
      <c r="E1126" s="35"/>
      <c r="F1126" s="36">
        <f>IFERROR(E1126/$Q1126,0)</f>
        <v>0</v>
      </c>
      <c r="G1126" s="38"/>
      <c r="H1126" s="36">
        <f>IFERROR(G1126/$R1126,0)</f>
        <v>0</v>
      </c>
      <c r="I1126" s="35"/>
      <c r="J1126" s="36">
        <f>IFERROR(I1126/$Q1126,0)</f>
        <v>0</v>
      </c>
      <c r="K1126" s="38"/>
      <c r="L1126" s="36">
        <f>IFERROR(K1126/$R1126,0)</f>
        <v>0</v>
      </c>
      <c r="M1126" s="35"/>
      <c r="N1126" s="36">
        <f>IFERROR(M1126/$Q1126,0)</f>
        <v>0</v>
      </c>
      <c r="O1126" s="38"/>
      <c r="P1126" s="36">
        <f>IFERROR(O1126/$R1126,0)</f>
        <v>0</v>
      </c>
      <c r="Q1126" s="35"/>
      <c r="R1126" s="38"/>
    </row>
    <row r="1127" spans="1:18" ht="15.75" customHeight="1" x14ac:dyDescent="0.25">
      <c r="A1127" s="37">
        <v>2016</v>
      </c>
      <c r="B1127" s="35">
        <v>170220</v>
      </c>
      <c r="C1127" s="34" t="s">
        <v>145</v>
      </c>
      <c r="D1127" s="34" t="s">
        <v>18</v>
      </c>
      <c r="E1127" s="35"/>
      <c r="F1127" s="36">
        <f>IFERROR(E1127/$Q1127,0)</f>
        <v>0</v>
      </c>
      <c r="G1127" s="38"/>
      <c r="H1127" s="36">
        <f>IFERROR(G1127/$R1127,0)</f>
        <v>0</v>
      </c>
      <c r="I1127" s="35"/>
      <c r="J1127" s="36">
        <f>IFERROR(I1127/$Q1127,0)</f>
        <v>0</v>
      </c>
      <c r="K1127" s="38"/>
      <c r="L1127" s="36">
        <f>IFERROR(K1127/$R1127,0)</f>
        <v>0</v>
      </c>
      <c r="M1127" s="35"/>
      <c r="N1127" s="36">
        <f>IFERROR(M1127/$Q1127,0)</f>
        <v>0</v>
      </c>
      <c r="O1127" s="39"/>
      <c r="P1127" s="36">
        <f>IFERROR(O1127/$R1127,0)</f>
        <v>0</v>
      </c>
      <c r="Q1127" s="35"/>
      <c r="R1127" s="39"/>
    </row>
    <row r="1128" spans="1:18" ht="15.75" customHeight="1" x14ac:dyDescent="0.25">
      <c r="A1128" s="37">
        <v>2016</v>
      </c>
      <c r="B1128" s="35">
        <v>170230</v>
      </c>
      <c r="C1128" s="34" t="s">
        <v>150</v>
      </c>
      <c r="D1128" s="34" t="s">
        <v>19</v>
      </c>
      <c r="E1128" s="35"/>
      <c r="F1128" s="36">
        <f>IFERROR(E1128/$Q1128,0)</f>
        <v>0</v>
      </c>
      <c r="G1128" s="38"/>
      <c r="H1128" s="36">
        <f>IFERROR(G1128/$R1128,0)</f>
        <v>0</v>
      </c>
      <c r="I1128" s="35"/>
      <c r="J1128" s="36">
        <f>IFERROR(I1128/$Q1128,0)</f>
        <v>0</v>
      </c>
      <c r="K1128" s="38"/>
      <c r="L1128" s="36">
        <f>IFERROR(K1128/$R1128,0)</f>
        <v>0</v>
      </c>
      <c r="M1128" s="35"/>
      <c r="N1128" s="36">
        <f>IFERROR(M1128/$Q1128,0)</f>
        <v>0</v>
      </c>
      <c r="O1128" s="38"/>
      <c r="P1128" s="36">
        <f>IFERROR(O1128/$R1128,0)</f>
        <v>0</v>
      </c>
      <c r="Q1128" s="35"/>
      <c r="R1128" s="38"/>
    </row>
    <row r="1129" spans="1:18" ht="15.75" customHeight="1" x14ac:dyDescent="0.25">
      <c r="A1129" s="37">
        <v>2016</v>
      </c>
      <c r="B1129" s="35">
        <v>170240</v>
      </c>
      <c r="C1129" s="34" t="s">
        <v>147</v>
      </c>
      <c r="D1129" s="34" t="s">
        <v>20</v>
      </c>
      <c r="E1129" s="35"/>
      <c r="F1129" s="36">
        <f>IFERROR(E1129/$Q1129,0)</f>
        <v>0</v>
      </c>
      <c r="G1129" s="38"/>
      <c r="H1129" s="36">
        <f>IFERROR(G1129/$R1129,0)</f>
        <v>0</v>
      </c>
      <c r="I1129" s="35"/>
      <c r="J1129" s="36">
        <f>IFERROR(I1129/$Q1129,0)</f>
        <v>0</v>
      </c>
      <c r="K1129" s="38"/>
      <c r="L1129" s="36">
        <f>IFERROR(K1129/$R1129,0)</f>
        <v>0</v>
      </c>
      <c r="M1129" s="35"/>
      <c r="N1129" s="36">
        <f>IFERROR(M1129/$Q1129,0)</f>
        <v>0</v>
      </c>
      <c r="O1129" s="38"/>
      <c r="P1129" s="36">
        <f>IFERROR(O1129/$R1129,0)</f>
        <v>0</v>
      </c>
      <c r="Q1129" s="35"/>
      <c r="R1129" s="38"/>
    </row>
    <row r="1130" spans="1:18" ht="15.75" customHeight="1" x14ac:dyDescent="0.25">
      <c r="A1130" s="37">
        <v>2016</v>
      </c>
      <c r="B1130" s="35">
        <v>170255</v>
      </c>
      <c r="C1130" s="34" t="s">
        <v>145</v>
      </c>
      <c r="D1130" s="34" t="s">
        <v>21</v>
      </c>
      <c r="E1130" s="35"/>
      <c r="F1130" s="36">
        <f>IFERROR(E1130/$Q1130,0)</f>
        <v>0</v>
      </c>
      <c r="G1130" s="38"/>
      <c r="H1130" s="36">
        <f>IFERROR(G1130/$R1130,0)</f>
        <v>0</v>
      </c>
      <c r="I1130" s="35"/>
      <c r="J1130" s="36">
        <f>IFERROR(I1130/$Q1130,0)</f>
        <v>0</v>
      </c>
      <c r="K1130" s="38"/>
      <c r="L1130" s="36">
        <f>IFERROR(K1130/$R1130,0)</f>
        <v>0</v>
      </c>
      <c r="M1130" s="35"/>
      <c r="N1130" s="36">
        <f>IFERROR(M1130/$Q1130,0)</f>
        <v>0</v>
      </c>
      <c r="O1130" s="38"/>
      <c r="P1130" s="36">
        <f>IFERROR(O1130/$R1130,0)</f>
        <v>0</v>
      </c>
      <c r="Q1130" s="35"/>
      <c r="R1130" s="38"/>
    </row>
    <row r="1131" spans="1:18" ht="15.75" customHeight="1" x14ac:dyDescent="0.25">
      <c r="A1131" s="37">
        <v>2016</v>
      </c>
      <c r="B1131" s="35">
        <v>170270</v>
      </c>
      <c r="C1131" s="34" t="s">
        <v>147</v>
      </c>
      <c r="D1131" s="34" t="s">
        <v>22</v>
      </c>
      <c r="E1131" s="35"/>
      <c r="F1131" s="36">
        <f>IFERROR(E1131/$Q1131,0)</f>
        <v>0</v>
      </c>
      <c r="G1131" s="38"/>
      <c r="H1131" s="36">
        <f>IFERROR(G1131/$R1131,0)</f>
        <v>0</v>
      </c>
      <c r="I1131" s="35"/>
      <c r="J1131" s="36">
        <f>IFERROR(I1131/$Q1131,0)</f>
        <v>0</v>
      </c>
      <c r="K1131" s="38"/>
      <c r="L1131" s="36">
        <f>IFERROR(K1131/$R1131,0)</f>
        <v>0</v>
      </c>
      <c r="M1131" s="35"/>
      <c r="N1131" s="36">
        <f>IFERROR(M1131/$Q1131,0)</f>
        <v>0</v>
      </c>
      <c r="O1131" s="38"/>
      <c r="P1131" s="36">
        <f>IFERROR(O1131/$R1131,0)</f>
        <v>0</v>
      </c>
      <c r="Q1131" s="35"/>
      <c r="R1131" s="38"/>
    </row>
    <row r="1132" spans="1:18" ht="15.75" customHeight="1" x14ac:dyDescent="0.25">
      <c r="A1132" s="37">
        <v>2016</v>
      </c>
      <c r="B1132" s="35">
        <v>170290</v>
      </c>
      <c r="C1132" s="34" t="s">
        <v>145</v>
      </c>
      <c r="D1132" s="34" t="s">
        <v>23</v>
      </c>
      <c r="E1132" s="35"/>
      <c r="F1132" s="36">
        <f>IFERROR(E1132/$Q1132,0)</f>
        <v>0</v>
      </c>
      <c r="G1132" s="38"/>
      <c r="H1132" s="36">
        <f>IFERROR(G1132/$R1132,0)</f>
        <v>0</v>
      </c>
      <c r="I1132" s="35"/>
      <c r="J1132" s="36">
        <f>IFERROR(I1132/$Q1132,0)</f>
        <v>0</v>
      </c>
      <c r="K1132" s="38"/>
      <c r="L1132" s="36">
        <f>IFERROR(K1132/$R1132,0)</f>
        <v>0</v>
      </c>
      <c r="M1132" s="35"/>
      <c r="N1132" s="36">
        <f>IFERROR(M1132/$Q1132,0)</f>
        <v>0</v>
      </c>
      <c r="O1132" s="38"/>
      <c r="P1132" s="36">
        <f>IFERROR(O1132/$R1132,0)</f>
        <v>0</v>
      </c>
      <c r="Q1132" s="35"/>
      <c r="R1132" s="38"/>
    </row>
    <row r="1133" spans="1:18" ht="15.75" customHeight="1" x14ac:dyDescent="0.25">
      <c r="A1133" s="37">
        <v>2016</v>
      </c>
      <c r="B1133" s="35">
        <v>170300</v>
      </c>
      <c r="C1133" s="34" t="s">
        <v>149</v>
      </c>
      <c r="D1133" s="34" t="s">
        <v>24</v>
      </c>
      <c r="E1133" s="35"/>
      <c r="F1133" s="36">
        <f>IFERROR(E1133/$Q1133,0)</f>
        <v>0</v>
      </c>
      <c r="G1133" s="38"/>
      <c r="H1133" s="36">
        <f>IFERROR(G1133/$R1133,0)</f>
        <v>0</v>
      </c>
      <c r="I1133" s="35"/>
      <c r="J1133" s="36">
        <f>IFERROR(I1133/$Q1133,0)</f>
        <v>0</v>
      </c>
      <c r="K1133" s="38"/>
      <c r="L1133" s="36">
        <f>IFERROR(K1133/$R1133,0)</f>
        <v>0</v>
      </c>
      <c r="M1133" s="35"/>
      <c r="N1133" s="36">
        <f>IFERROR(M1133/$Q1133,0)</f>
        <v>0</v>
      </c>
      <c r="O1133" s="38"/>
      <c r="P1133" s="36">
        <f>IFERROR(O1133/$R1133,0)</f>
        <v>0</v>
      </c>
      <c r="Q1133" s="35"/>
      <c r="R1133" s="38"/>
    </row>
    <row r="1134" spans="1:18" ht="15.75" customHeight="1" x14ac:dyDescent="0.25">
      <c r="A1134" s="37">
        <v>2016</v>
      </c>
      <c r="B1134" s="35">
        <v>170305</v>
      </c>
      <c r="C1134" s="34" t="s">
        <v>150</v>
      </c>
      <c r="D1134" s="34" t="s">
        <v>25</v>
      </c>
      <c r="E1134" s="35"/>
      <c r="F1134" s="36">
        <f>IFERROR(E1134/$Q1134,0)</f>
        <v>0</v>
      </c>
      <c r="G1134" s="38"/>
      <c r="H1134" s="36">
        <f>IFERROR(G1134/$R1134,0)</f>
        <v>0</v>
      </c>
      <c r="I1134" s="35"/>
      <c r="J1134" s="36">
        <f>IFERROR(I1134/$Q1134,0)</f>
        <v>0</v>
      </c>
      <c r="K1134" s="38"/>
      <c r="L1134" s="36">
        <f>IFERROR(K1134/$R1134,0)</f>
        <v>0</v>
      </c>
      <c r="M1134" s="35"/>
      <c r="N1134" s="36">
        <f>IFERROR(M1134/$Q1134,0)</f>
        <v>0</v>
      </c>
      <c r="O1134" s="38"/>
      <c r="P1134" s="36">
        <f>IFERROR(O1134/$R1134,0)</f>
        <v>0</v>
      </c>
      <c r="Q1134" s="35"/>
      <c r="R1134" s="38"/>
    </row>
    <row r="1135" spans="1:18" ht="15.75" customHeight="1" x14ac:dyDescent="0.25">
      <c r="A1135" s="37">
        <v>2016</v>
      </c>
      <c r="B1135" s="35">
        <v>170307</v>
      </c>
      <c r="C1135" s="34" t="s">
        <v>149</v>
      </c>
      <c r="D1135" s="34" t="s">
        <v>26</v>
      </c>
      <c r="E1135" s="35"/>
      <c r="F1135" s="36">
        <f>IFERROR(E1135/$Q1135,0)</f>
        <v>0</v>
      </c>
      <c r="G1135" s="38"/>
      <c r="H1135" s="36">
        <f>IFERROR(G1135/$R1135,0)</f>
        <v>0</v>
      </c>
      <c r="I1135" s="35"/>
      <c r="J1135" s="36">
        <f>IFERROR(I1135/$Q1135,0)</f>
        <v>0</v>
      </c>
      <c r="K1135" s="38"/>
      <c r="L1135" s="36">
        <f>IFERROR(K1135/$R1135,0)</f>
        <v>0</v>
      </c>
      <c r="M1135" s="35"/>
      <c r="N1135" s="36">
        <f>IFERROR(M1135/$Q1135,0)</f>
        <v>0</v>
      </c>
      <c r="O1135" s="38"/>
      <c r="P1135" s="36">
        <f>IFERROR(O1135/$R1135,0)</f>
        <v>0</v>
      </c>
      <c r="Q1135" s="35"/>
      <c r="R1135" s="38"/>
    </row>
    <row r="1136" spans="1:18" ht="15.75" customHeight="1" x14ac:dyDescent="0.25">
      <c r="A1136" s="37">
        <v>2016</v>
      </c>
      <c r="B1136" s="35">
        <v>170310</v>
      </c>
      <c r="C1136" s="34" t="s">
        <v>144</v>
      </c>
      <c r="D1136" s="34" t="s">
        <v>27</v>
      </c>
      <c r="E1136" s="35"/>
      <c r="F1136" s="36">
        <f>IFERROR(E1136/$Q1136,0)</f>
        <v>0</v>
      </c>
      <c r="G1136" s="38"/>
      <c r="H1136" s="36">
        <f>IFERROR(G1136/$R1136,0)</f>
        <v>0</v>
      </c>
      <c r="I1136" s="35"/>
      <c r="J1136" s="36">
        <f>IFERROR(I1136/$Q1136,0)</f>
        <v>0</v>
      </c>
      <c r="K1136" s="38"/>
      <c r="L1136" s="36">
        <f>IFERROR(K1136/$R1136,0)</f>
        <v>0</v>
      </c>
      <c r="M1136" s="35"/>
      <c r="N1136" s="36">
        <f>IFERROR(M1136/$Q1136,0)</f>
        <v>0</v>
      </c>
      <c r="O1136" s="38"/>
      <c r="P1136" s="36">
        <f>IFERROR(O1136/$R1136,0)</f>
        <v>0</v>
      </c>
      <c r="Q1136" s="35"/>
      <c r="R1136" s="38"/>
    </row>
    <row r="1137" spans="1:18" ht="15.75" customHeight="1" x14ac:dyDescent="0.25">
      <c r="A1137" s="37">
        <v>2016</v>
      </c>
      <c r="B1137" s="35">
        <v>170320</v>
      </c>
      <c r="C1137" s="34" t="s">
        <v>150</v>
      </c>
      <c r="D1137" s="34" t="s">
        <v>28</v>
      </c>
      <c r="E1137" s="35"/>
      <c r="F1137" s="36">
        <f>IFERROR(E1137/$Q1137,0)</f>
        <v>0</v>
      </c>
      <c r="G1137" s="38"/>
      <c r="H1137" s="36">
        <f>IFERROR(G1137/$R1137,0)</f>
        <v>0</v>
      </c>
      <c r="I1137" s="35"/>
      <c r="J1137" s="36">
        <f>IFERROR(I1137/$Q1137,0)</f>
        <v>0</v>
      </c>
      <c r="K1137" s="38"/>
      <c r="L1137" s="36">
        <f>IFERROR(K1137/$R1137,0)</f>
        <v>0</v>
      </c>
      <c r="M1137" s="35"/>
      <c r="N1137" s="36">
        <f>IFERROR(M1137/$Q1137,0)</f>
        <v>0</v>
      </c>
      <c r="O1137" s="38"/>
      <c r="P1137" s="36">
        <f>IFERROR(O1137/$R1137,0)</f>
        <v>0</v>
      </c>
      <c r="Q1137" s="35"/>
      <c r="R1137" s="38"/>
    </row>
    <row r="1138" spans="1:18" ht="15.75" customHeight="1" x14ac:dyDescent="0.25">
      <c r="A1138" s="37">
        <v>2016</v>
      </c>
      <c r="B1138" s="35">
        <v>170330</v>
      </c>
      <c r="C1138" s="34" t="s">
        <v>150</v>
      </c>
      <c r="D1138" s="34" t="s">
        <v>29</v>
      </c>
      <c r="E1138" s="35"/>
      <c r="F1138" s="36">
        <f>IFERROR(E1138/$Q1138,0)</f>
        <v>0</v>
      </c>
      <c r="G1138" s="38"/>
      <c r="H1138" s="36">
        <f>IFERROR(G1138/$R1138,0)</f>
        <v>0</v>
      </c>
      <c r="I1138" s="35"/>
      <c r="J1138" s="36">
        <f>IFERROR(I1138/$Q1138,0)</f>
        <v>0</v>
      </c>
      <c r="K1138" s="38"/>
      <c r="L1138" s="36">
        <f>IFERROR(K1138/$R1138,0)</f>
        <v>0</v>
      </c>
      <c r="M1138" s="35"/>
      <c r="N1138" s="36">
        <f>IFERROR(M1138/$Q1138,0)</f>
        <v>0</v>
      </c>
      <c r="O1138" s="38"/>
      <c r="P1138" s="36">
        <f>IFERROR(O1138/$R1138,0)</f>
        <v>0</v>
      </c>
      <c r="Q1138" s="35"/>
      <c r="R1138" s="38"/>
    </row>
    <row r="1139" spans="1:18" ht="15.75" customHeight="1" x14ac:dyDescent="0.25">
      <c r="A1139" s="37">
        <v>2016</v>
      </c>
      <c r="B1139" s="35">
        <v>170360</v>
      </c>
      <c r="C1139" s="34" t="s">
        <v>150</v>
      </c>
      <c r="D1139" s="34" t="s">
        <v>30</v>
      </c>
      <c r="E1139" s="35"/>
      <c r="F1139" s="36">
        <f>IFERROR(E1139/$Q1139,0)</f>
        <v>0</v>
      </c>
      <c r="G1139" s="38"/>
      <c r="H1139" s="36">
        <f>IFERROR(G1139/$R1139,0)</f>
        <v>0</v>
      </c>
      <c r="I1139" s="35"/>
      <c r="J1139" s="36">
        <f>IFERROR(I1139/$Q1139,0)</f>
        <v>0</v>
      </c>
      <c r="K1139" s="38"/>
      <c r="L1139" s="36">
        <f>IFERROR(K1139/$R1139,0)</f>
        <v>0</v>
      </c>
      <c r="M1139" s="35"/>
      <c r="N1139" s="36">
        <f>IFERROR(M1139/$Q1139,0)</f>
        <v>0</v>
      </c>
      <c r="O1139" s="38"/>
      <c r="P1139" s="36">
        <f>IFERROR(O1139/$R1139,0)</f>
        <v>0</v>
      </c>
      <c r="Q1139" s="35"/>
      <c r="R1139" s="38"/>
    </row>
    <row r="1140" spans="1:18" ht="15.75" customHeight="1" x14ac:dyDescent="0.25">
      <c r="A1140" s="37">
        <v>2016</v>
      </c>
      <c r="B1140" s="35">
        <v>170370</v>
      </c>
      <c r="C1140" s="34" t="s">
        <v>151</v>
      </c>
      <c r="D1140" s="34" t="s">
        <v>31</v>
      </c>
      <c r="E1140" s="35"/>
      <c r="F1140" s="36">
        <f>IFERROR(E1140/$Q1140,0)</f>
        <v>0</v>
      </c>
      <c r="G1140" s="38"/>
      <c r="H1140" s="36">
        <f>IFERROR(G1140/$R1140,0)</f>
        <v>0</v>
      </c>
      <c r="I1140" s="35"/>
      <c r="J1140" s="36">
        <f>IFERROR(I1140/$Q1140,0)</f>
        <v>0</v>
      </c>
      <c r="K1140" s="38"/>
      <c r="L1140" s="36">
        <f>IFERROR(K1140/$R1140,0)</f>
        <v>0</v>
      </c>
      <c r="M1140" s="35"/>
      <c r="N1140" s="36">
        <f>IFERROR(M1140/$Q1140,0)</f>
        <v>0</v>
      </c>
      <c r="O1140" s="38"/>
      <c r="P1140" s="36">
        <f>IFERROR(O1140/$R1140,0)</f>
        <v>0</v>
      </c>
      <c r="Q1140" s="35"/>
      <c r="R1140" s="38"/>
    </row>
    <row r="1141" spans="1:18" ht="15.75" customHeight="1" x14ac:dyDescent="0.25">
      <c r="A1141" s="37">
        <v>2016</v>
      </c>
      <c r="B1141" s="35">
        <v>170380</v>
      </c>
      <c r="C1141" s="34" t="s">
        <v>145</v>
      </c>
      <c r="D1141" s="34" t="s">
        <v>32</v>
      </c>
      <c r="E1141" s="35"/>
      <c r="F1141" s="36">
        <f>IFERROR(E1141/$Q1141,0)</f>
        <v>0</v>
      </c>
      <c r="G1141" s="38"/>
      <c r="H1141" s="36">
        <f>IFERROR(G1141/$R1141,0)</f>
        <v>0</v>
      </c>
      <c r="I1141" s="35"/>
      <c r="J1141" s="36">
        <f>IFERROR(I1141/$Q1141,0)</f>
        <v>0</v>
      </c>
      <c r="K1141" s="38"/>
      <c r="L1141" s="36">
        <f>IFERROR(K1141/$R1141,0)</f>
        <v>0</v>
      </c>
      <c r="M1141" s="35"/>
      <c r="N1141" s="36">
        <f>IFERROR(M1141/$Q1141,0)</f>
        <v>0</v>
      </c>
      <c r="O1141" s="38"/>
      <c r="P1141" s="36">
        <f>IFERROR(O1141/$R1141,0)</f>
        <v>0</v>
      </c>
      <c r="Q1141" s="35"/>
      <c r="R1141" s="38"/>
    </row>
    <row r="1142" spans="1:18" ht="15.75" customHeight="1" x14ac:dyDescent="0.25">
      <c r="A1142" s="37">
        <v>2016</v>
      </c>
      <c r="B1142" s="35">
        <v>170382</v>
      </c>
      <c r="C1142" s="34" t="s">
        <v>145</v>
      </c>
      <c r="D1142" s="34" t="s">
        <v>33</v>
      </c>
      <c r="E1142" s="35"/>
      <c r="F1142" s="36">
        <f>IFERROR(E1142/$Q1142,0)</f>
        <v>0</v>
      </c>
      <c r="G1142" s="38"/>
      <c r="H1142" s="36">
        <f>IFERROR(G1142/$R1142,0)</f>
        <v>0</v>
      </c>
      <c r="I1142" s="35"/>
      <c r="J1142" s="36">
        <f>IFERROR(I1142/$Q1142,0)</f>
        <v>0</v>
      </c>
      <c r="K1142" s="38"/>
      <c r="L1142" s="36">
        <f>IFERROR(K1142/$R1142,0)</f>
        <v>0</v>
      </c>
      <c r="M1142" s="35"/>
      <c r="N1142" s="36">
        <f>IFERROR(M1142/$Q1142,0)</f>
        <v>0</v>
      </c>
      <c r="O1142" s="38"/>
      <c r="P1142" s="36">
        <f>IFERROR(O1142/$R1142,0)</f>
        <v>0</v>
      </c>
      <c r="Q1142" s="35"/>
      <c r="R1142" s="38"/>
    </row>
    <row r="1143" spans="1:18" ht="15.75" customHeight="1" x14ac:dyDescent="0.25">
      <c r="A1143" s="37">
        <v>2016</v>
      </c>
      <c r="B1143" s="35">
        <v>170384</v>
      </c>
      <c r="C1143" s="34" t="s">
        <v>149</v>
      </c>
      <c r="D1143" s="34" t="s">
        <v>34</v>
      </c>
      <c r="E1143" s="35"/>
      <c r="F1143" s="36">
        <f>IFERROR(E1143/$Q1143,0)</f>
        <v>0</v>
      </c>
      <c r="G1143" s="38"/>
      <c r="H1143" s="36">
        <f>IFERROR(G1143/$R1143,0)</f>
        <v>0</v>
      </c>
      <c r="I1143" s="35"/>
      <c r="J1143" s="36">
        <f>IFERROR(I1143/$Q1143,0)</f>
        <v>0</v>
      </c>
      <c r="K1143" s="38"/>
      <c r="L1143" s="36">
        <f>IFERROR(K1143/$R1143,0)</f>
        <v>0</v>
      </c>
      <c r="M1143" s="35"/>
      <c r="N1143" s="36">
        <f>IFERROR(M1143/$Q1143,0)</f>
        <v>0</v>
      </c>
      <c r="O1143" s="38"/>
      <c r="P1143" s="36">
        <f>IFERROR(O1143/$R1143,0)</f>
        <v>0</v>
      </c>
      <c r="Q1143" s="35"/>
      <c r="R1143" s="38"/>
    </row>
    <row r="1144" spans="1:18" ht="15.75" customHeight="1" x14ac:dyDescent="0.25">
      <c r="A1144" s="37">
        <v>2016</v>
      </c>
      <c r="B1144" s="35">
        <v>170386</v>
      </c>
      <c r="C1144" s="34" t="s">
        <v>146</v>
      </c>
      <c r="D1144" s="34" t="s">
        <v>35</v>
      </c>
      <c r="E1144" s="35"/>
      <c r="F1144" s="36">
        <f>IFERROR(E1144/$Q1144,0)</f>
        <v>0</v>
      </c>
      <c r="G1144" s="38"/>
      <c r="H1144" s="36">
        <f>IFERROR(G1144/$R1144,0)</f>
        <v>0</v>
      </c>
      <c r="I1144" s="35"/>
      <c r="J1144" s="36">
        <f>IFERROR(I1144/$Q1144,0)</f>
        <v>0</v>
      </c>
      <c r="K1144" s="38"/>
      <c r="L1144" s="36">
        <f>IFERROR(K1144/$R1144,0)</f>
        <v>0</v>
      </c>
      <c r="M1144" s="35"/>
      <c r="N1144" s="36">
        <f>IFERROR(M1144/$Q1144,0)</f>
        <v>0</v>
      </c>
      <c r="O1144" s="38"/>
      <c r="P1144" s="36">
        <f>IFERROR(O1144/$R1144,0)</f>
        <v>0</v>
      </c>
      <c r="Q1144" s="35"/>
      <c r="R1144" s="38"/>
    </row>
    <row r="1145" spans="1:18" ht="15.75" customHeight="1" x14ac:dyDescent="0.25">
      <c r="A1145" s="37">
        <v>2016</v>
      </c>
      <c r="B1145" s="35">
        <v>170388</v>
      </c>
      <c r="C1145" s="34" t="s">
        <v>149</v>
      </c>
      <c r="D1145" s="34" t="s">
        <v>36</v>
      </c>
      <c r="E1145" s="35"/>
      <c r="F1145" s="36">
        <f>IFERROR(E1145/$Q1145,0)</f>
        <v>0</v>
      </c>
      <c r="G1145" s="38"/>
      <c r="H1145" s="36">
        <f>IFERROR(G1145/$R1145,0)</f>
        <v>0</v>
      </c>
      <c r="I1145" s="35"/>
      <c r="J1145" s="36">
        <f>IFERROR(I1145/$Q1145,0)</f>
        <v>0</v>
      </c>
      <c r="K1145" s="38"/>
      <c r="L1145" s="36">
        <f>IFERROR(K1145/$R1145,0)</f>
        <v>0</v>
      </c>
      <c r="M1145" s="35"/>
      <c r="N1145" s="36">
        <f>IFERROR(M1145/$Q1145,0)</f>
        <v>0</v>
      </c>
      <c r="O1145" s="38"/>
      <c r="P1145" s="36">
        <f>IFERROR(O1145/$R1145,0)</f>
        <v>0</v>
      </c>
      <c r="Q1145" s="35"/>
      <c r="R1145" s="38"/>
    </row>
    <row r="1146" spans="1:18" ht="15.75" customHeight="1" x14ac:dyDescent="0.25">
      <c r="A1146" s="37">
        <v>2016</v>
      </c>
      <c r="B1146" s="35">
        <v>170389</v>
      </c>
      <c r="C1146" s="34" t="s">
        <v>145</v>
      </c>
      <c r="D1146" s="34" t="s">
        <v>37</v>
      </c>
      <c r="E1146" s="35"/>
      <c r="F1146" s="36">
        <f>IFERROR(E1146/$Q1146,0)</f>
        <v>0</v>
      </c>
      <c r="G1146" s="38"/>
      <c r="H1146" s="36">
        <f>IFERROR(G1146/$R1146,0)</f>
        <v>0</v>
      </c>
      <c r="I1146" s="35"/>
      <c r="J1146" s="36">
        <f>IFERROR(I1146/$Q1146,0)</f>
        <v>0</v>
      </c>
      <c r="K1146" s="38"/>
      <c r="L1146" s="36">
        <f>IFERROR(K1146/$R1146,0)</f>
        <v>0</v>
      </c>
      <c r="M1146" s="35"/>
      <c r="N1146" s="36">
        <f>IFERROR(M1146/$Q1146,0)</f>
        <v>0</v>
      </c>
      <c r="O1146" s="38"/>
      <c r="P1146" s="36">
        <f>IFERROR(O1146/$R1146,0)</f>
        <v>0</v>
      </c>
      <c r="Q1146" s="35"/>
      <c r="R1146" s="38"/>
    </row>
    <row r="1147" spans="1:18" ht="15.75" customHeight="1" x14ac:dyDescent="0.25">
      <c r="A1147" s="37">
        <v>2016</v>
      </c>
      <c r="B1147" s="35">
        <v>170390</v>
      </c>
      <c r="C1147" s="34" t="s">
        <v>144</v>
      </c>
      <c r="D1147" s="34" t="s">
        <v>38</v>
      </c>
      <c r="E1147" s="35"/>
      <c r="F1147" s="36">
        <f>IFERROR(E1147/$Q1147,0)</f>
        <v>0</v>
      </c>
      <c r="G1147" s="38"/>
      <c r="H1147" s="36">
        <f>IFERROR(G1147/$R1147,0)</f>
        <v>0</v>
      </c>
      <c r="I1147" s="35"/>
      <c r="J1147" s="36">
        <f>IFERROR(I1147/$Q1147,0)</f>
        <v>0</v>
      </c>
      <c r="K1147" s="38"/>
      <c r="L1147" s="36">
        <f>IFERROR(K1147/$R1147,0)</f>
        <v>0</v>
      </c>
      <c r="M1147" s="35"/>
      <c r="N1147" s="36">
        <f>IFERROR(M1147/$Q1147,0)</f>
        <v>0</v>
      </c>
      <c r="O1147" s="38"/>
      <c r="P1147" s="36">
        <f>IFERROR(O1147/$R1147,0)</f>
        <v>0</v>
      </c>
      <c r="Q1147" s="35"/>
      <c r="R1147" s="38"/>
    </row>
    <row r="1148" spans="1:18" ht="15.75" customHeight="1" x14ac:dyDescent="0.25">
      <c r="A1148" s="37">
        <v>2016</v>
      </c>
      <c r="B1148" s="35">
        <v>170410</v>
      </c>
      <c r="C1148" s="34" t="s">
        <v>150</v>
      </c>
      <c r="D1148" s="34" t="s">
        <v>39</v>
      </c>
      <c r="E1148" s="35"/>
      <c r="F1148" s="36">
        <f>IFERROR(E1148/$Q1148,0)</f>
        <v>0</v>
      </c>
      <c r="G1148" s="38"/>
      <c r="H1148" s="36">
        <f>IFERROR(G1148/$R1148,0)</f>
        <v>0</v>
      </c>
      <c r="I1148" s="35"/>
      <c r="J1148" s="36">
        <f>IFERROR(I1148/$Q1148,0)</f>
        <v>0</v>
      </c>
      <c r="K1148" s="38"/>
      <c r="L1148" s="36">
        <f>IFERROR(K1148/$R1148,0)</f>
        <v>0</v>
      </c>
      <c r="M1148" s="35"/>
      <c r="N1148" s="36">
        <f>IFERROR(M1148/$Q1148,0)</f>
        <v>0</v>
      </c>
      <c r="O1148" s="38"/>
      <c r="P1148" s="36">
        <f>IFERROR(O1148/$R1148,0)</f>
        <v>0</v>
      </c>
      <c r="Q1148" s="35"/>
      <c r="R1148" s="38"/>
    </row>
    <row r="1149" spans="1:18" ht="15.75" customHeight="1" x14ac:dyDescent="0.25">
      <c r="A1149" s="37">
        <v>2016</v>
      </c>
      <c r="B1149" s="35">
        <v>170510</v>
      </c>
      <c r="C1149" s="34" t="s">
        <v>151</v>
      </c>
      <c r="D1149" s="34" t="s">
        <v>40</v>
      </c>
      <c r="E1149" s="35"/>
      <c r="F1149" s="36">
        <f>IFERROR(E1149/$Q1149,0)</f>
        <v>0</v>
      </c>
      <c r="G1149" s="38"/>
      <c r="H1149" s="36">
        <f>IFERROR(G1149/$R1149,0)</f>
        <v>0</v>
      </c>
      <c r="I1149" s="35"/>
      <c r="J1149" s="36">
        <f>IFERROR(I1149/$Q1149,0)</f>
        <v>0</v>
      </c>
      <c r="K1149" s="38"/>
      <c r="L1149" s="36">
        <f>IFERROR(K1149/$R1149,0)</f>
        <v>0</v>
      </c>
      <c r="M1149" s="35"/>
      <c r="N1149" s="36">
        <f>IFERROR(M1149/$Q1149,0)</f>
        <v>0</v>
      </c>
      <c r="O1149" s="38"/>
      <c r="P1149" s="36">
        <f>IFERROR(O1149/$R1149,0)</f>
        <v>0</v>
      </c>
      <c r="Q1149" s="35"/>
      <c r="R1149" s="38"/>
    </row>
    <row r="1150" spans="1:18" ht="15.75" customHeight="1" x14ac:dyDescent="0.25">
      <c r="A1150" s="37">
        <v>2016</v>
      </c>
      <c r="B1150" s="35">
        <v>170460</v>
      </c>
      <c r="C1150" s="34" t="s">
        <v>144</v>
      </c>
      <c r="D1150" s="34" t="s">
        <v>41</v>
      </c>
      <c r="E1150" s="35"/>
      <c r="F1150" s="36">
        <f>IFERROR(E1150/$Q1150,0)</f>
        <v>0</v>
      </c>
      <c r="G1150" s="38"/>
      <c r="H1150" s="36">
        <f>IFERROR(G1150/$R1150,0)</f>
        <v>0</v>
      </c>
      <c r="I1150" s="35"/>
      <c r="J1150" s="36">
        <f>IFERROR(I1150/$Q1150,0)</f>
        <v>0</v>
      </c>
      <c r="K1150" s="38"/>
      <c r="L1150" s="36">
        <f>IFERROR(K1150/$R1150,0)</f>
        <v>0</v>
      </c>
      <c r="M1150" s="35"/>
      <c r="N1150" s="36">
        <f>IFERROR(M1150/$Q1150,0)</f>
        <v>0</v>
      </c>
      <c r="O1150" s="38"/>
      <c r="P1150" s="36">
        <f>IFERROR(O1150/$R1150,0)</f>
        <v>0</v>
      </c>
      <c r="Q1150" s="35"/>
      <c r="R1150" s="38"/>
    </row>
    <row r="1151" spans="1:18" ht="15.75" customHeight="1" x14ac:dyDescent="0.25">
      <c r="A1151" s="37">
        <v>2016</v>
      </c>
      <c r="B1151" s="35">
        <v>170550</v>
      </c>
      <c r="C1151" s="34" t="s">
        <v>150</v>
      </c>
      <c r="D1151" s="34" t="s">
        <v>42</v>
      </c>
      <c r="E1151" s="35"/>
      <c r="F1151" s="36">
        <f>IFERROR(E1151/$Q1151,0)</f>
        <v>0</v>
      </c>
      <c r="G1151" s="38"/>
      <c r="H1151" s="36">
        <f>IFERROR(G1151/$R1151,0)</f>
        <v>0</v>
      </c>
      <c r="I1151" s="35"/>
      <c r="J1151" s="36">
        <f>IFERROR(I1151/$Q1151,0)</f>
        <v>0</v>
      </c>
      <c r="K1151" s="38"/>
      <c r="L1151" s="36">
        <f>IFERROR(K1151/$R1151,0)</f>
        <v>0</v>
      </c>
      <c r="M1151" s="35"/>
      <c r="N1151" s="36">
        <f>IFERROR(M1151/$Q1151,0)</f>
        <v>0</v>
      </c>
      <c r="O1151" s="38"/>
      <c r="P1151" s="36">
        <f>IFERROR(O1151/$R1151,0)</f>
        <v>0</v>
      </c>
      <c r="Q1151" s="35"/>
      <c r="R1151" s="38"/>
    </row>
    <row r="1152" spans="1:18" ht="15.75" customHeight="1" x14ac:dyDescent="0.25">
      <c r="A1152" s="37">
        <v>2016</v>
      </c>
      <c r="B1152" s="35">
        <v>171670</v>
      </c>
      <c r="C1152" s="34" t="s">
        <v>150</v>
      </c>
      <c r="D1152" s="34" t="s">
        <v>43</v>
      </c>
      <c r="E1152" s="35"/>
      <c r="F1152" s="36">
        <f>IFERROR(E1152/$Q1152,0)</f>
        <v>0</v>
      </c>
      <c r="G1152" s="38"/>
      <c r="H1152" s="36">
        <f>IFERROR(G1152/$R1152,0)</f>
        <v>0</v>
      </c>
      <c r="I1152" s="35"/>
      <c r="J1152" s="36">
        <f>IFERROR(I1152/$Q1152,0)</f>
        <v>0</v>
      </c>
      <c r="K1152" s="38"/>
      <c r="L1152" s="36">
        <f>IFERROR(K1152/$R1152,0)</f>
        <v>0</v>
      </c>
      <c r="M1152" s="35"/>
      <c r="N1152" s="36">
        <f>IFERROR(M1152/$Q1152,0)</f>
        <v>0</v>
      </c>
      <c r="O1152" s="38"/>
      <c r="P1152" s="36">
        <f>IFERROR(O1152/$R1152,0)</f>
        <v>0</v>
      </c>
      <c r="Q1152" s="35"/>
      <c r="R1152" s="38"/>
    </row>
    <row r="1153" spans="1:18" ht="15.75" customHeight="1" x14ac:dyDescent="0.25">
      <c r="A1153" s="37">
        <v>2016</v>
      </c>
      <c r="B1153" s="35">
        <v>170555</v>
      </c>
      <c r="C1153" s="34" t="s">
        <v>147</v>
      </c>
      <c r="D1153" s="34" t="s">
        <v>44</v>
      </c>
      <c r="E1153" s="35"/>
      <c r="F1153" s="36">
        <f>IFERROR(E1153/$Q1153,0)</f>
        <v>0</v>
      </c>
      <c r="G1153" s="38"/>
      <c r="H1153" s="36">
        <f>IFERROR(G1153/$R1153,0)</f>
        <v>0</v>
      </c>
      <c r="I1153" s="35"/>
      <c r="J1153" s="36">
        <f>IFERROR(I1153/$Q1153,0)</f>
        <v>0</v>
      </c>
      <c r="K1153" s="38"/>
      <c r="L1153" s="36">
        <f>IFERROR(K1153/$R1153,0)</f>
        <v>0</v>
      </c>
      <c r="M1153" s="35"/>
      <c r="N1153" s="36">
        <f>IFERROR(M1153/$Q1153,0)</f>
        <v>0</v>
      </c>
      <c r="O1153" s="38"/>
      <c r="P1153" s="36">
        <f>IFERROR(O1153/$R1153,0)</f>
        <v>0</v>
      </c>
      <c r="Q1153" s="35"/>
      <c r="R1153" s="38"/>
    </row>
    <row r="1154" spans="1:18" ht="15.75" customHeight="1" x14ac:dyDescent="0.25">
      <c r="A1154" s="37">
        <v>2016</v>
      </c>
      <c r="B1154" s="35">
        <v>170560</v>
      </c>
      <c r="C1154" s="34" t="s">
        <v>147</v>
      </c>
      <c r="D1154" s="34" t="s">
        <v>45</v>
      </c>
      <c r="E1154" s="35"/>
      <c r="F1154" s="36">
        <f>IFERROR(E1154/$Q1154,0)</f>
        <v>0</v>
      </c>
      <c r="G1154" s="38"/>
      <c r="H1154" s="36">
        <f>IFERROR(G1154/$R1154,0)</f>
        <v>0</v>
      </c>
      <c r="I1154" s="35"/>
      <c r="J1154" s="36">
        <f>IFERROR(I1154/$Q1154,0)</f>
        <v>0</v>
      </c>
      <c r="K1154" s="38"/>
      <c r="L1154" s="36">
        <f>IFERROR(K1154/$R1154,0)</f>
        <v>0</v>
      </c>
      <c r="M1154" s="35"/>
      <c r="N1154" s="36">
        <f>IFERROR(M1154/$Q1154,0)</f>
        <v>0</v>
      </c>
      <c r="O1154" s="38"/>
      <c r="P1154" s="36">
        <f>IFERROR(O1154/$R1154,0)</f>
        <v>0</v>
      </c>
      <c r="Q1154" s="35"/>
      <c r="R1154" s="38"/>
    </row>
    <row r="1155" spans="1:18" ht="15.75" customHeight="1" x14ac:dyDescent="0.25">
      <c r="A1155" s="37">
        <v>2016</v>
      </c>
      <c r="B1155" s="35">
        <v>170600</v>
      </c>
      <c r="C1155" s="34" t="s">
        <v>150</v>
      </c>
      <c r="D1155" s="34" t="s">
        <v>46</v>
      </c>
      <c r="E1155" s="35"/>
      <c r="F1155" s="36">
        <f>IFERROR(E1155/$Q1155,0)</f>
        <v>0</v>
      </c>
      <c r="G1155" s="38"/>
      <c r="H1155" s="36">
        <f>IFERROR(G1155/$R1155,0)</f>
        <v>0</v>
      </c>
      <c r="I1155" s="35"/>
      <c r="J1155" s="36">
        <f>IFERROR(I1155/$Q1155,0)</f>
        <v>0</v>
      </c>
      <c r="K1155" s="38"/>
      <c r="L1155" s="36">
        <f>IFERROR(K1155/$R1155,0)</f>
        <v>0</v>
      </c>
      <c r="M1155" s="35"/>
      <c r="N1155" s="36">
        <f>IFERROR(M1155/$Q1155,0)</f>
        <v>0</v>
      </c>
      <c r="O1155" s="38"/>
      <c r="P1155" s="36">
        <f>IFERROR(O1155/$R1155,0)</f>
        <v>0</v>
      </c>
      <c r="Q1155" s="35"/>
      <c r="R1155" s="38"/>
    </row>
    <row r="1156" spans="1:18" ht="15.75" customHeight="1" x14ac:dyDescent="0.25">
      <c r="A1156" s="37">
        <v>2016</v>
      </c>
      <c r="B1156" s="35">
        <v>170610</v>
      </c>
      <c r="C1156" s="34" t="s">
        <v>144</v>
      </c>
      <c r="D1156" s="34" t="s">
        <v>47</v>
      </c>
      <c r="E1156" s="35"/>
      <c r="F1156" s="36">
        <f>IFERROR(E1156/$Q1156,0)</f>
        <v>0</v>
      </c>
      <c r="G1156" s="38"/>
      <c r="H1156" s="36">
        <f>IFERROR(G1156/$R1156,0)</f>
        <v>0</v>
      </c>
      <c r="I1156" s="35"/>
      <c r="J1156" s="36">
        <f>IFERROR(I1156/$Q1156,0)</f>
        <v>0</v>
      </c>
      <c r="K1156" s="38"/>
      <c r="L1156" s="36">
        <f>IFERROR(K1156/$R1156,0)</f>
        <v>0</v>
      </c>
      <c r="M1156" s="35"/>
      <c r="N1156" s="36">
        <f>IFERROR(M1156/$Q1156,0)</f>
        <v>0</v>
      </c>
      <c r="O1156" s="38"/>
      <c r="P1156" s="36">
        <f>IFERROR(O1156/$R1156,0)</f>
        <v>0</v>
      </c>
      <c r="Q1156" s="35"/>
      <c r="R1156" s="38"/>
    </row>
    <row r="1157" spans="1:18" ht="15.75" customHeight="1" x14ac:dyDescent="0.25">
      <c r="A1157" s="37">
        <v>2016</v>
      </c>
      <c r="B1157" s="35">
        <v>170625</v>
      </c>
      <c r="C1157" s="34" t="s">
        <v>146</v>
      </c>
      <c r="D1157" s="34" t="s">
        <v>48</v>
      </c>
      <c r="E1157" s="35"/>
      <c r="F1157" s="36">
        <f>IFERROR(E1157/$Q1157,0)</f>
        <v>0</v>
      </c>
      <c r="G1157" s="38"/>
      <c r="H1157" s="36">
        <f>IFERROR(G1157/$R1157,0)</f>
        <v>0</v>
      </c>
      <c r="I1157" s="35"/>
      <c r="J1157" s="36">
        <f>IFERROR(I1157/$Q1157,0)</f>
        <v>0</v>
      </c>
      <c r="K1157" s="38"/>
      <c r="L1157" s="36">
        <f>IFERROR(K1157/$R1157,0)</f>
        <v>0</v>
      </c>
      <c r="M1157" s="35"/>
      <c r="N1157" s="36">
        <f>IFERROR(M1157/$Q1157,0)</f>
        <v>0</v>
      </c>
      <c r="O1157" s="38"/>
      <c r="P1157" s="36">
        <f>IFERROR(O1157/$R1157,0)</f>
        <v>0</v>
      </c>
      <c r="Q1157" s="35"/>
      <c r="R1157" s="38"/>
    </row>
    <row r="1158" spans="1:18" ht="15.75" customHeight="1" x14ac:dyDescent="0.25">
      <c r="A1158" s="37">
        <v>2016</v>
      </c>
      <c r="B1158" s="35">
        <v>170650</v>
      </c>
      <c r="C1158" s="34" t="s">
        <v>149</v>
      </c>
      <c r="D1158" s="34" t="s">
        <v>49</v>
      </c>
      <c r="E1158" s="35"/>
      <c r="F1158" s="36">
        <f>IFERROR(E1158/$Q1158,0)</f>
        <v>0</v>
      </c>
      <c r="G1158" s="38"/>
      <c r="H1158" s="36">
        <f>IFERROR(G1158/$R1158,0)</f>
        <v>0</v>
      </c>
      <c r="I1158" s="35"/>
      <c r="J1158" s="36">
        <f>IFERROR(I1158/$Q1158,0)</f>
        <v>0</v>
      </c>
      <c r="K1158" s="38"/>
      <c r="L1158" s="36">
        <f>IFERROR(K1158/$R1158,0)</f>
        <v>0</v>
      </c>
      <c r="M1158" s="35"/>
      <c r="N1158" s="36">
        <f>IFERROR(M1158/$Q1158,0)</f>
        <v>0</v>
      </c>
      <c r="O1158" s="38"/>
      <c r="P1158" s="36">
        <f>IFERROR(O1158/$R1158,0)</f>
        <v>0</v>
      </c>
      <c r="Q1158" s="35"/>
      <c r="R1158" s="38"/>
    </row>
    <row r="1159" spans="1:18" ht="15.75" customHeight="1" x14ac:dyDescent="0.25">
      <c r="A1159" s="37">
        <v>2016</v>
      </c>
      <c r="B1159" s="35">
        <v>170700</v>
      </c>
      <c r="C1159" s="34" t="s">
        <v>147</v>
      </c>
      <c r="D1159" s="34" t="s">
        <v>50</v>
      </c>
      <c r="E1159" s="35"/>
      <c r="F1159" s="36">
        <f>IFERROR(E1159/$Q1159,0)</f>
        <v>0</v>
      </c>
      <c r="G1159" s="38"/>
      <c r="H1159" s="36">
        <f>IFERROR(G1159/$R1159,0)</f>
        <v>0</v>
      </c>
      <c r="I1159" s="35"/>
      <c r="J1159" s="36">
        <f>IFERROR(I1159/$Q1159,0)</f>
        <v>0</v>
      </c>
      <c r="K1159" s="38"/>
      <c r="L1159" s="36">
        <f>IFERROR(K1159/$R1159,0)</f>
        <v>0</v>
      </c>
      <c r="M1159" s="35"/>
      <c r="N1159" s="36">
        <f>IFERROR(M1159/$Q1159,0)</f>
        <v>0</v>
      </c>
      <c r="O1159" s="38"/>
      <c r="P1159" s="36">
        <f>IFERROR(O1159/$R1159,0)</f>
        <v>0</v>
      </c>
      <c r="Q1159" s="35"/>
      <c r="R1159" s="38"/>
    </row>
    <row r="1160" spans="1:18" ht="15.75" customHeight="1" x14ac:dyDescent="0.25">
      <c r="A1160" s="37">
        <v>2016</v>
      </c>
      <c r="B1160" s="35">
        <v>170710</v>
      </c>
      <c r="C1160" s="34" t="s">
        <v>144</v>
      </c>
      <c r="D1160" s="34" t="s">
        <v>51</v>
      </c>
      <c r="E1160" s="35"/>
      <c r="F1160" s="36">
        <f>IFERROR(E1160/$Q1160,0)</f>
        <v>0</v>
      </c>
      <c r="G1160" s="38"/>
      <c r="H1160" s="36">
        <f>IFERROR(G1160/$R1160,0)</f>
        <v>0</v>
      </c>
      <c r="I1160" s="35"/>
      <c r="J1160" s="36">
        <f>IFERROR(I1160/$Q1160,0)</f>
        <v>0</v>
      </c>
      <c r="K1160" s="38"/>
      <c r="L1160" s="36">
        <f>IFERROR(K1160/$R1160,0)</f>
        <v>0</v>
      </c>
      <c r="M1160" s="35"/>
      <c r="N1160" s="36">
        <f>IFERROR(M1160/$Q1160,0)</f>
        <v>0</v>
      </c>
      <c r="O1160" s="38"/>
      <c r="P1160" s="36">
        <f>IFERROR(O1160/$R1160,0)</f>
        <v>0</v>
      </c>
      <c r="Q1160" s="35"/>
      <c r="R1160" s="38"/>
    </row>
    <row r="1161" spans="1:18" ht="15.75" customHeight="1" x14ac:dyDescent="0.25">
      <c r="A1161" s="37">
        <v>2016</v>
      </c>
      <c r="B1161" s="35">
        <v>170720</v>
      </c>
      <c r="C1161" s="34" t="s">
        <v>144</v>
      </c>
      <c r="D1161" s="34" t="s">
        <v>52</v>
      </c>
      <c r="E1161" s="35"/>
      <c r="F1161" s="36">
        <f>IFERROR(E1161/$Q1161,0)</f>
        <v>0</v>
      </c>
      <c r="G1161" s="38"/>
      <c r="H1161" s="36">
        <f>IFERROR(G1161/$R1161,0)</f>
        <v>0</v>
      </c>
      <c r="I1161" s="35"/>
      <c r="J1161" s="36">
        <f>IFERROR(I1161/$Q1161,0)</f>
        <v>0</v>
      </c>
      <c r="K1161" s="38"/>
      <c r="L1161" s="36">
        <f>IFERROR(K1161/$R1161,0)</f>
        <v>0</v>
      </c>
      <c r="M1161" s="35"/>
      <c r="N1161" s="36">
        <f>IFERROR(M1161/$Q1161,0)</f>
        <v>0</v>
      </c>
      <c r="O1161" s="38"/>
      <c r="P1161" s="36">
        <f>IFERROR(O1161/$R1161,0)</f>
        <v>0</v>
      </c>
      <c r="Q1161" s="35"/>
      <c r="R1161" s="38"/>
    </row>
    <row r="1162" spans="1:18" ht="15.75" customHeight="1" x14ac:dyDescent="0.25">
      <c r="A1162" s="37">
        <v>2016</v>
      </c>
      <c r="B1162" s="35">
        <v>170730</v>
      </c>
      <c r="C1162" s="34" t="s">
        <v>146</v>
      </c>
      <c r="D1162" s="34" t="s">
        <v>53</v>
      </c>
      <c r="E1162" s="35"/>
      <c r="F1162" s="36">
        <f>IFERROR(E1162/$Q1162,0)</f>
        <v>0</v>
      </c>
      <c r="G1162" s="38"/>
      <c r="H1162" s="36">
        <f>IFERROR(G1162/$R1162,0)</f>
        <v>0</v>
      </c>
      <c r="I1162" s="35"/>
      <c r="J1162" s="36">
        <f>IFERROR(I1162/$Q1162,0)</f>
        <v>0</v>
      </c>
      <c r="K1162" s="38"/>
      <c r="L1162" s="36">
        <f>IFERROR(K1162/$R1162,0)</f>
        <v>0</v>
      </c>
      <c r="M1162" s="35"/>
      <c r="N1162" s="36">
        <f>IFERROR(M1162/$Q1162,0)</f>
        <v>0</v>
      </c>
      <c r="O1162" s="38"/>
      <c r="P1162" s="36">
        <f>IFERROR(O1162/$R1162,0)</f>
        <v>0</v>
      </c>
      <c r="Q1162" s="35"/>
      <c r="R1162" s="38"/>
    </row>
    <row r="1163" spans="1:18" ht="15.75" customHeight="1" x14ac:dyDescent="0.25">
      <c r="A1163" s="37">
        <v>2016</v>
      </c>
      <c r="B1163" s="35">
        <v>170740</v>
      </c>
      <c r="C1163" s="34" t="s">
        <v>145</v>
      </c>
      <c r="D1163" s="34" t="s">
        <v>54</v>
      </c>
      <c r="E1163" s="35"/>
      <c r="F1163" s="36">
        <f>IFERROR(E1163/$Q1163,0)</f>
        <v>0</v>
      </c>
      <c r="G1163" s="38"/>
      <c r="H1163" s="36">
        <f>IFERROR(G1163/$R1163,0)</f>
        <v>0</v>
      </c>
      <c r="I1163" s="35"/>
      <c r="J1163" s="36">
        <f>IFERROR(I1163/$Q1163,0)</f>
        <v>0</v>
      </c>
      <c r="K1163" s="38"/>
      <c r="L1163" s="36">
        <f>IFERROR(K1163/$R1163,0)</f>
        <v>0</v>
      </c>
      <c r="M1163" s="35"/>
      <c r="N1163" s="36">
        <f>IFERROR(M1163/$Q1163,0)</f>
        <v>0</v>
      </c>
      <c r="O1163" s="38"/>
      <c r="P1163" s="36">
        <f>IFERROR(O1163/$R1163,0)</f>
        <v>0</v>
      </c>
      <c r="Q1163" s="35"/>
      <c r="R1163" s="38"/>
    </row>
    <row r="1164" spans="1:18" ht="15.75" customHeight="1" x14ac:dyDescent="0.25">
      <c r="A1164" s="37">
        <v>2016</v>
      </c>
      <c r="B1164" s="35">
        <v>170755</v>
      </c>
      <c r="C1164" s="34" t="s">
        <v>151</v>
      </c>
      <c r="D1164" s="34" t="s">
        <v>55</v>
      </c>
      <c r="E1164" s="35"/>
      <c r="F1164" s="36">
        <f>IFERROR(E1164/$Q1164,0)</f>
        <v>0</v>
      </c>
      <c r="G1164" s="38"/>
      <c r="H1164" s="36">
        <f>IFERROR(G1164/$R1164,0)</f>
        <v>0</v>
      </c>
      <c r="I1164" s="35"/>
      <c r="J1164" s="36">
        <f>IFERROR(I1164/$Q1164,0)</f>
        <v>0</v>
      </c>
      <c r="K1164" s="38"/>
      <c r="L1164" s="36">
        <f>IFERROR(K1164/$R1164,0)</f>
        <v>0</v>
      </c>
      <c r="M1164" s="35"/>
      <c r="N1164" s="36">
        <f>IFERROR(M1164/$Q1164,0)</f>
        <v>0</v>
      </c>
      <c r="O1164" s="38"/>
      <c r="P1164" s="36">
        <f>IFERROR(O1164/$R1164,0)</f>
        <v>0</v>
      </c>
      <c r="Q1164" s="35"/>
      <c r="R1164" s="38"/>
    </row>
    <row r="1165" spans="1:18" ht="15.75" customHeight="1" x14ac:dyDescent="0.25">
      <c r="A1165" s="37">
        <v>2016</v>
      </c>
      <c r="B1165" s="35">
        <v>170765</v>
      </c>
      <c r="C1165" s="34" t="s">
        <v>146</v>
      </c>
      <c r="D1165" s="34" t="s">
        <v>56</v>
      </c>
      <c r="E1165" s="35"/>
      <c r="F1165" s="36">
        <f>IFERROR(E1165/$Q1165,0)</f>
        <v>0</v>
      </c>
      <c r="G1165" s="38"/>
      <c r="H1165" s="36">
        <f>IFERROR(G1165/$R1165,0)</f>
        <v>0</v>
      </c>
      <c r="I1165" s="35"/>
      <c r="J1165" s="36">
        <f>IFERROR(I1165/$Q1165,0)</f>
        <v>0</v>
      </c>
      <c r="K1165" s="38"/>
      <c r="L1165" s="36">
        <f>IFERROR(K1165/$R1165,0)</f>
        <v>0</v>
      </c>
      <c r="M1165" s="35"/>
      <c r="N1165" s="36">
        <f>IFERROR(M1165/$Q1165,0)</f>
        <v>0</v>
      </c>
      <c r="O1165" s="38"/>
      <c r="P1165" s="36">
        <f>IFERROR(O1165/$R1165,0)</f>
        <v>0</v>
      </c>
      <c r="Q1165" s="35"/>
      <c r="R1165" s="38"/>
    </row>
    <row r="1166" spans="1:18" ht="15.75" customHeight="1" x14ac:dyDescent="0.25">
      <c r="A1166" s="37">
        <v>2016</v>
      </c>
      <c r="B1166" s="35">
        <v>170770</v>
      </c>
      <c r="C1166" s="34" t="s">
        <v>149</v>
      </c>
      <c r="D1166" s="34" t="s">
        <v>57</v>
      </c>
      <c r="E1166" s="35"/>
      <c r="F1166" s="36">
        <f>IFERROR(E1166/$Q1166,0)</f>
        <v>0</v>
      </c>
      <c r="G1166" s="38"/>
      <c r="H1166" s="36">
        <f>IFERROR(G1166/$R1166,0)</f>
        <v>0</v>
      </c>
      <c r="I1166" s="35"/>
      <c r="J1166" s="36">
        <f>IFERROR(I1166/$Q1166,0)</f>
        <v>0</v>
      </c>
      <c r="K1166" s="38"/>
      <c r="L1166" s="36">
        <f>IFERROR(K1166/$R1166,0)</f>
        <v>0</v>
      </c>
      <c r="M1166" s="35"/>
      <c r="N1166" s="36">
        <f>IFERROR(M1166/$Q1166,0)</f>
        <v>0</v>
      </c>
      <c r="O1166" s="38"/>
      <c r="P1166" s="36">
        <f>IFERROR(O1166/$R1166,0)</f>
        <v>0</v>
      </c>
      <c r="Q1166" s="35"/>
      <c r="R1166" s="38"/>
    </row>
    <row r="1167" spans="1:18" ht="15.75" customHeight="1" x14ac:dyDescent="0.25">
      <c r="A1167" s="37">
        <v>2016</v>
      </c>
      <c r="B1167" s="35">
        <v>170820</v>
      </c>
      <c r="C1167" s="34" t="s">
        <v>146</v>
      </c>
      <c r="D1167" s="34" t="s">
        <v>58</v>
      </c>
      <c r="E1167" s="35"/>
      <c r="F1167" s="36">
        <f>IFERROR(E1167/$Q1167,0)</f>
        <v>0</v>
      </c>
      <c r="G1167" s="38"/>
      <c r="H1167" s="36">
        <f>IFERROR(G1167/$R1167,0)</f>
        <v>0</v>
      </c>
      <c r="I1167" s="35"/>
      <c r="J1167" s="36">
        <f>IFERROR(I1167/$Q1167,0)</f>
        <v>0</v>
      </c>
      <c r="K1167" s="38"/>
      <c r="L1167" s="36">
        <f>IFERROR(K1167/$R1167,0)</f>
        <v>0</v>
      </c>
      <c r="M1167" s="35"/>
      <c r="N1167" s="36">
        <f>IFERROR(M1167/$Q1167,0)</f>
        <v>0</v>
      </c>
      <c r="O1167" s="38"/>
      <c r="P1167" s="36">
        <f>IFERROR(O1167/$R1167,0)</f>
        <v>0</v>
      </c>
      <c r="Q1167" s="35"/>
      <c r="R1167" s="38"/>
    </row>
    <row r="1168" spans="1:18" ht="15.75" customHeight="1" x14ac:dyDescent="0.25">
      <c r="A1168" s="37">
        <v>2016</v>
      </c>
      <c r="B1168" s="35">
        <v>170830</v>
      </c>
      <c r="C1168" s="34" t="s">
        <v>150</v>
      </c>
      <c r="D1168" s="34" t="s">
        <v>59</v>
      </c>
      <c r="E1168" s="35"/>
      <c r="F1168" s="36">
        <f>IFERROR(E1168/$Q1168,0)</f>
        <v>0</v>
      </c>
      <c r="G1168" s="38"/>
      <c r="H1168" s="36">
        <f>IFERROR(G1168/$R1168,0)</f>
        <v>0</v>
      </c>
      <c r="I1168" s="35"/>
      <c r="J1168" s="36">
        <f>IFERROR(I1168/$Q1168,0)</f>
        <v>0</v>
      </c>
      <c r="K1168" s="38"/>
      <c r="L1168" s="36">
        <f>IFERROR(K1168/$R1168,0)</f>
        <v>0</v>
      </c>
      <c r="M1168" s="35"/>
      <c r="N1168" s="36">
        <f>IFERROR(M1168/$Q1168,0)</f>
        <v>0</v>
      </c>
      <c r="O1168" s="38"/>
      <c r="P1168" s="36">
        <f>IFERROR(O1168/$R1168,0)</f>
        <v>0</v>
      </c>
      <c r="Q1168" s="35"/>
      <c r="R1168" s="38"/>
    </row>
    <row r="1169" spans="1:18" ht="15.75" customHeight="1" x14ac:dyDescent="0.25">
      <c r="A1169" s="37">
        <v>2016</v>
      </c>
      <c r="B1169" s="35">
        <v>170900</v>
      </c>
      <c r="C1169" s="34" t="s">
        <v>149</v>
      </c>
      <c r="D1169" s="34" t="s">
        <v>60</v>
      </c>
      <c r="E1169" s="35"/>
      <c r="F1169" s="36">
        <f>IFERROR(E1169/$Q1169,0)</f>
        <v>0</v>
      </c>
      <c r="G1169" s="38"/>
      <c r="H1169" s="36">
        <f>IFERROR(G1169/$R1169,0)</f>
        <v>0</v>
      </c>
      <c r="I1169" s="35"/>
      <c r="J1169" s="36">
        <f>IFERROR(I1169/$Q1169,0)</f>
        <v>0</v>
      </c>
      <c r="K1169" s="38"/>
      <c r="L1169" s="36">
        <f>IFERROR(K1169/$R1169,0)</f>
        <v>0</v>
      </c>
      <c r="M1169" s="35"/>
      <c r="N1169" s="36">
        <f>IFERROR(M1169/$Q1169,0)</f>
        <v>0</v>
      </c>
      <c r="O1169" s="38"/>
      <c r="P1169" s="36">
        <f>IFERROR(O1169/$R1169,0)</f>
        <v>0</v>
      </c>
      <c r="Q1169" s="35"/>
      <c r="R1169" s="38"/>
    </row>
    <row r="1170" spans="1:18" ht="15.75" customHeight="1" x14ac:dyDescent="0.25">
      <c r="A1170" s="37">
        <v>2016</v>
      </c>
      <c r="B1170" s="35">
        <v>170930</v>
      </c>
      <c r="C1170" s="34" t="s">
        <v>150</v>
      </c>
      <c r="D1170" s="34" t="s">
        <v>61</v>
      </c>
      <c r="E1170" s="35"/>
      <c r="F1170" s="36">
        <f>IFERROR(E1170/$Q1170,0)</f>
        <v>0</v>
      </c>
      <c r="G1170" s="38"/>
      <c r="H1170" s="36">
        <f>IFERROR(G1170/$R1170,0)</f>
        <v>0</v>
      </c>
      <c r="I1170" s="35"/>
      <c r="J1170" s="36">
        <f>IFERROR(I1170/$Q1170,0)</f>
        <v>0</v>
      </c>
      <c r="K1170" s="38"/>
      <c r="L1170" s="36">
        <f>IFERROR(K1170/$R1170,0)</f>
        <v>0</v>
      </c>
      <c r="M1170" s="35"/>
      <c r="N1170" s="36">
        <f>IFERROR(M1170/$Q1170,0)</f>
        <v>0</v>
      </c>
      <c r="O1170" s="38"/>
      <c r="P1170" s="36">
        <f>IFERROR(O1170/$R1170,0)</f>
        <v>0</v>
      </c>
      <c r="Q1170" s="35"/>
      <c r="R1170" s="38"/>
    </row>
    <row r="1171" spans="1:18" ht="15.75" customHeight="1" x14ac:dyDescent="0.25">
      <c r="A1171" s="37">
        <v>2016</v>
      </c>
      <c r="B1171" s="35">
        <v>170950</v>
      </c>
      <c r="C1171" s="34" t="s">
        <v>146</v>
      </c>
      <c r="D1171" s="34" t="s">
        <v>62</v>
      </c>
      <c r="E1171" s="35"/>
      <c r="F1171" s="36">
        <f>IFERROR(E1171/$Q1171,0)</f>
        <v>0</v>
      </c>
      <c r="G1171" s="38"/>
      <c r="H1171" s="36">
        <f>IFERROR(G1171/$R1171,0)</f>
        <v>0</v>
      </c>
      <c r="I1171" s="35"/>
      <c r="J1171" s="36">
        <f>IFERROR(I1171/$Q1171,0)</f>
        <v>0</v>
      </c>
      <c r="K1171" s="38"/>
      <c r="L1171" s="36">
        <f>IFERROR(K1171/$R1171,0)</f>
        <v>0</v>
      </c>
      <c r="M1171" s="35"/>
      <c r="N1171" s="36">
        <f>IFERROR(M1171/$Q1171,0)</f>
        <v>0</v>
      </c>
      <c r="O1171" s="39"/>
      <c r="P1171" s="36">
        <f>IFERROR(O1171/$R1171,0)</f>
        <v>0</v>
      </c>
      <c r="Q1171" s="35"/>
      <c r="R1171" s="39"/>
    </row>
    <row r="1172" spans="1:18" ht="15.75" customHeight="1" x14ac:dyDescent="0.25">
      <c r="A1172" s="37">
        <v>2016</v>
      </c>
      <c r="B1172" s="35">
        <v>170980</v>
      </c>
      <c r="C1172" s="34" t="s">
        <v>151</v>
      </c>
      <c r="D1172" s="34" t="s">
        <v>63</v>
      </c>
      <c r="E1172" s="35"/>
      <c r="F1172" s="36">
        <f>IFERROR(E1172/$Q1172,0)</f>
        <v>0</v>
      </c>
      <c r="G1172" s="38"/>
      <c r="H1172" s="36">
        <f>IFERROR(G1172/$R1172,0)</f>
        <v>0</v>
      </c>
      <c r="I1172" s="35"/>
      <c r="J1172" s="36">
        <f>IFERROR(I1172/$Q1172,0)</f>
        <v>0</v>
      </c>
      <c r="K1172" s="38"/>
      <c r="L1172" s="36">
        <f>IFERROR(K1172/$R1172,0)</f>
        <v>0</v>
      </c>
      <c r="M1172" s="35"/>
      <c r="N1172" s="36">
        <f>IFERROR(M1172/$Q1172,0)</f>
        <v>0</v>
      </c>
      <c r="O1172" s="38"/>
      <c r="P1172" s="36">
        <f>IFERROR(O1172/$R1172,0)</f>
        <v>0</v>
      </c>
      <c r="Q1172" s="35"/>
      <c r="R1172" s="38"/>
    </row>
    <row r="1173" spans="1:18" ht="15.75" customHeight="1" x14ac:dyDescent="0.25">
      <c r="A1173" s="37">
        <v>2016</v>
      </c>
      <c r="B1173" s="35">
        <v>171050</v>
      </c>
      <c r="C1173" s="34" t="s">
        <v>150</v>
      </c>
      <c r="D1173" s="34" t="s">
        <v>64</v>
      </c>
      <c r="E1173" s="35"/>
      <c r="F1173" s="36">
        <f>IFERROR(E1173/$Q1173,0)</f>
        <v>0</v>
      </c>
      <c r="G1173" s="38"/>
      <c r="H1173" s="36">
        <f>IFERROR(G1173/$R1173,0)</f>
        <v>0</v>
      </c>
      <c r="I1173" s="35"/>
      <c r="J1173" s="36">
        <f>IFERROR(I1173/$Q1173,0)</f>
        <v>0</v>
      </c>
      <c r="K1173" s="38"/>
      <c r="L1173" s="36">
        <f>IFERROR(K1173/$R1173,0)</f>
        <v>0</v>
      </c>
      <c r="M1173" s="35"/>
      <c r="N1173" s="36">
        <f>IFERROR(M1173/$Q1173,0)</f>
        <v>0</v>
      </c>
      <c r="O1173" s="38"/>
      <c r="P1173" s="36">
        <f>IFERROR(O1173/$R1173,0)</f>
        <v>0</v>
      </c>
      <c r="Q1173" s="35"/>
      <c r="R1173" s="38"/>
    </row>
    <row r="1174" spans="1:18" ht="15.75" customHeight="1" x14ac:dyDescent="0.25">
      <c r="A1174" s="37">
        <v>2016</v>
      </c>
      <c r="B1174" s="35">
        <v>171070</v>
      </c>
      <c r="C1174" s="34" t="s">
        <v>145</v>
      </c>
      <c r="D1174" s="34" t="s">
        <v>65</v>
      </c>
      <c r="E1174" s="35"/>
      <c r="F1174" s="36">
        <f>IFERROR(E1174/$Q1174,0)</f>
        <v>0</v>
      </c>
      <c r="G1174" s="38"/>
      <c r="H1174" s="36">
        <f>IFERROR(G1174/$R1174,0)</f>
        <v>0</v>
      </c>
      <c r="I1174" s="35"/>
      <c r="J1174" s="36">
        <f>IFERROR(I1174/$Q1174,0)</f>
        <v>0</v>
      </c>
      <c r="K1174" s="38"/>
      <c r="L1174" s="36">
        <f>IFERROR(K1174/$R1174,0)</f>
        <v>0</v>
      </c>
      <c r="M1174" s="35"/>
      <c r="N1174" s="36">
        <f>IFERROR(M1174/$Q1174,0)</f>
        <v>0</v>
      </c>
      <c r="O1174" s="38"/>
      <c r="P1174" s="36">
        <f>IFERROR(O1174/$R1174,0)</f>
        <v>0</v>
      </c>
      <c r="Q1174" s="35"/>
      <c r="R1174" s="38"/>
    </row>
    <row r="1175" spans="1:18" ht="15.75" customHeight="1" x14ac:dyDescent="0.25">
      <c r="A1175" s="37">
        <v>2016</v>
      </c>
      <c r="B1175" s="35">
        <v>171090</v>
      </c>
      <c r="C1175" s="34" t="s">
        <v>150</v>
      </c>
      <c r="D1175" s="34" t="s">
        <v>66</v>
      </c>
      <c r="E1175" s="35"/>
      <c r="F1175" s="36">
        <f>IFERROR(E1175/$Q1175,0)</f>
        <v>0</v>
      </c>
      <c r="G1175" s="38"/>
      <c r="H1175" s="36">
        <f>IFERROR(G1175/$R1175,0)</f>
        <v>0</v>
      </c>
      <c r="I1175" s="35"/>
      <c r="J1175" s="36">
        <f>IFERROR(I1175/$Q1175,0)</f>
        <v>0</v>
      </c>
      <c r="K1175" s="38"/>
      <c r="L1175" s="36">
        <f>IFERROR(K1175/$R1175,0)</f>
        <v>0</v>
      </c>
      <c r="M1175" s="35"/>
      <c r="N1175" s="36">
        <f>IFERROR(M1175/$Q1175,0)</f>
        <v>0</v>
      </c>
      <c r="O1175" s="38"/>
      <c r="P1175" s="36">
        <f>IFERROR(O1175/$R1175,0)</f>
        <v>0</v>
      </c>
      <c r="Q1175" s="35"/>
      <c r="R1175" s="38"/>
    </row>
    <row r="1176" spans="1:18" ht="15.75" customHeight="1" x14ac:dyDescent="0.25">
      <c r="A1176" s="37">
        <v>2016</v>
      </c>
      <c r="B1176" s="35">
        <v>171110</v>
      </c>
      <c r="C1176" s="34" t="s">
        <v>150</v>
      </c>
      <c r="D1176" s="34" t="s">
        <v>67</v>
      </c>
      <c r="E1176" s="35"/>
      <c r="F1176" s="36">
        <f>IFERROR(E1176/$Q1176,0)</f>
        <v>0</v>
      </c>
      <c r="G1176" s="38"/>
      <c r="H1176" s="36">
        <f>IFERROR(G1176/$R1176,0)</f>
        <v>0</v>
      </c>
      <c r="I1176" s="35"/>
      <c r="J1176" s="36">
        <f>IFERROR(I1176/$Q1176,0)</f>
        <v>0</v>
      </c>
      <c r="K1176" s="38"/>
      <c r="L1176" s="36">
        <f>IFERROR(K1176/$R1176,0)</f>
        <v>0</v>
      </c>
      <c r="M1176" s="35"/>
      <c r="N1176" s="36">
        <f>IFERROR(M1176/$Q1176,0)</f>
        <v>0</v>
      </c>
      <c r="O1176" s="38"/>
      <c r="P1176" s="36">
        <f>IFERROR(O1176/$R1176,0)</f>
        <v>0</v>
      </c>
      <c r="Q1176" s="35"/>
      <c r="R1176" s="38"/>
    </row>
    <row r="1177" spans="1:18" ht="15.75" customHeight="1" x14ac:dyDescent="0.25">
      <c r="A1177" s="37">
        <v>2016</v>
      </c>
      <c r="B1177" s="35">
        <v>171150</v>
      </c>
      <c r="C1177" s="34" t="s">
        <v>146</v>
      </c>
      <c r="D1177" s="34" t="s">
        <v>68</v>
      </c>
      <c r="E1177" s="35"/>
      <c r="F1177" s="36">
        <f>IFERROR(E1177/$Q1177,0)</f>
        <v>0</v>
      </c>
      <c r="G1177" s="38"/>
      <c r="H1177" s="36">
        <f>IFERROR(G1177/$R1177,0)</f>
        <v>0</v>
      </c>
      <c r="I1177" s="35"/>
      <c r="J1177" s="36">
        <f>IFERROR(I1177/$Q1177,0)</f>
        <v>0</v>
      </c>
      <c r="K1177" s="38"/>
      <c r="L1177" s="36">
        <f>IFERROR(K1177/$R1177,0)</f>
        <v>0</v>
      </c>
      <c r="M1177" s="35"/>
      <c r="N1177" s="36">
        <f>IFERROR(M1177/$Q1177,0)</f>
        <v>0</v>
      </c>
      <c r="O1177" s="38"/>
      <c r="P1177" s="36">
        <f>IFERROR(O1177/$R1177,0)</f>
        <v>0</v>
      </c>
      <c r="Q1177" s="35"/>
      <c r="R1177" s="38"/>
    </row>
    <row r="1178" spans="1:18" ht="15.75" customHeight="1" x14ac:dyDescent="0.25">
      <c r="A1178" s="37">
        <v>2016</v>
      </c>
      <c r="B1178" s="35">
        <v>171180</v>
      </c>
      <c r="C1178" s="34" t="s">
        <v>150</v>
      </c>
      <c r="D1178" s="34" t="s">
        <v>69</v>
      </c>
      <c r="E1178" s="35"/>
      <c r="F1178" s="36">
        <f>IFERROR(E1178/$Q1178,0)</f>
        <v>0</v>
      </c>
      <c r="G1178" s="38"/>
      <c r="H1178" s="36">
        <f>IFERROR(G1178/$R1178,0)</f>
        <v>0</v>
      </c>
      <c r="I1178" s="35"/>
      <c r="J1178" s="36">
        <f>IFERROR(I1178/$Q1178,0)</f>
        <v>0</v>
      </c>
      <c r="K1178" s="38"/>
      <c r="L1178" s="36">
        <f>IFERROR(K1178/$R1178,0)</f>
        <v>0</v>
      </c>
      <c r="M1178" s="35"/>
      <c r="N1178" s="36">
        <f>IFERROR(M1178/$Q1178,0)</f>
        <v>0</v>
      </c>
      <c r="O1178" s="38"/>
      <c r="P1178" s="36">
        <f>IFERROR(O1178/$R1178,0)</f>
        <v>0</v>
      </c>
      <c r="Q1178" s="35"/>
      <c r="R1178" s="38"/>
    </row>
    <row r="1179" spans="1:18" ht="15.75" customHeight="1" x14ac:dyDescent="0.25">
      <c r="A1179" s="37">
        <v>2016</v>
      </c>
      <c r="B1179" s="35">
        <v>171190</v>
      </c>
      <c r="C1179" s="34" t="s">
        <v>144</v>
      </c>
      <c r="D1179" s="34" t="s">
        <v>70</v>
      </c>
      <c r="E1179" s="35"/>
      <c r="F1179" s="36">
        <f>IFERROR(E1179/$Q1179,0)</f>
        <v>0</v>
      </c>
      <c r="G1179" s="38"/>
      <c r="H1179" s="36">
        <f>IFERROR(G1179/$R1179,0)</f>
        <v>0</v>
      </c>
      <c r="I1179" s="35"/>
      <c r="J1179" s="36">
        <f>IFERROR(I1179/$Q1179,0)</f>
        <v>0</v>
      </c>
      <c r="K1179" s="38"/>
      <c r="L1179" s="36">
        <f>IFERROR(K1179/$R1179,0)</f>
        <v>0</v>
      </c>
      <c r="M1179" s="35"/>
      <c r="N1179" s="36">
        <f>IFERROR(M1179/$Q1179,0)</f>
        <v>0</v>
      </c>
      <c r="O1179" s="38"/>
      <c r="P1179" s="36">
        <f>IFERROR(O1179/$R1179,0)</f>
        <v>0</v>
      </c>
      <c r="Q1179" s="35"/>
      <c r="R1179" s="38"/>
    </row>
    <row r="1180" spans="1:18" ht="15.75" customHeight="1" x14ac:dyDescent="0.25">
      <c r="A1180" s="37">
        <v>2016</v>
      </c>
      <c r="B1180" s="35">
        <v>171195</v>
      </c>
      <c r="C1180" s="34" t="s">
        <v>148</v>
      </c>
      <c r="D1180" s="34" t="s">
        <v>71</v>
      </c>
      <c r="E1180" s="35"/>
      <c r="F1180" s="36">
        <f>IFERROR(E1180/$Q1180,0)</f>
        <v>0</v>
      </c>
      <c r="G1180" s="38"/>
      <c r="H1180" s="36">
        <f>IFERROR(G1180/$R1180,0)</f>
        <v>0</v>
      </c>
      <c r="I1180" s="35"/>
      <c r="J1180" s="36">
        <f>IFERROR(I1180/$Q1180,0)</f>
        <v>0</v>
      </c>
      <c r="K1180" s="38"/>
      <c r="L1180" s="36">
        <f>IFERROR(K1180/$R1180,0)</f>
        <v>0</v>
      </c>
      <c r="M1180" s="35"/>
      <c r="N1180" s="36">
        <f>IFERROR(M1180/$Q1180,0)</f>
        <v>0</v>
      </c>
      <c r="O1180" s="38"/>
      <c r="P1180" s="36">
        <f>IFERROR(O1180/$R1180,0)</f>
        <v>0</v>
      </c>
      <c r="Q1180" s="35"/>
      <c r="R1180" s="38"/>
    </row>
    <row r="1181" spans="1:18" ht="15.75" customHeight="1" x14ac:dyDescent="0.25">
      <c r="A1181" s="37">
        <v>2016</v>
      </c>
      <c r="B1181" s="35">
        <v>171200</v>
      </c>
      <c r="C1181" s="34" t="s">
        <v>148</v>
      </c>
      <c r="D1181" s="34" t="s">
        <v>72</v>
      </c>
      <c r="E1181" s="35"/>
      <c r="F1181" s="36">
        <f>IFERROR(E1181/$Q1181,0)</f>
        <v>0</v>
      </c>
      <c r="G1181" s="38"/>
      <c r="H1181" s="36">
        <f>IFERROR(G1181/$R1181,0)</f>
        <v>0</v>
      </c>
      <c r="I1181" s="35"/>
      <c r="J1181" s="36">
        <f>IFERROR(I1181/$Q1181,0)</f>
        <v>0</v>
      </c>
      <c r="K1181" s="38"/>
      <c r="L1181" s="36">
        <f>IFERROR(K1181/$R1181,0)</f>
        <v>0</v>
      </c>
      <c r="M1181" s="35"/>
      <c r="N1181" s="36">
        <f>IFERROR(M1181/$Q1181,0)</f>
        <v>0</v>
      </c>
      <c r="O1181" s="38"/>
      <c r="P1181" s="36">
        <f>IFERROR(O1181/$R1181,0)</f>
        <v>0</v>
      </c>
      <c r="Q1181" s="35"/>
      <c r="R1181" s="38"/>
    </row>
    <row r="1182" spans="1:18" ht="15.75" customHeight="1" x14ac:dyDescent="0.25">
      <c r="A1182" s="37">
        <v>2016</v>
      </c>
      <c r="B1182" s="35">
        <v>171215</v>
      </c>
      <c r="C1182" s="34" t="s">
        <v>147</v>
      </c>
      <c r="D1182" s="34" t="s">
        <v>73</v>
      </c>
      <c r="E1182" s="35"/>
      <c r="F1182" s="36">
        <f>IFERROR(E1182/$Q1182,0)</f>
        <v>0</v>
      </c>
      <c r="G1182" s="38"/>
      <c r="H1182" s="36">
        <f>IFERROR(G1182/$R1182,0)</f>
        <v>0</v>
      </c>
      <c r="I1182" s="35"/>
      <c r="J1182" s="36">
        <f>IFERROR(I1182/$Q1182,0)</f>
        <v>0</v>
      </c>
      <c r="K1182" s="38"/>
      <c r="L1182" s="36">
        <f>IFERROR(K1182/$R1182,0)</f>
        <v>0</v>
      </c>
      <c r="M1182" s="35"/>
      <c r="N1182" s="36">
        <f>IFERROR(M1182/$Q1182,0)</f>
        <v>0</v>
      </c>
      <c r="O1182" s="38"/>
      <c r="P1182" s="36">
        <f>IFERROR(O1182/$R1182,0)</f>
        <v>0</v>
      </c>
      <c r="Q1182" s="35"/>
      <c r="R1182" s="38"/>
    </row>
    <row r="1183" spans="1:18" ht="15.75" customHeight="1" x14ac:dyDescent="0.25">
      <c r="A1183" s="37">
        <v>2016</v>
      </c>
      <c r="B1183" s="35">
        <v>171240</v>
      </c>
      <c r="C1183" s="34" t="s">
        <v>148</v>
      </c>
      <c r="D1183" s="34" t="s">
        <v>74</v>
      </c>
      <c r="E1183" s="35"/>
      <c r="F1183" s="36">
        <f>IFERROR(E1183/$Q1183,0)</f>
        <v>0</v>
      </c>
      <c r="G1183" s="38"/>
      <c r="H1183" s="36">
        <f>IFERROR(G1183/$R1183,0)</f>
        <v>0</v>
      </c>
      <c r="I1183" s="35"/>
      <c r="J1183" s="36">
        <f>IFERROR(I1183/$Q1183,0)</f>
        <v>0</v>
      </c>
      <c r="K1183" s="38"/>
      <c r="L1183" s="36">
        <f>IFERROR(K1183/$R1183,0)</f>
        <v>0</v>
      </c>
      <c r="M1183" s="35"/>
      <c r="N1183" s="36">
        <f>IFERROR(M1183/$Q1183,0)</f>
        <v>0</v>
      </c>
      <c r="O1183" s="38"/>
      <c r="P1183" s="36">
        <f>IFERROR(O1183/$R1183,0)</f>
        <v>0</v>
      </c>
      <c r="Q1183" s="35"/>
      <c r="R1183" s="38"/>
    </row>
    <row r="1184" spans="1:18" ht="15.75" customHeight="1" x14ac:dyDescent="0.25">
      <c r="A1184" s="37">
        <v>2016</v>
      </c>
      <c r="B1184" s="35">
        <v>171245</v>
      </c>
      <c r="C1184" s="34" t="s">
        <v>145</v>
      </c>
      <c r="D1184" s="34" t="s">
        <v>75</v>
      </c>
      <c r="E1184" s="35"/>
      <c r="F1184" s="36">
        <f>IFERROR(E1184/$Q1184,0)</f>
        <v>0</v>
      </c>
      <c r="G1184" s="38"/>
      <c r="H1184" s="36">
        <f>IFERROR(G1184/$R1184,0)</f>
        <v>0</v>
      </c>
      <c r="I1184" s="35"/>
      <c r="J1184" s="36">
        <f>IFERROR(I1184/$Q1184,0)</f>
        <v>0</v>
      </c>
      <c r="K1184" s="38"/>
      <c r="L1184" s="36">
        <f>IFERROR(K1184/$R1184,0)</f>
        <v>0</v>
      </c>
      <c r="M1184" s="35"/>
      <c r="N1184" s="36">
        <f>IFERROR(M1184/$Q1184,0)</f>
        <v>0</v>
      </c>
      <c r="O1184" s="38"/>
      <c r="P1184" s="36">
        <f>IFERROR(O1184/$R1184,0)</f>
        <v>0</v>
      </c>
      <c r="Q1184" s="35"/>
      <c r="R1184" s="38"/>
    </row>
    <row r="1185" spans="1:18" ht="15.75" customHeight="1" x14ac:dyDescent="0.25">
      <c r="A1185" s="37">
        <v>2016</v>
      </c>
      <c r="B1185" s="35">
        <v>171250</v>
      </c>
      <c r="C1185" s="34" t="s">
        <v>144</v>
      </c>
      <c r="D1185" s="34" t="s">
        <v>76</v>
      </c>
      <c r="E1185" s="35"/>
      <c r="F1185" s="36">
        <f>IFERROR(E1185/$Q1185,0)</f>
        <v>0</v>
      </c>
      <c r="G1185" s="38"/>
      <c r="H1185" s="36">
        <f>IFERROR(G1185/$R1185,0)</f>
        <v>0</v>
      </c>
      <c r="I1185" s="35"/>
      <c r="J1185" s="36">
        <f>IFERROR(I1185/$Q1185,0)</f>
        <v>0</v>
      </c>
      <c r="K1185" s="38"/>
      <c r="L1185" s="36">
        <f>IFERROR(K1185/$R1185,0)</f>
        <v>0</v>
      </c>
      <c r="M1185" s="35"/>
      <c r="N1185" s="36">
        <f>IFERROR(M1185/$Q1185,0)</f>
        <v>0</v>
      </c>
      <c r="O1185" s="38"/>
      <c r="P1185" s="36">
        <f>IFERROR(O1185/$R1185,0)</f>
        <v>0</v>
      </c>
      <c r="Q1185" s="35"/>
      <c r="R1185" s="38"/>
    </row>
    <row r="1186" spans="1:18" ht="15.75" customHeight="1" x14ac:dyDescent="0.25">
      <c r="A1186" s="37">
        <v>2016</v>
      </c>
      <c r="B1186" s="35">
        <v>171270</v>
      </c>
      <c r="C1186" s="34" t="s">
        <v>151</v>
      </c>
      <c r="D1186" s="34" t="s">
        <v>77</v>
      </c>
      <c r="E1186" s="35"/>
      <c r="F1186" s="36">
        <f>IFERROR(E1186/$Q1186,0)</f>
        <v>0</v>
      </c>
      <c r="G1186" s="38"/>
      <c r="H1186" s="36">
        <f>IFERROR(G1186/$R1186,0)</f>
        <v>0</v>
      </c>
      <c r="I1186" s="35"/>
      <c r="J1186" s="36">
        <f>IFERROR(I1186/$Q1186,0)</f>
        <v>0</v>
      </c>
      <c r="K1186" s="38"/>
      <c r="L1186" s="36">
        <f>IFERROR(K1186/$R1186,0)</f>
        <v>0</v>
      </c>
      <c r="M1186" s="35"/>
      <c r="N1186" s="36">
        <f>IFERROR(M1186/$Q1186,0)</f>
        <v>0</v>
      </c>
      <c r="O1186" s="38"/>
      <c r="P1186" s="36">
        <f>IFERROR(O1186/$R1186,0)</f>
        <v>0</v>
      </c>
      <c r="Q1186" s="35"/>
      <c r="R1186" s="38"/>
    </row>
    <row r="1187" spans="1:18" ht="15.75" customHeight="1" x14ac:dyDescent="0.25">
      <c r="A1187" s="37">
        <v>2016</v>
      </c>
      <c r="B1187" s="35">
        <v>171280</v>
      </c>
      <c r="C1187" s="34" t="s">
        <v>145</v>
      </c>
      <c r="D1187" s="34" t="s">
        <v>78</v>
      </c>
      <c r="E1187" s="35"/>
      <c r="F1187" s="36">
        <f>IFERROR(E1187/$Q1187,0)</f>
        <v>0</v>
      </c>
      <c r="G1187" s="38"/>
      <c r="H1187" s="36">
        <f>IFERROR(G1187/$R1187,0)</f>
        <v>0</v>
      </c>
      <c r="I1187" s="35"/>
      <c r="J1187" s="36">
        <f>IFERROR(I1187/$Q1187,0)</f>
        <v>0</v>
      </c>
      <c r="K1187" s="38"/>
      <c r="L1187" s="36">
        <f>IFERROR(K1187/$R1187,0)</f>
        <v>0</v>
      </c>
      <c r="M1187" s="35"/>
      <c r="N1187" s="36">
        <f>IFERROR(M1187/$Q1187,0)</f>
        <v>0</v>
      </c>
      <c r="O1187" s="38"/>
      <c r="P1187" s="36">
        <f>IFERROR(O1187/$R1187,0)</f>
        <v>0</v>
      </c>
      <c r="Q1187" s="35"/>
      <c r="R1187" s="38"/>
    </row>
    <row r="1188" spans="1:18" ht="15.75" customHeight="1" x14ac:dyDescent="0.25">
      <c r="A1188" s="37">
        <v>2016</v>
      </c>
      <c r="B1188" s="35">
        <v>171320</v>
      </c>
      <c r="C1188" s="34" t="s">
        <v>148</v>
      </c>
      <c r="D1188" s="34" t="s">
        <v>79</v>
      </c>
      <c r="E1188" s="35"/>
      <c r="F1188" s="36">
        <f>IFERROR(E1188/$Q1188,0)</f>
        <v>0</v>
      </c>
      <c r="G1188" s="38"/>
      <c r="H1188" s="36">
        <f>IFERROR(G1188/$R1188,0)</f>
        <v>0</v>
      </c>
      <c r="I1188" s="35"/>
      <c r="J1188" s="36">
        <f>IFERROR(I1188/$Q1188,0)</f>
        <v>0</v>
      </c>
      <c r="K1188" s="38"/>
      <c r="L1188" s="36">
        <f>IFERROR(K1188/$R1188,0)</f>
        <v>0</v>
      </c>
      <c r="M1188" s="35"/>
      <c r="N1188" s="36">
        <f>IFERROR(M1188/$Q1188,0)</f>
        <v>0</v>
      </c>
      <c r="O1188" s="38"/>
      <c r="P1188" s="36">
        <f>IFERROR(O1188/$R1188,0)</f>
        <v>0</v>
      </c>
      <c r="Q1188" s="35"/>
      <c r="R1188" s="38"/>
    </row>
    <row r="1189" spans="1:18" ht="15.75" customHeight="1" x14ac:dyDescent="0.25">
      <c r="A1189" s="37">
        <v>2016</v>
      </c>
      <c r="B1189" s="35">
        <v>171330</v>
      </c>
      <c r="C1189" s="34" t="s">
        <v>148</v>
      </c>
      <c r="D1189" s="34" t="s">
        <v>80</v>
      </c>
      <c r="E1189" s="35"/>
      <c r="F1189" s="36">
        <f>IFERROR(E1189/$Q1189,0)</f>
        <v>0</v>
      </c>
      <c r="G1189" s="38"/>
      <c r="H1189" s="36">
        <f>IFERROR(G1189/$R1189,0)</f>
        <v>0</v>
      </c>
      <c r="I1189" s="35"/>
      <c r="J1189" s="36">
        <f>IFERROR(I1189/$Q1189,0)</f>
        <v>0</v>
      </c>
      <c r="K1189" s="38"/>
      <c r="L1189" s="36">
        <f>IFERROR(K1189/$R1189,0)</f>
        <v>0</v>
      </c>
      <c r="M1189" s="35"/>
      <c r="N1189" s="36">
        <f>IFERROR(M1189/$Q1189,0)</f>
        <v>0</v>
      </c>
      <c r="O1189" s="38"/>
      <c r="P1189" s="36">
        <f>IFERROR(O1189/$R1189,0)</f>
        <v>0</v>
      </c>
      <c r="Q1189" s="35"/>
      <c r="R1189" s="38"/>
    </row>
    <row r="1190" spans="1:18" ht="15.75" customHeight="1" x14ac:dyDescent="0.25">
      <c r="A1190" s="37">
        <v>2016</v>
      </c>
      <c r="B1190" s="35">
        <v>171360</v>
      </c>
      <c r="C1190" s="34" t="s">
        <v>151</v>
      </c>
      <c r="D1190" s="34" t="s">
        <v>81</v>
      </c>
      <c r="E1190" s="35"/>
      <c r="F1190" s="36">
        <f>IFERROR(E1190/$Q1190,0)</f>
        <v>0</v>
      </c>
      <c r="G1190" s="38"/>
      <c r="H1190" s="36">
        <f>IFERROR(G1190/$R1190,0)</f>
        <v>0</v>
      </c>
      <c r="I1190" s="35"/>
      <c r="J1190" s="36">
        <f>IFERROR(I1190/$Q1190,0)</f>
        <v>0</v>
      </c>
      <c r="K1190" s="38"/>
      <c r="L1190" s="36">
        <f>IFERROR(K1190/$R1190,0)</f>
        <v>0</v>
      </c>
      <c r="M1190" s="35"/>
      <c r="N1190" s="36">
        <f>IFERROR(M1190/$Q1190,0)</f>
        <v>0</v>
      </c>
      <c r="O1190" s="38"/>
      <c r="P1190" s="36">
        <f>IFERROR(O1190/$R1190,0)</f>
        <v>0</v>
      </c>
      <c r="Q1190" s="35"/>
      <c r="R1190" s="38"/>
    </row>
    <row r="1191" spans="1:18" ht="15.75" customHeight="1" x14ac:dyDescent="0.25">
      <c r="A1191" s="37">
        <v>2016</v>
      </c>
      <c r="B1191" s="35">
        <v>171370</v>
      </c>
      <c r="C1191" s="34" t="s">
        <v>144</v>
      </c>
      <c r="D1191" s="34" t="s">
        <v>82</v>
      </c>
      <c r="E1191" s="35"/>
      <c r="F1191" s="36">
        <f>IFERROR(E1191/$Q1191,0)</f>
        <v>0</v>
      </c>
      <c r="G1191" s="38"/>
      <c r="H1191" s="36">
        <f>IFERROR(G1191/$R1191,0)</f>
        <v>0</v>
      </c>
      <c r="I1191" s="35"/>
      <c r="J1191" s="36">
        <f>IFERROR(I1191/$Q1191,0)</f>
        <v>0</v>
      </c>
      <c r="K1191" s="38"/>
      <c r="L1191" s="36">
        <f>IFERROR(K1191/$R1191,0)</f>
        <v>0</v>
      </c>
      <c r="M1191" s="35"/>
      <c r="N1191" s="36">
        <f>IFERROR(M1191/$Q1191,0)</f>
        <v>0</v>
      </c>
      <c r="O1191" s="38"/>
      <c r="P1191" s="36">
        <f>IFERROR(O1191/$R1191,0)</f>
        <v>0</v>
      </c>
      <c r="Q1191" s="35"/>
      <c r="R1191" s="38"/>
    </row>
    <row r="1192" spans="1:18" ht="15.75" customHeight="1" x14ac:dyDescent="0.25">
      <c r="A1192" s="37">
        <v>2016</v>
      </c>
      <c r="B1192" s="35">
        <v>171395</v>
      </c>
      <c r="C1192" s="34" t="s">
        <v>149</v>
      </c>
      <c r="D1192" s="34" t="s">
        <v>83</v>
      </c>
      <c r="E1192" s="35"/>
      <c r="F1192" s="36">
        <f>IFERROR(E1192/$Q1192,0)</f>
        <v>0</v>
      </c>
      <c r="G1192" s="38"/>
      <c r="H1192" s="36">
        <f>IFERROR(G1192/$R1192,0)</f>
        <v>0</v>
      </c>
      <c r="I1192" s="35"/>
      <c r="J1192" s="36">
        <f>IFERROR(I1192/$Q1192,0)</f>
        <v>0</v>
      </c>
      <c r="K1192" s="38"/>
      <c r="L1192" s="36">
        <f>IFERROR(K1192/$R1192,0)</f>
        <v>0</v>
      </c>
      <c r="M1192" s="35"/>
      <c r="N1192" s="36">
        <f>IFERROR(M1192/$Q1192,0)</f>
        <v>0</v>
      </c>
      <c r="O1192" s="38"/>
      <c r="P1192" s="36">
        <f>IFERROR(O1192/$R1192,0)</f>
        <v>0</v>
      </c>
      <c r="Q1192" s="35"/>
      <c r="R1192" s="38"/>
    </row>
    <row r="1193" spans="1:18" ht="15.75" customHeight="1" x14ac:dyDescent="0.25">
      <c r="A1193" s="37">
        <v>2016</v>
      </c>
      <c r="B1193" s="35">
        <v>171420</v>
      </c>
      <c r="C1193" s="34" t="s">
        <v>151</v>
      </c>
      <c r="D1193" s="34" t="s">
        <v>84</v>
      </c>
      <c r="E1193" s="35"/>
      <c r="F1193" s="36">
        <f>IFERROR(E1193/$Q1193,0)</f>
        <v>0</v>
      </c>
      <c r="G1193" s="38"/>
      <c r="H1193" s="36">
        <f>IFERROR(G1193/$R1193,0)</f>
        <v>0</v>
      </c>
      <c r="I1193" s="35"/>
      <c r="J1193" s="36">
        <f>IFERROR(I1193/$Q1193,0)</f>
        <v>0</v>
      </c>
      <c r="K1193" s="38"/>
      <c r="L1193" s="36">
        <f>IFERROR(K1193/$R1193,0)</f>
        <v>0</v>
      </c>
      <c r="M1193" s="35"/>
      <c r="N1193" s="36">
        <f>IFERROR(M1193/$Q1193,0)</f>
        <v>0</v>
      </c>
      <c r="O1193" s="38"/>
      <c r="P1193" s="36">
        <f>IFERROR(O1193/$R1193,0)</f>
        <v>0</v>
      </c>
      <c r="Q1193" s="35"/>
      <c r="R1193" s="38"/>
    </row>
    <row r="1194" spans="1:18" ht="15.75" customHeight="1" x14ac:dyDescent="0.25">
      <c r="A1194" s="37">
        <v>2016</v>
      </c>
      <c r="B1194" s="35">
        <v>171430</v>
      </c>
      <c r="C1194" s="34" t="s">
        <v>145</v>
      </c>
      <c r="D1194" s="34" t="s">
        <v>85</v>
      </c>
      <c r="E1194" s="35"/>
      <c r="F1194" s="36">
        <f>IFERROR(E1194/$Q1194,0)</f>
        <v>0</v>
      </c>
      <c r="G1194" s="38"/>
      <c r="H1194" s="36">
        <f>IFERROR(G1194/$R1194,0)</f>
        <v>0</v>
      </c>
      <c r="I1194" s="35"/>
      <c r="J1194" s="36">
        <f>IFERROR(I1194/$Q1194,0)</f>
        <v>0</v>
      </c>
      <c r="K1194" s="38"/>
      <c r="L1194" s="36">
        <f>IFERROR(K1194/$R1194,0)</f>
        <v>0</v>
      </c>
      <c r="M1194" s="35"/>
      <c r="N1194" s="36">
        <f>IFERROR(M1194/$Q1194,0)</f>
        <v>0</v>
      </c>
      <c r="O1194" s="38"/>
      <c r="P1194" s="36">
        <f>IFERROR(O1194/$R1194,0)</f>
        <v>0</v>
      </c>
      <c r="Q1194" s="35"/>
      <c r="R1194" s="38"/>
    </row>
    <row r="1195" spans="1:18" ht="15.75" customHeight="1" x14ac:dyDescent="0.25">
      <c r="A1195" s="37">
        <v>2016</v>
      </c>
      <c r="B1195" s="35">
        <v>171488</v>
      </c>
      <c r="C1195" s="34" t="s">
        <v>149</v>
      </c>
      <c r="D1195" s="34" t="s">
        <v>86</v>
      </c>
      <c r="E1195" s="35"/>
      <c r="F1195" s="36">
        <f>IFERROR(E1195/$Q1195,0)</f>
        <v>0</v>
      </c>
      <c r="G1195" s="38"/>
      <c r="H1195" s="36">
        <f>IFERROR(G1195/$R1195,0)</f>
        <v>0</v>
      </c>
      <c r="I1195" s="35"/>
      <c r="J1195" s="36">
        <f>IFERROR(I1195/$Q1195,0)</f>
        <v>0</v>
      </c>
      <c r="K1195" s="38"/>
      <c r="L1195" s="36">
        <f>IFERROR(K1195/$R1195,0)</f>
        <v>0</v>
      </c>
      <c r="M1195" s="35"/>
      <c r="N1195" s="36">
        <f>IFERROR(M1195/$Q1195,0)</f>
        <v>0</v>
      </c>
      <c r="O1195" s="38"/>
      <c r="P1195" s="36">
        <f>IFERROR(O1195/$R1195,0)</f>
        <v>0</v>
      </c>
      <c r="Q1195" s="35"/>
      <c r="R1195" s="38"/>
    </row>
    <row r="1196" spans="1:18" ht="15.75" customHeight="1" x14ac:dyDescent="0.25">
      <c r="A1196" s="37">
        <v>2016</v>
      </c>
      <c r="B1196" s="35">
        <v>171500</v>
      </c>
      <c r="C1196" s="34" t="s">
        <v>144</v>
      </c>
      <c r="D1196" s="34" t="s">
        <v>87</v>
      </c>
      <c r="E1196" s="35"/>
      <c r="F1196" s="36">
        <f>IFERROR(E1196/$Q1196,0)</f>
        <v>0</v>
      </c>
      <c r="G1196" s="38"/>
      <c r="H1196" s="36">
        <f>IFERROR(G1196/$R1196,0)</f>
        <v>0</v>
      </c>
      <c r="I1196" s="35"/>
      <c r="J1196" s="36">
        <f>IFERROR(I1196/$Q1196,0)</f>
        <v>0</v>
      </c>
      <c r="K1196" s="38"/>
      <c r="L1196" s="36">
        <f>IFERROR(K1196/$R1196,0)</f>
        <v>0</v>
      </c>
      <c r="M1196" s="35"/>
      <c r="N1196" s="36">
        <f>IFERROR(M1196/$Q1196,0)</f>
        <v>0</v>
      </c>
      <c r="O1196" s="38"/>
      <c r="P1196" s="36">
        <f>IFERROR(O1196/$R1196,0)</f>
        <v>0</v>
      </c>
      <c r="Q1196" s="35"/>
      <c r="R1196" s="38"/>
    </row>
    <row r="1197" spans="1:18" ht="15.75" customHeight="1" x14ac:dyDescent="0.25">
      <c r="A1197" s="37">
        <v>2016</v>
      </c>
      <c r="B1197" s="35">
        <v>171510</v>
      </c>
      <c r="C1197" s="34" t="s">
        <v>148</v>
      </c>
      <c r="D1197" s="34" t="s">
        <v>88</v>
      </c>
      <c r="E1197" s="35"/>
      <c r="F1197" s="36">
        <f>IFERROR(E1197/$Q1197,0)</f>
        <v>0</v>
      </c>
      <c r="G1197" s="38"/>
      <c r="H1197" s="36">
        <f>IFERROR(G1197/$R1197,0)</f>
        <v>0</v>
      </c>
      <c r="I1197" s="35"/>
      <c r="J1197" s="36">
        <f>IFERROR(I1197/$Q1197,0)</f>
        <v>0</v>
      </c>
      <c r="K1197" s="38"/>
      <c r="L1197" s="36">
        <f>IFERROR(K1197/$R1197,0)</f>
        <v>0</v>
      </c>
      <c r="M1197" s="35"/>
      <c r="N1197" s="36">
        <f>IFERROR(M1197/$Q1197,0)</f>
        <v>0</v>
      </c>
      <c r="O1197" s="38"/>
      <c r="P1197" s="36">
        <f>IFERROR(O1197/$R1197,0)</f>
        <v>0</v>
      </c>
      <c r="Q1197" s="35"/>
      <c r="R1197" s="38"/>
    </row>
    <row r="1198" spans="1:18" ht="15.75" customHeight="1" x14ac:dyDescent="0.25">
      <c r="A1198" s="37">
        <v>2016</v>
      </c>
      <c r="B1198" s="35">
        <v>171515</v>
      </c>
      <c r="C1198" s="34" t="s">
        <v>147</v>
      </c>
      <c r="D1198" s="34" t="s">
        <v>89</v>
      </c>
      <c r="E1198" s="35"/>
      <c r="F1198" s="36">
        <f>IFERROR(E1198/$Q1198,0)</f>
        <v>0</v>
      </c>
      <c r="G1198" s="38"/>
      <c r="H1198" s="36">
        <f>IFERROR(G1198/$R1198,0)</f>
        <v>0</v>
      </c>
      <c r="I1198" s="35"/>
      <c r="J1198" s="36">
        <f>IFERROR(I1198/$Q1198,0)</f>
        <v>0</v>
      </c>
      <c r="K1198" s="38"/>
      <c r="L1198" s="36">
        <f>IFERROR(K1198/$R1198,0)</f>
        <v>0</v>
      </c>
      <c r="M1198" s="35"/>
      <c r="N1198" s="36">
        <f>IFERROR(M1198/$Q1198,0)</f>
        <v>0</v>
      </c>
      <c r="O1198" s="38"/>
      <c r="P1198" s="36">
        <f>IFERROR(O1198/$R1198,0)</f>
        <v>0</v>
      </c>
      <c r="Q1198" s="35"/>
      <c r="R1198" s="38"/>
    </row>
    <row r="1199" spans="1:18" ht="15.75" customHeight="1" x14ac:dyDescent="0.25">
      <c r="A1199" s="37">
        <v>2016</v>
      </c>
      <c r="B1199" s="35">
        <v>171525</v>
      </c>
      <c r="C1199" s="34" t="s">
        <v>147</v>
      </c>
      <c r="D1199" s="34" t="s">
        <v>90</v>
      </c>
      <c r="E1199" s="35"/>
      <c r="F1199" s="36">
        <f>IFERROR(E1199/$Q1199,0)</f>
        <v>0</v>
      </c>
      <c r="G1199" s="38"/>
      <c r="H1199" s="36">
        <f>IFERROR(G1199/$R1199,0)</f>
        <v>0</v>
      </c>
      <c r="I1199" s="35"/>
      <c r="J1199" s="36">
        <f>IFERROR(I1199/$Q1199,0)</f>
        <v>0</v>
      </c>
      <c r="K1199" s="38"/>
      <c r="L1199" s="36">
        <f>IFERROR(K1199/$R1199,0)</f>
        <v>0</v>
      </c>
      <c r="M1199" s="35"/>
      <c r="N1199" s="36">
        <f>IFERROR(M1199/$Q1199,0)</f>
        <v>0</v>
      </c>
      <c r="O1199" s="38"/>
      <c r="P1199" s="36">
        <f>IFERROR(O1199/$R1199,0)</f>
        <v>0</v>
      </c>
      <c r="Q1199" s="35"/>
      <c r="R1199" s="38"/>
    </row>
    <row r="1200" spans="1:18" ht="15.75" customHeight="1" x14ac:dyDescent="0.25">
      <c r="A1200" s="37">
        <v>2016</v>
      </c>
      <c r="B1200" s="35">
        <v>171550</v>
      </c>
      <c r="C1200" s="34" t="s">
        <v>151</v>
      </c>
      <c r="D1200" s="34" t="s">
        <v>91</v>
      </c>
      <c r="E1200" s="35"/>
      <c r="F1200" s="36">
        <f>IFERROR(E1200/$Q1200,0)</f>
        <v>0</v>
      </c>
      <c r="G1200" s="38"/>
      <c r="H1200" s="36">
        <f>IFERROR(G1200/$R1200,0)</f>
        <v>0</v>
      </c>
      <c r="I1200" s="35"/>
      <c r="J1200" s="36">
        <f>IFERROR(I1200/$Q1200,0)</f>
        <v>0</v>
      </c>
      <c r="K1200" s="38"/>
      <c r="L1200" s="36">
        <f>IFERROR(K1200/$R1200,0)</f>
        <v>0</v>
      </c>
      <c r="M1200" s="35"/>
      <c r="N1200" s="36">
        <f>IFERROR(M1200/$Q1200,0)</f>
        <v>0</v>
      </c>
      <c r="O1200" s="38"/>
      <c r="P1200" s="36">
        <f>IFERROR(O1200/$R1200,0)</f>
        <v>0</v>
      </c>
      <c r="Q1200" s="35"/>
      <c r="R1200" s="38"/>
    </row>
    <row r="1201" spans="1:18" ht="15.75" customHeight="1" x14ac:dyDescent="0.25">
      <c r="A1201" s="37">
        <v>2016</v>
      </c>
      <c r="B1201" s="35">
        <v>172100</v>
      </c>
      <c r="C1201" s="34" t="s">
        <v>148</v>
      </c>
      <c r="D1201" s="34" t="s">
        <v>92</v>
      </c>
      <c r="E1201" s="35"/>
      <c r="F1201" s="36">
        <f>IFERROR(E1201/$Q1201,0)</f>
        <v>0</v>
      </c>
      <c r="G1201" s="38"/>
      <c r="H1201" s="36">
        <f>IFERROR(G1201/$R1201,0)</f>
        <v>0</v>
      </c>
      <c r="I1201" s="35"/>
      <c r="J1201" s="36">
        <f>IFERROR(I1201/$Q1201,0)</f>
        <v>0</v>
      </c>
      <c r="K1201" s="38"/>
      <c r="L1201" s="36">
        <f>IFERROR(K1201/$R1201,0)</f>
        <v>0</v>
      </c>
      <c r="M1201" s="35"/>
      <c r="N1201" s="36">
        <f>IFERROR(M1201/$Q1201,0)</f>
        <v>0</v>
      </c>
      <c r="O1201" s="39"/>
      <c r="P1201" s="36">
        <f>IFERROR(O1201/$R1201,0)</f>
        <v>0</v>
      </c>
      <c r="Q1201" s="35"/>
      <c r="R1201" s="39"/>
    </row>
    <row r="1202" spans="1:18" ht="15.75" customHeight="1" x14ac:dyDescent="0.25">
      <c r="A1202" s="37">
        <v>2016</v>
      </c>
      <c r="B1202" s="35">
        <v>171570</v>
      </c>
      <c r="C1202" s="34" t="s">
        <v>150</v>
      </c>
      <c r="D1202" s="34" t="s">
        <v>93</v>
      </c>
      <c r="E1202" s="35"/>
      <c r="F1202" s="36">
        <f>IFERROR(E1202/$Q1202,0)</f>
        <v>0</v>
      </c>
      <c r="G1202" s="38"/>
      <c r="H1202" s="36">
        <f>IFERROR(G1202/$R1202,0)</f>
        <v>0</v>
      </c>
      <c r="I1202" s="35"/>
      <c r="J1202" s="36">
        <f>IFERROR(I1202/$Q1202,0)</f>
        <v>0</v>
      </c>
      <c r="K1202" s="38"/>
      <c r="L1202" s="36">
        <f>IFERROR(K1202/$R1202,0)</f>
        <v>0</v>
      </c>
      <c r="M1202" s="35"/>
      <c r="N1202" s="36">
        <f>IFERROR(M1202/$Q1202,0)</f>
        <v>0</v>
      </c>
      <c r="O1202" s="38"/>
      <c r="P1202" s="36">
        <f>IFERROR(O1202/$R1202,0)</f>
        <v>0</v>
      </c>
      <c r="Q1202" s="35"/>
      <c r="R1202" s="38"/>
    </row>
    <row r="1203" spans="1:18" ht="15.75" customHeight="1" x14ac:dyDescent="0.25">
      <c r="A1203" s="37">
        <v>2016</v>
      </c>
      <c r="B1203" s="35">
        <v>171380</v>
      </c>
      <c r="C1203" s="34" t="s">
        <v>145</v>
      </c>
      <c r="D1203" s="34" t="s">
        <v>94</v>
      </c>
      <c r="E1203" s="35"/>
      <c r="F1203" s="36">
        <f>IFERROR(E1203/$Q1203,0)</f>
        <v>0</v>
      </c>
      <c r="G1203" s="38"/>
      <c r="H1203" s="36">
        <f>IFERROR(G1203/$R1203,0)</f>
        <v>0</v>
      </c>
      <c r="I1203" s="35"/>
      <c r="J1203" s="36">
        <f>IFERROR(I1203/$Q1203,0)</f>
        <v>0</v>
      </c>
      <c r="K1203" s="38"/>
      <c r="L1203" s="36">
        <f>IFERROR(K1203/$R1203,0)</f>
        <v>0</v>
      </c>
      <c r="M1203" s="35"/>
      <c r="N1203" s="36">
        <f>IFERROR(M1203/$Q1203,0)</f>
        <v>0</v>
      </c>
      <c r="O1203" s="38"/>
      <c r="P1203" s="36">
        <f>IFERROR(O1203/$R1203,0)</f>
        <v>0</v>
      </c>
      <c r="Q1203" s="35"/>
      <c r="R1203" s="38"/>
    </row>
    <row r="1204" spans="1:18" ht="15.75" customHeight="1" x14ac:dyDescent="0.25">
      <c r="A1204" s="37">
        <v>2016</v>
      </c>
      <c r="B1204" s="35">
        <v>171575</v>
      </c>
      <c r="C1204" s="34" t="s">
        <v>146</v>
      </c>
      <c r="D1204" s="34" t="s">
        <v>95</v>
      </c>
      <c r="E1204" s="35"/>
      <c r="F1204" s="36">
        <f>IFERROR(E1204/$Q1204,0)</f>
        <v>0</v>
      </c>
      <c r="G1204" s="38"/>
      <c r="H1204" s="36">
        <f>IFERROR(G1204/$R1204,0)</f>
        <v>0</v>
      </c>
      <c r="I1204" s="35"/>
      <c r="J1204" s="36">
        <f>IFERROR(I1204/$Q1204,0)</f>
        <v>0</v>
      </c>
      <c r="K1204" s="38"/>
      <c r="L1204" s="36">
        <f>IFERROR(K1204/$R1204,0)</f>
        <v>0</v>
      </c>
      <c r="M1204" s="35"/>
      <c r="N1204" s="36">
        <f>IFERROR(M1204/$Q1204,0)</f>
        <v>0</v>
      </c>
      <c r="O1204" s="38"/>
      <c r="P1204" s="36">
        <f>IFERROR(O1204/$R1204,0)</f>
        <v>0</v>
      </c>
      <c r="Q1204" s="35"/>
      <c r="R1204" s="38"/>
    </row>
    <row r="1205" spans="1:18" ht="15.75" customHeight="1" x14ac:dyDescent="0.25">
      <c r="A1205" s="37">
        <v>2016</v>
      </c>
      <c r="B1205" s="35">
        <v>171610</v>
      </c>
      <c r="C1205" s="34" t="s">
        <v>144</v>
      </c>
      <c r="D1205" s="34" t="s">
        <v>96</v>
      </c>
      <c r="E1205" s="35"/>
      <c r="F1205" s="36">
        <f>IFERROR(E1205/$Q1205,0)</f>
        <v>0</v>
      </c>
      <c r="G1205" s="38"/>
      <c r="H1205" s="36">
        <f>IFERROR(G1205/$R1205,0)</f>
        <v>0</v>
      </c>
      <c r="I1205" s="35"/>
      <c r="J1205" s="36">
        <f>IFERROR(I1205/$Q1205,0)</f>
        <v>0</v>
      </c>
      <c r="K1205" s="38"/>
      <c r="L1205" s="36">
        <f>IFERROR(K1205/$R1205,0)</f>
        <v>0</v>
      </c>
      <c r="M1205" s="35"/>
      <c r="N1205" s="36">
        <f>IFERROR(M1205/$Q1205,0)</f>
        <v>0</v>
      </c>
      <c r="O1205" s="38"/>
      <c r="P1205" s="36">
        <f>IFERROR(O1205/$R1205,0)</f>
        <v>0</v>
      </c>
      <c r="Q1205" s="35"/>
      <c r="R1205" s="38"/>
    </row>
    <row r="1206" spans="1:18" ht="15.75" customHeight="1" x14ac:dyDescent="0.25">
      <c r="A1206" s="37">
        <v>2016</v>
      </c>
      <c r="B1206" s="35">
        <v>171620</v>
      </c>
      <c r="C1206" s="34" t="s">
        <v>147</v>
      </c>
      <c r="D1206" s="34" t="s">
        <v>97</v>
      </c>
      <c r="E1206" s="35"/>
      <c r="F1206" s="36">
        <f>IFERROR(E1206/$Q1206,0)</f>
        <v>0</v>
      </c>
      <c r="G1206" s="38"/>
      <c r="H1206" s="36">
        <f>IFERROR(G1206/$R1206,0)</f>
        <v>0</v>
      </c>
      <c r="I1206" s="35"/>
      <c r="J1206" s="36">
        <f>IFERROR(I1206/$Q1206,0)</f>
        <v>0</v>
      </c>
      <c r="K1206" s="38"/>
      <c r="L1206" s="36">
        <f>IFERROR(K1206/$R1206,0)</f>
        <v>0</v>
      </c>
      <c r="M1206" s="35"/>
      <c r="N1206" s="36">
        <f>IFERROR(M1206/$Q1206,0)</f>
        <v>0</v>
      </c>
      <c r="O1206" s="38"/>
      <c r="P1206" s="36">
        <f>IFERROR(O1206/$R1206,0)</f>
        <v>0</v>
      </c>
      <c r="Q1206" s="35"/>
      <c r="R1206" s="38"/>
    </row>
    <row r="1207" spans="1:18" ht="15.75" customHeight="1" x14ac:dyDescent="0.25">
      <c r="A1207" s="37">
        <v>2016</v>
      </c>
      <c r="B1207" s="35">
        <v>171630</v>
      </c>
      <c r="C1207" s="34" t="s">
        <v>149</v>
      </c>
      <c r="D1207" s="34" t="s">
        <v>98</v>
      </c>
      <c r="E1207" s="35"/>
      <c r="F1207" s="36">
        <f>IFERROR(E1207/$Q1207,0)</f>
        <v>0</v>
      </c>
      <c r="G1207" s="38"/>
      <c r="H1207" s="36">
        <f>IFERROR(G1207/$R1207,0)</f>
        <v>0</v>
      </c>
      <c r="I1207" s="35"/>
      <c r="J1207" s="36">
        <f>IFERROR(I1207/$Q1207,0)</f>
        <v>0</v>
      </c>
      <c r="K1207" s="38"/>
      <c r="L1207" s="36">
        <f>IFERROR(K1207/$R1207,0)</f>
        <v>0</v>
      </c>
      <c r="M1207" s="35"/>
      <c r="N1207" s="36">
        <f>IFERROR(M1207/$Q1207,0)</f>
        <v>0</v>
      </c>
      <c r="O1207" s="38"/>
      <c r="P1207" s="36">
        <f>IFERROR(O1207/$R1207,0)</f>
        <v>0</v>
      </c>
      <c r="Q1207" s="35"/>
      <c r="R1207" s="38"/>
    </row>
    <row r="1208" spans="1:18" ht="15.75" customHeight="1" x14ac:dyDescent="0.25">
      <c r="A1208" s="37">
        <v>2016</v>
      </c>
      <c r="B1208" s="35">
        <v>171650</v>
      </c>
      <c r="C1208" s="34" t="s">
        <v>150</v>
      </c>
      <c r="D1208" s="34" t="s">
        <v>99</v>
      </c>
      <c r="E1208" s="35"/>
      <c r="F1208" s="36">
        <f>IFERROR(E1208/$Q1208,0)</f>
        <v>0</v>
      </c>
      <c r="G1208" s="38"/>
      <c r="H1208" s="36">
        <f>IFERROR(G1208/$R1208,0)</f>
        <v>0</v>
      </c>
      <c r="I1208" s="35"/>
      <c r="J1208" s="36">
        <f>IFERROR(I1208/$Q1208,0)</f>
        <v>0</v>
      </c>
      <c r="K1208" s="38"/>
      <c r="L1208" s="36">
        <f>IFERROR(K1208/$R1208,0)</f>
        <v>0</v>
      </c>
      <c r="M1208" s="35"/>
      <c r="N1208" s="36">
        <f>IFERROR(M1208/$Q1208,0)</f>
        <v>0</v>
      </c>
      <c r="O1208" s="38"/>
      <c r="P1208" s="36">
        <f>IFERROR(O1208/$R1208,0)</f>
        <v>0</v>
      </c>
      <c r="Q1208" s="35"/>
      <c r="R1208" s="38"/>
    </row>
    <row r="1209" spans="1:18" ht="15.75" customHeight="1" x14ac:dyDescent="0.25">
      <c r="A1209" s="37">
        <v>2016</v>
      </c>
      <c r="B1209" s="35">
        <v>171660</v>
      </c>
      <c r="C1209" s="34" t="s">
        <v>146</v>
      </c>
      <c r="D1209" s="34" t="s">
        <v>100</v>
      </c>
      <c r="E1209" s="35"/>
      <c r="F1209" s="36">
        <f>IFERROR(E1209/$Q1209,0)</f>
        <v>0</v>
      </c>
      <c r="G1209" s="38"/>
      <c r="H1209" s="36">
        <f>IFERROR(G1209/$R1209,0)</f>
        <v>0</v>
      </c>
      <c r="I1209" s="35"/>
      <c r="J1209" s="36">
        <f>IFERROR(I1209/$Q1209,0)</f>
        <v>0</v>
      </c>
      <c r="K1209" s="38"/>
      <c r="L1209" s="36">
        <f>IFERROR(K1209/$R1209,0)</f>
        <v>0</v>
      </c>
      <c r="M1209" s="35"/>
      <c r="N1209" s="36">
        <f>IFERROR(M1209/$Q1209,0)</f>
        <v>0</v>
      </c>
      <c r="O1209" s="38"/>
      <c r="P1209" s="36">
        <f>IFERROR(O1209/$R1209,0)</f>
        <v>0</v>
      </c>
      <c r="Q1209" s="35"/>
      <c r="R1209" s="38"/>
    </row>
    <row r="1210" spans="1:18" ht="15.75" customHeight="1" x14ac:dyDescent="0.25">
      <c r="A1210" s="37">
        <v>2016</v>
      </c>
      <c r="B1210" s="35">
        <v>171665</v>
      </c>
      <c r="C1210" s="34" t="s">
        <v>150</v>
      </c>
      <c r="D1210" s="34" t="s">
        <v>101</v>
      </c>
      <c r="E1210" s="35"/>
      <c r="F1210" s="36">
        <f>IFERROR(E1210/$Q1210,0)</f>
        <v>0</v>
      </c>
      <c r="G1210" s="38"/>
      <c r="H1210" s="36">
        <f>IFERROR(G1210/$R1210,0)</f>
        <v>0</v>
      </c>
      <c r="I1210" s="35"/>
      <c r="J1210" s="36">
        <f>IFERROR(I1210/$Q1210,0)</f>
        <v>0</v>
      </c>
      <c r="K1210" s="38"/>
      <c r="L1210" s="36">
        <f>IFERROR(K1210/$R1210,0)</f>
        <v>0</v>
      </c>
      <c r="M1210" s="35"/>
      <c r="N1210" s="36">
        <f>IFERROR(M1210/$Q1210,0)</f>
        <v>0</v>
      </c>
      <c r="O1210" s="38"/>
      <c r="P1210" s="36">
        <f>IFERROR(O1210/$R1210,0)</f>
        <v>0</v>
      </c>
      <c r="Q1210" s="35"/>
      <c r="R1210" s="38"/>
    </row>
    <row r="1211" spans="1:18" ht="15.75" customHeight="1" x14ac:dyDescent="0.25">
      <c r="A1211" s="37">
        <v>2016</v>
      </c>
      <c r="B1211" s="35">
        <v>171700</v>
      </c>
      <c r="C1211" s="34" t="s">
        <v>151</v>
      </c>
      <c r="D1211" s="34" t="s">
        <v>102</v>
      </c>
      <c r="E1211" s="35"/>
      <c r="F1211" s="36">
        <f>IFERROR(E1211/$Q1211,0)</f>
        <v>0</v>
      </c>
      <c r="G1211" s="38"/>
      <c r="H1211" s="36">
        <f>IFERROR(G1211/$R1211,0)</f>
        <v>0</v>
      </c>
      <c r="I1211" s="35"/>
      <c r="J1211" s="36">
        <f>IFERROR(I1211/$Q1211,0)</f>
        <v>0</v>
      </c>
      <c r="K1211" s="38"/>
      <c r="L1211" s="36">
        <f>IFERROR(K1211/$R1211,0)</f>
        <v>0</v>
      </c>
      <c r="M1211" s="35"/>
      <c r="N1211" s="36">
        <f>IFERROR(M1211/$Q1211,0)</f>
        <v>0</v>
      </c>
      <c r="O1211" s="38"/>
      <c r="P1211" s="36">
        <f>IFERROR(O1211/$R1211,0)</f>
        <v>0</v>
      </c>
      <c r="Q1211" s="35"/>
      <c r="R1211" s="38"/>
    </row>
    <row r="1212" spans="1:18" ht="15.75" customHeight="1" x14ac:dyDescent="0.25">
      <c r="A1212" s="37">
        <v>2016</v>
      </c>
      <c r="B1212" s="35">
        <v>171720</v>
      </c>
      <c r="C1212" s="34" t="s">
        <v>149</v>
      </c>
      <c r="D1212" s="34" t="s">
        <v>103</v>
      </c>
      <c r="E1212" s="35"/>
      <c r="F1212" s="36">
        <f>IFERROR(E1212/$Q1212,0)</f>
        <v>0</v>
      </c>
      <c r="G1212" s="38"/>
      <c r="H1212" s="36">
        <f>IFERROR(G1212/$R1212,0)</f>
        <v>0</v>
      </c>
      <c r="I1212" s="35"/>
      <c r="J1212" s="36">
        <f>IFERROR(I1212/$Q1212,0)</f>
        <v>0</v>
      </c>
      <c r="K1212" s="38"/>
      <c r="L1212" s="36">
        <f>IFERROR(K1212/$R1212,0)</f>
        <v>0</v>
      </c>
      <c r="M1212" s="35"/>
      <c r="N1212" s="36">
        <f>IFERROR(M1212/$Q1212,0)</f>
        <v>0</v>
      </c>
      <c r="O1212" s="38"/>
      <c r="P1212" s="36">
        <f>IFERROR(O1212/$R1212,0)</f>
        <v>0</v>
      </c>
      <c r="Q1212" s="35"/>
      <c r="R1212" s="38"/>
    </row>
    <row r="1213" spans="1:18" ht="15.75" customHeight="1" x14ac:dyDescent="0.25">
      <c r="A1213" s="37">
        <v>2016</v>
      </c>
      <c r="B1213" s="35">
        <v>171750</v>
      </c>
      <c r="C1213" s="34" t="s">
        <v>144</v>
      </c>
      <c r="D1213" s="34" t="s">
        <v>104</v>
      </c>
      <c r="E1213" s="35"/>
      <c r="F1213" s="36">
        <f>IFERROR(E1213/$Q1213,0)</f>
        <v>0</v>
      </c>
      <c r="G1213" s="38"/>
      <c r="H1213" s="36">
        <f>IFERROR(G1213/$R1213,0)</f>
        <v>0</v>
      </c>
      <c r="I1213" s="35"/>
      <c r="J1213" s="36">
        <f>IFERROR(I1213/$Q1213,0)</f>
        <v>0</v>
      </c>
      <c r="K1213" s="38"/>
      <c r="L1213" s="36">
        <f>IFERROR(K1213/$R1213,0)</f>
        <v>0</v>
      </c>
      <c r="M1213" s="35"/>
      <c r="N1213" s="36">
        <f>IFERROR(M1213/$Q1213,0)</f>
        <v>0</v>
      </c>
      <c r="O1213" s="38"/>
      <c r="P1213" s="36">
        <f>IFERROR(O1213/$R1213,0)</f>
        <v>0</v>
      </c>
      <c r="Q1213" s="35"/>
      <c r="R1213" s="38"/>
    </row>
    <row r="1214" spans="1:18" ht="15.75" customHeight="1" x14ac:dyDescent="0.25">
      <c r="A1214" s="37">
        <v>2016</v>
      </c>
      <c r="B1214" s="35">
        <v>171780</v>
      </c>
      <c r="C1214" s="34" t="s">
        <v>147</v>
      </c>
      <c r="D1214" s="34" t="s">
        <v>105</v>
      </c>
      <c r="E1214" s="35"/>
      <c r="F1214" s="36">
        <f>IFERROR(E1214/$Q1214,0)</f>
        <v>0</v>
      </c>
      <c r="G1214" s="38"/>
      <c r="H1214" s="36">
        <f>IFERROR(G1214/$R1214,0)</f>
        <v>0</v>
      </c>
      <c r="I1214" s="35"/>
      <c r="J1214" s="36">
        <f>IFERROR(I1214/$Q1214,0)</f>
        <v>0</v>
      </c>
      <c r="K1214" s="38"/>
      <c r="L1214" s="36">
        <f>IFERROR(K1214/$R1214,0)</f>
        <v>0</v>
      </c>
      <c r="M1214" s="35"/>
      <c r="N1214" s="36">
        <f>IFERROR(M1214/$Q1214,0)</f>
        <v>0</v>
      </c>
      <c r="O1214" s="38"/>
      <c r="P1214" s="36">
        <f>IFERROR(O1214/$R1214,0)</f>
        <v>0</v>
      </c>
      <c r="Q1214" s="35"/>
      <c r="R1214" s="38"/>
    </row>
    <row r="1215" spans="1:18" ht="15.75" customHeight="1" x14ac:dyDescent="0.25">
      <c r="A1215" s="37">
        <v>2016</v>
      </c>
      <c r="B1215" s="35">
        <v>171790</v>
      </c>
      <c r="C1215" s="34" t="s">
        <v>151</v>
      </c>
      <c r="D1215" s="34" t="s">
        <v>106</v>
      </c>
      <c r="E1215" s="35"/>
      <c r="F1215" s="36">
        <f>IFERROR(E1215/$Q1215,0)</f>
        <v>0</v>
      </c>
      <c r="G1215" s="38"/>
      <c r="H1215" s="36">
        <f>IFERROR(G1215/$R1215,0)</f>
        <v>0</v>
      </c>
      <c r="I1215" s="35"/>
      <c r="J1215" s="36">
        <f>IFERROR(I1215/$Q1215,0)</f>
        <v>0</v>
      </c>
      <c r="K1215" s="38"/>
      <c r="L1215" s="36">
        <f>IFERROR(K1215/$R1215,0)</f>
        <v>0</v>
      </c>
      <c r="M1215" s="35"/>
      <c r="N1215" s="36">
        <f>IFERROR(M1215/$Q1215,0)</f>
        <v>0</v>
      </c>
      <c r="O1215" s="38"/>
      <c r="P1215" s="36">
        <f>IFERROR(O1215/$R1215,0)</f>
        <v>0</v>
      </c>
      <c r="Q1215" s="35"/>
      <c r="R1215" s="38"/>
    </row>
    <row r="1216" spans="1:18" ht="15.75" customHeight="1" x14ac:dyDescent="0.25">
      <c r="A1216" s="37">
        <v>2016</v>
      </c>
      <c r="B1216" s="35">
        <v>171800</v>
      </c>
      <c r="C1216" s="34" t="s">
        <v>147</v>
      </c>
      <c r="D1216" s="34" t="s">
        <v>107</v>
      </c>
      <c r="E1216" s="35"/>
      <c r="F1216" s="36">
        <f>IFERROR(E1216/$Q1216,0)</f>
        <v>0</v>
      </c>
      <c r="G1216" s="38"/>
      <c r="H1216" s="36">
        <f>IFERROR(G1216/$R1216,0)</f>
        <v>0</v>
      </c>
      <c r="I1216" s="35"/>
      <c r="J1216" s="36">
        <f>IFERROR(I1216/$Q1216,0)</f>
        <v>0</v>
      </c>
      <c r="K1216" s="38"/>
      <c r="L1216" s="36">
        <f>IFERROR(K1216/$R1216,0)</f>
        <v>0</v>
      </c>
      <c r="M1216" s="35"/>
      <c r="N1216" s="36">
        <f>IFERROR(M1216/$Q1216,0)</f>
        <v>0</v>
      </c>
      <c r="O1216" s="38"/>
      <c r="P1216" s="36">
        <f>IFERROR(O1216/$R1216,0)</f>
        <v>0</v>
      </c>
      <c r="Q1216" s="35"/>
      <c r="R1216" s="38"/>
    </row>
    <row r="1217" spans="1:18" ht="15.75" customHeight="1" x14ac:dyDescent="0.25">
      <c r="A1217" s="37">
        <v>2016</v>
      </c>
      <c r="B1217" s="35">
        <v>171820</v>
      </c>
      <c r="C1217" s="34" t="s">
        <v>151</v>
      </c>
      <c r="D1217" s="34" t="s">
        <v>108</v>
      </c>
      <c r="E1217" s="35"/>
      <c r="F1217" s="36">
        <f>IFERROR(E1217/$Q1217,0)</f>
        <v>0</v>
      </c>
      <c r="G1217" s="38"/>
      <c r="H1217" s="36">
        <f>IFERROR(G1217/$R1217,0)</f>
        <v>0</v>
      </c>
      <c r="I1217" s="35"/>
      <c r="J1217" s="36">
        <f>IFERROR(I1217/$Q1217,0)</f>
        <v>0</v>
      </c>
      <c r="K1217" s="38"/>
      <c r="L1217" s="36">
        <f>IFERROR(K1217/$R1217,0)</f>
        <v>0</v>
      </c>
      <c r="M1217" s="35"/>
      <c r="N1217" s="36">
        <f>IFERROR(M1217/$Q1217,0)</f>
        <v>0</v>
      </c>
      <c r="O1217" s="38"/>
      <c r="P1217" s="36">
        <f>IFERROR(O1217/$R1217,0)</f>
        <v>0</v>
      </c>
      <c r="Q1217" s="35"/>
      <c r="R1217" s="38"/>
    </row>
    <row r="1218" spans="1:18" ht="15.75" customHeight="1" x14ac:dyDescent="0.25">
      <c r="A1218" s="37">
        <v>2016</v>
      </c>
      <c r="B1218" s="35">
        <v>171830</v>
      </c>
      <c r="C1218" s="34" t="s">
        <v>145</v>
      </c>
      <c r="D1218" s="34" t="s">
        <v>109</v>
      </c>
      <c r="E1218" s="35"/>
      <c r="F1218" s="36">
        <f>IFERROR(E1218/$Q1218,0)</f>
        <v>0</v>
      </c>
      <c r="G1218" s="38"/>
      <c r="H1218" s="36">
        <f>IFERROR(G1218/$R1218,0)</f>
        <v>0</v>
      </c>
      <c r="I1218" s="35"/>
      <c r="J1218" s="36">
        <f>IFERROR(I1218/$Q1218,0)</f>
        <v>0</v>
      </c>
      <c r="K1218" s="38"/>
      <c r="L1218" s="36">
        <f>IFERROR(K1218/$R1218,0)</f>
        <v>0</v>
      </c>
      <c r="M1218" s="35"/>
      <c r="N1218" s="36">
        <f>IFERROR(M1218/$Q1218,0)</f>
        <v>0</v>
      </c>
      <c r="O1218" s="38"/>
      <c r="P1218" s="36">
        <f>IFERROR(O1218/$R1218,0)</f>
        <v>0</v>
      </c>
      <c r="Q1218" s="35"/>
      <c r="R1218" s="38"/>
    </row>
    <row r="1219" spans="1:18" ht="15.75" customHeight="1" x14ac:dyDescent="0.25">
      <c r="A1219" s="37">
        <v>2016</v>
      </c>
      <c r="B1219" s="35">
        <v>171840</v>
      </c>
      <c r="C1219" s="34" t="s">
        <v>150</v>
      </c>
      <c r="D1219" s="34" t="s">
        <v>110</v>
      </c>
      <c r="E1219" s="35"/>
      <c r="F1219" s="36">
        <f>IFERROR(E1219/$Q1219,0)</f>
        <v>0</v>
      </c>
      <c r="G1219" s="38"/>
      <c r="H1219" s="36">
        <f>IFERROR(G1219/$R1219,0)</f>
        <v>0</v>
      </c>
      <c r="I1219" s="35"/>
      <c r="J1219" s="36">
        <f>IFERROR(I1219/$Q1219,0)</f>
        <v>0</v>
      </c>
      <c r="K1219" s="38"/>
      <c r="L1219" s="36">
        <f>IFERROR(K1219/$R1219,0)</f>
        <v>0</v>
      </c>
      <c r="M1219" s="35"/>
      <c r="N1219" s="36">
        <f>IFERROR(M1219/$Q1219,0)</f>
        <v>0</v>
      </c>
      <c r="O1219" s="38"/>
      <c r="P1219" s="36">
        <f>IFERROR(O1219/$R1219,0)</f>
        <v>0</v>
      </c>
      <c r="Q1219" s="35"/>
      <c r="R1219" s="38"/>
    </row>
    <row r="1220" spans="1:18" ht="15.75" customHeight="1" x14ac:dyDescent="0.25">
      <c r="A1220" s="37">
        <v>2016</v>
      </c>
      <c r="B1220" s="35">
        <v>171845</v>
      </c>
      <c r="C1220" s="34" t="s">
        <v>144</v>
      </c>
      <c r="D1220" s="34" t="s">
        <v>111</v>
      </c>
      <c r="E1220" s="35"/>
      <c r="F1220" s="36">
        <f>IFERROR(E1220/$Q1220,0)</f>
        <v>0</v>
      </c>
      <c r="G1220" s="38"/>
      <c r="H1220" s="36">
        <f>IFERROR(G1220/$R1220,0)</f>
        <v>0</v>
      </c>
      <c r="I1220" s="35"/>
      <c r="J1220" s="36">
        <f>IFERROR(I1220/$Q1220,0)</f>
        <v>0</v>
      </c>
      <c r="K1220" s="38"/>
      <c r="L1220" s="36">
        <f>IFERROR(K1220/$R1220,0)</f>
        <v>0</v>
      </c>
      <c r="M1220" s="35"/>
      <c r="N1220" s="36">
        <f>IFERROR(M1220/$Q1220,0)</f>
        <v>0</v>
      </c>
      <c r="O1220" s="38"/>
      <c r="P1220" s="36">
        <f>IFERROR(O1220/$R1220,0)</f>
        <v>0</v>
      </c>
      <c r="Q1220" s="35"/>
      <c r="R1220" s="38"/>
    </row>
    <row r="1221" spans="1:18" ht="15.75" customHeight="1" x14ac:dyDescent="0.25">
      <c r="A1221" s="37">
        <v>2016</v>
      </c>
      <c r="B1221" s="35">
        <v>171850</v>
      </c>
      <c r="C1221" s="34" t="s">
        <v>150</v>
      </c>
      <c r="D1221" s="34" t="s">
        <v>112</v>
      </c>
      <c r="E1221" s="35"/>
      <c r="F1221" s="36">
        <f>IFERROR(E1221/$Q1221,0)</f>
        <v>0</v>
      </c>
      <c r="G1221" s="38"/>
      <c r="H1221" s="36">
        <f>IFERROR(G1221/$R1221,0)</f>
        <v>0</v>
      </c>
      <c r="I1221" s="35"/>
      <c r="J1221" s="36">
        <f>IFERROR(I1221/$Q1221,0)</f>
        <v>0</v>
      </c>
      <c r="K1221" s="38"/>
      <c r="L1221" s="36">
        <f>IFERROR(K1221/$R1221,0)</f>
        <v>0</v>
      </c>
      <c r="M1221" s="35"/>
      <c r="N1221" s="36">
        <f>IFERROR(M1221/$Q1221,0)</f>
        <v>0</v>
      </c>
      <c r="O1221" s="38"/>
      <c r="P1221" s="36">
        <f>IFERROR(O1221/$R1221,0)</f>
        <v>0</v>
      </c>
      <c r="Q1221" s="35"/>
      <c r="R1221" s="38"/>
    </row>
    <row r="1222" spans="1:18" ht="15.75" customHeight="1" x14ac:dyDescent="0.25">
      <c r="A1222" s="37">
        <v>2016</v>
      </c>
      <c r="B1222" s="35">
        <v>171855</v>
      </c>
      <c r="C1222" s="34" t="s">
        <v>145</v>
      </c>
      <c r="D1222" s="34" t="s">
        <v>113</v>
      </c>
      <c r="E1222" s="35"/>
      <c r="F1222" s="36">
        <f>IFERROR(E1222/$Q1222,0)</f>
        <v>0</v>
      </c>
      <c r="G1222" s="38"/>
      <c r="H1222" s="36">
        <f>IFERROR(G1222/$R1222,0)</f>
        <v>0</v>
      </c>
      <c r="I1222" s="35"/>
      <c r="J1222" s="36">
        <f>IFERROR(I1222/$Q1222,0)</f>
        <v>0</v>
      </c>
      <c r="K1222" s="38"/>
      <c r="L1222" s="36">
        <f>IFERROR(K1222/$R1222,0)</f>
        <v>0</v>
      </c>
      <c r="M1222" s="35"/>
      <c r="N1222" s="36">
        <f>IFERROR(M1222/$Q1222,0)</f>
        <v>0</v>
      </c>
      <c r="O1222" s="38"/>
      <c r="P1222" s="36">
        <f>IFERROR(O1222/$R1222,0)</f>
        <v>0</v>
      </c>
      <c r="Q1222" s="35"/>
      <c r="R1222" s="38"/>
    </row>
    <row r="1223" spans="1:18" ht="15.75" customHeight="1" x14ac:dyDescent="0.25">
      <c r="A1223" s="37">
        <v>2016</v>
      </c>
      <c r="B1223" s="35">
        <v>171865</v>
      </c>
      <c r="C1223" s="34" t="s">
        <v>147</v>
      </c>
      <c r="D1223" s="34" t="s">
        <v>114</v>
      </c>
      <c r="E1223" s="35"/>
      <c r="F1223" s="36">
        <f>IFERROR(E1223/$Q1223,0)</f>
        <v>0</v>
      </c>
      <c r="G1223" s="38"/>
      <c r="H1223" s="36">
        <f>IFERROR(G1223/$R1223,0)</f>
        <v>0</v>
      </c>
      <c r="I1223" s="35"/>
      <c r="J1223" s="36">
        <f>IFERROR(I1223/$Q1223,0)</f>
        <v>0</v>
      </c>
      <c r="K1223" s="38"/>
      <c r="L1223" s="36">
        <f>IFERROR(K1223/$R1223,0)</f>
        <v>0</v>
      </c>
      <c r="M1223" s="35"/>
      <c r="N1223" s="36">
        <f>IFERROR(M1223/$Q1223,0)</f>
        <v>0</v>
      </c>
      <c r="O1223" s="38"/>
      <c r="P1223" s="36">
        <f>IFERROR(O1223/$R1223,0)</f>
        <v>0</v>
      </c>
      <c r="Q1223" s="35"/>
      <c r="R1223" s="38"/>
    </row>
    <row r="1224" spans="1:18" ht="15.75" customHeight="1" x14ac:dyDescent="0.25">
      <c r="A1224" s="37">
        <v>2016</v>
      </c>
      <c r="B1224" s="35">
        <v>171870</v>
      </c>
      <c r="C1224" s="34" t="s">
        <v>148</v>
      </c>
      <c r="D1224" s="34" t="s">
        <v>115</v>
      </c>
      <c r="E1224" s="35"/>
      <c r="F1224" s="36">
        <f>IFERROR(E1224/$Q1224,0)</f>
        <v>0</v>
      </c>
      <c r="G1224" s="38"/>
      <c r="H1224" s="36">
        <f>IFERROR(G1224/$R1224,0)</f>
        <v>0</v>
      </c>
      <c r="I1224" s="35"/>
      <c r="J1224" s="36">
        <f>IFERROR(I1224/$Q1224,0)</f>
        <v>0</v>
      </c>
      <c r="K1224" s="38"/>
      <c r="L1224" s="36">
        <f>IFERROR(K1224/$R1224,0)</f>
        <v>0</v>
      </c>
      <c r="M1224" s="35"/>
      <c r="N1224" s="36">
        <f>IFERROR(M1224/$Q1224,0)</f>
        <v>0</v>
      </c>
      <c r="O1224" s="38"/>
      <c r="P1224" s="36">
        <f>IFERROR(O1224/$R1224,0)</f>
        <v>0</v>
      </c>
      <c r="Q1224" s="35"/>
      <c r="R1224" s="38"/>
    </row>
    <row r="1225" spans="1:18" ht="15.75" customHeight="1" x14ac:dyDescent="0.25">
      <c r="A1225" s="37">
        <v>2016</v>
      </c>
      <c r="B1225" s="35">
        <v>171875</v>
      </c>
      <c r="C1225" s="34" t="s">
        <v>148</v>
      </c>
      <c r="D1225" s="34" t="s">
        <v>116</v>
      </c>
      <c r="E1225" s="35"/>
      <c r="F1225" s="36">
        <f>IFERROR(E1225/$Q1225,0)</f>
        <v>0</v>
      </c>
      <c r="G1225" s="38"/>
      <c r="H1225" s="36">
        <f>IFERROR(G1225/$R1225,0)</f>
        <v>0</v>
      </c>
      <c r="I1225" s="35"/>
      <c r="J1225" s="36">
        <f>IFERROR(I1225/$Q1225,0)</f>
        <v>0</v>
      </c>
      <c r="K1225" s="38"/>
      <c r="L1225" s="36">
        <f>IFERROR(K1225/$R1225,0)</f>
        <v>0</v>
      </c>
      <c r="M1225" s="35"/>
      <c r="N1225" s="36">
        <f>IFERROR(M1225/$Q1225,0)</f>
        <v>0</v>
      </c>
      <c r="O1225" s="38"/>
      <c r="P1225" s="36">
        <f>IFERROR(O1225/$R1225,0)</f>
        <v>0</v>
      </c>
      <c r="Q1225" s="35"/>
      <c r="R1225" s="38"/>
    </row>
    <row r="1226" spans="1:18" ht="15.75" customHeight="1" x14ac:dyDescent="0.25">
      <c r="A1226" s="37">
        <v>2016</v>
      </c>
      <c r="B1226" s="35">
        <v>171880</v>
      </c>
      <c r="C1226" s="34" t="s">
        <v>145</v>
      </c>
      <c r="D1226" s="34" t="s">
        <v>117</v>
      </c>
      <c r="E1226" s="35"/>
      <c r="F1226" s="36">
        <f>IFERROR(E1226/$Q1226,0)</f>
        <v>0</v>
      </c>
      <c r="G1226" s="38"/>
      <c r="H1226" s="36">
        <f>IFERROR(G1226/$R1226,0)</f>
        <v>0</v>
      </c>
      <c r="I1226" s="35"/>
      <c r="J1226" s="36">
        <f>IFERROR(I1226/$Q1226,0)</f>
        <v>0</v>
      </c>
      <c r="K1226" s="38"/>
      <c r="L1226" s="36">
        <f>IFERROR(K1226/$R1226,0)</f>
        <v>0</v>
      </c>
      <c r="M1226" s="35"/>
      <c r="N1226" s="36">
        <f>IFERROR(M1226/$Q1226,0)</f>
        <v>0</v>
      </c>
      <c r="O1226" s="38"/>
      <c r="P1226" s="36">
        <f>IFERROR(O1226/$R1226,0)</f>
        <v>0</v>
      </c>
      <c r="Q1226" s="35"/>
      <c r="R1226" s="38"/>
    </row>
    <row r="1227" spans="1:18" ht="15.75" customHeight="1" x14ac:dyDescent="0.25">
      <c r="A1227" s="37">
        <v>2016</v>
      </c>
      <c r="B1227" s="35">
        <v>171884</v>
      </c>
      <c r="C1227" s="34" t="s">
        <v>146</v>
      </c>
      <c r="D1227" s="34" t="s">
        <v>118</v>
      </c>
      <c r="E1227" s="35"/>
      <c r="F1227" s="36">
        <f>IFERROR(E1227/$Q1227,0)</f>
        <v>0</v>
      </c>
      <c r="G1227" s="38"/>
      <c r="H1227" s="36">
        <f>IFERROR(G1227/$R1227,0)</f>
        <v>0</v>
      </c>
      <c r="I1227" s="35"/>
      <c r="J1227" s="36">
        <f>IFERROR(I1227/$Q1227,0)</f>
        <v>0</v>
      </c>
      <c r="K1227" s="38"/>
      <c r="L1227" s="36">
        <f>IFERROR(K1227/$R1227,0)</f>
        <v>0</v>
      </c>
      <c r="M1227" s="35"/>
      <c r="N1227" s="36">
        <f>IFERROR(M1227/$Q1227,0)</f>
        <v>0</v>
      </c>
      <c r="O1227" s="38"/>
      <c r="P1227" s="36">
        <f>IFERROR(O1227/$R1227,0)</f>
        <v>0</v>
      </c>
      <c r="Q1227" s="35"/>
      <c r="R1227" s="38"/>
    </row>
    <row r="1228" spans="1:18" ht="15.75" customHeight="1" x14ac:dyDescent="0.25">
      <c r="A1228" s="37">
        <v>2016</v>
      </c>
      <c r="B1228" s="35">
        <v>171886</v>
      </c>
      <c r="C1228" s="34" t="s">
        <v>149</v>
      </c>
      <c r="D1228" s="34" t="s">
        <v>119</v>
      </c>
      <c r="E1228" s="35"/>
      <c r="F1228" s="36">
        <f>IFERROR(E1228/$Q1228,0)</f>
        <v>0</v>
      </c>
      <c r="G1228" s="38"/>
      <c r="H1228" s="36">
        <f>IFERROR(G1228/$R1228,0)</f>
        <v>0</v>
      </c>
      <c r="I1228" s="35"/>
      <c r="J1228" s="36">
        <f>IFERROR(I1228/$Q1228,0)</f>
        <v>0</v>
      </c>
      <c r="K1228" s="38"/>
      <c r="L1228" s="36">
        <f>IFERROR(K1228/$R1228,0)</f>
        <v>0</v>
      </c>
      <c r="M1228" s="35"/>
      <c r="N1228" s="36">
        <f>IFERROR(M1228/$Q1228,0)</f>
        <v>0</v>
      </c>
      <c r="O1228" s="38"/>
      <c r="P1228" s="36">
        <f>IFERROR(O1228/$R1228,0)</f>
        <v>0</v>
      </c>
      <c r="Q1228" s="35"/>
      <c r="R1228" s="38"/>
    </row>
    <row r="1229" spans="1:18" ht="15.75" customHeight="1" x14ac:dyDescent="0.25">
      <c r="A1229" s="37">
        <v>2016</v>
      </c>
      <c r="B1229" s="35">
        <v>171888</v>
      </c>
      <c r="C1229" s="34" t="s">
        <v>150</v>
      </c>
      <c r="D1229" s="34" t="s">
        <v>120</v>
      </c>
      <c r="E1229" s="35"/>
      <c r="F1229" s="36">
        <f>IFERROR(E1229/$Q1229,0)</f>
        <v>0</v>
      </c>
      <c r="G1229" s="38"/>
      <c r="H1229" s="36">
        <f>IFERROR(G1229/$R1229,0)</f>
        <v>0</v>
      </c>
      <c r="I1229" s="35"/>
      <c r="J1229" s="36">
        <f>IFERROR(I1229/$Q1229,0)</f>
        <v>0</v>
      </c>
      <c r="K1229" s="38"/>
      <c r="L1229" s="36">
        <f>IFERROR(K1229/$R1229,0)</f>
        <v>0</v>
      </c>
      <c r="M1229" s="35"/>
      <c r="N1229" s="36">
        <f>IFERROR(M1229/$Q1229,0)</f>
        <v>0</v>
      </c>
      <c r="O1229" s="38"/>
      <c r="P1229" s="36">
        <f>IFERROR(O1229/$R1229,0)</f>
        <v>0</v>
      </c>
      <c r="Q1229" s="35"/>
      <c r="R1229" s="38"/>
    </row>
    <row r="1230" spans="1:18" ht="15.75" customHeight="1" x14ac:dyDescent="0.25">
      <c r="A1230" s="37">
        <v>2016</v>
      </c>
      <c r="B1230" s="35">
        <v>171889</v>
      </c>
      <c r="C1230" s="34" t="s">
        <v>146</v>
      </c>
      <c r="D1230" s="34" t="s">
        <v>121</v>
      </c>
      <c r="E1230" s="35"/>
      <c r="F1230" s="36">
        <f>IFERROR(E1230/$Q1230,0)</f>
        <v>0</v>
      </c>
      <c r="G1230" s="38"/>
      <c r="H1230" s="36">
        <f>IFERROR(G1230/$R1230,0)</f>
        <v>0</v>
      </c>
      <c r="I1230" s="35"/>
      <c r="J1230" s="36">
        <f>IFERROR(I1230/$Q1230,0)</f>
        <v>0</v>
      </c>
      <c r="K1230" s="38"/>
      <c r="L1230" s="36">
        <f>IFERROR(K1230/$R1230,0)</f>
        <v>0</v>
      </c>
      <c r="M1230" s="35"/>
      <c r="N1230" s="36">
        <f>IFERROR(M1230/$Q1230,0)</f>
        <v>0</v>
      </c>
      <c r="O1230" s="38"/>
      <c r="P1230" s="36">
        <f>IFERROR(O1230/$R1230,0)</f>
        <v>0</v>
      </c>
      <c r="Q1230" s="35"/>
      <c r="R1230" s="38"/>
    </row>
    <row r="1231" spans="1:18" ht="15.75" customHeight="1" x14ac:dyDescent="0.25">
      <c r="A1231" s="37">
        <v>2016</v>
      </c>
      <c r="B1231" s="35">
        <v>171890</v>
      </c>
      <c r="C1231" s="34" t="s">
        <v>151</v>
      </c>
      <c r="D1231" s="34" t="s">
        <v>122</v>
      </c>
      <c r="E1231" s="35"/>
      <c r="F1231" s="36">
        <f>IFERROR(E1231/$Q1231,0)</f>
        <v>0</v>
      </c>
      <c r="G1231" s="38"/>
      <c r="H1231" s="36">
        <f>IFERROR(G1231/$R1231,0)</f>
        <v>0</v>
      </c>
      <c r="I1231" s="35"/>
      <c r="J1231" s="36">
        <f>IFERROR(I1231/$Q1231,0)</f>
        <v>0</v>
      </c>
      <c r="K1231" s="38"/>
      <c r="L1231" s="36">
        <f>IFERROR(K1231/$R1231,0)</f>
        <v>0</v>
      </c>
      <c r="M1231" s="35"/>
      <c r="N1231" s="36">
        <f>IFERROR(M1231/$Q1231,0)</f>
        <v>0</v>
      </c>
      <c r="O1231" s="38"/>
      <c r="P1231" s="36">
        <f>IFERROR(O1231/$R1231,0)</f>
        <v>0</v>
      </c>
      <c r="Q1231" s="35"/>
      <c r="R1231" s="38"/>
    </row>
    <row r="1232" spans="1:18" ht="15.75" customHeight="1" x14ac:dyDescent="0.25">
      <c r="A1232" s="37">
        <v>2016</v>
      </c>
      <c r="B1232" s="35">
        <v>171900</v>
      </c>
      <c r="C1232" s="34" t="s">
        <v>148</v>
      </c>
      <c r="D1232" s="34" t="s">
        <v>123</v>
      </c>
      <c r="E1232" s="35"/>
      <c r="F1232" s="36">
        <f>IFERROR(E1232/$Q1232,0)</f>
        <v>0</v>
      </c>
      <c r="G1232" s="38"/>
      <c r="H1232" s="36">
        <f>IFERROR(G1232/$R1232,0)</f>
        <v>0</v>
      </c>
      <c r="I1232" s="35"/>
      <c r="J1232" s="36">
        <f>IFERROR(I1232/$Q1232,0)</f>
        <v>0</v>
      </c>
      <c r="K1232" s="38"/>
      <c r="L1232" s="36">
        <f>IFERROR(K1232/$R1232,0)</f>
        <v>0</v>
      </c>
      <c r="M1232" s="35"/>
      <c r="N1232" s="36">
        <f>IFERROR(M1232/$Q1232,0)</f>
        <v>0</v>
      </c>
      <c r="O1232" s="38"/>
      <c r="P1232" s="36">
        <f>IFERROR(O1232/$R1232,0)</f>
        <v>0</v>
      </c>
      <c r="Q1232" s="35"/>
      <c r="R1232" s="38"/>
    </row>
    <row r="1233" spans="1:18" ht="15.75" customHeight="1" x14ac:dyDescent="0.25">
      <c r="A1233" s="37">
        <v>2016</v>
      </c>
      <c r="B1233" s="35">
        <v>172000</v>
      </c>
      <c r="C1233" s="34" t="s">
        <v>145</v>
      </c>
      <c r="D1233" s="34" t="s">
        <v>124</v>
      </c>
      <c r="E1233" s="35"/>
      <c r="F1233" s="36">
        <f>IFERROR(E1233/$Q1233,0)</f>
        <v>0</v>
      </c>
      <c r="G1233" s="38"/>
      <c r="H1233" s="36">
        <f>IFERROR(G1233/$R1233,0)</f>
        <v>0</v>
      </c>
      <c r="I1233" s="35"/>
      <c r="J1233" s="36">
        <f>IFERROR(I1233/$Q1233,0)</f>
        <v>0</v>
      </c>
      <c r="K1233" s="38"/>
      <c r="L1233" s="36">
        <f>IFERROR(K1233/$R1233,0)</f>
        <v>0</v>
      </c>
      <c r="M1233" s="35"/>
      <c r="N1233" s="36">
        <f>IFERROR(M1233/$Q1233,0)</f>
        <v>0</v>
      </c>
      <c r="O1233" s="38"/>
      <c r="P1233" s="36">
        <f>IFERROR(O1233/$R1233,0)</f>
        <v>0</v>
      </c>
      <c r="Q1233" s="35"/>
      <c r="R1233" s="38"/>
    </row>
    <row r="1234" spans="1:18" ht="15.75" customHeight="1" x14ac:dyDescent="0.25">
      <c r="A1234" s="37">
        <v>2016</v>
      </c>
      <c r="B1234" s="35">
        <v>172010</v>
      </c>
      <c r="C1234" s="34" t="s">
        <v>145</v>
      </c>
      <c r="D1234" s="34" t="s">
        <v>125</v>
      </c>
      <c r="E1234" s="35"/>
      <c r="F1234" s="36">
        <f>IFERROR(E1234/$Q1234,0)</f>
        <v>0</v>
      </c>
      <c r="G1234" s="38"/>
      <c r="H1234" s="36">
        <f>IFERROR(G1234/$R1234,0)</f>
        <v>0</v>
      </c>
      <c r="I1234" s="35"/>
      <c r="J1234" s="36">
        <f>IFERROR(I1234/$Q1234,0)</f>
        <v>0</v>
      </c>
      <c r="K1234" s="38"/>
      <c r="L1234" s="36">
        <f>IFERROR(K1234/$R1234,0)</f>
        <v>0</v>
      </c>
      <c r="M1234" s="35"/>
      <c r="N1234" s="36">
        <f>IFERROR(M1234/$Q1234,0)</f>
        <v>0</v>
      </c>
      <c r="O1234" s="38"/>
      <c r="P1234" s="36">
        <f>IFERROR(O1234/$R1234,0)</f>
        <v>0</v>
      </c>
      <c r="Q1234" s="35"/>
      <c r="R1234" s="38"/>
    </row>
    <row r="1235" spans="1:18" ht="15.75" customHeight="1" x14ac:dyDescent="0.25">
      <c r="A1235" s="37">
        <v>2016</v>
      </c>
      <c r="B1235" s="35">
        <v>172015</v>
      </c>
      <c r="C1235" s="34" t="s">
        <v>148</v>
      </c>
      <c r="D1235" s="34" t="s">
        <v>126</v>
      </c>
      <c r="E1235" s="35"/>
      <c r="F1235" s="36">
        <f>IFERROR(E1235/$Q1235,0)</f>
        <v>0</v>
      </c>
      <c r="G1235" s="38"/>
      <c r="H1235" s="36">
        <f>IFERROR(G1235/$R1235,0)</f>
        <v>0</v>
      </c>
      <c r="I1235" s="35"/>
      <c r="J1235" s="36">
        <f>IFERROR(I1235/$Q1235,0)</f>
        <v>0</v>
      </c>
      <c r="K1235" s="38"/>
      <c r="L1235" s="36">
        <f>IFERROR(K1235/$R1235,0)</f>
        <v>0</v>
      </c>
      <c r="M1235" s="35"/>
      <c r="N1235" s="36">
        <f>IFERROR(M1235/$Q1235,0)</f>
        <v>0</v>
      </c>
      <c r="O1235" s="38"/>
      <c r="P1235" s="36">
        <f>IFERROR(O1235/$R1235,0)</f>
        <v>0</v>
      </c>
      <c r="Q1235" s="35"/>
      <c r="R1235" s="38"/>
    </row>
    <row r="1236" spans="1:18" ht="15.75" customHeight="1" x14ac:dyDescent="0.25">
      <c r="A1236" s="37">
        <v>2016</v>
      </c>
      <c r="B1236" s="35">
        <v>172020</v>
      </c>
      <c r="C1236" s="34" t="s">
        <v>145</v>
      </c>
      <c r="D1236" s="34" t="s">
        <v>127</v>
      </c>
      <c r="E1236" s="35"/>
      <c r="F1236" s="36">
        <f>IFERROR(E1236/$Q1236,0)</f>
        <v>0</v>
      </c>
      <c r="G1236" s="38"/>
      <c r="H1236" s="36">
        <f>IFERROR(G1236/$R1236,0)</f>
        <v>0</v>
      </c>
      <c r="I1236" s="35"/>
      <c r="J1236" s="36">
        <f>IFERROR(I1236/$Q1236,0)</f>
        <v>0</v>
      </c>
      <c r="K1236" s="38"/>
      <c r="L1236" s="36">
        <f>IFERROR(K1236/$R1236,0)</f>
        <v>0</v>
      </c>
      <c r="M1236" s="35"/>
      <c r="N1236" s="36">
        <f>IFERROR(M1236/$Q1236,0)</f>
        <v>0</v>
      </c>
      <c r="O1236" s="38"/>
      <c r="P1236" s="36">
        <f>IFERROR(O1236/$R1236,0)</f>
        <v>0</v>
      </c>
      <c r="Q1236" s="35"/>
      <c r="R1236" s="38"/>
    </row>
    <row r="1237" spans="1:18" ht="15.75" customHeight="1" x14ac:dyDescent="0.25">
      <c r="A1237" s="37">
        <v>2016</v>
      </c>
      <c r="B1237" s="35">
        <v>172025</v>
      </c>
      <c r="C1237" s="34" t="s">
        <v>146</v>
      </c>
      <c r="D1237" s="34" t="s">
        <v>128</v>
      </c>
      <c r="E1237" s="35"/>
      <c r="F1237" s="36">
        <f>IFERROR(E1237/$Q1237,0)</f>
        <v>0</v>
      </c>
      <c r="G1237" s="38"/>
      <c r="H1237" s="36">
        <f>IFERROR(G1237/$R1237,0)</f>
        <v>0</v>
      </c>
      <c r="I1237" s="35"/>
      <c r="J1237" s="36">
        <f>IFERROR(I1237/$Q1237,0)</f>
        <v>0</v>
      </c>
      <c r="K1237" s="38"/>
      <c r="L1237" s="36">
        <f>IFERROR(K1237/$R1237,0)</f>
        <v>0</v>
      </c>
      <c r="M1237" s="35"/>
      <c r="N1237" s="36">
        <f>IFERROR(M1237/$Q1237,0)</f>
        <v>0</v>
      </c>
      <c r="O1237" s="38"/>
      <c r="P1237" s="36">
        <f>IFERROR(O1237/$R1237,0)</f>
        <v>0</v>
      </c>
      <c r="Q1237" s="35"/>
      <c r="R1237" s="38"/>
    </row>
    <row r="1238" spans="1:18" ht="15.75" customHeight="1" x14ac:dyDescent="0.25">
      <c r="A1238" s="37">
        <v>2016</v>
      </c>
      <c r="B1238" s="35">
        <v>172030</v>
      </c>
      <c r="C1238" s="34" t="s">
        <v>145</v>
      </c>
      <c r="D1238" s="34" t="s">
        <v>129</v>
      </c>
      <c r="E1238" s="35"/>
      <c r="F1238" s="36">
        <f>IFERROR(E1238/$Q1238,0)</f>
        <v>0</v>
      </c>
      <c r="G1238" s="38"/>
      <c r="H1238" s="36">
        <f>IFERROR(G1238/$R1238,0)</f>
        <v>0</v>
      </c>
      <c r="I1238" s="35"/>
      <c r="J1238" s="36">
        <f>IFERROR(I1238/$Q1238,0)</f>
        <v>0</v>
      </c>
      <c r="K1238" s="38"/>
      <c r="L1238" s="36">
        <f>IFERROR(K1238/$R1238,0)</f>
        <v>0</v>
      </c>
      <c r="M1238" s="35"/>
      <c r="N1238" s="36">
        <f>IFERROR(M1238/$Q1238,0)</f>
        <v>0</v>
      </c>
      <c r="O1238" s="38"/>
      <c r="P1238" s="36">
        <f>IFERROR(O1238/$R1238,0)</f>
        <v>0</v>
      </c>
      <c r="Q1238" s="35"/>
      <c r="R1238" s="38"/>
    </row>
    <row r="1239" spans="1:18" ht="15.75" customHeight="1" x14ac:dyDescent="0.25">
      <c r="A1239" s="37">
        <v>2016</v>
      </c>
      <c r="B1239" s="35">
        <v>172049</v>
      </c>
      <c r="C1239" s="34" t="s">
        <v>146</v>
      </c>
      <c r="D1239" s="34" t="s">
        <v>130</v>
      </c>
      <c r="E1239" s="35"/>
      <c r="F1239" s="36">
        <f>IFERROR(E1239/$Q1239,0)</f>
        <v>0</v>
      </c>
      <c r="G1239" s="38"/>
      <c r="H1239" s="36">
        <f>IFERROR(G1239/$R1239,0)</f>
        <v>0</v>
      </c>
      <c r="I1239" s="35"/>
      <c r="J1239" s="36">
        <f>IFERROR(I1239/$Q1239,0)</f>
        <v>0</v>
      </c>
      <c r="K1239" s="38"/>
      <c r="L1239" s="36">
        <f>IFERROR(K1239/$R1239,0)</f>
        <v>0</v>
      </c>
      <c r="M1239" s="35"/>
      <c r="N1239" s="36">
        <f>IFERROR(M1239/$Q1239,0)</f>
        <v>0</v>
      </c>
      <c r="O1239" s="38"/>
      <c r="P1239" s="36">
        <f>IFERROR(O1239/$R1239,0)</f>
        <v>0</v>
      </c>
      <c r="Q1239" s="35"/>
      <c r="R1239" s="38"/>
    </row>
    <row r="1240" spans="1:18" ht="15.75" customHeight="1" x14ac:dyDescent="0.25">
      <c r="A1240" s="37">
        <v>2016</v>
      </c>
      <c r="B1240" s="35">
        <v>172065</v>
      </c>
      <c r="C1240" s="34" t="s">
        <v>151</v>
      </c>
      <c r="D1240" s="34" t="s">
        <v>131</v>
      </c>
      <c r="E1240" s="35"/>
      <c r="F1240" s="36">
        <f>IFERROR(E1240/$Q1240,0)</f>
        <v>0</v>
      </c>
      <c r="G1240" s="38"/>
      <c r="H1240" s="36">
        <f>IFERROR(G1240/$R1240,0)</f>
        <v>0</v>
      </c>
      <c r="I1240" s="35"/>
      <c r="J1240" s="36">
        <f>IFERROR(I1240/$Q1240,0)</f>
        <v>0</v>
      </c>
      <c r="K1240" s="38"/>
      <c r="L1240" s="36">
        <f>IFERROR(K1240/$R1240,0)</f>
        <v>0</v>
      </c>
      <c r="M1240" s="35"/>
      <c r="N1240" s="36">
        <f>IFERROR(M1240/$Q1240,0)</f>
        <v>0</v>
      </c>
      <c r="O1240" s="38"/>
      <c r="P1240" s="36">
        <f>IFERROR(O1240/$R1240,0)</f>
        <v>0</v>
      </c>
      <c r="Q1240" s="35"/>
      <c r="R1240" s="38"/>
    </row>
    <row r="1241" spans="1:18" ht="15.75" customHeight="1" x14ac:dyDescent="0.25">
      <c r="A1241" s="37">
        <v>2016</v>
      </c>
      <c r="B1241" s="35">
        <v>172080</v>
      </c>
      <c r="C1241" s="34" t="s">
        <v>145</v>
      </c>
      <c r="D1241" s="34" t="s">
        <v>132</v>
      </c>
      <c r="E1241" s="35"/>
      <c r="F1241" s="36">
        <f>IFERROR(E1241/$Q1241,0)</f>
        <v>0</v>
      </c>
      <c r="G1241" s="38"/>
      <c r="H1241" s="36">
        <f>IFERROR(G1241/$R1241,0)</f>
        <v>0</v>
      </c>
      <c r="I1241" s="35"/>
      <c r="J1241" s="36">
        <f>IFERROR(I1241/$Q1241,0)</f>
        <v>0</v>
      </c>
      <c r="K1241" s="38"/>
      <c r="L1241" s="36">
        <f>IFERROR(K1241/$R1241,0)</f>
        <v>0</v>
      </c>
      <c r="M1241" s="35"/>
      <c r="N1241" s="36">
        <f>IFERROR(M1241/$Q1241,0)</f>
        <v>0</v>
      </c>
      <c r="O1241" s="38"/>
      <c r="P1241" s="36">
        <f>IFERROR(O1241/$R1241,0)</f>
        <v>0</v>
      </c>
      <c r="Q1241" s="35"/>
      <c r="R1241" s="38"/>
    </row>
    <row r="1242" spans="1:18" ht="15.75" customHeight="1" x14ac:dyDescent="0.25">
      <c r="A1242" s="37">
        <v>2016</v>
      </c>
      <c r="B1242" s="35">
        <v>172085</v>
      </c>
      <c r="C1242" s="34" t="s">
        <v>146</v>
      </c>
      <c r="D1242" s="34" t="s">
        <v>133</v>
      </c>
      <c r="E1242" s="35"/>
      <c r="F1242" s="36">
        <f>IFERROR(E1242/$Q1242,0)</f>
        <v>0</v>
      </c>
      <c r="G1242" s="38"/>
      <c r="H1242" s="36">
        <f>IFERROR(G1242/$R1242,0)</f>
        <v>0</v>
      </c>
      <c r="I1242" s="35"/>
      <c r="J1242" s="36">
        <f>IFERROR(I1242/$Q1242,0)</f>
        <v>0</v>
      </c>
      <c r="K1242" s="38"/>
      <c r="L1242" s="36">
        <f>IFERROR(K1242/$R1242,0)</f>
        <v>0</v>
      </c>
      <c r="M1242" s="35"/>
      <c r="N1242" s="36">
        <f>IFERROR(M1242/$Q1242,0)</f>
        <v>0</v>
      </c>
      <c r="O1242" s="38"/>
      <c r="P1242" s="36">
        <f>IFERROR(O1242/$R1242,0)</f>
        <v>0</v>
      </c>
      <c r="Q1242" s="35"/>
      <c r="R1242" s="38"/>
    </row>
    <row r="1243" spans="1:18" ht="15.75" customHeight="1" x14ac:dyDescent="0.25">
      <c r="A1243" s="37">
        <v>2016</v>
      </c>
      <c r="B1243" s="35">
        <v>170825</v>
      </c>
      <c r="C1243" s="34" t="s">
        <v>148</v>
      </c>
      <c r="D1243" s="34" t="s">
        <v>134</v>
      </c>
      <c r="E1243" s="35"/>
      <c r="F1243" s="36">
        <f>IFERROR(E1243/$Q1243,0)</f>
        <v>0</v>
      </c>
      <c r="G1243" s="38"/>
      <c r="H1243" s="36">
        <f>IFERROR(G1243/$R1243,0)</f>
        <v>0</v>
      </c>
      <c r="I1243" s="35"/>
      <c r="J1243" s="36">
        <f>IFERROR(I1243/$Q1243,0)</f>
        <v>0</v>
      </c>
      <c r="K1243" s="38"/>
      <c r="L1243" s="36">
        <f>IFERROR(K1243/$R1243,0)</f>
        <v>0</v>
      </c>
      <c r="M1243" s="35"/>
      <c r="N1243" s="36">
        <f>IFERROR(M1243/$Q1243,0)</f>
        <v>0</v>
      </c>
      <c r="O1243" s="38"/>
      <c r="P1243" s="36">
        <f>IFERROR(O1243/$R1243,0)</f>
        <v>0</v>
      </c>
      <c r="Q1243" s="35"/>
      <c r="R1243" s="38"/>
    </row>
    <row r="1244" spans="1:18" ht="15.75" customHeight="1" x14ac:dyDescent="0.25">
      <c r="A1244" s="37">
        <v>2016</v>
      </c>
      <c r="B1244" s="35">
        <v>172090</v>
      </c>
      <c r="C1244" s="34" t="s">
        <v>147</v>
      </c>
      <c r="D1244" s="34" t="s">
        <v>135</v>
      </c>
      <c r="E1244" s="35"/>
      <c r="F1244" s="36">
        <f>IFERROR(E1244/$Q1244,0)</f>
        <v>0</v>
      </c>
      <c r="G1244" s="38"/>
      <c r="H1244" s="36">
        <f>IFERROR(G1244/$R1244,0)</f>
        <v>0</v>
      </c>
      <c r="I1244" s="35"/>
      <c r="J1244" s="36">
        <f>IFERROR(I1244/$Q1244,0)</f>
        <v>0</v>
      </c>
      <c r="K1244" s="38"/>
      <c r="L1244" s="36">
        <f>IFERROR(K1244/$R1244,0)</f>
        <v>0</v>
      </c>
      <c r="M1244" s="35"/>
      <c r="N1244" s="36">
        <f>IFERROR(M1244/$Q1244,0)</f>
        <v>0</v>
      </c>
      <c r="O1244" s="38"/>
      <c r="P1244" s="36">
        <f>IFERROR(O1244/$R1244,0)</f>
        <v>0</v>
      </c>
      <c r="Q1244" s="35"/>
      <c r="R1244" s="38"/>
    </row>
    <row r="1245" spans="1:18" ht="15.75" customHeight="1" x14ac:dyDescent="0.25">
      <c r="A1245" s="37">
        <v>2016</v>
      </c>
      <c r="B1245" s="35">
        <v>172093</v>
      </c>
      <c r="C1245" s="34" t="s">
        <v>147</v>
      </c>
      <c r="D1245" s="34" t="s">
        <v>136</v>
      </c>
      <c r="E1245" s="35"/>
      <c r="F1245" s="36">
        <f>IFERROR(E1245/$Q1245,0)</f>
        <v>0</v>
      </c>
      <c r="G1245" s="38"/>
      <c r="H1245" s="36">
        <f>IFERROR(G1245/$R1245,0)</f>
        <v>0</v>
      </c>
      <c r="I1245" s="35"/>
      <c r="J1245" s="36">
        <f>IFERROR(I1245/$Q1245,0)</f>
        <v>0</v>
      </c>
      <c r="K1245" s="38"/>
      <c r="L1245" s="36">
        <f>IFERROR(K1245/$R1245,0)</f>
        <v>0</v>
      </c>
      <c r="M1245" s="35"/>
      <c r="N1245" s="36">
        <f>IFERROR(M1245/$Q1245,0)</f>
        <v>0</v>
      </c>
      <c r="O1245" s="38"/>
      <c r="P1245" s="36">
        <f>IFERROR(O1245/$R1245,0)</f>
        <v>0</v>
      </c>
      <c r="Q1245" s="35"/>
      <c r="R1245" s="38"/>
    </row>
    <row r="1246" spans="1:18" ht="15.75" customHeight="1" x14ac:dyDescent="0.25">
      <c r="A1246" s="37">
        <v>2016</v>
      </c>
      <c r="B1246" s="35">
        <v>172097</v>
      </c>
      <c r="C1246" s="34" t="s">
        <v>146</v>
      </c>
      <c r="D1246" s="34" t="s">
        <v>137</v>
      </c>
      <c r="E1246" s="35"/>
      <c r="F1246" s="36">
        <f>IFERROR(E1246/$Q1246,0)</f>
        <v>0</v>
      </c>
      <c r="G1246" s="38"/>
      <c r="H1246" s="36">
        <f>IFERROR(G1246/$R1246,0)</f>
        <v>0</v>
      </c>
      <c r="I1246" s="35"/>
      <c r="J1246" s="36">
        <f>IFERROR(I1246/$Q1246,0)</f>
        <v>0</v>
      </c>
      <c r="K1246" s="38"/>
      <c r="L1246" s="36">
        <f>IFERROR(K1246/$R1246,0)</f>
        <v>0</v>
      </c>
      <c r="M1246" s="35"/>
      <c r="N1246" s="36">
        <f>IFERROR(M1246/$Q1246,0)</f>
        <v>0</v>
      </c>
      <c r="O1246" s="38"/>
      <c r="P1246" s="36">
        <f>IFERROR(O1246/$R1246,0)</f>
        <v>0</v>
      </c>
      <c r="Q1246" s="35"/>
      <c r="R1246" s="38"/>
    </row>
    <row r="1247" spans="1:18" ht="15.75" customHeight="1" x14ac:dyDescent="0.25">
      <c r="A1247" s="37">
        <v>2016</v>
      </c>
      <c r="B1247" s="35">
        <v>172110</v>
      </c>
      <c r="C1247" s="34" t="s">
        <v>148</v>
      </c>
      <c r="D1247" s="34" t="s">
        <v>138</v>
      </c>
      <c r="E1247" s="35"/>
      <c r="F1247" s="36">
        <f>IFERROR(E1247/$Q1247,0)</f>
        <v>0</v>
      </c>
      <c r="G1247" s="38"/>
      <c r="H1247" s="36">
        <f>IFERROR(G1247/$R1247,0)</f>
        <v>0</v>
      </c>
      <c r="I1247" s="35"/>
      <c r="J1247" s="36">
        <f>IFERROR(I1247/$Q1247,0)</f>
        <v>0</v>
      </c>
      <c r="K1247" s="38"/>
      <c r="L1247" s="36">
        <f>IFERROR(K1247/$R1247,0)</f>
        <v>0</v>
      </c>
      <c r="M1247" s="35"/>
      <c r="N1247" s="36">
        <f>IFERROR(M1247/$Q1247,0)</f>
        <v>0</v>
      </c>
      <c r="O1247" s="38"/>
      <c r="P1247" s="36">
        <f>IFERROR(O1247/$R1247,0)</f>
        <v>0</v>
      </c>
      <c r="Q1247" s="35"/>
      <c r="R1247" s="38"/>
    </row>
    <row r="1248" spans="1:18" ht="15.75" customHeight="1" x14ac:dyDescent="0.25">
      <c r="A1248" s="37">
        <v>2016</v>
      </c>
      <c r="B1248" s="35">
        <v>172120</v>
      </c>
      <c r="C1248" s="34" t="s">
        <v>145</v>
      </c>
      <c r="D1248" s="34" t="s">
        <v>139</v>
      </c>
      <c r="E1248" s="35"/>
      <c r="F1248" s="36">
        <f>IFERROR(E1248/$Q1248,0)</f>
        <v>0</v>
      </c>
      <c r="G1248" s="38"/>
      <c r="H1248" s="36">
        <f>IFERROR(G1248/$R1248,0)</f>
        <v>0</v>
      </c>
      <c r="I1248" s="35"/>
      <c r="J1248" s="36">
        <f>IFERROR(I1248/$Q1248,0)</f>
        <v>0</v>
      </c>
      <c r="K1248" s="38"/>
      <c r="L1248" s="36">
        <f>IFERROR(K1248/$R1248,0)</f>
        <v>0</v>
      </c>
      <c r="M1248" s="35"/>
      <c r="N1248" s="36">
        <f>IFERROR(M1248/$Q1248,0)</f>
        <v>0</v>
      </c>
      <c r="O1248" s="38"/>
      <c r="P1248" s="36">
        <f>IFERROR(O1248/$R1248,0)</f>
        <v>0</v>
      </c>
      <c r="Q1248" s="35"/>
      <c r="R1248" s="38"/>
    </row>
    <row r="1249" spans="1:18" ht="15.75" customHeight="1" x14ac:dyDescent="0.25">
      <c r="A1249" s="37">
        <v>2016</v>
      </c>
      <c r="B1249" s="35">
        <v>172125</v>
      </c>
      <c r="C1249" s="34" t="s">
        <v>150</v>
      </c>
      <c r="D1249" s="34" t="s">
        <v>140</v>
      </c>
      <c r="E1249" s="35"/>
      <c r="F1249" s="36">
        <f>IFERROR(E1249/$Q1249,0)</f>
        <v>0</v>
      </c>
      <c r="G1249" s="38"/>
      <c r="H1249" s="36">
        <f>IFERROR(G1249/$R1249,0)</f>
        <v>0</v>
      </c>
      <c r="I1249" s="35"/>
      <c r="J1249" s="36">
        <f>IFERROR(I1249/$Q1249,0)</f>
        <v>0</v>
      </c>
      <c r="K1249" s="38"/>
      <c r="L1249" s="36">
        <f>IFERROR(K1249/$R1249,0)</f>
        <v>0</v>
      </c>
      <c r="M1249" s="35"/>
      <c r="N1249" s="36">
        <f>IFERROR(M1249/$Q1249,0)</f>
        <v>0</v>
      </c>
      <c r="O1249" s="38"/>
      <c r="P1249" s="36">
        <f>IFERROR(O1249/$R1249,0)</f>
        <v>0</v>
      </c>
      <c r="Q1249" s="35"/>
      <c r="R1249" s="38"/>
    </row>
    <row r="1250" spans="1:18" ht="15.75" customHeight="1" x14ac:dyDescent="0.25">
      <c r="A1250" s="37">
        <v>2016</v>
      </c>
      <c r="B1250" s="35">
        <v>172130</v>
      </c>
      <c r="C1250" s="34" t="s">
        <v>150</v>
      </c>
      <c r="D1250" s="34" t="s">
        <v>141</v>
      </c>
      <c r="E1250" s="35"/>
      <c r="F1250" s="36">
        <f>IFERROR(E1250/$Q1250,0)</f>
        <v>0</v>
      </c>
      <c r="G1250" s="38"/>
      <c r="H1250" s="36">
        <f>IFERROR(G1250/$R1250,0)</f>
        <v>0</v>
      </c>
      <c r="I1250" s="35"/>
      <c r="J1250" s="36">
        <f>IFERROR(I1250/$Q1250,0)</f>
        <v>0</v>
      </c>
      <c r="K1250" s="38"/>
      <c r="L1250" s="36">
        <f>IFERROR(K1250/$R1250,0)</f>
        <v>0</v>
      </c>
      <c r="M1250" s="35"/>
      <c r="N1250" s="36">
        <f>IFERROR(M1250/$Q1250,0)</f>
        <v>0</v>
      </c>
      <c r="O1250" s="38"/>
      <c r="P1250" s="36">
        <f>IFERROR(O1250/$R1250,0)</f>
        <v>0</v>
      </c>
      <c r="Q1250" s="35"/>
      <c r="R1250" s="38"/>
    </row>
    <row r="1251" spans="1:18" ht="15.75" customHeight="1" x14ac:dyDescent="0.25">
      <c r="A1251" s="37">
        <v>2016</v>
      </c>
      <c r="B1251" s="35">
        <v>172208</v>
      </c>
      <c r="C1251" s="34" t="s">
        <v>149</v>
      </c>
      <c r="D1251" s="34" t="s">
        <v>142</v>
      </c>
      <c r="E1251" s="35"/>
      <c r="F1251" s="36">
        <f>IFERROR(E1251/$Q1251,0)</f>
        <v>0</v>
      </c>
      <c r="G1251" s="38"/>
      <c r="H1251" s="36">
        <f>IFERROR(G1251/$R1251,0)</f>
        <v>0</v>
      </c>
      <c r="I1251" s="35"/>
      <c r="J1251" s="36">
        <f>IFERROR(I1251/$Q1251,0)</f>
        <v>0</v>
      </c>
      <c r="K1251" s="38"/>
      <c r="L1251" s="36">
        <f>IFERROR(K1251/$R1251,0)</f>
        <v>0</v>
      </c>
      <c r="M1251" s="35"/>
      <c r="N1251" s="36">
        <f>IFERROR(M1251/$Q1251,0)</f>
        <v>0</v>
      </c>
      <c r="O1251" s="38"/>
      <c r="P1251" s="36">
        <f>IFERROR(O1251/$R1251,0)</f>
        <v>0</v>
      </c>
      <c r="Q1251" s="35"/>
      <c r="R1251" s="38"/>
    </row>
    <row r="1252" spans="1:18" ht="15.75" customHeight="1" x14ac:dyDescent="0.25">
      <c r="A1252" s="37">
        <v>2016</v>
      </c>
      <c r="B1252" s="35">
        <v>172210</v>
      </c>
      <c r="C1252" s="34" t="s">
        <v>149</v>
      </c>
      <c r="D1252" s="34" t="s">
        <v>143</v>
      </c>
      <c r="E1252" s="35"/>
      <c r="F1252" s="36">
        <f>IFERROR(E1252/$Q1252,0)</f>
        <v>0</v>
      </c>
      <c r="G1252" s="38"/>
      <c r="H1252" s="36">
        <f>IFERROR(G1252/$R1252,0)</f>
        <v>0</v>
      </c>
      <c r="I1252" s="35"/>
      <c r="J1252" s="36">
        <f>IFERROR(I1252/$Q1252,0)</f>
        <v>0</v>
      </c>
      <c r="K1252" s="38"/>
      <c r="L1252" s="36">
        <f>IFERROR(K1252/$R1252,0)</f>
        <v>0</v>
      </c>
      <c r="M1252" s="35"/>
      <c r="N1252" s="36">
        <f>IFERROR(M1252/$Q1252,0)</f>
        <v>0</v>
      </c>
      <c r="O1252" s="38"/>
      <c r="P1252" s="36">
        <f>IFERROR(O1252/$R1252,0)</f>
        <v>0</v>
      </c>
      <c r="Q1252" s="35"/>
      <c r="R1252" s="38"/>
    </row>
    <row r="1253" spans="1:18" ht="15.75" customHeight="1" x14ac:dyDescent="0.25">
      <c r="A1253" s="37">
        <v>2015</v>
      </c>
      <c r="B1253" s="35">
        <v>170025</v>
      </c>
      <c r="C1253" s="34" t="s">
        <v>144</v>
      </c>
      <c r="D1253" s="34" t="s">
        <v>5</v>
      </c>
      <c r="E1253" s="35"/>
      <c r="F1253" s="36">
        <f>IFERROR(E1253/$Q1253,0)</f>
        <v>0</v>
      </c>
      <c r="G1253" s="40"/>
      <c r="H1253" s="36">
        <f>IFERROR(G1253/$R1253,0)</f>
        <v>0</v>
      </c>
      <c r="I1253" s="35"/>
      <c r="J1253" s="36">
        <f>IFERROR(I1253/$Q1253,0)</f>
        <v>0</v>
      </c>
      <c r="K1253" s="40"/>
      <c r="L1253" s="36">
        <f>IFERROR(K1253/$R1253,0)</f>
        <v>0</v>
      </c>
      <c r="M1253" s="35"/>
      <c r="N1253" s="36">
        <f>IFERROR(M1253/$Q1253,0)</f>
        <v>0</v>
      </c>
      <c r="O1253" s="40"/>
      <c r="P1253" s="36">
        <f>IFERROR(O1253/$R1253,0)</f>
        <v>0</v>
      </c>
      <c r="Q1253" s="35"/>
      <c r="R1253" s="40"/>
    </row>
    <row r="1254" spans="1:18" ht="15.75" customHeight="1" x14ac:dyDescent="0.25">
      <c r="A1254" s="37">
        <v>2015</v>
      </c>
      <c r="B1254" s="35">
        <v>170030</v>
      </c>
      <c r="C1254" s="34" t="s">
        <v>145</v>
      </c>
      <c r="D1254" s="34" t="s">
        <v>6</v>
      </c>
      <c r="E1254" s="35"/>
      <c r="F1254" s="36">
        <f>IFERROR(E1254/$Q1254,0)</f>
        <v>0</v>
      </c>
      <c r="G1254" s="40"/>
      <c r="H1254" s="36">
        <f>IFERROR(G1254/$R1254,0)</f>
        <v>0</v>
      </c>
      <c r="I1254" s="35"/>
      <c r="J1254" s="36">
        <f>IFERROR(I1254/$Q1254,0)</f>
        <v>0</v>
      </c>
      <c r="K1254" s="40"/>
      <c r="L1254" s="36">
        <f>IFERROR(K1254/$R1254,0)</f>
        <v>0</v>
      </c>
      <c r="M1254" s="35"/>
      <c r="N1254" s="36">
        <f>IFERROR(M1254/$Q1254,0)</f>
        <v>0</v>
      </c>
      <c r="O1254" s="40"/>
      <c r="P1254" s="36">
        <f>IFERROR(O1254/$R1254,0)</f>
        <v>0</v>
      </c>
      <c r="Q1254" s="35"/>
      <c r="R1254" s="40"/>
    </row>
    <row r="1255" spans="1:18" ht="15.75" customHeight="1" x14ac:dyDescent="0.25">
      <c r="A1255" s="37">
        <v>2015</v>
      </c>
      <c r="B1255" s="35">
        <v>170035</v>
      </c>
      <c r="C1255" s="34" t="s">
        <v>146</v>
      </c>
      <c r="D1255" s="34" t="s">
        <v>7</v>
      </c>
      <c r="E1255" s="35"/>
      <c r="F1255" s="36">
        <f>IFERROR(E1255/$Q1255,0)</f>
        <v>0</v>
      </c>
      <c r="G1255" s="40"/>
      <c r="H1255" s="36">
        <f>IFERROR(G1255/$R1255,0)</f>
        <v>0</v>
      </c>
      <c r="I1255" s="35"/>
      <c r="J1255" s="36">
        <f>IFERROR(I1255/$Q1255,0)</f>
        <v>0</v>
      </c>
      <c r="K1255" s="40"/>
      <c r="L1255" s="36">
        <f>IFERROR(K1255/$R1255,0)</f>
        <v>0</v>
      </c>
      <c r="M1255" s="35"/>
      <c r="N1255" s="36">
        <f>IFERROR(M1255/$Q1255,0)</f>
        <v>0</v>
      </c>
      <c r="O1255" s="40"/>
      <c r="P1255" s="36">
        <f>IFERROR(O1255/$R1255,0)</f>
        <v>0</v>
      </c>
      <c r="Q1255" s="35"/>
      <c r="R1255" s="40"/>
    </row>
    <row r="1256" spans="1:18" ht="15.75" customHeight="1" x14ac:dyDescent="0.25">
      <c r="A1256" s="37">
        <v>2015</v>
      </c>
      <c r="B1256" s="35">
        <v>170040</v>
      </c>
      <c r="C1256" s="34" t="s">
        <v>147</v>
      </c>
      <c r="D1256" s="34" t="s">
        <v>8</v>
      </c>
      <c r="E1256" s="35"/>
      <c r="F1256" s="36">
        <f>IFERROR(E1256/$Q1256,0)</f>
        <v>0</v>
      </c>
      <c r="G1256" s="40"/>
      <c r="H1256" s="36">
        <f>IFERROR(G1256/$R1256,0)</f>
        <v>0</v>
      </c>
      <c r="I1256" s="35"/>
      <c r="J1256" s="36">
        <f>IFERROR(I1256/$Q1256,0)</f>
        <v>0</v>
      </c>
      <c r="K1256" s="40"/>
      <c r="L1256" s="36">
        <f>IFERROR(K1256/$R1256,0)</f>
        <v>0</v>
      </c>
      <c r="M1256" s="35"/>
      <c r="N1256" s="36">
        <f>IFERROR(M1256/$Q1256,0)</f>
        <v>0</v>
      </c>
      <c r="O1256" s="40"/>
      <c r="P1256" s="36">
        <f>IFERROR(O1256/$R1256,0)</f>
        <v>0</v>
      </c>
      <c r="Q1256" s="35"/>
      <c r="R1256" s="40"/>
    </row>
    <row r="1257" spans="1:18" ht="15.75" customHeight="1" x14ac:dyDescent="0.25">
      <c r="A1257" s="37">
        <v>2015</v>
      </c>
      <c r="B1257" s="35">
        <v>170070</v>
      </c>
      <c r="C1257" s="34" t="s">
        <v>146</v>
      </c>
      <c r="D1257" s="34" t="s">
        <v>9</v>
      </c>
      <c r="E1257" s="35"/>
      <c r="F1257" s="36">
        <f>IFERROR(E1257/$Q1257,0)</f>
        <v>0</v>
      </c>
      <c r="G1257" s="40"/>
      <c r="H1257" s="36">
        <f>IFERROR(G1257/$R1257,0)</f>
        <v>0</v>
      </c>
      <c r="I1257" s="35"/>
      <c r="J1257" s="36">
        <f>IFERROR(I1257/$Q1257,0)</f>
        <v>0</v>
      </c>
      <c r="K1257" s="40"/>
      <c r="L1257" s="36">
        <f>IFERROR(K1257/$R1257,0)</f>
        <v>0</v>
      </c>
      <c r="M1257" s="35"/>
      <c r="N1257" s="36">
        <f>IFERROR(M1257/$Q1257,0)</f>
        <v>0</v>
      </c>
      <c r="O1257" s="40"/>
      <c r="P1257" s="36">
        <f>IFERROR(O1257/$R1257,0)</f>
        <v>0</v>
      </c>
      <c r="Q1257" s="35"/>
      <c r="R1257" s="40"/>
    </row>
    <row r="1258" spans="1:18" ht="15.75" customHeight="1" x14ac:dyDescent="0.25">
      <c r="A1258" s="37">
        <v>2015</v>
      </c>
      <c r="B1258" s="35">
        <v>170100</v>
      </c>
      <c r="C1258" s="34" t="s">
        <v>145</v>
      </c>
      <c r="D1258" s="34" t="s">
        <v>10</v>
      </c>
      <c r="E1258" s="35"/>
      <c r="F1258" s="36">
        <f>IFERROR(E1258/$Q1258,0)</f>
        <v>0</v>
      </c>
      <c r="G1258" s="40"/>
      <c r="H1258" s="36">
        <f>IFERROR(G1258/$R1258,0)</f>
        <v>0</v>
      </c>
      <c r="I1258" s="35"/>
      <c r="J1258" s="36">
        <f>IFERROR(I1258/$Q1258,0)</f>
        <v>0</v>
      </c>
      <c r="K1258" s="40"/>
      <c r="L1258" s="36">
        <f>IFERROR(K1258/$R1258,0)</f>
        <v>0</v>
      </c>
      <c r="M1258" s="35"/>
      <c r="N1258" s="36">
        <f>IFERROR(M1258/$Q1258,0)</f>
        <v>0</v>
      </c>
      <c r="O1258" s="40"/>
      <c r="P1258" s="36">
        <f>IFERROR(O1258/$R1258,0)</f>
        <v>0</v>
      </c>
      <c r="Q1258" s="35"/>
      <c r="R1258" s="40"/>
    </row>
    <row r="1259" spans="1:18" ht="15.75" customHeight="1" x14ac:dyDescent="0.25">
      <c r="A1259" s="37">
        <v>2015</v>
      </c>
      <c r="B1259" s="35">
        <v>170105</v>
      </c>
      <c r="C1259" s="34" t="s">
        <v>145</v>
      </c>
      <c r="D1259" s="34" t="s">
        <v>11</v>
      </c>
      <c r="E1259" s="35"/>
      <c r="F1259" s="36">
        <f>IFERROR(E1259/$Q1259,0)</f>
        <v>0</v>
      </c>
      <c r="G1259" s="40"/>
      <c r="H1259" s="36">
        <f>IFERROR(G1259/$R1259,0)</f>
        <v>0</v>
      </c>
      <c r="I1259" s="35"/>
      <c r="J1259" s="36">
        <f>IFERROR(I1259/$Q1259,0)</f>
        <v>0</v>
      </c>
      <c r="K1259" s="40"/>
      <c r="L1259" s="36">
        <f>IFERROR(K1259/$R1259,0)</f>
        <v>0</v>
      </c>
      <c r="M1259" s="35"/>
      <c r="N1259" s="36">
        <f>IFERROR(M1259/$Q1259,0)</f>
        <v>0</v>
      </c>
      <c r="O1259" s="40"/>
      <c r="P1259" s="36">
        <f>IFERROR(O1259/$R1259,0)</f>
        <v>0</v>
      </c>
      <c r="Q1259" s="35"/>
      <c r="R1259" s="40"/>
    </row>
    <row r="1260" spans="1:18" ht="15.75" customHeight="1" x14ac:dyDescent="0.25">
      <c r="A1260" s="37">
        <v>2015</v>
      </c>
      <c r="B1260" s="35">
        <v>170110</v>
      </c>
      <c r="C1260" s="34" t="s">
        <v>148</v>
      </c>
      <c r="D1260" s="34" t="s">
        <v>12</v>
      </c>
      <c r="E1260" s="35"/>
      <c r="F1260" s="36">
        <f>IFERROR(E1260/$Q1260,0)</f>
        <v>0</v>
      </c>
      <c r="G1260" s="40"/>
      <c r="H1260" s="36">
        <f>IFERROR(G1260/$R1260,0)</f>
        <v>0</v>
      </c>
      <c r="I1260" s="35"/>
      <c r="J1260" s="36">
        <f>IFERROR(I1260/$Q1260,0)</f>
        <v>0</v>
      </c>
      <c r="K1260" s="40"/>
      <c r="L1260" s="36">
        <f>IFERROR(K1260/$R1260,0)</f>
        <v>0</v>
      </c>
      <c r="M1260" s="35"/>
      <c r="N1260" s="36">
        <f>IFERROR(M1260/$Q1260,0)</f>
        <v>0</v>
      </c>
      <c r="O1260" s="40"/>
      <c r="P1260" s="36">
        <f>IFERROR(O1260/$R1260,0)</f>
        <v>0</v>
      </c>
      <c r="Q1260" s="35"/>
      <c r="R1260" s="40"/>
    </row>
    <row r="1261" spans="1:18" ht="15.75" customHeight="1" x14ac:dyDescent="0.25">
      <c r="A1261" s="37">
        <v>2015</v>
      </c>
      <c r="B1261" s="35">
        <v>170130</v>
      </c>
      <c r="C1261" s="34" t="s">
        <v>149</v>
      </c>
      <c r="D1261" s="34" t="s">
        <v>13</v>
      </c>
      <c r="E1261" s="35"/>
      <c r="F1261" s="36">
        <f>IFERROR(E1261/$Q1261,0)</f>
        <v>0</v>
      </c>
      <c r="G1261" s="40"/>
      <c r="H1261" s="36">
        <f>IFERROR(G1261/$R1261,0)</f>
        <v>0</v>
      </c>
      <c r="I1261" s="35"/>
      <c r="J1261" s="36">
        <f>IFERROR(I1261/$Q1261,0)</f>
        <v>0</v>
      </c>
      <c r="K1261" s="40"/>
      <c r="L1261" s="36">
        <f>IFERROR(K1261/$R1261,0)</f>
        <v>0</v>
      </c>
      <c r="M1261" s="35"/>
      <c r="N1261" s="36">
        <f>IFERROR(M1261/$Q1261,0)</f>
        <v>0</v>
      </c>
      <c r="O1261" s="40"/>
      <c r="P1261" s="36">
        <f>IFERROR(O1261/$R1261,0)</f>
        <v>0</v>
      </c>
      <c r="Q1261" s="35"/>
      <c r="R1261" s="40"/>
    </row>
    <row r="1262" spans="1:18" ht="15.75" customHeight="1" x14ac:dyDescent="0.25">
      <c r="A1262" s="37">
        <v>2015</v>
      </c>
      <c r="B1262" s="35">
        <v>170190</v>
      </c>
      <c r="C1262" s="34" t="s">
        <v>144</v>
      </c>
      <c r="D1262" s="34" t="s">
        <v>14</v>
      </c>
      <c r="E1262" s="35"/>
      <c r="F1262" s="36">
        <f>IFERROR(E1262/$Q1262,0)</f>
        <v>0</v>
      </c>
      <c r="G1262" s="40"/>
      <c r="H1262" s="36">
        <f>IFERROR(G1262/$R1262,0)</f>
        <v>0</v>
      </c>
      <c r="I1262" s="35"/>
      <c r="J1262" s="36">
        <f>IFERROR(I1262/$Q1262,0)</f>
        <v>0</v>
      </c>
      <c r="K1262" s="40"/>
      <c r="L1262" s="36">
        <f>IFERROR(K1262/$R1262,0)</f>
        <v>0</v>
      </c>
      <c r="M1262" s="35"/>
      <c r="N1262" s="36">
        <f>IFERROR(M1262/$Q1262,0)</f>
        <v>0</v>
      </c>
      <c r="O1262" s="40"/>
      <c r="P1262" s="36">
        <f>IFERROR(O1262/$R1262,0)</f>
        <v>0</v>
      </c>
      <c r="Q1262" s="35"/>
      <c r="R1262" s="40"/>
    </row>
    <row r="1263" spans="1:18" ht="15.75" customHeight="1" x14ac:dyDescent="0.25">
      <c r="A1263" s="37">
        <v>2015</v>
      </c>
      <c r="B1263" s="35">
        <v>170200</v>
      </c>
      <c r="C1263" s="34" t="s">
        <v>146</v>
      </c>
      <c r="D1263" s="34" t="s">
        <v>15</v>
      </c>
      <c r="E1263" s="35"/>
      <c r="F1263" s="36">
        <f>IFERROR(E1263/$Q1263,0)</f>
        <v>0</v>
      </c>
      <c r="G1263" s="40"/>
      <c r="H1263" s="36">
        <f>IFERROR(G1263/$R1263,0)</f>
        <v>0</v>
      </c>
      <c r="I1263" s="35"/>
      <c r="J1263" s="36">
        <f>IFERROR(I1263/$Q1263,0)</f>
        <v>0</v>
      </c>
      <c r="K1263" s="40"/>
      <c r="L1263" s="36">
        <f>IFERROR(K1263/$R1263,0)</f>
        <v>0</v>
      </c>
      <c r="M1263" s="35"/>
      <c r="N1263" s="36">
        <f>IFERROR(M1263/$Q1263,0)</f>
        <v>0</v>
      </c>
      <c r="O1263" s="40"/>
      <c r="P1263" s="36">
        <f>IFERROR(O1263/$R1263,0)</f>
        <v>0</v>
      </c>
      <c r="Q1263" s="35"/>
      <c r="R1263" s="40"/>
    </row>
    <row r="1264" spans="1:18" ht="15.75" customHeight="1" x14ac:dyDescent="0.25">
      <c r="A1264" s="37">
        <v>2015</v>
      </c>
      <c r="B1264" s="35">
        <v>170210</v>
      </c>
      <c r="C1264" s="34" t="s">
        <v>149</v>
      </c>
      <c r="D1264" s="34" t="s">
        <v>16</v>
      </c>
      <c r="E1264" s="35"/>
      <c r="F1264" s="36">
        <f>IFERROR(E1264/$Q1264,0)</f>
        <v>0</v>
      </c>
      <c r="G1264" s="40"/>
      <c r="H1264" s="36">
        <f>IFERROR(G1264/$R1264,0)</f>
        <v>0</v>
      </c>
      <c r="I1264" s="35"/>
      <c r="J1264" s="36">
        <f>IFERROR(I1264/$Q1264,0)</f>
        <v>0</v>
      </c>
      <c r="K1264" s="40"/>
      <c r="L1264" s="36">
        <f>IFERROR(K1264/$R1264,0)</f>
        <v>0</v>
      </c>
      <c r="M1264" s="35"/>
      <c r="N1264" s="36">
        <f>IFERROR(M1264/$Q1264,0)</f>
        <v>0</v>
      </c>
      <c r="O1264" s="41"/>
      <c r="P1264" s="36">
        <f>IFERROR(O1264/$R1264,0)</f>
        <v>0</v>
      </c>
      <c r="Q1264" s="35"/>
      <c r="R1264" s="41"/>
    </row>
    <row r="1265" spans="1:18" ht="15.75" customHeight="1" x14ac:dyDescent="0.25">
      <c r="A1265" s="37">
        <v>2015</v>
      </c>
      <c r="B1265" s="35">
        <v>170215</v>
      </c>
      <c r="C1265" s="34" t="s">
        <v>149</v>
      </c>
      <c r="D1265" s="34" t="s">
        <v>17</v>
      </c>
      <c r="E1265" s="35"/>
      <c r="F1265" s="36">
        <f>IFERROR(E1265/$Q1265,0)</f>
        <v>0</v>
      </c>
      <c r="G1265" s="40"/>
      <c r="H1265" s="36">
        <f>IFERROR(G1265/$R1265,0)</f>
        <v>0</v>
      </c>
      <c r="I1265" s="35"/>
      <c r="J1265" s="36">
        <f>IFERROR(I1265/$Q1265,0)</f>
        <v>0</v>
      </c>
      <c r="K1265" s="40"/>
      <c r="L1265" s="36">
        <f>IFERROR(K1265/$R1265,0)</f>
        <v>0</v>
      </c>
      <c r="M1265" s="35"/>
      <c r="N1265" s="36">
        <f>IFERROR(M1265/$Q1265,0)</f>
        <v>0</v>
      </c>
      <c r="O1265" s="40"/>
      <c r="P1265" s="36">
        <f>IFERROR(O1265/$R1265,0)</f>
        <v>0</v>
      </c>
      <c r="Q1265" s="35"/>
      <c r="R1265" s="40"/>
    </row>
    <row r="1266" spans="1:18" ht="15.75" customHeight="1" x14ac:dyDescent="0.25">
      <c r="A1266" s="37">
        <v>2015</v>
      </c>
      <c r="B1266" s="35">
        <v>170220</v>
      </c>
      <c r="C1266" s="34" t="s">
        <v>145</v>
      </c>
      <c r="D1266" s="34" t="s">
        <v>18</v>
      </c>
      <c r="E1266" s="35"/>
      <c r="F1266" s="36">
        <f>IFERROR(E1266/$Q1266,0)</f>
        <v>0</v>
      </c>
      <c r="G1266" s="40"/>
      <c r="H1266" s="36">
        <f>IFERROR(G1266/$R1266,0)</f>
        <v>0</v>
      </c>
      <c r="I1266" s="35"/>
      <c r="J1266" s="36">
        <f>IFERROR(I1266/$Q1266,0)</f>
        <v>0</v>
      </c>
      <c r="K1266" s="40"/>
      <c r="L1266" s="36">
        <f>IFERROR(K1266/$R1266,0)</f>
        <v>0</v>
      </c>
      <c r="M1266" s="35"/>
      <c r="N1266" s="36">
        <f>IFERROR(M1266/$Q1266,0)</f>
        <v>0</v>
      </c>
      <c r="O1266" s="41"/>
      <c r="P1266" s="36">
        <f>IFERROR(O1266/$R1266,0)</f>
        <v>0</v>
      </c>
      <c r="Q1266" s="35"/>
      <c r="R1266" s="41"/>
    </row>
    <row r="1267" spans="1:18" ht="15.75" customHeight="1" x14ac:dyDescent="0.25">
      <c r="A1267" s="37">
        <v>2015</v>
      </c>
      <c r="B1267" s="35">
        <v>170230</v>
      </c>
      <c r="C1267" s="34" t="s">
        <v>150</v>
      </c>
      <c r="D1267" s="34" t="s">
        <v>19</v>
      </c>
      <c r="E1267" s="35"/>
      <c r="F1267" s="36">
        <f>IFERROR(E1267/$Q1267,0)</f>
        <v>0</v>
      </c>
      <c r="G1267" s="40"/>
      <c r="H1267" s="36">
        <f>IFERROR(G1267/$R1267,0)</f>
        <v>0</v>
      </c>
      <c r="I1267" s="35"/>
      <c r="J1267" s="36">
        <f>IFERROR(I1267/$Q1267,0)</f>
        <v>0</v>
      </c>
      <c r="K1267" s="40"/>
      <c r="L1267" s="36">
        <f>IFERROR(K1267/$R1267,0)</f>
        <v>0</v>
      </c>
      <c r="M1267" s="35"/>
      <c r="N1267" s="36">
        <f>IFERROR(M1267/$Q1267,0)</f>
        <v>0</v>
      </c>
      <c r="O1267" s="40"/>
      <c r="P1267" s="36">
        <f>IFERROR(O1267/$R1267,0)</f>
        <v>0</v>
      </c>
      <c r="Q1267" s="35"/>
      <c r="R1267" s="40"/>
    </row>
    <row r="1268" spans="1:18" ht="15.75" customHeight="1" x14ac:dyDescent="0.25">
      <c r="A1268" s="37">
        <v>2015</v>
      </c>
      <c r="B1268" s="35">
        <v>170240</v>
      </c>
      <c r="C1268" s="34" t="s">
        <v>147</v>
      </c>
      <c r="D1268" s="34" t="s">
        <v>20</v>
      </c>
      <c r="E1268" s="35"/>
      <c r="F1268" s="36">
        <f>IFERROR(E1268/$Q1268,0)</f>
        <v>0</v>
      </c>
      <c r="G1268" s="40"/>
      <c r="H1268" s="36">
        <f>IFERROR(G1268/$R1268,0)</f>
        <v>0</v>
      </c>
      <c r="I1268" s="35"/>
      <c r="J1268" s="36">
        <f>IFERROR(I1268/$Q1268,0)</f>
        <v>0</v>
      </c>
      <c r="K1268" s="40"/>
      <c r="L1268" s="36">
        <f>IFERROR(K1268/$R1268,0)</f>
        <v>0</v>
      </c>
      <c r="M1268" s="35"/>
      <c r="N1268" s="36">
        <f>IFERROR(M1268/$Q1268,0)</f>
        <v>0</v>
      </c>
      <c r="O1268" s="40"/>
      <c r="P1268" s="36">
        <f>IFERROR(O1268/$R1268,0)</f>
        <v>0</v>
      </c>
      <c r="Q1268" s="35"/>
      <c r="R1268" s="40"/>
    </row>
    <row r="1269" spans="1:18" ht="15.75" customHeight="1" x14ac:dyDescent="0.25">
      <c r="A1269" s="37">
        <v>2015</v>
      </c>
      <c r="B1269" s="35">
        <v>170255</v>
      </c>
      <c r="C1269" s="34" t="s">
        <v>145</v>
      </c>
      <c r="D1269" s="34" t="s">
        <v>21</v>
      </c>
      <c r="E1269" s="35"/>
      <c r="F1269" s="36">
        <f>IFERROR(E1269/$Q1269,0)</f>
        <v>0</v>
      </c>
      <c r="G1269" s="40"/>
      <c r="H1269" s="36">
        <f>IFERROR(G1269/$R1269,0)</f>
        <v>0</v>
      </c>
      <c r="I1269" s="35"/>
      <c r="J1269" s="36">
        <f>IFERROR(I1269/$Q1269,0)</f>
        <v>0</v>
      </c>
      <c r="K1269" s="40"/>
      <c r="L1269" s="36">
        <f>IFERROR(K1269/$R1269,0)</f>
        <v>0</v>
      </c>
      <c r="M1269" s="35"/>
      <c r="N1269" s="36">
        <f>IFERROR(M1269/$Q1269,0)</f>
        <v>0</v>
      </c>
      <c r="O1269" s="40"/>
      <c r="P1269" s="36">
        <f>IFERROR(O1269/$R1269,0)</f>
        <v>0</v>
      </c>
      <c r="Q1269" s="35"/>
      <c r="R1269" s="40"/>
    </row>
    <row r="1270" spans="1:18" ht="15.75" customHeight="1" x14ac:dyDescent="0.25">
      <c r="A1270" s="37">
        <v>2015</v>
      </c>
      <c r="B1270" s="35">
        <v>170270</v>
      </c>
      <c r="C1270" s="34" t="s">
        <v>147</v>
      </c>
      <c r="D1270" s="34" t="s">
        <v>22</v>
      </c>
      <c r="E1270" s="35"/>
      <c r="F1270" s="36">
        <f>IFERROR(E1270/$Q1270,0)</f>
        <v>0</v>
      </c>
      <c r="G1270" s="40"/>
      <c r="H1270" s="36">
        <f>IFERROR(G1270/$R1270,0)</f>
        <v>0</v>
      </c>
      <c r="I1270" s="35"/>
      <c r="J1270" s="36">
        <f>IFERROR(I1270/$Q1270,0)</f>
        <v>0</v>
      </c>
      <c r="K1270" s="40"/>
      <c r="L1270" s="36">
        <f>IFERROR(K1270/$R1270,0)</f>
        <v>0</v>
      </c>
      <c r="M1270" s="35"/>
      <c r="N1270" s="36">
        <f>IFERROR(M1270/$Q1270,0)</f>
        <v>0</v>
      </c>
      <c r="O1270" s="40"/>
      <c r="P1270" s="36">
        <f>IFERROR(O1270/$R1270,0)</f>
        <v>0</v>
      </c>
      <c r="Q1270" s="35"/>
      <c r="R1270" s="40"/>
    </row>
    <row r="1271" spans="1:18" ht="15.75" customHeight="1" x14ac:dyDescent="0.25">
      <c r="A1271" s="37">
        <v>2015</v>
      </c>
      <c r="B1271" s="35">
        <v>170290</v>
      </c>
      <c r="C1271" s="34" t="s">
        <v>145</v>
      </c>
      <c r="D1271" s="34" t="s">
        <v>23</v>
      </c>
      <c r="E1271" s="35"/>
      <c r="F1271" s="36">
        <f>IFERROR(E1271/$Q1271,0)</f>
        <v>0</v>
      </c>
      <c r="G1271" s="40"/>
      <c r="H1271" s="36">
        <f>IFERROR(G1271/$R1271,0)</f>
        <v>0</v>
      </c>
      <c r="I1271" s="35"/>
      <c r="J1271" s="36">
        <f>IFERROR(I1271/$Q1271,0)</f>
        <v>0</v>
      </c>
      <c r="K1271" s="40"/>
      <c r="L1271" s="36">
        <f>IFERROR(K1271/$R1271,0)</f>
        <v>0</v>
      </c>
      <c r="M1271" s="35"/>
      <c r="N1271" s="36">
        <f>IFERROR(M1271/$Q1271,0)</f>
        <v>0</v>
      </c>
      <c r="O1271" s="40"/>
      <c r="P1271" s="36">
        <f>IFERROR(O1271/$R1271,0)</f>
        <v>0</v>
      </c>
      <c r="Q1271" s="35"/>
      <c r="R1271" s="40"/>
    </row>
    <row r="1272" spans="1:18" ht="15.75" customHeight="1" x14ac:dyDescent="0.25">
      <c r="A1272" s="37">
        <v>2015</v>
      </c>
      <c r="B1272" s="35">
        <v>170300</v>
      </c>
      <c r="C1272" s="34" t="s">
        <v>149</v>
      </c>
      <c r="D1272" s="34" t="s">
        <v>24</v>
      </c>
      <c r="E1272" s="35"/>
      <c r="F1272" s="36">
        <f>IFERROR(E1272/$Q1272,0)</f>
        <v>0</v>
      </c>
      <c r="G1272" s="40"/>
      <c r="H1272" s="36">
        <f>IFERROR(G1272/$R1272,0)</f>
        <v>0</v>
      </c>
      <c r="I1272" s="35"/>
      <c r="J1272" s="36">
        <f>IFERROR(I1272/$Q1272,0)</f>
        <v>0</v>
      </c>
      <c r="K1272" s="40"/>
      <c r="L1272" s="36">
        <f>IFERROR(K1272/$R1272,0)</f>
        <v>0</v>
      </c>
      <c r="M1272" s="35"/>
      <c r="N1272" s="36">
        <f>IFERROR(M1272/$Q1272,0)</f>
        <v>0</v>
      </c>
      <c r="O1272" s="40"/>
      <c r="P1272" s="36">
        <f>IFERROR(O1272/$R1272,0)</f>
        <v>0</v>
      </c>
      <c r="Q1272" s="35"/>
      <c r="R1272" s="40"/>
    </row>
    <row r="1273" spans="1:18" ht="15.75" customHeight="1" x14ac:dyDescent="0.25">
      <c r="A1273" s="37">
        <v>2015</v>
      </c>
      <c r="B1273" s="35">
        <v>170305</v>
      </c>
      <c r="C1273" s="34" t="s">
        <v>150</v>
      </c>
      <c r="D1273" s="34" t="s">
        <v>25</v>
      </c>
      <c r="E1273" s="35"/>
      <c r="F1273" s="36">
        <f>IFERROR(E1273/$Q1273,0)</f>
        <v>0</v>
      </c>
      <c r="G1273" s="40"/>
      <c r="H1273" s="36">
        <f>IFERROR(G1273/$R1273,0)</f>
        <v>0</v>
      </c>
      <c r="I1273" s="35"/>
      <c r="J1273" s="36">
        <f>IFERROR(I1273/$Q1273,0)</f>
        <v>0</v>
      </c>
      <c r="K1273" s="40"/>
      <c r="L1273" s="36">
        <f>IFERROR(K1273/$R1273,0)</f>
        <v>0</v>
      </c>
      <c r="M1273" s="35"/>
      <c r="N1273" s="36">
        <f>IFERROR(M1273/$Q1273,0)</f>
        <v>0</v>
      </c>
      <c r="O1273" s="40"/>
      <c r="P1273" s="36">
        <f>IFERROR(O1273/$R1273,0)</f>
        <v>0</v>
      </c>
      <c r="Q1273" s="35"/>
      <c r="R1273" s="40"/>
    </row>
    <row r="1274" spans="1:18" ht="15.75" customHeight="1" x14ac:dyDescent="0.25">
      <c r="A1274" s="37">
        <v>2015</v>
      </c>
      <c r="B1274" s="35">
        <v>170307</v>
      </c>
      <c r="C1274" s="34" t="s">
        <v>149</v>
      </c>
      <c r="D1274" s="34" t="s">
        <v>26</v>
      </c>
      <c r="E1274" s="35"/>
      <c r="F1274" s="36">
        <f>IFERROR(E1274/$Q1274,0)</f>
        <v>0</v>
      </c>
      <c r="G1274" s="40"/>
      <c r="H1274" s="36">
        <f>IFERROR(G1274/$R1274,0)</f>
        <v>0</v>
      </c>
      <c r="I1274" s="35"/>
      <c r="J1274" s="36">
        <f>IFERROR(I1274/$Q1274,0)</f>
        <v>0</v>
      </c>
      <c r="K1274" s="40"/>
      <c r="L1274" s="36">
        <f>IFERROR(K1274/$R1274,0)</f>
        <v>0</v>
      </c>
      <c r="M1274" s="35"/>
      <c r="N1274" s="36">
        <f>IFERROR(M1274/$Q1274,0)</f>
        <v>0</v>
      </c>
      <c r="O1274" s="40"/>
      <c r="P1274" s="36">
        <f>IFERROR(O1274/$R1274,0)</f>
        <v>0</v>
      </c>
      <c r="Q1274" s="35"/>
      <c r="R1274" s="40"/>
    </row>
    <row r="1275" spans="1:18" ht="15.75" customHeight="1" x14ac:dyDescent="0.25">
      <c r="A1275" s="37">
        <v>2015</v>
      </c>
      <c r="B1275" s="35">
        <v>170310</v>
      </c>
      <c r="C1275" s="34" t="s">
        <v>144</v>
      </c>
      <c r="D1275" s="34" t="s">
        <v>27</v>
      </c>
      <c r="E1275" s="35"/>
      <c r="F1275" s="36">
        <f>IFERROR(E1275/$Q1275,0)</f>
        <v>0</v>
      </c>
      <c r="G1275" s="40"/>
      <c r="H1275" s="36">
        <f>IFERROR(G1275/$R1275,0)</f>
        <v>0</v>
      </c>
      <c r="I1275" s="35"/>
      <c r="J1275" s="36">
        <f>IFERROR(I1275/$Q1275,0)</f>
        <v>0</v>
      </c>
      <c r="K1275" s="40"/>
      <c r="L1275" s="36">
        <f>IFERROR(K1275/$R1275,0)</f>
        <v>0</v>
      </c>
      <c r="M1275" s="35"/>
      <c r="N1275" s="36">
        <f>IFERROR(M1275/$Q1275,0)</f>
        <v>0</v>
      </c>
      <c r="O1275" s="40"/>
      <c r="P1275" s="36">
        <f>IFERROR(O1275/$R1275,0)</f>
        <v>0</v>
      </c>
      <c r="Q1275" s="35"/>
      <c r="R1275" s="40"/>
    </row>
    <row r="1276" spans="1:18" ht="15.75" customHeight="1" x14ac:dyDescent="0.25">
      <c r="A1276" s="37">
        <v>2015</v>
      </c>
      <c r="B1276" s="35">
        <v>170320</v>
      </c>
      <c r="C1276" s="34" t="s">
        <v>150</v>
      </c>
      <c r="D1276" s="34" t="s">
        <v>28</v>
      </c>
      <c r="E1276" s="35"/>
      <c r="F1276" s="36">
        <f>IFERROR(E1276/$Q1276,0)</f>
        <v>0</v>
      </c>
      <c r="G1276" s="40"/>
      <c r="H1276" s="36">
        <f>IFERROR(G1276/$R1276,0)</f>
        <v>0</v>
      </c>
      <c r="I1276" s="35"/>
      <c r="J1276" s="36">
        <f>IFERROR(I1276/$Q1276,0)</f>
        <v>0</v>
      </c>
      <c r="K1276" s="40"/>
      <c r="L1276" s="36">
        <f>IFERROR(K1276/$R1276,0)</f>
        <v>0</v>
      </c>
      <c r="M1276" s="35"/>
      <c r="N1276" s="36">
        <f>IFERROR(M1276/$Q1276,0)</f>
        <v>0</v>
      </c>
      <c r="O1276" s="40"/>
      <c r="P1276" s="36">
        <f>IFERROR(O1276/$R1276,0)</f>
        <v>0</v>
      </c>
      <c r="Q1276" s="35"/>
      <c r="R1276" s="40"/>
    </row>
    <row r="1277" spans="1:18" ht="15.75" customHeight="1" x14ac:dyDescent="0.25">
      <c r="A1277" s="37">
        <v>2015</v>
      </c>
      <c r="B1277" s="35">
        <v>170330</v>
      </c>
      <c r="C1277" s="34" t="s">
        <v>150</v>
      </c>
      <c r="D1277" s="34" t="s">
        <v>29</v>
      </c>
      <c r="E1277" s="35"/>
      <c r="F1277" s="36">
        <f>IFERROR(E1277/$Q1277,0)</f>
        <v>0</v>
      </c>
      <c r="G1277" s="40"/>
      <c r="H1277" s="36">
        <f>IFERROR(G1277/$R1277,0)</f>
        <v>0</v>
      </c>
      <c r="I1277" s="35"/>
      <c r="J1277" s="36">
        <f>IFERROR(I1277/$Q1277,0)</f>
        <v>0</v>
      </c>
      <c r="K1277" s="40"/>
      <c r="L1277" s="36">
        <f>IFERROR(K1277/$R1277,0)</f>
        <v>0</v>
      </c>
      <c r="M1277" s="35"/>
      <c r="N1277" s="36">
        <f>IFERROR(M1277/$Q1277,0)</f>
        <v>0</v>
      </c>
      <c r="O1277" s="40"/>
      <c r="P1277" s="36">
        <f>IFERROR(O1277/$R1277,0)</f>
        <v>0</v>
      </c>
      <c r="Q1277" s="35"/>
      <c r="R1277" s="40"/>
    </row>
    <row r="1278" spans="1:18" ht="15.75" customHeight="1" x14ac:dyDescent="0.25">
      <c r="A1278" s="37">
        <v>2015</v>
      </c>
      <c r="B1278" s="35">
        <v>170360</v>
      </c>
      <c r="C1278" s="34" t="s">
        <v>150</v>
      </c>
      <c r="D1278" s="34" t="s">
        <v>30</v>
      </c>
      <c r="E1278" s="35"/>
      <c r="F1278" s="36">
        <f>IFERROR(E1278/$Q1278,0)</f>
        <v>0</v>
      </c>
      <c r="G1278" s="40"/>
      <c r="H1278" s="36">
        <f>IFERROR(G1278/$R1278,0)</f>
        <v>0</v>
      </c>
      <c r="I1278" s="35"/>
      <c r="J1278" s="36">
        <f>IFERROR(I1278/$Q1278,0)</f>
        <v>0</v>
      </c>
      <c r="K1278" s="40"/>
      <c r="L1278" s="36">
        <f>IFERROR(K1278/$R1278,0)</f>
        <v>0</v>
      </c>
      <c r="M1278" s="35"/>
      <c r="N1278" s="36">
        <f>IFERROR(M1278/$Q1278,0)</f>
        <v>0</v>
      </c>
      <c r="O1278" s="40"/>
      <c r="P1278" s="36">
        <f>IFERROR(O1278/$R1278,0)</f>
        <v>0</v>
      </c>
      <c r="Q1278" s="35"/>
      <c r="R1278" s="40"/>
    </row>
    <row r="1279" spans="1:18" ht="15.75" customHeight="1" x14ac:dyDescent="0.25">
      <c r="A1279" s="37">
        <v>2015</v>
      </c>
      <c r="B1279" s="35">
        <v>170370</v>
      </c>
      <c r="C1279" s="34" t="s">
        <v>151</v>
      </c>
      <c r="D1279" s="34" t="s">
        <v>31</v>
      </c>
      <c r="E1279" s="35"/>
      <c r="F1279" s="36">
        <f>IFERROR(E1279/$Q1279,0)</f>
        <v>0</v>
      </c>
      <c r="G1279" s="40"/>
      <c r="H1279" s="36">
        <f>IFERROR(G1279/$R1279,0)</f>
        <v>0</v>
      </c>
      <c r="I1279" s="35"/>
      <c r="J1279" s="36">
        <f>IFERROR(I1279/$Q1279,0)</f>
        <v>0</v>
      </c>
      <c r="K1279" s="40"/>
      <c r="L1279" s="36">
        <f>IFERROR(K1279/$R1279,0)</f>
        <v>0</v>
      </c>
      <c r="M1279" s="35"/>
      <c r="N1279" s="36">
        <f>IFERROR(M1279/$Q1279,0)</f>
        <v>0</v>
      </c>
      <c r="O1279" s="40"/>
      <c r="P1279" s="36">
        <f>IFERROR(O1279/$R1279,0)</f>
        <v>0</v>
      </c>
      <c r="Q1279" s="35"/>
      <c r="R1279" s="40"/>
    </row>
    <row r="1280" spans="1:18" ht="15.75" customHeight="1" x14ac:dyDescent="0.25">
      <c r="A1280" s="37">
        <v>2015</v>
      </c>
      <c r="B1280" s="35">
        <v>170380</v>
      </c>
      <c r="C1280" s="34" t="s">
        <v>145</v>
      </c>
      <c r="D1280" s="34" t="s">
        <v>32</v>
      </c>
      <c r="E1280" s="35"/>
      <c r="F1280" s="36">
        <f>IFERROR(E1280/$Q1280,0)</f>
        <v>0</v>
      </c>
      <c r="G1280" s="40"/>
      <c r="H1280" s="36">
        <f>IFERROR(G1280/$R1280,0)</f>
        <v>0</v>
      </c>
      <c r="I1280" s="35"/>
      <c r="J1280" s="36">
        <f>IFERROR(I1280/$Q1280,0)</f>
        <v>0</v>
      </c>
      <c r="K1280" s="40"/>
      <c r="L1280" s="36">
        <f>IFERROR(K1280/$R1280,0)</f>
        <v>0</v>
      </c>
      <c r="M1280" s="35"/>
      <c r="N1280" s="36">
        <f>IFERROR(M1280/$Q1280,0)</f>
        <v>0</v>
      </c>
      <c r="O1280" s="40"/>
      <c r="P1280" s="36">
        <f>IFERROR(O1280/$R1280,0)</f>
        <v>0</v>
      </c>
      <c r="Q1280" s="35"/>
      <c r="R1280" s="40"/>
    </row>
    <row r="1281" spans="1:18" ht="15.75" customHeight="1" x14ac:dyDescent="0.25">
      <c r="A1281" s="37">
        <v>2015</v>
      </c>
      <c r="B1281" s="35">
        <v>170382</v>
      </c>
      <c r="C1281" s="34" t="s">
        <v>145</v>
      </c>
      <c r="D1281" s="34" t="s">
        <v>33</v>
      </c>
      <c r="E1281" s="35"/>
      <c r="F1281" s="36">
        <f>IFERROR(E1281/$Q1281,0)</f>
        <v>0</v>
      </c>
      <c r="G1281" s="40"/>
      <c r="H1281" s="36">
        <f>IFERROR(G1281/$R1281,0)</f>
        <v>0</v>
      </c>
      <c r="I1281" s="35"/>
      <c r="J1281" s="36">
        <f>IFERROR(I1281/$Q1281,0)</f>
        <v>0</v>
      </c>
      <c r="K1281" s="40"/>
      <c r="L1281" s="36">
        <f>IFERROR(K1281/$R1281,0)</f>
        <v>0</v>
      </c>
      <c r="M1281" s="35"/>
      <c r="N1281" s="36">
        <f>IFERROR(M1281/$Q1281,0)</f>
        <v>0</v>
      </c>
      <c r="O1281" s="40"/>
      <c r="P1281" s="36">
        <f>IFERROR(O1281/$R1281,0)</f>
        <v>0</v>
      </c>
      <c r="Q1281" s="35"/>
      <c r="R1281" s="40"/>
    </row>
    <row r="1282" spans="1:18" ht="15.75" customHeight="1" x14ac:dyDescent="0.25">
      <c r="A1282" s="37">
        <v>2015</v>
      </c>
      <c r="B1282" s="35">
        <v>170384</v>
      </c>
      <c r="C1282" s="34" t="s">
        <v>149</v>
      </c>
      <c r="D1282" s="34" t="s">
        <v>34</v>
      </c>
      <c r="E1282" s="35"/>
      <c r="F1282" s="36">
        <f>IFERROR(E1282/$Q1282,0)</f>
        <v>0</v>
      </c>
      <c r="G1282" s="40"/>
      <c r="H1282" s="36">
        <f>IFERROR(G1282/$R1282,0)</f>
        <v>0</v>
      </c>
      <c r="I1282" s="35"/>
      <c r="J1282" s="36">
        <f>IFERROR(I1282/$Q1282,0)</f>
        <v>0</v>
      </c>
      <c r="K1282" s="40"/>
      <c r="L1282" s="36">
        <f>IFERROR(K1282/$R1282,0)</f>
        <v>0</v>
      </c>
      <c r="M1282" s="35"/>
      <c r="N1282" s="36">
        <f>IFERROR(M1282/$Q1282,0)</f>
        <v>0</v>
      </c>
      <c r="O1282" s="40"/>
      <c r="P1282" s="36">
        <f>IFERROR(O1282/$R1282,0)</f>
        <v>0</v>
      </c>
      <c r="Q1282" s="35"/>
      <c r="R1282" s="40"/>
    </row>
    <row r="1283" spans="1:18" ht="15.75" customHeight="1" x14ac:dyDescent="0.25">
      <c r="A1283" s="37">
        <v>2015</v>
      </c>
      <c r="B1283" s="35">
        <v>170386</v>
      </c>
      <c r="C1283" s="34" t="s">
        <v>146</v>
      </c>
      <c r="D1283" s="34" t="s">
        <v>35</v>
      </c>
      <c r="E1283" s="35"/>
      <c r="F1283" s="36">
        <f>IFERROR(E1283/$Q1283,0)</f>
        <v>0</v>
      </c>
      <c r="G1283" s="40"/>
      <c r="H1283" s="36">
        <f>IFERROR(G1283/$R1283,0)</f>
        <v>0</v>
      </c>
      <c r="I1283" s="35"/>
      <c r="J1283" s="36">
        <f>IFERROR(I1283/$Q1283,0)</f>
        <v>0</v>
      </c>
      <c r="K1283" s="40"/>
      <c r="L1283" s="36">
        <f>IFERROR(K1283/$R1283,0)</f>
        <v>0</v>
      </c>
      <c r="M1283" s="35"/>
      <c r="N1283" s="36">
        <f>IFERROR(M1283/$Q1283,0)</f>
        <v>0</v>
      </c>
      <c r="O1283" s="40"/>
      <c r="P1283" s="36">
        <f>IFERROR(O1283/$R1283,0)</f>
        <v>0</v>
      </c>
      <c r="Q1283" s="35"/>
      <c r="R1283" s="40"/>
    </row>
    <row r="1284" spans="1:18" ht="15.75" customHeight="1" x14ac:dyDescent="0.25">
      <c r="A1284" s="37">
        <v>2015</v>
      </c>
      <c r="B1284" s="35">
        <v>170388</v>
      </c>
      <c r="C1284" s="34" t="s">
        <v>149</v>
      </c>
      <c r="D1284" s="34" t="s">
        <v>36</v>
      </c>
      <c r="E1284" s="35"/>
      <c r="F1284" s="36">
        <f>IFERROR(E1284/$Q1284,0)</f>
        <v>0</v>
      </c>
      <c r="G1284" s="40"/>
      <c r="H1284" s="36">
        <f>IFERROR(G1284/$R1284,0)</f>
        <v>0</v>
      </c>
      <c r="I1284" s="35"/>
      <c r="J1284" s="36">
        <f>IFERROR(I1284/$Q1284,0)</f>
        <v>0</v>
      </c>
      <c r="K1284" s="40"/>
      <c r="L1284" s="36">
        <f>IFERROR(K1284/$R1284,0)</f>
        <v>0</v>
      </c>
      <c r="M1284" s="35"/>
      <c r="N1284" s="36">
        <f>IFERROR(M1284/$Q1284,0)</f>
        <v>0</v>
      </c>
      <c r="O1284" s="40"/>
      <c r="P1284" s="36">
        <f>IFERROR(O1284/$R1284,0)</f>
        <v>0</v>
      </c>
      <c r="Q1284" s="35"/>
      <c r="R1284" s="40"/>
    </row>
    <row r="1285" spans="1:18" ht="15.75" customHeight="1" x14ac:dyDescent="0.25">
      <c r="A1285" s="37">
        <v>2015</v>
      </c>
      <c r="B1285" s="35">
        <v>170389</v>
      </c>
      <c r="C1285" s="34" t="s">
        <v>145</v>
      </c>
      <c r="D1285" s="34" t="s">
        <v>37</v>
      </c>
      <c r="E1285" s="35"/>
      <c r="F1285" s="36">
        <f>IFERROR(E1285/$Q1285,0)</f>
        <v>0</v>
      </c>
      <c r="G1285" s="40"/>
      <c r="H1285" s="36">
        <f>IFERROR(G1285/$R1285,0)</f>
        <v>0</v>
      </c>
      <c r="I1285" s="35"/>
      <c r="J1285" s="36">
        <f>IFERROR(I1285/$Q1285,0)</f>
        <v>0</v>
      </c>
      <c r="K1285" s="40"/>
      <c r="L1285" s="36">
        <f>IFERROR(K1285/$R1285,0)</f>
        <v>0</v>
      </c>
      <c r="M1285" s="35"/>
      <c r="N1285" s="36">
        <f>IFERROR(M1285/$Q1285,0)</f>
        <v>0</v>
      </c>
      <c r="O1285" s="40"/>
      <c r="P1285" s="36">
        <f>IFERROR(O1285/$R1285,0)</f>
        <v>0</v>
      </c>
      <c r="Q1285" s="35"/>
      <c r="R1285" s="40"/>
    </row>
    <row r="1286" spans="1:18" ht="15.75" customHeight="1" x14ac:dyDescent="0.25">
      <c r="A1286" s="37">
        <v>2015</v>
      </c>
      <c r="B1286" s="35">
        <v>170390</v>
      </c>
      <c r="C1286" s="34" t="s">
        <v>144</v>
      </c>
      <c r="D1286" s="34" t="s">
        <v>38</v>
      </c>
      <c r="E1286" s="35"/>
      <c r="F1286" s="36">
        <f>IFERROR(E1286/$Q1286,0)</f>
        <v>0</v>
      </c>
      <c r="G1286" s="40"/>
      <c r="H1286" s="36">
        <f>IFERROR(G1286/$R1286,0)</f>
        <v>0</v>
      </c>
      <c r="I1286" s="35"/>
      <c r="J1286" s="36">
        <f>IFERROR(I1286/$Q1286,0)</f>
        <v>0</v>
      </c>
      <c r="K1286" s="40"/>
      <c r="L1286" s="36">
        <f>IFERROR(K1286/$R1286,0)</f>
        <v>0</v>
      </c>
      <c r="M1286" s="35"/>
      <c r="N1286" s="36">
        <f>IFERROR(M1286/$Q1286,0)</f>
        <v>0</v>
      </c>
      <c r="O1286" s="40"/>
      <c r="P1286" s="36">
        <f>IFERROR(O1286/$R1286,0)</f>
        <v>0</v>
      </c>
      <c r="Q1286" s="35"/>
      <c r="R1286" s="40"/>
    </row>
    <row r="1287" spans="1:18" ht="15.75" customHeight="1" x14ac:dyDescent="0.25">
      <c r="A1287" s="37">
        <v>2015</v>
      </c>
      <c r="B1287" s="35">
        <v>170410</v>
      </c>
      <c r="C1287" s="34" t="s">
        <v>150</v>
      </c>
      <c r="D1287" s="34" t="s">
        <v>39</v>
      </c>
      <c r="E1287" s="35"/>
      <c r="F1287" s="36">
        <f>IFERROR(E1287/$Q1287,0)</f>
        <v>0</v>
      </c>
      <c r="G1287" s="40"/>
      <c r="H1287" s="36">
        <f>IFERROR(G1287/$R1287,0)</f>
        <v>0</v>
      </c>
      <c r="I1287" s="35"/>
      <c r="J1287" s="36">
        <f>IFERROR(I1287/$Q1287,0)</f>
        <v>0</v>
      </c>
      <c r="K1287" s="40"/>
      <c r="L1287" s="36">
        <f>IFERROR(K1287/$R1287,0)</f>
        <v>0</v>
      </c>
      <c r="M1287" s="35"/>
      <c r="N1287" s="36">
        <f>IFERROR(M1287/$Q1287,0)</f>
        <v>0</v>
      </c>
      <c r="O1287" s="40"/>
      <c r="P1287" s="36">
        <f>IFERROR(O1287/$R1287,0)</f>
        <v>0</v>
      </c>
      <c r="Q1287" s="35"/>
      <c r="R1287" s="40"/>
    </row>
    <row r="1288" spans="1:18" ht="15.75" customHeight="1" x14ac:dyDescent="0.25">
      <c r="A1288" s="37">
        <v>2015</v>
      </c>
      <c r="B1288" s="35">
        <v>170510</v>
      </c>
      <c r="C1288" s="34" t="s">
        <v>151</v>
      </c>
      <c r="D1288" s="34" t="s">
        <v>40</v>
      </c>
      <c r="E1288" s="35"/>
      <c r="F1288" s="36">
        <f>IFERROR(E1288/$Q1288,0)</f>
        <v>0</v>
      </c>
      <c r="G1288" s="40"/>
      <c r="H1288" s="36">
        <f>IFERROR(G1288/$R1288,0)</f>
        <v>0</v>
      </c>
      <c r="I1288" s="35"/>
      <c r="J1288" s="36">
        <f>IFERROR(I1288/$Q1288,0)</f>
        <v>0</v>
      </c>
      <c r="K1288" s="40"/>
      <c r="L1288" s="36">
        <f>IFERROR(K1288/$R1288,0)</f>
        <v>0</v>
      </c>
      <c r="M1288" s="35"/>
      <c r="N1288" s="36">
        <f>IFERROR(M1288/$Q1288,0)</f>
        <v>0</v>
      </c>
      <c r="O1288" s="40"/>
      <c r="P1288" s="36">
        <f>IFERROR(O1288/$R1288,0)</f>
        <v>0</v>
      </c>
      <c r="Q1288" s="35"/>
      <c r="R1288" s="40"/>
    </row>
    <row r="1289" spans="1:18" ht="15.75" customHeight="1" x14ac:dyDescent="0.25">
      <c r="A1289" s="37">
        <v>2015</v>
      </c>
      <c r="B1289" s="35">
        <v>170460</v>
      </c>
      <c r="C1289" s="34" t="s">
        <v>144</v>
      </c>
      <c r="D1289" s="34" t="s">
        <v>41</v>
      </c>
      <c r="E1289" s="35"/>
      <c r="F1289" s="36">
        <f>IFERROR(E1289/$Q1289,0)</f>
        <v>0</v>
      </c>
      <c r="G1289" s="40"/>
      <c r="H1289" s="36">
        <f>IFERROR(G1289/$R1289,0)</f>
        <v>0</v>
      </c>
      <c r="I1289" s="35"/>
      <c r="J1289" s="36">
        <f>IFERROR(I1289/$Q1289,0)</f>
        <v>0</v>
      </c>
      <c r="K1289" s="40"/>
      <c r="L1289" s="36">
        <f>IFERROR(K1289/$R1289,0)</f>
        <v>0</v>
      </c>
      <c r="M1289" s="35"/>
      <c r="N1289" s="36">
        <f>IFERROR(M1289/$Q1289,0)</f>
        <v>0</v>
      </c>
      <c r="O1289" s="40"/>
      <c r="P1289" s="36">
        <f>IFERROR(O1289/$R1289,0)</f>
        <v>0</v>
      </c>
      <c r="Q1289" s="35"/>
      <c r="R1289" s="40"/>
    </row>
    <row r="1290" spans="1:18" ht="15.75" customHeight="1" x14ac:dyDescent="0.25">
      <c r="A1290" s="37">
        <v>2015</v>
      </c>
      <c r="B1290" s="35">
        <v>170550</v>
      </c>
      <c r="C1290" s="34" t="s">
        <v>150</v>
      </c>
      <c r="D1290" s="34" t="s">
        <v>42</v>
      </c>
      <c r="E1290" s="35"/>
      <c r="F1290" s="36">
        <f>IFERROR(E1290/$Q1290,0)</f>
        <v>0</v>
      </c>
      <c r="G1290" s="40"/>
      <c r="H1290" s="36">
        <f>IFERROR(G1290/$R1290,0)</f>
        <v>0</v>
      </c>
      <c r="I1290" s="35"/>
      <c r="J1290" s="36">
        <f>IFERROR(I1290/$Q1290,0)</f>
        <v>0</v>
      </c>
      <c r="K1290" s="40"/>
      <c r="L1290" s="36">
        <f>IFERROR(K1290/$R1290,0)</f>
        <v>0</v>
      </c>
      <c r="M1290" s="35"/>
      <c r="N1290" s="36">
        <f>IFERROR(M1290/$Q1290,0)</f>
        <v>0</v>
      </c>
      <c r="O1290" s="40"/>
      <c r="P1290" s="36">
        <f>IFERROR(O1290/$R1290,0)</f>
        <v>0</v>
      </c>
      <c r="Q1290" s="35"/>
      <c r="R1290" s="40"/>
    </row>
    <row r="1291" spans="1:18" ht="15.75" customHeight="1" x14ac:dyDescent="0.25">
      <c r="A1291" s="37">
        <v>2015</v>
      </c>
      <c r="B1291" s="35">
        <v>171670</v>
      </c>
      <c r="C1291" s="34" t="s">
        <v>150</v>
      </c>
      <c r="D1291" s="34" t="s">
        <v>43</v>
      </c>
      <c r="E1291" s="35"/>
      <c r="F1291" s="36">
        <f>IFERROR(E1291/$Q1291,0)</f>
        <v>0</v>
      </c>
      <c r="G1291" s="40"/>
      <c r="H1291" s="36">
        <f>IFERROR(G1291/$R1291,0)</f>
        <v>0</v>
      </c>
      <c r="I1291" s="35"/>
      <c r="J1291" s="36">
        <f>IFERROR(I1291/$Q1291,0)</f>
        <v>0</v>
      </c>
      <c r="K1291" s="40"/>
      <c r="L1291" s="36">
        <f>IFERROR(K1291/$R1291,0)</f>
        <v>0</v>
      </c>
      <c r="M1291" s="35"/>
      <c r="N1291" s="36">
        <f>IFERROR(M1291/$Q1291,0)</f>
        <v>0</v>
      </c>
      <c r="O1291" s="40"/>
      <c r="P1291" s="36">
        <f>IFERROR(O1291/$R1291,0)</f>
        <v>0</v>
      </c>
      <c r="Q1291" s="35"/>
      <c r="R1291" s="40"/>
    </row>
    <row r="1292" spans="1:18" ht="15.75" customHeight="1" x14ac:dyDescent="0.25">
      <c r="A1292" s="37">
        <v>2015</v>
      </c>
      <c r="B1292" s="35">
        <v>170555</v>
      </c>
      <c r="C1292" s="34" t="s">
        <v>147</v>
      </c>
      <c r="D1292" s="34" t="s">
        <v>44</v>
      </c>
      <c r="E1292" s="35"/>
      <c r="F1292" s="36">
        <f>IFERROR(E1292/$Q1292,0)</f>
        <v>0</v>
      </c>
      <c r="G1292" s="40"/>
      <c r="H1292" s="36">
        <f>IFERROR(G1292/$R1292,0)</f>
        <v>0</v>
      </c>
      <c r="I1292" s="35"/>
      <c r="J1292" s="36">
        <f>IFERROR(I1292/$Q1292,0)</f>
        <v>0</v>
      </c>
      <c r="K1292" s="40"/>
      <c r="L1292" s="36">
        <f>IFERROR(K1292/$R1292,0)</f>
        <v>0</v>
      </c>
      <c r="M1292" s="35"/>
      <c r="N1292" s="36">
        <f>IFERROR(M1292/$Q1292,0)</f>
        <v>0</v>
      </c>
      <c r="O1292" s="40"/>
      <c r="P1292" s="36">
        <f>IFERROR(O1292/$R1292,0)</f>
        <v>0</v>
      </c>
      <c r="Q1292" s="35"/>
      <c r="R1292" s="40"/>
    </row>
    <row r="1293" spans="1:18" ht="15.75" customHeight="1" x14ac:dyDescent="0.25">
      <c r="A1293" s="37">
        <v>2015</v>
      </c>
      <c r="B1293" s="35">
        <v>170560</v>
      </c>
      <c r="C1293" s="34" t="s">
        <v>147</v>
      </c>
      <c r="D1293" s="34" t="s">
        <v>45</v>
      </c>
      <c r="E1293" s="35"/>
      <c r="F1293" s="36">
        <f>IFERROR(E1293/$Q1293,0)</f>
        <v>0</v>
      </c>
      <c r="G1293" s="40"/>
      <c r="H1293" s="36">
        <f>IFERROR(G1293/$R1293,0)</f>
        <v>0</v>
      </c>
      <c r="I1293" s="35"/>
      <c r="J1293" s="36">
        <f>IFERROR(I1293/$Q1293,0)</f>
        <v>0</v>
      </c>
      <c r="K1293" s="40"/>
      <c r="L1293" s="36">
        <f>IFERROR(K1293/$R1293,0)</f>
        <v>0</v>
      </c>
      <c r="M1293" s="35"/>
      <c r="N1293" s="36">
        <f>IFERROR(M1293/$Q1293,0)</f>
        <v>0</v>
      </c>
      <c r="O1293" s="40"/>
      <c r="P1293" s="36">
        <f>IFERROR(O1293/$R1293,0)</f>
        <v>0</v>
      </c>
      <c r="Q1293" s="35"/>
      <c r="R1293" s="40"/>
    </row>
    <row r="1294" spans="1:18" ht="15.75" customHeight="1" x14ac:dyDescent="0.25">
      <c r="A1294" s="37">
        <v>2015</v>
      </c>
      <c r="B1294" s="35">
        <v>170600</v>
      </c>
      <c r="C1294" s="34" t="s">
        <v>150</v>
      </c>
      <c r="D1294" s="34" t="s">
        <v>46</v>
      </c>
      <c r="E1294" s="35"/>
      <c r="F1294" s="36">
        <f>IFERROR(E1294/$Q1294,0)</f>
        <v>0</v>
      </c>
      <c r="G1294" s="40"/>
      <c r="H1294" s="36">
        <f>IFERROR(G1294/$R1294,0)</f>
        <v>0</v>
      </c>
      <c r="I1294" s="35"/>
      <c r="J1294" s="36">
        <f>IFERROR(I1294/$Q1294,0)</f>
        <v>0</v>
      </c>
      <c r="K1294" s="40"/>
      <c r="L1294" s="36">
        <f>IFERROR(K1294/$R1294,0)</f>
        <v>0</v>
      </c>
      <c r="M1294" s="35"/>
      <c r="N1294" s="36">
        <f>IFERROR(M1294/$Q1294,0)</f>
        <v>0</v>
      </c>
      <c r="O1294" s="40"/>
      <c r="P1294" s="36">
        <f>IFERROR(O1294/$R1294,0)</f>
        <v>0</v>
      </c>
      <c r="Q1294" s="35"/>
      <c r="R1294" s="40"/>
    </row>
    <row r="1295" spans="1:18" ht="15.75" customHeight="1" x14ac:dyDescent="0.25">
      <c r="A1295" s="37">
        <v>2015</v>
      </c>
      <c r="B1295" s="35">
        <v>170610</v>
      </c>
      <c r="C1295" s="34" t="s">
        <v>144</v>
      </c>
      <c r="D1295" s="34" t="s">
        <v>47</v>
      </c>
      <c r="E1295" s="35"/>
      <c r="F1295" s="36">
        <f>IFERROR(E1295/$Q1295,0)</f>
        <v>0</v>
      </c>
      <c r="G1295" s="40"/>
      <c r="H1295" s="36">
        <f>IFERROR(G1295/$R1295,0)</f>
        <v>0</v>
      </c>
      <c r="I1295" s="35"/>
      <c r="J1295" s="36">
        <f>IFERROR(I1295/$Q1295,0)</f>
        <v>0</v>
      </c>
      <c r="K1295" s="40"/>
      <c r="L1295" s="36">
        <f>IFERROR(K1295/$R1295,0)</f>
        <v>0</v>
      </c>
      <c r="M1295" s="35"/>
      <c r="N1295" s="36">
        <f>IFERROR(M1295/$Q1295,0)</f>
        <v>0</v>
      </c>
      <c r="O1295" s="40"/>
      <c r="P1295" s="36">
        <f>IFERROR(O1295/$R1295,0)</f>
        <v>0</v>
      </c>
      <c r="Q1295" s="35"/>
      <c r="R1295" s="40"/>
    </row>
    <row r="1296" spans="1:18" ht="15.75" customHeight="1" x14ac:dyDescent="0.25">
      <c r="A1296" s="37">
        <v>2015</v>
      </c>
      <c r="B1296" s="35">
        <v>170625</v>
      </c>
      <c r="C1296" s="34" t="s">
        <v>146</v>
      </c>
      <c r="D1296" s="34" t="s">
        <v>48</v>
      </c>
      <c r="E1296" s="35"/>
      <c r="F1296" s="36">
        <f>IFERROR(E1296/$Q1296,0)</f>
        <v>0</v>
      </c>
      <c r="G1296" s="40"/>
      <c r="H1296" s="36">
        <f>IFERROR(G1296/$R1296,0)</f>
        <v>0</v>
      </c>
      <c r="I1296" s="35"/>
      <c r="J1296" s="36">
        <f>IFERROR(I1296/$Q1296,0)</f>
        <v>0</v>
      </c>
      <c r="K1296" s="40"/>
      <c r="L1296" s="36">
        <f>IFERROR(K1296/$R1296,0)</f>
        <v>0</v>
      </c>
      <c r="M1296" s="35"/>
      <c r="N1296" s="36">
        <f>IFERROR(M1296/$Q1296,0)</f>
        <v>0</v>
      </c>
      <c r="O1296" s="40"/>
      <c r="P1296" s="36">
        <f>IFERROR(O1296/$R1296,0)</f>
        <v>0</v>
      </c>
      <c r="Q1296" s="35"/>
      <c r="R1296" s="40"/>
    </row>
    <row r="1297" spans="1:18" ht="15.75" customHeight="1" x14ac:dyDescent="0.25">
      <c r="A1297" s="37">
        <v>2015</v>
      </c>
      <c r="B1297" s="35">
        <v>170650</v>
      </c>
      <c r="C1297" s="34" t="s">
        <v>149</v>
      </c>
      <c r="D1297" s="34" t="s">
        <v>49</v>
      </c>
      <c r="E1297" s="35"/>
      <c r="F1297" s="36">
        <f>IFERROR(E1297/$Q1297,0)</f>
        <v>0</v>
      </c>
      <c r="G1297" s="40"/>
      <c r="H1297" s="36">
        <f>IFERROR(G1297/$R1297,0)</f>
        <v>0</v>
      </c>
      <c r="I1297" s="35"/>
      <c r="J1297" s="36">
        <f>IFERROR(I1297/$Q1297,0)</f>
        <v>0</v>
      </c>
      <c r="K1297" s="40"/>
      <c r="L1297" s="36">
        <f>IFERROR(K1297/$R1297,0)</f>
        <v>0</v>
      </c>
      <c r="M1297" s="35"/>
      <c r="N1297" s="36">
        <f>IFERROR(M1297/$Q1297,0)</f>
        <v>0</v>
      </c>
      <c r="O1297" s="40"/>
      <c r="P1297" s="36">
        <f>IFERROR(O1297/$R1297,0)</f>
        <v>0</v>
      </c>
      <c r="Q1297" s="35"/>
      <c r="R1297" s="40"/>
    </row>
    <row r="1298" spans="1:18" ht="15.75" customHeight="1" x14ac:dyDescent="0.25">
      <c r="A1298" s="37">
        <v>2015</v>
      </c>
      <c r="B1298" s="35">
        <v>170700</v>
      </c>
      <c r="C1298" s="34" t="s">
        <v>147</v>
      </c>
      <c r="D1298" s="34" t="s">
        <v>50</v>
      </c>
      <c r="E1298" s="35"/>
      <c r="F1298" s="36">
        <f>IFERROR(E1298/$Q1298,0)</f>
        <v>0</v>
      </c>
      <c r="G1298" s="40"/>
      <c r="H1298" s="36">
        <f>IFERROR(G1298/$R1298,0)</f>
        <v>0</v>
      </c>
      <c r="I1298" s="35"/>
      <c r="J1298" s="36">
        <f>IFERROR(I1298/$Q1298,0)</f>
        <v>0</v>
      </c>
      <c r="K1298" s="40"/>
      <c r="L1298" s="36">
        <f>IFERROR(K1298/$R1298,0)</f>
        <v>0</v>
      </c>
      <c r="M1298" s="35"/>
      <c r="N1298" s="36">
        <f>IFERROR(M1298/$Q1298,0)</f>
        <v>0</v>
      </c>
      <c r="O1298" s="40"/>
      <c r="P1298" s="36">
        <f>IFERROR(O1298/$R1298,0)</f>
        <v>0</v>
      </c>
      <c r="Q1298" s="35"/>
      <c r="R1298" s="40"/>
    </row>
    <row r="1299" spans="1:18" ht="15.75" customHeight="1" x14ac:dyDescent="0.25">
      <c r="A1299" s="37">
        <v>2015</v>
      </c>
      <c r="B1299" s="35">
        <v>170710</v>
      </c>
      <c r="C1299" s="34" t="s">
        <v>144</v>
      </c>
      <c r="D1299" s="34" t="s">
        <v>51</v>
      </c>
      <c r="E1299" s="35"/>
      <c r="F1299" s="36">
        <f>IFERROR(E1299/$Q1299,0)</f>
        <v>0</v>
      </c>
      <c r="G1299" s="40"/>
      <c r="H1299" s="36">
        <f>IFERROR(G1299/$R1299,0)</f>
        <v>0</v>
      </c>
      <c r="I1299" s="35"/>
      <c r="J1299" s="36">
        <f>IFERROR(I1299/$Q1299,0)</f>
        <v>0</v>
      </c>
      <c r="K1299" s="40"/>
      <c r="L1299" s="36">
        <f>IFERROR(K1299/$R1299,0)</f>
        <v>0</v>
      </c>
      <c r="M1299" s="35"/>
      <c r="N1299" s="36">
        <f>IFERROR(M1299/$Q1299,0)</f>
        <v>0</v>
      </c>
      <c r="O1299" s="40"/>
      <c r="P1299" s="36">
        <f>IFERROR(O1299/$R1299,0)</f>
        <v>0</v>
      </c>
      <c r="Q1299" s="35"/>
      <c r="R1299" s="40"/>
    </row>
    <row r="1300" spans="1:18" ht="15.75" customHeight="1" x14ac:dyDescent="0.25">
      <c r="A1300" s="37">
        <v>2015</v>
      </c>
      <c r="B1300" s="35">
        <v>170720</v>
      </c>
      <c r="C1300" s="34" t="s">
        <v>144</v>
      </c>
      <c r="D1300" s="34" t="s">
        <v>52</v>
      </c>
      <c r="E1300" s="35"/>
      <c r="F1300" s="36">
        <f>IFERROR(E1300/$Q1300,0)</f>
        <v>0</v>
      </c>
      <c r="G1300" s="40"/>
      <c r="H1300" s="36">
        <f>IFERROR(G1300/$R1300,0)</f>
        <v>0</v>
      </c>
      <c r="I1300" s="35"/>
      <c r="J1300" s="36">
        <f>IFERROR(I1300/$Q1300,0)</f>
        <v>0</v>
      </c>
      <c r="K1300" s="40"/>
      <c r="L1300" s="36">
        <f>IFERROR(K1300/$R1300,0)</f>
        <v>0</v>
      </c>
      <c r="M1300" s="35"/>
      <c r="N1300" s="36">
        <f>IFERROR(M1300/$Q1300,0)</f>
        <v>0</v>
      </c>
      <c r="O1300" s="40"/>
      <c r="P1300" s="36">
        <f>IFERROR(O1300/$R1300,0)</f>
        <v>0</v>
      </c>
      <c r="Q1300" s="35"/>
      <c r="R1300" s="40"/>
    </row>
    <row r="1301" spans="1:18" ht="15.75" customHeight="1" x14ac:dyDescent="0.25">
      <c r="A1301" s="37">
        <v>2015</v>
      </c>
      <c r="B1301" s="35">
        <v>170730</v>
      </c>
      <c r="C1301" s="34" t="s">
        <v>146</v>
      </c>
      <c r="D1301" s="34" t="s">
        <v>53</v>
      </c>
      <c r="E1301" s="35"/>
      <c r="F1301" s="36">
        <f>IFERROR(E1301/$Q1301,0)</f>
        <v>0</v>
      </c>
      <c r="G1301" s="40"/>
      <c r="H1301" s="36">
        <f>IFERROR(G1301/$R1301,0)</f>
        <v>0</v>
      </c>
      <c r="I1301" s="35"/>
      <c r="J1301" s="36">
        <f>IFERROR(I1301/$Q1301,0)</f>
        <v>0</v>
      </c>
      <c r="K1301" s="40"/>
      <c r="L1301" s="36">
        <f>IFERROR(K1301/$R1301,0)</f>
        <v>0</v>
      </c>
      <c r="M1301" s="35"/>
      <c r="N1301" s="36">
        <f>IFERROR(M1301/$Q1301,0)</f>
        <v>0</v>
      </c>
      <c r="O1301" s="40"/>
      <c r="P1301" s="36">
        <f>IFERROR(O1301/$R1301,0)</f>
        <v>0</v>
      </c>
      <c r="Q1301" s="35"/>
      <c r="R1301" s="40"/>
    </row>
    <row r="1302" spans="1:18" ht="15.75" customHeight="1" x14ac:dyDescent="0.25">
      <c r="A1302" s="37">
        <v>2015</v>
      </c>
      <c r="B1302" s="35">
        <v>170740</v>
      </c>
      <c r="C1302" s="34" t="s">
        <v>145</v>
      </c>
      <c r="D1302" s="34" t="s">
        <v>54</v>
      </c>
      <c r="E1302" s="35"/>
      <c r="F1302" s="36">
        <f>IFERROR(E1302/$Q1302,0)</f>
        <v>0</v>
      </c>
      <c r="G1302" s="40"/>
      <c r="H1302" s="36">
        <f>IFERROR(G1302/$R1302,0)</f>
        <v>0</v>
      </c>
      <c r="I1302" s="35"/>
      <c r="J1302" s="36">
        <f>IFERROR(I1302/$Q1302,0)</f>
        <v>0</v>
      </c>
      <c r="K1302" s="40"/>
      <c r="L1302" s="36">
        <f>IFERROR(K1302/$R1302,0)</f>
        <v>0</v>
      </c>
      <c r="M1302" s="35"/>
      <c r="N1302" s="36">
        <f>IFERROR(M1302/$Q1302,0)</f>
        <v>0</v>
      </c>
      <c r="O1302" s="40"/>
      <c r="P1302" s="36">
        <f>IFERROR(O1302/$R1302,0)</f>
        <v>0</v>
      </c>
      <c r="Q1302" s="35"/>
      <c r="R1302" s="40"/>
    </row>
    <row r="1303" spans="1:18" ht="15.75" customHeight="1" x14ac:dyDescent="0.25">
      <c r="A1303" s="37">
        <v>2015</v>
      </c>
      <c r="B1303" s="35">
        <v>170755</v>
      </c>
      <c r="C1303" s="34" t="s">
        <v>151</v>
      </c>
      <c r="D1303" s="34" t="s">
        <v>55</v>
      </c>
      <c r="E1303" s="35"/>
      <c r="F1303" s="36">
        <f>IFERROR(E1303/$Q1303,0)</f>
        <v>0</v>
      </c>
      <c r="G1303" s="40"/>
      <c r="H1303" s="36">
        <f>IFERROR(G1303/$R1303,0)</f>
        <v>0</v>
      </c>
      <c r="I1303" s="35"/>
      <c r="J1303" s="36">
        <f>IFERROR(I1303/$Q1303,0)</f>
        <v>0</v>
      </c>
      <c r="K1303" s="40"/>
      <c r="L1303" s="36">
        <f>IFERROR(K1303/$R1303,0)</f>
        <v>0</v>
      </c>
      <c r="M1303" s="35"/>
      <c r="N1303" s="36">
        <f>IFERROR(M1303/$Q1303,0)</f>
        <v>0</v>
      </c>
      <c r="O1303" s="40"/>
      <c r="P1303" s="36">
        <f>IFERROR(O1303/$R1303,0)</f>
        <v>0</v>
      </c>
      <c r="Q1303" s="35"/>
      <c r="R1303" s="40"/>
    </row>
    <row r="1304" spans="1:18" ht="15.75" customHeight="1" x14ac:dyDescent="0.25">
      <c r="A1304" s="37">
        <v>2015</v>
      </c>
      <c r="B1304" s="35">
        <v>170765</v>
      </c>
      <c r="C1304" s="34" t="s">
        <v>146</v>
      </c>
      <c r="D1304" s="34" t="s">
        <v>56</v>
      </c>
      <c r="E1304" s="35"/>
      <c r="F1304" s="36">
        <f>IFERROR(E1304/$Q1304,0)</f>
        <v>0</v>
      </c>
      <c r="G1304" s="40"/>
      <c r="H1304" s="36">
        <f>IFERROR(G1304/$R1304,0)</f>
        <v>0</v>
      </c>
      <c r="I1304" s="35"/>
      <c r="J1304" s="36">
        <f>IFERROR(I1304/$Q1304,0)</f>
        <v>0</v>
      </c>
      <c r="K1304" s="40"/>
      <c r="L1304" s="36">
        <f>IFERROR(K1304/$R1304,0)</f>
        <v>0</v>
      </c>
      <c r="M1304" s="35"/>
      <c r="N1304" s="36">
        <f>IFERROR(M1304/$Q1304,0)</f>
        <v>0</v>
      </c>
      <c r="O1304" s="40"/>
      <c r="P1304" s="36">
        <f>IFERROR(O1304/$R1304,0)</f>
        <v>0</v>
      </c>
      <c r="Q1304" s="35"/>
      <c r="R1304" s="40"/>
    </row>
    <row r="1305" spans="1:18" ht="15.75" customHeight="1" x14ac:dyDescent="0.25">
      <c r="A1305" s="37">
        <v>2015</v>
      </c>
      <c r="B1305" s="35">
        <v>170770</v>
      </c>
      <c r="C1305" s="34" t="s">
        <v>149</v>
      </c>
      <c r="D1305" s="34" t="s">
        <v>57</v>
      </c>
      <c r="E1305" s="35"/>
      <c r="F1305" s="36">
        <f>IFERROR(E1305/$Q1305,0)</f>
        <v>0</v>
      </c>
      <c r="G1305" s="40"/>
      <c r="H1305" s="36">
        <f>IFERROR(G1305/$R1305,0)</f>
        <v>0</v>
      </c>
      <c r="I1305" s="35"/>
      <c r="J1305" s="36">
        <f>IFERROR(I1305/$Q1305,0)</f>
        <v>0</v>
      </c>
      <c r="K1305" s="40"/>
      <c r="L1305" s="36">
        <f>IFERROR(K1305/$R1305,0)</f>
        <v>0</v>
      </c>
      <c r="M1305" s="35"/>
      <c r="N1305" s="36">
        <f>IFERROR(M1305/$Q1305,0)</f>
        <v>0</v>
      </c>
      <c r="O1305" s="40"/>
      <c r="P1305" s="36">
        <f>IFERROR(O1305/$R1305,0)</f>
        <v>0</v>
      </c>
      <c r="Q1305" s="35"/>
      <c r="R1305" s="40"/>
    </row>
    <row r="1306" spans="1:18" ht="15.75" customHeight="1" x14ac:dyDescent="0.25">
      <c r="A1306" s="37">
        <v>2015</v>
      </c>
      <c r="B1306" s="35">
        <v>170820</v>
      </c>
      <c r="C1306" s="34" t="s">
        <v>146</v>
      </c>
      <c r="D1306" s="34" t="s">
        <v>58</v>
      </c>
      <c r="E1306" s="35"/>
      <c r="F1306" s="36">
        <f>IFERROR(E1306/$Q1306,0)</f>
        <v>0</v>
      </c>
      <c r="G1306" s="40"/>
      <c r="H1306" s="36">
        <f>IFERROR(G1306/$R1306,0)</f>
        <v>0</v>
      </c>
      <c r="I1306" s="35"/>
      <c r="J1306" s="36">
        <f>IFERROR(I1306/$Q1306,0)</f>
        <v>0</v>
      </c>
      <c r="K1306" s="40"/>
      <c r="L1306" s="36">
        <f>IFERROR(K1306/$R1306,0)</f>
        <v>0</v>
      </c>
      <c r="M1306" s="35"/>
      <c r="N1306" s="36">
        <f>IFERROR(M1306/$Q1306,0)</f>
        <v>0</v>
      </c>
      <c r="O1306" s="40"/>
      <c r="P1306" s="36">
        <f>IFERROR(O1306/$R1306,0)</f>
        <v>0</v>
      </c>
      <c r="Q1306" s="35"/>
      <c r="R1306" s="40"/>
    </row>
    <row r="1307" spans="1:18" ht="15.75" customHeight="1" x14ac:dyDescent="0.25">
      <c r="A1307" s="37">
        <v>2015</v>
      </c>
      <c r="B1307" s="35">
        <v>170830</v>
      </c>
      <c r="C1307" s="34" t="s">
        <v>150</v>
      </c>
      <c r="D1307" s="34" t="s">
        <v>59</v>
      </c>
      <c r="E1307" s="35"/>
      <c r="F1307" s="36">
        <f>IFERROR(E1307/$Q1307,0)</f>
        <v>0</v>
      </c>
      <c r="G1307" s="40"/>
      <c r="H1307" s="36">
        <f>IFERROR(G1307/$R1307,0)</f>
        <v>0</v>
      </c>
      <c r="I1307" s="35"/>
      <c r="J1307" s="36">
        <f>IFERROR(I1307/$Q1307,0)</f>
        <v>0</v>
      </c>
      <c r="K1307" s="40"/>
      <c r="L1307" s="36">
        <f>IFERROR(K1307/$R1307,0)</f>
        <v>0</v>
      </c>
      <c r="M1307" s="35"/>
      <c r="N1307" s="36">
        <f>IFERROR(M1307/$Q1307,0)</f>
        <v>0</v>
      </c>
      <c r="O1307" s="40"/>
      <c r="P1307" s="36">
        <f>IFERROR(O1307/$R1307,0)</f>
        <v>0</v>
      </c>
      <c r="Q1307" s="35"/>
      <c r="R1307" s="40"/>
    </row>
    <row r="1308" spans="1:18" ht="15.75" customHeight="1" x14ac:dyDescent="0.25">
      <c r="A1308" s="37">
        <v>2015</v>
      </c>
      <c r="B1308" s="35">
        <v>170900</v>
      </c>
      <c r="C1308" s="34" t="s">
        <v>149</v>
      </c>
      <c r="D1308" s="34" t="s">
        <v>60</v>
      </c>
      <c r="E1308" s="35"/>
      <c r="F1308" s="36">
        <f>IFERROR(E1308/$Q1308,0)</f>
        <v>0</v>
      </c>
      <c r="G1308" s="40"/>
      <c r="H1308" s="36">
        <f>IFERROR(G1308/$R1308,0)</f>
        <v>0</v>
      </c>
      <c r="I1308" s="35"/>
      <c r="J1308" s="36">
        <f>IFERROR(I1308/$Q1308,0)</f>
        <v>0</v>
      </c>
      <c r="K1308" s="40"/>
      <c r="L1308" s="36">
        <f>IFERROR(K1308/$R1308,0)</f>
        <v>0</v>
      </c>
      <c r="M1308" s="35"/>
      <c r="N1308" s="36">
        <f>IFERROR(M1308/$Q1308,0)</f>
        <v>0</v>
      </c>
      <c r="O1308" s="40"/>
      <c r="P1308" s="36">
        <f>IFERROR(O1308/$R1308,0)</f>
        <v>0</v>
      </c>
      <c r="Q1308" s="35"/>
      <c r="R1308" s="40"/>
    </row>
    <row r="1309" spans="1:18" ht="15.75" customHeight="1" x14ac:dyDescent="0.25">
      <c r="A1309" s="37">
        <v>2015</v>
      </c>
      <c r="B1309" s="35">
        <v>170930</v>
      </c>
      <c r="C1309" s="34" t="s">
        <v>150</v>
      </c>
      <c r="D1309" s="34" t="s">
        <v>61</v>
      </c>
      <c r="E1309" s="35"/>
      <c r="F1309" s="36">
        <f>IFERROR(E1309/$Q1309,0)</f>
        <v>0</v>
      </c>
      <c r="G1309" s="40"/>
      <c r="H1309" s="36">
        <f>IFERROR(G1309/$R1309,0)</f>
        <v>0</v>
      </c>
      <c r="I1309" s="35"/>
      <c r="J1309" s="36">
        <f>IFERROR(I1309/$Q1309,0)</f>
        <v>0</v>
      </c>
      <c r="K1309" s="40"/>
      <c r="L1309" s="36">
        <f>IFERROR(K1309/$R1309,0)</f>
        <v>0</v>
      </c>
      <c r="M1309" s="35"/>
      <c r="N1309" s="36">
        <f>IFERROR(M1309/$Q1309,0)</f>
        <v>0</v>
      </c>
      <c r="O1309" s="40"/>
      <c r="P1309" s="36">
        <f>IFERROR(O1309/$R1309,0)</f>
        <v>0</v>
      </c>
      <c r="Q1309" s="35"/>
      <c r="R1309" s="40"/>
    </row>
    <row r="1310" spans="1:18" ht="15.75" customHeight="1" x14ac:dyDescent="0.25">
      <c r="A1310" s="37">
        <v>2015</v>
      </c>
      <c r="B1310" s="35">
        <v>170950</v>
      </c>
      <c r="C1310" s="34" t="s">
        <v>146</v>
      </c>
      <c r="D1310" s="34" t="s">
        <v>62</v>
      </c>
      <c r="E1310" s="35"/>
      <c r="F1310" s="36">
        <f>IFERROR(E1310/$Q1310,0)</f>
        <v>0</v>
      </c>
      <c r="G1310" s="40"/>
      <c r="H1310" s="36">
        <f>IFERROR(G1310/$R1310,0)</f>
        <v>0</v>
      </c>
      <c r="I1310" s="35"/>
      <c r="J1310" s="36">
        <f>IFERROR(I1310/$Q1310,0)</f>
        <v>0</v>
      </c>
      <c r="K1310" s="40"/>
      <c r="L1310" s="36">
        <f>IFERROR(K1310/$R1310,0)</f>
        <v>0</v>
      </c>
      <c r="M1310" s="35"/>
      <c r="N1310" s="36">
        <f>IFERROR(M1310/$Q1310,0)</f>
        <v>0</v>
      </c>
      <c r="O1310" s="41"/>
      <c r="P1310" s="36">
        <f>IFERROR(O1310/$R1310,0)</f>
        <v>0</v>
      </c>
      <c r="Q1310" s="35"/>
      <c r="R1310" s="41"/>
    </row>
    <row r="1311" spans="1:18" ht="15.75" customHeight="1" x14ac:dyDescent="0.25">
      <c r="A1311" s="37">
        <v>2015</v>
      </c>
      <c r="B1311" s="35">
        <v>170980</v>
      </c>
      <c r="C1311" s="34" t="s">
        <v>151</v>
      </c>
      <c r="D1311" s="34" t="s">
        <v>63</v>
      </c>
      <c r="E1311" s="35"/>
      <c r="F1311" s="36">
        <f>IFERROR(E1311/$Q1311,0)</f>
        <v>0</v>
      </c>
      <c r="G1311" s="40"/>
      <c r="H1311" s="36">
        <f>IFERROR(G1311/$R1311,0)</f>
        <v>0</v>
      </c>
      <c r="I1311" s="35"/>
      <c r="J1311" s="36">
        <f>IFERROR(I1311/$Q1311,0)</f>
        <v>0</v>
      </c>
      <c r="K1311" s="40"/>
      <c r="L1311" s="36">
        <f>IFERROR(K1311/$R1311,0)</f>
        <v>0</v>
      </c>
      <c r="M1311" s="35"/>
      <c r="N1311" s="36">
        <f>IFERROR(M1311/$Q1311,0)</f>
        <v>0</v>
      </c>
      <c r="O1311" s="40"/>
      <c r="P1311" s="36">
        <f>IFERROR(O1311/$R1311,0)</f>
        <v>0</v>
      </c>
      <c r="Q1311" s="35"/>
      <c r="R1311" s="40"/>
    </row>
    <row r="1312" spans="1:18" ht="15.75" customHeight="1" x14ac:dyDescent="0.25">
      <c r="A1312" s="37">
        <v>2015</v>
      </c>
      <c r="B1312" s="35">
        <v>171050</v>
      </c>
      <c r="C1312" s="34" t="s">
        <v>150</v>
      </c>
      <c r="D1312" s="34" t="s">
        <v>64</v>
      </c>
      <c r="E1312" s="35"/>
      <c r="F1312" s="36">
        <f>IFERROR(E1312/$Q1312,0)</f>
        <v>0</v>
      </c>
      <c r="G1312" s="40"/>
      <c r="H1312" s="36">
        <f>IFERROR(G1312/$R1312,0)</f>
        <v>0</v>
      </c>
      <c r="I1312" s="35"/>
      <c r="J1312" s="36">
        <f>IFERROR(I1312/$Q1312,0)</f>
        <v>0</v>
      </c>
      <c r="K1312" s="40"/>
      <c r="L1312" s="36">
        <f>IFERROR(K1312/$R1312,0)</f>
        <v>0</v>
      </c>
      <c r="M1312" s="35"/>
      <c r="N1312" s="36">
        <f>IFERROR(M1312/$Q1312,0)</f>
        <v>0</v>
      </c>
      <c r="O1312" s="40"/>
      <c r="P1312" s="36">
        <f>IFERROR(O1312/$R1312,0)</f>
        <v>0</v>
      </c>
      <c r="Q1312" s="35"/>
      <c r="R1312" s="40"/>
    </row>
    <row r="1313" spans="1:18" ht="15.75" customHeight="1" x14ac:dyDescent="0.25">
      <c r="A1313" s="37">
        <v>2015</v>
      </c>
      <c r="B1313" s="35">
        <v>171070</v>
      </c>
      <c r="C1313" s="34" t="s">
        <v>145</v>
      </c>
      <c r="D1313" s="34" t="s">
        <v>65</v>
      </c>
      <c r="E1313" s="35"/>
      <c r="F1313" s="36">
        <f>IFERROR(E1313/$Q1313,0)</f>
        <v>0</v>
      </c>
      <c r="G1313" s="40"/>
      <c r="H1313" s="36">
        <f>IFERROR(G1313/$R1313,0)</f>
        <v>0</v>
      </c>
      <c r="I1313" s="35"/>
      <c r="J1313" s="36">
        <f>IFERROR(I1313/$Q1313,0)</f>
        <v>0</v>
      </c>
      <c r="K1313" s="40"/>
      <c r="L1313" s="36">
        <f>IFERROR(K1313/$R1313,0)</f>
        <v>0</v>
      </c>
      <c r="M1313" s="35"/>
      <c r="N1313" s="36">
        <f>IFERROR(M1313/$Q1313,0)</f>
        <v>0</v>
      </c>
      <c r="O1313" s="40"/>
      <c r="P1313" s="36">
        <f>IFERROR(O1313/$R1313,0)</f>
        <v>0</v>
      </c>
      <c r="Q1313" s="35"/>
      <c r="R1313" s="40"/>
    </row>
    <row r="1314" spans="1:18" ht="15.75" customHeight="1" x14ac:dyDescent="0.25">
      <c r="A1314" s="37">
        <v>2015</v>
      </c>
      <c r="B1314" s="35">
        <v>171090</v>
      </c>
      <c r="C1314" s="34" t="s">
        <v>150</v>
      </c>
      <c r="D1314" s="34" t="s">
        <v>66</v>
      </c>
      <c r="E1314" s="35"/>
      <c r="F1314" s="36">
        <f>IFERROR(E1314/$Q1314,0)</f>
        <v>0</v>
      </c>
      <c r="G1314" s="40"/>
      <c r="H1314" s="36">
        <f>IFERROR(G1314/$R1314,0)</f>
        <v>0</v>
      </c>
      <c r="I1314" s="35"/>
      <c r="J1314" s="36">
        <f>IFERROR(I1314/$Q1314,0)</f>
        <v>0</v>
      </c>
      <c r="K1314" s="40"/>
      <c r="L1314" s="36">
        <f>IFERROR(K1314/$R1314,0)</f>
        <v>0</v>
      </c>
      <c r="M1314" s="35"/>
      <c r="N1314" s="36">
        <f>IFERROR(M1314/$Q1314,0)</f>
        <v>0</v>
      </c>
      <c r="O1314" s="40"/>
      <c r="P1314" s="36">
        <f>IFERROR(O1314/$R1314,0)</f>
        <v>0</v>
      </c>
      <c r="Q1314" s="35"/>
      <c r="R1314" s="40"/>
    </row>
    <row r="1315" spans="1:18" ht="15.75" customHeight="1" x14ac:dyDescent="0.25">
      <c r="A1315" s="37">
        <v>2015</v>
      </c>
      <c r="B1315" s="35">
        <v>171110</v>
      </c>
      <c r="C1315" s="34" t="s">
        <v>150</v>
      </c>
      <c r="D1315" s="34" t="s">
        <v>67</v>
      </c>
      <c r="E1315" s="35"/>
      <c r="F1315" s="36">
        <f>IFERROR(E1315/$Q1315,0)</f>
        <v>0</v>
      </c>
      <c r="G1315" s="40"/>
      <c r="H1315" s="36">
        <f>IFERROR(G1315/$R1315,0)</f>
        <v>0</v>
      </c>
      <c r="I1315" s="35"/>
      <c r="J1315" s="36">
        <f>IFERROR(I1315/$Q1315,0)</f>
        <v>0</v>
      </c>
      <c r="K1315" s="40"/>
      <c r="L1315" s="36">
        <f>IFERROR(K1315/$R1315,0)</f>
        <v>0</v>
      </c>
      <c r="M1315" s="35"/>
      <c r="N1315" s="36">
        <f>IFERROR(M1315/$Q1315,0)</f>
        <v>0</v>
      </c>
      <c r="O1315" s="40"/>
      <c r="P1315" s="36">
        <f>IFERROR(O1315/$R1315,0)</f>
        <v>0</v>
      </c>
      <c r="Q1315" s="35"/>
      <c r="R1315" s="40"/>
    </row>
    <row r="1316" spans="1:18" ht="15.75" customHeight="1" x14ac:dyDescent="0.25">
      <c r="A1316" s="37">
        <v>2015</v>
      </c>
      <c r="B1316" s="35">
        <v>171150</v>
      </c>
      <c r="C1316" s="34" t="s">
        <v>146</v>
      </c>
      <c r="D1316" s="34" t="s">
        <v>68</v>
      </c>
      <c r="E1316" s="35"/>
      <c r="F1316" s="36">
        <f>IFERROR(E1316/$Q1316,0)</f>
        <v>0</v>
      </c>
      <c r="G1316" s="40"/>
      <c r="H1316" s="36">
        <f>IFERROR(G1316/$R1316,0)</f>
        <v>0</v>
      </c>
      <c r="I1316" s="35"/>
      <c r="J1316" s="36">
        <f>IFERROR(I1316/$Q1316,0)</f>
        <v>0</v>
      </c>
      <c r="K1316" s="40"/>
      <c r="L1316" s="36">
        <f>IFERROR(K1316/$R1316,0)</f>
        <v>0</v>
      </c>
      <c r="M1316" s="35"/>
      <c r="N1316" s="36">
        <f>IFERROR(M1316/$Q1316,0)</f>
        <v>0</v>
      </c>
      <c r="O1316" s="40"/>
      <c r="P1316" s="36">
        <f>IFERROR(O1316/$R1316,0)</f>
        <v>0</v>
      </c>
      <c r="Q1316" s="35"/>
      <c r="R1316" s="40"/>
    </row>
    <row r="1317" spans="1:18" ht="15.75" customHeight="1" x14ac:dyDescent="0.25">
      <c r="A1317" s="37">
        <v>2015</v>
      </c>
      <c r="B1317" s="35">
        <v>171180</v>
      </c>
      <c r="C1317" s="34" t="s">
        <v>150</v>
      </c>
      <c r="D1317" s="34" t="s">
        <v>69</v>
      </c>
      <c r="E1317" s="35"/>
      <c r="F1317" s="36">
        <f>IFERROR(E1317/$Q1317,0)</f>
        <v>0</v>
      </c>
      <c r="G1317" s="40"/>
      <c r="H1317" s="36">
        <f>IFERROR(G1317/$R1317,0)</f>
        <v>0</v>
      </c>
      <c r="I1317" s="35"/>
      <c r="J1317" s="36">
        <f>IFERROR(I1317/$Q1317,0)</f>
        <v>0</v>
      </c>
      <c r="K1317" s="40"/>
      <c r="L1317" s="36">
        <f>IFERROR(K1317/$R1317,0)</f>
        <v>0</v>
      </c>
      <c r="M1317" s="35"/>
      <c r="N1317" s="36">
        <f>IFERROR(M1317/$Q1317,0)</f>
        <v>0</v>
      </c>
      <c r="O1317" s="40"/>
      <c r="P1317" s="36">
        <f>IFERROR(O1317/$R1317,0)</f>
        <v>0</v>
      </c>
      <c r="Q1317" s="35"/>
      <c r="R1317" s="40"/>
    </row>
    <row r="1318" spans="1:18" ht="15.75" customHeight="1" x14ac:dyDescent="0.25">
      <c r="A1318" s="37">
        <v>2015</v>
      </c>
      <c r="B1318" s="35">
        <v>171190</v>
      </c>
      <c r="C1318" s="34" t="s">
        <v>144</v>
      </c>
      <c r="D1318" s="34" t="s">
        <v>70</v>
      </c>
      <c r="E1318" s="35"/>
      <c r="F1318" s="36">
        <f>IFERROR(E1318/$Q1318,0)</f>
        <v>0</v>
      </c>
      <c r="G1318" s="40"/>
      <c r="H1318" s="36">
        <f>IFERROR(G1318/$R1318,0)</f>
        <v>0</v>
      </c>
      <c r="I1318" s="35"/>
      <c r="J1318" s="36">
        <f>IFERROR(I1318/$Q1318,0)</f>
        <v>0</v>
      </c>
      <c r="K1318" s="40"/>
      <c r="L1318" s="36">
        <f>IFERROR(K1318/$R1318,0)</f>
        <v>0</v>
      </c>
      <c r="M1318" s="35"/>
      <c r="N1318" s="36">
        <f>IFERROR(M1318/$Q1318,0)</f>
        <v>0</v>
      </c>
      <c r="O1318" s="40"/>
      <c r="P1318" s="36">
        <f>IFERROR(O1318/$R1318,0)</f>
        <v>0</v>
      </c>
      <c r="Q1318" s="35"/>
      <c r="R1318" s="40"/>
    </row>
    <row r="1319" spans="1:18" ht="15.75" customHeight="1" x14ac:dyDescent="0.25">
      <c r="A1319" s="37">
        <v>2015</v>
      </c>
      <c r="B1319" s="35">
        <v>171195</v>
      </c>
      <c r="C1319" s="34" t="s">
        <v>148</v>
      </c>
      <c r="D1319" s="34" t="s">
        <v>71</v>
      </c>
      <c r="E1319" s="35"/>
      <c r="F1319" s="36">
        <f>IFERROR(E1319/$Q1319,0)</f>
        <v>0</v>
      </c>
      <c r="G1319" s="40"/>
      <c r="H1319" s="36">
        <f>IFERROR(G1319/$R1319,0)</f>
        <v>0</v>
      </c>
      <c r="I1319" s="35"/>
      <c r="J1319" s="36">
        <f>IFERROR(I1319/$Q1319,0)</f>
        <v>0</v>
      </c>
      <c r="K1319" s="40"/>
      <c r="L1319" s="36">
        <f>IFERROR(K1319/$R1319,0)</f>
        <v>0</v>
      </c>
      <c r="M1319" s="35"/>
      <c r="N1319" s="36">
        <f>IFERROR(M1319/$Q1319,0)</f>
        <v>0</v>
      </c>
      <c r="O1319" s="40"/>
      <c r="P1319" s="36">
        <f>IFERROR(O1319/$R1319,0)</f>
        <v>0</v>
      </c>
      <c r="Q1319" s="35"/>
      <c r="R1319" s="40"/>
    </row>
    <row r="1320" spans="1:18" ht="15.75" customHeight="1" x14ac:dyDescent="0.25">
      <c r="A1320" s="37">
        <v>2015</v>
      </c>
      <c r="B1320" s="35">
        <v>171200</v>
      </c>
      <c r="C1320" s="34" t="s">
        <v>148</v>
      </c>
      <c r="D1320" s="34" t="s">
        <v>72</v>
      </c>
      <c r="E1320" s="35"/>
      <c r="F1320" s="36">
        <f>IFERROR(E1320/$Q1320,0)</f>
        <v>0</v>
      </c>
      <c r="G1320" s="40"/>
      <c r="H1320" s="36">
        <f>IFERROR(G1320/$R1320,0)</f>
        <v>0</v>
      </c>
      <c r="I1320" s="35"/>
      <c r="J1320" s="36">
        <f>IFERROR(I1320/$Q1320,0)</f>
        <v>0</v>
      </c>
      <c r="K1320" s="40"/>
      <c r="L1320" s="36">
        <f>IFERROR(K1320/$R1320,0)</f>
        <v>0</v>
      </c>
      <c r="M1320" s="35"/>
      <c r="N1320" s="36">
        <f>IFERROR(M1320/$Q1320,0)</f>
        <v>0</v>
      </c>
      <c r="O1320" s="40"/>
      <c r="P1320" s="36">
        <f>IFERROR(O1320/$R1320,0)</f>
        <v>0</v>
      </c>
      <c r="Q1320" s="35"/>
      <c r="R1320" s="40"/>
    </row>
    <row r="1321" spans="1:18" ht="15.75" customHeight="1" x14ac:dyDescent="0.25">
      <c r="A1321" s="37">
        <v>2015</v>
      </c>
      <c r="B1321" s="35">
        <v>171215</v>
      </c>
      <c r="C1321" s="34" t="s">
        <v>147</v>
      </c>
      <c r="D1321" s="34" t="s">
        <v>73</v>
      </c>
      <c r="E1321" s="35"/>
      <c r="F1321" s="36">
        <f>IFERROR(E1321/$Q1321,0)</f>
        <v>0</v>
      </c>
      <c r="G1321" s="40"/>
      <c r="H1321" s="36">
        <f>IFERROR(G1321/$R1321,0)</f>
        <v>0</v>
      </c>
      <c r="I1321" s="35"/>
      <c r="J1321" s="36">
        <f>IFERROR(I1321/$Q1321,0)</f>
        <v>0</v>
      </c>
      <c r="K1321" s="40"/>
      <c r="L1321" s="36">
        <f>IFERROR(K1321/$R1321,0)</f>
        <v>0</v>
      </c>
      <c r="M1321" s="35"/>
      <c r="N1321" s="36">
        <f>IFERROR(M1321/$Q1321,0)</f>
        <v>0</v>
      </c>
      <c r="O1321" s="40"/>
      <c r="P1321" s="36">
        <f>IFERROR(O1321/$R1321,0)</f>
        <v>0</v>
      </c>
      <c r="Q1321" s="35"/>
      <c r="R1321" s="40"/>
    </row>
    <row r="1322" spans="1:18" ht="15.75" customHeight="1" x14ac:dyDescent="0.25">
      <c r="A1322" s="37">
        <v>2015</v>
      </c>
      <c r="B1322" s="35">
        <v>171240</v>
      </c>
      <c r="C1322" s="34" t="s">
        <v>148</v>
      </c>
      <c r="D1322" s="34" t="s">
        <v>74</v>
      </c>
      <c r="E1322" s="35"/>
      <c r="F1322" s="36">
        <f>IFERROR(E1322/$Q1322,0)</f>
        <v>0</v>
      </c>
      <c r="G1322" s="40"/>
      <c r="H1322" s="36">
        <f>IFERROR(G1322/$R1322,0)</f>
        <v>0</v>
      </c>
      <c r="I1322" s="35"/>
      <c r="J1322" s="36">
        <f>IFERROR(I1322/$Q1322,0)</f>
        <v>0</v>
      </c>
      <c r="K1322" s="40"/>
      <c r="L1322" s="36">
        <f>IFERROR(K1322/$R1322,0)</f>
        <v>0</v>
      </c>
      <c r="M1322" s="35"/>
      <c r="N1322" s="36">
        <f>IFERROR(M1322/$Q1322,0)</f>
        <v>0</v>
      </c>
      <c r="O1322" s="40"/>
      <c r="P1322" s="36">
        <f>IFERROR(O1322/$R1322,0)</f>
        <v>0</v>
      </c>
      <c r="Q1322" s="35"/>
      <c r="R1322" s="40"/>
    </row>
    <row r="1323" spans="1:18" ht="15.75" customHeight="1" x14ac:dyDescent="0.25">
      <c r="A1323" s="37">
        <v>2015</v>
      </c>
      <c r="B1323" s="35">
        <v>171245</v>
      </c>
      <c r="C1323" s="34" t="s">
        <v>145</v>
      </c>
      <c r="D1323" s="34" t="s">
        <v>75</v>
      </c>
      <c r="E1323" s="35"/>
      <c r="F1323" s="36">
        <f>IFERROR(E1323/$Q1323,0)</f>
        <v>0</v>
      </c>
      <c r="G1323" s="40"/>
      <c r="H1323" s="36">
        <f>IFERROR(G1323/$R1323,0)</f>
        <v>0</v>
      </c>
      <c r="I1323" s="35"/>
      <c r="J1323" s="36">
        <f>IFERROR(I1323/$Q1323,0)</f>
        <v>0</v>
      </c>
      <c r="K1323" s="40"/>
      <c r="L1323" s="36">
        <f>IFERROR(K1323/$R1323,0)</f>
        <v>0</v>
      </c>
      <c r="M1323" s="35"/>
      <c r="N1323" s="36">
        <f>IFERROR(M1323/$Q1323,0)</f>
        <v>0</v>
      </c>
      <c r="O1323" s="40"/>
      <c r="P1323" s="36">
        <f>IFERROR(O1323/$R1323,0)</f>
        <v>0</v>
      </c>
      <c r="Q1323" s="35"/>
      <c r="R1323" s="40"/>
    </row>
    <row r="1324" spans="1:18" ht="15.75" customHeight="1" x14ac:dyDescent="0.25">
      <c r="A1324" s="37">
        <v>2015</v>
      </c>
      <c r="B1324" s="35">
        <v>171250</v>
      </c>
      <c r="C1324" s="34" t="s">
        <v>144</v>
      </c>
      <c r="D1324" s="34" t="s">
        <v>76</v>
      </c>
      <c r="E1324" s="35"/>
      <c r="F1324" s="36">
        <f>IFERROR(E1324/$Q1324,0)</f>
        <v>0</v>
      </c>
      <c r="G1324" s="40"/>
      <c r="H1324" s="36">
        <f>IFERROR(G1324/$R1324,0)</f>
        <v>0</v>
      </c>
      <c r="I1324" s="35"/>
      <c r="J1324" s="36">
        <f>IFERROR(I1324/$Q1324,0)</f>
        <v>0</v>
      </c>
      <c r="K1324" s="40"/>
      <c r="L1324" s="36">
        <f>IFERROR(K1324/$R1324,0)</f>
        <v>0</v>
      </c>
      <c r="M1324" s="35"/>
      <c r="N1324" s="36">
        <f>IFERROR(M1324/$Q1324,0)</f>
        <v>0</v>
      </c>
      <c r="O1324" s="40"/>
      <c r="P1324" s="36">
        <f>IFERROR(O1324/$R1324,0)</f>
        <v>0</v>
      </c>
      <c r="Q1324" s="35"/>
      <c r="R1324" s="40"/>
    </row>
    <row r="1325" spans="1:18" ht="15.75" customHeight="1" x14ac:dyDescent="0.25">
      <c r="A1325" s="37">
        <v>2015</v>
      </c>
      <c r="B1325" s="35">
        <v>171270</v>
      </c>
      <c r="C1325" s="34" t="s">
        <v>151</v>
      </c>
      <c r="D1325" s="34" t="s">
        <v>77</v>
      </c>
      <c r="E1325" s="35"/>
      <c r="F1325" s="36">
        <f>IFERROR(E1325/$Q1325,0)</f>
        <v>0</v>
      </c>
      <c r="G1325" s="40"/>
      <c r="H1325" s="36">
        <f>IFERROR(G1325/$R1325,0)</f>
        <v>0</v>
      </c>
      <c r="I1325" s="35"/>
      <c r="J1325" s="36">
        <f>IFERROR(I1325/$Q1325,0)</f>
        <v>0</v>
      </c>
      <c r="K1325" s="40"/>
      <c r="L1325" s="36">
        <f>IFERROR(K1325/$R1325,0)</f>
        <v>0</v>
      </c>
      <c r="M1325" s="35"/>
      <c r="N1325" s="36">
        <f>IFERROR(M1325/$Q1325,0)</f>
        <v>0</v>
      </c>
      <c r="O1325" s="40"/>
      <c r="P1325" s="36">
        <f>IFERROR(O1325/$R1325,0)</f>
        <v>0</v>
      </c>
      <c r="Q1325" s="35"/>
      <c r="R1325" s="40"/>
    </row>
    <row r="1326" spans="1:18" ht="15.75" customHeight="1" x14ac:dyDescent="0.25">
      <c r="A1326" s="37">
        <v>2015</v>
      </c>
      <c r="B1326" s="35">
        <v>171280</v>
      </c>
      <c r="C1326" s="34" t="s">
        <v>145</v>
      </c>
      <c r="D1326" s="34" t="s">
        <v>78</v>
      </c>
      <c r="E1326" s="35"/>
      <c r="F1326" s="36">
        <f>IFERROR(E1326/$Q1326,0)</f>
        <v>0</v>
      </c>
      <c r="G1326" s="40"/>
      <c r="H1326" s="36">
        <f>IFERROR(G1326/$R1326,0)</f>
        <v>0</v>
      </c>
      <c r="I1326" s="35"/>
      <c r="J1326" s="36">
        <f>IFERROR(I1326/$Q1326,0)</f>
        <v>0</v>
      </c>
      <c r="K1326" s="40"/>
      <c r="L1326" s="36">
        <f>IFERROR(K1326/$R1326,0)</f>
        <v>0</v>
      </c>
      <c r="M1326" s="35"/>
      <c r="N1326" s="36">
        <f>IFERROR(M1326/$Q1326,0)</f>
        <v>0</v>
      </c>
      <c r="O1326" s="40"/>
      <c r="P1326" s="36">
        <f>IFERROR(O1326/$R1326,0)</f>
        <v>0</v>
      </c>
      <c r="Q1326" s="35"/>
      <c r="R1326" s="40"/>
    </row>
    <row r="1327" spans="1:18" ht="15.75" customHeight="1" x14ac:dyDescent="0.25">
      <c r="A1327" s="37">
        <v>2015</v>
      </c>
      <c r="B1327" s="35">
        <v>171320</v>
      </c>
      <c r="C1327" s="34" t="s">
        <v>148</v>
      </c>
      <c r="D1327" s="34" t="s">
        <v>79</v>
      </c>
      <c r="E1327" s="35"/>
      <c r="F1327" s="36">
        <f>IFERROR(E1327/$Q1327,0)</f>
        <v>0</v>
      </c>
      <c r="G1327" s="40"/>
      <c r="H1327" s="36">
        <f>IFERROR(G1327/$R1327,0)</f>
        <v>0</v>
      </c>
      <c r="I1327" s="35"/>
      <c r="J1327" s="36">
        <f>IFERROR(I1327/$Q1327,0)</f>
        <v>0</v>
      </c>
      <c r="K1327" s="40"/>
      <c r="L1327" s="36">
        <f>IFERROR(K1327/$R1327,0)</f>
        <v>0</v>
      </c>
      <c r="M1327" s="35"/>
      <c r="N1327" s="36">
        <f>IFERROR(M1327/$Q1327,0)</f>
        <v>0</v>
      </c>
      <c r="O1327" s="40"/>
      <c r="P1327" s="36">
        <f>IFERROR(O1327/$R1327,0)</f>
        <v>0</v>
      </c>
      <c r="Q1327" s="35"/>
      <c r="R1327" s="40"/>
    </row>
    <row r="1328" spans="1:18" ht="15.75" customHeight="1" x14ac:dyDescent="0.25">
      <c r="A1328" s="37">
        <v>2015</v>
      </c>
      <c r="B1328" s="35">
        <v>171330</v>
      </c>
      <c r="C1328" s="34" t="s">
        <v>148</v>
      </c>
      <c r="D1328" s="34" t="s">
        <v>80</v>
      </c>
      <c r="E1328" s="35"/>
      <c r="F1328" s="36">
        <f>IFERROR(E1328/$Q1328,0)</f>
        <v>0</v>
      </c>
      <c r="G1328" s="40"/>
      <c r="H1328" s="36">
        <f>IFERROR(G1328/$R1328,0)</f>
        <v>0</v>
      </c>
      <c r="I1328" s="35"/>
      <c r="J1328" s="36">
        <f>IFERROR(I1328/$Q1328,0)</f>
        <v>0</v>
      </c>
      <c r="K1328" s="40"/>
      <c r="L1328" s="36">
        <f>IFERROR(K1328/$R1328,0)</f>
        <v>0</v>
      </c>
      <c r="M1328" s="35"/>
      <c r="N1328" s="36">
        <f>IFERROR(M1328/$Q1328,0)</f>
        <v>0</v>
      </c>
      <c r="O1328" s="40"/>
      <c r="P1328" s="36">
        <f>IFERROR(O1328/$R1328,0)</f>
        <v>0</v>
      </c>
      <c r="Q1328" s="35"/>
      <c r="R1328" s="40"/>
    </row>
    <row r="1329" spans="1:18" ht="15.75" customHeight="1" x14ac:dyDescent="0.25">
      <c r="A1329" s="37">
        <v>2015</v>
      </c>
      <c r="B1329" s="35">
        <v>171360</v>
      </c>
      <c r="C1329" s="34" t="s">
        <v>151</v>
      </c>
      <c r="D1329" s="34" t="s">
        <v>81</v>
      </c>
      <c r="E1329" s="35"/>
      <c r="F1329" s="36">
        <f>IFERROR(E1329/$Q1329,0)</f>
        <v>0</v>
      </c>
      <c r="G1329" s="40"/>
      <c r="H1329" s="36">
        <f>IFERROR(G1329/$R1329,0)</f>
        <v>0</v>
      </c>
      <c r="I1329" s="35"/>
      <c r="J1329" s="36">
        <f>IFERROR(I1329/$Q1329,0)</f>
        <v>0</v>
      </c>
      <c r="K1329" s="40"/>
      <c r="L1329" s="36">
        <f>IFERROR(K1329/$R1329,0)</f>
        <v>0</v>
      </c>
      <c r="M1329" s="35"/>
      <c r="N1329" s="36">
        <f>IFERROR(M1329/$Q1329,0)</f>
        <v>0</v>
      </c>
      <c r="O1329" s="40"/>
      <c r="P1329" s="36">
        <f>IFERROR(O1329/$R1329,0)</f>
        <v>0</v>
      </c>
      <c r="Q1329" s="35"/>
      <c r="R1329" s="40"/>
    </row>
    <row r="1330" spans="1:18" ht="15.75" customHeight="1" x14ac:dyDescent="0.25">
      <c r="A1330" s="37">
        <v>2015</v>
      </c>
      <c r="B1330" s="35">
        <v>171370</v>
      </c>
      <c r="C1330" s="34" t="s">
        <v>144</v>
      </c>
      <c r="D1330" s="34" t="s">
        <v>82</v>
      </c>
      <c r="E1330" s="35"/>
      <c r="F1330" s="36">
        <f>IFERROR(E1330/$Q1330,0)</f>
        <v>0</v>
      </c>
      <c r="G1330" s="40"/>
      <c r="H1330" s="36">
        <f>IFERROR(G1330/$R1330,0)</f>
        <v>0</v>
      </c>
      <c r="I1330" s="35"/>
      <c r="J1330" s="36">
        <f>IFERROR(I1330/$Q1330,0)</f>
        <v>0</v>
      </c>
      <c r="K1330" s="40"/>
      <c r="L1330" s="36">
        <f>IFERROR(K1330/$R1330,0)</f>
        <v>0</v>
      </c>
      <c r="M1330" s="35"/>
      <c r="N1330" s="36">
        <f>IFERROR(M1330/$Q1330,0)</f>
        <v>0</v>
      </c>
      <c r="O1330" s="40"/>
      <c r="P1330" s="36">
        <f>IFERROR(O1330/$R1330,0)</f>
        <v>0</v>
      </c>
      <c r="Q1330" s="35"/>
      <c r="R1330" s="40"/>
    </row>
    <row r="1331" spans="1:18" ht="15.75" customHeight="1" x14ac:dyDescent="0.25">
      <c r="A1331" s="37">
        <v>2015</v>
      </c>
      <c r="B1331" s="35">
        <v>171395</v>
      </c>
      <c r="C1331" s="34" t="s">
        <v>149</v>
      </c>
      <c r="D1331" s="34" t="s">
        <v>83</v>
      </c>
      <c r="E1331" s="35"/>
      <c r="F1331" s="36">
        <f>IFERROR(E1331/$Q1331,0)</f>
        <v>0</v>
      </c>
      <c r="G1331" s="40"/>
      <c r="H1331" s="36">
        <f>IFERROR(G1331/$R1331,0)</f>
        <v>0</v>
      </c>
      <c r="I1331" s="35"/>
      <c r="J1331" s="36">
        <f>IFERROR(I1331/$Q1331,0)</f>
        <v>0</v>
      </c>
      <c r="K1331" s="40"/>
      <c r="L1331" s="36">
        <f>IFERROR(K1331/$R1331,0)</f>
        <v>0</v>
      </c>
      <c r="M1331" s="35"/>
      <c r="N1331" s="36">
        <f>IFERROR(M1331/$Q1331,0)</f>
        <v>0</v>
      </c>
      <c r="O1331" s="40"/>
      <c r="P1331" s="36">
        <f>IFERROR(O1331/$R1331,0)</f>
        <v>0</v>
      </c>
      <c r="Q1331" s="35"/>
      <c r="R1331" s="40"/>
    </row>
    <row r="1332" spans="1:18" ht="15.75" customHeight="1" x14ac:dyDescent="0.25">
      <c r="A1332" s="37">
        <v>2015</v>
      </c>
      <c r="B1332" s="35">
        <v>171420</v>
      </c>
      <c r="C1332" s="34" t="s">
        <v>151</v>
      </c>
      <c r="D1332" s="34" t="s">
        <v>84</v>
      </c>
      <c r="E1332" s="35"/>
      <c r="F1332" s="36">
        <f>IFERROR(E1332/$Q1332,0)</f>
        <v>0</v>
      </c>
      <c r="G1332" s="40"/>
      <c r="H1332" s="36">
        <f>IFERROR(G1332/$R1332,0)</f>
        <v>0</v>
      </c>
      <c r="I1332" s="35"/>
      <c r="J1332" s="36">
        <f>IFERROR(I1332/$Q1332,0)</f>
        <v>0</v>
      </c>
      <c r="K1332" s="40"/>
      <c r="L1332" s="36">
        <f>IFERROR(K1332/$R1332,0)</f>
        <v>0</v>
      </c>
      <c r="M1332" s="35"/>
      <c r="N1332" s="36">
        <f>IFERROR(M1332/$Q1332,0)</f>
        <v>0</v>
      </c>
      <c r="O1332" s="40"/>
      <c r="P1332" s="36">
        <f>IFERROR(O1332/$R1332,0)</f>
        <v>0</v>
      </c>
      <c r="Q1332" s="35"/>
      <c r="R1332" s="40"/>
    </row>
    <row r="1333" spans="1:18" ht="15.75" customHeight="1" x14ac:dyDescent="0.25">
      <c r="A1333" s="37">
        <v>2015</v>
      </c>
      <c r="B1333" s="35">
        <v>171430</v>
      </c>
      <c r="C1333" s="34" t="s">
        <v>145</v>
      </c>
      <c r="D1333" s="34" t="s">
        <v>85</v>
      </c>
      <c r="E1333" s="35"/>
      <c r="F1333" s="36">
        <f>IFERROR(E1333/$Q1333,0)</f>
        <v>0</v>
      </c>
      <c r="G1333" s="40"/>
      <c r="H1333" s="36">
        <f>IFERROR(G1333/$R1333,0)</f>
        <v>0</v>
      </c>
      <c r="I1333" s="35"/>
      <c r="J1333" s="36">
        <f>IFERROR(I1333/$Q1333,0)</f>
        <v>0</v>
      </c>
      <c r="K1333" s="40"/>
      <c r="L1333" s="36">
        <f>IFERROR(K1333/$R1333,0)</f>
        <v>0</v>
      </c>
      <c r="M1333" s="35"/>
      <c r="N1333" s="36">
        <f>IFERROR(M1333/$Q1333,0)</f>
        <v>0</v>
      </c>
      <c r="O1333" s="40"/>
      <c r="P1333" s="36">
        <f>IFERROR(O1333/$R1333,0)</f>
        <v>0</v>
      </c>
      <c r="Q1333" s="35"/>
      <c r="R1333" s="40"/>
    </row>
    <row r="1334" spans="1:18" ht="15.75" customHeight="1" x14ac:dyDescent="0.25">
      <c r="A1334" s="37">
        <v>2015</v>
      </c>
      <c r="B1334" s="35">
        <v>171488</v>
      </c>
      <c r="C1334" s="34" t="s">
        <v>149</v>
      </c>
      <c r="D1334" s="34" t="s">
        <v>86</v>
      </c>
      <c r="E1334" s="35"/>
      <c r="F1334" s="36">
        <f>IFERROR(E1334/$Q1334,0)</f>
        <v>0</v>
      </c>
      <c r="G1334" s="40"/>
      <c r="H1334" s="36">
        <f>IFERROR(G1334/$R1334,0)</f>
        <v>0</v>
      </c>
      <c r="I1334" s="35"/>
      <c r="J1334" s="36">
        <f>IFERROR(I1334/$Q1334,0)</f>
        <v>0</v>
      </c>
      <c r="K1334" s="40"/>
      <c r="L1334" s="36">
        <f>IFERROR(K1334/$R1334,0)</f>
        <v>0</v>
      </c>
      <c r="M1334" s="35"/>
      <c r="N1334" s="36">
        <f>IFERROR(M1334/$Q1334,0)</f>
        <v>0</v>
      </c>
      <c r="O1334" s="40"/>
      <c r="P1334" s="36">
        <f>IFERROR(O1334/$R1334,0)</f>
        <v>0</v>
      </c>
      <c r="Q1334" s="35"/>
      <c r="R1334" s="40"/>
    </row>
    <row r="1335" spans="1:18" ht="15.75" customHeight="1" x14ac:dyDescent="0.25">
      <c r="A1335" s="37">
        <v>2015</v>
      </c>
      <c r="B1335" s="35">
        <v>171500</v>
      </c>
      <c r="C1335" s="34" t="s">
        <v>144</v>
      </c>
      <c r="D1335" s="34" t="s">
        <v>87</v>
      </c>
      <c r="E1335" s="35"/>
      <c r="F1335" s="36">
        <f>IFERROR(E1335/$Q1335,0)</f>
        <v>0</v>
      </c>
      <c r="G1335" s="40"/>
      <c r="H1335" s="36">
        <f>IFERROR(G1335/$R1335,0)</f>
        <v>0</v>
      </c>
      <c r="I1335" s="35"/>
      <c r="J1335" s="36">
        <f>IFERROR(I1335/$Q1335,0)</f>
        <v>0</v>
      </c>
      <c r="K1335" s="40"/>
      <c r="L1335" s="36">
        <f>IFERROR(K1335/$R1335,0)</f>
        <v>0</v>
      </c>
      <c r="M1335" s="35"/>
      <c r="N1335" s="36">
        <f>IFERROR(M1335/$Q1335,0)</f>
        <v>0</v>
      </c>
      <c r="O1335" s="40"/>
      <c r="P1335" s="36">
        <f>IFERROR(O1335/$R1335,0)</f>
        <v>0</v>
      </c>
      <c r="Q1335" s="35"/>
      <c r="R1335" s="40"/>
    </row>
    <row r="1336" spans="1:18" ht="15.75" customHeight="1" x14ac:dyDescent="0.25">
      <c r="A1336" s="37">
        <v>2015</v>
      </c>
      <c r="B1336" s="35">
        <v>171510</v>
      </c>
      <c r="C1336" s="34" t="s">
        <v>148</v>
      </c>
      <c r="D1336" s="34" t="s">
        <v>88</v>
      </c>
      <c r="E1336" s="35"/>
      <c r="F1336" s="36">
        <f>IFERROR(E1336/$Q1336,0)</f>
        <v>0</v>
      </c>
      <c r="G1336" s="40"/>
      <c r="H1336" s="36">
        <f>IFERROR(G1336/$R1336,0)</f>
        <v>0</v>
      </c>
      <c r="I1336" s="35"/>
      <c r="J1336" s="36">
        <f>IFERROR(I1336/$Q1336,0)</f>
        <v>0</v>
      </c>
      <c r="K1336" s="40"/>
      <c r="L1336" s="36">
        <f>IFERROR(K1336/$R1336,0)</f>
        <v>0</v>
      </c>
      <c r="M1336" s="35"/>
      <c r="N1336" s="36">
        <f>IFERROR(M1336/$Q1336,0)</f>
        <v>0</v>
      </c>
      <c r="O1336" s="40"/>
      <c r="P1336" s="36">
        <f>IFERROR(O1336/$R1336,0)</f>
        <v>0</v>
      </c>
      <c r="Q1336" s="35"/>
      <c r="R1336" s="40"/>
    </row>
    <row r="1337" spans="1:18" ht="15.75" customHeight="1" x14ac:dyDescent="0.25">
      <c r="A1337" s="37">
        <v>2015</v>
      </c>
      <c r="B1337" s="35">
        <v>171515</v>
      </c>
      <c r="C1337" s="34" t="s">
        <v>147</v>
      </c>
      <c r="D1337" s="34" t="s">
        <v>89</v>
      </c>
      <c r="E1337" s="35"/>
      <c r="F1337" s="36">
        <f>IFERROR(E1337/$Q1337,0)</f>
        <v>0</v>
      </c>
      <c r="G1337" s="40"/>
      <c r="H1337" s="36">
        <f>IFERROR(G1337/$R1337,0)</f>
        <v>0</v>
      </c>
      <c r="I1337" s="35"/>
      <c r="J1337" s="36">
        <f>IFERROR(I1337/$Q1337,0)</f>
        <v>0</v>
      </c>
      <c r="K1337" s="40"/>
      <c r="L1337" s="36">
        <f>IFERROR(K1337/$R1337,0)</f>
        <v>0</v>
      </c>
      <c r="M1337" s="35"/>
      <c r="N1337" s="36">
        <f>IFERROR(M1337/$Q1337,0)</f>
        <v>0</v>
      </c>
      <c r="O1337" s="40"/>
      <c r="P1337" s="36">
        <f>IFERROR(O1337/$R1337,0)</f>
        <v>0</v>
      </c>
      <c r="Q1337" s="35"/>
      <c r="R1337" s="40"/>
    </row>
    <row r="1338" spans="1:18" ht="15.75" customHeight="1" x14ac:dyDescent="0.25">
      <c r="A1338" s="37">
        <v>2015</v>
      </c>
      <c r="B1338" s="35">
        <v>171525</v>
      </c>
      <c r="C1338" s="34" t="s">
        <v>147</v>
      </c>
      <c r="D1338" s="34" t="s">
        <v>90</v>
      </c>
      <c r="E1338" s="35"/>
      <c r="F1338" s="36">
        <f>IFERROR(E1338/$Q1338,0)</f>
        <v>0</v>
      </c>
      <c r="G1338" s="40"/>
      <c r="H1338" s="36">
        <f>IFERROR(G1338/$R1338,0)</f>
        <v>0</v>
      </c>
      <c r="I1338" s="35"/>
      <c r="J1338" s="36">
        <f>IFERROR(I1338/$Q1338,0)</f>
        <v>0</v>
      </c>
      <c r="K1338" s="40"/>
      <c r="L1338" s="36">
        <f>IFERROR(K1338/$R1338,0)</f>
        <v>0</v>
      </c>
      <c r="M1338" s="35"/>
      <c r="N1338" s="36">
        <f>IFERROR(M1338/$Q1338,0)</f>
        <v>0</v>
      </c>
      <c r="O1338" s="40"/>
      <c r="P1338" s="36">
        <f>IFERROR(O1338/$R1338,0)</f>
        <v>0</v>
      </c>
      <c r="Q1338" s="35"/>
      <c r="R1338" s="40"/>
    </row>
    <row r="1339" spans="1:18" ht="15.75" customHeight="1" x14ac:dyDescent="0.25">
      <c r="A1339" s="37">
        <v>2015</v>
      </c>
      <c r="B1339" s="35">
        <v>171550</v>
      </c>
      <c r="C1339" s="34" t="s">
        <v>151</v>
      </c>
      <c r="D1339" s="34" t="s">
        <v>91</v>
      </c>
      <c r="E1339" s="35"/>
      <c r="F1339" s="36">
        <f>IFERROR(E1339/$Q1339,0)</f>
        <v>0</v>
      </c>
      <c r="G1339" s="40"/>
      <c r="H1339" s="36">
        <f>IFERROR(G1339/$R1339,0)</f>
        <v>0</v>
      </c>
      <c r="I1339" s="35"/>
      <c r="J1339" s="36">
        <f>IFERROR(I1339/$Q1339,0)</f>
        <v>0</v>
      </c>
      <c r="K1339" s="40"/>
      <c r="L1339" s="36">
        <f>IFERROR(K1339/$R1339,0)</f>
        <v>0</v>
      </c>
      <c r="M1339" s="35"/>
      <c r="N1339" s="36">
        <f>IFERROR(M1339/$Q1339,0)</f>
        <v>0</v>
      </c>
      <c r="O1339" s="40"/>
      <c r="P1339" s="36">
        <f>IFERROR(O1339/$R1339,0)</f>
        <v>0</v>
      </c>
      <c r="Q1339" s="35"/>
      <c r="R1339" s="40"/>
    </row>
    <row r="1340" spans="1:18" ht="15.75" customHeight="1" x14ac:dyDescent="0.25">
      <c r="A1340" s="37">
        <v>2015</v>
      </c>
      <c r="B1340" s="35">
        <v>172100</v>
      </c>
      <c r="C1340" s="34" t="s">
        <v>148</v>
      </c>
      <c r="D1340" s="34" t="s">
        <v>92</v>
      </c>
      <c r="E1340" s="35"/>
      <c r="F1340" s="36">
        <f>IFERROR(E1340/$Q1340,0)</f>
        <v>0</v>
      </c>
      <c r="G1340" s="40"/>
      <c r="H1340" s="36">
        <f>IFERROR(G1340/$R1340,0)</f>
        <v>0</v>
      </c>
      <c r="I1340" s="35"/>
      <c r="J1340" s="36">
        <f>IFERROR(I1340/$Q1340,0)</f>
        <v>0</v>
      </c>
      <c r="K1340" s="40"/>
      <c r="L1340" s="36">
        <f>IFERROR(K1340/$R1340,0)</f>
        <v>0</v>
      </c>
      <c r="M1340" s="35"/>
      <c r="N1340" s="36">
        <f>IFERROR(M1340/$Q1340,0)</f>
        <v>0</v>
      </c>
      <c r="O1340" s="41"/>
      <c r="P1340" s="36">
        <f>IFERROR(O1340/$R1340,0)</f>
        <v>0</v>
      </c>
      <c r="Q1340" s="35"/>
      <c r="R1340" s="41"/>
    </row>
    <row r="1341" spans="1:18" ht="15.75" customHeight="1" x14ac:dyDescent="0.25">
      <c r="A1341" s="37">
        <v>2015</v>
      </c>
      <c r="B1341" s="35">
        <v>171570</v>
      </c>
      <c r="C1341" s="34" t="s">
        <v>150</v>
      </c>
      <c r="D1341" s="34" t="s">
        <v>93</v>
      </c>
      <c r="E1341" s="35"/>
      <c r="F1341" s="36">
        <f>IFERROR(E1341/$Q1341,0)</f>
        <v>0</v>
      </c>
      <c r="G1341" s="40"/>
      <c r="H1341" s="36">
        <f>IFERROR(G1341/$R1341,0)</f>
        <v>0</v>
      </c>
      <c r="I1341" s="35"/>
      <c r="J1341" s="36">
        <f>IFERROR(I1341/$Q1341,0)</f>
        <v>0</v>
      </c>
      <c r="K1341" s="40"/>
      <c r="L1341" s="36">
        <f>IFERROR(K1341/$R1341,0)</f>
        <v>0</v>
      </c>
      <c r="M1341" s="35"/>
      <c r="N1341" s="36">
        <f>IFERROR(M1341/$Q1341,0)</f>
        <v>0</v>
      </c>
      <c r="O1341" s="40"/>
      <c r="P1341" s="36">
        <f>IFERROR(O1341/$R1341,0)</f>
        <v>0</v>
      </c>
      <c r="Q1341" s="35"/>
      <c r="R1341" s="40"/>
    </row>
    <row r="1342" spans="1:18" ht="15.75" customHeight="1" x14ac:dyDescent="0.25">
      <c r="A1342" s="37">
        <v>2015</v>
      </c>
      <c r="B1342" s="35">
        <v>171380</v>
      </c>
      <c r="C1342" s="34" t="s">
        <v>145</v>
      </c>
      <c r="D1342" s="34" t="s">
        <v>94</v>
      </c>
      <c r="E1342" s="35"/>
      <c r="F1342" s="36">
        <f>IFERROR(E1342/$Q1342,0)</f>
        <v>0</v>
      </c>
      <c r="G1342" s="40"/>
      <c r="H1342" s="36">
        <f>IFERROR(G1342/$R1342,0)</f>
        <v>0</v>
      </c>
      <c r="I1342" s="35"/>
      <c r="J1342" s="36">
        <f>IFERROR(I1342/$Q1342,0)</f>
        <v>0</v>
      </c>
      <c r="K1342" s="40"/>
      <c r="L1342" s="36">
        <f>IFERROR(K1342/$R1342,0)</f>
        <v>0</v>
      </c>
      <c r="M1342" s="35"/>
      <c r="N1342" s="36">
        <f>IFERROR(M1342/$Q1342,0)</f>
        <v>0</v>
      </c>
      <c r="O1342" s="40"/>
      <c r="P1342" s="36">
        <f>IFERROR(O1342/$R1342,0)</f>
        <v>0</v>
      </c>
      <c r="Q1342" s="35"/>
      <c r="R1342" s="40"/>
    </row>
    <row r="1343" spans="1:18" ht="15.75" customHeight="1" x14ac:dyDescent="0.25">
      <c r="A1343" s="37">
        <v>2015</v>
      </c>
      <c r="B1343" s="35">
        <v>171575</v>
      </c>
      <c r="C1343" s="34" t="s">
        <v>146</v>
      </c>
      <c r="D1343" s="34" t="s">
        <v>95</v>
      </c>
      <c r="E1343" s="35"/>
      <c r="F1343" s="36">
        <f>IFERROR(E1343/$Q1343,0)</f>
        <v>0</v>
      </c>
      <c r="G1343" s="40"/>
      <c r="H1343" s="36">
        <f>IFERROR(G1343/$R1343,0)</f>
        <v>0</v>
      </c>
      <c r="I1343" s="35"/>
      <c r="J1343" s="36">
        <f>IFERROR(I1343/$Q1343,0)</f>
        <v>0</v>
      </c>
      <c r="K1343" s="40"/>
      <c r="L1343" s="36">
        <f>IFERROR(K1343/$R1343,0)</f>
        <v>0</v>
      </c>
      <c r="M1343" s="35"/>
      <c r="N1343" s="36">
        <f>IFERROR(M1343/$Q1343,0)</f>
        <v>0</v>
      </c>
      <c r="O1343" s="40"/>
      <c r="P1343" s="36">
        <f>IFERROR(O1343/$R1343,0)</f>
        <v>0</v>
      </c>
      <c r="Q1343" s="35"/>
      <c r="R1343" s="40"/>
    </row>
    <row r="1344" spans="1:18" ht="15.75" customHeight="1" x14ac:dyDescent="0.25">
      <c r="A1344" s="37">
        <v>2015</v>
      </c>
      <c r="B1344" s="35">
        <v>171610</v>
      </c>
      <c r="C1344" s="34" t="s">
        <v>144</v>
      </c>
      <c r="D1344" s="34" t="s">
        <v>96</v>
      </c>
      <c r="E1344" s="35"/>
      <c r="F1344" s="36">
        <f>IFERROR(E1344/$Q1344,0)</f>
        <v>0</v>
      </c>
      <c r="G1344" s="40"/>
      <c r="H1344" s="36">
        <f>IFERROR(G1344/$R1344,0)</f>
        <v>0</v>
      </c>
      <c r="I1344" s="35"/>
      <c r="J1344" s="36">
        <f>IFERROR(I1344/$Q1344,0)</f>
        <v>0</v>
      </c>
      <c r="K1344" s="40"/>
      <c r="L1344" s="36">
        <f>IFERROR(K1344/$R1344,0)</f>
        <v>0</v>
      </c>
      <c r="M1344" s="35"/>
      <c r="N1344" s="36">
        <f>IFERROR(M1344/$Q1344,0)</f>
        <v>0</v>
      </c>
      <c r="O1344" s="40"/>
      <c r="P1344" s="36">
        <f>IFERROR(O1344/$R1344,0)</f>
        <v>0</v>
      </c>
      <c r="Q1344" s="35"/>
      <c r="R1344" s="40"/>
    </row>
    <row r="1345" spans="1:18" ht="15.75" customHeight="1" x14ac:dyDescent="0.25">
      <c r="A1345" s="37">
        <v>2015</v>
      </c>
      <c r="B1345" s="35">
        <v>171620</v>
      </c>
      <c r="C1345" s="34" t="s">
        <v>147</v>
      </c>
      <c r="D1345" s="34" t="s">
        <v>97</v>
      </c>
      <c r="E1345" s="35"/>
      <c r="F1345" s="36">
        <f>IFERROR(E1345/$Q1345,0)</f>
        <v>0</v>
      </c>
      <c r="G1345" s="40"/>
      <c r="H1345" s="36">
        <f>IFERROR(G1345/$R1345,0)</f>
        <v>0</v>
      </c>
      <c r="I1345" s="35"/>
      <c r="J1345" s="36">
        <f>IFERROR(I1345/$Q1345,0)</f>
        <v>0</v>
      </c>
      <c r="K1345" s="40"/>
      <c r="L1345" s="36">
        <f>IFERROR(K1345/$R1345,0)</f>
        <v>0</v>
      </c>
      <c r="M1345" s="35"/>
      <c r="N1345" s="36">
        <f>IFERROR(M1345/$Q1345,0)</f>
        <v>0</v>
      </c>
      <c r="O1345" s="40"/>
      <c r="P1345" s="36">
        <f>IFERROR(O1345/$R1345,0)</f>
        <v>0</v>
      </c>
      <c r="Q1345" s="35"/>
      <c r="R1345" s="40"/>
    </row>
    <row r="1346" spans="1:18" ht="15.75" customHeight="1" x14ac:dyDescent="0.25">
      <c r="A1346" s="37">
        <v>2015</v>
      </c>
      <c r="B1346" s="35">
        <v>171630</v>
      </c>
      <c r="C1346" s="34" t="s">
        <v>149</v>
      </c>
      <c r="D1346" s="34" t="s">
        <v>98</v>
      </c>
      <c r="E1346" s="35"/>
      <c r="F1346" s="36">
        <f>IFERROR(E1346/$Q1346,0)</f>
        <v>0</v>
      </c>
      <c r="G1346" s="40"/>
      <c r="H1346" s="36">
        <f>IFERROR(G1346/$R1346,0)</f>
        <v>0</v>
      </c>
      <c r="I1346" s="35"/>
      <c r="J1346" s="36">
        <f>IFERROR(I1346/$Q1346,0)</f>
        <v>0</v>
      </c>
      <c r="K1346" s="40"/>
      <c r="L1346" s="36">
        <f>IFERROR(K1346/$R1346,0)</f>
        <v>0</v>
      </c>
      <c r="M1346" s="35"/>
      <c r="N1346" s="36">
        <f>IFERROR(M1346/$Q1346,0)</f>
        <v>0</v>
      </c>
      <c r="O1346" s="40"/>
      <c r="P1346" s="36">
        <f>IFERROR(O1346/$R1346,0)</f>
        <v>0</v>
      </c>
      <c r="Q1346" s="35"/>
      <c r="R1346" s="40"/>
    </row>
    <row r="1347" spans="1:18" ht="15.75" customHeight="1" x14ac:dyDescent="0.25">
      <c r="A1347" s="37">
        <v>2015</v>
      </c>
      <c r="B1347" s="35">
        <v>171650</v>
      </c>
      <c r="C1347" s="34" t="s">
        <v>150</v>
      </c>
      <c r="D1347" s="34" t="s">
        <v>99</v>
      </c>
      <c r="E1347" s="35"/>
      <c r="F1347" s="36">
        <f>IFERROR(E1347/$Q1347,0)</f>
        <v>0</v>
      </c>
      <c r="G1347" s="40"/>
      <c r="H1347" s="36">
        <f>IFERROR(G1347/$R1347,0)</f>
        <v>0</v>
      </c>
      <c r="I1347" s="35"/>
      <c r="J1347" s="36">
        <f>IFERROR(I1347/$Q1347,0)</f>
        <v>0</v>
      </c>
      <c r="K1347" s="40"/>
      <c r="L1347" s="36">
        <f>IFERROR(K1347/$R1347,0)</f>
        <v>0</v>
      </c>
      <c r="M1347" s="35"/>
      <c r="N1347" s="36">
        <f>IFERROR(M1347/$Q1347,0)</f>
        <v>0</v>
      </c>
      <c r="O1347" s="40"/>
      <c r="P1347" s="36">
        <f>IFERROR(O1347/$R1347,0)</f>
        <v>0</v>
      </c>
      <c r="Q1347" s="35"/>
      <c r="R1347" s="40"/>
    </row>
    <row r="1348" spans="1:18" ht="15.75" customHeight="1" x14ac:dyDescent="0.25">
      <c r="A1348" s="37">
        <v>2015</v>
      </c>
      <c r="B1348" s="35">
        <v>171660</v>
      </c>
      <c r="C1348" s="34" t="s">
        <v>146</v>
      </c>
      <c r="D1348" s="34" t="s">
        <v>100</v>
      </c>
      <c r="E1348" s="35"/>
      <c r="F1348" s="36">
        <f>IFERROR(E1348/$Q1348,0)</f>
        <v>0</v>
      </c>
      <c r="G1348" s="40"/>
      <c r="H1348" s="36">
        <f>IFERROR(G1348/$R1348,0)</f>
        <v>0</v>
      </c>
      <c r="I1348" s="35"/>
      <c r="J1348" s="36">
        <f>IFERROR(I1348/$Q1348,0)</f>
        <v>0</v>
      </c>
      <c r="K1348" s="40"/>
      <c r="L1348" s="36">
        <f>IFERROR(K1348/$R1348,0)</f>
        <v>0</v>
      </c>
      <c r="M1348" s="35"/>
      <c r="N1348" s="36">
        <f>IFERROR(M1348/$Q1348,0)</f>
        <v>0</v>
      </c>
      <c r="O1348" s="40"/>
      <c r="P1348" s="36">
        <f>IFERROR(O1348/$R1348,0)</f>
        <v>0</v>
      </c>
      <c r="Q1348" s="35"/>
      <c r="R1348" s="40"/>
    </row>
    <row r="1349" spans="1:18" ht="15.75" customHeight="1" x14ac:dyDescent="0.25">
      <c r="A1349" s="37">
        <v>2015</v>
      </c>
      <c r="B1349" s="35">
        <v>171665</v>
      </c>
      <c r="C1349" s="34" t="s">
        <v>150</v>
      </c>
      <c r="D1349" s="34" t="s">
        <v>101</v>
      </c>
      <c r="E1349" s="35"/>
      <c r="F1349" s="36">
        <f>IFERROR(E1349/$Q1349,0)</f>
        <v>0</v>
      </c>
      <c r="G1349" s="40"/>
      <c r="H1349" s="36">
        <f>IFERROR(G1349/$R1349,0)</f>
        <v>0</v>
      </c>
      <c r="I1349" s="35"/>
      <c r="J1349" s="36">
        <f>IFERROR(I1349/$Q1349,0)</f>
        <v>0</v>
      </c>
      <c r="K1349" s="40"/>
      <c r="L1349" s="36">
        <f>IFERROR(K1349/$R1349,0)</f>
        <v>0</v>
      </c>
      <c r="M1349" s="35"/>
      <c r="N1349" s="36">
        <f>IFERROR(M1349/$Q1349,0)</f>
        <v>0</v>
      </c>
      <c r="O1349" s="40"/>
      <c r="P1349" s="36">
        <f>IFERROR(O1349/$R1349,0)</f>
        <v>0</v>
      </c>
      <c r="Q1349" s="35"/>
      <c r="R1349" s="40"/>
    </row>
    <row r="1350" spans="1:18" ht="15.75" customHeight="1" x14ac:dyDescent="0.25">
      <c r="A1350" s="37">
        <v>2015</v>
      </c>
      <c r="B1350" s="35">
        <v>171700</v>
      </c>
      <c r="C1350" s="34" t="s">
        <v>151</v>
      </c>
      <c r="D1350" s="34" t="s">
        <v>102</v>
      </c>
      <c r="E1350" s="35"/>
      <c r="F1350" s="36">
        <f>IFERROR(E1350/$Q1350,0)</f>
        <v>0</v>
      </c>
      <c r="G1350" s="40"/>
      <c r="H1350" s="36">
        <f>IFERROR(G1350/$R1350,0)</f>
        <v>0</v>
      </c>
      <c r="I1350" s="35"/>
      <c r="J1350" s="36">
        <f>IFERROR(I1350/$Q1350,0)</f>
        <v>0</v>
      </c>
      <c r="K1350" s="40"/>
      <c r="L1350" s="36">
        <f>IFERROR(K1350/$R1350,0)</f>
        <v>0</v>
      </c>
      <c r="M1350" s="35"/>
      <c r="N1350" s="36">
        <f>IFERROR(M1350/$Q1350,0)</f>
        <v>0</v>
      </c>
      <c r="O1350" s="40"/>
      <c r="P1350" s="36">
        <f>IFERROR(O1350/$R1350,0)</f>
        <v>0</v>
      </c>
      <c r="Q1350" s="35"/>
      <c r="R1350" s="40"/>
    </row>
    <row r="1351" spans="1:18" ht="15.75" customHeight="1" x14ac:dyDescent="0.25">
      <c r="A1351" s="37">
        <v>2015</v>
      </c>
      <c r="B1351" s="35">
        <v>171720</v>
      </c>
      <c r="C1351" s="34" t="s">
        <v>149</v>
      </c>
      <c r="D1351" s="34" t="s">
        <v>103</v>
      </c>
      <c r="E1351" s="35"/>
      <c r="F1351" s="36">
        <f>IFERROR(E1351/$Q1351,0)</f>
        <v>0</v>
      </c>
      <c r="G1351" s="40"/>
      <c r="H1351" s="36">
        <f>IFERROR(G1351/$R1351,0)</f>
        <v>0</v>
      </c>
      <c r="I1351" s="35"/>
      <c r="J1351" s="36">
        <f>IFERROR(I1351/$Q1351,0)</f>
        <v>0</v>
      </c>
      <c r="K1351" s="40"/>
      <c r="L1351" s="36">
        <f>IFERROR(K1351/$R1351,0)</f>
        <v>0</v>
      </c>
      <c r="M1351" s="35"/>
      <c r="N1351" s="36">
        <f>IFERROR(M1351/$Q1351,0)</f>
        <v>0</v>
      </c>
      <c r="O1351" s="40"/>
      <c r="P1351" s="36">
        <f>IFERROR(O1351/$R1351,0)</f>
        <v>0</v>
      </c>
      <c r="Q1351" s="35"/>
      <c r="R1351" s="40"/>
    </row>
    <row r="1352" spans="1:18" ht="15.75" customHeight="1" x14ac:dyDescent="0.25">
      <c r="A1352" s="37">
        <v>2015</v>
      </c>
      <c r="B1352" s="35">
        <v>171750</v>
      </c>
      <c r="C1352" s="34" t="s">
        <v>144</v>
      </c>
      <c r="D1352" s="34" t="s">
        <v>104</v>
      </c>
      <c r="E1352" s="35"/>
      <c r="F1352" s="36">
        <f>IFERROR(E1352/$Q1352,0)</f>
        <v>0</v>
      </c>
      <c r="G1352" s="40"/>
      <c r="H1352" s="36">
        <f>IFERROR(G1352/$R1352,0)</f>
        <v>0</v>
      </c>
      <c r="I1352" s="35"/>
      <c r="J1352" s="36">
        <f>IFERROR(I1352/$Q1352,0)</f>
        <v>0</v>
      </c>
      <c r="K1352" s="40"/>
      <c r="L1352" s="36">
        <f>IFERROR(K1352/$R1352,0)</f>
        <v>0</v>
      </c>
      <c r="M1352" s="35"/>
      <c r="N1352" s="36">
        <f>IFERROR(M1352/$Q1352,0)</f>
        <v>0</v>
      </c>
      <c r="O1352" s="40"/>
      <c r="P1352" s="36">
        <f>IFERROR(O1352/$R1352,0)</f>
        <v>0</v>
      </c>
      <c r="Q1352" s="35"/>
      <c r="R1352" s="40"/>
    </row>
    <row r="1353" spans="1:18" ht="15.75" customHeight="1" x14ac:dyDescent="0.25">
      <c r="A1353" s="37">
        <v>2015</v>
      </c>
      <c r="B1353" s="35">
        <v>171780</v>
      </c>
      <c r="C1353" s="34" t="s">
        <v>147</v>
      </c>
      <c r="D1353" s="34" t="s">
        <v>105</v>
      </c>
      <c r="E1353" s="35"/>
      <c r="F1353" s="36">
        <f>IFERROR(E1353/$Q1353,0)</f>
        <v>0</v>
      </c>
      <c r="G1353" s="40"/>
      <c r="H1353" s="36">
        <f>IFERROR(G1353/$R1353,0)</f>
        <v>0</v>
      </c>
      <c r="I1353" s="35"/>
      <c r="J1353" s="36">
        <f>IFERROR(I1353/$Q1353,0)</f>
        <v>0</v>
      </c>
      <c r="K1353" s="40"/>
      <c r="L1353" s="36">
        <f>IFERROR(K1353/$R1353,0)</f>
        <v>0</v>
      </c>
      <c r="M1353" s="35"/>
      <c r="N1353" s="36">
        <f>IFERROR(M1353/$Q1353,0)</f>
        <v>0</v>
      </c>
      <c r="O1353" s="40"/>
      <c r="P1353" s="36">
        <f>IFERROR(O1353/$R1353,0)</f>
        <v>0</v>
      </c>
      <c r="Q1353" s="35"/>
      <c r="R1353" s="40"/>
    </row>
    <row r="1354" spans="1:18" ht="15.75" customHeight="1" x14ac:dyDescent="0.25">
      <c r="A1354" s="37">
        <v>2015</v>
      </c>
      <c r="B1354" s="35">
        <v>171790</v>
      </c>
      <c r="C1354" s="34" t="s">
        <v>151</v>
      </c>
      <c r="D1354" s="34" t="s">
        <v>106</v>
      </c>
      <c r="E1354" s="35"/>
      <c r="F1354" s="36">
        <f>IFERROR(E1354/$Q1354,0)</f>
        <v>0</v>
      </c>
      <c r="G1354" s="40"/>
      <c r="H1354" s="36">
        <f>IFERROR(G1354/$R1354,0)</f>
        <v>0</v>
      </c>
      <c r="I1354" s="35"/>
      <c r="J1354" s="36">
        <f>IFERROR(I1354/$Q1354,0)</f>
        <v>0</v>
      </c>
      <c r="K1354" s="40"/>
      <c r="L1354" s="36">
        <f>IFERROR(K1354/$R1354,0)</f>
        <v>0</v>
      </c>
      <c r="M1354" s="35"/>
      <c r="N1354" s="36">
        <f>IFERROR(M1354/$Q1354,0)</f>
        <v>0</v>
      </c>
      <c r="O1354" s="40"/>
      <c r="P1354" s="36">
        <f>IFERROR(O1354/$R1354,0)</f>
        <v>0</v>
      </c>
      <c r="Q1354" s="35"/>
      <c r="R1354" s="40"/>
    </row>
    <row r="1355" spans="1:18" ht="15.75" customHeight="1" x14ac:dyDescent="0.25">
      <c r="A1355" s="37">
        <v>2015</v>
      </c>
      <c r="B1355" s="35">
        <v>171800</v>
      </c>
      <c r="C1355" s="34" t="s">
        <v>147</v>
      </c>
      <c r="D1355" s="34" t="s">
        <v>107</v>
      </c>
      <c r="E1355" s="35"/>
      <c r="F1355" s="36">
        <f>IFERROR(E1355/$Q1355,0)</f>
        <v>0</v>
      </c>
      <c r="G1355" s="40"/>
      <c r="H1355" s="36">
        <f>IFERROR(G1355/$R1355,0)</f>
        <v>0</v>
      </c>
      <c r="I1355" s="35"/>
      <c r="J1355" s="36">
        <f>IFERROR(I1355/$Q1355,0)</f>
        <v>0</v>
      </c>
      <c r="K1355" s="40"/>
      <c r="L1355" s="36">
        <f>IFERROR(K1355/$R1355,0)</f>
        <v>0</v>
      </c>
      <c r="M1355" s="35"/>
      <c r="N1355" s="36">
        <f>IFERROR(M1355/$Q1355,0)</f>
        <v>0</v>
      </c>
      <c r="O1355" s="40"/>
      <c r="P1355" s="36">
        <f>IFERROR(O1355/$R1355,0)</f>
        <v>0</v>
      </c>
      <c r="Q1355" s="35"/>
      <c r="R1355" s="40"/>
    </row>
    <row r="1356" spans="1:18" ht="15.75" customHeight="1" x14ac:dyDescent="0.25">
      <c r="A1356" s="37">
        <v>2015</v>
      </c>
      <c r="B1356" s="35">
        <v>171820</v>
      </c>
      <c r="C1356" s="34" t="s">
        <v>151</v>
      </c>
      <c r="D1356" s="34" t="s">
        <v>108</v>
      </c>
      <c r="E1356" s="35"/>
      <c r="F1356" s="36">
        <f>IFERROR(E1356/$Q1356,0)</f>
        <v>0</v>
      </c>
      <c r="G1356" s="40"/>
      <c r="H1356" s="36">
        <f>IFERROR(G1356/$R1356,0)</f>
        <v>0</v>
      </c>
      <c r="I1356" s="35"/>
      <c r="J1356" s="36">
        <f>IFERROR(I1356/$Q1356,0)</f>
        <v>0</v>
      </c>
      <c r="K1356" s="40"/>
      <c r="L1356" s="36">
        <f>IFERROR(K1356/$R1356,0)</f>
        <v>0</v>
      </c>
      <c r="M1356" s="35"/>
      <c r="N1356" s="36">
        <f>IFERROR(M1356/$Q1356,0)</f>
        <v>0</v>
      </c>
      <c r="O1356" s="40"/>
      <c r="P1356" s="36">
        <f>IFERROR(O1356/$R1356,0)</f>
        <v>0</v>
      </c>
      <c r="Q1356" s="35"/>
      <c r="R1356" s="41"/>
    </row>
    <row r="1357" spans="1:18" ht="15.75" customHeight="1" x14ac:dyDescent="0.25">
      <c r="A1357" s="37">
        <v>2015</v>
      </c>
      <c r="B1357" s="35">
        <v>171830</v>
      </c>
      <c r="C1357" s="34" t="s">
        <v>145</v>
      </c>
      <c r="D1357" s="34" t="s">
        <v>109</v>
      </c>
      <c r="E1357" s="35"/>
      <c r="F1357" s="36">
        <f>IFERROR(E1357/$Q1357,0)</f>
        <v>0</v>
      </c>
      <c r="G1357" s="40"/>
      <c r="H1357" s="36">
        <f>IFERROR(G1357/$R1357,0)</f>
        <v>0</v>
      </c>
      <c r="I1357" s="35"/>
      <c r="J1357" s="36">
        <f>IFERROR(I1357/$Q1357,0)</f>
        <v>0</v>
      </c>
      <c r="K1357" s="40"/>
      <c r="L1357" s="36">
        <f>IFERROR(K1357/$R1357,0)</f>
        <v>0</v>
      </c>
      <c r="M1357" s="35"/>
      <c r="N1357" s="36">
        <f>IFERROR(M1357/$Q1357,0)</f>
        <v>0</v>
      </c>
      <c r="O1357" s="40"/>
      <c r="P1357" s="36">
        <f>IFERROR(O1357/$R1357,0)</f>
        <v>0</v>
      </c>
      <c r="Q1357" s="35"/>
      <c r="R1357" s="40"/>
    </row>
    <row r="1358" spans="1:18" ht="15.75" customHeight="1" x14ac:dyDescent="0.25">
      <c r="A1358" s="37">
        <v>2015</v>
      </c>
      <c r="B1358" s="35">
        <v>171840</v>
      </c>
      <c r="C1358" s="34" t="s">
        <v>150</v>
      </c>
      <c r="D1358" s="34" t="s">
        <v>110</v>
      </c>
      <c r="E1358" s="35"/>
      <c r="F1358" s="36">
        <f>IFERROR(E1358/$Q1358,0)</f>
        <v>0</v>
      </c>
      <c r="G1358" s="40"/>
      <c r="H1358" s="36">
        <f>IFERROR(G1358/$R1358,0)</f>
        <v>0</v>
      </c>
      <c r="I1358" s="35"/>
      <c r="J1358" s="36">
        <f>IFERROR(I1358/$Q1358,0)</f>
        <v>0</v>
      </c>
      <c r="K1358" s="40"/>
      <c r="L1358" s="36">
        <f>IFERROR(K1358/$R1358,0)</f>
        <v>0</v>
      </c>
      <c r="M1358" s="35"/>
      <c r="N1358" s="36">
        <f>IFERROR(M1358/$Q1358,0)</f>
        <v>0</v>
      </c>
      <c r="O1358" s="40"/>
      <c r="P1358" s="36">
        <f>IFERROR(O1358/$R1358,0)</f>
        <v>0</v>
      </c>
      <c r="Q1358" s="35"/>
      <c r="R1358" s="40"/>
    </row>
    <row r="1359" spans="1:18" ht="15.75" customHeight="1" x14ac:dyDescent="0.25">
      <c r="A1359" s="37">
        <v>2015</v>
      </c>
      <c r="B1359" s="35">
        <v>171845</v>
      </c>
      <c r="C1359" s="34" t="s">
        <v>144</v>
      </c>
      <c r="D1359" s="34" t="s">
        <v>111</v>
      </c>
      <c r="E1359" s="35"/>
      <c r="F1359" s="36">
        <f>IFERROR(E1359/$Q1359,0)</f>
        <v>0</v>
      </c>
      <c r="G1359" s="40"/>
      <c r="H1359" s="36">
        <f>IFERROR(G1359/$R1359,0)</f>
        <v>0</v>
      </c>
      <c r="I1359" s="35"/>
      <c r="J1359" s="36">
        <f>IFERROR(I1359/$Q1359,0)</f>
        <v>0</v>
      </c>
      <c r="K1359" s="40"/>
      <c r="L1359" s="36">
        <f>IFERROR(K1359/$R1359,0)</f>
        <v>0</v>
      </c>
      <c r="M1359" s="35"/>
      <c r="N1359" s="36">
        <f>IFERROR(M1359/$Q1359,0)</f>
        <v>0</v>
      </c>
      <c r="O1359" s="40"/>
      <c r="P1359" s="36">
        <f>IFERROR(O1359/$R1359,0)</f>
        <v>0</v>
      </c>
      <c r="Q1359" s="35"/>
      <c r="R1359" s="40"/>
    </row>
    <row r="1360" spans="1:18" ht="15.75" customHeight="1" x14ac:dyDescent="0.25">
      <c r="A1360" s="37">
        <v>2015</v>
      </c>
      <c r="B1360" s="35">
        <v>171850</v>
      </c>
      <c r="C1360" s="34" t="s">
        <v>150</v>
      </c>
      <c r="D1360" s="34" t="s">
        <v>112</v>
      </c>
      <c r="E1360" s="35"/>
      <c r="F1360" s="36">
        <f>IFERROR(E1360/$Q1360,0)</f>
        <v>0</v>
      </c>
      <c r="G1360" s="40"/>
      <c r="H1360" s="36">
        <f>IFERROR(G1360/$R1360,0)</f>
        <v>0</v>
      </c>
      <c r="I1360" s="35"/>
      <c r="J1360" s="36">
        <f>IFERROR(I1360/$Q1360,0)</f>
        <v>0</v>
      </c>
      <c r="K1360" s="40"/>
      <c r="L1360" s="36">
        <f>IFERROR(K1360/$R1360,0)</f>
        <v>0</v>
      </c>
      <c r="M1360" s="35"/>
      <c r="N1360" s="36">
        <f>IFERROR(M1360/$Q1360,0)</f>
        <v>0</v>
      </c>
      <c r="O1360" s="40"/>
      <c r="P1360" s="36">
        <f>IFERROR(O1360/$R1360,0)</f>
        <v>0</v>
      </c>
      <c r="Q1360" s="35"/>
      <c r="R1360" s="40"/>
    </row>
    <row r="1361" spans="1:18" ht="15.75" customHeight="1" x14ac:dyDescent="0.25">
      <c r="A1361" s="37">
        <v>2015</v>
      </c>
      <c r="B1361" s="35">
        <v>171855</v>
      </c>
      <c r="C1361" s="34" t="s">
        <v>145</v>
      </c>
      <c r="D1361" s="34" t="s">
        <v>113</v>
      </c>
      <c r="E1361" s="35"/>
      <c r="F1361" s="36">
        <f>IFERROR(E1361/$Q1361,0)</f>
        <v>0</v>
      </c>
      <c r="G1361" s="40"/>
      <c r="H1361" s="36">
        <f>IFERROR(G1361/$R1361,0)</f>
        <v>0</v>
      </c>
      <c r="I1361" s="35"/>
      <c r="J1361" s="36">
        <f>IFERROR(I1361/$Q1361,0)</f>
        <v>0</v>
      </c>
      <c r="K1361" s="40"/>
      <c r="L1361" s="36">
        <f>IFERROR(K1361/$R1361,0)</f>
        <v>0</v>
      </c>
      <c r="M1361" s="35"/>
      <c r="N1361" s="36">
        <f>IFERROR(M1361/$Q1361,0)</f>
        <v>0</v>
      </c>
      <c r="O1361" s="40"/>
      <c r="P1361" s="36">
        <f>IFERROR(O1361/$R1361,0)</f>
        <v>0</v>
      </c>
      <c r="Q1361" s="35"/>
      <c r="R1361" s="40"/>
    </row>
    <row r="1362" spans="1:18" ht="15.75" customHeight="1" x14ac:dyDescent="0.25">
      <c r="A1362" s="37">
        <v>2015</v>
      </c>
      <c r="B1362" s="35">
        <v>171865</v>
      </c>
      <c r="C1362" s="34" t="s">
        <v>147</v>
      </c>
      <c r="D1362" s="34" t="s">
        <v>114</v>
      </c>
      <c r="E1362" s="35"/>
      <c r="F1362" s="36">
        <f>IFERROR(E1362/$Q1362,0)</f>
        <v>0</v>
      </c>
      <c r="G1362" s="40"/>
      <c r="H1362" s="36">
        <f>IFERROR(G1362/$R1362,0)</f>
        <v>0</v>
      </c>
      <c r="I1362" s="35"/>
      <c r="J1362" s="36">
        <f>IFERROR(I1362/$Q1362,0)</f>
        <v>0</v>
      </c>
      <c r="K1362" s="40"/>
      <c r="L1362" s="36">
        <f>IFERROR(K1362/$R1362,0)</f>
        <v>0</v>
      </c>
      <c r="M1362" s="35"/>
      <c r="N1362" s="36">
        <f>IFERROR(M1362/$Q1362,0)</f>
        <v>0</v>
      </c>
      <c r="O1362" s="40"/>
      <c r="P1362" s="36">
        <f>IFERROR(O1362/$R1362,0)</f>
        <v>0</v>
      </c>
      <c r="Q1362" s="35"/>
      <c r="R1362" s="40"/>
    </row>
    <row r="1363" spans="1:18" ht="15.75" customHeight="1" x14ac:dyDescent="0.25">
      <c r="A1363" s="37">
        <v>2015</v>
      </c>
      <c r="B1363" s="35">
        <v>171870</v>
      </c>
      <c r="C1363" s="34" t="s">
        <v>148</v>
      </c>
      <c r="D1363" s="34" t="s">
        <v>115</v>
      </c>
      <c r="E1363" s="35"/>
      <c r="F1363" s="36">
        <f>IFERROR(E1363/$Q1363,0)</f>
        <v>0</v>
      </c>
      <c r="G1363" s="40"/>
      <c r="H1363" s="36">
        <f>IFERROR(G1363/$R1363,0)</f>
        <v>0</v>
      </c>
      <c r="I1363" s="35"/>
      <c r="J1363" s="36">
        <f>IFERROR(I1363/$Q1363,0)</f>
        <v>0</v>
      </c>
      <c r="K1363" s="40"/>
      <c r="L1363" s="36">
        <f>IFERROR(K1363/$R1363,0)</f>
        <v>0</v>
      </c>
      <c r="M1363" s="35"/>
      <c r="N1363" s="36">
        <f>IFERROR(M1363/$Q1363,0)</f>
        <v>0</v>
      </c>
      <c r="O1363" s="40"/>
      <c r="P1363" s="36">
        <f>IFERROR(O1363/$R1363,0)</f>
        <v>0</v>
      </c>
      <c r="Q1363" s="35"/>
      <c r="R1363" s="40"/>
    </row>
    <row r="1364" spans="1:18" ht="15.75" customHeight="1" x14ac:dyDescent="0.25">
      <c r="A1364" s="37">
        <v>2015</v>
      </c>
      <c r="B1364" s="35">
        <v>171875</v>
      </c>
      <c r="C1364" s="34" t="s">
        <v>148</v>
      </c>
      <c r="D1364" s="34" t="s">
        <v>116</v>
      </c>
      <c r="E1364" s="35"/>
      <c r="F1364" s="36">
        <f>IFERROR(E1364/$Q1364,0)</f>
        <v>0</v>
      </c>
      <c r="G1364" s="40"/>
      <c r="H1364" s="36">
        <f>IFERROR(G1364/$R1364,0)</f>
        <v>0</v>
      </c>
      <c r="I1364" s="35"/>
      <c r="J1364" s="36">
        <f>IFERROR(I1364/$Q1364,0)</f>
        <v>0</v>
      </c>
      <c r="K1364" s="40"/>
      <c r="L1364" s="36">
        <f>IFERROR(K1364/$R1364,0)</f>
        <v>0</v>
      </c>
      <c r="M1364" s="35"/>
      <c r="N1364" s="36">
        <f>IFERROR(M1364/$Q1364,0)</f>
        <v>0</v>
      </c>
      <c r="O1364" s="40"/>
      <c r="P1364" s="36">
        <f>IFERROR(O1364/$R1364,0)</f>
        <v>0</v>
      </c>
      <c r="Q1364" s="35"/>
      <c r="R1364" s="40"/>
    </row>
    <row r="1365" spans="1:18" ht="15.75" customHeight="1" x14ac:dyDescent="0.25">
      <c r="A1365" s="37">
        <v>2015</v>
      </c>
      <c r="B1365" s="35">
        <v>171880</v>
      </c>
      <c r="C1365" s="34" t="s">
        <v>145</v>
      </c>
      <c r="D1365" s="34" t="s">
        <v>117</v>
      </c>
      <c r="E1365" s="35"/>
      <c r="F1365" s="36">
        <f>IFERROR(E1365/$Q1365,0)</f>
        <v>0</v>
      </c>
      <c r="G1365" s="40"/>
      <c r="H1365" s="36">
        <f>IFERROR(G1365/$R1365,0)</f>
        <v>0</v>
      </c>
      <c r="I1365" s="35"/>
      <c r="J1365" s="36">
        <f>IFERROR(I1365/$Q1365,0)</f>
        <v>0</v>
      </c>
      <c r="K1365" s="40"/>
      <c r="L1365" s="36">
        <f>IFERROR(K1365/$R1365,0)</f>
        <v>0</v>
      </c>
      <c r="M1365" s="35"/>
      <c r="N1365" s="36">
        <f>IFERROR(M1365/$Q1365,0)</f>
        <v>0</v>
      </c>
      <c r="O1365" s="40"/>
      <c r="P1365" s="36">
        <f>IFERROR(O1365/$R1365,0)</f>
        <v>0</v>
      </c>
      <c r="Q1365" s="35"/>
      <c r="R1365" s="40"/>
    </row>
    <row r="1366" spans="1:18" ht="15.75" customHeight="1" x14ac:dyDescent="0.25">
      <c r="A1366" s="37">
        <v>2015</v>
      </c>
      <c r="B1366" s="35">
        <v>171884</v>
      </c>
      <c r="C1366" s="34" t="s">
        <v>146</v>
      </c>
      <c r="D1366" s="34" t="s">
        <v>118</v>
      </c>
      <c r="E1366" s="35"/>
      <c r="F1366" s="36">
        <f>IFERROR(E1366/$Q1366,0)</f>
        <v>0</v>
      </c>
      <c r="G1366" s="40"/>
      <c r="H1366" s="36">
        <f>IFERROR(G1366/$R1366,0)</f>
        <v>0</v>
      </c>
      <c r="I1366" s="35"/>
      <c r="J1366" s="36">
        <f>IFERROR(I1366/$Q1366,0)</f>
        <v>0</v>
      </c>
      <c r="K1366" s="40"/>
      <c r="L1366" s="36">
        <f>IFERROR(K1366/$R1366,0)</f>
        <v>0</v>
      </c>
      <c r="M1366" s="35"/>
      <c r="N1366" s="36">
        <f>IFERROR(M1366/$Q1366,0)</f>
        <v>0</v>
      </c>
      <c r="O1366" s="40"/>
      <c r="P1366" s="36">
        <f>IFERROR(O1366/$R1366,0)</f>
        <v>0</v>
      </c>
      <c r="Q1366" s="35"/>
      <c r="R1366" s="40"/>
    </row>
    <row r="1367" spans="1:18" ht="15.75" customHeight="1" x14ac:dyDescent="0.25">
      <c r="A1367" s="37">
        <v>2015</v>
      </c>
      <c r="B1367" s="35">
        <v>171886</v>
      </c>
      <c r="C1367" s="34" t="s">
        <v>149</v>
      </c>
      <c r="D1367" s="34" t="s">
        <v>119</v>
      </c>
      <c r="E1367" s="35"/>
      <c r="F1367" s="36">
        <f>IFERROR(E1367/$Q1367,0)</f>
        <v>0</v>
      </c>
      <c r="G1367" s="40"/>
      <c r="H1367" s="36">
        <f>IFERROR(G1367/$R1367,0)</f>
        <v>0</v>
      </c>
      <c r="I1367" s="35"/>
      <c r="J1367" s="36">
        <f>IFERROR(I1367/$Q1367,0)</f>
        <v>0</v>
      </c>
      <c r="K1367" s="40"/>
      <c r="L1367" s="36">
        <f>IFERROR(K1367/$R1367,0)</f>
        <v>0</v>
      </c>
      <c r="M1367" s="35"/>
      <c r="N1367" s="36">
        <f>IFERROR(M1367/$Q1367,0)</f>
        <v>0</v>
      </c>
      <c r="O1367" s="40"/>
      <c r="P1367" s="36">
        <f>IFERROR(O1367/$R1367,0)</f>
        <v>0</v>
      </c>
      <c r="Q1367" s="35"/>
      <c r="R1367" s="40"/>
    </row>
    <row r="1368" spans="1:18" ht="15.75" customHeight="1" x14ac:dyDescent="0.25">
      <c r="A1368" s="37">
        <v>2015</v>
      </c>
      <c r="B1368" s="35">
        <v>171888</v>
      </c>
      <c r="C1368" s="34" t="s">
        <v>150</v>
      </c>
      <c r="D1368" s="34" t="s">
        <v>120</v>
      </c>
      <c r="E1368" s="35"/>
      <c r="F1368" s="36">
        <f>IFERROR(E1368/$Q1368,0)</f>
        <v>0</v>
      </c>
      <c r="G1368" s="40"/>
      <c r="H1368" s="36">
        <f>IFERROR(G1368/$R1368,0)</f>
        <v>0</v>
      </c>
      <c r="I1368" s="35"/>
      <c r="J1368" s="36">
        <f>IFERROR(I1368/$Q1368,0)</f>
        <v>0</v>
      </c>
      <c r="K1368" s="40"/>
      <c r="L1368" s="36">
        <f>IFERROR(K1368/$R1368,0)</f>
        <v>0</v>
      </c>
      <c r="M1368" s="35"/>
      <c r="N1368" s="36">
        <f>IFERROR(M1368/$Q1368,0)</f>
        <v>0</v>
      </c>
      <c r="O1368" s="40"/>
      <c r="P1368" s="36">
        <f>IFERROR(O1368/$R1368,0)</f>
        <v>0</v>
      </c>
      <c r="Q1368" s="35"/>
      <c r="R1368" s="40"/>
    </row>
    <row r="1369" spans="1:18" ht="15.75" customHeight="1" x14ac:dyDescent="0.25">
      <c r="A1369" s="37">
        <v>2015</v>
      </c>
      <c r="B1369" s="35">
        <v>171889</v>
      </c>
      <c r="C1369" s="34" t="s">
        <v>146</v>
      </c>
      <c r="D1369" s="34" t="s">
        <v>121</v>
      </c>
      <c r="E1369" s="35"/>
      <c r="F1369" s="36">
        <f>IFERROR(E1369/$Q1369,0)</f>
        <v>0</v>
      </c>
      <c r="G1369" s="40"/>
      <c r="H1369" s="36">
        <f>IFERROR(G1369/$R1369,0)</f>
        <v>0</v>
      </c>
      <c r="I1369" s="35"/>
      <c r="J1369" s="36">
        <f>IFERROR(I1369/$Q1369,0)</f>
        <v>0</v>
      </c>
      <c r="K1369" s="40"/>
      <c r="L1369" s="36">
        <f>IFERROR(K1369/$R1369,0)</f>
        <v>0</v>
      </c>
      <c r="M1369" s="35"/>
      <c r="N1369" s="36">
        <f>IFERROR(M1369/$Q1369,0)</f>
        <v>0</v>
      </c>
      <c r="O1369" s="40"/>
      <c r="P1369" s="36">
        <f>IFERROR(O1369/$R1369,0)</f>
        <v>0</v>
      </c>
      <c r="Q1369" s="35"/>
      <c r="R1369" s="40"/>
    </row>
    <row r="1370" spans="1:18" ht="15.75" customHeight="1" x14ac:dyDescent="0.25">
      <c r="A1370" s="37">
        <v>2015</v>
      </c>
      <c r="B1370" s="35">
        <v>171890</v>
      </c>
      <c r="C1370" s="34" t="s">
        <v>151</v>
      </c>
      <c r="D1370" s="34" t="s">
        <v>122</v>
      </c>
      <c r="E1370" s="35"/>
      <c r="F1370" s="36">
        <f>IFERROR(E1370/$Q1370,0)</f>
        <v>0</v>
      </c>
      <c r="G1370" s="40"/>
      <c r="H1370" s="36">
        <f>IFERROR(G1370/$R1370,0)</f>
        <v>0</v>
      </c>
      <c r="I1370" s="35"/>
      <c r="J1370" s="36">
        <f>IFERROR(I1370/$Q1370,0)</f>
        <v>0</v>
      </c>
      <c r="K1370" s="40"/>
      <c r="L1370" s="36">
        <f>IFERROR(K1370/$R1370,0)</f>
        <v>0</v>
      </c>
      <c r="M1370" s="35"/>
      <c r="N1370" s="36">
        <f>IFERROR(M1370/$Q1370,0)</f>
        <v>0</v>
      </c>
      <c r="O1370" s="40"/>
      <c r="P1370" s="36">
        <f>IFERROR(O1370/$R1370,0)</f>
        <v>0</v>
      </c>
      <c r="Q1370" s="35"/>
      <c r="R1370" s="40"/>
    </row>
    <row r="1371" spans="1:18" ht="15.75" customHeight="1" x14ac:dyDescent="0.25">
      <c r="A1371" s="37">
        <v>2015</v>
      </c>
      <c r="B1371" s="35">
        <v>171900</v>
      </c>
      <c r="C1371" s="34" t="s">
        <v>148</v>
      </c>
      <c r="D1371" s="34" t="s">
        <v>123</v>
      </c>
      <c r="E1371" s="35"/>
      <c r="F1371" s="36">
        <f>IFERROR(E1371/$Q1371,0)</f>
        <v>0</v>
      </c>
      <c r="G1371" s="40"/>
      <c r="H1371" s="36">
        <f>IFERROR(G1371/$R1371,0)</f>
        <v>0</v>
      </c>
      <c r="I1371" s="35"/>
      <c r="J1371" s="36">
        <f>IFERROR(I1371/$Q1371,0)</f>
        <v>0</v>
      </c>
      <c r="K1371" s="40"/>
      <c r="L1371" s="36">
        <f>IFERROR(K1371/$R1371,0)</f>
        <v>0</v>
      </c>
      <c r="M1371" s="35"/>
      <c r="N1371" s="36">
        <f>IFERROR(M1371/$Q1371,0)</f>
        <v>0</v>
      </c>
      <c r="O1371" s="40"/>
      <c r="P1371" s="36">
        <f>IFERROR(O1371/$R1371,0)</f>
        <v>0</v>
      </c>
      <c r="Q1371" s="35"/>
      <c r="R1371" s="40"/>
    </row>
    <row r="1372" spans="1:18" ht="15.75" customHeight="1" x14ac:dyDescent="0.25">
      <c r="A1372" s="37">
        <v>2015</v>
      </c>
      <c r="B1372" s="35">
        <v>172000</v>
      </c>
      <c r="C1372" s="34" t="s">
        <v>145</v>
      </c>
      <c r="D1372" s="34" t="s">
        <v>124</v>
      </c>
      <c r="E1372" s="35"/>
      <c r="F1372" s="36">
        <f>IFERROR(E1372/$Q1372,0)</f>
        <v>0</v>
      </c>
      <c r="G1372" s="40"/>
      <c r="H1372" s="36">
        <f>IFERROR(G1372/$R1372,0)</f>
        <v>0</v>
      </c>
      <c r="I1372" s="35"/>
      <c r="J1372" s="36">
        <f>IFERROR(I1372/$Q1372,0)</f>
        <v>0</v>
      </c>
      <c r="K1372" s="40"/>
      <c r="L1372" s="36">
        <f>IFERROR(K1372/$R1372,0)</f>
        <v>0</v>
      </c>
      <c r="M1372" s="35"/>
      <c r="N1372" s="36">
        <f>IFERROR(M1372/$Q1372,0)</f>
        <v>0</v>
      </c>
      <c r="O1372" s="40"/>
      <c r="P1372" s="36">
        <f>IFERROR(O1372/$R1372,0)</f>
        <v>0</v>
      </c>
      <c r="Q1372" s="35"/>
      <c r="R1372" s="40"/>
    </row>
    <row r="1373" spans="1:18" ht="15.75" customHeight="1" x14ac:dyDescent="0.25">
      <c r="A1373" s="37">
        <v>2015</v>
      </c>
      <c r="B1373" s="35">
        <v>172010</v>
      </c>
      <c r="C1373" s="34" t="s">
        <v>145</v>
      </c>
      <c r="D1373" s="34" t="s">
        <v>125</v>
      </c>
      <c r="E1373" s="35"/>
      <c r="F1373" s="36">
        <f>IFERROR(E1373/$Q1373,0)</f>
        <v>0</v>
      </c>
      <c r="G1373" s="40"/>
      <c r="H1373" s="36">
        <f>IFERROR(G1373/$R1373,0)</f>
        <v>0</v>
      </c>
      <c r="I1373" s="35"/>
      <c r="J1373" s="36">
        <f>IFERROR(I1373/$Q1373,0)</f>
        <v>0</v>
      </c>
      <c r="K1373" s="40"/>
      <c r="L1373" s="36">
        <f>IFERROR(K1373/$R1373,0)</f>
        <v>0</v>
      </c>
      <c r="M1373" s="35"/>
      <c r="N1373" s="36">
        <f>IFERROR(M1373/$Q1373,0)</f>
        <v>0</v>
      </c>
      <c r="O1373" s="40"/>
      <c r="P1373" s="36">
        <f>IFERROR(O1373/$R1373,0)</f>
        <v>0</v>
      </c>
      <c r="Q1373" s="35"/>
      <c r="R1373" s="40"/>
    </row>
    <row r="1374" spans="1:18" ht="15.75" customHeight="1" x14ac:dyDescent="0.25">
      <c r="A1374" s="37">
        <v>2015</v>
      </c>
      <c r="B1374" s="35">
        <v>172015</v>
      </c>
      <c r="C1374" s="34" t="s">
        <v>148</v>
      </c>
      <c r="D1374" s="34" t="s">
        <v>126</v>
      </c>
      <c r="E1374" s="35"/>
      <c r="F1374" s="36">
        <f>IFERROR(E1374/$Q1374,0)</f>
        <v>0</v>
      </c>
      <c r="G1374" s="40"/>
      <c r="H1374" s="36">
        <f>IFERROR(G1374/$R1374,0)</f>
        <v>0</v>
      </c>
      <c r="I1374" s="35"/>
      <c r="J1374" s="36">
        <f>IFERROR(I1374/$Q1374,0)</f>
        <v>0</v>
      </c>
      <c r="K1374" s="40"/>
      <c r="L1374" s="36">
        <f>IFERROR(K1374/$R1374,0)</f>
        <v>0</v>
      </c>
      <c r="M1374" s="35"/>
      <c r="N1374" s="36">
        <f>IFERROR(M1374/$Q1374,0)</f>
        <v>0</v>
      </c>
      <c r="O1374" s="40"/>
      <c r="P1374" s="36">
        <f>IFERROR(O1374/$R1374,0)</f>
        <v>0</v>
      </c>
      <c r="Q1374" s="35"/>
      <c r="R1374" s="40"/>
    </row>
    <row r="1375" spans="1:18" ht="15.75" customHeight="1" x14ac:dyDescent="0.25">
      <c r="A1375" s="37">
        <v>2015</v>
      </c>
      <c r="B1375" s="35">
        <v>172020</v>
      </c>
      <c r="C1375" s="34" t="s">
        <v>145</v>
      </c>
      <c r="D1375" s="34" t="s">
        <v>127</v>
      </c>
      <c r="E1375" s="35"/>
      <c r="F1375" s="36">
        <f>IFERROR(E1375/$Q1375,0)</f>
        <v>0</v>
      </c>
      <c r="G1375" s="40"/>
      <c r="H1375" s="36">
        <f>IFERROR(G1375/$R1375,0)</f>
        <v>0</v>
      </c>
      <c r="I1375" s="35"/>
      <c r="J1375" s="36">
        <f>IFERROR(I1375/$Q1375,0)</f>
        <v>0</v>
      </c>
      <c r="K1375" s="40"/>
      <c r="L1375" s="36">
        <f>IFERROR(K1375/$R1375,0)</f>
        <v>0</v>
      </c>
      <c r="M1375" s="35"/>
      <c r="N1375" s="36">
        <f>IFERROR(M1375/$Q1375,0)</f>
        <v>0</v>
      </c>
      <c r="O1375" s="40"/>
      <c r="P1375" s="36">
        <f>IFERROR(O1375/$R1375,0)</f>
        <v>0</v>
      </c>
      <c r="Q1375" s="35"/>
      <c r="R1375" s="40"/>
    </row>
    <row r="1376" spans="1:18" ht="15.75" customHeight="1" x14ac:dyDescent="0.25">
      <c r="A1376" s="37">
        <v>2015</v>
      </c>
      <c r="B1376" s="35">
        <v>172025</v>
      </c>
      <c r="C1376" s="34" t="s">
        <v>146</v>
      </c>
      <c r="D1376" s="34" t="s">
        <v>128</v>
      </c>
      <c r="E1376" s="35"/>
      <c r="F1376" s="36">
        <f>IFERROR(E1376/$Q1376,0)</f>
        <v>0</v>
      </c>
      <c r="G1376" s="40"/>
      <c r="H1376" s="36">
        <f>IFERROR(G1376/$R1376,0)</f>
        <v>0</v>
      </c>
      <c r="I1376" s="35"/>
      <c r="J1376" s="36">
        <f>IFERROR(I1376/$Q1376,0)</f>
        <v>0</v>
      </c>
      <c r="K1376" s="40"/>
      <c r="L1376" s="36">
        <f>IFERROR(K1376/$R1376,0)</f>
        <v>0</v>
      </c>
      <c r="M1376" s="35"/>
      <c r="N1376" s="36">
        <f>IFERROR(M1376/$Q1376,0)</f>
        <v>0</v>
      </c>
      <c r="O1376" s="40"/>
      <c r="P1376" s="36">
        <f>IFERROR(O1376/$R1376,0)</f>
        <v>0</v>
      </c>
      <c r="Q1376" s="35"/>
      <c r="R1376" s="40"/>
    </row>
    <row r="1377" spans="1:18" ht="15.75" customHeight="1" x14ac:dyDescent="0.25">
      <c r="A1377" s="37">
        <v>2015</v>
      </c>
      <c r="B1377" s="35">
        <v>172030</v>
      </c>
      <c r="C1377" s="34" t="s">
        <v>145</v>
      </c>
      <c r="D1377" s="34" t="s">
        <v>129</v>
      </c>
      <c r="E1377" s="35"/>
      <c r="F1377" s="36">
        <f>IFERROR(E1377/$Q1377,0)</f>
        <v>0</v>
      </c>
      <c r="G1377" s="40"/>
      <c r="H1377" s="36">
        <f>IFERROR(G1377/$R1377,0)</f>
        <v>0</v>
      </c>
      <c r="I1377" s="35"/>
      <c r="J1377" s="36">
        <f>IFERROR(I1377/$Q1377,0)</f>
        <v>0</v>
      </c>
      <c r="K1377" s="40"/>
      <c r="L1377" s="36">
        <f>IFERROR(K1377/$R1377,0)</f>
        <v>0</v>
      </c>
      <c r="M1377" s="35"/>
      <c r="N1377" s="36">
        <f>IFERROR(M1377/$Q1377,0)</f>
        <v>0</v>
      </c>
      <c r="O1377" s="40"/>
      <c r="P1377" s="36">
        <f>IFERROR(O1377/$R1377,0)</f>
        <v>0</v>
      </c>
      <c r="Q1377" s="35"/>
      <c r="R1377" s="40"/>
    </row>
    <row r="1378" spans="1:18" ht="15.75" customHeight="1" x14ac:dyDescent="0.25">
      <c r="A1378" s="37">
        <v>2015</v>
      </c>
      <c r="B1378" s="35">
        <v>172049</v>
      </c>
      <c r="C1378" s="34" t="s">
        <v>146</v>
      </c>
      <c r="D1378" s="34" t="s">
        <v>130</v>
      </c>
      <c r="E1378" s="35"/>
      <c r="F1378" s="36">
        <f>IFERROR(E1378/$Q1378,0)</f>
        <v>0</v>
      </c>
      <c r="G1378" s="40"/>
      <c r="H1378" s="36">
        <f>IFERROR(G1378/$R1378,0)</f>
        <v>0</v>
      </c>
      <c r="I1378" s="35"/>
      <c r="J1378" s="36">
        <f>IFERROR(I1378/$Q1378,0)</f>
        <v>0</v>
      </c>
      <c r="K1378" s="40"/>
      <c r="L1378" s="36">
        <f>IFERROR(K1378/$R1378,0)</f>
        <v>0</v>
      </c>
      <c r="M1378" s="35"/>
      <c r="N1378" s="36">
        <f>IFERROR(M1378/$Q1378,0)</f>
        <v>0</v>
      </c>
      <c r="O1378" s="40"/>
      <c r="P1378" s="36">
        <f>IFERROR(O1378/$R1378,0)</f>
        <v>0</v>
      </c>
      <c r="Q1378" s="35"/>
      <c r="R1378" s="40"/>
    </row>
    <row r="1379" spans="1:18" ht="15.75" customHeight="1" x14ac:dyDescent="0.25">
      <c r="A1379" s="37">
        <v>2015</v>
      </c>
      <c r="B1379" s="35">
        <v>172065</v>
      </c>
      <c r="C1379" s="34" t="s">
        <v>151</v>
      </c>
      <c r="D1379" s="34" t="s">
        <v>131</v>
      </c>
      <c r="E1379" s="35"/>
      <c r="F1379" s="36">
        <f>IFERROR(E1379/$Q1379,0)</f>
        <v>0</v>
      </c>
      <c r="G1379" s="40"/>
      <c r="H1379" s="36">
        <f>IFERROR(G1379/$R1379,0)</f>
        <v>0</v>
      </c>
      <c r="I1379" s="35"/>
      <c r="J1379" s="36">
        <f>IFERROR(I1379/$Q1379,0)</f>
        <v>0</v>
      </c>
      <c r="K1379" s="40"/>
      <c r="L1379" s="36">
        <f>IFERROR(K1379/$R1379,0)</f>
        <v>0</v>
      </c>
      <c r="M1379" s="35"/>
      <c r="N1379" s="36">
        <f>IFERROR(M1379/$Q1379,0)</f>
        <v>0</v>
      </c>
      <c r="O1379" s="40"/>
      <c r="P1379" s="36">
        <f>IFERROR(O1379/$R1379,0)</f>
        <v>0</v>
      </c>
      <c r="Q1379" s="35"/>
      <c r="R1379" s="40"/>
    </row>
    <row r="1380" spans="1:18" ht="15.75" customHeight="1" x14ac:dyDescent="0.25">
      <c r="A1380" s="37">
        <v>2015</v>
      </c>
      <c r="B1380" s="35">
        <v>172080</v>
      </c>
      <c r="C1380" s="34" t="s">
        <v>145</v>
      </c>
      <c r="D1380" s="34" t="s">
        <v>132</v>
      </c>
      <c r="E1380" s="35"/>
      <c r="F1380" s="36">
        <f>IFERROR(E1380/$Q1380,0)</f>
        <v>0</v>
      </c>
      <c r="G1380" s="40"/>
      <c r="H1380" s="36">
        <f>IFERROR(G1380/$R1380,0)</f>
        <v>0</v>
      </c>
      <c r="I1380" s="35"/>
      <c r="J1380" s="36">
        <f>IFERROR(I1380/$Q1380,0)</f>
        <v>0</v>
      </c>
      <c r="K1380" s="40"/>
      <c r="L1380" s="36">
        <f>IFERROR(K1380/$R1380,0)</f>
        <v>0</v>
      </c>
      <c r="M1380" s="35"/>
      <c r="N1380" s="36">
        <f>IFERROR(M1380/$Q1380,0)</f>
        <v>0</v>
      </c>
      <c r="O1380" s="40"/>
      <c r="P1380" s="36">
        <f>IFERROR(O1380/$R1380,0)</f>
        <v>0</v>
      </c>
      <c r="Q1380" s="35"/>
      <c r="R1380" s="40"/>
    </row>
    <row r="1381" spans="1:18" ht="15.75" customHeight="1" x14ac:dyDescent="0.25">
      <c r="A1381" s="37">
        <v>2015</v>
      </c>
      <c r="B1381" s="35">
        <v>172085</v>
      </c>
      <c r="C1381" s="34" t="s">
        <v>146</v>
      </c>
      <c r="D1381" s="34" t="s">
        <v>133</v>
      </c>
      <c r="E1381" s="35"/>
      <c r="F1381" s="36">
        <f>IFERROR(E1381/$Q1381,0)</f>
        <v>0</v>
      </c>
      <c r="G1381" s="40"/>
      <c r="H1381" s="36">
        <f>IFERROR(G1381/$R1381,0)</f>
        <v>0</v>
      </c>
      <c r="I1381" s="35"/>
      <c r="J1381" s="36">
        <f>IFERROR(I1381/$Q1381,0)</f>
        <v>0</v>
      </c>
      <c r="K1381" s="40"/>
      <c r="L1381" s="36">
        <f>IFERROR(K1381/$R1381,0)</f>
        <v>0</v>
      </c>
      <c r="M1381" s="35"/>
      <c r="N1381" s="36">
        <f>IFERROR(M1381/$Q1381,0)</f>
        <v>0</v>
      </c>
      <c r="O1381" s="40"/>
      <c r="P1381" s="36">
        <f>IFERROR(O1381/$R1381,0)</f>
        <v>0</v>
      </c>
      <c r="Q1381" s="35"/>
      <c r="R1381" s="40"/>
    </row>
    <row r="1382" spans="1:18" ht="15.75" customHeight="1" x14ac:dyDescent="0.25">
      <c r="A1382" s="37">
        <v>2015</v>
      </c>
      <c r="B1382" s="35">
        <v>170825</v>
      </c>
      <c r="C1382" s="34" t="s">
        <v>148</v>
      </c>
      <c r="D1382" s="34" t="s">
        <v>134</v>
      </c>
      <c r="E1382" s="35"/>
      <c r="F1382" s="36">
        <f>IFERROR(E1382/$Q1382,0)</f>
        <v>0</v>
      </c>
      <c r="G1382" s="40"/>
      <c r="H1382" s="36">
        <f>IFERROR(G1382/$R1382,0)</f>
        <v>0</v>
      </c>
      <c r="I1382" s="35"/>
      <c r="J1382" s="36">
        <f>IFERROR(I1382/$Q1382,0)</f>
        <v>0</v>
      </c>
      <c r="K1382" s="40"/>
      <c r="L1382" s="36">
        <f>IFERROR(K1382/$R1382,0)</f>
        <v>0</v>
      </c>
      <c r="M1382" s="35"/>
      <c r="N1382" s="36">
        <f>IFERROR(M1382/$Q1382,0)</f>
        <v>0</v>
      </c>
      <c r="O1382" s="40"/>
      <c r="P1382" s="36">
        <f>IFERROR(O1382/$R1382,0)</f>
        <v>0</v>
      </c>
      <c r="Q1382" s="35"/>
      <c r="R1382" s="40"/>
    </row>
    <row r="1383" spans="1:18" ht="15.75" customHeight="1" x14ac:dyDescent="0.25">
      <c r="A1383" s="37">
        <v>2015</v>
      </c>
      <c r="B1383" s="35">
        <v>172090</v>
      </c>
      <c r="C1383" s="34" t="s">
        <v>147</v>
      </c>
      <c r="D1383" s="34" t="s">
        <v>135</v>
      </c>
      <c r="E1383" s="35"/>
      <c r="F1383" s="36">
        <f>IFERROR(E1383/$Q1383,0)</f>
        <v>0</v>
      </c>
      <c r="G1383" s="40"/>
      <c r="H1383" s="36">
        <f>IFERROR(G1383/$R1383,0)</f>
        <v>0</v>
      </c>
      <c r="I1383" s="35"/>
      <c r="J1383" s="36">
        <f>IFERROR(I1383/$Q1383,0)</f>
        <v>0</v>
      </c>
      <c r="K1383" s="40"/>
      <c r="L1383" s="36">
        <f>IFERROR(K1383/$R1383,0)</f>
        <v>0</v>
      </c>
      <c r="M1383" s="35"/>
      <c r="N1383" s="36">
        <f>IFERROR(M1383/$Q1383,0)</f>
        <v>0</v>
      </c>
      <c r="O1383" s="40"/>
      <c r="P1383" s="36">
        <f>IFERROR(O1383/$R1383,0)</f>
        <v>0</v>
      </c>
      <c r="Q1383" s="35"/>
      <c r="R1383" s="40"/>
    </row>
    <row r="1384" spans="1:18" ht="15.75" customHeight="1" x14ac:dyDescent="0.25">
      <c r="A1384" s="37">
        <v>2015</v>
      </c>
      <c r="B1384" s="35">
        <v>172093</v>
      </c>
      <c r="C1384" s="34" t="s">
        <v>147</v>
      </c>
      <c r="D1384" s="34" t="s">
        <v>136</v>
      </c>
      <c r="E1384" s="35"/>
      <c r="F1384" s="36">
        <f>IFERROR(E1384/$Q1384,0)</f>
        <v>0</v>
      </c>
      <c r="G1384" s="40"/>
      <c r="H1384" s="36">
        <f>IFERROR(G1384/$R1384,0)</f>
        <v>0</v>
      </c>
      <c r="I1384" s="35"/>
      <c r="J1384" s="36">
        <f>IFERROR(I1384/$Q1384,0)</f>
        <v>0</v>
      </c>
      <c r="K1384" s="40"/>
      <c r="L1384" s="36">
        <f>IFERROR(K1384/$R1384,0)</f>
        <v>0</v>
      </c>
      <c r="M1384" s="35"/>
      <c r="N1384" s="36">
        <f>IFERROR(M1384/$Q1384,0)</f>
        <v>0</v>
      </c>
      <c r="O1384" s="40"/>
      <c r="P1384" s="36">
        <f>IFERROR(O1384/$R1384,0)</f>
        <v>0</v>
      </c>
      <c r="Q1384" s="35"/>
      <c r="R1384" s="40"/>
    </row>
    <row r="1385" spans="1:18" ht="15.75" customHeight="1" x14ac:dyDescent="0.25">
      <c r="A1385" s="37">
        <v>2015</v>
      </c>
      <c r="B1385" s="35">
        <v>172097</v>
      </c>
      <c r="C1385" s="34" t="s">
        <v>146</v>
      </c>
      <c r="D1385" s="34" t="s">
        <v>137</v>
      </c>
      <c r="E1385" s="35"/>
      <c r="F1385" s="36">
        <f>IFERROR(E1385/$Q1385,0)</f>
        <v>0</v>
      </c>
      <c r="G1385" s="40"/>
      <c r="H1385" s="36">
        <f>IFERROR(G1385/$R1385,0)</f>
        <v>0</v>
      </c>
      <c r="I1385" s="35"/>
      <c r="J1385" s="36">
        <f>IFERROR(I1385/$Q1385,0)</f>
        <v>0</v>
      </c>
      <c r="K1385" s="40"/>
      <c r="L1385" s="36">
        <f>IFERROR(K1385/$R1385,0)</f>
        <v>0</v>
      </c>
      <c r="M1385" s="35"/>
      <c r="N1385" s="36">
        <f>IFERROR(M1385/$Q1385,0)</f>
        <v>0</v>
      </c>
      <c r="O1385" s="40"/>
      <c r="P1385" s="36">
        <f>IFERROR(O1385/$R1385,0)</f>
        <v>0</v>
      </c>
      <c r="Q1385" s="35"/>
      <c r="R1385" s="40"/>
    </row>
    <row r="1386" spans="1:18" ht="15.75" customHeight="1" x14ac:dyDescent="0.25">
      <c r="A1386" s="37">
        <v>2015</v>
      </c>
      <c r="B1386" s="35">
        <v>172110</v>
      </c>
      <c r="C1386" s="34" t="s">
        <v>148</v>
      </c>
      <c r="D1386" s="34" t="s">
        <v>138</v>
      </c>
      <c r="E1386" s="35"/>
      <c r="F1386" s="36">
        <f>IFERROR(E1386/$Q1386,0)</f>
        <v>0</v>
      </c>
      <c r="G1386" s="40"/>
      <c r="H1386" s="36">
        <f>IFERROR(G1386/$R1386,0)</f>
        <v>0</v>
      </c>
      <c r="I1386" s="35"/>
      <c r="J1386" s="36">
        <f>IFERROR(I1386/$Q1386,0)</f>
        <v>0</v>
      </c>
      <c r="K1386" s="40"/>
      <c r="L1386" s="36">
        <f>IFERROR(K1386/$R1386,0)</f>
        <v>0</v>
      </c>
      <c r="M1386" s="35"/>
      <c r="N1386" s="36">
        <f>IFERROR(M1386/$Q1386,0)</f>
        <v>0</v>
      </c>
      <c r="O1386" s="40"/>
      <c r="P1386" s="36">
        <f>IFERROR(O1386/$R1386,0)</f>
        <v>0</v>
      </c>
      <c r="Q1386" s="35"/>
      <c r="R1386" s="40"/>
    </row>
    <row r="1387" spans="1:18" ht="15.75" customHeight="1" x14ac:dyDescent="0.25">
      <c r="A1387" s="37">
        <v>2015</v>
      </c>
      <c r="B1387" s="35">
        <v>172120</v>
      </c>
      <c r="C1387" s="34" t="s">
        <v>145</v>
      </c>
      <c r="D1387" s="34" t="s">
        <v>139</v>
      </c>
      <c r="E1387" s="35"/>
      <c r="F1387" s="36">
        <f>IFERROR(E1387/$Q1387,0)</f>
        <v>0</v>
      </c>
      <c r="G1387" s="40"/>
      <c r="H1387" s="36">
        <f>IFERROR(G1387/$R1387,0)</f>
        <v>0</v>
      </c>
      <c r="I1387" s="35"/>
      <c r="J1387" s="36">
        <f>IFERROR(I1387/$Q1387,0)</f>
        <v>0</v>
      </c>
      <c r="K1387" s="40"/>
      <c r="L1387" s="36">
        <f>IFERROR(K1387/$R1387,0)</f>
        <v>0</v>
      </c>
      <c r="M1387" s="35"/>
      <c r="N1387" s="36">
        <f>IFERROR(M1387/$Q1387,0)</f>
        <v>0</v>
      </c>
      <c r="O1387" s="40"/>
      <c r="P1387" s="36">
        <f>IFERROR(O1387/$R1387,0)</f>
        <v>0</v>
      </c>
      <c r="Q1387" s="35"/>
      <c r="R1387" s="40"/>
    </row>
    <row r="1388" spans="1:18" ht="15.75" customHeight="1" x14ac:dyDescent="0.25">
      <c r="A1388" s="37">
        <v>2015</v>
      </c>
      <c r="B1388" s="35">
        <v>172125</v>
      </c>
      <c r="C1388" s="34" t="s">
        <v>150</v>
      </c>
      <c r="D1388" s="34" t="s">
        <v>140</v>
      </c>
      <c r="E1388" s="35"/>
      <c r="F1388" s="36">
        <f>IFERROR(E1388/$Q1388,0)</f>
        <v>0</v>
      </c>
      <c r="G1388" s="40"/>
      <c r="H1388" s="36">
        <f>IFERROR(G1388/$R1388,0)</f>
        <v>0</v>
      </c>
      <c r="I1388" s="35"/>
      <c r="J1388" s="36">
        <f>IFERROR(I1388/$Q1388,0)</f>
        <v>0</v>
      </c>
      <c r="K1388" s="40"/>
      <c r="L1388" s="36">
        <f>IFERROR(K1388/$R1388,0)</f>
        <v>0</v>
      </c>
      <c r="M1388" s="35"/>
      <c r="N1388" s="36">
        <f>IFERROR(M1388/$Q1388,0)</f>
        <v>0</v>
      </c>
      <c r="O1388" s="40"/>
      <c r="P1388" s="36">
        <f>IFERROR(O1388/$R1388,0)</f>
        <v>0</v>
      </c>
      <c r="Q1388" s="35"/>
      <c r="R1388" s="40"/>
    </row>
    <row r="1389" spans="1:18" ht="15.75" customHeight="1" x14ac:dyDescent="0.25">
      <c r="A1389" s="37">
        <v>2015</v>
      </c>
      <c r="B1389" s="35">
        <v>172130</v>
      </c>
      <c r="C1389" s="34" t="s">
        <v>150</v>
      </c>
      <c r="D1389" s="34" t="s">
        <v>141</v>
      </c>
      <c r="E1389" s="35"/>
      <c r="F1389" s="36">
        <f>IFERROR(E1389/$Q1389,0)</f>
        <v>0</v>
      </c>
      <c r="G1389" s="40"/>
      <c r="H1389" s="36">
        <f>IFERROR(G1389/$R1389,0)</f>
        <v>0</v>
      </c>
      <c r="I1389" s="35"/>
      <c r="J1389" s="36">
        <f>IFERROR(I1389/$Q1389,0)</f>
        <v>0</v>
      </c>
      <c r="K1389" s="40"/>
      <c r="L1389" s="36">
        <f>IFERROR(K1389/$R1389,0)</f>
        <v>0</v>
      </c>
      <c r="M1389" s="35"/>
      <c r="N1389" s="36">
        <f>IFERROR(M1389/$Q1389,0)</f>
        <v>0</v>
      </c>
      <c r="O1389" s="40"/>
      <c r="P1389" s="36">
        <f>IFERROR(O1389/$R1389,0)</f>
        <v>0</v>
      </c>
      <c r="Q1389" s="35"/>
      <c r="R1389" s="40"/>
    </row>
    <row r="1390" spans="1:18" ht="15.75" customHeight="1" x14ac:dyDescent="0.25">
      <c r="A1390" s="37">
        <v>2015</v>
      </c>
      <c r="B1390" s="35">
        <v>172208</v>
      </c>
      <c r="C1390" s="34" t="s">
        <v>149</v>
      </c>
      <c r="D1390" s="34" t="s">
        <v>142</v>
      </c>
      <c r="E1390" s="35"/>
      <c r="F1390" s="36">
        <f>IFERROR(E1390/$Q1390,0)</f>
        <v>0</v>
      </c>
      <c r="G1390" s="40"/>
      <c r="H1390" s="36">
        <f>IFERROR(G1390/$R1390,0)</f>
        <v>0</v>
      </c>
      <c r="I1390" s="35"/>
      <c r="J1390" s="36">
        <f>IFERROR(I1390/$Q1390,0)</f>
        <v>0</v>
      </c>
      <c r="K1390" s="40"/>
      <c r="L1390" s="36">
        <f>IFERROR(K1390/$R1390,0)</f>
        <v>0</v>
      </c>
      <c r="M1390" s="35"/>
      <c r="N1390" s="36">
        <f>IFERROR(M1390/$Q1390,0)</f>
        <v>0</v>
      </c>
      <c r="O1390" s="40"/>
      <c r="P1390" s="36">
        <f>IFERROR(O1390/$R1390,0)</f>
        <v>0</v>
      </c>
      <c r="Q1390" s="35"/>
      <c r="R1390" s="40"/>
    </row>
    <row r="1391" spans="1:18" ht="15.75" customHeight="1" x14ac:dyDescent="0.25">
      <c r="A1391" s="37">
        <v>2015</v>
      </c>
      <c r="B1391" s="35">
        <v>172210</v>
      </c>
      <c r="C1391" s="34" t="s">
        <v>149</v>
      </c>
      <c r="D1391" s="34" t="s">
        <v>143</v>
      </c>
      <c r="E1391" s="35"/>
      <c r="F1391" s="36">
        <f>IFERROR(E1391/$Q1391,0)</f>
        <v>0</v>
      </c>
      <c r="G1391" s="40"/>
      <c r="H1391" s="36">
        <f>IFERROR(G1391/$R1391,0)</f>
        <v>0</v>
      </c>
      <c r="I1391" s="35"/>
      <c r="J1391" s="36">
        <f>IFERROR(I1391/$Q1391,0)</f>
        <v>0</v>
      </c>
      <c r="K1391" s="40"/>
      <c r="L1391" s="36">
        <f>IFERROR(K1391/$R1391,0)</f>
        <v>0</v>
      </c>
      <c r="M1391" s="35"/>
      <c r="N1391" s="36">
        <f>IFERROR(M1391/$Q1391,0)</f>
        <v>0</v>
      </c>
      <c r="O1391" s="40"/>
      <c r="P1391" s="36">
        <f>IFERROR(O1391/$R1391,0)</f>
        <v>0</v>
      </c>
      <c r="Q1391" s="35"/>
      <c r="R1391" s="40"/>
    </row>
    <row r="1392" spans="1:18" ht="15.75" customHeight="1" x14ac:dyDescent="0.25">
      <c r="A1392" s="9"/>
      <c r="C1392" s="43"/>
      <c r="D1392" s="43"/>
    </row>
    <row r="1393" spans="1:4" ht="15.75" customHeight="1" x14ac:dyDescent="0.25">
      <c r="A1393" s="9"/>
      <c r="C1393" s="43"/>
      <c r="D1393" s="43"/>
    </row>
    <row r="1394" spans="1:4" ht="15.75" customHeight="1" x14ac:dyDescent="0.25">
      <c r="A1394" s="9"/>
      <c r="C1394" s="43"/>
      <c r="D1394" s="43"/>
    </row>
    <row r="1395" spans="1:4" ht="15.75" customHeight="1" x14ac:dyDescent="0.25">
      <c r="A1395" s="9"/>
      <c r="C1395" s="43"/>
      <c r="D1395" s="43"/>
    </row>
    <row r="1396" spans="1:4" ht="15.75" customHeight="1" x14ac:dyDescent="0.25">
      <c r="A1396" s="9"/>
      <c r="C1396" s="43"/>
      <c r="D1396" s="43"/>
    </row>
    <row r="1397" spans="1:4" ht="15.75" customHeight="1" x14ac:dyDescent="0.25">
      <c r="A1397" s="9"/>
      <c r="C1397" s="43"/>
      <c r="D1397" s="43"/>
    </row>
    <row r="1398" spans="1:4" ht="15.75" customHeight="1" x14ac:dyDescent="0.25">
      <c r="A1398" s="9"/>
      <c r="C1398" s="43"/>
      <c r="D1398" s="43"/>
    </row>
    <row r="1399" spans="1:4" ht="15.75" customHeight="1" x14ac:dyDescent="0.25">
      <c r="A1399" s="9"/>
      <c r="C1399" s="43"/>
      <c r="D1399" s="43"/>
    </row>
    <row r="1400" spans="1:4" ht="15.75" customHeight="1" x14ac:dyDescent="0.25">
      <c r="A1400" s="9"/>
      <c r="C1400" s="43"/>
      <c r="D1400" s="43"/>
    </row>
    <row r="1401" spans="1:4" ht="15.75" customHeight="1" x14ac:dyDescent="0.25">
      <c r="A1401" s="9"/>
      <c r="C1401" s="43"/>
      <c r="D1401" s="43"/>
    </row>
    <row r="1402" spans="1:4" ht="15.75" customHeight="1" x14ac:dyDescent="0.25">
      <c r="A1402" s="9"/>
      <c r="C1402" s="43"/>
      <c r="D1402" s="43"/>
    </row>
    <row r="1403" spans="1:4" ht="15.75" customHeight="1" x14ac:dyDescent="0.25">
      <c r="A1403" s="9"/>
      <c r="C1403" s="43"/>
      <c r="D1403" s="43"/>
    </row>
    <row r="1404" spans="1:4" ht="15.75" customHeight="1" x14ac:dyDescent="0.25">
      <c r="A1404" s="9"/>
      <c r="C1404" s="43"/>
      <c r="D1404" s="43"/>
    </row>
    <row r="1405" spans="1:4" ht="15.75" customHeight="1" x14ac:dyDescent="0.25">
      <c r="A1405" s="9"/>
      <c r="C1405" s="43"/>
      <c r="D1405" s="43"/>
    </row>
    <row r="1406" spans="1:4" ht="15.75" customHeight="1" x14ac:dyDescent="0.25">
      <c r="A1406" s="9"/>
      <c r="C1406" s="43"/>
      <c r="D1406" s="43"/>
    </row>
    <row r="1407" spans="1:4" ht="15.75" customHeight="1" x14ac:dyDescent="0.25">
      <c r="A1407" s="9"/>
      <c r="C1407" s="43"/>
      <c r="D1407" s="43"/>
    </row>
    <row r="1408" spans="1:4" ht="15.75" customHeight="1" x14ac:dyDescent="0.25">
      <c r="A1408" s="9"/>
      <c r="C1408" s="43"/>
      <c r="D1408" s="43"/>
    </row>
    <row r="1409" spans="1:4" ht="15.75" customHeight="1" x14ac:dyDescent="0.25">
      <c r="A1409" s="9"/>
      <c r="C1409" s="43"/>
      <c r="D1409" s="43"/>
    </row>
    <row r="1410" spans="1:4" ht="15.75" customHeight="1" x14ac:dyDescent="0.25">
      <c r="A1410" s="9"/>
      <c r="C1410" s="43"/>
      <c r="D1410" s="43"/>
    </row>
    <row r="1411" spans="1:4" ht="15.75" customHeight="1" x14ac:dyDescent="0.25">
      <c r="A1411" s="9"/>
      <c r="C1411" s="43"/>
      <c r="D1411" s="43"/>
    </row>
    <row r="1412" spans="1:4" ht="15.75" customHeight="1" x14ac:dyDescent="0.25">
      <c r="A1412" s="9"/>
      <c r="C1412" s="43"/>
      <c r="D1412" s="43"/>
    </row>
    <row r="1413" spans="1:4" ht="15.75" customHeight="1" x14ac:dyDescent="0.25">
      <c r="A1413" s="9"/>
      <c r="C1413" s="43"/>
      <c r="D1413" s="43"/>
    </row>
    <row r="1414" spans="1:4" ht="15.75" customHeight="1" x14ac:dyDescent="0.25">
      <c r="A1414" s="9"/>
      <c r="C1414" s="43"/>
      <c r="D1414" s="43"/>
    </row>
    <row r="1415" spans="1:4" ht="15.75" customHeight="1" x14ac:dyDescent="0.25">
      <c r="A1415" s="9"/>
      <c r="C1415" s="43"/>
      <c r="D1415" s="43"/>
    </row>
    <row r="1416" spans="1:4" ht="15.75" customHeight="1" x14ac:dyDescent="0.25">
      <c r="A1416" s="9"/>
      <c r="C1416" s="43"/>
      <c r="D1416" s="43"/>
    </row>
    <row r="1417" spans="1:4" ht="15.75" customHeight="1" x14ac:dyDescent="0.25">
      <c r="A1417" s="9"/>
      <c r="C1417" s="43"/>
      <c r="D1417" s="43"/>
    </row>
    <row r="1418" spans="1:4" ht="15.75" customHeight="1" x14ac:dyDescent="0.25">
      <c r="A1418" s="9"/>
      <c r="C1418" s="43"/>
      <c r="D1418" s="43"/>
    </row>
    <row r="1419" spans="1:4" ht="15.75" customHeight="1" x14ac:dyDescent="0.25">
      <c r="A1419" s="9"/>
      <c r="C1419" s="43"/>
      <c r="D1419" s="43"/>
    </row>
    <row r="1420" spans="1:4" ht="15.75" customHeight="1" x14ac:dyDescent="0.25">
      <c r="A1420" s="9"/>
      <c r="C1420" s="43"/>
      <c r="D1420" s="43"/>
    </row>
    <row r="1421" spans="1:4" ht="15.75" customHeight="1" x14ac:dyDescent="0.25">
      <c r="A1421" s="9"/>
      <c r="C1421" s="43"/>
      <c r="D1421" s="43"/>
    </row>
    <row r="1422" spans="1:4" ht="15.75" customHeight="1" x14ac:dyDescent="0.25">
      <c r="A1422" s="9"/>
      <c r="C1422" s="43"/>
      <c r="D1422" s="43"/>
    </row>
    <row r="1423" spans="1:4" ht="15.75" customHeight="1" x14ac:dyDescent="0.25">
      <c r="A1423" s="9"/>
      <c r="C1423" s="43"/>
      <c r="D1423" s="43"/>
    </row>
    <row r="1424" spans="1:4" ht="15.75" customHeight="1" x14ac:dyDescent="0.25">
      <c r="A1424" s="9"/>
      <c r="C1424" s="43"/>
      <c r="D1424" s="43"/>
    </row>
    <row r="1425" spans="1:4" ht="15.75" customHeight="1" x14ac:dyDescent="0.25">
      <c r="A1425" s="9"/>
      <c r="C1425" s="43"/>
      <c r="D1425" s="43"/>
    </row>
    <row r="1426" spans="1:4" ht="15.75" customHeight="1" x14ac:dyDescent="0.25">
      <c r="A1426" s="9"/>
      <c r="C1426" s="43"/>
      <c r="D1426" s="43"/>
    </row>
    <row r="1427" spans="1:4" ht="15.75" customHeight="1" x14ac:dyDescent="0.25">
      <c r="A1427" s="9"/>
      <c r="C1427" s="43"/>
      <c r="D1427" s="43"/>
    </row>
    <row r="1428" spans="1:4" ht="15.75" customHeight="1" x14ac:dyDescent="0.25">
      <c r="A1428" s="9"/>
      <c r="C1428" s="43"/>
      <c r="D1428" s="43"/>
    </row>
    <row r="1429" spans="1:4" ht="15.75" customHeight="1" x14ac:dyDescent="0.25">
      <c r="A1429" s="9"/>
      <c r="C1429" s="43"/>
      <c r="D1429" s="43"/>
    </row>
    <row r="1430" spans="1:4" ht="15.75" customHeight="1" x14ac:dyDescent="0.25">
      <c r="A1430" s="9"/>
      <c r="C1430" s="43"/>
      <c r="D1430" s="43"/>
    </row>
    <row r="1431" spans="1:4" ht="15.75" customHeight="1" x14ac:dyDescent="0.25">
      <c r="A1431" s="9"/>
      <c r="C1431" s="43"/>
      <c r="D1431" s="43"/>
    </row>
    <row r="1432" spans="1:4" ht="15.75" customHeight="1" x14ac:dyDescent="0.25">
      <c r="A1432" s="9"/>
      <c r="C1432" s="43"/>
      <c r="D1432" s="43"/>
    </row>
    <row r="1433" spans="1:4" ht="15.75" customHeight="1" x14ac:dyDescent="0.25">
      <c r="A1433" s="9"/>
      <c r="C1433" s="43"/>
      <c r="D1433" s="43"/>
    </row>
    <row r="1434" spans="1:4" ht="15.75" customHeight="1" x14ac:dyDescent="0.25">
      <c r="A1434" s="9"/>
      <c r="C1434" s="43"/>
      <c r="D1434" s="43"/>
    </row>
    <row r="1435" spans="1:4" ht="15.75" customHeight="1" x14ac:dyDescent="0.25">
      <c r="A1435" s="9"/>
      <c r="C1435" s="43"/>
      <c r="D1435" s="43"/>
    </row>
    <row r="1436" spans="1:4" ht="15.75" customHeight="1" x14ac:dyDescent="0.25">
      <c r="A1436" s="9"/>
      <c r="C1436" s="43"/>
      <c r="D1436" s="43"/>
    </row>
    <row r="1437" spans="1:4" ht="15.75" customHeight="1" x14ac:dyDescent="0.25">
      <c r="A1437" s="9"/>
      <c r="C1437" s="43"/>
      <c r="D1437" s="43"/>
    </row>
    <row r="1438" spans="1:4" ht="15.75" customHeight="1" x14ac:dyDescent="0.25">
      <c r="A1438" s="9"/>
      <c r="C1438" s="43"/>
      <c r="D1438" s="43"/>
    </row>
    <row r="1439" spans="1:4" ht="15.75" customHeight="1" x14ac:dyDescent="0.25">
      <c r="A1439" s="9"/>
      <c r="C1439" s="43"/>
      <c r="D1439" s="43"/>
    </row>
    <row r="1440" spans="1:4" ht="15.75" customHeight="1" x14ac:dyDescent="0.25">
      <c r="A1440" s="9"/>
      <c r="C1440" s="43"/>
      <c r="D1440" s="43"/>
    </row>
    <row r="1441" spans="1:4" ht="15.75" customHeight="1" x14ac:dyDescent="0.25">
      <c r="A1441" s="9"/>
      <c r="C1441" s="43"/>
      <c r="D1441" s="43"/>
    </row>
    <row r="1442" spans="1:4" ht="15.75" customHeight="1" x14ac:dyDescent="0.25">
      <c r="A1442" s="9"/>
      <c r="C1442" s="43"/>
      <c r="D1442" s="43"/>
    </row>
    <row r="1443" spans="1:4" ht="15.75" customHeight="1" x14ac:dyDescent="0.25">
      <c r="A1443" s="9"/>
      <c r="C1443" s="43"/>
      <c r="D1443" s="43"/>
    </row>
    <row r="1444" spans="1:4" ht="15.75" customHeight="1" x14ac:dyDescent="0.25">
      <c r="A1444" s="9"/>
      <c r="C1444" s="43"/>
      <c r="D1444" s="43"/>
    </row>
    <row r="1445" spans="1:4" ht="15.75" customHeight="1" x14ac:dyDescent="0.25">
      <c r="A1445" s="9"/>
      <c r="C1445" s="43"/>
      <c r="D1445" s="43"/>
    </row>
    <row r="1446" spans="1:4" ht="15.75" customHeight="1" x14ac:dyDescent="0.25">
      <c r="A1446" s="9"/>
      <c r="C1446" s="43"/>
      <c r="D1446" s="43"/>
    </row>
    <row r="1447" spans="1:4" ht="15.75" customHeight="1" x14ac:dyDescent="0.25">
      <c r="A1447" s="9"/>
      <c r="C1447" s="43"/>
      <c r="D1447" s="43"/>
    </row>
    <row r="1448" spans="1:4" ht="15.75" customHeight="1" x14ac:dyDescent="0.25">
      <c r="A1448" s="9"/>
      <c r="C1448" s="43"/>
      <c r="D1448" s="43"/>
    </row>
    <row r="1449" spans="1:4" ht="15.75" customHeight="1" x14ac:dyDescent="0.25">
      <c r="A1449" s="9"/>
      <c r="C1449" s="43"/>
      <c r="D1449" s="43"/>
    </row>
    <row r="1450" spans="1:4" ht="15.75" customHeight="1" x14ac:dyDescent="0.25">
      <c r="A1450" s="9"/>
      <c r="C1450" s="43"/>
      <c r="D1450" s="43"/>
    </row>
    <row r="1451" spans="1:4" ht="15.75" customHeight="1" x14ac:dyDescent="0.25">
      <c r="A1451" s="9"/>
      <c r="C1451" s="43"/>
      <c r="D1451" s="43"/>
    </row>
    <row r="1452" spans="1:4" ht="15.75" customHeight="1" x14ac:dyDescent="0.25">
      <c r="A1452" s="9"/>
      <c r="C1452" s="43"/>
      <c r="D1452" s="43"/>
    </row>
    <row r="1453" spans="1:4" ht="15.75" customHeight="1" x14ac:dyDescent="0.25">
      <c r="A1453" s="9"/>
      <c r="C1453" s="43"/>
      <c r="D1453" s="43"/>
    </row>
    <row r="1454" spans="1:4" ht="15.75" customHeight="1" x14ac:dyDescent="0.25">
      <c r="A1454" s="9"/>
      <c r="C1454" s="43"/>
      <c r="D1454" s="43"/>
    </row>
    <row r="1455" spans="1:4" ht="15.75" customHeight="1" x14ac:dyDescent="0.25">
      <c r="A1455" s="9"/>
      <c r="C1455" s="43"/>
      <c r="D1455" s="43"/>
    </row>
    <row r="1456" spans="1:4" ht="15.75" customHeight="1" x14ac:dyDescent="0.25">
      <c r="A1456" s="9"/>
      <c r="C1456" s="43"/>
      <c r="D1456" s="43"/>
    </row>
    <row r="1457" spans="1:4" ht="15.75" customHeight="1" x14ac:dyDescent="0.25">
      <c r="A1457" s="9"/>
      <c r="C1457" s="43"/>
      <c r="D1457" s="43"/>
    </row>
    <row r="1458" spans="1:4" ht="15.75" customHeight="1" x14ac:dyDescent="0.25">
      <c r="A1458" s="9"/>
      <c r="C1458" s="43"/>
      <c r="D1458" s="43"/>
    </row>
    <row r="1459" spans="1:4" ht="15.75" customHeight="1" x14ac:dyDescent="0.25">
      <c r="A1459" s="9"/>
      <c r="C1459" s="43"/>
      <c r="D1459" s="43"/>
    </row>
    <row r="1460" spans="1:4" ht="15.75" customHeight="1" x14ac:dyDescent="0.25">
      <c r="A1460" s="9"/>
      <c r="C1460" s="43"/>
      <c r="D1460" s="43"/>
    </row>
    <row r="1461" spans="1:4" ht="15.75" customHeight="1" x14ac:dyDescent="0.25">
      <c r="A1461" s="9"/>
      <c r="C1461" s="43"/>
      <c r="D1461" s="43"/>
    </row>
    <row r="1462" spans="1:4" ht="15.75" customHeight="1" x14ac:dyDescent="0.25">
      <c r="A1462" s="9"/>
      <c r="C1462" s="43"/>
      <c r="D1462" s="43"/>
    </row>
    <row r="1463" spans="1:4" ht="15.75" customHeight="1" x14ac:dyDescent="0.25">
      <c r="A1463" s="9"/>
      <c r="C1463" s="43"/>
      <c r="D1463" s="43"/>
    </row>
    <row r="1464" spans="1:4" ht="15.75" customHeight="1" x14ac:dyDescent="0.25">
      <c r="A1464" s="9"/>
      <c r="C1464" s="43"/>
      <c r="D1464" s="43"/>
    </row>
    <row r="1465" spans="1:4" ht="15.75" customHeight="1" x14ac:dyDescent="0.25">
      <c r="A1465" s="9"/>
      <c r="C1465" s="43"/>
      <c r="D1465" s="43"/>
    </row>
    <row r="1466" spans="1:4" ht="15.75" customHeight="1" x14ac:dyDescent="0.25">
      <c r="A1466" s="9"/>
      <c r="C1466" s="43"/>
      <c r="D1466" s="43"/>
    </row>
    <row r="1467" spans="1:4" ht="15.75" customHeight="1" x14ac:dyDescent="0.25">
      <c r="A1467" s="9"/>
      <c r="C1467" s="43"/>
      <c r="D1467" s="43"/>
    </row>
    <row r="1468" spans="1:4" ht="15.75" customHeight="1" x14ac:dyDescent="0.25">
      <c r="A1468" s="9"/>
      <c r="C1468" s="43"/>
      <c r="D1468" s="43"/>
    </row>
    <row r="1469" spans="1:4" ht="15.75" customHeight="1" x14ac:dyDescent="0.25">
      <c r="A1469" s="9"/>
      <c r="C1469" s="43"/>
      <c r="D1469" s="43"/>
    </row>
    <row r="1470" spans="1:4" ht="15.75" customHeight="1" x14ac:dyDescent="0.25">
      <c r="A1470" s="9"/>
      <c r="C1470" s="43"/>
      <c r="D1470" s="43"/>
    </row>
    <row r="1471" spans="1:4" ht="15.75" customHeight="1" x14ac:dyDescent="0.25">
      <c r="A1471" s="9"/>
      <c r="C1471" s="43"/>
      <c r="D1471" s="43"/>
    </row>
    <row r="1472" spans="1:4" ht="15.75" customHeight="1" x14ac:dyDescent="0.25">
      <c r="A1472" s="9"/>
      <c r="C1472" s="43"/>
      <c r="D1472" s="43"/>
    </row>
    <row r="1473" spans="1:4" ht="15.75" customHeight="1" x14ac:dyDescent="0.25">
      <c r="A1473" s="9"/>
      <c r="C1473" s="43"/>
      <c r="D1473" s="43"/>
    </row>
    <row r="1474" spans="1:4" ht="15.75" customHeight="1" x14ac:dyDescent="0.25">
      <c r="A1474" s="9"/>
      <c r="C1474" s="43"/>
      <c r="D1474" s="43"/>
    </row>
    <row r="1475" spans="1:4" ht="15.75" customHeight="1" x14ac:dyDescent="0.25">
      <c r="A1475" s="9"/>
      <c r="C1475" s="43"/>
      <c r="D1475" s="43"/>
    </row>
    <row r="1476" spans="1:4" ht="15.75" customHeight="1" x14ac:dyDescent="0.25">
      <c r="A1476" s="9"/>
      <c r="C1476" s="43"/>
      <c r="D1476" s="43"/>
    </row>
    <row r="1477" spans="1:4" ht="15.75" customHeight="1" x14ac:dyDescent="0.25">
      <c r="A1477" s="9"/>
      <c r="C1477" s="43"/>
      <c r="D1477" s="43"/>
    </row>
    <row r="1478" spans="1:4" ht="15.75" customHeight="1" x14ac:dyDescent="0.25">
      <c r="A1478" s="9"/>
      <c r="C1478" s="43"/>
      <c r="D1478" s="43"/>
    </row>
    <row r="1479" spans="1:4" ht="15.75" customHeight="1" x14ac:dyDescent="0.25">
      <c r="A1479" s="9"/>
      <c r="C1479" s="43"/>
      <c r="D1479" s="43"/>
    </row>
    <row r="1480" spans="1:4" ht="15.75" customHeight="1" x14ac:dyDescent="0.25">
      <c r="A1480" s="9"/>
      <c r="C1480" s="43"/>
      <c r="D1480" s="43"/>
    </row>
    <row r="1481" spans="1:4" ht="15.75" customHeight="1" x14ac:dyDescent="0.25">
      <c r="A1481" s="9"/>
      <c r="C1481" s="43"/>
      <c r="D1481" s="43"/>
    </row>
    <row r="1482" spans="1:4" ht="15.75" customHeight="1" x14ac:dyDescent="0.25">
      <c r="A1482" s="9"/>
      <c r="C1482" s="43"/>
      <c r="D1482" s="43"/>
    </row>
    <row r="1483" spans="1:4" ht="15.75" customHeight="1" x14ac:dyDescent="0.25">
      <c r="A1483" s="9"/>
      <c r="C1483" s="43"/>
      <c r="D1483" s="43"/>
    </row>
    <row r="1484" spans="1:4" ht="15.75" customHeight="1" x14ac:dyDescent="0.25">
      <c r="A1484" s="9"/>
      <c r="C1484" s="43"/>
      <c r="D1484" s="43"/>
    </row>
    <row r="1485" spans="1:4" ht="15.75" customHeight="1" x14ac:dyDescent="0.25">
      <c r="A1485" s="9"/>
      <c r="C1485" s="43"/>
      <c r="D1485" s="43"/>
    </row>
    <row r="1486" spans="1:4" ht="15.75" customHeight="1" x14ac:dyDescent="0.25">
      <c r="A1486" s="9"/>
      <c r="C1486" s="43"/>
      <c r="D1486" s="43"/>
    </row>
    <row r="1487" spans="1:4" ht="15.75" customHeight="1" x14ac:dyDescent="0.25">
      <c r="A1487" s="9"/>
      <c r="C1487" s="43"/>
      <c r="D1487" s="43"/>
    </row>
    <row r="1488" spans="1:4" ht="15.75" customHeight="1" x14ac:dyDescent="0.25">
      <c r="A1488" s="9"/>
      <c r="C1488" s="43"/>
      <c r="D1488" s="43"/>
    </row>
    <row r="1489" spans="1:4" ht="15.75" customHeight="1" x14ac:dyDescent="0.25">
      <c r="A1489" s="9"/>
      <c r="C1489" s="43"/>
      <c r="D1489" s="43"/>
    </row>
    <row r="1490" spans="1:4" ht="15.75" customHeight="1" x14ac:dyDescent="0.25">
      <c r="A1490" s="9"/>
      <c r="C1490" s="43"/>
      <c r="D1490" s="43"/>
    </row>
    <row r="1491" spans="1:4" ht="15.75" customHeight="1" x14ac:dyDescent="0.25">
      <c r="A1491" s="9"/>
      <c r="C1491" s="43"/>
      <c r="D1491" s="43"/>
    </row>
    <row r="1492" spans="1:4" ht="15.75" customHeight="1" x14ac:dyDescent="0.25">
      <c r="A1492" s="9"/>
      <c r="C1492" s="43"/>
      <c r="D1492" s="43"/>
    </row>
    <row r="1493" spans="1:4" ht="15.75" customHeight="1" x14ac:dyDescent="0.25">
      <c r="A1493" s="9"/>
      <c r="C1493" s="43"/>
      <c r="D1493" s="43"/>
    </row>
    <row r="1494" spans="1:4" ht="15.75" customHeight="1" x14ac:dyDescent="0.25">
      <c r="A1494" s="9"/>
      <c r="C1494" s="43"/>
      <c r="D1494" s="43"/>
    </row>
    <row r="1495" spans="1:4" ht="15.75" customHeight="1" x14ac:dyDescent="0.25">
      <c r="A1495" s="9"/>
      <c r="C1495" s="43"/>
      <c r="D1495" s="43"/>
    </row>
    <row r="1496" spans="1:4" ht="15.75" customHeight="1" x14ac:dyDescent="0.25">
      <c r="A1496" s="9"/>
      <c r="C1496" s="43"/>
      <c r="D1496" s="43"/>
    </row>
    <row r="1497" spans="1:4" ht="15.75" customHeight="1" x14ac:dyDescent="0.25">
      <c r="A1497" s="9"/>
      <c r="C1497" s="43"/>
      <c r="D1497" s="43"/>
    </row>
    <row r="1498" spans="1:4" ht="15.75" customHeight="1" x14ac:dyDescent="0.25">
      <c r="A1498" s="9"/>
      <c r="C1498" s="43"/>
      <c r="D1498" s="43"/>
    </row>
    <row r="1499" spans="1:4" ht="15.75" customHeight="1" x14ac:dyDescent="0.25">
      <c r="A1499" s="9"/>
      <c r="C1499" s="43"/>
      <c r="D1499" s="43"/>
    </row>
    <row r="1500" spans="1:4" ht="15.75" customHeight="1" x14ac:dyDescent="0.25">
      <c r="A1500" s="9"/>
      <c r="C1500" s="43"/>
      <c r="D1500" s="43"/>
    </row>
    <row r="1501" spans="1:4" ht="15.75" customHeight="1" x14ac:dyDescent="0.25">
      <c r="A1501" s="9"/>
      <c r="C1501" s="43"/>
      <c r="D1501" s="43"/>
    </row>
    <row r="1502" spans="1:4" ht="15.75" customHeight="1" x14ac:dyDescent="0.25">
      <c r="A1502" s="9"/>
      <c r="C1502" s="43"/>
      <c r="D1502" s="43"/>
    </row>
    <row r="1503" spans="1:4" ht="15.75" customHeight="1" x14ac:dyDescent="0.25">
      <c r="A1503" s="9"/>
      <c r="C1503" s="43"/>
      <c r="D1503" s="43"/>
    </row>
    <row r="1504" spans="1:4" ht="15.75" customHeight="1" x14ac:dyDescent="0.25">
      <c r="A1504" s="9"/>
      <c r="C1504" s="43"/>
      <c r="D1504" s="43"/>
    </row>
    <row r="1505" spans="1:4" ht="15.75" customHeight="1" x14ac:dyDescent="0.25">
      <c r="A1505" s="9"/>
      <c r="C1505" s="43"/>
      <c r="D1505" s="43"/>
    </row>
    <row r="1506" spans="1:4" ht="15.75" customHeight="1" x14ac:dyDescent="0.25">
      <c r="A1506" s="9"/>
      <c r="C1506" s="43"/>
      <c r="D1506" s="43"/>
    </row>
    <row r="1507" spans="1:4" ht="15.75" customHeight="1" x14ac:dyDescent="0.25">
      <c r="A1507" s="9"/>
      <c r="C1507" s="43"/>
      <c r="D1507" s="43"/>
    </row>
    <row r="1508" spans="1:4" ht="15.75" customHeight="1" x14ac:dyDescent="0.25">
      <c r="A1508" s="9"/>
      <c r="C1508" s="43"/>
      <c r="D1508" s="43"/>
    </row>
    <row r="1509" spans="1:4" ht="15.75" customHeight="1" x14ac:dyDescent="0.25">
      <c r="A1509" s="9"/>
      <c r="C1509" s="43"/>
      <c r="D1509" s="43"/>
    </row>
    <row r="1510" spans="1:4" ht="15.75" customHeight="1" x14ac:dyDescent="0.25">
      <c r="A1510" s="9"/>
      <c r="C1510" s="43"/>
      <c r="D1510" s="43"/>
    </row>
    <row r="1511" spans="1:4" ht="15.75" customHeight="1" x14ac:dyDescent="0.25">
      <c r="A1511" s="9"/>
      <c r="C1511" s="43"/>
      <c r="D1511" s="43"/>
    </row>
    <row r="1512" spans="1:4" ht="15.75" customHeight="1" x14ac:dyDescent="0.25">
      <c r="A1512" s="9"/>
      <c r="C1512" s="43"/>
      <c r="D1512" s="43"/>
    </row>
    <row r="1513" spans="1:4" ht="15.75" customHeight="1" x14ac:dyDescent="0.25">
      <c r="A1513" s="9"/>
      <c r="C1513" s="43"/>
      <c r="D1513" s="43"/>
    </row>
    <row r="1514" spans="1:4" ht="15.75" customHeight="1" x14ac:dyDescent="0.25">
      <c r="A1514" s="9"/>
      <c r="C1514" s="43"/>
      <c r="D1514" s="43"/>
    </row>
    <row r="1515" spans="1:4" ht="15.75" customHeight="1" x14ac:dyDescent="0.25">
      <c r="A1515" s="9"/>
      <c r="C1515" s="43"/>
      <c r="D1515" s="43"/>
    </row>
    <row r="1516" spans="1:4" ht="15.75" customHeight="1" x14ac:dyDescent="0.25">
      <c r="A1516" s="9"/>
      <c r="C1516" s="43"/>
      <c r="D1516" s="43"/>
    </row>
    <row r="1517" spans="1:4" ht="15.75" customHeight="1" x14ac:dyDescent="0.25">
      <c r="A1517" s="9"/>
      <c r="C1517" s="43"/>
      <c r="D1517" s="43"/>
    </row>
    <row r="1518" spans="1:4" ht="15.75" customHeight="1" x14ac:dyDescent="0.25">
      <c r="A1518" s="9"/>
      <c r="C1518" s="43"/>
      <c r="D1518" s="43"/>
    </row>
    <row r="1519" spans="1:4" ht="15.75" customHeight="1" x14ac:dyDescent="0.25">
      <c r="A1519" s="9"/>
      <c r="C1519" s="43"/>
      <c r="D1519" s="43"/>
    </row>
    <row r="1520" spans="1:4" ht="15.75" customHeight="1" x14ac:dyDescent="0.25">
      <c r="A1520" s="9"/>
      <c r="C1520" s="43"/>
      <c r="D1520" s="43"/>
    </row>
    <row r="1521" spans="1:4" ht="15.75" customHeight="1" x14ac:dyDescent="0.25">
      <c r="A1521" s="9"/>
      <c r="C1521" s="43"/>
      <c r="D1521" s="43"/>
    </row>
    <row r="1522" spans="1:4" ht="15.75" customHeight="1" x14ac:dyDescent="0.25">
      <c r="A1522" s="9"/>
      <c r="C1522" s="43"/>
      <c r="D1522" s="43"/>
    </row>
    <row r="1523" spans="1:4" ht="15.75" customHeight="1" x14ac:dyDescent="0.25">
      <c r="A1523" s="9"/>
      <c r="C1523" s="43"/>
      <c r="D1523" s="43"/>
    </row>
    <row r="1524" spans="1:4" ht="15.75" customHeight="1" x14ac:dyDescent="0.25">
      <c r="A1524" s="9"/>
      <c r="C1524" s="43"/>
      <c r="D1524" s="43"/>
    </row>
    <row r="1525" spans="1:4" ht="15.75" customHeight="1" x14ac:dyDescent="0.25">
      <c r="A1525" s="9"/>
      <c r="C1525" s="43"/>
      <c r="D1525" s="43"/>
    </row>
    <row r="1526" spans="1:4" ht="15.75" customHeight="1" x14ac:dyDescent="0.25">
      <c r="A1526" s="9"/>
      <c r="C1526" s="43"/>
      <c r="D1526" s="43"/>
    </row>
    <row r="1527" spans="1:4" ht="15.75" customHeight="1" x14ac:dyDescent="0.25">
      <c r="A1527" s="9"/>
      <c r="C1527" s="43"/>
      <c r="D1527" s="43"/>
    </row>
    <row r="1528" spans="1:4" ht="15.75" customHeight="1" x14ac:dyDescent="0.25">
      <c r="A1528" s="9"/>
      <c r="C1528" s="43"/>
      <c r="D1528" s="43"/>
    </row>
    <row r="1529" spans="1:4" ht="15.75" customHeight="1" x14ac:dyDescent="0.25">
      <c r="A1529" s="9"/>
      <c r="C1529" s="43"/>
      <c r="D1529" s="43"/>
    </row>
    <row r="1530" spans="1:4" ht="15.75" customHeight="1" x14ac:dyDescent="0.25">
      <c r="A1530" s="9"/>
      <c r="C1530" s="43"/>
      <c r="D1530" s="43"/>
    </row>
    <row r="1531" spans="1:4" ht="15.75" customHeight="1" x14ac:dyDescent="0.25">
      <c r="A1531" s="9"/>
      <c r="C1531" s="43"/>
      <c r="D1531" s="43"/>
    </row>
    <row r="1532" spans="1:4" ht="15.75" customHeight="1" x14ac:dyDescent="0.25">
      <c r="A1532" s="9"/>
      <c r="C1532" s="43"/>
      <c r="D1532" s="43"/>
    </row>
    <row r="1533" spans="1:4" ht="15.75" customHeight="1" x14ac:dyDescent="0.25">
      <c r="A1533" s="9"/>
      <c r="C1533" s="43"/>
      <c r="D1533" s="43"/>
    </row>
    <row r="1534" spans="1:4" ht="15.75" customHeight="1" x14ac:dyDescent="0.25">
      <c r="A1534" s="9"/>
      <c r="C1534" s="43"/>
      <c r="D1534" s="43"/>
    </row>
    <row r="1535" spans="1:4" ht="15.75" customHeight="1" x14ac:dyDescent="0.25">
      <c r="A1535" s="9"/>
      <c r="C1535" s="43"/>
      <c r="D1535" s="43"/>
    </row>
    <row r="1536" spans="1:4" ht="15.75" customHeight="1" x14ac:dyDescent="0.25">
      <c r="A1536" s="9"/>
      <c r="C1536" s="43"/>
      <c r="D1536" s="43"/>
    </row>
    <row r="1537" spans="1:4" ht="15.75" customHeight="1" x14ac:dyDescent="0.25">
      <c r="A1537" s="9"/>
      <c r="C1537" s="43"/>
      <c r="D1537" s="43"/>
    </row>
    <row r="1538" spans="1:4" ht="15.75" customHeight="1" x14ac:dyDescent="0.25">
      <c r="A1538" s="9"/>
      <c r="C1538" s="43"/>
      <c r="D1538" s="43"/>
    </row>
    <row r="1539" spans="1:4" ht="15.75" customHeight="1" x14ac:dyDescent="0.25">
      <c r="A1539" s="9"/>
      <c r="C1539" s="43"/>
      <c r="D1539" s="43"/>
    </row>
    <row r="1540" spans="1:4" ht="15.75" customHeight="1" x14ac:dyDescent="0.25">
      <c r="A1540" s="9"/>
      <c r="C1540" s="43"/>
      <c r="D1540" s="43"/>
    </row>
    <row r="1541" spans="1:4" ht="15.75" customHeight="1" x14ac:dyDescent="0.25">
      <c r="A1541" s="9"/>
      <c r="C1541" s="43"/>
      <c r="D1541" s="43"/>
    </row>
    <row r="1542" spans="1:4" ht="15.75" customHeight="1" x14ac:dyDescent="0.25">
      <c r="A1542" s="9"/>
      <c r="C1542" s="43"/>
      <c r="D1542" s="43"/>
    </row>
    <row r="1543" spans="1:4" ht="15.75" customHeight="1" x14ac:dyDescent="0.25">
      <c r="A1543" s="9"/>
      <c r="C1543" s="43"/>
      <c r="D1543" s="43"/>
    </row>
    <row r="1544" spans="1:4" ht="15.75" customHeight="1" x14ac:dyDescent="0.25">
      <c r="A1544" s="9"/>
      <c r="C1544" s="43"/>
      <c r="D1544" s="43"/>
    </row>
    <row r="1545" spans="1:4" ht="15.75" customHeight="1" x14ac:dyDescent="0.25">
      <c r="A1545" s="9"/>
      <c r="C1545" s="43"/>
      <c r="D1545" s="43"/>
    </row>
    <row r="1546" spans="1:4" ht="15.75" customHeight="1" x14ac:dyDescent="0.25">
      <c r="A1546" s="9"/>
      <c r="C1546" s="43"/>
      <c r="D1546" s="43"/>
    </row>
    <row r="1547" spans="1:4" ht="15.75" customHeight="1" x14ac:dyDescent="0.25">
      <c r="A1547" s="9"/>
      <c r="C1547" s="43"/>
      <c r="D1547" s="43"/>
    </row>
    <row r="1548" spans="1:4" ht="15.75" customHeight="1" x14ac:dyDescent="0.25">
      <c r="A1548" s="9"/>
      <c r="C1548" s="43"/>
      <c r="D1548" s="43"/>
    </row>
    <row r="1549" spans="1:4" ht="15.75" customHeight="1" x14ac:dyDescent="0.25">
      <c r="A1549" s="9"/>
      <c r="C1549" s="43"/>
      <c r="D1549" s="43"/>
    </row>
    <row r="1550" spans="1:4" ht="15.75" customHeight="1" x14ac:dyDescent="0.25">
      <c r="A1550" s="9"/>
      <c r="C1550" s="43"/>
      <c r="D1550" s="43"/>
    </row>
    <row r="1551" spans="1:4" ht="15.75" customHeight="1" x14ac:dyDescent="0.25">
      <c r="A1551" s="9"/>
      <c r="C1551" s="43"/>
      <c r="D1551" s="43"/>
    </row>
    <row r="1552" spans="1:4" ht="15.75" customHeight="1" x14ac:dyDescent="0.25">
      <c r="A1552" s="9"/>
      <c r="C1552" s="43"/>
      <c r="D1552" s="43"/>
    </row>
    <row r="1553" spans="1:4" ht="15.75" customHeight="1" x14ac:dyDescent="0.25">
      <c r="A1553" s="9"/>
      <c r="C1553" s="43"/>
      <c r="D1553" s="43"/>
    </row>
    <row r="1554" spans="1:4" ht="15.75" customHeight="1" x14ac:dyDescent="0.25">
      <c r="A1554" s="9"/>
      <c r="C1554" s="43"/>
      <c r="D1554" s="43"/>
    </row>
    <row r="1555" spans="1:4" ht="15.75" customHeight="1" x14ac:dyDescent="0.25">
      <c r="A1555" s="9"/>
      <c r="C1555" s="43"/>
      <c r="D1555" s="43"/>
    </row>
    <row r="1556" spans="1:4" ht="15.75" customHeight="1" x14ac:dyDescent="0.25">
      <c r="A1556" s="9"/>
      <c r="C1556" s="43"/>
      <c r="D1556" s="43"/>
    </row>
    <row r="1557" spans="1:4" ht="15.75" customHeight="1" x14ac:dyDescent="0.25">
      <c r="A1557" s="9"/>
      <c r="C1557" s="43"/>
      <c r="D1557" s="43"/>
    </row>
    <row r="1558" spans="1:4" ht="15.75" customHeight="1" x14ac:dyDescent="0.25">
      <c r="A1558" s="9"/>
      <c r="C1558" s="43"/>
      <c r="D1558" s="43"/>
    </row>
    <row r="1559" spans="1:4" ht="15.75" customHeight="1" x14ac:dyDescent="0.25">
      <c r="A1559" s="9"/>
      <c r="C1559" s="43"/>
      <c r="D1559" s="43"/>
    </row>
    <row r="1560" spans="1:4" ht="15.75" customHeight="1" x14ac:dyDescent="0.25">
      <c r="A1560" s="9"/>
      <c r="C1560" s="43"/>
      <c r="D1560" s="43"/>
    </row>
    <row r="1561" spans="1:4" ht="15.75" customHeight="1" x14ac:dyDescent="0.25">
      <c r="A1561" s="9"/>
      <c r="C1561" s="43"/>
      <c r="D1561" s="43"/>
    </row>
    <row r="1562" spans="1:4" ht="15.75" customHeight="1" x14ac:dyDescent="0.25">
      <c r="A1562" s="9"/>
      <c r="C1562" s="43"/>
      <c r="D1562" s="43"/>
    </row>
    <row r="1563" spans="1:4" ht="15.75" customHeight="1" x14ac:dyDescent="0.25">
      <c r="A1563" s="9"/>
      <c r="C1563" s="43"/>
      <c r="D1563" s="43"/>
    </row>
    <row r="1564" spans="1:4" ht="15.75" customHeight="1" x14ac:dyDescent="0.25">
      <c r="A1564" s="9"/>
      <c r="C1564" s="43"/>
      <c r="D1564" s="43"/>
    </row>
    <row r="1565" spans="1:4" ht="15.75" customHeight="1" x14ac:dyDescent="0.25">
      <c r="A1565" s="9"/>
      <c r="C1565" s="43"/>
      <c r="D1565" s="43"/>
    </row>
    <row r="1566" spans="1:4" ht="15.75" customHeight="1" x14ac:dyDescent="0.25">
      <c r="A1566" s="9"/>
      <c r="C1566" s="43"/>
      <c r="D1566" s="43"/>
    </row>
    <row r="1567" spans="1:4" ht="15.75" customHeight="1" x14ac:dyDescent="0.25">
      <c r="A1567" s="9"/>
      <c r="C1567" s="43"/>
      <c r="D1567" s="43"/>
    </row>
    <row r="1568" spans="1:4" ht="15.75" customHeight="1" x14ac:dyDescent="0.25">
      <c r="A1568" s="9"/>
      <c r="C1568" s="43"/>
      <c r="D1568" s="43"/>
    </row>
    <row r="1569" spans="1:4" ht="15.75" customHeight="1" x14ac:dyDescent="0.25">
      <c r="A1569" s="9"/>
      <c r="C1569" s="43"/>
      <c r="D1569" s="43"/>
    </row>
    <row r="1570" spans="1:4" ht="15.75" customHeight="1" x14ac:dyDescent="0.25">
      <c r="A1570" s="9"/>
      <c r="C1570" s="43"/>
      <c r="D1570" s="43"/>
    </row>
    <row r="1571" spans="1:4" ht="15.75" customHeight="1" x14ac:dyDescent="0.25">
      <c r="A1571" s="9"/>
      <c r="C1571" s="43"/>
      <c r="D1571" s="43"/>
    </row>
    <row r="1572" spans="1:4" ht="15.75" customHeight="1" x14ac:dyDescent="0.25">
      <c r="A1572" s="9"/>
      <c r="C1572" s="43"/>
      <c r="D1572" s="43"/>
    </row>
    <row r="1573" spans="1:4" ht="15.75" customHeight="1" x14ac:dyDescent="0.25">
      <c r="A1573" s="9"/>
      <c r="C1573" s="43"/>
      <c r="D1573" s="43"/>
    </row>
    <row r="1574" spans="1:4" ht="15.75" customHeight="1" x14ac:dyDescent="0.25">
      <c r="A1574" s="9"/>
      <c r="C1574" s="43"/>
      <c r="D1574" s="43"/>
    </row>
    <row r="1575" spans="1:4" ht="15.75" customHeight="1" x14ac:dyDescent="0.25">
      <c r="A1575" s="9"/>
      <c r="C1575" s="43"/>
      <c r="D1575" s="43"/>
    </row>
    <row r="1576" spans="1:4" ht="15.75" customHeight="1" x14ac:dyDescent="0.25">
      <c r="A1576" s="9"/>
      <c r="C1576" s="43"/>
      <c r="D1576" s="43"/>
    </row>
    <row r="1577" spans="1:4" ht="15.75" customHeight="1" x14ac:dyDescent="0.25">
      <c r="A1577" s="9"/>
      <c r="C1577" s="43"/>
      <c r="D1577" s="43"/>
    </row>
    <row r="1578" spans="1:4" ht="15.75" customHeight="1" x14ac:dyDescent="0.25">
      <c r="A1578" s="9"/>
      <c r="C1578" s="43"/>
      <c r="D1578" s="43"/>
    </row>
    <row r="1579" spans="1:4" ht="15.75" customHeight="1" x14ac:dyDescent="0.25">
      <c r="A1579" s="9"/>
      <c r="C1579" s="43"/>
      <c r="D1579" s="43"/>
    </row>
    <row r="1580" spans="1:4" ht="15.75" customHeight="1" x14ac:dyDescent="0.25">
      <c r="A1580" s="9"/>
      <c r="C1580" s="43"/>
      <c r="D1580" s="43"/>
    </row>
    <row r="1581" spans="1:4" ht="15.75" customHeight="1" x14ac:dyDescent="0.25">
      <c r="A1581" s="9"/>
      <c r="C1581" s="43"/>
      <c r="D1581" s="43"/>
    </row>
    <row r="1582" spans="1:4" ht="15.75" customHeight="1" x14ac:dyDescent="0.25">
      <c r="A1582" s="9"/>
      <c r="C1582" s="43"/>
      <c r="D1582" s="43"/>
    </row>
    <row r="1583" spans="1:4" ht="15.75" customHeight="1" x14ac:dyDescent="0.25">
      <c r="A1583" s="9"/>
      <c r="C1583" s="43"/>
      <c r="D1583" s="43"/>
    </row>
    <row r="1584" spans="1:4" ht="15.75" customHeight="1" x14ac:dyDescent="0.25">
      <c r="A1584" s="9"/>
      <c r="C1584" s="43"/>
      <c r="D1584" s="43"/>
    </row>
    <row r="1585" spans="1:4" ht="15.75" customHeight="1" x14ac:dyDescent="0.25">
      <c r="A1585" s="9"/>
      <c r="C1585" s="43"/>
      <c r="D1585" s="43"/>
    </row>
    <row r="1586" spans="1:4" ht="15.75" customHeight="1" x14ac:dyDescent="0.25">
      <c r="A1586" s="9"/>
      <c r="C1586" s="43"/>
      <c r="D1586" s="43"/>
    </row>
    <row r="1587" spans="1:4" ht="15.75" customHeight="1" x14ac:dyDescent="0.25">
      <c r="A1587" s="9"/>
      <c r="C1587" s="43"/>
      <c r="D1587" s="43"/>
    </row>
    <row r="1588" spans="1:4" ht="15.75" customHeight="1" x14ac:dyDescent="0.25">
      <c r="A1588" s="9"/>
      <c r="C1588" s="43"/>
      <c r="D1588" s="43"/>
    </row>
    <row r="1589" spans="1:4" ht="15.75" customHeight="1" x14ac:dyDescent="0.25">
      <c r="A1589" s="9"/>
      <c r="C1589" s="43"/>
      <c r="D1589" s="43"/>
    </row>
    <row r="1590" spans="1:4" ht="15.75" customHeight="1" x14ac:dyDescent="0.25">
      <c r="A1590" s="9"/>
      <c r="C1590" s="43"/>
      <c r="D1590" s="43"/>
    </row>
    <row r="1591" spans="1:4" ht="15.75" customHeight="1" x14ac:dyDescent="0.25">
      <c r="A1591" s="9"/>
      <c r="C1591" s="43"/>
      <c r="D1591" s="43"/>
    </row>
    <row r="1592" spans="1:4" ht="15.75" customHeight="1" x14ac:dyDescent="0.25">
      <c r="A1592" s="9"/>
      <c r="C1592" s="43"/>
      <c r="D1592" s="43"/>
    </row>
    <row r="1593" spans="1:4" ht="15.75" customHeight="1" x14ac:dyDescent="0.25">
      <c r="A1593" s="9"/>
      <c r="C1593" s="43"/>
      <c r="D1593" s="43"/>
    </row>
    <row r="1594" spans="1:4" ht="15.75" customHeight="1" x14ac:dyDescent="0.25">
      <c r="A1594" s="9"/>
      <c r="C1594" s="43"/>
      <c r="D1594" s="43"/>
    </row>
    <row r="1595" spans="1:4" ht="15.75" customHeight="1" x14ac:dyDescent="0.25">
      <c r="A1595" s="9"/>
      <c r="C1595" s="43"/>
      <c r="D1595" s="43"/>
    </row>
    <row r="1596" spans="1:4" ht="15.75" customHeight="1" x14ac:dyDescent="0.25">
      <c r="A1596" s="9"/>
      <c r="C1596" s="43"/>
      <c r="D1596" s="43"/>
    </row>
    <row r="1597" spans="1:4" ht="15.75" customHeight="1" x14ac:dyDescent="0.25">
      <c r="A1597" s="9"/>
      <c r="C1597" s="43"/>
      <c r="D1597" s="43"/>
    </row>
    <row r="1598" spans="1:4" ht="15.75" customHeight="1" x14ac:dyDescent="0.25">
      <c r="A1598" s="9"/>
      <c r="C1598" s="43"/>
      <c r="D1598" s="43"/>
    </row>
    <row r="1599" spans="1:4" ht="15.75" customHeight="1" x14ac:dyDescent="0.25">
      <c r="A1599" s="9"/>
      <c r="C1599" s="43"/>
      <c r="D1599" s="43"/>
    </row>
    <row r="1600" spans="1:4" ht="15.75" customHeight="1" x14ac:dyDescent="0.25">
      <c r="A1600" s="9"/>
      <c r="C1600" s="43"/>
      <c r="D1600" s="43"/>
    </row>
    <row r="1601" spans="1:4" ht="15.75" customHeight="1" x14ac:dyDescent="0.25">
      <c r="A1601" s="9"/>
      <c r="C1601" s="43"/>
      <c r="D1601" s="43"/>
    </row>
    <row r="1602" spans="1:4" ht="15.75" customHeight="1" x14ac:dyDescent="0.25">
      <c r="A1602" s="9"/>
      <c r="C1602" s="43"/>
      <c r="D1602" s="43"/>
    </row>
    <row r="1603" spans="1:4" ht="15.75" customHeight="1" x14ac:dyDescent="0.25">
      <c r="A1603" s="9"/>
      <c r="C1603" s="43"/>
      <c r="D1603" s="43"/>
    </row>
    <row r="1604" spans="1:4" ht="15.75" customHeight="1" x14ac:dyDescent="0.25">
      <c r="A1604" s="9"/>
      <c r="C1604" s="43"/>
      <c r="D1604" s="43"/>
    </row>
    <row r="1605" spans="1:4" ht="15.75" customHeight="1" x14ac:dyDescent="0.25">
      <c r="A1605" s="9"/>
      <c r="C1605" s="43"/>
      <c r="D1605" s="43"/>
    </row>
    <row r="1606" spans="1:4" ht="15.75" customHeight="1" x14ac:dyDescent="0.25">
      <c r="A1606" s="9"/>
      <c r="C1606" s="43"/>
      <c r="D1606" s="43"/>
    </row>
    <row r="1607" spans="1:4" ht="15.75" customHeight="1" x14ac:dyDescent="0.25">
      <c r="A1607" s="9"/>
      <c r="C1607" s="43"/>
      <c r="D1607" s="43"/>
    </row>
    <row r="1608" spans="1:4" ht="15.75" customHeight="1" x14ac:dyDescent="0.25">
      <c r="A1608" s="9"/>
      <c r="C1608" s="43"/>
      <c r="D1608" s="43"/>
    </row>
    <row r="1609" spans="1:4" ht="15.75" customHeight="1" x14ac:dyDescent="0.25">
      <c r="A1609" s="9"/>
      <c r="C1609" s="43"/>
      <c r="D1609" s="43"/>
    </row>
    <row r="1610" spans="1:4" ht="15.75" customHeight="1" x14ac:dyDescent="0.25">
      <c r="A1610" s="9"/>
      <c r="C1610" s="43"/>
      <c r="D1610" s="43"/>
    </row>
    <row r="1611" spans="1:4" ht="15.75" customHeight="1" x14ac:dyDescent="0.25">
      <c r="A1611" s="9"/>
      <c r="C1611" s="43"/>
      <c r="D1611" s="43"/>
    </row>
    <row r="1612" spans="1:4" ht="15.75" customHeight="1" x14ac:dyDescent="0.25">
      <c r="A1612" s="9"/>
      <c r="C1612" s="43"/>
      <c r="D1612" s="43"/>
    </row>
    <row r="1613" spans="1:4" ht="15.75" customHeight="1" x14ac:dyDescent="0.25">
      <c r="A1613" s="9"/>
      <c r="C1613" s="43"/>
      <c r="D1613" s="43"/>
    </row>
    <row r="1614" spans="1:4" ht="15.75" customHeight="1" x14ac:dyDescent="0.25">
      <c r="A1614" s="9"/>
      <c r="C1614" s="43"/>
      <c r="D1614" s="43"/>
    </row>
    <row r="1615" spans="1:4" ht="15.75" customHeight="1" x14ac:dyDescent="0.25">
      <c r="A1615" s="9"/>
      <c r="C1615" s="43"/>
      <c r="D1615" s="43"/>
    </row>
    <row r="1616" spans="1:4" ht="15.75" customHeight="1" x14ac:dyDescent="0.25">
      <c r="A1616" s="9"/>
      <c r="C1616" s="43"/>
      <c r="D1616" s="43"/>
    </row>
    <row r="1617" spans="1:4" ht="15.75" customHeight="1" x14ac:dyDescent="0.25">
      <c r="A1617" s="9"/>
      <c r="C1617" s="43"/>
      <c r="D1617" s="43"/>
    </row>
    <row r="1618" spans="1:4" ht="15.75" customHeight="1" x14ac:dyDescent="0.25">
      <c r="A1618" s="9"/>
      <c r="C1618" s="43"/>
      <c r="D1618" s="43"/>
    </row>
    <row r="1619" spans="1:4" ht="15.75" customHeight="1" x14ac:dyDescent="0.25">
      <c r="A1619" s="9"/>
      <c r="C1619" s="43"/>
      <c r="D1619" s="43"/>
    </row>
    <row r="1620" spans="1:4" ht="15.75" customHeight="1" x14ac:dyDescent="0.25">
      <c r="A1620" s="9"/>
      <c r="C1620" s="43"/>
      <c r="D1620" s="43"/>
    </row>
    <row r="1621" spans="1:4" ht="15.75" customHeight="1" x14ac:dyDescent="0.25">
      <c r="A1621" s="9"/>
      <c r="C1621" s="43"/>
      <c r="D1621" s="43"/>
    </row>
    <row r="1622" spans="1:4" ht="15.75" customHeight="1" x14ac:dyDescent="0.25">
      <c r="A1622" s="9"/>
      <c r="C1622" s="43"/>
      <c r="D1622" s="43"/>
    </row>
    <row r="1623" spans="1:4" ht="15.75" customHeight="1" x14ac:dyDescent="0.25">
      <c r="A1623" s="9"/>
      <c r="C1623" s="43"/>
      <c r="D1623" s="43"/>
    </row>
    <row r="1624" spans="1:4" ht="15.75" customHeight="1" x14ac:dyDescent="0.25">
      <c r="A1624" s="9"/>
      <c r="C1624" s="43"/>
      <c r="D1624" s="43"/>
    </row>
    <row r="1625" spans="1:4" ht="15.75" customHeight="1" x14ac:dyDescent="0.25">
      <c r="A1625" s="9"/>
      <c r="C1625" s="43"/>
      <c r="D1625" s="43"/>
    </row>
    <row r="1626" spans="1:4" ht="15.75" customHeight="1" x14ac:dyDescent="0.25">
      <c r="A1626" s="9"/>
      <c r="C1626" s="43"/>
      <c r="D1626" s="43"/>
    </row>
    <row r="1627" spans="1:4" ht="15.75" customHeight="1" x14ac:dyDescent="0.25">
      <c r="A1627" s="9"/>
      <c r="C1627" s="43"/>
      <c r="D1627" s="43"/>
    </row>
    <row r="1628" spans="1:4" ht="15.75" customHeight="1" x14ac:dyDescent="0.25">
      <c r="A1628" s="9"/>
      <c r="C1628" s="43"/>
      <c r="D1628" s="43"/>
    </row>
    <row r="1629" spans="1:4" ht="15.75" customHeight="1" x14ac:dyDescent="0.25">
      <c r="A1629" s="9"/>
      <c r="C1629" s="43"/>
      <c r="D1629" s="43"/>
    </row>
    <row r="1630" spans="1:4" ht="15.75" customHeight="1" x14ac:dyDescent="0.25">
      <c r="A1630" s="9"/>
      <c r="C1630" s="43"/>
      <c r="D1630" s="43"/>
    </row>
    <row r="1631" spans="1:4" ht="15.75" customHeight="1" x14ac:dyDescent="0.25">
      <c r="A1631" s="9"/>
      <c r="C1631" s="43"/>
      <c r="D1631" s="43"/>
    </row>
    <row r="1632" spans="1:4" ht="15.75" customHeight="1" x14ac:dyDescent="0.25">
      <c r="A1632" s="9"/>
      <c r="C1632" s="43"/>
      <c r="D1632" s="43"/>
    </row>
    <row r="1633" spans="1:4" ht="15.75" customHeight="1" x14ac:dyDescent="0.25">
      <c r="A1633" s="9"/>
      <c r="C1633" s="43"/>
      <c r="D1633" s="43"/>
    </row>
    <row r="1634" spans="1:4" ht="15.75" customHeight="1" x14ac:dyDescent="0.25">
      <c r="A1634" s="9"/>
      <c r="C1634" s="43"/>
      <c r="D1634" s="43"/>
    </row>
    <row r="1635" spans="1:4" ht="15.75" customHeight="1" x14ac:dyDescent="0.25">
      <c r="A1635" s="9"/>
      <c r="C1635" s="43"/>
      <c r="D1635" s="43"/>
    </row>
    <row r="1636" spans="1:4" ht="15.75" customHeight="1" x14ac:dyDescent="0.25">
      <c r="A1636" s="9"/>
      <c r="C1636" s="43"/>
      <c r="D1636" s="43"/>
    </row>
    <row r="1637" spans="1:4" ht="15.75" customHeight="1" x14ac:dyDescent="0.25">
      <c r="A1637" s="9"/>
      <c r="C1637" s="43"/>
      <c r="D1637" s="43"/>
    </row>
    <row r="1638" spans="1:4" ht="15.75" customHeight="1" x14ac:dyDescent="0.25">
      <c r="A1638" s="9"/>
      <c r="C1638" s="43"/>
      <c r="D1638" s="43"/>
    </row>
    <row r="1639" spans="1:4" ht="15.75" customHeight="1" x14ac:dyDescent="0.25">
      <c r="A1639" s="9"/>
      <c r="C1639" s="43"/>
      <c r="D1639" s="43"/>
    </row>
    <row r="1640" spans="1:4" ht="15.75" customHeight="1" x14ac:dyDescent="0.25">
      <c r="A1640" s="9"/>
      <c r="C1640" s="43"/>
      <c r="D1640" s="43"/>
    </row>
    <row r="1641" spans="1:4" ht="15.75" customHeight="1" x14ac:dyDescent="0.25">
      <c r="A1641" s="9"/>
      <c r="C1641" s="43"/>
      <c r="D1641" s="43"/>
    </row>
    <row r="1642" spans="1:4" ht="15.75" customHeight="1" x14ac:dyDescent="0.25">
      <c r="A1642" s="9"/>
      <c r="C1642" s="43"/>
      <c r="D1642" s="43"/>
    </row>
    <row r="1643" spans="1:4" ht="15.75" customHeight="1" x14ac:dyDescent="0.25">
      <c r="A1643" s="9"/>
      <c r="C1643" s="43"/>
      <c r="D1643" s="43"/>
    </row>
    <row r="1644" spans="1:4" ht="15.75" customHeight="1" x14ac:dyDescent="0.25">
      <c r="A1644" s="9"/>
      <c r="C1644" s="43"/>
      <c r="D1644" s="43"/>
    </row>
    <row r="1645" spans="1:4" ht="15.75" customHeight="1" x14ac:dyDescent="0.25">
      <c r="A1645" s="9"/>
      <c r="C1645" s="43"/>
      <c r="D1645" s="43"/>
    </row>
    <row r="1646" spans="1:4" ht="15.75" customHeight="1" x14ac:dyDescent="0.25">
      <c r="A1646" s="9"/>
      <c r="C1646" s="43"/>
      <c r="D1646" s="43"/>
    </row>
    <row r="1647" spans="1:4" ht="15.75" customHeight="1" x14ac:dyDescent="0.25">
      <c r="A1647" s="9"/>
      <c r="C1647" s="43"/>
      <c r="D1647" s="43"/>
    </row>
    <row r="1648" spans="1:4" ht="15.75" customHeight="1" x14ac:dyDescent="0.25">
      <c r="A1648" s="9"/>
      <c r="C1648" s="43"/>
      <c r="D1648" s="43"/>
    </row>
    <row r="1649" spans="1:4" ht="15.75" customHeight="1" x14ac:dyDescent="0.25">
      <c r="A1649" s="9"/>
      <c r="C1649" s="43"/>
      <c r="D1649" s="43"/>
    </row>
    <row r="1650" spans="1:4" ht="15.75" customHeight="1" x14ac:dyDescent="0.25">
      <c r="A1650" s="9"/>
      <c r="C1650" s="43"/>
      <c r="D1650" s="43"/>
    </row>
    <row r="1651" spans="1:4" ht="15.75" customHeight="1" x14ac:dyDescent="0.25">
      <c r="A1651" s="9"/>
      <c r="C1651" s="43"/>
      <c r="D1651" s="43"/>
    </row>
    <row r="1652" spans="1:4" ht="15.75" customHeight="1" x14ac:dyDescent="0.25">
      <c r="A1652" s="9"/>
      <c r="C1652" s="43"/>
      <c r="D1652" s="43"/>
    </row>
    <row r="1653" spans="1:4" ht="15.75" customHeight="1" x14ac:dyDescent="0.25">
      <c r="A1653" s="9"/>
      <c r="C1653" s="43"/>
      <c r="D1653" s="43"/>
    </row>
    <row r="1654" spans="1:4" ht="15.75" customHeight="1" x14ac:dyDescent="0.25">
      <c r="A1654" s="9"/>
      <c r="C1654" s="43"/>
      <c r="D1654" s="43"/>
    </row>
    <row r="1655" spans="1:4" ht="15.75" customHeight="1" x14ac:dyDescent="0.25">
      <c r="A1655" s="9"/>
      <c r="C1655" s="43"/>
      <c r="D1655" s="43"/>
    </row>
    <row r="1656" spans="1:4" ht="15.75" customHeight="1" x14ac:dyDescent="0.25">
      <c r="A1656" s="9"/>
      <c r="C1656" s="43"/>
      <c r="D1656" s="43"/>
    </row>
    <row r="1657" spans="1:4" ht="15.75" customHeight="1" x14ac:dyDescent="0.25">
      <c r="A1657" s="9"/>
      <c r="C1657" s="43"/>
      <c r="D1657" s="43"/>
    </row>
    <row r="1658" spans="1:4" ht="15.75" customHeight="1" x14ac:dyDescent="0.25">
      <c r="A1658" s="9"/>
      <c r="C1658" s="43"/>
      <c r="D1658" s="43"/>
    </row>
    <row r="1659" spans="1:4" ht="15.75" customHeight="1" x14ac:dyDescent="0.25">
      <c r="A1659" s="9"/>
      <c r="C1659" s="43"/>
      <c r="D1659" s="43"/>
    </row>
    <row r="1660" spans="1:4" ht="15.75" customHeight="1" x14ac:dyDescent="0.25">
      <c r="A1660" s="9"/>
      <c r="C1660" s="43"/>
      <c r="D1660" s="43"/>
    </row>
    <row r="1661" spans="1:4" ht="15.75" customHeight="1" x14ac:dyDescent="0.25">
      <c r="A1661" s="9"/>
      <c r="C1661" s="43"/>
      <c r="D1661" s="43"/>
    </row>
    <row r="1662" spans="1:4" ht="15.75" customHeight="1" x14ac:dyDescent="0.25">
      <c r="A1662" s="9"/>
      <c r="C1662" s="43"/>
      <c r="D1662" s="43"/>
    </row>
    <row r="1663" spans="1:4" ht="15.75" customHeight="1" x14ac:dyDescent="0.25">
      <c r="A1663" s="9"/>
      <c r="C1663" s="43"/>
      <c r="D1663" s="43"/>
    </row>
    <row r="1664" spans="1:4" ht="15.75" customHeight="1" x14ac:dyDescent="0.25">
      <c r="A1664" s="9"/>
      <c r="C1664" s="43"/>
      <c r="D1664" s="43"/>
    </row>
    <row r="1665" spans="1:4" ht="15.75" customHeight="1" x14ac:dyDescent="0.25">
      <c r="A1665" s="9"/>
      <c r="C1665" s="43"/>
      <c r="D1665" s="43"/>
    </row>
    <row r="1666" spans="1:4" ht="15.75" customHeight="1" x14ac:dyDescent="0.25">
      <c r="A1666" s="9"/>
      <c r="C1666" s="43"/>
      <c r="D1666" s="43"/>
    </row>
    <row r="1667" spans="1:4" ht="15.75" customHeight="1" x14ac:dyDescent="0.25">
      <c r="A1667" s="9"/>
      <c r="C1667" s="43"/>
      <c r="D1667" s="43"/>
    </row>
    <row r="1668" spans="1:4" ht="15.75" customHeight="1" x14ac:dyDescent="0.25">
      <c r="A1668" s="9"/>
      <c r="C1668" s="43"/>
      <c r="D1668" s="43"/>
    </row>
    <row r="1669" spans="1:4" ht="15.75" customHeight="1" x14ac:dyDescent="0.25">
      <c r="A1669" s="9"/>
      <c r="C1669" s="43"/>
      <c r="D1669" s="43"/>
    </row>
    <row r="1670" spans="1:4" ht="15.75" customHeight="1" x14ac:dyDescent="0.25">
      <c r="A1670" s="9"/>
      <c r="C1670" s="43"/>
      <c r="D1670" s="43"/>
    </row>
    <row r="1671" spans="1:4" ht="15.75" customHeight="1" x14ac:dyDescent="0.25">
      <c r="A1671" s="9"/>
      <c r="C1671" s="43"/>
      <c r="D1671" s="43"/>
    </row>
    <row r="1672" spans="1:4" ht="15.75" customHeight="1" x14ac:dyDescent="0.25">
      <c r="A1672" s="9"/>
      <c r="C1672" s="43"/>
      <c r="D1672" s="43"/>
    </row>
    <row r="1673" spans="1:4" ht="15.75" customHeight="1" x14ac:dyDescent="0.25">
      <c r="A1673" s="9"/>
      <c r="C1673" s="43"/>
      <c r="D1673" s="43"/>
    </row>
    <row r="1674" spans="1:4" ht="15.75" customHeight="1" x14ac:dyDescent="0.25">
      <c r="A1674" s="9"/>
      <c r="C1674" s="43"/>
      <c r="D1674" s="43"/>
    </row>
    <row r="1675" spans="1:4" ht="15.75" customHeight="1" x14ac:dyDescent="0.25">
      <c r="A1675" s="9"/>
      <c r="C1675" s="43"/>
      <c r="D1675" s="43"/>
    </row>
    <row r="1676" spans="1:4" ht="15.75" customHeight="1" x14ac:dyDescent="0.25">
      <c r="A1676" s="9"/>
      <c r="C1676" s="43"/>
      <c r="D1676" s="43"/>
    </row>
    <row r="1677" spans="1:4" ht="15.75" customHeight="1" x14ac:dyDescent="0.25">
      <c r="A1677" s="9"/>
      <c r="C1677" s="43"/>
      <c r="D1677" s="43"/>
    </row>
    <row r="1678" spans="1:4" ht="15.75" customHeight="1" x14ac:dyDescent="0.25">
      <c r="A1678" s="9"/>
      <c r="C1678" s="43"/>
      <c r="D1678" s="43"/>
    </row>
    <row r="1679" spans="1:4" ht="15.75" customHeight="1" x14ac:dyDescent="0.25">
      <c r="A1679" s="9"/>
      <c r="C1679" s="43"/>
      <c r="D1679" s="43"/>
    </row>
    <row r="1680" spans="1:4" ht="15.75" customHeight="1" x14ac:dyDescent="0.25">
      <c r="A1680" s="9"/>
      <c r="C1680" s="43"/>
      <c r="D1680" s="43"/>
    </row>
    <row r="1681" spans="1:4" ht="15.75" customHeight="1" x14ac:dyDescent="0.25">
      <c r="A1681" s="9"/>
      <c r="C1681" s="43"/>
      <c r="D1681" s="43"/>
    </row>
    <row r="1682" spans="1:4" ht="15.75" customHeight="1" x14ac:dyDescent="0.25">
      <c r="A1682" s="9"/>
      <c r="C1682" s="43"/>
      <c r="D1682" s="43"/>
    </row>
    <row r="1683" spans="1:4" ht="15.75" customHeight="1" x14ac:dyDescent="0.25">
      <c r="A1683" s="9"/>
      <c r="C1683" s="43"/>
      <c r="D1683" s="43"/>
    </row>
    <row r="1684" spans="1:4" ht="15.75" customHeight="1" x14ac:dyDescent="0.25">
      <c r="A1684" s="9"/>
      <c r="C1684" s="43"/>
      <c r="D1684" s="43"/>
    </row>
    <row r="1685" spans="1:4" ht="15.75" customHeight="1" x14ac:dyDescent="0.25">
      <c r="A1685" s="9"/>
      <c r="C1685" s="43"/>
      <c r="D1685" s="43"/>
    </row>
    <row r="1686" spans="1:4" ht="15.75" customHeight="1" x14ac:dyDescent="0.25">
      <c r="A1686" s="9"/>
      <c r="C1686" s="43"/>
      <c r="D1686" s="43"/>
    </row>
    <row r="1687" spans="1:4" ht="15.75" customHeight="1" x14ac:dyDescent="0.25">
      <c r="A1687" s="9"/>
      <c r="C1687" s="43"/>
      <c r="D1687" s="43"/>
    </row>
    <row r="1688" spans="1:4" ht="15.75" customHeight="1" x14ac:dyDescent="0.25">
      <c r="A1688" s="9"/>
      <c r="C1688" s="43"/>
      <c r="D1688" s="43"/>
    </row>
    <row r="1689" spans="1:4" ht="15.75" customHeight="1" x14ac:dyDescent="0.25">
      <c r="A1689" s="9"/>
      <c r="C1689" s="43"/>
      <c r="D1689" s="43"/>
    </row>
    <row r="1690" spans="1:4" ht="15.75" customHeight="1" x14ac:dyDescent="0.25">
      <c r="A1690" s="9"/>
      <c r="C1690" s="43"/>
      <c r="D1690" s="43"/>
    </row>
    <row r="1691" spans="1:4" ht="15.75" customHeight="1" x14ac:dyDescent="0.25">
      <c r="A1691" s="9"/>
      <c r="C1691" s="43"/>
      <c r="D1691" s="43"/>
    </row>
    <row r="1692" spans="1:4" ht="15.75" customHeight="1" x14ac:dyDescent="0.25">
      <c r="A1692" s="9"/>
      <c r="C1692" s="43"/>
      <c r="D1692" s="43"/>
    </row>
    <row r="1693" spans="1:4" ht="15.75" customHeight="1" x14ac:dyDescent="0.25">
      <c r="A1693" s="9"/>
      <c r="C1693" s="43"/>
      <c r="D1693" s="43"/>
    </row>
    <row r="1694" spans="1:4" ht="15.75" customHeight="1" x14ac:dyDescent="0.25">
      <c r="A1694" s="9"/>
      <c r="C1694" s="43"/>
      <c r="D1694" s="43"/>
    </row>
    <row r="1695" spans="1:4" ht="15.75" customHeight="1" x14ac:dyDescent="0.25">
      <c r="A1695" s="9"/>
      <c r="C1695" s="43"/>
      <c r="D1695" s="43"/>
    </row>
    <row r="1696" spans="1:4" ht="15.75" customHeight="1" x14ac:dyDescent="0.25">
      <c r="A1696" s="9"/>
      <c r="C1696" s="43"/>
      <c r="D1696" s="43"/>
    </row>
    <row r="1697" spans="1:4" ht="15.75" customHeight="1" x14ac:dyDescent="0.25">
      <c r="A1697" s="9"/>
      <c r="C1697" s="43"/>
      <c r="D1697" s="43"/>
    </row>
    <row r="1698" spans="1:4" ht="15.75" customHeight="1" x14ac:dyDescent="0.25">
      <c r="A1698" s="9"/>
      <c r="C1698" s="43"/>
      <c r="D1698" s="43"/>
    </row>
    <row r="1699" spans="1:4" ht="15.75" customHeight="1" x14ac:dyDescent="0.25">
      <c r="A1699" s="9"/>
      <c r="C1699" s="43"/>
      <c r="D1699" s="43"/>
    </row>
    <row r="1700" spans="1:4" ht="15.75" customHeight="1" x14ac:dyDescent="0.25">
      <c r="A1700" s="9"/>
      <c r="C1700" s="43"/>
      <c r="D1700" s="43"/>
    </row>
    <row r="1701" spans="1:4" ht="15.75" customHeight="1" x14ac:dyDescent="0.25">
      <c r="A1701" s="9"/>
      <c r="C1701" s="43"/>
      <c r="D1701" s="43"/>
    </row>
    <row r="1702" spans="1:4" ht="15.75" customHeight="1" x14ac:dyDescent="0.25">
      <c r="A1702" s="9"/>
      <c r="C1702" s="43"/>
      <c r="D1702" s="43"/>
    </row>
    <row r="1703" spans="1:4" ht="15.75" customHeight="1" x14ac:dyDescent="0.25">
      <c r="A1703" s="9"/>
      <c r="C1703" s="43"/>
      <c r="D1703" s="43"/>
    </row>
    <row r="1704" spans="1:4" ht="15.75" customHeight="1" x14ac:dyDescent="0.25">
      <c r="A1704" s="9"/>
      <c r="C1704" s="43"/>
      <c r="D1704" s="43"/>
    </row>
    <row r="1705" spans="1:4" ht="15.75" customHeight="1" x14ac:dyDescent="0.25">
      <c r="A1705" s="9"/>
      <c r="C1705" s="43"/>
      <c r="D1705" s="43"/>
    </row>
    <row r="1706" spans="1:4" ht="15.75" customHeight="1" x14ac:dyDescent="0.25">
      <c r="A1706" s="9"/>
      <c r="C1706" s="43"/>
      <c r="D1706" s="43"/>
    </row>
    <row r="1707" spans="1:4" ht="15.75" customHeight="1" x14ac:dyDescent="0.25">
      <c r="A1707" s="9"/>
      <c r="C1707" s="43"/>
      <c r="D1707" s="43"/>
    </row>
    <row r="1708" spans="1:4" ht="15.75" customHeight="1" x14ac:dyDescent="0.25">
      <c r="A1708" s="9"/>
      <c r="C1708" s="43"/>
      <c r="D1708" s="43"/>
    </row>
    <row r="1709" spans="1:4" ht="15.75" customHeight="1" x14ac:dyDescent="0.25">
      <c r="A1709" s="9"/>
      <c r="C1709" s="43"/>
      <c r="D1709" s="43"/>
    </row>
    <row r="1710" spans="1:4" ht="15.75" customHeight="1" x14ac:dyDescent="0.25">
      <c r="A1710" s="9"/>
      <c r="C1710" s="43"/>
      <c r="D1710" s="43"/>
    </row>
    <row r="1711" spans="1:4" ht="15.75" customHeight="1" x14ac:dyDescent="0.25">
      <c r="A1711" s="9"/>
      <c r="C1711" s="43"/>
      <c r="D1711" s="43"/>
    </row>
    <row r="1712" spans="1:4" ht="15.75" customHeight="1" x14ac:dyDescent="0.25">
      <c r="A1712" s="9"/>
      <c r="C1712" s="43"/>
      <c r="D1712" s="43"/>
    </row>
    <row r="1713" spans="1:4" ht="15.75" customHeight="1" x14ac:dyDescent="0.25">
      <c r="A1713" s="9"/>
      <c r="C1713" s="43"/>
      <c r="D1713" s="43"/>
    </row>
    <row r="1714" spans="1:4" ht="15.75" customHeight="1" x14ac:dyDescent="0.25">
      <c r="A1714" s="9"/>
      <c r="C1714" s="43"/>
      <c r="D1714" s="43"/>
    </row>
    <row r="1715" spans="1:4" ht="15.75" customHeight="1" x14ac:dyDescent="0.25">
      <c r="A1715" s="9"/>
      <c r="C1715" s="43"/>
      <c r="D1715" s="43"/>
    </row>
    <row r="1716" spans="1:4" ht="15.75" customHeight="1" x14ac:dyDescent="0.25">
      <c r="A1716" s="9"/>
      <c r="C1716" s="43"/>
      <c r="D1716" s="43"/>
    </row>
    <row r="1717" spans="1:4" ht="15.75" customHeight="1" x14ac:dyDescent="0.25">
      <c r="A1717" s="9"/>
      <c r="C1717" s="43"/>
      <c r="D1717" s="43"/>
    </row>
    <row r="1718" spans="1:4" ht="15.75" customHeight="1" x14ac:dyDescent="0.25">
      <c r="A1718" s="9"/>
      <c r="C1718" s="43"/>
      <c r="D1718" s="43"/>
    </row>
    <row r="1719" spans="1:4" ht="15.75" customHeight="1" x14ac:dyDescent="0.25">
      <c r="A1719" s="9"/>
      <c r="C1719" s="43"/>
      <c r="D1719" s="43"/>
    </row>
    <row r="1720" spans="1:4" ht="15.75" customHeight="1" x14ac:dyDescent="0.25">
      <c r="A1720" s="9"/>
      <c r="C1720" s="43"/>
      <c r="D1720" s="43"/>
    </row>
    <row r="1721" spans="1:4" ht="15.75" customHeight="1" x14ac:dyDescent="0.25">
      <c r="A1721" s="9"/>
      <c r="C1721" s="43"/>
      <c r="D1721" s="43"/>
    </row>
    <row r="1722" spans="1:4" ht="15.75" customHeight="1" x14ac:dyDescent="0.25">
      <c r="A1722" s="9"/>
      <c r="C1722" s="43"/>
      <c r="D1722" s="43"/>
    </row>
    <row r="1723" spans="1:4" ht="15.75" customHeight="1" x14ac:dyDescent="0.25">
      <c r="A1723" s="9"/>
      <c r="C1723" s="43"/>
      <c r="D1723" s="43"/>
    </row>
    <row r="1724" spans="1:4" ht="15.75" customHeight="1" x14ac:dyDescent="0.25">
      <c r="A1724" s="9"/>
      <c r="C1724" s="43"/>
      <c r="D1724" s="43"/>
    </row>
    <row r="1725" spans="1:4" ht="15.75" customHeight="1" x14ac:dyDescent="0.25">
      <c r="A1725" s="9"/>
      <c r="C1725" s="43"/>
      <c r="D1725" s="43"/>
    </row>
    <row r="1726" spans="1:4" ht="15.75" customHeight="1" x14ac:dyDescent="0.25">
      <c r="A1726" s="9"/>
      <c r="C1726" s="43"/>
      <c r="D1726" s="43"/>
    </row>
    <row r="1727" spans="1:4" ht="15.75" customHeight="1" x14ac:dyDescent="0.25">
      <c r="A1727" s="9"/>
      <c r="C1727" s="43"/>
      <c r="D1727" s="43"/>
    </row>
    <row r="1728" spans="1:4" ht="15.75" customHeight="1" x14ac:dyDescent="0.25">
      <c r="A1728" s="9"/>
      <c r="C1728" s="43"/>
      <c r="D1728" s="43"/>
    </row>
    <row r="1729" spans="1:4" ht="15.75" customHeight="1" x14ac:dyDescent="0.25">
      <c r="A1729" s="9"/>
      <c r="C1729" s="43"/>
      <c r="D1729" s="43"/>
    </row>
    <row r="1730" spans="1:4" ht="15.75" customHeight="1" x14ac:dyDescent="0.25">
      <c r="A1730" s="9"/>
      <c r="C1730" s="43"/>
      <c r="D1730" s="43"/>
    </row>
    <row r="1731" spans="1:4" ht="15.75" customHeight="1" x14ac:dyDescent="0.25">
      <c r="A1731" s="9"/>
      <c r="C1731" s="43"/>
      <c r="D1731" s="43"/>
    </row>
    <row r="1732" spans="1:4" ht="15.75" customHeight="1" x14ac:dyDescent="0.25">
      <c r="A1732" s="9"/>
      <c r="C1732" s="43"/>
      <c r="D1732" s="43"/>
    </row>
    <row r="1733" spans="1:4" ht="15.75" customHeight="1" x14ac:dyDescent="0.25">
      <c r="A1733" s="9"/>
      <c r="C1733" s="43"/>
      <c r="D1733" s="43"/>
    </row>
    <row r="1734" spans="1:4" ht="15.75" customHeight="1" x14ac:dyDescent="0.25">
      <c r="A1734" s="9"/>
      <c r="C1734" s="43"/>
      <c r="D1734" s="43"/>
    </row>
    <row r="1735" spans="1:4" ht="15.75" customHeight="1" x14ac:dyDescent="0.25">
      <c r="A1735" s="9"/>
      <c r="C1735" s="43"/>
      <c r="D1735" s="43"/>
    </row>
    <row r="1736" spans="1:4" ht="15.75" customHeight="1" x14ac:dyDescent="0.25">
      <c r="A1736" s="9"/>
      <c r="C1736" s="43"/>
      <c r="D1736" s="43"/>
    </row>
    <row r="1737" spans="1:4" ht="15.75" customHeight="1" x14ac:dyDescent="0.25">
      <c r="A1737" s="9"/>
      <c r="C1737" s="43"/>
      <c r="D1737" s="43"/>
    </row>
    <row r="1738" spans="1:4" ht="15.75" customHeight="1" x14ac:dyDescent="0.25">
      <c r="A1738" s="9"/>
      <c r="C1738" s="43"/>
      <c r="D1738" s="43"/>
    </row>
    <row r="1739" spans="1:4" ht="15.75" customHeight="1" x14ac:dyDescent="0.25">
      <c r="A1739" s="9"/>
      <c r="C1739" s="43"/>
      <c r="D1739" s="43"/>
    </row>
    <row r="1740" spans="1:4" ht="15.75" customHeight="1" x14ac:dyDescent="0.25">
      <c r="A1740" s="9"/>
      <c r="C1740" s="43"/>
      <c r="D1740" s="43"/>
    </row>
    <row r="1741" spans="1:4" ht="15.75" customHeight="1" x14ac:dyDescent="0.25">
      <c r="A1741" s="9"/>
      <c r="C1741" s="43"/>
      <c r="D1741" s="43"/>
    </row>
    <row r="1742" spans="1:4" ht="15.75" customHeight="1" x14ac:dyDescent="0.25">
      <c r="A1742" s="9"/>
      <c r="C1742" s="43"/>
      <c r="D1742" s="43"/>
    </row>
    <row r="1743" spans="1:4" ht="15.75" customHeight="1" x14ac:dyDescent="0.25">
      <c r="A1743" s="9"/>
      <c r="C1743" s="43"/>
      <c r="D1743" s="43"/>
    </row>
    <row r="1744" spans="1:4" ht="15.75" customHeight="1" x14ac:dyDescent="0.25">
      <c r="A1744" s="9"/>
      <c r="C1744" s="43"/>
      <c r="D1744" s="43"/>
    </row>
    <row r="1745" spans="1:4" ht="15.75" customHeight="1" x14ac:dyDescent="0.25">
      <c r="A1745" s="9"/>
      <c r="C1745" s="43"/>
      <c r="D1745" s="43"/>
    </row>
    <row r="1746" spans="1:4" ht="15.75" customHeight="1" x14ac:dyDescent="0.25">
      <c r="A1746" s="9"/>
      <c r="C1746" s="43"/>
      <c r="D1746" s="43"/>
    </row>
    <row r="1747" spans="1:4" ht="15.75" customHeight="1" x14ac:dyDescent="0.25">
      <c r="A1747" s="9"/>
      <c r="C1747" s="43"/>
      <c r="D1747" s="43"/>
    </row>
    <row r="1748" spans="1:4" ht="15.75" customHeight="1" x14ac:dyDescent="0.25">
      <c r="A1748" s="9"/>
      <c r="C1748" s="43"/>
      <c r="D1748" s="43"/>
    </row>
    <row r="1749" spans="1:4" ht="15.75" customHeight="1" x14ac:dyDescent="0.25">
      <c r="A1749" s="9"/>
      <c r="C1749" s="43"/>
      <c r="D1749" s="43"/>
    </row>
    <row r="1750" spans="1:4" ht="15.75" customHeight="1" x14ac:dyDescent="0.25">
      <c r="A1750" s="9"/>
      <c r="C1750" s="43"/>
      <c r="D1750" s="43"/>
    </row>
    <row r="1751" spans="1:4" ht="15.75" customHeight="1" x14ac:dyDescent="0.25">
      <c r="A1751" s="9"/>
      <c r="C1751" s="43"/>
      <c r="D1751" s="43"/>
    </row>
    <row r="1752" spans="1:4" ht="15.75" customHeight="1" x14ac:dyDescent="0.25">
      <c r="A1752" s="9"/>
      <c r="C1752" s="43"/>
      <c r="D1752" s="43"/>
    </row>
    <row r="1753" spans="1:4" ht="15.75" customHeight="1" x14ac:dyDescent="0.25">
      <c r="A1753" s="9"/>
      <c r="C1753" s="43"/>
      <c r="D1753" s="43"/>
    </row>
    <row r="1754" spans="1:4" ht="15.75" customHeight="1" x14ac:dyDescent="0.25">
      <c r="A1754" s="9"/>
      <c r="C1754" s="43"/>
      <c r="D1754" s="43"/>
    </row>
    <row r="1755" spans="1:4" ht="15.75" customHeight="1" x14ac:dyDescent="0.25">
      <c r="A1755" s="9"/>
      <c r="C1755" s="43"/>
      <c r="D1755" s="43"/>
    </row>
    <row r="1756" spans="1:4" ht="15.75" customHeight="1" x14ac:dyDescent="0.25">
      <c r="A1756" s="9"/>
      <c r="C1756" s="43"/>
      <c r="D1756" s="43"/>
    </row>
    <row r="1757" spans="1:4" ht="15.75" customHeight="1" x14ac:dyDescent="0.25">
      <c r="A1757" s="9"/>
      <c r="C1757" s="43"/>
      <c r="D1757" s="43"/>
    </row>
    <row r="1758" spans="1:4" ht="15.75" customHeight="1" x14ac:dyDescent="0.25">
      <c r="A1758" s="9"/>
      <c r="C1758" s="43"/>
      <c r="D1758" s="43"/>
    </row>
    <row r="1759" spans="1:4" ht="15.75" customHeight="1" x14ac:dyDescent="0.25">
      <c r="A1759" s="9"/>
      <c r="C1759" s="43"/>
      <c r="D1759" s="43"/>
    </row>
    <row r="1760" spans="1:4" ht="15.75" customHeight="1" x14ac:dyDescent="0.25">
      <c r="A1760" s="9"/>
      <c r="C1760" s="43"/>
      <c r="D1760" s="43"/>
    </row>
    <row r="1761" spans="1:4" ht="15.75" customHeight="1" x14ac:dyDescent="0.25">
      <c r="A1761" s="9"/>
      <c r="C1761" s="43"/>
      <c r="D1761" s="43"/>
    </row>
    <row r="1762" spans="1:4" ht="15.75" customHeight="1" x14ac:dyDescent="0.25">
      <c r="A1762" s="9"/>
      <c r="C1762" s="43"/>
      <c r="D1762" s="43"/>
    </row>
    <row r="1763" spans="1:4" ht="15.75" customHeight="1" x14ac:dyDescent="0.25">
      <c r="A1763" s="9"/>
      <c r="C1763" s="43"/>
      <c r="D1763" s="43"/>
    </row>
    <row r="1764" spans="1:4" ht="15.75" customHeight="1" x14ac:dyDescent="0.25">
      <c r="A1764" s="9"/>
      <c r="C1764" s="43"/>
      <c r="D1764" s="43"/>
    </row>
    <row r="1765" spans="1:4" ht="15.75" customHeight="1" x14ac:dyDescent="0.25">
      <c r="A1765" s="9"/>
      <c r="C1765" s="43"/>
      <c r="D1765" s="43"/>
    </row>
    <row r="1766" spans="1:4" ht="15.75" customHeight="1" x14ac:dyDescent="0.25">
      <c r="A1766" s="9"/>
      <c r="C1766" s="43"/>
      <c r="D1766" s="43"/>
    </row>
    <row r="1767" spans="1:4" ht="15.75" customHeight="1" x14ac:dyDescent="0.25">
      <c r="A1767" s="9"/>
      <c r="C1767" s="43"/>
      <c r="D1767" s="43"/>
    </row>
    <row r="1768" spans="1:4" ht="15.75" customHeight="1" x14ac:dyDescent="0.25">
      <c r="A1768" s="9"/>
      <c r="C1768" s="43"/>
      <c r="D1768" s="43"/>
    </row>
    <row r="1769" spans="1:4" ht="15.75" customHeight="1" x14ac:dyDescent="0.25">
      <c r="A1769" s="9"/>
      <c r="C1769" s="43"/>
      <c r="D1769" s="43"/>
    </row>
    <row r="1770" spans="1:4" ht="15.75" customHeight="1" x14ac:dyDescent="0.25">
      <c r="A1770" s="9"/>
      <c r="C1770" s="43"/>
      <c r="D1770" s="43"/>
    </row>
    <row r="1771" spans="1:4" ht="15.75" customHeight="1" x14ac:dyDescent="0.25">
      <c r="A1771" s="9"/>
      <c r="C1771" s="43"/>
      <c r="D1771" s="43"/>
    </row>
    <row r="1772" spans="1:4" ht="15.75" customHeight="1" x14ac:dyDescent="0.25">
      <c r="A1772" s="9"/>
      <c r="C1772" s="43"/>
      <c r="D1772" s="43"/>
    </row>
    <row r="1773" spans="1:4" ht="15.75" customHeight="1" x14ac:dyDescent="0.25">
      <c r="A1773" s="9"/>
      <c r="C1773" s="43"/>
      <c r="D1773" s="43"/>
    </row>
    <row r="1774" spans="1:4" ht="15.75" customHeight="1" x14ac:dyDescent="0.25">
      <c r="A1774" s="9"/>
      <c r="C1774" s="43"/>
      <c r="D1774" s="43"/>
    </row>
    <row r="1775" spans="1:4" ht="15.75" customHeight="1" x14ac:dyDescent="0.25">
      <c r="A1775" s="9"/>
      <c r="C1775" s="43"/>
      <c r="D1775" s="43"/>
    </row>
    <row r="1776" spans="1:4" ht="15.75" customHeight="1" x14ac:dyDescent="0.25">
      <c r="A1776" s="9"/>
      <c r="C1776" s="43"/>
      <c r="D1776" s="43"/>
    </row>
    <row r="1777" spans="1:4" ht="15.75" customHeight="1" x14ac:dyDescent="0.25">
      <c r="A1777" s="9"/>
      <c r="C1777" s="43"/>
      <c r="D1777" s="43"/>
    </row>
    <row r="1778" spans="1:4" ht="15.75" customHeight="1" x14ac:dyDescent="0.25">
      <c r="A1778" s="9"/>
      <c r="C1778" s="43"/>
      <c r="D1778" s="43"/>
    </row>
    <row r="1779" spans="1:4" ht="15.75" customHeight="1" x14ac:dyDescent="0.25">
      <c r="A1779" s="9"/>
      <c r="C1779" s="43"/>
      <c r="D1779" s="43"/>
    </row>
    <row r="1780" spans="1:4" ht="15.75" customHeight="1" x14ac:dyDescent="0.25">
      <c r="A1780" s="9"/>
      <c r="C1780" s="43"/>
      <c r="D1780" s="43"/>
    </row>
    <row r="1781" spans="1:4" ht="15.75" customHeight="1" x14ac:dyDescent="0.25">
      <c r="A1781" s="9"/>
      <c r="C1781" s="43"/>
      <c r="D1781" s="43"/>
    </row>
    <row r="1782" spans="1:4" ht="15.75" customHeight="1" x14ac:dyDescent="0.25">
      <c r="A1782" s="9"/>
      <c r="C1782" s="43"/>
      <c r="D1782" s="43"/>
    </row>
    <row r="1783" spans="1:4" ht="15.75" customHeight="1" x14ac:dyDescent="0.25">
      <c r="A1783" s="9"/>
      <c r="C1783" s="43"/>
      <c r="D1783" s="43"/>
    </row>
    <row r="1784" spans="1:4" ht="15.75" customHeight="1" x14ac:dyDescent="0.25">
      <c r="A1784" s="9"/>
      <c r="C1784" s="43"/>
      <c r="D1784" s="43"/>
    </row>
    <row r="1785" spans="1:4" ht="15.75" customHeight="1" x14ac:dyDescent="0.25">
      <c r="A1785" s="9"/>
      <c r="C1785" s="43"/>
      <c r="D1785" s="43"/>
    </row>
    <row r="1786" spans="1:4" ht="15.75" customHeight="1" x14ac:dyDescent="0.25">
      <c r="A1786" s="9"/>
      <c r="C1786" s="43"/>
      <c r="D1786" s="43"/>
    </row>
    <row r="1787" spans="1:4" ht="15.75" customHeight="1" x14ac:dyDescent="0.25">
      <c r="A1787" s="9"/>
      <c r="C1787" s="43"/>
      <c r="D1787" s="43"/>
    </row>
    <row r="1788" spans="1:4" ht="15.75" customHeight="1" x14ac:dyDescent="0.25">
      <c r="A1788" s="9"/>
      <c r="C1788" s="43"/>
      <c r="D1788" s="43"/>
    </row>
    <row r="1789" spans="1:4" ht="15.75" customHeight="1" x14ac:dyDescent="0.25">
      <c r="A1789" s="9"/>
      <c r="C1789" s="43"/>
      <c r="D1789" s="43"/>
    </row>
    <row r="1790" spans="1:4" ht="15.75" customHeight="1" x14ac:dyDescent="0.25">
      <c r="A1790" s="9"/>
      <c r="C1790" s="43"/>
      <c r="D1790" s="43"/>
    </row>
    <row r="1791" spans="1:4" ht="15.75" customHeight="1" x14ac:dyDescent="0.25">
      <c r="A1791" s="9"/>
      <c r="C1791" s="43"/>
      <c r="D1791" s="43"/>
    </row>
    <row r="1792" spans="1:4" ht="15.75" customHeight="1" x14ac:dyDescent="0.25">
      <c r="A1792" s="9"/>
      <c r="C1792" s="43"/>
      <c r="D1792" s="43"/>
    </row>
    <row r="1793" spans="1:4" ht="15.75" customHeight="1" x14ac:dyDescent="0.25">
      <c r="A1793" s="9"/>
      <c r="C1793" s="43"/>
      <c r="D1793" s="43"/>
    </row>
    <row r="1794" spans="1:4" ht="15.75" customHeight="1" x14ac:dyDescent="0.25">
      <c r="A1794" s="9"/>
      <c r="C1794" s="43"/>
      <c r="D1794" s="43"/>
    </row>
    <row r="1795" spans="1:4" ht="15.75" customHeight="1" x14ac:dyDescent="0.25">
      <c r="A1795" s="9"/>
      <c r="C1795" s="43"/>
      <c r="D1795" s="43"/>
    </row>
    <row r="1796" spans="1:4" ht="15.75" customHeight="1" x14ac:dyDescent="0.25">
      <c r="A1796" s="9"/>
      <c r="C1796" s="43"/>
      <c r="D1796" s="43"/>
    </row>
    <row r="1797" spans="1:4" ht="15.75" customHeight="1" x14ac:dyDescent="0.25">
      <c r="A1797" s="9"/>
      <c r="C1797" s="43"/>
      <c r="D1797" s="43"/>
    </row>
    <row r="1798" spans="1:4" ht="15.75" customHeight="1" x14ac:dyDescent="0.25">
      <c r="A1798" s="9"/>
      <c r="C1798" s="43"/>
      <c r="D1798" s="43"/>
    </row>
    <row r="1799" spans="1:4" ht="15.75" customHeight="1" x14ac:dyDescent="0.25">
      <c r="A1799" s="9"/>
      <c r="C1799" s="43"/>
      <c r="D1799" s="43"/>
    </row>
    <row r="1800" spans="1:4" ht="15.75" customHeight="1" x14ac:dyDescent="0.25">
      <c r="A1800" s="9"/>
      <c r="C1800" s="43"/>
      <c r="D1800" s="43"/>
    </row>
    <row r="1801" spans="1:4" ht="15.75" customHeight="1" x14ac:dyDescent="0.25">
      <c r="A1801" s="9"/>
      <c r="C1801" s="43"/>
      <c r="D1801" s="43"/>
    </row>
    <row r="1802" spans="1:4" ht="15.75" customHeight="1" x14ac:dyDescent="0.25">
      <c r="A1802" s="9"/>
      <c r="C1802" s="43"/>
      <c r="D1802" s="43"/>
    </row>
    <row r="1803" spans="1:4" ht="15.75" customHeight="1" x14ac:dyDescent="0.25">
      <c r="A1803" s="9"/>
      <c r="C1803" s="43"/>
      <c r="D1803" s="43"/>
    </row>
    <row r="1804" spans="1:4" ht="15.75" customHeight="1" x14ac:dyDescent="0.25">
      <c r="A1804" s="9"/>
      <c r="C1804" s="43"/>
      <c r="D1804" s="43"/>
    </row>
    <row r="1805" spans="1:4" ht="15.75" customHeight="1" x14ac:dyDescent="0.25">
      <c r="A1805" s="9"/>
      <c r="C1805" s="43"/>
      <c r="D1805" s="43"/>
    </row>
    <row r="1806" spans="1:4" ht="15.75" customHeight="1" x14ac:dyDescent="0.25">
      <c r="A1806" s="9"/>
      <c r="C1806" s="43"/>
      <c r="D1806" s="43"/>
    </row>
    <row r="1807" spans="1:4" ht="15.75" customHeight="1" x14ac:dyDescent="0.25">
      <c r="A1807" s="9"/>
      <c r="C1807" s="43"/>
      <c r="D1807" s="43"/>
    </row>
    <row r="1808" spans="1:4" ht="15.75" customHeight="1" x14ac:dyDescent="0.25">
      <c r="A1808" s="9"/>
      <c r="C1808" s="43"/>
      <c r="D1808" s="43"/>
    </row>
    <row r="1809" spans="1:4" ht="15.75" customHeight="1" x14ac:dyDescent="0.25">
      <c r="A1809" s="9"/>
      <c r="C1809" s="43"/>
      <c r="D1809" s="43"/>
    </row>
    <row r="1810" spans="1:4" ht="15.75" customHeight="1" x14ac:dyDescent="0.25">
      <c r="A1810" s="9"/>
      <c r="C1810" s="43"/>
      <c r="D1810" s="43"/>
    </row>
    <row r="1811" spans="1:4" ht="15.75" customHeight="1" x14ac:dyDescent="0.25">
      <c r="A1811" s="9"/>
      <c r="C1811" s="43"/>
      <c r="D1811" s="43"/>
    </row>
    <row r="1812" spans="1:4" ht="15.75" customHeight="1" x14ac:dyDescent="0.25">
      <c r="A1812" s="9"/>
      <c r="C1812" s="43"/>
      <c r="D1812" s="43"/>
    </row>
    <row r="1813" spans="1:4" ht="15.75" customHeight="1" x14ac:dyDescent="0.25">
      <c r="A1813" s="9"/>
      <c r="C1813" s="43"/>
      <c r="D1813" s="43"/>
    </row>
    <row r="1814" spans="1:4" ht="15.75" customHeight="1" x14ac:dyDescent="0.25">
      <c r="A1814" s="9"/>
      <c r="C1814" s="43"/>
      <c r="D1814" s="43"/>
    </row>
    <row r="1815" spans="1:4" ht="15.75" customHeight="1" x14ac:dyDescent="0.25">
      <c r="A1815" s="9"/>
      <c r="C1815" s="43"/>
      <c r="D1815" s="43"/>
    </row>
    <row r="1816" spans="1:4" ht="15.75" customHeight="1" x14ac:dyDescent="0.25">
      <c r="A1816" s="9"/>
      <c r="C1816" s="43"/>
      <c r="D1816" s="43"/>
    </row>
    <row r="1817" spans="1:4" ht="15.75" customHeight="1" x14ac:dyDescent="0.25">
      <c r="A1817" s="9"/>
      <c r="C1817" s="43"/>
      <c r="D1817" s="43"/>
    </row>
    <row r="1818" spans="1:4" ht="15.75" customHeight="1" x14ac:dyDescent="0.25">
      <c r="A1818" s="9"/>
      <c r="C1818" s="43"/>
      <c r="D1818" s="43"/>
    </row>
    <row r="1819" spans="1:4" ht="15.75" customHeight="1" x14ac:dyDescent="0.25">
      <c r="A1819" s="9"/>
      <c r="C1819" s="43"/>
      <c r="D1819" s="43"/>
    </row>
    <row r="1820" spans="1:4" ht="15.75" customHeight="1" x14ac:dyDescent="0.25">
      <c r="A1820" s="9"/>
      <c r="C1820" s="43"/>
      <c r="D1820" s="43"/>
    </row>
    <row r="1821" spans="1:4" ht="15.75" customHeight="1" x14ac:dyDescent="0.25">
      <c r="A1821" s="9"/>
      <c r="C1821" s="43"/>
      <c r="D1821" s="43"/>
    </row>
    <row r="1822" spans="1:4" ht="15.75" customHeight="1" x14ac:dyDescent="0.25">
      <c r="A1822" s="9"/>
      <c r="C1822" s="43"/>
      <c r="D1822" s="43"/>
    </row>
    <row r="1823" spans="1:4" ht="15.75" customHeight="1" x14ac:dyDescent="0.25">
      <c r="A1823" s="9"/>
      <c r="C1823" s="43"/>
      <c r="D1823" s="43"/>
    </row>
    <row r="1824" spans="1:4" ht="15.75" customHeight="1" x14ac:dyDescent="0.25">
      <c r="A1824" s="9"/>
      <c r="C1824" s="43"/>
      <c r="D1824" s="43"/>
    </row>
    <row r="1825" spans="1:4" ht="15.75" customHeight="1" x14ac:dyDescent="0.25">
      <c r="A1825" s="9"/>
      <c r="C1825" s="43"/>
      <c r="D1825" s="43"/>
    </row>
    <row r="1826" spans="1:4" ht="15.75" customHeight="1" x14ac:dyDescent="0.25">
      <c r="A1826" s="9"/>
      <c r="C1826" s="43"/>
      <c r="D1826" s="43"/>
    </row>
    <row r="1827" spans="1:4" ht="15.75" customHeight="1" x14ac:dyDescent="0.25">
      <c r="A1827" s="9"/>
      <c r="C1827" s="43"/>
      <c r="D1827" s="43"/>
    </row>
    <row r="1828" spans="1:4" ht="15.75" customHeight="1" x14ac:dyDescent="0.25">
      <c r="A1828" s="9"/>
      <c r="C1828" s="43"/>
      <c r="D1828" s="43"/>
    </row>
    <row r="1829" spans="1:4" ht="15.75" customHeight="1" x14ac:dyDescent="0.25">
      <c r="A1829" s="9"/>
      <c r="C1829" s="43"/>
      <c r="D1829" s="43"/>
    </row>
    <row r="1830" spans="1:4" ht="15.75" customHeight="1" x14ac:dyDescent="0.25">
      <c r="A1830" s="9"/>
      <c r="C1830" s="43"/>
      <c r="D1830" s="43"/>
    </row>
    <row r="1831" spans="1:4" ht="15.75" customHeight="1" x14ac:dyDescent="0.25">
      <c r="A1831" s="9"/>
      <c r="C1831" s="43"/>
      <c r="D1831" s="43"/>
    </row>
    <row r="1832" spans="1:4" ht="15.75" customHeight="1" x14ac:dyDescent="0.25">
      <c r="A1832" s="9"/>
      <c r="C1832" s="43"/>
      <c r="D1832" s="43"/>
    </row>
    <row r="1833" spans="1:4" ht="15.75" customHeight="1" x14ac:dyDescent="0.25">
      <c r="A1833" s="9"/>
      <c r="C1833" s="43"/>
      <c r="D1833" s="43"/>
    </row>
    <row r="1834" spans="1:4" ht="15.75" customHeight="1" x14ac:dyDescent="0.25">
      <c r="A1834" s="9"/>
      <c r="C1834" s="43"/>
      <c r="D1834" s="43"/>
    </row>
    <row r="1835" spans="1:4" ht="15.75" customHeight="1" x14ac:dyDescent="0.25">
      <c r="A1835" s="9"/>
      <c r="C1835" s="43"/>
      <c r="D1835" s="43"/>
    </row>
    <row r="1836" spans="1:4" ht="15.75" customHeight="1" x14ac:dyDescent="0.25">
      <c r="A1836" s="9"/>
      <c r="C1836" s="43"/>
      <c r="D1836" s="43"/>
    </row>
    <row r="1837" spans="1:4" ht="15.75" customHeight="1" x14ac:dyDescent="0.25">
      <c r="A1837" s="9"/>
      <c r="C1837" s="43"/>
      <c r="D1837" s="43"/>
    </row>
    <row r="1838" spans="1:4" ht="15.75" customHeight="1" x14ac:dyDescent="0.25">
      <c r="A1838" s="9"/>
      <c r="C1838" s="43"/>
      <c r="D1838" s="43"/>
    </row>
    <row r="1839" spans="1:4" ht="15.75" customHeight="1" x14ac:dyDescent="0.25">
      <c r="A1839" s="9"/>
      <c r="C1839" s="43"/>
      <c r="D1839" s="43"/>
    </row>
    <row r="1840" spans="1:4" ht="15.75" customHeight="1" x14ac:dyDescent="0.25">
      <c r="A1840" s="9"/>
      <c r="C1840" s="43"/>
      <c r="D1840" s="43"/>
    </row>
    <row r="1841" spans="1:4" ht="15.75" customHeight="1" x14ac:dyDescent="0.25">
      <c r="A1841" s="9"/>
      <c r="C1841" s="43"/>
      <c r="D1841" s="43"/>
    </row>
    <row r="1842" spans="1:4" ht="15.75" customHeight="1" x14ac:dyDescent="0.25">
      <c r="A1842" s="9"/>
      <c r="C1842" s="43"/>
      <c r="D1842" s="43"/>
    </row>
    <row r="1843" spans="1:4" ht="15.75" customHeight="1" x14ac:dyDescent="0.25">
      <c r="A1843" s="9"/>
      <c r="C1843" s="43"/>
      <c r="D1843" s="43"/>
    </row>
    <row r="1844" spans="1:4" ht="15.75" customHeight="1" x14ac:dyDescent="0.25">
      <c r="A1844" s="9"/>
      <c r="C1844" s="43"/>
      <c r="D1844" s="43"/>
    </row>
    <row r="1845" spans="1:4" ht="15.75" customHeight="1" x14ac:dyDescent="0.25">
      <c r="A1845" s="9"/>
      <c r="C1845" s="43"/>
      <c r="D1845" s="43"/>
    </row>
    <row r="1846" spans="1:4" ht="15.75" customHeight="1" x14ac:dyDescent="0.25">
      <c r="A1846" s="9"/>
      <c r="C1846" s="43"/>
      <c r="D1846" s="43"/>
    </row>
    <row r="1847" spans="1:4" ht="15.75" customHeight="1" x14ac:dyDescent="0.25">
      <c r="A1847" s="9"/>
      <c r="C1847" s="43"/>
      <c r="D1847" s="43"/>
    </row>
    <row r="1848" spans="1:4" ht="15.75" customHeight="1" x14ac:dyDescent="0.25">
      <c r="A1848" s="9"/>
      <c r="C1848" s="43"/>
      <c r="D1848" s="43"/>
    </row>
    <row r="1849" spans="1:4" ht="15.75" customHeight="1" x14ac:dyDescent="0.25">
      <c r="A1849" s="9"/>
      <c r="C1849" s="43"/>
      <c r="D1849" s="43"/>
    </row>
    <row r="1850" spans="1:4" ht="15.75" customHeight="1" x14ac:dyDescent="0.25">
      <c r="A1850" s="9"/>
      <c r="C1850" s="43"/>
      <c r="D1850" s="43"/>
    </row>
    <row r="1851" spans="1:4" ht="15.75" customHeight="1" x14ac:dyDescent="0.25">
      <c r="A1851" s="9"/>
      <c r="C1851" s="43"/>
      <c r="D1851" s="43"/>
    </row>
    <row r="1852" spans="1:4" ht="15.75" customHeight="1" x14ac:dyDescent="0.25">
      <c r="A1852" s="9"/>
      <c r="C1852" s="43"/>
      <c r="D1852" s="43"/>
    </row>
    <row r="1853" spans="1:4" ht="15.75" customHeight="1" x14ac:dyDescent="0.25">
      <c r="A1853" s="9"/>
      <c r="C1853" s="43"/>
      <c r="D1853" s="43"/>
    </row>
    <row r="1854" spans="1:4" ht="15.75" customHeight="1" x14ac:dyDescent="0.25">
      <c r="A1854" s="9"/>
      <c r="C1854" s="43"/>
      <c r="D1854" s="43"/>
    </row>
    <row r="1855" spans="1:4" ht="15.75" customHeight="1" x14ac:dyDescent="0.25">
      <c r="A1855" s="9"/>
      <c r="C1855" s="43"/>
      <c r="D1855" s="43"/>
    </row>
    <row r="1856" spans="1:4" ht="15.75" customHeight="1" x14ac:dyDescent="0.25">
      <c r="A1856" s="9"/>
      <c r="C1856" s="43"/>
      <c r="D1856" s="43"/>
    </row>
    <row r="1857" spans="1:4" ht="15.75" customHeight="1" x14ac:dyDescent="0.25">
      <c r="A1857" s="9"/>
      <c r="C1857" s="43"/>
      <c r="D1857" s="43"/>
    </row>
    <row r="1858" spans="1:4" ht="15.75" customHeight="1" x14ac:dyDescent="0.25">
      <c r="A1858" s="9"/>
      <c r="C1858" s="43"/>
      <c r="D1858" s="43"/>
    </row>
    <row r="1859" spans="1:4" ht="15.75" customHeight="1" x14ac:dyDescent="0.25">
      <c r="A1859" s="9"/>
      <c r="C1859" s="43"/>
      <c r="D1859" s="43"/>
    </row>
    <row r="1860" spans="1:4" ht="15.75" customHeight="1" x14ac:dyDescent="0.25">
      <c r="A1860" s="9"/>
      <c r="C1860" s="43"/>
      <c r="D1860" s="43"/>
    </row>
    <row r="1861" spans="1:4" ht="15.75" customHeight="1" x14ac:dyDescent="0.25">
      <c r="A1861" s="9"/>
      <c r="C1861" s="43"/>
      <c r="D1861" s="43"/>
    </row>
    <row r="1862" spans="1:4" ht="15.75" customHeight="1" x14ac:dyDescent="0.25">
      <c r="A1862" s="9"/>
      <c r="C1862" s="43"/>
      <c r="D1862" s="43"/>
    </row>
    <row r="1863" spans="1:4" ht="15.75" customHeight="1" x14ac:dyDescent="0.25">
      <c r="A1863" s="9"/>
      <c r="C1863" s="43"/>
      <c r="D1863" s="43"/>
    </row>
    <row r="1864" spans="1:4" ht="15.75" customHeight="1" x14ac:dyDescent="0.25">
      <c r="A1864" s="9"/>
      <c r="C1864" s="43"/>
      <c r="D1864" s="43"/>
    </row>
    <row r="1865" spans="1:4" ht="15.75" customHeight="1" x14ac:dyDescent="0.25">
      <c r="A1865" s="9"/>
      <c r="C1865" s="43"/>
      <c r="D1865" s="43"/>
    </row>
    <row r="1866" spans="1:4" ht="15.75" customHeight="1" x14ac:dyDescent="0.25">
      <c r="A1866" s="9"/>
      <c r="C1866" s="43"/>
      <c r="D1866" s="43"/>
    </row>
    <row r="1867" spans="1:4" ht="15.75" customHeight="1" x14ac:dyDescent="0.25">
      <c r="A1867" s="9"/>
      <c r="C1867" s="43"/>
      <c r="D1867" s="43"/>
    </row>
    <row r="1868" spans="1:4" ht="15.75" customHeight="1" x14ac:dyDescent="0.25">
      <c r="A1868" s="9"/>
      <c r="C1868" s="43"/>
      <c r="D1868" s="43"/>
    </row>
    <row r="1869" spans="1:4" ht="15.75" customHeight="1" x14ac:dyDescent="0.25">
      <c r="A1869" s="9"/>
      <c r="C1869" s="43"/>
      <c r="D1869" s="43"/>
    </row>
    <row r="1870" spans="1:4" ht="15.75" customHeight="1" x14ac:dyDescent="0.25">
      <c r="A1870" s="9"/>
      <c r="C1870" s="43"/>
      <c r="D1870" s="43"/>
    </row>
    <row r="1871" spans="1:4" ht="15.75" customHeight="1" x14ac:dyDescent="0.25">
      <c r="A1871" s="9"/>
      <c r="C1871" s="43"/>
      <c r="D1871" s="43"/>
    </row>
    <row r="1872" spans="1:4" ht="15.75" customHeight="1" x14ac:dyDescent="0.25">
      <c r="A1872" s="9"/>
      <c r="C1872" s="43"/>
      <c r="D1872" s="43"/>
    </row>
    <row r="1873" spans="1:4" ht="15.75" customHeight="1" x14ac:dyDescent="0.25">
      <c r="A1873" s="9"/>
      <c r="C1873" s="43"/>
      <c r="D1873" s="43"/>
    </row>
    <row r="1874" spans="1:4" ht="15.75" customHeight="1" x14ac:dyDescent="0.25">
      <c r="A1874" s="9"/>
      <c r="C1874" s="43"/>
      <c r="D1874" s="43"/>
    </row>
    <row r="1875" spans="1:4" ht="15.75" customHeight="1" x14ac:dyDescent="0.25">
      <c r="A1875" s="9"/>
      <c r="C1875" s="43"/>
      <c r="D1875" s="43"/>
    </row>
    <row r="1876" spans="1:4" ht="15.75" customHeight="1" x14ac:dyDescent="0.25">
      <c r="A1876" s="9"/>
      <c r="C1876" s="43"/>
      <c r="D1876" s="43"/>
    </row>
    <row r="1877" spans="1:4" ht="15.75" customHeight="1" x14ac:dyDescent="0.25">
      <c r="A1877" s="9"/>
      <c r="C1877" s="43"/>
      <c r="D1877" s="43"/>
    </row>
    <row r="1878" spans="1:4" ht="15.75" customHeight="1" x14ac:dyDescent="0.25">
      <c r="A1878" s="9"/>
      <c r="C1878" s="43"/>
      <c r="D1878" s="43"/>
    </row>
    <row r="1879" spans="1:4" ht="15.75" customHeight="1" x14ac:dyDescent="0.25">
      <c r="A1879" s="9"/>
      <c r="C1879" s="43"/>
      <c r="D1879" s="43"/>
    </row>
    <row r="1880" spans="1:4" ht="15.75" customHeight="1" x14ac:dyDescent="0.25">
      <c r="A1880" s="9"/>
      <c r="C1880" s="43"/>
      <c r="D1880" s="43"/>
    </row>
    <row r="1881" spans="1:4" ht="15.75" customHeight="1" x14ac:dyDescent="0.25">
      <c r="A1881" s="9"/>
      <c r="C1881" s="43"/>
      <c r="D1881" s="43"/>
    </row>
    <row r="1882" spans="1:4" ht="15.75" customHeight="1" x14ac:dyDescent="0.25">
      <c r="A1882" s="9"/>
      <c r="C1882" s="43"/>
      <c r="D1882" s="43"/>
    </row>
    <row r="1883" spans="1:4" ht="15.75" customHeight="1" x14ac:dyDescent="0.25">
      <c r="A1883" s="9"/>
      <c r="C1883" s="43"/>
      <c r="D1883" s="43"/>
    </row>
    <row r="1884" spans="1:4" ht="15.75" customHeight="1" x14ac:dyDescent="0.25">
      <c r="A1884" s="9"/>
      <c r="C1884" s="43"/>
      <c r="D1884" s="43"/>
    </row>
    <row r="1885" spans="1:4" ht="15.75" customHeight="1" x14ac:dyDescent="0.25">
      <c r="A1885" s="9"/>
      <c r="C1885" s="43"/>
      <c r="D1885" s="43"/>
    </row>
    <row r="1886" spans="1:4" ht="15.75" customHeight="1" x14ac:dyDescent="0.25">
      <c r="A1886" s="9"/>
      <c r="C1886" s="43"/>
      <c r="D1886" s="43"/>
    </row>
    <row r="1887" spans="1:4" ht="15.75" customHeight="1" x14ac:dyDescent="0.25">
      <c r="A1887" s="9"/>
      <c r="C1887" s="43"/>
      <c r="D1887" s="43"/>
    </row>
    <row r="1888" spans="1:4" ht="15.75" customHeight="1" x14ac:dyDescent="0.25">
      <c r="A1888" s="9"/>
      <c r="C1888" s="43"/>
      <c r="D1888" s="43"/>
    </row>
    <row r="1889" spans="1:4" ht="15.75" customHeight="1" x14ac:dyDescent="0.25">
      <c r="A1889" s="9"/>
      <c r="C1889" s="43"/>
      <c r="D1889" s="43"/>
    </row>
    <row r="1890" spans="1:4" ht="15.75" customHeight="1" x14ac:dyDescent="0.25">
      <c r="A1890" s="9"/>
      <c r="C1890" s="43"/>
      <c r="D1890" s="43"/>
    </row>
    <row r="1891" spans="1:4" ht="15.75" customHeight="1" x14ac:dyDescent="0.25">
      <c r="A1891" s="9"/>
      <c r="C1891" s="43"/>
      <c r="D1891" s="43"/>
    </row>
    <row r="1892" spans="1:4" ht="15.75" customHeight="1" x14ac:dyDescent="0.25">
      <c r="A1892" s="9"/>
      <c r="C1892" s="43"/>
      <c r="D1892" s="43"/>
    </row>
    <row r="1893" spans="1:4" ht="15.75" customHeight="1" x14ac:dyDescent="0.25">
      <c r="A1893" s="9"/>
      <c r="C1893" s="43"/>
      <c r="D1893" s="43"/>
    </row>
    <row r="1894" spans="1:4" ht="15.75" customHeight="1" x14ac:dyDescent="0.25">
      <c r="A1894" s="9"/>
      <c r="C1894" s="43"/>
      <c r="D1894" s="43"/>
    </row>
    <row r="1895" spans="1:4" ht="15.75" customHeight="1" x14ac:dyDescent="0.25">
      <c r="A1895" s="9"/>
      <c r="C1895" s="43"/>
      <c r="D1895" s="43"/>
    </row>
    <row r="1896" spans="1:4" ht="15.75" customHeight="1" x14ac:dyDescent="0.25">
      <c r="A1896" s="9"/>
      <c r="C1896" s="43"/>
      <c r="D1896" s="43"/>
    </row>
    <row r="1897" spans="1:4" ht="15.75" customHeight="1" x14ac:dyDescent="0.25">
      <c r="A1897" s="9"/>
      <c r="C1897" s="43"/>
      <c r="D1897" s="43"/>
    </row>
    <row r="1898" spans="1:4" ht="15.75" customHeight="1" x14ac:dyDescent="0.25">
      <c r="A1898" s="9"/>
      <c r="C1898" s="43"/>
      <c r="D1898" s="43"/>
    </row>
    <row r="1899" spans="1:4" ht="15.75" customHeight="1" x14ac:dyDescent="0.25">
      <c r="A1899" s="9"/>
      <c r="C1899" s="43"/>
      <c r="D1899" s="43"/>
    </row>
    <row r="1900" spans="1:4" ht="15.75" customHeight="1" x14ac:dyDescent="0.25">
      <c r="A1900" s="9"/>
      <c r="C1900" s="43"/>
      <c r="D1900" s="43"/>
    </row>
    <row r="1901" spans="1:4" ht="15.75" customHeight="1" x14ac:dyDescent="0.25">
      <c r="A1901" s="9"/>
      <c r="C1901" s="43"/>
      <c r="D1901" s="43"/>
    </row>
    <row r="1902" spans="1:4" ht="15.75" customHeight="1" x14ac:dyDescent="0.25">
      <c r="A1902" s="9"/>
      <c r="C1902" s="43"/>
      <c r="D1902" s="43"/>
    </row>
    <row r="1903" spans="1:4" ht="15.75" customHeight="1" x14ac:dyDescent="0.25">
      <c r="A1903" s="9"/>
      <c r="C1903" s="43"/>
      <c r="D1903" s="43"/>
    </row>
    <row r="1904" spans="1:4" ht="15.75" customHeight="1" x14ac:dyDescent="0.25">
      <c r="A1904" s="9"/>
      <c r="C1904" s="43"/>
      <c r="D1904" s="43"/>
    </row>
    <row r="1905" spans="1:4" ht="15.75" customHeight="1" x14ac:dyDescent="0.25">
      <c r="A1905" s="9"/>
      <c r="C1905" s="43"/>
      <c r="D1905" s="43"/>
    </row>
    <row r="1906" spans="1:4" ht="15.75" customHeight="1" x14ac:dyDescent="0.25">
      <c r="A1906" s="9"/>
      <c r="C1906" s="43"/>
      <c r="D1906" s="43"/>
    </row>
    <row r="1907" spans="1:4" ht="15.75" customHeight="1" x14ac:dyDescent="0.25">
      <c r="A1907" s="9"/>
      <c r="C1907" s="43"/>
      <c r="D1907" s="43"/>
    </row>
    <row r="1908" spans="1:4" ht="15.75" customHeight="1" x14ac:dyDescent="0.25">
      <c r="A1908" s="9"/>
      <c r="C1908" s="43"/>
      <c r="D1908" s="43"/>
    </row>
    <row r="1909" spans="1:4" ht="15.75" customHeight="1" x14ac:dyDescent="0.25">
      <c r="A1909" s="9"/>
      <c r="C1909" s="43"/>
      <c r="D1909" s="43"/>
    </row>
    <row r="1910" spans="1:4" ht="15.75" customHeight="1" x14ac:dyDescent="0.25">
      <c r="A1910" s="9"/>
      <c r="C1910" s="43"/>
      <c r="D1910" s="43"/>
    </row>
    <row r="1911" spans="1:4" ht="15.75" customHeight="1" x14ac:dyDescent="0.25">
      <c r="A1911" s="9"/>
      <c r="C1911" s="43"/>
      <c r="D1911" s="43"/>
    </row>
    <row r="1912" spans="1:4" ht="15.75" customHeight="1" x14ac:dyDescent="0.25">
      <c r="A1912" s="9"/>
      <c r="C1912" s="43"/>
      <c r="D1912" s="43"/>
    </row>
    <row r="1913" spans="1:4" ht="15.75" customHeight="1" x14ac:dyDescent="0.25">
      <c r="A1913" s="9"/>
      <c r="C1913" s="43"/>
      <c r="D1913" s="43"/>
    </row>
    <row r="1914" spans="1:4" ht="15.75" customHeight="1" x14ac:dyDescent="0.25">
      <c r="A1914" s="9"/>
      <c r="C1914" s="43"/>
      <c r="D1914" s="43"/>
    </row>
    <row r="1915" spans="1:4" ht="15.75" customHeight="1" x14ac:dyDescent="0.25">
      <c r="A1915" s="9"/>
      <c r="C1915" s="43"/>
      <c r="D1915" s="43"/>
    </row>
    <row r="1916" spans="1:4" ht="15.75" customHeight="1" x14ac:dyDescent="0.25">
      <c r="A1916" s="9"/>
      <c r="C1916" s="43"/>
      <c r="D1916" s="43"/>
    </row>
    <row r="1917" spans="1:4" ht="15.75" customHeight="1" x14ac:dyDescent="0.25">
      <c r="A1917" s="9"/>
      <c r="C1917" s="43"/>
      <c r="D1917" s="43"/>
    </row>
    <row r="1918" spans="1:4" ht="15.75" customHeight="1" x14ac:dyDescent="0.25">
      <c r="A1918" s="9"/>
      <c r="C1918" s="43"/>
      <c r="D1918" s="43"/>
    </row>
    <row r="1919" spans="1:4" ht="15.75" customHeight="1" x14ac:dyDescent="0.25">
      <c r="A1919" s="9"/>
      <c r="C1919" s="43"/>
      <c r="D1919" s="43"/>
    </row>
    <row r="1920" spans="1:4" ht="15.75" customHeight="1" x14ac:dyDescent="0.25">
      <c r="A1920" s="9"/>
      <c r="C1920" s="43"/>
      <c r="D1920" s="43"/>
    </row>
    <row r="1921" spans="1:4" ht="15.75" customHeight="1" x14ac:dyDescent="0.25">
      <c r="A1921" s="9"/>
      <c r="C1921" s="43"/>
      <c r="D1921" s="43"/>
    </row>
    <row r="1922" spans="1:4" ht="15.75" customHeight="1" x14ac:dyDescent="0.25">
      <c r="A1922" s="9"/>
      <c r="C1922" s="43"/>
      <c r="D1922" s="43"/>
    </row>
    <row r="1923" spans="1:4" ht="15.75" customHeight="1" x14ac:dyDescent="0.25">
      <c r="A1923" s="9"/>
      <c r="C1923" s="43"/>
      <c r="D1923" s="43"/>
    </row>
    <row r="1924" spans="1:4" ht="15.75" customHeight="1" x14ac:dyDescent="0.25">
      <c r="A1924" s="9"/>
      <c r="C1924" s="43"/>
      <c r="D1924" s="43"/>
    </row>
    <row r="1925" spans="1:4" ht="15.75" customHeight="1" x14ac:dyDescent="0.25">
      <c r="A1925" s="9"/>
      <c r="C1925" s="43"/>
      <c r="D1925" s="43"/>
    </row>
    <row r="1926" spans="1:4" ht="15.75" customHeight="1" x14ac:dyDescent="0.25">
      <c r="A1926" s="9"/>
      <c r="C1926" s="43"/>
      <c r="D1926" s="43"/>
    </row>
    <row r="1927" spans="1:4" ht="15.75" customHeight="1" x14ac:dyDescent="0.25">
      <c r="A1927" s="9"/>
      <c r="C1927" s="43"/>
      <c r="D1927" s="43"/>
    </row>
    <row r="1928" spans="1:4" ht="15.75" customHeight="1" x14ac:dyDescent="0.25">
      <c r="A1928" s="9"/>
      <c r="C1928" s="43"/>
      <c r="D1928" s="43"/>
    </row>
    <row r="1929" spans="1:4" ht="15.75" customHeight="1" x14ac:dyDescent="0.25">
      <c r="A1929" s="9"/>
      <c r="C1929" s="43"/>
      <c r="D1929" s="43"/>
    </row>
    <row r="1930" spans="1:4" ht="15.75" customHeight="1" x14ac:dyDescent="0.25">
      <c r="A1930" s="9"/>
      <c r="C1930" s="43"/>
      <c r="D1930" s="43"/>
    </row>
    <row r="1931" spans="1:4" ht="15.75" customHeight="1" x14ac:dyDescent="0.25">
      <c r="A1931" s="9"/>
      <c r="C1931" s="43"/>
      <c r="D1931" s="43"/>
    </row>
    <row r="1932" spans="1:4" ht="15.75" customHeight="1" x14ac:dyDescent="0.25">
      <c r="A1932" s="9"/>
      <c r="C1932" s="43"/>
      <c r="D1932" s="43"/>
    </row>
    <row r="1933" spans="1:4" ht="15.75" customHeight="1" x14ac:dyDescent="0.25">
      <c r="A1933" s="9"/>
      <c r="C1933" s="43"/>
      <c r="D1933" s="43"/>
    </row>
    <row r="1934" spans="1:4" ht="15.75" customHeight="1" x14ac:dyDescent="0.25">
      <c r="A1934" s="9"/>
      <c r="C1934" s="43"/>
      <c r="D1934" s="43"/>
    </row>
    <row r="1935" spans="1:4" ht="15.75" customHeight="1" x14ac:dyDescent="0.25">
      <c r="A1935" s="9"/>
      <c r="C1935" s="43"/>
      <c r="D1935" s="43"/>
    </row>
    <row r="1936" spans="1:4" ht="15.75" customHeight="1" x14ac:dyDescent="0.25">
      <c r="A1936" s="9"/>
      <c r="C1936" s="43"/>
      <c r="D1936" s="43"/>
    </row>
    <row r="1937" spans="1:4" ht="15.75" customHeight="1" x14ac:dyDescent="0.25">
      <c r="A1937" s="9"/>
      <c r="C1937" s="43"/>
      <c r="D1937" s="43"/>
    </row>
    <row r="1938" spans="1:4" ht="15.75" customHeight="1" x14ac:dyDescent="0.25">
      <c r="A1938" s="9"/>
      <c r="C1938" s="43"/>
      <c r="D1938" s="43"/>
    </row>
    <row r="1939" spans="1:4" ht="15.75" customHeight="1" x14ac:dyDescent="0.25">
      <c r="A1939" s="9"/>
      <c r="C1939" s="43"/>
      <c r="D1939" s="43"/>
    </row>
    <row r="1940" spans="1:4" ht="15.75" customHeight="1" x14ac:dyDescent="0.25">
      <c r="A1940" s="9"/>
      <c r="C1940" s="43"/>
      <c r="D1940" s="43"/>
    </row>
    <row r="1941" spans="1:4" ht="15.75" customHeight="1" x14ac:dyDescent="0.25">
      <c r="A1941" s="9"/>
      <c r="C1941" s="43"/>
      <c r="D1941" s="43"/>
    </row>
    <row r="1942" spans="1:4" ht="15.75" customHeight="1" x14ac:dyDescent="0.25">
      <c r="A1942" s="9"/>
      <c r="C1942" s="43"/>
      <c r="D1942" s="43"/>
    </row>
    <row r="1943" spans="1:4" ht="15.75" customHeight="1" x14ac:dyDescent="0.25">
      <c r="A1943" s="9"/>
      <c r="C1943" s="43"/>
      <c r="D1943" s="43"/>
    </row>
    <row r="1944" spans="1:4" ht="15.75" customHeight="1" x14ac:dyDescent="0.25">
      <c r="A1944" s="9"/>
      <c r="C1944" s="43"/>
      <c r="D1944" s="43"/>
    </row>
    <row r="1945" spans="1:4" ht="15.75" customHeight="1" x14ac:dyDescent="0.25">
      <c r="A1945" s="9"/>
      <c r="C1945" s="43"/>
      <c r="D1945" s="43"/>
    </row>
    <row r="1946" spans="1:4" ht="15.75" customHeight="1" x14ac:dyDescent="0.25">
      <c r="A1946" s="9"/>
      <c r="C1946" s="43"/>
      <c r="D1946" s="43"/>
    </row>
    <row r="1947" spans="1:4" ht="15.75" customHeight="1" x14ac:dyDescent="0.25">
      <c r="A1947" s="9"/>
      <c r="C1947" s="43"/>
      <c r="D1947" s="43"/>
    </row>
    <row r="1948" spans="1:4" ht="15.75" customHeight="1" x14ac:dyDescent="0.25">
      <c r="A1948" s="9"/>
      <c r="C1948" s="43"/>
      <c r="D1948" s="43"/>
    </row>
    <row r="1949" spans="1:4" ht="15.75" customHeight="1" x14ac:dyDescent="0.25">
      <c r="A1949" s="9"/>
      <c r="C1949" s="43"/>
      <c r="D1949" s="43"/>
    </row>
    <row r="1950" spans="1:4" ht="15.75" customHeight="1" x14ac:dyDescent="0.25">
      <c r="A1950" s="9"/>
      <c r="C1950" s="43"/>
      <c r="D1950" s="43"/>
    </row>
    <row r="1951" spans="1:4" ht="15.75" customHeight="1" x14ac:dyDescent="0.25">
      <c r="A1951" s="9"/>
      <c r="C1951" s="43"/>
      <c r="D1951" s="43"/>
    </row>
    <row r="1952" spans="1:4" ht="15.75" customHeight="1" x14ac:dyDescent="0.25">
      <c r="A1952" s="9"/>
      <c r="C1952" s="43"/>
      <c r="D1952" s="43"/>
    </row>
    <row r="1953" spans="1:4" ht="15.75" customHeight="1" x14ac:dyDescent="0.25">
      <c r="A1953" s="9"/>
      <c r="C1953" s="43"/>
      <c r="D1953" s="43"/>
    </row>
    <row r="1954" spans="1:4" ht="15.75" customHeight="1" x14ac:dyDescent="0.25">
      <c r="A1954" s="9"/>
      <c r="C1954" s="43"/>
      <c r="D1954" s="43"/>
    </row>
    <row r="1955" spans="1:4" ht="15.75" customHeight="1" x14ac:dyDescent="0.25">
      <c r="A1955" s="9"/>
      <c r="C1955" s="43"/>
      <c r="D1955" s="43"/>
    </row>
    <row r="1956" spans="1:4" ht="15.75" customHeight="1" x14ac:dyDescent="0.25">
      <c r="A1956" s="9"/>
      <c r="C1956" s="43"/>
      <c r="D1956" s="43"/>
    </row>
    <row r="1957" spans="1:4" ht="15.75" customHeight="1" x14ac:dyDescent="0.25">
      <c r="A1957" s="9"/>
      <c r="C1957" s="43"/>
      <c r="D1957" s="43"/>
    </row>
    <row r="1958" spans="1:4" ht="15.75" customHeight="1" x14ac:dyDescent="0.25">
      <c r="A1958" s="9"/>
      <c r="C1958" s="43"/>
      <c r="D1958" s="43"/>
    </row>
    <row r="1959" spans="1:4" ht="15.75" customHeight="1" x14ac:dyDescent="0.25">
      <c r="A1959" s="9"/>
      <c r="C1959" s="43"/>
      <c r="D1959" s="43"/>
    </row>
    <row r="1960" spans="1:4" ht="15.75" customHeight="1" x14ac:dyDescent="0.25">
      <c r="A1960" s="9"/>
      <c r="C1960" s="43"/>
      <c r="D1960" s="43"/>
    </row>
    <row r="1961" spans="1:4" ht="15.75" customHeight="1" x14ac:dyDescent="0.25">
      <c r="A1961" s="9"/>
      <c r="C1961" s="43"/>
      <c r="D1961" s="43"/>
    </row>
    <row r="1962" spans="1:4" ht="15.75" customHeight="1" x14ac:dyDescent="0.25">
      <c r="A1962" s="9"/>
      <c r="C1962" s="43"/>
      <c r="D1962" s="43"/>
    </row>
    <row r="1963" spans="1:4" ht="15.75" customHeight="1" x14ac:dyDescent="0.25">
      <c r="A1963" s="9"/>
      <c r="C1963" s="43"/>
      <c r="D1963" s="43"/>
    </row>
    <row r="1964" spans="1:4" ht="15.75" customHeight="1" x14ac:dyDescent="0.25">
      <c r="A1964" s="9"/>
      <c r="C1964" s="43"/>
      <c r="D1964" s="43"/>
    </row>
    <row r="1965" spans="1:4" ht="15.75" customHeight="1" x14ac:dyDescent="0.25">
      <c r="A1965" s="9"/>
      <c r="C1965" s="43"/>
      <c r="D1965" s="43"/>
    </row>
  </sheetData>
  <phoneticPr fontId="25" type="noConversion"/>
  <pageMargins left="0.7" right="0.7" top="0.75" bottom="0.75" header="0" footer="0"/>
  <pageSetup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42"/>
  <sheetViews>
    <sheetView workbookViewId="0"/>
  </sheetViews>
  <sheetFormatPr defaultColWidth="14.42578125" defaultRowHeight="15" customHeight="1" x14ac:dyDescent="0.25"/>
  <sheetData>
    <row r="1" spans="1:4" x14ac:dyDescent="0.25">
      <c r="A1" s="1" t="s">
        <v>152</v>
      </c>
      <c r="B1" s="2" t="s">
        <v>153</v>
      </c>
      <c r="C1" s="2" t="s">
        <v>154</v>
      </c>
      <c r="D1" s="2" t="s">
        <v>155</v>
      </c>
    </row>
    <row r="2" spans="1:4" x14ac:dyDescent="0.25">
      <c r="A2" s="3">
        <v>170370</v>
      </c>
      <c r="B2" s="4" t="s">
        <v>92</v>
      </c>
      <c r="C2" s="4" t="s">
        <v>156</v>
      </c>
      <c r="D2" s="4" t="s">
        <v>151</v>
      </c>
    </row>
    <row r="3" spans="1:4" x14ac:dyDescent="0.25">
      <c r="A3" s="3">
        <v>170510</v>
      </c>
      <c r="B3" s="4" t="s">
        <v>92</v>
      </c>
      <c r="C3" s="4" t="s">
        <v>157</v>
      </c>
      <c r="D3" s="4" t="s">
        <v>151</v>
      </c>
    </row>
    <row r="4" spans="1:4" x14ac:dyDescent="0.25">
      <c r="A4" s="3">
        <v>170755</v>
      </c>
      <c r="B4" s="4" t="s">
        <v>92</v>
      </c>
      <c r="C4" s="4" t="s">
        <v>158</v>
      </c>
      <c r="D4" s="4" t="s">
        <v>151</v>
      </c>
    </row>
    <row r="5" spans="1:4" x14ac:dyDescent="0.25">
      <c r="A5" s="3">
        <v>170980</v>
      </c>
      <c r="B5" s="4" t="s">
        <v>92</v>
      </c>
      <c r="C5" s="4" t="s">
        <v>159</v>
      </c>
      <c r="D5" s="4" t="s">
        <v>151</v>
      </c>
    </row>
    <row r="6" spans="1:4" x14ac:dyDescent="0.25">
      <c r="A6" s="3">
        <v>171270</v>
      </c>
      <c r="B6" s="4" t="s">
        <v>92</v>
      </c>
      <c r="C6" s="4" t="s">
        <v>160</v>
      </c>
      <c r="D6" s="4" t="s">
        <v>151</v>
      </c>
    </row>
    <row r="7" spans="1:4" x14ac:dyDescent="0.25">
      <c r="A7" s="3">
        <v>171360</v>
      </c>
      <c r="B7" s="4" t="s">
        <v>92</v>
      </c>
      <c r="C7" s="4" t="s">
        <v>161</v>
      </c>
      <c r="D7" s="4" t="s">
        <v>151</v>
      </c>
    </row>
    <row r="8" spans="1:4" x14ac:dyDescent="0.25">
      <c r="A8" s="3">
        <v>171420</v>
      </c>
      <c r="B8" s="4" t="s">
        <v>92</v>
      </c>
      <c r="C8" s="4" t="s">
        <v>162</v>
      </c>
      <c r="D8" s="4" t="s">
        <v>151</v>
      </c>
    </row>
    <row r="9" spans="1:4" x14ac:dyDescent="0.25">
      <c r="A9" s="3">
        <v>171700</v>
      </c>
      <c r="B9" s="4" t="s">
        <v>92</v>
      </c>
      <c r="C9" s="4" t="s">
        <v>163</v>
      </c>
      <c r="D9" s="4" t="s">
        <v>151</v>
      </c>
    </row>
    <row r="10" spans="1:4" x14ac:dyDescent="0.25">
      <c r="A10" s="3">
        <v>171790</v>
      </c>
      <c r="B10" s="4" t="s">
        <v>92</v>
      </c>
      <c r="C10" s="4" t="s">
        <v>164</v>
      </c>
      <c r="D10" s="4" t="s">
        <v>151</v>
      </c>
    </row>
    <row r="11" spans="1:4" x14ac:dyDescent="0.25">
      <c r="A11" s="3">
        <v>171820</v>
      </c>
      <c r="B11" s="4" t="s">
        <v>92</v>
      </c>
      <c r="C11" s="4" t="s">
        <v>165</v>
      </c>
      <c r="D11" s="4" t="s">
        <v>151</v>
      </c>
    </row>
    <row r="12" spans="1:4" x14ac:dyDescent="0.25">
      <c r="A12" s="3">
        <v>171890</v>
      </c>
      <c r="B12" s="4" t="s">
        <v>92</v>
      </c>
      <c r="C12" s="4" t="s">
        <v>166</v>
      </c>
      <c r="D12" s="4" t="s">
        <v>151</v>
      </c>
    </row>
    <row r="13" spans="1:4" x14ac:dyDescent="0.25">
      <c r="A13" s="3">
        <v>172065</v>
      </c>
      <c r="B13" s="4" t="s">
        <v>92</v>
      </c>
      <c r="C13" s="4" t="s">
        <v>167</v>
      </c>
      <c r="D13" s="4" t="s">
        <v>151</v>
      </c>
    </row>
    <row r="14" spans="1:4" x14ac:dyDescent="0.25">
      <c r="A14" s="3">
        <v>171550</v>
      </c>
      <c r="B14" s="4" t="s">
        <v>92</v>
      </c>
      <c r="C14" s="4" t="s">
        <v>168</v>
      </c>
      <c r="D14" s="4" t="s">
        <v>151</v>
      </c>
    </row>
    <row r="15" spans="1:4" x14ac:dyDescent="0.25">
      <c r="A15" s="3">
        <v>170220</v>
      </c>
      <c r="B15" s="4" t="s">
        <v>169</v>
      </c>
      <c r="C15" s="4" t="s">
        <v>170</v>
      </c>
      <c r="D15" s="4" t="s">
        <v>145</v>
      </c>
    </row>
    <row r="16" spans="1:4" x14ac:dyDescent="0.25">
      <c r="A16" s="3">
        <v>170255</v>
      </c>
      <c r="B16" s="4" t="s">
        <v>169</v>
      </c>
      <c r="C16" s="4" t="s">
        <v>171</v>
      </c>
      <c r="D16" s="4" t="s">
        <v>145</v>
      </c>
    </row>
    <row r="17" spans="1:4" x14ac:dyDescent="0.25">
      <c r="A17" s="3">
        <v>170290</v>
      </c>
      <c r="B17" s="4" t="s">
        <v>169</v>
      </c>
      <c r="C17" s="4" t="s">
        <v>172</v>
      </c>
      <c r="D17" s="4" t="s">
        <v>145</v>
      </c>
    </row>
    <row r="18" spans="1:4" x14ac:dyDescent="0.25">
      <c r="A18" s="3">
        <v>170380</v>
      </c>
      <c r="B18" s="4" t="s">
        <v>169</v>
      </c>
      <c r="C18" s="4" t="s">
        <v>173</v>
      </c>
      <c r="D18" s="4" t="s">
        <v>145</v>
      </c>
    </row>
    <row r="19" spans="1:4" x14ac:dyDescent="0.25">
      <c r="A19" s="3">
        <v>170389</v>
      </c>
      <c r="B19" s="4" t="s">
        <v>169</v>
      </c>
      <c r="C19" s="4" t="s">
        <v>174</v>
      </c>
      <c r="D19" s="4" t="s">
        <v>145</v>
      </c>
    </row>
    <row r="20" spans="1:4" x14ac:dyDescent="0.25">
      <c r="A20" s="3">
        <v>170740</v>
      </c>
      <c r="B20" s="4" t="s">
        <v>169</v>
      </c>
      <c r="C20" s="4" t="s">
        <v>175</v>
      </c>
      <c r="D20" s="4" t="s">
        <v>145</v>
      </c>
    </row>
    <row r="21" spans="1:4" x14ac:dyDescent="0.25">
      <c r="A21" s="3">
        <v>171070</v>
      </c>
      <c r="B21" s="4" t="s">
        <v>169</v>
      </c>
      <c r="C21" s="4" t="s">
        <v>176</v>
      </c>
      <c r="D21" s="4" t="s">
        <v>145</v>
      </c>
    </row>
    <row r="22" spans="1:4" x14ac:dyDescent="0.25">
      <c r="A22" s="3">
        <v>171280</v>
      </c>
      <c r="B22" s="4" t="s">
        <v>169</v>
      </c>
      <c r="C22" s="4" t="s">
        <v>177</v>
      </c>
      <c r="D22" s="4" t="s">
        <v>145</v>
      </c>
    </row>
    <row r="23" spans="1:4" x14ac:dyDescent="0.25">
      <c r="A23" s="3">
        <v>171830</v>
      </c>
      <c r="B23" s="4" t="s">
        <v>169</v>
      </c>
      <c r="C23" s="4" t="s">
        <v>178</v>
      </c>
      <c r="D23" s="4" t="s">
        <v>145</v>
      </c>
    </row>
    <row r="24" spans="1:4" x14ac:dyDescent="0.25">
      <c r="A24" s="3">
        <v>171880</v>
      </c>
      <c r="B24" s="4" t="s">
        <v>169</v>
      </c>
      <c r="C24" s="4" t="s">
        <v>179</v>
      </c>
      <c r="D24" s="4" t="s">
        <v>145</v>
      </c>
    </row>
    <row r="25" spans="1:4" x14ac:dyDescent="0.25">
      <c r="A25" s="3">
        <v>172010</v>
      </c>
      <c r="B25" s="4" t="s">
        <v>169</v>
      </c>
      <c r="C25" s="4" t="s">
        <v>180</v>
      </c>
      <c r="D25" s="4" t="s">
        <v>145</v>
      </c>
    </row>
    <row r="26" spans="1:4" x14ac:dyDescent="0.25">
      <c r="A26" s="3">
        <v>172020</v>
      </c>
      <c r="B26" s="4" t="s">
        <v>169</v>
      </c>
      <c r="C26" s="4" t="s">
        <v>181</v>
      </c>
      <c r="D26" s="4" t="s">
        <v>145</v>
      </c>
    </row>
    <row r="27" spans="1:4" x14ac:dyDescent="0.25">
      <c r="A27" s="3">
        <v>172030</v>
      </c>
      <c r="B27" s="4" t="s">
        <v>169</v>
      </c>
      <c r="C27" s="4" t="s">
        <v>182</v>
      </c>
      <c r="D27" s="4" t="s">
        <v>145</v>
      </c>
    </row>
    <row r="28" spans="1:4" x14ac:dyDescent="0.25">
      <c r="A28" s="3">
        <v>172080</v>
      </c>
      <c r="B28" s="4" t="s">
        <v>169</v>
      </c>
      <c r="C28" s="4" t="s">
        <v>183</v>
      </c>
      <c r="D28" s="4" t="s">
        <v>145</v>
      </c>
    </row>
    <row r="29" spans="1:4" x14ac:dyDescent="0.25">
      <c r="A29" s="3">
        <v>170030</v>
      </c>
      <c r="B29" s="4" t="s">
        <v>169</v>
      </c>
      <c r="C29" s="4" t="s">
        <v>184</v>
      </c>
      <c r="D29" s="4" t="s">
        <v>145</v>
      </c>
    </row>
    <row r="30" spans="1:4" x14ac:dyDescent="0.25">
      <c r="A30" s="3">
        <v>171245</v>
      </c>
      <c r="B30" s="4" t="s">
        <v>169</v>
      </c>
      <c r="C30" s="4" t="s">
        <v>185</v>
      </c>
      <c r="D30" s="4" t="s">
        <v>145</v>
      </c>
    </row>
    <row r="31" spans="1:4" x14ac:dyDescent="0.25">
      <c r="A31" s="3">
        <v>171430</v>
      </c>
      <c r="B31" s="4" t="s">
        <v>169</v>
      </c>
      <c r="C31" s="4" t="s">
        <v>186</v>
      </c>
      <c r="D31" s="4" t="s">
        <v>145</v>
      </c>
    </row>
    <row r="32" spans="1:4" x14ac:dyDescent="0.25">
      <c r="A32" s="3">
        <v>171380</v>
      </c>
      <c r="B32" s="4" t="s">
        <v>169</v>
      </c>
      <c r="C32" s="4" t="s">
        <v>187</v>
      </c>
      <c r="D32" s="4" t="s">
        <v>145</v>
      </c>
    </row>
    <row r="33" spans="1:4" x14ac:dyDescent="0.25">
      <c r="A33" s="3">
        <v>172000</v>
      </c>
      <c r="B33" s="4" t="s">
        <v>169</v>
      </c>
      <c r="C33" s="4" t="s">
        <v>188</v>
      </c>
      <c r="D33" s="4" t="s">
        <v>145</v>
      </c>
    </row>
    <row r="34" spans="1:4" x14ac:dyDescent="0.25">
      <c r="A34" s="3">
        <v>172120</v>
      </c>
      <c r="B34" s="4" t="s">
        <v>169</v>
      </c>
      <c r="C34" s="4" t="s">
        <v>189</v>
      </c>
      <c r="D34" s="4" t="s">
        <v>145</v>
      </c>
    </row>
    <row r="35" spans="1:4" x14ac:dyDescent="0.25">
      <c r="A35" s="3">
        <v>170100</v>
      </c>
      <c r="B35" s="4" t="s">
        <v>169</v>
      </c>
      <c r="C35" s="4" t="s">
        <v>190</v>
      </c>
      <c r="D35" s="4" t="s">
        <v>145</v>
      </c>
    </row>
    <row r="36" spans="1:4" x14ac:dyDescent="0.25">
      <c r="A36" s="3">
        <v>170105</v>
      </c>
      <c r="B36" s="4" t="s">
        <v>169</v>
      </c>
      <c r="C36" s="4" t="s">
        <v>191</v>
      </c>
      <c r="D36" s="4" t="s">
        <v>145</v>
      </c>
    </row>
    <row r="37" spans="1:4" x14ac:dyDescent="0.25">
      <c r="A37" s="3">
        <v>170382</v>
      </c>
      <c r="B37" s="4" t="s">
        <v>169</v>
      </c>
      <c r="C37" s="4" t="s">
        <v>192</v>
      </c>
      <c r="D37" s="4" t="s">
        <v>145</v>
      </c>
    </row>
    <row r="38" spans="1:4" x14ac:dyDescent="0.25">
      <c r="A38" s="3">
        <v>171855</v>
      </c>
      <c r="B38" s="4" t="s">
        <v>169</v>
      </c>
      <c r="C38" s="4" t="s">
        <v>193</v>
      </c>
      <c r="D38" s="4" t="s">
        <v>145</v>
      </c>
    </row>
    <row r="39" spans="1:4" x14ac:dyDescent="0.25">
      <c r="A39" s="3">
        <v>170025</v>
      </c>
      <c r="B39" s="4" t="s">
        <v>92</v>
      </c>
      <c r="C39" s="4" t="s">
        <v>194</v>
      </c>
      <c r="D39" s="4" t="s">
        <v>144</v>
      </c>
    </row>
    <row r="40" spans="1:4" x14ac:dyDescent="0.25">
      <c r="A40" s="3">
        <v>170190</v>
      </c>
      <c r="B40" s="4" t="s">
        <v>92</v>
      </c>
      <c r="C40" s="4" t="s">
        <v>195</v>
      </c>
      <c r="D40" s="4" t="s">
        <v>144</v>
      </c>
    </row>
    <row r="41" spans="1:4" x14ac:dyDescent="0.25">
      <c r="A41" s="3">
        <v>170310</v>
      </c>
      <c r="B41" s="4" t="s">
        <v>92</v>
      </c>
      <c r="C41" s="4" t="s">
        <v>196</v>
      </c>
      <c r="D41" s="4" t="s">
        <v>144</v>
      </c>
    </row>
    <row r="42" spans="1:4" x14ac:dyDescent="0.25">
      <c r="A42" s="3">
        <v>170390</v>
      </c>
      <c r="B42" s="4" t="s">
        <v>92</v>
      </c>
      <c r="C42" s="4" t="s">
        <v>197</v>
      </c>
      <c r="D42" s="4" t="s">
        <v>144</v>
      </c>
    </row>
    <row r="43" spans="1:4" x14ac:dyDescent="0.25">
      <c r="A43" s="3">
        <v>170460</v>
      </c>
      <c r="B43" s="4" t="s">
        <v>92</v>
      </c>
      <c r="C43" s="4" t="s">
        <v>198</v>
      </c>
      <c r="D43" s="4" t="s">
        <v>144</v>
      </c>
    </row>
    <row r="44" spans="1:4" x14ac:dyDescent="0.25">
      <c r="A44" s="3">
        <v>170610</v>
      </c>
      <c r="B44" s="4" t="s">
        <v>92</v>
      </c>
      <c r="C44" s="4" t="s">
        <v>199</v>
      </c>
      <c r="D44" s="4" t="s">
        <v>144</v>
      </c>
    </row>
    <row r="45" spans="1:4" x14ac:dyDescent="0.25">
      <c r="A45" s="3">
        <v>170710</v>
      </c>
      <c r="B45" s="4" t="s">
        <v>92</v>
      </c>
      <c r="C45" s="4" t="s">
        <v>200</v>
      </c>
      <c r="D45" s="4" t="s">
        <v>144</v>
      </c>
    </row>
    <row r="46" spans="1:4" x14ac:dyDescent="0.25">
      <c r="A46" s="3">
        <v>170720</v>
      </c>
      <c r="B46" s="4" t="s">
        <v>92</v>
      </c>
      <c r="C46" s="4" t="s">
        <v>201</v>
      </c>
      <c r="D46" s="4" t="s">
        <v>144</v>
      </c>
    </row>
    <row r="47" spans="1:4" x14ac:dyDescent="0.25">
      <c r="A47" s="3">
        <v>171190</v>
      </c>
      <c r="B47" s="4" t="s">
        <v>92</v>
      </c>
      <c r="C47" s="4" t="s">
        <v>202</v>
      </c>
      <c r="D47" s="4" t="s">
        <v>144</v>
      </c>
    </row>
    <row r="48" spans="1:4" x14ac:dyDescent="0.25">
      <c r="A48" s="3">
        <v>171250</v>
      </c>
      <c r="B48" s="4" t="s">
        <v>92</v>
      </c>
      <c r="C48" s="4" t="s">
        <v>203</v>
      </c>
      <c r="D48" s="4" t="s">
        <v>144</v>
      </c>
    </row>
    <row r="49" spans="1:4" x14ac:dyDescent="0.25">
      <c r="A49" s="3">
        <v>171370</v>
      </c>
      <c r="B49" s="4" t="s">
        <v>92</v>
      </c>
      <c r="C49" s="4" t="s">
        <v>204</v>
      </c>
      <c r="D49" s="4" t="s">
        <v>144</v>
      </c>
    </row>
    <row r="50" spans="1:4" x14ac:dyDescent="0.25">
      <c r="A50" s="3">
        <v>171500</v>
      </c>
      <c r="B50" s="4" t="s">
        <v>92</v>
      </c>
      <c r="C50" s="4" t="s">
        <v>205</v>
      </c>
      <c r="D50" s="4" t="s">
        <v>144</v>
      </c>
    </row>
    <row r="51" spans="1:4" x14ac:dyDescent="0.25">
      <c r="A51" s="3">
        <v>171610</v>
      </c>
      <c r="B51" s="4" t="s">
        <v>92</v>
      </c>
      <c r="C51" s="4" t="s">
        <v>206</v>
      </c>
      <c r="D51" s="4" t="s">
        <v>144</v>
      </c>
    </row>
    <row r="52" spans="1:4" x14ac:dyDescent="0.25">
      <c r="A52" s="3">
        <v>171750</v>
      </c>
      <c r="B52" s="4" t="s">
        <v>92</v>
      </c>
      <c r="C52" s="4" t="s">
        <v>207</v>
      </c>
      <c r="D52" s="4" t="s">
        <v>144</v>
      </c>
    </row>
    <row r="53" spans="1:4" x14ac:dyDescent="0.25">
      <c r="A53" s="3">
        <v>171845</v>
      </c>
      <c r="B53" s="4" t="s">
        <v>92</v>
      </c>
      <c r="C53" s="4" t="s">
        <v>208</v>
      </c>
      <c r="D53" s="4" t="s">
        <v>144</v>
      </c>
    </row>
    <row r="54" spans="1:4" x14ac:dyDescent="0.25">
      <c r="A54" s="3">
        <v>170110</v>
      </c>
      <c r="B54" s="4" t="s">
        <v>92</v>
      </c>
      <c r="C54" s="4" t="s">
        <v>209</v>
      </c>
      <c r="D54" s="4" t="s">
        <v>148</v>
      </c>
    </row>
    <row r="55" spans="1:4" x14ac:dyDescent="0.25">
      <c r="A55" s="3">
        <v>171195</v>
      </c>
      <c r="B55" s="4" t="s">
        <v>92</v>
      </c>
      <c r="C55" s="4" t="s">
        <v>210</v>
      </c>
      <c r="D55" s="4" t="s">
        <v>148</v>
      </c>
    </row>
    <row r="56" spans="1:4" x14ac:dyDescent="0.25">
      <c r="A56" s="3">
        <v>171200</v>
      </c>
      <c r="B56" s="4" t="s">
        <v>92</v>
      </c>
      <c r="C56" s="4" t="s">
        <v>211</v>
      </c>
      <c r="D56" s="4" t="s">
        <v>148</v>
      </c>
    </row>
    <row r="57" spans="1:4" x14ac:dyDescent="0.25">
      <c r="A57" s="3">
        <v>171240</v>
      </c>
      <c r="B57" s="4" t="s">
        <v>92</v>
      </c>
      <c r="C57" s="4" t="s">
        <v>212</v>
      </c>
      <c r="D57" s="4" t="s">
        <v>148</v>
      </c>
    </row>
    <row r="58" spans="1:4" x14ac:dyDescent="0.25">
      <c r="A58" s="3">
        <v>171510</v>
      </c>
      <c r="B58" s="4" t="s">
        <v>92</v>
      </c>
      <c r="C58" s="4" t="s">
        <v>213</v>
      </c>
      <c r="D58" s="4" t="s">
        <v>148</v>
      </c>
    </row>
    <row r="59" spans="1:4" x14ac:dyDescent="0.25">
      <c r="A59" s="3">
        <v>172100</v>
      </c>
      <c r="B59" s="4" t="s">
        <v>92</v>
      </c>
      <c r="C59" s="4" t="s">
        <v>214</v>
      </c>
      <c r="D59" s="4" t="s">
        <v>148</v>
      </c>
    </row>
    <row r="60" spans="1:4" x14ac:dyDescent="0.25">
      <c r="A60" s="3">
        <v>171900</v>
      </c>
      <c r="B60" s="4" t="s">
        <v>92</v>
      </c>
      <c r="C60" s="4" t="s">
        <v>215</v>
      </c>
      <c r="D60" s="4" t="s">
        <v>148</v>
      </c>
    </row>
    <row r="61" spans="1:4" x14ac:dyDescent="0.25">
      <c r="A61" s="3">
        <v>172015</v>
      </c>
      <c r="B61" s="4" t="s">
        <v>92</v>
      </c>
      <c r="C61" s="4" t="s">
        <v>216</v>
      </c>
      <c r="D61" s="4" t="s">
        <v>148</v>
      </c>
    </row>
    <row r="62" spans="1:4" x14ac:dyDescent="0.25">
      <c r="A62" s="3">
        <v>171320</v>
      </c>
      <c r="B62" s="4" t="s">
        <v>92</v>
      </c>
      <c r="C62" s="4" t="s">
        <v>217</v>
      </c>
      <c r="D62" s="4" t="s">
        <v>148</v>
      </c>
    </row>
    <row r="63" spans="1:4" x14ac:dyDescent="0.25">
      <c r="A63" s="3">
        <v>171330</v>
      </c>
      <c r="B63" s="4" t="s">
        <v>92</v>
      </c>
      <c r="C63" s="4" t="s">
        <v>218</v>
      </c>
      <c r="D63" s="4" t="s">
        <v>148</v>
      </c>
    </row>
    <row r="64" spans="1:4" x14ac:dyDescent="0.25">
      <c r="A64" s="3">
        <v>171870</v>
      </c>
      <c r="B64" s="4" t="s">
        <v>92</v>
      </c>
      <c r="C64" s="4" t="s">
        <v>219</v>
      </c>
      <c r="D64" s="4" t="s">
        <v>148</v>
      </c>
    </row>
    <row r="65" spans="1:4" x14ac:dyDescent="0.25">
      <c r="A65" s="3">
        <v>171875</v>
      </c>
      <c r="B65" s="4" t="s">
        <v>92</v>
      </c>
      <c r="C65" s="4" t="s">
        <v>220</v>
      </c>
      <c r="D65" s="4" t="s">
        <v>148</v>
      </c>
    </row>
    <row r="66" spans="1:4" x14ac:dyDescent="0.25">
      <c r="A66" s="3">
        <v>172110</v>
      </c>
      <c r="B66" s="4" t="s">
        <v>92</v>
      </c>
      <c r="C66" s="4" t="s">
        <v>221</v>
      </c>
      <c r="D66" s="4" t="s">
        <v>148</v>
      </c>
    </row>
    <row r="67" spans="1:4" x14ac:dyDescent="0.25">
      <c r="A67" s="3">
        <v>170825</v>
      </c>
      <c r="B67" s="4" t="s">
        <v>169</v>
      </c>
      <c r="C67" s="4" t="s">
        <v>310</v>
      </c>
      <c r="D67" s="4" t="s">
        <v>148</v>
      </c>
    </row>
    <row r="68" spans="1:4" x14ac:dyDescent="0.25">
      <c r="A68" s="3">
        <v>170230</v>
      </c>
      <c r="B68" s="4" t="s">
        <v>169</v>
      </c>
      <c r="C68" s="4" t="s">
        <v>222</v>
      </c>
      <c r="D68" s="4" t="s">
        <v>150</v>
      </c>
    </row>
    <row r="69" spans="1:4" x14ac:dyDescent="0.25">
      <c r="A69" s="3">
        <v>170305</v>
      </c>
      <c r="B69" s="4" t="s">
        <v>169</v>
      </c>
      <c r="C69" s="4" t="s">
        <v>223</v>
      </c>
      <c r="D69" s="4" t="s">
        <v>150</v>
      </c>
    </row>
    <row r="70" spans="1:4" x14ac:dyDescent="0.25">
      <c r="A70" s="3">
        <v>170320</v>
      </c>
      <c r="B70" s="4" t="s">
        <v>169</v>
      </c>
      <c r="C70" s="4" t="s">
        <v>224</v>
      </c>
      <c r="D70" s="4" t="s">
        <v>150</v>
      </c>
    </row>
    <row r="71" spans="1:4" x14ac:dyDescent="0.25">
      <c r="A71" s="3">
        <v>170360</v>
      </c>
      <c r="B71" s="4" t="s">
        <v>169</v>
      </c>
      <c r="C71" s="4" t="s">
        <v>225</v>
      </c>
      <c r="D71" s="4" t="s">
        <v>150</v>
      </c>
    </row>
    <row r="72" spans="1:4" x14ac:dyDescent="0.25">
      <c r="A72" s="3">
        <v>170550</v>
      </c>
      <c r="B72" s="4" t="s">
        <v>169</v>
      </c>
      <c r="C72" s="4" t="s">
        <v>226</v>
      </c>
      <c r="D72" s="4" t="s">
        <v>150</v>
      </c>
    </row>
    <row r="73" spans="1:4" x14ac:dyDescent="0.25">
      <c r="A73" s="3">
        <v>171670</v>
      </c>
      <c r="B73" s="4" t="s">
        <v>169</v>
      </c>
      <c r="C73" s="4" t="s">
        <v>227</v>
      </c>
      <c r="D73" s="4" t="s">
        <v>150</v>
      </c>
    </row>
    <row r="74" spans="1:4" x14ac:dyDescent="0.25">
      <c r="A74" s="3">
        <v>170600</v>
      </c>
      <c r="B74" s="4" t="s">
        <v>169</v>
      </c>
      <c r="C74" s="4" t="s">
        <v>228</v>
      </c>
      <c r="D74" s="4" t="s">
        <v>150</v>
      </c>
    </row>
    <row r="75" spans="1:4" x14ac:dyDescent="0.25">
      <c r="A75" s="3">
        <v>171090</v>
      </c>
      <c r="B75" s="4" t="s">
        <v>169</v>
      </c>
      <c r="C75" s="4" t="s">
        <v>229</v>
      </c>
      <c r="D75" s="4" t="s">
        <v>150</v>
      </c>
    </row>
    <row r="76" spans="1:4" x14ac:dyDescent="0.25">
      <c r="A76" s="3">
        <v>171180</v>
      </c>
      <c r="B76" s="4" t="s">
        <v>169</v>
      </c>
      <c r="C76" s="4" t="s">
        <v>230</v>
      </c>
      <c r="D76" s="4" t="s">
        <v>150</v>
      </c>
    </row>
    <row r="77" spans="1:4" x14ac:dyDescent="0.25">
      <c r="A77" s="3">
        <v>171570</v>
      </c>
      <c r="B77" s="4" t="s">
        <v>169</v>
      </c>
      <c r="C77" s="4" t="s">
        <v>231</v>
      </c>
      <c r="D77" s="4" t="s">
        <v>150</v>
      </c>
    </row>
    <row r="78" spans="1:4" x14ac:dyDescent="0.25">
      <c r="A78" s="3">
        <v>172130</v>
      </c>
      <c r="B78" s="4" t="s">
        <v>169</v>
      </c>
      <c r="C78" s="4" t="s">
        <v>232</v>
      </c>
      <c r="D78" s="4" t="s">
        <v>150</v>
      </c>
    </row>
    <row r="79" spans="1:4" x14ac:dyDescent="0.25">
      <c r="A79" s="3">
        <v>171670</v>
      </c>
      <c r="B79" s="4" t="s">
        <v>169</v>
      </c>
      <c r="C79" s="4" t="s">
        <v>227</v>
      </c>
      <c r="D79" s="4" t="s">
        <v>150</v>
      </c>
    </row>
    <row r="80" spans="1:4" x14ac:dyDescent="0.25">
      <c r="A80" s="3">
        <v>170830</v>
      </c>
      <c r="B80" s="4" t="s">
        <v>169</v>
      </c>
      <c r="C80" s="4" t="s">
        <v>233</v>
      </c>
      <c r="D80" s="4" t="s">
        <v>150</v>
      </c>
    </row>
    <row r="81" spans="1:4" x14ac:dyDescent="0.25">
      <c r="A81" s="3">
        <v>170930</v>
      </c>
      <c r="B81" s="4" t="s">
        <v>169</v>
      </c>
      <c r="C81" s="4" t="s">
        <v>234</v>
      </c>
      <c r="D81" s="4" t="s">
        <v>150</v>
      </c>
    </row>
    <row r="82" spans="1:4" x14ac:dyDescent="0.25">
      <c r="A82" s="3">
        <v>171050</v>
      </c>
      <c r="B82" s="4" t="s">
        <v>169</v>
      </c>
      <c r="C82" s="4" t="s">
        <v>235</v>
      </c>
      <c r="D82" s="4" t="s">
        <v>150</v>
      </c>
    </row>
    <row r="83" spans="1:4" x14ac:dyDescent="0.25">
      <c r="A83" s="3">
        <v>171110</v>
      </c>
      <c r="B83" s="4" t="s">
        <v>169</v>
      </c>
      <c r="C83" s="4" t="s">
        <v>236</v>
      </c>
      <c r="D83" s="4" t="s">
        <v>150</v>
      </c>
    </row>
    <row r="84" spans="1:4" x14ac:dyDescent="0.25">
      <c r="A84" s="3">
        <v>171665</v>
      </c>
      <c r="B84" s="4" t="s">
        <v>169</v>
      </c>
      <c r="C84" s="4" t="s">
        <v>237</v>
      </c>
      <c r="D84" s="4" t="s">
        <v>150</v>
      </c>
    </row>
    <row r="85" spans="1:4" x14ac:dyDescent="0.25">
      <c r="A85" s="3">
        <v>171840</v>
      </c>
      <c r="B85" s="4" t="s">
        <v>169</v>
      </c>
      <c r="C85" s="4" t="s">
        <v>238</v>
      </c>
      <c r="D85" s="4" t="s">
        <v>150</v>
      </c>
    </row>
    <row r="86" spans="1:4" x14ac:dyDescent="0.25">
      <c r="A86" s="3">
        <v>170330</v>
      </c>
      <c r="B86" s="4" t="s">
        <v>169</v>
      </c>
      <c r="C86" s="4" t="s">
        <v>239</v>
      </c>
      <c r="D86" s="4" t="s">
        <v>150</v>
      </c>
    </row>
    <row r="87" spans="1:4" x14ac:dyDescent="0.25">
      <c r="A87" s="3">
        <v>170410</v>
      </c>
      <c r="B87" s="4" t="s">
        <v>169</v>
      </c>
      <c r="C87" s="4" t="s">
        <v>240</v>
      </c>
      <c r="D87" s="4" t="s">
        <v>150</v>
      </c>
    </row>
    <row r="88" spans="1:4" x14ac:dyDescent="0.25">
      <c r="A88" s="3">
        <v>171650</v>
      </c>
      <c r="B88" s="4" t="s">
        <v>169</v>
      </c>
      <c r="C88" s="4" t="s">
        <v>241</v>
      </c>
      <c r="D88" s="4" t="s">
        <v>150</v>
      </c>
    </row>
    <row r="89" spans="1:4" x14ac:dyDescent="0.25">
      <c r="A89" s="3">
        <v>171850</v>
      </c>
      <c r="B89" s="4" t="s">
        <v>169</v>
      </c>
      <c r="C89" s="4" t="s">
        <v>242</v>
      </c>
      <c r="D89" s="4" t="s">
        <v>150</v>
      </c>
    </row>
    <row r="90" spans="1:4" x14ac:dyDescent="0.25">
      <c r="A90" s="3">
        <v>171888</v>
      </c>
      <c r="B90" s="4" t="s">
        <v>169</v>
      </c>
      <c r="C90" s="4" t="s">
        <v>243</v>
      </c>
      <c r="D90" s="4" t="s">
        <v>150</v>
      </c>
    </row>
    <row r="91" spans="1:4" x14ac:dyDescent="0.25">
      <c r="A91" s="3">
        <v>172125</v>
      </c>
      <c r="B91" s="4" t="s">
        <v>169</v>
      </c>
      <c r="C91" s="4" t="s">
        <v>244</v>
      </c>
      <c r="D91" s="4" t="s">
        <v>150</v>
      </c>
    </row>
    <row r="92" spans="1:4" x14ac:dyDescent="0.25">
      <c r="A92" s="3">
        <v>0</v>
      </c>
      <c r="B92" s="5">
        <v>0</v>
      </c>
      <c r="C92" s="4" t="s">
        <v>245</v>
      </c>
      <c r="D92" s="4" t="s">
        <v>245</v>
      </c>
    </row>
    <row r="93" spans="1:4" x14ac:dyDescent="0.25">
      <c r="A93" s="3">
        <v>170035</v>
      </c>
      <c r="B93" s="4" t="s">
        <v>92</v>
      </c>
      <c r="C93" s="4" t="s">
        <v>246</v>
      </c>
      <c r="D93" s="4" t="s">
        <v>146</v>
      </c>
    </row>
    <row r="94" spans="1:4" x14ac:dyDescent="0.25">
      <c r="A94" s="3">
        <v>170070</v>
      </c>
      <c r="B94" s="4" t="s">
        <v>92</v>
      </c>
      <c r="C94" s="4" t="s">
        <v>247</v>
      </c>
      <c r="D94" s="4" t="s">
        <v>146</v>
      </c>
    </row>
    <row r="95" spans="1:4" x14ac:dyDescent="0.25">
      <c r="A95" s="3">
        <v>170200</v>
      </c>
      <c r="B95" s="4" t="s">
        <v>92</v>
      </c>
      <c r="C95" s="4" t="s">
        <v>248</v>
      </c>
      <c r="D95" s="4" t="s">
        <v>146</v>
      </c>
    </row>
    <row r="96" spans="1:4" x14ac:dyDescent="0.25">
      <c r="A96" s="3">
        <v>170386</v>
      </c>
      <c r="B96" s="4" t="s">
        <v>92</v>
      </c>
      <c r="C96" s="4" t="s">
        <v>249</v>
      </c>
      <c r="D96" s="4" t="s">
        <v>146</v>
      </c>
    </row>
    <row r="97" spans="1:4" x14ac:dyDescent="0.25">
      <c r="A97" s="3">
        <v>170625</v>
      </c>
      <c r="B97" s="4" t="s">
        <v>92</v>
      </c>
      <c r="C97" s="4" t="s">
        <v>250</v>
      </c>
      <c r="D97" s="4" t="s">
        <v>146</v>
      </c>
    </row>
    <row r="98" spans="1:4" x14ac:dyDescent="0.25">
      <c r="A98" s="3">
        <v>170730</v>
      </c>
      <c r="B98" s="4" t="s">
        <v>92</v>
      </c>
      <c r="C98" s="4" t="s">
        <v>251</v>
      </c>
      <c r="D98" s="4" t="s">
        <v>146</v>
      </c>
    </row>
    <row r="99" spans="1:4" x14ac:dyDescent="0.25">
      <c r="A99" s="3">
        <v>170765</v>
      </c>
      <c r="B99" s="4" t="s">
        <v>92</v>
      </c>
      <c r="C99" s="4" t="s">
        <v>252</v>
      </c>
      <c r="D99" s="4" t="s">
        <v>146</v>
      </c>
    </row>
    <row r="100" spans="1:4" x14ac:dyDescent="0.25">
      <c r="A100" s="3">
        <v>170820</v>
      </c>
      <c r="B100" s="4" t="s">
        <v>92</v>
      </c>
      <c r="C100" s="4" t="s">
        <v>253</v>
      </c>
      <c r="D100" s="4" t="s">
        <v>146</v>
      </c>
    </row>
    <row r="101" spans="1:4" x14ac:dyDescent="0.25">
      <c r="A101" s="3">
        <v>170950</v>
      </c>
      <c r="B101" s="4" t="s">
        <v>92</v>
      </c>
      <c r="C101" s="4" t="s">
        <v>254</v>
      </c>
      <c r="D101" s="4" t="s">
        <v>146</v>
      </c>
    </row>
    <row r="102" spans="1:4" x14ac:dyDescent="0.25">
      <c r="A102" s="3">
        <v>171150</v>
      </c>
      <c r="B102" s="4" t="s">
        <v>92</v>
      </c>
      <c r="C102" s="4" t="s">
        <v>255</v>
      </c>
      <c r="D102" s="4" t="s">
        <v>146</v>
      </c>
    </row>
    <row r="103" spans="1:4" x14ac:dyDescent="0.25">
      <c r="A103" s="3">
        <v>171575</v>
      </c>
      <c r="B103" s="4" t="s">
        <v>92</v>
      </c>
      <c r="C103" s="4" t="s">
        <v>256</v>
      </c>
      <c r="D103" s="4" t="s">
        <v>146</v>
      </c>
    </row>
    <row r="104" spans="1:4" x14ac:dyDescent="0.25">
      <c r="A104" s="3">
        <v>171660</v>
      </c>
      <c r="B104" s="4" t="s">
        <v>92</v>
      </c>
      <c r="C104" s="4" t="s">
        <v>257</v>
      </c>
      <c r="D104" s="4" t="s">
        <v>146</v>
      </c>
    </row>
    <row r="105" spans="1:4" x14ac:dyDescent="0.25">
      <c r="A105" s="3">
        <v>171884</v>
      </c>
      <c r="B105" s="4" t="s">
        <v>92</v>
      </c>
      <c r="C105" s="4" t="s">
        <v>258</v>
      </c>
      <c r="D105" s="4" t="s">
        <v>146</v>
      </c>
    </row>
    <row r="106" spans="1:4" x14ac:dyDescent="0.25">
      <c r="A106" s="3">
        <v>171889</v>
      </c>
      <c r="B106" s="4" t="s">
        <v>92</v>
      </c>
      <c r="C106" s="4" t="s">
        <v>259</v>
      </c>
      <c r="D106" s="4" t="s">
        <v>146</v>
      </c>
    </row>
    <row r="107" spans="1:4" x14ac:dyDescent="0.25">
      <c r="A107" s="3">
        <v>172025</v>
      </c>
      <c r="B107" s="4" t="s">
        <v>92</v>
      </c>
      <c r="C107" s="4" t="s">
        <v>260</v>
      </c>
      <c r="D107" s="4" t="s">
        <v>146</v>
      </c>
    </row>
    <row r="108" spans="1:4" x14ac:dyDescent="0.25">
      <c r="A108" s="3">
        <v>172049</v>
      </c>
      <c r="B108" s="4" t="s">
        <v>92</v>
      </c>
      <c r="C108" s="4" t="s">
        <v>261</v>
      </c>
      <c r="D108" s="4" t="s">
        <v>146</v>
      </c>
    </row>
    <row r="109" spans="1:4" x14ac:dyDescent="0.25">
      <c r="A109" s="3">
        <v>172085</v>
      </c>
      <c r="B109" s="4" t="s">
        <v>92</v>
      </c>
      <c r="C109" s="4" t="s">
        <v>262</v>
      </c>
      <c r="D109" s="4" t="s">
        <v>146</v>
      </c>
    </row>
    <row r="110" spans="1:4" x14ac:dyDescent="0.25">
      <c r="A110" s="3">
        <v>172097</v>
      </c>
      <c r="B110" s="4" t="s">
        <v>92</v>
      </c>
      <c r="C110" s="4" t="s">
        <v>263</v>
      </c>
      <c r="D110" s="4" t="s">
        <v>146</v>
      </c>
    </row>
    <row r="111" spans="1:4" x14ac:dyDescent="0.25">
      <c r="A111" s="3">
        <v>170130</v>
      </c>
      <c r="B111" s="4" t="s">
        <v>169</v>
      </c>
      <c r="C111" s="4" t="s">
        <v>264</v>
      </c>
      <c r="D111" s="4" t="s">
        <v>149</v>
      </c>
    </row>
    <row r="112" spans="1:4" x14ac:dyDescent="0.25">
      <c r="A112" s="3">
        <v>170210</v>
      </c>
      <c r="B112" s="4" t="s">
        <v>169</v>
      </c>
      <c r="C112" s="4" t="s">
        <v>265</v>
      </c>
      <c r="D112" s="4" t="s">
        <v>149</v>
      </c>
    </row>
    <row r="113" spans="1:4" x14ac:dyDescent="0.25">
      <c r="A113" s="3">
        <v>170300</v>
      </c>
      <c r="B113" s="4" t="s">
        <v>169</v>
      </c>
      <c r="C113" s="4" t="s">
        <v>266</v>
      </c>
      <c r="D113" s="4" t="s">
        <v>149</v>
      </c>
    </row>
    <row r="114" spans="1:4" x14ac:dyDescent="0.25">
      <c r="A114" s="3">
        <v>170307</v>
      </c>
      <c r="B114" s="4" t="s">
        <v>169</v>
      </c>
      <c r="C114" s="4" t="s">
        <v>267</v>
      </c>
      <c r="D114" s="4" t="s">
        <v>149</v>
      </c>
    </row>
    <row r="115" spans="1:4" x14ac:dyDescent="0.25">
      <c r="A115" s="3">
        <v>170384</v>
      </c>
      <c r="B115" s="4" t="s">
        <v>169</v>
      </c>
      <c r="C115" s="4" t="s">
        <v>268</v>
      </c>
      <c r="D115" s="4" t="s">
        <v>149</v>
      </c>
    </row>
    <row r="116" spans="1:4" x14ac:dyDescent="0.25">
      <c r="A116" s="3">
        <v>170388</v>
      </c>
      <c r="B116" s="4" t="s">
        <v>169</v>
      </c>
      <c r="C116" s="4" t="s">
        <v>269</v>
      </c>
      <c r="D116" s="4" t="s">
        <v>149</v>
      </c>
    </row>
    <row r="117" spans="1:4" x14ac:dyDescent="0.25">
      <c r="A117" s="3">
        <v>170770</v>
      </c>
      <c r="B117" s="4" t="s">
        <v>169</v>
      </c>
      <c r="C117" s="4" t="s">
        <v>270</v>
      </c>
      <c r="D117" s="4" t="s">
        <v>149</v>
      </c>
    </row>
    <row r="118" spans="1:4" x14ac:dyDescent="0.25">
      <c r="A118" s="3">
        <v>170900</v>
      </c>
      <c r="B118" s="4" t="s">
        <v>169</v>
      </c>
      <c r="C118" s="4" t="s">
        <v>271</v>
      </c>
      <c r="D118" s="4" t="s">
        <v>149</v>
      </c>
    </row>
    <row r="119" spans="1:4" x14ac:dyDescent="0.25">
      <c r="A119" s="3">
        <v>171395</v>
      </c>
      <c r="B119" s="4" t="s">
        <v>169</v>
      </c>
      <c r="C119" s="4" t="s">
        <v>272</v>
      </c>
      <c r="D119" s="4" t="s">
        <v>149</v>
      </c>
    </row>
    <row r="120" spans="1:4" x14ac:dyDescent="0.25">
      <c r="A120" s="3">
        <v>171488</v>
      </c>
      <c r="B120" s="4" t="s">
        <v>169</v>
      </c>
      <c r="C120" s="4" t="s">
        <v>273</v>
      </c>
      <c r="D120" s="4" t="s">
        <v>149</v>
      </c>
    </row>
    <row r="121" spans="1:4" x14ac:dyDescent="0.25">
      <c r="A121" s="3">
        <v>171630</v>
      </c>
      <c r="B121" s="4" t="s">
        <v>169</v>
      </c>
      <c r="C121" s="4" t="s">
        <v>274</v>
      </c>
      <c r="D121" s="4" t="s">
        <v>149</v>
      </c>
    </row>
    <row r="122" spans="1:4" x14ac:dyDescent="0.25">
      <c r="A122" s="3">
        <v>171886</v>
      </c>
      <c r="B122" s="4" t="s">
        <v>169</v>
      </c>
      <c r="C122" s="4" t="s">
        <v>275</v>
      </c>
      <c r="D122" s="4" t="s">
        <v>149</v>
      </c>
    </row>
    <row r="123" spans="1:4" x14ac:dyDescent="0.25">
      <c r="A123" s="3">
        <v>172208</v>
      </c>
      <c r="B123" s="4" t="s">
        <v>169</v>
      </c>
      <c r="C123" s="4" t="s">
        <v>276</v>
      </c>
      <c r="D123" s="4" t="s">
        <v>149</v>
      </c>
    </row>
    <row r="124" spans="1:4" x14ac:dyDescent="0.25">
      <c r="A124" s="3">
        <v>172210</v>
      </c>
      <c r="B124" s="4" t="s">
        <v>169</v>
      </c>
      <c r="C124" s="4" t="s">
        <v>277</v>
      </c>
      <c r="D124" s="4" t="s">
        <v>149</v>
      </c>
    </row>
    <row r="125" spans="1:4" x14ac:dyDescent="0.25">
      <c r="A125" s="3">
        <v>170215</v>
      </c>
      <c r="B125" s="4" t="s">
        <v>169</v>
      </c>
      <c r="C125" s="4" t="s">
        <v>278</v>
      </c>
      <c r="D125" s="4" t="s">
        <v>149</v>
      </c>
    </row>
    <row r="126" spans="1:4" x14ac:dyDescent="0.25">
      <c r="A126" s="3">
        <v>171720</v>
      </c>
      <c r="B126" s="4" t="s">
        <v>169</v>
      </c>
      <c r="C126" s="4" t="s">
        <v>279</v>
      </c>
      <c r="D126" s="4" t="s">
        <v>149</v>
      </c>
    </row>
    <row r="127" spans="1:4" x14ac:dyDescent="0.25">
      <c r="A127" s="3">
        <v>170650</v>
      </c>
      <c r="B127" s="4" t="s">
        <v>169</v>
      </c>
      <c r="C127" s="4" t="s">
        <v>280</v>
      </c>
      <c r="D127" s="4" t="s">
        <v>149</v>
      </c>
    </row>
    <row r="128" spans="1:4" x14ac:dyDescent="0.25">
      <c r="A128" s="3">
        <v>170040</v>
      </c>
      <c r="B128" s="4" t="s">
        <v>92</v>
      </c>
      <c r="C128" s="4" t="s">
        <v>281</v>
      </c>
      <c r="D128" s="4" t="s">
        <v>147</v>
      </c>
    </row>
    <row r="129" spans="1:4" x14ac:dyDescent="0.25">
      <c r="A129" s="3">
        <v>170240</v>
      </c>
      <c r="B129" s="4" t="s">
        <v>92</v>
      </c>
      <c r="C129" s="4" t="s">
        <v>282</v>
      </c>
      <c r="D129" s="4" t="s">
        <v>147</v>
      </c>
    </row>
    <row r="130" spans="1:4" x14ac:dyDescent="0.25">
      <c r="A130" s="3">
        <v>170270</v>
      </c>
      <c r="B130" s="4" t="s">
        <v>92</v>
      </c>
      <c r="C130" s="4" t="s">
        <v>283</v>
      </c>
      <c r="D130" s="4" t="s">
        <v>147</v>
      </c>
    </row>
    <row r="131" spans="1:4" x14ac:dyDescent="0.25">
      <c r="A131" s="3">
        <v>170555</v>
      </c>
      <c r="B131" s="4" t="s">
        <v>92</v>
      </c>
      <c r="C131" s="4" t="s">
        <v>284</v>
      </c>
      <c r="D131" s="4" t="s">
        <v>147</v>
      </c>
    </row>
    <row r="132" spans="1:4" x14ac:dyDescent="0.25">
      <c r="A132" s="3">
        <v>170560</v>
      </c>
      <c r="B132" s="4" t="s">
        <v>92</v>
      </c>
      <c r="C132" s="4" t="s">
        <v>285</v>
      </c>
      <c r="D132" s="4" t="s">
        <v>147</v>
      </c>
    </row>
    <row r="133" spans="1:4" x14ac:dyDescent="0.25">
      <c r="A133" s="3">
        <v>170700</v>
      </c>
      <c r="B133" s="4" t="s">
        <v>92</v>
      </c>
      <c r="C133" s="4" t="s">
        <v>286</v>
      </c>
      <c r="D133" s="4" t="s">
        <v>147</v>
      </c>
    </row>
    <row r="134" spans="1:4" x14ac:dyDescent="0.25">
      <c r="A134" s="3">
        <v>171215</v>
      </c>
      <c r="B134" s="4" t="s">
        <v>92</v>
      </c>
      <c r="C134" s="4" t="s">
        <v>287</v>
      </c>
      <c r="D134" s="4" t="s">
        <v>147</v>
      </c>
    </row>
    <row r="135" spans="1:4" x14ac:dyDescent="0.25">
      <c r="A135" s="3">
        <v>171515</v>
      </c>
      <c r="B135" s="4" t="s">
        <v>92</v>
      </c>
      <c r="C135" s="4" t="s">
        <v>288</v>
      </c>
      <c r="D135" s="4" t="s">
        <v>147</v>
      </c>
    </row>
    <row r="136" spans="1:4" x14ac:dyDescent="0.25">
      <c r="A136" s="3">
        <v>171525</v>
      </c>
      <c r="B136" s="4" t="s">
        <v>92</v>
      </c>
      <c r="C136" s="4" t="s">
        <v>289</v>
      </c>
      <c r="D136" s="4" t="s">
        <v>147</v>
      </c>
    </row>
    <row r="137" spans="1:4" x14ac:dyDescent="0.25">
      <c r="A137" s="3">
        <v>171620</v>
      </c>
      <c r="B137" s="4" t="s">
        <v>92</v>
      </c>
      <c r="C137" s="4" t="s">
        <v>290</v>
      </c>
      <c r="D137" s="4" t="s">
        <v>147</v>
      </c>
    </row>
    <row r="138" spans="1:4" x14ac:dyDescent="0.25">
      <c r="A138" s="3">
        <v>171780</v>
      </c>
      <c r="B138" s="4" t="s">
        <v>92</v>
      </c>
      <c r="C138" s="4" t="s">
        <v>291</v>
      </c>
      <c r="D138" s="4" t="s">
        <v>147</v>
      </c>
    </row>
    <row r="139" spans="1:4" x14ac:dyDescent="0.25">
      <c r="A139" s="3">
        <v>171800</v>
      </c>
      <c r="B139" s="4" t="s">
        <v>92</v>
      </c>
      <c r="C139" s="4" t="s">
        <v>292</v>
      </c>
      <c r="D139" s="4" t="s">
        <v>147</v>
      </c>
    </row>
    <row r="140" spans="1:4" x14ac:dyDescent="0.25">
      <c r="A140" s="3">
        <v>171865</v>
      </c>
      <c r="B140" s="4" t="s">
        <v>92</v>
      </c>
      <c r="C140" s="4" t="s">
        <v>293</v>
      </c>
      <c r="D140" s="4" t="s">
        <v>147</v>
      </c>
    </row>
    <row r="141" spans="1:4" x14ac:dyDescent="0.25">
      <c r="A141" s="3">
        <v>172090</v>
      </c>
      <c r="B141" s="4" t="s">
        <v>92</v>
      </c>
      <c r="C141" s="4" t="s">
        <v>294</v>
      </c>
      <c r="D141" s="4" t="s">
        <v>147</v>
      </c>
    </row>
    <row r="142" spans="1:4" x14ac:dyDescent="0.25">
      <c r="A142" s="6">
        <v>172093</v>
      </c>
      <c r="B142" s="4" t="s">
        <v>92</v>
      </c>
      <c r="C142" s="7" t="s">
        <v>295</v>
      </c>
      <c r="D142" s="4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7"/>
  <sheetViews>
    <sheetView zoomScale="85" zoomScaleNormal="85" workbookViewId="0">
      <selection activeCell="O1" sqref="O1:Z1048576"/>
    </sheetView>
  </sheetViews>
  <sheetFormatPr defaultRowHeight="15" x14ac:dyDescent="0.25"/>
  <cols>
    <col min="2" max="2" width="25.5703125" bestFit="1" customWidth="1"/>
    <col min="5" max="5" width="12" customWidth="1"/>
    <col min="6" max="6" width="13" customWidth="1"/>
    <col min="9" max="9" width="10.28515625" customWidth="1"/>
    <col min="10" max="10" width="11.28515625" customWidth="1"/>
    <col min="13" max="13" width="10.28515625" customWidth="1"/>
    <col min="14" max="14" width="11.28515625" customWidth="1"/>
    <col min="16" max="16" width="12.7109375" customWidth="1"/>
  </cols>
  <sheetData>
    <row r="1" spans="1:17" s="8" customFormat="1" ht="15" customHeight="1" x14ac:dyDescent="0.25">
      <c r="A1" s="10" t="s">
        <v>0</v>
      </c>
      <c r="B1" s="10" t="s">
        <v>2</v>
      </c>
      <c r="C1" s="13" t="s">
        <v>323</v>
      </c>
      <c r="D1" s="14" t="s">
        <v>324</v>
      </c>
      <c r="E1" s="14" t="s">
        <v>322</v>
      </c>
      <c r="F1" s="14" t="s">
        <v>325</v>
      </c>
      <c r="G1" s="13" t="s">
        <v>296</v>
      </c>
      <c r="H1" s="14" t="s">
        <v>326</v>
      </c>
      <c r="I1" s="14" t="s">
        <v>298</v>
      </c>
      <c r="J1" s="14" t="s">
        <v>327</v>
      </c>
      <c r="K1" s="13" t="s">
        <v>297</v>
      </c>
      <c r="L1" s="13" t="s">
        <v>328</v>
      </c>
      <c r="M1" s="13" t="s">
        <v>299</v>
      </c>
      <c r="N1" s="13" t="s">
        <v>329</v>
      </c>
      <c r="O1" s="11" t="s">
        <v>330</v>
      </c>
      <c r="P1" s="15" t="s">
        <v>331</v>
      </c>
      <c r="Q1" s="24" t="s">
        <v>311</v>
      </c>
    </row>
    <row r="2" spans="1:17" x14ac:dyDescent="0.25">
      <c r="A2" s="19">
        <v>2024</v>
      </c>
      <c r="B2" s="18" t="s">
        <v>151</v>
      </c>
      <c r="C2">
        <f>SUMIFS(banco!E:E,banco!$C:$C,$B2,banco!$A:$A,$A2)</f>
        <v>1467</v>
      </c>
      <c r="D2" s="12">
        <f>IFERROR(C2/$O2,0)</f>
        <v>0.15997818974918213</v>
      </c>
      <c r="E2">
        <f>SUMIFS(banco!G:G,banco!$C:$C,$B2,banco!$A:$A,$A2)</f>
        <v>6</v>
      </c>
      <c r="F2" s="12">
        <f>IFERROR(E2/$P2,0)</f>
        <v>9.375E-2</v>
      </c>
      <c r="G2">
        <f>SUMIFS(banco!I:I,banco!$C:$C,$B2,banco!$A:$A,$A2)</f>
        <v>3664</v>
      </c>
      <c r="H2" s="12">
        <f>IFERROR(G2/$O2,0)</f>
        <v>0.39956379498364231</v>
      </c>
      <c r="I2">
        <f>SUMIFS(banco!K:K,banco!$C:$C,$B2,banco!$A:$A,$A2)</f>
        <v>16</v>
      </c>
      <c r="J2" s="12">
        <f>IFERROR(I2/$P2,0)</f>
        <v>0.25</v>
      </c>
      <c r="K2">
        <f>SUMIFS(banco!M:M,banco!$C:$C,$B2,banco!$A:$A,$A2)</f>
        <v>4039</v>
      </c>
      <c r="L2" s="12">
        <f>IFERROR(K2/$O2,0)</f>
        <v>0.4404580152671756</v>
      </c>
      <c r="M2">
        <f>SUMIFS(banco!O:O,banco!$C:$C,$B2,banco!$A:$A,$A2)</f>
        <v>42</v>
      </c>
      <c r="N2" s="12">
        <f>IFERROR(M2/$P2,0)</f>
        <v>0.65625</v>
      </c>
      <c r="O2">
        <f>SUMIFS(banco!Q:Q,banco!$C:$C,$B2,banco!$A:$A,$A2)</f>
        <v>9170</v>
      </c>
      <c r="P2">
        <f>SUMIFS(banco!R:R,banco!$C:$C,$B2,banco!$A:$A,$A2)</f>
        <v>64</v>
      </c>
      <c r="Q2">
        <v>9900</v>
      </c>
    </row>
    <row r="3" spans="1:17" x14ac:dyDescent="0.25">
      <c r="A3" s="19">
        <v>2024</v>
      </c>
      <c r="B3" s="18" t="s">
        <v>145</v>
      </c>
      <c r="C3">
        <f>SUMIFS(banco!E:E,banco!$C:$C,$B3,banco!$A:$A,$A3)</f>
        <v>2540</v>
      </c>
      <c r="D3" s="12">
        <f>IFERROR(C3/$O3,0)</f>
        <v>0.16341761564691501</v>
      </c>
      <c r="E3">
        <f>SUMIFS(banco!G:G,banco!$C:$C,$B3,banco!$A:$A,$A3)</f>
        <v>13</v>
      </c>
      <c r="F3" s="12">
        <f>IFERROR(E3/$P3,0)</f>
        <v>0.17105263157894737</v>
      </c>
      <c r="G3">
        <f>SUMIFS(banco!I:I,banco!$C:$C,$B3,banco!$A:$A,$A3)</f>
        <v>6442</v>
      </c>
      <c r="H3" s="12">
        <f>IFERROR(G3/$O3,0)</f>
        <v>0.41446310236119155</v>
      </c>
      <c r="I3">
        <f>SUMIFS(banco!K:K,banco!$C:$C,$B3,banco!$A:$A,$A3)</f>
        <v>38</v>
      </c>
      <c r="J3" s="12">
        <f>IFERROR(I3/$P3,0)</f>
        <v>0.5</v>
      </c>
      <c r="K3">
        <f>SUMIFS(banco!M:M,banco!$C:$C,$B3,banco!$A:$A,$A3)</f>
        <v>6561</v>
      </c>
      <c r="L3" s="12">
        <f>IFERROR(K3/$O3,0)</f>
        <v>0.42211928199189347</v>
      </c>
      <c r="M3">
        <f>SUMIFS(banco!O:O,banco!$C:$C,$B3,banco!$A:$A,$A3)</f>
        <v>25</v>
      </c>
      <c r="N3" s="12">
        <f>IFERROR(M3/$P3,0)</f>
        <v>0.32894736842105265</v>
      </c>
      <c r="O3">
        <f>SUMIFS(banco!Q:Q,banco!$C:$C,$B3,banco!$A:$A,$A3)</f>
        <v>15543</v>
      </c>
      <c r="P3">
        <f>SUMIFS(banco!R:R,banco!$C:$C,$B3,banco!$A:$A,$A3)</f>
        <v>76</v>
      </c>
      <c r="Q3">
        <v>16928</v>
      </c>
    </row>
    <row r="4" spans="1:17" x14ac:dyDescent="0.25">
      <c r="A4" s="19">
        <v>2024</v>
      </c>
      <c r="B4" s="18" t="s">
        <v>144</v>
      </c>
      <c r="C4">
        <f>SUMIFS(banco!E:E,banco!$C:$C,$B4,banco!$A:$A,$A4)</f>
        <v>1311</v>
      </c>
      <c r="D4" s="12">
        <f>IFERROR(C4/$O4,0)</f>
        <v>0.14612126616139098</v>
      </c>
      <c r="E4">
        <f>SUMIFS(banco!G:G,banco!$C:$C,$B4,banco!$A:$A,$A4)</f>
        <v>10</v>
      </c>
      <c r="F4" s="12">
        <f>IFERROR(E4/$P4,0)</f>
        <v>0.18867924528301888</v>
      </c>
      <c r="G4">
        <f>SUMIFS(banco!I:I,banco!$C:$C,$B4,banco!$A:$A,$A4)</f>
        <v>3526</v>
      </c>
      <c r="H4" s="12">
        <f>IFERROR(G4/$O4,0)</f>
        <v>0.3930004458314757</v>
      </c>
      <c r="I4">
        <f>SUMIFS(banco!K:K,banco!$C:$C,$B4,banco!$A:$A,$A4)</f>
        <v>18</v>
      </c>
      <c r="J4" s="12">
        <f>IFERROR(I4/$P4,0)</f>
        <v>0.33962264150943394</v>
      </c>
      <c r="K4">
        <f>SUMIFS(banco!M:M,banco!$C:$C,$B4,banco!$A:$A,$A4)</f>
        <v>4135</v>
      </c>
      <c r="L4" s="12">
        <f>IFERROR(K4/$O4,0)</f>
        <v>0.46087828800713332</v>
      </c>
      <c r="M4">
        <f>SUMIFS(banco!O:O,banco!$C:$C,$B4,banco!$A:$A,$A4)</f>
        <v>25</v>
      </c>
      <c r="N4" s="12">
        <f>IFERROR(M4/$P4,0)</f>
        <v>0.47169811320754718</v>
      </c>
      <c r="O4">
        <f>SUMIFS(banco!Q:Q,banco!$C:$C,$B4,banco!$A:$A,$A4)</f>
        <v>8972</v>
      </c>
      <c r="P4">
        <f>SUMIFS(banco!R:R,banco!$C:$C,$B4,banco!$A:$A,$A4)</f>
        <v>53</v>
      </c>
      <c r="Q4">
        <v>10353</v>
      </c>
    </row>
    <row r="5" spans="1:17" x14ac:dyDescent="0.25">
      <c r="A5" s="19">
        <v>2024</v>
      </c>
      <c r="B5" s="18" t="s">
        <v>148</v>
      </c>
      <c r="C5">
        <f>SUMIFS(banco!E:E,banco!$C:$C,$B5,banco!$A:$A,$A5)</f>
        <v>2345</v>
      </c>
      <c r="D5" s="12">
        <f>IFERROR(C5/$O5,0)</f>
        <v>0.13377831022876377</v>
      </c>
      <c r="E5">
        <f>SUMIFS(banco!G:G,banco!$C:$C,$B5,banco!$A:$A,$A5)</f>
        <v>24</v>
      </c>
      <c r="F5" s="12">
        <f>IFERROR(E5/$P5,0)</f>
        <v>0.14723926380368099</v>
      </c>
      <c r="G5">
        <f>SUMIFS(banco!I:I,banco!$C:$C,$B5,banco!$A:$A,$A5)</f>
        <v>7124</v>
      </c>
      <c r="H5" s="12">
        <f>IFERROR(G5/$O5,0)</f>
        <v>0.40641223115979236</v>
      </c>
      <c r="I5">
        <f>SUMIFS(banco!K:K,banco!$C:$C,$B5,banco!$A:$A,$A5)</f>
        <v>56</v>
      </c>
      <c r="J5" s="12">
        <f>IFERROR(I5/$P5,0)</f>
        <v>0.34355828220858897</v>
      </c>
      <c r="K5">
        <f>SUMIFS(banco!M:M,banco!$C:$C,$B5,banco!$A:$A,$A5)</f>
        <v>8060</v>
      </c>
      <c r="L5" s="12">
        <f>IFERROR(K5/$O5,0)</f>
        <v>0.4598094586114439</v>
      </c>
      <c r="M5">
        <f>SUMIFS(banco!O:O,banco!$C:$C,$B5,banco!$A:$A,$A5)</f>
        <v>83</v>
      </c>
      <c r="N5" s="12">
        <f>IFERROR(M5/$P5,0)</f>
        <v>0.50920245398773001</v>
      </c>
      <c r="O5">
        <f>SUMIFS(banco!Q:Q,banco!$C:$C,$B5,banco!$A:$A,$A5)</f>
        <v>17529</v>
      </c>
      <c r="P5">
        <f>SUMIFS(banco!R:R,banco!$C:$C,$B5,banco!$A:$A,$A5)</f>
        <v>163</v>
      </c>
      <c r="Q5">
        <v>31007</v>
      </c>
    </row>
    <row r="6" spans="1:17" x14ac:dyDescent="0.25">
      <c r="A6" s="19">
        <v>2024</v>
      </c>
      <c r="B6" s="18" t="s">
        <v>150</v>
      </c>
      <c r="C6">
        <f>SUMIFS(banco!E:E,banco!$C:$C,$B6,banco!$A:$A,$A6)</f>
        <v>1620</v>
      </c>
      <c r="D6" s="12">
        <f>IFERROR(C6/$O6,0)</f>
        <v>0.14185639229422067</v>
      </c>
      <c r="E6">
        <f>SUMIFS(banco!G:G,banco!$C:$C,$B6,banco!$A:$A,$A6)</f>
        <v>9</v>
      </c>
      <c r="F6" s="12">
        <f>IFERROR(E6/$P6,0)</f>
        <v>0.13846153846153847</v>
      </c>
      <c r="G6">
        <f>SUMIFS(banco!I:I,banco!$C:$C,$B6,banco!$A:$A,$A6)</f>
        <v>4521</v>
      </c>
      <c r="H6" s="12">
        <f>IFERROR(G6/$O6,0)</f>
        <v>0.39588441330998247</v>
      </c>
      <c r="I6">
        <f>SUMIFS(banco!K:K,banco!$C:$C,$B6,banco!$A:$A,$A6)</f>
        <v>16</v>
      </c>
      <c r="J6" s="12">
        <f>IFERROR(I6/$P6,0)</f>
        <v>0.24615384615384617</v>
      </c>
      <c r="K6">
        <f>SUMIFS(banco!M:M,banco!$C:$C,$B6,banco!$A:$A,$A6)</f>
        <v>5279</v>
      </c>
      <c r="L6" s="12">
        <f>IFERROR(K6/$O6,0)</f>
        <v>0.46225919439579682</v>
      </c>
      <c r="M6">
        <f>SUMIFS(banco!O:O,banco!$C:$C,$B6,banco!$A:$A,$A6)</f>
        <v>40</v>
      </c>
      <c r="N6" s="12">
        <f>IFERROR(M6/$P6,0)</f>
        <v>0.61538461538461542</v>
      </c>
      <c r="O6">
        <f>SUMIFS(banco!Q:Q,banco!$C:$C,$B6,banco!$A:$A,$A6)</f>
        <v>11420</v>
      </c>
      <c r="P6">
        <f>SUMIFS(banco!R:R,banco!$C:$C,$B6,banco!$A:$A,$A6)</f>
        <v>65</v>
      </c>
      <c r="Q6">
        <v>11999</v>
      </c>
    </row>
    <row r="7" spans="1:17" x14ac:dyDescent="0.25">
      <c r="A7" s="19">
        <v>2024</v>
      </c>
      <c r="B7" s="18" t="s">
        <v>146</v>
      </c>
      <c r="C7">
        <f>SUMIFS(banco!E:E,banco!$C:$C,$B7,banco!$A:$A,$A7)</f>
        <v>2032</v>
      </c>
      <c r="D7" s="12">
        <f>IFERROR(C7/$O7,0)</f>
        <v>0.13700107874865156</v>
      </c>
      <c r="E7">
        <f>SUMIFS(banco!G:G,banco!$C:$C,$B7,banco!$A:$A,$A7)</f>
        <v>13</v>
      </c>
      <c r="F7" s="12">
        <f>IFERROR(E7/$P7,0)</f>
        <v>0.16455696202531644</v>
      </c>
      <c r="G7">
        <f>SUMIFS(banco!I:I,banco!$C:$C,$B7,banco!$A:$A,$A7)</f>
        <v>5782</v>
      </c>
      <c r="H7" s="12">
        <f>IFERROR(G7/$O7,0)</f>
        <v>0.38983279395900755</v>
      </c>
      <c r="I7">
        <f>SUMIFS(banco!K:K,banco!$C:$C,$B7,banco!$A:$A,$A7)</f>
        <v>30</v>
      </c>
      <c r="J7" s="12">
        <f>IFERROR(I7/$P7,0)</f>
        <v>0.379746835443038</v>
      </c>
      <c r="K7">
        <f>SUMIFS(banco!M:M,banco!$C:$C,$B7,banco!$A:$A,$A7)</f>
        <v>7018</v>
      </c>
      <c r="L7" s="12">
        <f>IFERROR(K7/$O7,0)</f>
        <v>0.47316612729234087</v>
      </c>
      <c r="M7">
        <f>SUMIFS(banco!O:O,banco!$C:$C,$B7,banco!$A:$A,$A7)</f>
        <v>36</v>
      </c>
      <c r="N7" s="12">
        <f>IFERROR(M7/$P7,0)</f>
        <v>0.45569620253164556</v>
      </c>
      <c r="O7">
        <f>SUMIFS(banco!Q:Q,banco!$C:$C,$B7,banco!$A:$A,$A7)</f>
        <v>14832</v>
      </c>
      <c r="P7">
        <f>SUMIFS(banco!R:R,banco!$C:$C,$B7,banco!$A:$A,$A7)</f>
        <v>79</v>
      </c>
      <c r="Q7">
        <v>13158</v>
      </c>
    </row>
    <row r="8" spans="1:17" x14ac:dyDescent="0.25">
      <c r="A8" s="19">
        <v>2024</v>
      </c>
      <c r="B8" s="18" t="s">
        <v>149</v>
      </c>
      <c r="C8">
        <f>SUMIFS(banco!E:E,banco!$C:$C,$B8,banco!$A:$A,$A8)</f>
        <v>2477</v>
      </c>
      <c r="D8" s="12">
        <f>IFERROR(C8/$O8,0)</f>
        <v>0.13695676213645913</v>
      </c>
      <c r="E8">
        <f>SUMIFS(banco!G:G,banco!$C:$C,$B8,banco!$A:$A,$A8)</f>
        <v>22</v>
      </c>
      <c r="F8" s="12">
        <f>IFERROR(E8/$P8,0)</f>
        <v>0.11578947368421053</v>
      </c>
      <c r="G8">
        <f>SUMIFS(banco!I:I,banco!$C:$C,$B8,banco!$A:$A,$A8)</f>
        <v>6923</v>
      </c>
      <c r="H8" s="12">
        <f>IFERROR(G8/$O8,0)</f>
        <v>0.38278226252349884</v>
      </c>
      <c r="I8">
        <f>SUMIFS(banco!K:K,banco!$C:$C,$B8,banco!$A:$A,$A8)</f>
        <v>67</v>
      </c>
      <c r="J8" s="12">
        <f>IFERROR(I8/$P8,0)</f>
        <v>0.35263157894736841</v>
      </c>
      <c r="K8">
        <f>SUMIFS(banco!M:M,banco!$C:$C,$B8,banco!$A:$A,$A8)</f>
        <v>8686</v>
      </c>
      <c r="L8" s="12">
        <f>IFERROR(K8/$O8,0)</f>
        <v>0.48026097534004203</v>
      </c>
      <c r="M8">
        <f>SUMIFS(banco!O:O,banco!$C:$C,$B8,banco!$A:$A,$A8)</f>
        <v>101</v>
      </c>
      <c r="N8" s="12">
        <f>IFERROR(M8/$P8,0)</f>
        <v>0.53157894736842104</v>
      </c>
      <c r="O8">
        <f>SUMIFS(banco!Q:Q,banco!$C:$C,$B8,banco!$A:$A,$A8)</f>
        <v>18086</v>
      </c>
      <c r="P8">
        <f>SUMIFS(banco!R:R,banco!$C:$C,$B8,banco!$A:$A,$A8)</f>
        <v>190</v>
      </c>
      <c r="Q8">
        <v>23300</v>
      </c>
    </row>
    <row r="9" spans="1:17" x14ac:dyDescent="0.25">
      <c r="A9" s="19">
        <v>2024</v>
      </c>
      <c r="B9" s="18" t="s">
        <v>147</v>
      </c>
      <c r="C9">
        <f>SUMIFS(banco!E:E,banco!$C:$C,$B9,banco!$A:$A,$A9)</f>
        <v>1470</v>
      </c>
      <c r="D9" s="12">
        <f>IFERROR(C9/$O9,0)</f>
        <v>0.19752754635850578</v>
      </c>
      <c r="E9">
        <f>SUMIFS(banco!G:G,banco!$C:$C,$B9,banco!$A:$A,$A9)</f>
        <v>4</v>
      </c>
      <c r="F9" s="12">
        <f>IFERROR(E9/$P9,0)</f>
        <v>8.8888888888888892E-2</v>
      </c>
      <c r="G9">
        <f>SUMIFS(banco!I:I,banco!$C:$C,$B9,banco!$A:$A,$A9)</f>
        <v>3100</v>
      </c>
      <c r="H9" s="12">
        <f>IFERROR(G9/$O9,0)</f>
        <v>0.41655468959956998</v>
      </c>
      <c r="I9">
        <f>SUMIFS(banco!K:K,banco!$C:$C,$B9,banco!$A:$A,$A9)</f>
        <v>19</v>
      </c>
      <c r="J9" s="12">
        <f>IFERROR(I9/$P9,0)</f>
        <v>0.42222222222222222</v>
      </c>
      <c r="K9">
        <f>SUMIFS(banco!M:M,banco!$C:$C,$B9,banco!$A:$A,$A9)</f>
        <v>2872</v>
      </c>
      <c r="L9" s="12">
        <f>IFERROR(K9/$O9,0)</f>
        <v>0.38591776404192424</v>
      </c>
      <c r="M9">
        <f>SUMIFS(banco!O:O,banco!$C:$C,$B9,banco!$A:$A,$A9)</f>
        <v>22</v>
      </c>
      <c r="N9" s="12">
        <f>IFERROR(M9/$P9,0)</f>
        <v>0.48888888888888887</v>
      </c>
      <c r="O9">
        <f>SUMIFS(banco!Q:Q,banco!$C:$C,$B9,banco!$A:$A,$A9)</f>
        <v>7442</v>
      </c>
      <c r="P9">
        <f>SUMIFS(banco!R:R,banco!$C:$C,$B9,banco!$A:$A,$A9)</f>
        <v>45</v>
      </c>
      <c r="Q9">
        <v>6725</v>
      </c>
    </row>
    <row r="10" spans="1:17" x14ac:dyDescent="0.25">
      <c r="A10" s="19">
        <v>2023</v>
      </c>
      <c r="B10" s="18" t="s">
        <v>151</v>
      </c>
      <c r="C10">
        <f>SUMIFS(banco!E:E,banco!$C:$C,$B10,banco!$A:$A,$A10)</f>
        <v>1466</v>
      </c>
      <c r="D10" s="12">
        <f>IFERROR(C10/$O10,0)</f>
        <v>0.16278036864312681</v>
      </c>
      <c r="E10">
        <f>SUMIFS(banco!G:G,banco!$C:$C,$B10,banco!$A:$A,$A10)</f>
        <v>11</v>
      </c>
      <c r="F10" s="12">
        <f>IFERROR(E10/$P10,0)</f>
        <v>0.16923076923076924</v>
      </c>
      <c r="G10">
        <f>SUMIFS(banco!I:I,banco!$C:$C,$B10,banco!$A:$A,$A10)</f>
        <v>3576</v>
      </c>
      <c r="H10" s="12">
        <f>IFERROR(G10/$O10,0)</f>
        <v>0.39706862091938705</v>
      </c>
      <c r="I10">
        <f>SUMIFS(banco!K:K,banco!$C:$C,$B10,banco!$A:$A,$A10)</f>
        <v>18</v>
      </c>
      <c r="J10" s="12">
        <f>IFERROR(I10/$P10,0)</f>
        <v>0.27692307692307694</v>
      </c>
      <c r="K10">
        <f>SUMIFS(banco!M:M,banco!$C:$C,$B10,banco!$A:$A,$A10)</f>
        <v>3964</v>
      </c>
      <c r="L10" s="12">
        <f>IFERROR(K10/$O10,0)</f>
        <v>0.44015101043748611</v>
      </c>
      <c r="M10">
        <f>SUMIFS(banco!O:O,banco!$C:$C,$B10,banco!$A:$A,$A10)</f>
        <v>36</v>
      </c>
      <c r="N10" s="12">
        <f>IFERROR(M10/$P10,0)</f>
        <v>0.55384615384615388</v>
      </c>
      <c r="O10">
        <f>SUMIFS(banco!Q:Q,banco!$C:$C,$B10,banco!$A:$A,$A10)</f>
        <v>9006</v>
      </c>
      <c r="P10">
        <f>SUMIFS(banco!R:R,banco!$C:$C,$B10,banco!$A:$A,$A10)</f>
        <v>65</v>
      </c>
      <c r="Q10">
        <v>9855</v>
      </c>
    </row>
    <row r="11" spans="1:17" x14ac:dyDescent="0.25">
      <c r="A11" s="19">
        <v>2023</v>
      </c>
      <c r="B11" s="18" t="s">
        <v>145</v>
      </c>
      <c r="C11">
        <f>SUMIFS(banco!E:E,banco!$C:$C,$B11,banco!$A:$A,$A11)</f>
        <v>2224</v>
      </c>
      <c r="D11" s="12">
        <f>IFERROR(C11/$O11,0)</f>
        <v>0.15543751747274251</v>
      </c>
      <c r="E11">
        <f>SUMIFS(banco!G:G,banco!$C:$C,$B11,banco!$A:$A,$A11)</f>
        <v>17</v>
      </c>
      <c r="F11" s="12">
        <f>IFERROR(E11/$P11,0)</f>
        <v>0.16666666666666666</v>
      </c>
      <c r="G11">
        <f>SUMIFS(banco!I:I,banco!$C:$C,$B11,banco!$A:$A,$A11)</f>
        <v>5911</v>
      </c>
      <c r="H11" s="12">
        <f>IFERROR(G11/$O11,0)</f>
        <v>0.41312552418227566</v>
      </c>
      <c r="I11">
        <f>SUMIFS(banco!K:K,banco!$C:$C,$B11,banco!$A:$A,$A11)</f>
        <v>42</v>
      </c>
      <c r="J11" s="12">
        <f>IFERROR(I11/$P11,0)</f>
        <v>0.41176470588235292</v>
      </c>
      <c r="K11">
        <f>SUMIFS(banco!M:M,banco!$C:$C,$B11,banco!$A:$A,$A11)</f>
        <v>6173</v>
      </c>
      <c r="L11" s="12">
        <f>IFERROR(K11/$O11,0)</f>
        <v>0.4314369583449818</v>
      </c>
      <c r="M11">
        <f>SUMIFS(banco!O:O,banco!$C:$C,$B11,banco!$A:$A,$A11)</f>
        <v>43</v>
      </c>
      <c r="N11" s="12">
        <f>IFERROR(M11/$P11,0)</f>
        <v>0.42156862745098039</v>
      </c>
      <c r="O11">
        <f>SUMIFS(banco!Q:Q,banco!$C:$C,$B11,banco!$A:$A,$A11)</f>
        <v>14308</v>
      </c>
      <c r="P11">
        <f>SUMIFS(banco!R:R,banco!$C:$C,$B11,banco!$A:$A,$A11)</f>
        <v>102</v>
      </c>
      <c r="Q11">
        <v>17085</v>
      </c>
    </row>
    <row r="12" spans="1:17" x14ac:dyDescent="0.25">
      <c r="A12" s="19">
        <v>2023</v>
      </c>
      <c r="B12" s="18" t="s">
        <v>144</v>
      </c>
      <c r="C12">
        <f>SUMIFS(banco!E:E,banco!$C:$C,$B12,banco!$A:$A,$A12)</f>
        <v>1323</v>
      </c>
      <c r="D12" s="12">
        <f>IFERROR(C12/$O12,0)</f>
        <v>0.14427480916030536</v>
      </c>
      <c r="E12">
        <f>SUMIFS(banco!G:G,banco!$C:$C,$B12,banco!$A:$A,$A12)</f>
        <v>8</v>
      </c>
      <c r="F12" s="12">
        <f>IFERROR(E12/$P12,0)</f>
        <v>0.17391304347826086</v>
      </c>
      <c r="G12">
        <f>SUMIFS(banco!I:I,banco!$C:$C,$B12,banco!$A:$A,$A12)</f>
        <v>3687</v>
      </c>
      <c r="H12" s="12">
        <f>IFERROR(G12/$O12,0)</f>
        <v>0.40207197382769899</v>
      </c>
      <c r="I12">
        <f>SUMIFS(banco!K:K,banco!$C:$C,$B12,banco!$A:$A,$A12)</f>
        <v>16</v>
      </c>
      <c r="J12" s="12">
        <f>IFERROR(I12/$P12,0)</f>
        <v>0.34782608695652173</v>
      </c>
      <c r="K12">
        <f>SUMIFS(banco!M:M,banco!$C:$C,$B12,banco!$A:$A,$A12)</f>
        <v>4160</v>
      </c>
      <c r="L12" s="12">
        <f>IFERROR(K12/$O12,0)</f>
        <v>0.45365321701199562</v>
      </c>
      <c r="M12">
        <f>SUMIFS(banco!O:O,banco!$C:$C,$B12,banco!$A:$A,$A12)</f>
        <v>22</v>
      </c>
      <c r="N12" s="12">
        <f>IFERROR(M12/$P12,0)</f>
        <v>0.47826086956521741</v>
      </c>
      <c r="O12">
        <f>SUMIFS(banco!Q:Q,banco!$C:$C,$B12,banco!$A:$A,$A12)</f>
        <v>9170</v>
      </c>
      <c r="P12">
        <f>SUMIFS(banco!R:R,banco!$C:$C,$B12,banco!$A:$A,$A12)</f>
        <v>46</v>
      </c>
      <c r="Q12">
        <v>10271</v>
      </c>
    </row>
    <row r="13" spans="1:17" x14ac:dyDescent="0.25">
      <c r="A13" s="19">
        <v>2023</v>
      </c>
      <c r="B13" s="18" t="s">
        <v>148</v>
      </c>
      <c r="C13">
        <f>SUMIFS(banco!E:E,banco!$C:$C,$B13,banco!$A:$A,$A13)</f>
        <v>2389</v>
      </c>
      <c r="D13" s="12">
        <f>IFERROR(C13/$O13,0)</f>
        <v>0.1400515886973854</v>
      </c>
      <c r="E13">
        <f>SUMIFS(banco!G:G,banco!$C:$C,$B13,banco!$A:$A,$A13)</f>
        <v>22</v>
      </c>
      <c r="F13" s="12">
        <f>IFERROR(E13/$P13,0)</f>
        <v>0.15492957746478872</v>
      </c>
      <c r="G13">
        <f>SUMIFS(banco!I:I,banco!$C:$C,$B13,banco!$A:$A,$A13)</f>
        <v>6880</v>
      </c>
      <c r="H13" s="12">
        <f>IFERROR(G13/$O13,0)</f>
        <v>0.40332981592214795</v>
      </c>
      <c r="I13">
        <f>SUMIFS(banco!K:K,banco!$C:$C,$B13,banco!$A:$A,$A13)</f>
        <v>51</v>
      </c>
      <c r="J13" s="12">
        <f>IFERROR(I13/$P13,0)</f>
        <v>0.35915492957746481</v>
      </c>
      <c r="K13">
        <f>SUMIFS(banco!M:M,banco!$C:$C,$B13,banco!$A:$A,$A13)</f>
        <v>7789</v>
      </c>
      <c r="L13" s="12">
        <f>IFERROR(K13/$O13,0)</f>
        <v>0.45661859538046662</v>
      </c>
      <c r="M13">
        <f>SUMIFS(banco!O:O,banco!$C:$C,$B13,banco!$A:$A,$A13)</f>
        <v>69</v>
      </c>
      <c r="N13" s="12">
        <f>IFERROR(M13/$P13,0)</f>
        <v>0.4859154929577465</v>
      </c>
      <c r="O13">
        <f>SUMIFS(banco!Q:Q,banco!$C:$C,$B13,banco!$A:$A,$A13)</f>
        <v>17058</v>
      </c>
      <c r="P13">
        <f>SUMIFS(banco!R:R,banco!$C:$C,$B13,banco!$A:$A,$A13)</f>
        <v>142</v>
      </c>
      <c r="Q13">
        <v>30695</v>
      </c>
    </row>
    <row r="14" spans="1:17" x14ac:dyDescent="0.25">
      <c r="A14" s="19">
        <v>2023</v>
      </c>
      <c r="B14" s="18" t="s">
        <v>150</v>
      </c>
      <c r="C14">
        <f>SUMIFS(banco!E:E,banco!$C:$C,$B14,banco!$A:$A,$A14)</f>
        <v>1565</v>
      </c>
      <c r="D14" s="12">
        <f>IFERROR(C14/$O14,0)</f>
        <v>0.14268781911013859</v>
      </c>
      <c r="E14">
        <f>SUMIFS(banco!G:G,banco!$C:$C,$B14,banco!$A:$A,$A14)</f>
        <v>7</v>
      </c>
      <c r="F14" s="12">
        <f>IFERROR(E14/$P14,0)</f>
        <v>0.12280701754385964</v>
      </c>
      <c r="G14">
        <f>SUMIFS(banco!I:I,banco!$C:$C,$B14,banco!$A:$A,$A14)</f>
        <v>4389</v>
      </c>
      <c r="H14" s="12">
        <f>IFERROR(G14/$O14,0)</f>
        <v>0.400164113785558</v>
      </c>
      <c r="I14">
        <f>SUMIFS(banco!K:K,banco!$C:$C,$B14,banco!$A:$A,$A14)</f>
        <v>25</v>
      </c>
      <c r="J14" s="12">
        <f>IFERROR(I14/$P14,0)</f>
        <v>0.43859649122807015</v>
      </c>
      <c r="K14">
        <f>SUMIFS(banco!M:M,banco!$C:$C,$B14,banco!$A:$A,$A14)</f>
        <v>5014</v>
      </c>
      <c r="L14" s="12">
        <f>IFERROR(K14/$O14,0)</f>
        <v>0.45714806710430345</v>
      </c>
      <c r="M14">
        <f>SUMIFS(banco!O:O,banco!$C:$C,$B14,banco!$A:$A,$A14)</f>
        <v>25</v>
      </c>
      <c r="N14" s="12">
        <f>IFERROR(M14/$P14,0)</f>
        <v>0.43859649122807015</v>
      </c>
      <c r="O14">
        <f>SUMIFS(banco!Q:Q,banco!$C:$C,$B14,banco!$A:$A,$A14)</f>
        <v>10968</v>
      </c>
      <c r="P14">
        <f>SUMIFS(banco!R:R,banco!$C:$C,$B14,banco!$A:$A,$A14)</f>
        <v>57</v>
      </c>
      <c r="Q14">
        <v>12010</v>
      </c>
    </row>
    <row r="15" spans="1:17" x14ac:dyDescent="0.25">
      <c r="A15" s="19">
        <v>2023</v>
      </c>
      <c r="B15" s="18" t="s">
        <v>146</v>
      </c>
      <c r="C15">
        <f>SUMIFS(banco!E:E,banco!$C:$C,$B15,banco!$A:$A,$A15)</f>
        <v>1861</v>
      </c>
      <c r="D15" s="12">
        <f>IFERROR(C15/$O15,0)</f>
        <v>0.14044223077503584</v>
      </c>
      <c r="E15">
        <f>SUMIFS(banco!G:G,banco!$C:$C,$B15,banco!$A:$A,$A15)</f>
        <v>20</v>
      </c>
      <c r="F15" s="12">
        <f>IFERROR(E15/$P15,0)</f>
        <v>0.22988505747126436</v>
      </c>
      <c r="G15">
        <f>SUMIFS(banco!I:I,banco!$C:$C,$B15,banco!$A:$A,$A15)</f>
        <v>5205</v>
      </c>
      <c r="H15" s="12">
        <f>IFERROR(G15/$O15,0)</f>
        <v>0.39280054335521847</v>
      </c>
      <c r="I15">
        <f>SUMIFS(banco!K:K,banco!$C:$C,$B15,banco!$A:$A,$A15)</f>
        <v>29</v>
      </c>
      <c r="J15" s="12">
        <f>IFERROR(I15/$P15,0)</f>
        <v>0.33333333333333331</v>
      </c>
      <c r="K15">
        <f>SUMIFS(banco!M:M,banco!$C:$C,$B15,banco!$A:$A,$A15)</f>
        <v>6185</v>
      </c>
      <c r="L15" s="12">
        <f>IFERROR(K15/$O15,0)</f>
        <v>0.46675722586974566</v>
      </c>
      <c r="M15">
        <f>SUMIFS(banco!O:O,banco!$C:$C,$B15,banco!$A:$A,$A15)</f>
        <v>38</v>
      </c>
      <c r="N15" s="12">
        <f>IFERROR(M15/$P15,0)</f>
        <v>0.43678160919540232</v>
      </c>
      <c r="O15">
        <f>SUMIFS(banco!Q:Q,banco!$C:$C,$B15,banco!$A:$A,$A15)</f>
        <v>13251</v>
      </c>
      <c r="P15">
        <f>SUMIFS(banco!R:R,banco!$C:$C,$B15,banco!$A:$A,$A15)</f>
        <v>87</v>
      </c>
      <c r="Q15">
        <v>13128</v>
      </c>
    </row>
    <row r="16" spans="1:17" x14ac:dyDescent="0.25">
      <c r="A16" s="19">
        <v>2023</v>
      </c>
      <c r="B16" s="18" t="s">
        <v>149</v>
      </c>
      <c r="C16">
        <f>SUMIFS(banco!E:E,banco!$C:$C,$B16,banco!$A:$A,$A16)</f>
        <v>2323</v>
      </c>
      <c r="D16" s="12">
        <f>IFERROR(C16/$O16,0)</f>
        <v>0.13567340263987851</v>
      </c>
      <c r="E16">
        <f>SUMIFS(banco!G:G,banco!$C:$C,$B16,banco!$A:$A,$A16)</f>
        <v>18</v>
      </c>
      <c r="F16" s="12">
        <f>IFERROR(E16/$P16,0)</f>
        <v>0.12413793103448276</v>
      </c>
      <c r="G16">
        <f>SUMIFS(banco!I:I,banco!$C:$C,$B16,banco!$A:$A,$A16)</f>
        <v>6654</v>
      </c>
      <c r="H16" s="12">
        <f>IFERROR(G16/$O16,0)</f>
        <v>0.38862282443639762</v>
      </c>
      <c r="I16">
        <f>SUMIFS(banco!K:K,banco!$C:$C,$B16,banco!$A:$A,$A16)</f>
        <v>43</v>
      </c>
      <c r="J16" s="12">
        <f>IFERROR(I16/$P16,0)</f>
        <v>0.29655172413793102</v>
      </c>
      <c r="K16">
        <f>SUMIFS(banco!M:M,banco!$C:$C,$B16,banco!$A:$A,$A16)</f>
        <v>8145</v>
      </c>
      <c r="L16" s="12">
        <f>IFERROR(K16/$O16,0)</f>
        <v>0.47570377292372384</v>
      </c>
      <c r="M16">
        <f>SUMIFS(banco!O:O,banco!$C:$C,$B16,banco!$A:$A,$A16)</f>
        <v>84</v>
      </c>
      <c r="N16" s="12">
        <f>IFERROR(M16/$P16,0)</f>
        <v>0.57931034482758625</v>
      </c>
      <c r="O16">
        <f>SUMIFS(banco!Q:Q,banco!$C:$C,$B16,banco!$A:$A,$A16)</f>
        <v>17122</v>
      </c>
      <c r="P16">
        <f>SUMIFS(banco!R:R,banco!$C:$C,$B16,banco!$A:$A,$A16)</f>
        <v>145</v>
      </c>
      <c r="Q16">
        <v>23287</v>
      </c>
    </row>
    <row r="17" spans="1:17" x14ac:dyDescent="0.25">
      <c r="A17" s="19">
        <v>2023</v>
      </c>
      <c r="B17" s="18" t="s">
        <v>147</v>
      </c>
      <c r="C17">
        <f>SUMIFS(banco!E:E,banco!$C:$C,$B17,banco!$A:$A,$A17)</f>
        <v>1468</v>
      </c>
      <c r="D17" s="12">
        <f>IFERROR(C17/$O17,0)</f>
        <v>0.20032751091703058</v>
      </c>
      <c r="E17">
        <f>SUMIFS(banco!G:G,banco!$C:$C,$B17,banco!$A:$A,$A17)</f>
        <v>1</v>
      </c>
      <c r="F17" s="12">
        <f>IFERROR(E17/$P17,0)</f>
        <v>2.1739130434782608E-2</v>
      </c>
      <c r="G17">
        <f>SUMIFS(banco!I:I,banco!$C:$C,$B17,banco!$A:$A,$A17)</f>
        <v>3038</v>
      </c>
      <c r="H17" s="12">
        <f>IFERROR(G17/$O17,0)</f>
        <v>0.41457423580786024</v>
      </c>
      <c r="I17">
        <f>SUMIFS(banco!K:K,banco!$C:$C,$B17,banco!$A:$A,$A17)</f>
        <v>18</v>
      </c>
      <c r="J17" s="12">
        <f>IFERROR(I17/$P17,0)</f>
        <v>0.39130434782608697</v>
      </c>
      <c r="K17">
        <f>SUMIFS(banco!M:M,banco!$C:$C,$B17,banco!$A:$A,$A17)</f>
        <v>2822</v>
      </c>
      <c r="L17" s="12">
        <f>IFERROR(K17/$O17,0)</f>
        <v>0.38509825327510916</v>
      </c>
      <c r="M17">
        <f>SUMIFS(banco!O:O,banco!$C:$C,$B17,banco!$A:$A,$A17)</f>
        <v>27</v>
      </c>
      <c r="N17" s="12">
        <f>IFERROR(M17/$P17,0)</f>
        <v>0.58695652173913049</v>
      </c>
      <c r="O17">
        <f>SUMIFS(banco!Q:Q,banco!$C:$C,$B17,banco!$A:$A,$A17)</f>
        <v>7328</v>
      </c>
      <c r="P17">
        <f>SUMIFS(banco!R:R,banco!$C:$C,$B17,banco!$A:$A,$A17)</f>
        <v>46</v>
      </c>
      <c r="Q17">
        <v>6824</v>
      </c>
    </row>
    <row r="18" spans="1:17" x14ac:dyDescent="0.25">
      <c r="A18" s="19">
        <v>2022</v>
      </c>
      <c r="B18" s="18" t="s">
        <v>151</v>
      </c>
      <c r="C18">
        <f>SUMIFS(banco!E:E,banco!$C:$C,$B18,banco!$A:$A,$A18)</f>
        <v>1209</v>
      </c>
      <c r="D18" s="12">
        <f>IFERROR(C18/$O18,0)</f>
        <v>0.15330966269338067</v>
      </c>
      <c r="E18">
        <f>SUMIFS(banco!G:G,banco!$C:$C,$B18,banco!$A:$A,$A18)</f>
        <v>9</v>
      </c>
      <c r="F18" s="12">
        <f>IFERROR(E18/$P18,0)</f>
        <v>0.14516129032258066</v>
      </c>
      <c r="G18">
        <f>SUMIFS(banco!I:I,banco!$C:$C,$B18,banco!$A:$A,$A18)</f>
        <v>3215</v>
      </c>
      <c r="H18" s="12">
        <f>IFERROR(G18/$O18,0)</f>
        <v>0.40768450418463098</v>
      </c>
      <c r="I18">
        <f>SUMIFS(banco!K:K,banco!$C:$C,$B18,banco!$A:$A,$A18)</f>
        <v>17</v>
      </c>
      <c r="J18" s="12">
        <f>IFERROR(I18/$P18,0)</f>
        <v>0.27419354838709675</v>
      </c>
      <c r="K18">
        <f>SUMIFS(banco!M:M,banco!$C:$C,$B18,banco!$A:$A,$A18)</f>
        <v>3462</v>
      </c>
      <c r="L18" s="12">
        <f>IFERROR(K18/$O18,0)</f>
        <v>0.43900583312198832</v>
      </c>
      <c r="M18">
        <f>SUMIFS(banco!O:O,banco!$C:$C,$B18,banco!$A:$A,$A18)</f>
        <v>36</v>
      </c>
      <c r="N18" s="12">
        <f>IFERROR(M18/$P18,0)</f>
        <v>0.58064516129032262</v>
      </c>
      <c r="O18">
        <f>SUMIFS(banco!Q:Q,banco!$C:$C,$B18,banco!$A:$A,$A18)</f>
        <v>7886</v>
      </c>
      <c r="P18">
        <f>SUMIFS(banco!R:R,banco!$C:$C,$B18,banco!$A:$A,$A18)</f>
        <v>62</v>
      </c>
      <c r="Q18">
        <v>9798</v>
      </c>
    </row>
    <row r="19" spans="1:17" x14ac:dyDescent="0.25">
      <c r="A19" s="19">
        <v>2022</v>
      </c>
      <c r="B19" s="18" t="s">
        <v>145</v>
      </c>
      <c r="C19">
        <f>SUMIFS(banco!E:E,banco!$C:$C,$B19,banco!$A:$A,$A19)</f>
        <v>2072</v>
      </c>
      <c r="D19" s="12">
        <f>IFERROR(C19/$O19,0)</f>
        <v>0.16242063180998667</v>
      </c>
      <c r="E19">
        <f>SUMIFS(banco!G:G,banco!$C:$C,$B19,banco!$A:$A,$A19)</f>
        <v>14</v>
      </c>
      <c r="F19" s="12">
        <f>IFERROR(E19/$P19,0)</f>
        <v>0.15384615384615385</v>
      </c>
      <c r="G19">
        <f>SUMIFS(banco!I:I,banco!$C:$C,$B19,banco!$A:$A,$A19)</f>
        <v>5271</v>
      </c>
      <c r="H19" s="12">
        <f>IFERROR(G19/$O19,0)</f>
        <v>0.41318491808418906</v>
      </c>
      <c r="I19">
        <f>SUMIFS(banco!K:K,banco!$C:$C,$B19,banco!$A:$A,$A19)</f>
        <v>39</v>
      </c>
      <c r="J19" s="12">
        <f>IFERROR(I19/$P19,0)</f>
        <v>0.42857142857142855</v>
      </c>
      <c r="K19">
        <f>SUMIFS(banco!M:M,banco!$C:$C,$B19,banco!$A:$A,$A19)</f>
        <v>5414</v>
      </c>
      <c r="L19" s="12">
        <f>IFERROR(K19/$O19,0)</f>
        <v>0.42439445010582427</v>
      </c>
      <c r="M19">
        <f>SUMIFS(banco!O:O,banco!$C:$C,$B19,banco!$A:$A,$A19)</f>
        <v>38</v>
      </c>
      <c r="N19" s="12">
        <f>IFERROR(M19/$P19,0)</f>
        <v>0.4175824175824176</v>
      </c>
      <c r="O19">
        <f>SUMIFS(banco!Q:Q,banco!$C:$C,$B19,banco!$A:$A,$A19)</f>
        <v>12757</v>
      </c>
      <c r="P19">
        <f>SUMIFS(banco!R:R,banco!$C:$C,$B19,banco!$A:$A,$A19)</f>
        <v>91</v>
      </c>
      <c r="Q19">
        <v>17226</v>
      </c>
    </row>
    <row r="20" spans="1:17" x14ac:dyDescent="0.25">
      <c r="A20" s="19">
        <v>2022</v>
      </c>
      <c r="B20" s="18" t="s">
        <v>144</v>
      </c>
      <c r="C20">
        <f>SUMIFS(banco!E:E,banco!$C:$C,$B20,banco!$A:$A,$A20)</f>
        <v>1111</v>
      </c>
      <c r="D20" s="12">
        <f>IFERROR(C20/$O20,0)</f>
        <v>0.14049064238745573</v>
      </c>
      <c r="E20">
        <f>SUMIFS(banco!G:G,banco!$C:$C,$B20,banco!$A:$A,$A20)</f>
        <v>9</v>
      </c>
      <c r="F20" s="12">
        <f>IFERROR(E20/$P20,0)</f>
        <v>0.17307692307692307</v>
      </c>
      <c r="G20">
        <f>SUMIFS(banco!I:I,banco!$C:$C,$B20,banco!$A:$A,$A20)</f>
        <v>3199</v>
      </c>
      <c r="H20" s="12">
        <f>IFERROR(G20/$O20,0)</f>
        <v>0.40452706120384418</v>
      </c>
      <c r="I20">
        <f>SUMIFS(banco!K:K,banco!$C:$C,$B20,banco!$A:$A,$A20)</f>
        <v>15</v>
      </c>
      <c r="J20" s="12">
        <f>IFERROR(I20/$P20,0)</f>
        <v>0.28846153846153844</v>
      </c>
      <c r="K20">
        <f>SUMIFS(banco!M:M,banco!$C:$C,$B20,banco!$A:$A,$A20)</f>
        <v>3598</v>
      </c>
      <c r="L20" s="12">
        <f>IFERROR(K20/$O20,0)</f>
        <v>0.45498229640870003</v>
      </c>
      <c r="M20">
        <f>SUMIFS(banco!O:O,banco!$C:$C,$B20,banco!$A:$A,$A20)</f>
        <v>28</v>
      </c>
      <c r="N20" s="12">
        <f>IFERROR(M20/$P20,0)</f>
        <v>0.53846153846153844</v>
      </c>
      <c r="O20">
        <f>SUMIFS(banco!Q:Q,banco!$C:$C,$B20,banco!$A:$A,$A20)</f>
        <v>7908</v>
      </c>
      <c r="P20">
        <f>SUMIFS(banco!R:R,banco!$C:$C,$B20,banco!$A:$A,$A20)</f>
        <v>52</v>
      </c>
      <c r="Q20">
        <v>10172</v>
      </c>
    </row>
    <row r="21" spans="1:17" x14ac:dyDescent="0.25">
      <c r="A21" s="19">
        <v>2022</v>
      </c>
      <c r="B21" s="18" t="s">
        <v>148</v>
      </c>
      <c r="C21">
        <f>SUMIFS(banco!E:E,banco!$C:$C,$B21,banco!$A:$A,$A21)</f>
        <v>2050</v>
      </c>
      <c r="D21" s="12">
        <f>IFERROR(C21/$O21,0)</f>
        <v>0.1413598124396635</v>
      </c>
      <c r="E21">
        <f>SUMIFS(banco!G:G,banco!$C:$C,$B21,banco!$A:$A,$A21)</f>
        <v>12</v>
      </c>
      <c r="F21" s="12">
        <f>IFERROR(E21/$P21,0)</f>
        <v>0.10084033613445378</v>
      </c>
      <c r="G21">
        <f>SUMIFS(banco!I:I,banco!$C:$C,$B21,banco!$A:$A,$A21)</f>
        <v>5931</v>
      </c>
      <c r="H21" s="12">
        <f>IFERROR(G21/$O21,0)</f>
        <v>0.40897807199007036</v>
      </c>
      <c r="I21">
        <f>SUMIFS(banco!K:K,banco!$C:$C,$B21,banco!$A:$A,$A21)</f>
        <v>56</v>
      </c>
      <c r="J21" s="12">
        <f>IFERROR(I21/$P21,0)</f>
        <v>0.47058823529411764</v>
      </c>
      <c r="K21">
        <f>SUMIFS(banco!M:M,banco!$C:$C,$B21,banco!$A:$A,$A21)</f>
        <v>6521</v>
      </c>
      <c r="L21" s="12">
        <f>IFERROR(K21/$O21,0)</f>
        <v>0.4496621155702662</v>
      </c>
      <c r="M21">
        <f>SUMIFS(banco!O:O,banco!$C:$C,$B21,banco!$A:$A,$A21)</f>
        <v>51</v>
      </c>
      <c r="N21" s="12">
        <f>IFERROR(M21/$P21,0)</f>
        <v>0.42857142857142855</v>
      </c>
      <c r="O21">
        <f>SUMIFS(banco!Q:Q,banco!$C:$C,$B21,banco!$A:$A,$A21)</f>
        <v>14502</v>
      </c>
      <c r="P21">
        <f>SUMIFS(banco!R:R,banco!$C:$C,$B21,banco!$A:$A,$A21)</f>
        <v>119</v>
      </c>
      <c r="Q21">
        <v>30022</v>
      </c>
    </row>
    <row r="22" spans="1:17" x14ac:dyDescent="0.25">
      <c r="A22" s="19">
        <v>2022</v>
      </c>
      <c r="B22" s="18" t="s">
        <v>150</v>
      </c>
      <c r="C22">
        <f>SUMIFS(banco!E:E,banco!$C:$C,$B22,banco!$A:$A,$A22)</f>
        <v>1308</v>
      </c>
      <c r="D22" s="12">
        <f>IFERROR(C22/$O22,0)</f>
        <v>0.13969881448253765</v>
      </c>
      <c r="E22">
        <f>SUMIFS(banco!G:G,banco!$C:$C,$B22,banco!$A:$A,$A22)</f>
        <v>11</v>
      </c>
      <c r="F22" s="12">
        <f>IFERROR(E22/$P22,0)</f>
        <v>0.13095238095238096</v>
      </c>
      <c r="G22">
        <f>SUMIFS(banco!I:I,banco!$C:$C,$B22,banco!$A:$A,$A22)</f>
        <v>3768</v>
      </c>
      <c r="H22" s="12">
        <f>IFERROR(G22/$O22,0)</f>
        <v>0.40243511694969564</v>
      </c>
      <c r="I22">
        <f>SUMIFS(banco!K:K,banco!$C:$C,$B22,banco!$A:$A,$A22)</f>
        <v>22</v>
      </c>
      <c r="J22" s="12">
        <f>IFERROR(I22/$P22,0)</f>
        <v>0.26190476190476192</v>
      </c>
      <c r="K22">
        <f>SUMIFS(banco!M:M,banco!$C:$C,$B22,banco!$A:$A,$A22)</f>
        <v>4287</v>
      </c>
      <c r="L22" s="12">
        <f>IFERROR(K22/$O22,0)</f>
        <v>0.45786606856776674</v>
      </c>
      <c r="M22">
        <f>SUMIFS(banco!O:O,banco!$C:$C,$B22,banco!$A:$A,$A22)</f>
        <v>51</v>
      </c>
      <c r="N22" s="12">
        <f>IFERROR(M22/$P22,0)</f>
        <v>0.6071428571428571</v>
      </c>
      <c r="O22">
        <f>SUMIFS(banco!Q:Q,banco!$C:$C,$B22,banco!$A:$A,$A22)</f>
        <v>9363</v>
      </c>
      <c r="P22">
        <f>SUMIFS(banco!R:R,banco!$C:$C,$B22,banco!$A:$A,$A22)</f>
        <v>84</v>
      </c>
      <c r="Q22">
        <v>12024</v>
      </c>
    </row>
    <row r="23" spans="1:17" x14ac:dyDescent="0.25">
      <c r="A23" s="19">
        <v>2022</v>
      </c>
      <c r="B23" s="18" t="s">
        <v>146</v>
      </c>
      <c r="C23">
        <f>SUMIFS(banco!E:E,banco!$C:$C,$B23,banco!$A:$A,$A23)</f>
        <v>1403</v>
      </c>
      <c r="D23" s="12">
        <f>IFERROR(C23/$O23,0)</f>
        <v>0.13742775981976688</v>
      </c>
      <c r="E23">
        <f>SUMIFS(banco!G:G,banco!$C:$C,$B23,banco!$A:$A,$A23)</f>
        <v>13</v>
      </c>
      <c r="F23" s="12">
        <f>IFERROR(E23/$P23,0)</f>
        <v>0.12621359223300971</v>
      </c>
      <c r="G23">
        <f>SUMIFS(banco!I:I,banco!$C:$C,$B23,banco!$A:$A,$A23)</f>
        <v>4085</v>
      </c>
      <c r="H23" s="12">
        <f>IFERROR(G23/$O23,0)</f>
        <v>0.4001371339014595</v>
      </c>
      <c r="I23">
        <f>SUMIFS(banco!K:K,banco!$C:$C,$B23,banco!$A:$A,$A23)</f>
        <v>48</v>
      </c>
      <c r="J23" s="12">
        <f>IFERROR(I23/$P23,0)</f>
        <v>0.46601941747572817</v>
      </c>
      <c r="K23">
        <f>SUMIFS(banco!M:M,banco!$C:$C,$B23,banco!$A:$A,$A23)</f>
        <v>4721</v>
      </c>
      <c r="L23" s="12">
        <f>IFERROR(K23/$O23,0)</f>
        <v>0.46243510627877366</v>
      </c>
      <c r="M23">
        <f>SUMIFS(banco!O:O,banco!$C:$C,$B23,banco!$A:$A,$A23)</f>
        <v>42</v>
      </c>
      <c r="N23" s="12">
        <f>IFERROR(M23/$P23,0)</f>
        <v>0.40776699029126212</v>
      </c>
      <c r="O23">
        <f>SUMIFS(banco!Q:Q,banco!$C:$C,$B23,banco!$A:$A,$A23)</f>
        <v>10209</v>
      </c>
      <c r="P23">
        <f>SUMIFS(banco!R:R,banco!$C:$C,$B23,banco!$A:$A,$A23)</f>
        <v>103</v>
      </c>
      <c r="Q23">
        <v>13074</v>
      </c>
    </row>
    <row r="24" spans="1:17" x14ac:dyDescent="0.25">
      <c r="A24" s="19">
        <v>2022</v>
      </c>
      <c r="B24" s="18" t="s">
        <v>149</v>
      </c>
      <c r="C24">
        <f>SUMIFS(banco!E:E,banco!$C:$C,$B24,banco!$A:$A,$A24)</f>
        <v>2032</v>
      </c>
      <c r="D24" s="12">
        <f>IFERROR(C24/$O24,0)</f>
        <v>0.13375460768825698</v>
      </c>
      <c r="E24">
        <f>SUMIFS(banco!G:G,banco!$C:$C,$B24,banco!$A:$A,$A24)</f>
        <v>17</v>
      </c>
      <c r="F24" s="12">
        <f>IFERROR(E24/$P24,0)</f>
        <v>0.11333333333333333</v>
      </c>
      <c r="G24">
        <f>SUMIFS(banco!I:I,banco!$C:$C,$B24,banco!$A:$A,$A24)</f>
        <v>5918</v>
      </c>
      <c r="H24" s="12">
        <f>IFERROR(G24/$O24,0)</f>
        <v>0.38954713006845709</v>
      </c>
      <c r="I24">
        <f>SUMIFS(banco!K:K,banco!$C:$C,$B24,banco!$A:$A,$A24)</f>
        <v>56</v>
      </c>
      <c r="J24" s="12">
        <f>IFERROR(I24/$P24,0)</f>
        <v>0.37333333333333335</v>
      </c>
      <c r="K24">
        <f>SUMIFS(banco!M:M,banco!$C:$C,$B24,banco!$A:$A,$A24)</f>
        <v>7242</v>
      </c>
      <c r="L24" s="12">
        <f>IFERROR(K24/$O24,0)</f>
        <v>0.47669826224328593</v>
      </c>
      <c r="M24">
        <f>SUMIFS(banco!O:O,banco!$C:$C,$B24,banco!$A:$A,$A24)</f>
        <v>77</v>
      </c>
      <c r="N24" s="12">
        <f>IFERROR(M24/$P24,0)</f>
        <v>0.51333333333333331</v>
      </c>
      <c r="O24">
        <f>SUMIFS(banco!Q:Q,banco!$C:$C,$B24,banco!$A:$A,$A24)</f>
        <v>15192</v>
      </c>
      <c r="P24">
        <f>SUMIFS(banco!R:R,banco!$C:$C,$B24,banco!$A:$A,$A24)</f>
        <v>150</v>
      </c>
      <c r="Q24">
        <v>23176</v>
      </c>
    </row>
    <row r="25" spans="1:17" x14ac:dyDescent="0.25">
      <c r="A25" s="19">
        <v>2022</v>
      </c>
      <c r="B25" s="18" t="s">
        <v>147</v>
      </c>
      <c r="C25">
        <f>SUMIFS(banco!E:E,banco!$C:$C,$B25,banco!$A:$A,$A25)</f>
        <v>1458</v>
      </c>
      <c r="D25" s="12">
        <f>IFERROR(C25/$O25,0)</f>
        <v>0.2073968705547653</v>
      </c>
      <c r="E25">
        <f>SUMIFS(banco!G:G,banco!$C:$C,$B25,banco!$A:$A,$A25)</f>
        <v>9</v>
      </c>
      <c r="F25" s="12">
        <f>IFERROR(E25/$P25,0)</f>
        <v>0.20930232558139536</v>
      </c>
      <c r="G25">
        <f>SUMIFS(banco!I:I,banco!$C:$C,$B25,banco!$A:$A,$A25)</f>
        <v>2826</v>
      </c>
      <c r="H25" s="12">
        <f>IFERROR(G25/$O25,0)</f>
        <v>0.40199146514935991</v>
      </c>
      <c r="I25">
        <f>SUMIFS(banco!K:K,banco!$C:$C,$B25,banco!$A:$A,$A25)</f>
        <v>11</v>
      </c>
      <c r="J25" s="12">
        <f>IFERROR(I25/$P25,0)</f>
        <v>0.2558139534883721</v>
      </c>
      <c r="K25">
        <f>SUMIFS(banco!M:M,banco!$C:$C,$B25,banco!$A:$A,$A25)</f>
        <v>2746</v>
      </c>
      <c r="L25" s="12">
        <f>IFERROR(K25/$O25,0)</f>
        <v>0.39061166429587485</v>
      </c>
      <c r="M25">
        <f>SUMIFS(banco!O:O,banco!$C:$C,$B25,banco!$A:$A,$A25)</f>
        <v>23</v>
      </c>
      <c r="N25" s="12">
        <f>IFERROR(M25/$P25,0)</f>
        <v>0.53488372093023251</v>
      </c>
      <c r="O25">
        <f>SUMIFS(banco!Q:Q,banco!$C:$C,$B25,banco!$A:$A,$A25)</f>
        <v>7030</v>
      </c>
      <c r="P25">
        <f>SUMIFS(banco!R:R,banco!$C:$C,$B25,banco!$A:$A,$A25)</f>
        <v>43</v>
      </c>
      <c r="Q25">
        <v>6926</v>
      </c>
    </row>
    <row r="26" spans="1:17" x14ac:dyDescent="0.25">
      <c r="A26" s="20">
        <v>2021</v>
      </c>
      <c r="B26" s="18" t="s">
        <v>151</v>
      </c>
      <c r="C26">
        <f>SUMIFS(banco!E:E,banco!$C:$C,$B26,banco!$A:$A,$A26)</f>
        <v>403</v>
      </c>
      <c r="D26" s="12">
        <f>IFERROR(C26/$O26,0)</f>
        <v>0.15541843424604704</v>
      </c>
      <c r="E26">
        <f>SUMIFS(banco!G:G,banco!$C:$C,$B26,banco!$A:$A,$A26)</f>
        <v>2</v>
      </c>
      <c r="F26" s="12">
        <f>IFERROR(E26/$P26,0)</f>
        <v>3.9215686274509803E-2</v>
      </c>
      <c r="G26">
        <f>SUMIFS(banco!I:I,banco!$C:$C,$B26,banco!$A:$A,$A26)</f>
        <v>969</v>
      </c>
      <c r="H26" s="12">
        <f>IFERROR(G26/$O26,0)</f>
        <v>0.37369841881989974</v>
      </c>
      <c r="I26">
        <f>SUMIFS(banco!K:K,banco!$C:$C,$B26,banco!$A:$A,$A26)</f>
        <v>17</v>
      </c>
      <c r="J26" s="12">
        <f>IFERROR(I26/$P26,0)</f>
        <v>0.33333333333333331</v>
      </c>
      <c r="K26">
        <f>SUMIFS(banco!M:M,banco!$C:$C,$B26,banco!$A:$A,$A26)</f>
        <v>1221</v>
      </c>
      <c r="L26" s="12">
        <f>IFERROR(K26/$O26,0)</f>
        <v>0.4708831469340532</v>
      </c>
      <c r="M26">
        <f>SUMIFS(banco!O:O,banco!$C:$C,$B26,banco!$A:$A,$A26)</f>
        <v>32</v>
      </c>
      <c r="N26" s="12">
        <f>IFERROR(M26/$P26,0)</f>
        <v>0.62745098039215685</v>
      </c>
      <c r="O26">
        <f>SUMIFS(banco!Q:Q,banco!$C:$C,$B26,banco!$A:$A,$A26)</f>
        <v>2593</v>
      </c>
      <c r="P26">
        <f>SUMIFS(banco!R:R,banco!$C:$C,$B26,banco!$A:$A,$A26)</f>
        <v>51</v>
      </c>
      <c r="Q26">
        <v>9804</v>
      </c>
    </row>
    <row r="27" spans="1:17" x14ac:dyDescent="0.25">
      <c r="A27" s="20">
        <v>2021</v>
      </c>
      <c r="B27" s="18" t="s">
        <v>145</v>
      </c>
      <c r="C27">
        <f>SUMIFS(banco!E:E,banco!$C:$C,$B27,banco!$A:$A,$A27)</f>
        <v>926</v>
      </c>
      <c r="D27" s="12">
        <f>IFERROR(C27/$O27,0)</f>
        <v>0.15245307869608166</v>
      </c>
      <c r="E27">
        <f>SUMIFS(banco!G:G,banco!$C:$C,$B27,banco!$A:$A,$A27)</f>
        <v>15</v>
      </c>
      <c r="F27" s="12">
        <f>IFERROR(E27/$P27,0)</f>
        <v>0.15625</v>
      </c>
      <c r="G27">
        <f>SUMIFS(banco!I:I,banco!$C:$C,$B27,banco!$A:$A,$A27)</f>
        <v>2527</v>
      </c>
      <c r="H27" s="12">
        <f>IFERROR(G27/$O27,0)</f>
        <v>0.41603556140928549</v>
      </c>
      <c r="I27">
        <f>SUMIFS(banco!K:K,banco!$C:$C,$B27,banco!$A:$A,$A27)</f>
        <v>44</v>
      </c>
      <c r="J27" s="12">
        <f>IFERROR(I27/$P27,0)</f>
        <v>0.45833333333333331</v>
      </c>
      <c r="K27">
        <f>SUMIFS(banco!M:M,banco!$C:$C,$B27,banco!$A:$A,$A27)</f>
        <v>2621</v>
      </c>
      <c r="L27" s="12">
        <f>IFERROR(K27/$O27,0)</f>
        <v>0.43151135989463285</v>
      </c>
      <c r="M27">
        <f>SUMIFS(banco!O:O,banco!$C:$C,$B27,banco!$A:$A,$A27)</f>
        <v>37</v>
      </c>
      <c r="N27" s="12">
        <f>IFERROR(M27/$P27,0)</f>
        <v>0.38541666666666669</v>
      </c>
      <c r="O27">
        <f>SUMIFS(banco!Q:Q,banco!$C:$C,$B27,banco!$A:$A,$A27)</f>
        <v>6074</v>
      </c>
      <c r="P27">
        <f>SUMIFS(banco!R:R,banco!$C:$C,$B27,banco!$A:$A,$A27)</f>
        <v>96</v>
      </c>
      <c r="Q27">
        <v>17475</v>
      </c>
    </row>
    <row r="28" spans="1:17" x14ac:dyDescent="0.25">
      <c r="A28" s="20">
        <v>2021</v>
      </c>
      <c r="B28" s="18" t="s">
        <v>144</v>
      </c>
      <c r="C28">
        <f>SUMIFS(banco!E:E,banco!$C:$C,$B28,banco!$A:$A,$A28)</f>
        <v>244</v>
      </c>
      <c r="D28" s="12">
        <f>IFERROR(C28/$O28,0)</f>
        <v>0.12461695607763024</v>
      </c>
      <c r="E28">
        <f>SUMIFS(banco!G:G,banco!$C:$C,$B28,banco!$A:$A,$A28)</f>
        <v>8</v>
      </c>
      <c r="F28" s="12">
        <f>IFERROR(E28/$P28,0)</f>
        <v>0.18604651162790697</v>
      </c>
      <c r="G28">
        <f>SUMIFS(banco!I:I,banco!$C:$C,$B28,banco!$A:$A,$A28)</f>
        <v>812</v>
      </c>
      <c r="H28" s="12">
        <f>IFERROR(G28/$O28,0)</f>
        <v>0.41470888661899896</v>
      </c>
      <c r="I28">
        <f>SUMIFS(banco!K:K,banco!$C:$C,$B28,banco!$A:$A,$A28)</f>
        <v>14</v>
      </c>
      <c r="J28" s="12">
        <f>IFERROR(I28/$P28,0)</f>
        <v>0.32558139534883723</v>
      </c>
      <c r="K28">
        <f>SUMIFS(banco!M:M,banco!$C:$C,$B28,banco!$A:$A,$A28)</f>
        <v>902</v>
      </c>
      <c r="L28" s="12">
        <f>IFERROR(K28/$O28,0)</f>
        <v>0.4606741573033708</v>
      </c>
      <c r="M28">
        <f>SUMIFS(banco!O:O,banco!$C:$C,$B28,banco!$A:$A,$A28)</f>
        <v>21</v>
      </c>
      <c r="N28" s="12">
        <f>IFERROR(M28/$P28,0)</f>
        <v>0.48837209302325579</v>
      </c>
      <c r="O28">
        <f>SUMIFS(banco!Q:Q,banco!$C:$C,$B28,banco!$A:$A,$A28)</f>
        <v>1958</v>
      </c>
      <c r="P28">
        <f>SUMIFS(banco!R:R,banco!$C:$C,$B28,banco!$A:$A,$A28)</f>
        <v>43</v>
      </c>
      <c r="Q28">
        <v>10159</v>
      </c>
    </row>
    <row r="29" spans="1:17" x14ac:dyDescent="0.25">
      <c r="A29" s="20">
        <v>2021</v>
      </c>
      <c r="B29" s="18" t="s">
        <v>148</v>
      </c>
      <c r="C29">
        <f>SUMIFS(banco!E:E,banco!$C:$C,$B29,banco!$A:$A,$A29)</f>
        <v>761</v>
      </c>
      <c r="D29" s="12">
        <f>IFERROR(C29/$O29,0)</f>
        <v>0.14328751647524007</v>
      </c>
      <c r="E29">
        <f>SUMIFS(banco!G:G,banco!$C:$C,$B29,banco!$A:$A,$A29)</f>
        <v>25</v>
      </c>
      <c r="F29" s="12">
        <f>IFERROR(E29/$P29,0)</f>
        <v>0.19230769230769232</v>
      </c>
      <c r="G29">
        <f>SUMIFS(banco!I:I,banco!$C:$C,$B29,banco!$A:$A,$A29)</f>
        <v>2172</v>
      </c>
      <c r="H29" s="12">
        <f>IFERROR(G29/$O29,0)</f>
        <v>0.40896253059687443</v>
      </c>
      <c r="I29">
        <f>SUMIFS(banco!K:K,banco!$C:$C,$B29,banco!$A:$A,$A29)</f>
        <v>42</v>
      </c>
      <c r="J29" s="12">
        <f>IFERROR(I29/$P29,0)</f>
        <v>0.32307692307692309</v>
      </c>
      <c r="K29">
        <f>SUMIFS(banco!M:M,banco!$C:$C,$B29,banco!$A:$A,$A29)</f>
        <v>2378</v>
      </c>
      <c r="L29" s="12">
        <f>IFERROR(K29/$O29,0)</f>
        <v>0.4477499529278855</v>
      </c>
      <c r="M29">
        <f>SUMIFS(banco!O:O,banco!$C:$C,$B29,banco!$A:$A,$A29)</f>
        <v>63</v>
      </c>
      <c r="N29" s="12">
        <f>IFERROR(M29/$P29,0)</f>
        <v>0.48461538461538461</v>
      </c>
      <c r="O29">
        <f>SUMIFS(banco!Q:Q,banco!$C:$C,$B29,banco!$A:$A,$A29)</f>
        <v>5311</v>
      </c>
      <c r="P29">
        <f>SUMIFS(banco!R:R,banco!$C:$C,$B29,banco!$A:$A,$A29)</f>
        <v>130</v>
      </c>
      <c r="Q29">
        <v>29884</v>
      </c>
    </row>
    <row r="30" spans="1:17" x14ac:dyDescent="0.25">
      <c r="A30" s="20">
        <v>2021</v>
      </c>
      <c r="B30" s="18" t="s">
        <v>150</v>
      </c>
      <c r="C30">
        <f>SUMIFS(banco!E:E,banco!$C:$C,$B30,banco!$A:$A,$A30)</f>
        <v>304</v>
      </c>
      <c r="D30" s="12">
        <f>IFERROR(C30/$O30,0)</f>
        <v>0.12969283276450511</v>
      </c>
      <c r="E30">
        <f>SUMIFS(banco!G:G,banco!$C:$C,$B30,banco!$A:$A,$A30)</f>
        <v>6</v>
      </c>
      <c r="F30" s="12">
        <f>IFERROR(E30/$P30,0)</f>
        <v>0.12244897959183673</v>
      </c>
      <c r="G30">
        <f>SUMIFS(banco!I:I,banco!$C:$C,$B30,banco!$A:$A,$A30)</f>
        <v>929</v>
      </c>
      <c r="H30" s="12">
        <f>IFERROR(G30/$O30,0)</f>
        <v>0.3963310580204778</v>
      </c>
      <c r="I30">
        <f>SUMIFS(banco!K:K,banco!$C:$C,$B30,banco!$A:$A,$A30)</f>
        <v>16</v>
      </c>
      <c r="J30" s="12">
        <f>IFERROR(I30/$P30,0)</f>
        <v>0.32653061224489793</v>
      </c>
      <c r="K30">
        <f>SUMIFS(banco!M:M,banco!$C:$C,$B30,banco!$A:$A,$A30)</f>
        <v>1111</v>
      </c>
      <c r="L30" s="12">
        <f>IFERROR(K30/$O30,0)</f>
        <v>0.47397610921501704</v>
      </c>
      <c r="M30">
        <f>SUMIFS(banco!O:O,banco!$C:$C,$B30,banco!$A:$A,$A30)</f>
        <v>27</v>
      </c>
      <c r="N30" s="12">
        <f>IFERROR(M30/$P30,0)</f>
        <v>0.55102040816326525</v>
      </c>
      <c r="O30">
        <f>SUMIFS(banco!Q:Q,banco!$C:$C,$B30,banco!$A:$A,$A30)</f>
        <v>2344</v>
      </c>
      <c r="P30">
        <f>SUMIFS(banco!R:R,banco!$C:$C,$B30,banco!$A:$A,$A30)</f>
        <v>49</v>
      </c>
      <c r="Q30">
        <v>12113</v>
      </c>
    </row>
    <row r="31" spans="1:17" x14ac:dyDescent="0.25">
      <c r="A31" s="20">
        <v>2021</v>
      </c>
      <c r="B31" s="18" t="s">
        <v>146</v>
      </c>
      <c r="C31">
        <f>SUMIFS(banco!E:E,banco!$C:$C,$B31,banco!$A:$A,$A31)</f>
        <v>531</v>
      </c>
      <c r="D31" s="12">
        <f>IFERROR(C31/$O31,0)</f>
        <v>0.12429775280898876</v>
      </c>
      <c r="E31">
        <f>SUMIFS(banco!G:G,banco!$C:$C,$B31,banco!$A:$A,$A31)</f>
        <v>7</v>
      </c>
      <c r="F31" s="12">
        <f>IFERROR(E31/$P31,0)</f>
        <v>5.2631578947368418E-2</v>
      </c>
      <c r="G31">
        <f>SUMIFS(banco!I:I,banco!$C:$C,$B31,banco!$A:$A,$A31)</f>
        <v>1643</v>
      </c>
      <c r="H31" s="12">
        <f>IFERROR(G31/$O31,0)</f>
        <v>0.38459737827715357</v>
      </c>
      <c r="I31">
        <f>SUMIFS(banco!K:K,banco!$C:$C,$B31,banco!$A:$A,$A31)</f>
        <v>53</v>
      </c>
      <c r="J31" s="12">
        <f>IFERROR(I31/$P31,0)</f>
        <v>0.39849624060150374</v>
      </c>
      <c r="K31">
        <f>SUMIFS(banco!M:M,banco!$C:$C,$B31,banco!$A:$A,$A31)</f>
        <v>2098</v>
      </c>
      <c r="L31" s="12">
        <f>IFERROR(K31/$O31,0)</f>
        <v>0.49110486891385768</v>
      </c>
      <c r="M31">
        <f>SUMIFS(banco!O:O,banco!$C:$C,$B31,banco!$A:$A,$A31)</f>
        <v>73</v>
      </c>
      <c r="N31" s="12">
        <f>IFERROR(M31/$P31,0)</f>
        <v>0.54887218045112784</v>
      </c>
      <c r="O31">
        <f>SUMIFS(banco!Q:Q,banco!$C:$C,$B31,banco!$A:$A,$A31)</f>
        <v>4272</v>
      </c>
      <c r="P31">
        <f>SUMIFS(banco!R:R,banco!$C:$C,$B31,banco!$A:$A,$A31)</f>
        <v>133</v>
      </c>
      <c r="Q31">
        <v>13112</v>
      </c>
    </row>
    <row r="32" spans="1:17" x14ac:dyDescent="0.25">
      <c r="A32" s="20">
        <v>2021</v>
      </c>
      <c r="B32" s="18" t="s">
        <v>149</v>
      </c>
      <c r="C32">
        <f>SUMIFS(banco!E:E,banco!$C:$C,$B32,banco!$A:$A,$A32)</f>
        <v>1071</v>
      </c>
      <c r="D32" s="12">
        <f>IFERROR(C32/$O32,0)</f>
        <v>0.13128217700416769</v>
      </c>
      <c r="E32">
        <f>SUMIFS(banco!G:G,banco!$C:$C,$B32,banco!$A:$A,$A32)</f>
        <v>19</v>
      </c>
      <c r="F32" s="12">
        <f>IFERROR(E32/$P32,0)</f>
        <v>0.14503816793893129</v>
      </c>
      <c r="G32">
        <f>SUMIFS(banco!I:I,banco!$C:$C,$B32,banco!$A:$A,$A32)</f>
        <v>3251</v>
      </c>
      <c r="H32" s="12">
        <f>IFERROR(G32/$O32,0)</f>
        <v>0.39850453542534936</v>
      </c>
      <c r="I32">
        <f>SUMIFS(banco!K:K,banco!$C:$C,$B32,banco!$A:$A,$A32)</f>
        <v>45</v>
      </c>
      <c r="J32" s="12">
        <f>IFERROR(I32/$P32,0)</f>
        <v>0.34351145038167941</v>
      </c>
      <c r="K32">
        <f>SUMIFS(banco!M:M,banco!$C:$C,$B32,banco!$A:$A,$A32)</f>
        <v>3836</v>
      </c>
      <c r="L32" s="12">
        <f>IFERROR(K32/$O32,0)</f>
        <v>0.47021328757048297</v>
      </c>
      <c r="M32">
        <f>SUMIFS(banco!O:O,banco!$C:$C,$B32,banco!$A:$A,$A32)</f>
        <v>67</v>
      </c>
      <c r="N32" s="12">
        <f>IFERROR(M32/$P32,0)</f>
        <v>0.51145038167938928</v>
      </c>
      <c r="O32">
        <f>SUMIFS(banco!Q:Q,banco!$C:$C,$B32,banco!$A:$A,$A32)</f>
        <v>8158</v>
      </c>
      <c r="P32">
        <f>SUMIFS(banco!R:R,banco!$C:$C,$B32,banco!$A:$A,$A32)</f>
        <v>131</v>
      </c>
      <c r="Q32">
        <v>23249</v>
      </c>
    </row>
    <row r="33" spans="1:17" x14ac:dyDescent="0.25">
      <c r="A33" s="20">
        <v>2021</v>
      </c>
      <c r="B33" s="18" t="s">
        <v>147</v>
      </c>
      <c r="C33">
        <f>SUMIFS(banco!E:E,banco!$C:$C,$B33,banco!$A:$A,$A33)</f>
        <v>480</v>
      </c>
      <c r="D33" s="12">
        <f>IFERROR(C33/$O33,0)</f>
        <v>0.17903767251025737</v>
      </c>
      <c r="E33">
        <f>SUMIFS(banco!G:G,banco!$C:$C,$B33,banco!$A:$A,$A33)</f>
        <v>7</v>
      </c>
      <c r="F33" s="12">
        <f>IFERROR(E33/$P33,0)</f>
        <v>0.20588235294117646</v>
      </c>
      <c r="G33">
        <f>SUMIFS(banco!I:I,banco!$C:$C,$B33,banco!$A:$A,$A33)</f>
        <v>1132</v>
      </c>
      <c r="H33" s="12">
        <f>IFERROR(G33/$O33,0)</f>
        <v>0.42223051100335696</v>
      </c>
      <c r="I33">
        <f>SUMIFS(banco!K:K,banco!$C:$C,$B33,banco!$A:$A,$A33)</f>
        <v>11</v>
      </c>
      <c r="J33" s="12">
        <f>IFERROR(I33/$P33,0)</f>
        <v>0.3235294117647059</v>
      </c>
      <c r="K33">
        <f>SUMIFS(banco!M:M,banco!$C:$C,$B33,banco!$A:$A,$A33)</f>
        <v>1069</v>
      </c>
      <c r="L33" s="12">
        <f>IFERROR(K33/$O33,0)</f>
        <v>0.39873181648638567</v>
      </c>
      <c r="M33">
        <f>SUMIFS(banco!O:O,banco!$C:$C,$B33,banco!$A:$A,$A33)</f>
        <v>16</v>
      </c>
      <c r="N33" s="12">
        <f>IFERROR(M33/$P33,0)</f>
        <v>0.47058823529411764</v>
      </c>
      <c r="O33">
        <f>SUMIFS(banco!Q:Q,banco!$C:$C,$B33,banco!$A:$A,$A33)</f>
        <v>2681</v>
      </c>
      <c r="P33">
        <f>SUMIFS(banco!R:R,banco!$C:$C,$B33,banco!$A:$A,$A33)</f>
        <v>34</v>
      </c>
      <c r="Q33">
        <v>7087</v>
      </c>
    </row>
    <row r="34" spans="1:17" x14ac:dyDescent="0.25">
      <c r="A34" s="20">
        <v>2020</v>
      </c>
      <c r="B34" s="18" t="s">
        <v>151</v>
      </c>
      <c r="C34">
        <f>SUMIFS(banco!E:E,banco!$C:$C,$B34,banco!$A:$A,$A34)</f>
        <v>295</v>
      </c>
      <c r="D34" s="12">
        <f>IFERROR(C34/$O34,0)</f>
        <v>0.16676088185415489</v>
      </c>
      <c r="E34">
        <f>SUMIFS(banco!G:G,banco!$C:$C,$B34,banco!$A:$A,$A34)</f>
        <v>5</v>
      </c>
      <c r="F34" s="12">
        <f>IFERROR(E34/$P34,0)</f>
        <v>0.23809523809523808</v>
      </c>
      <c r="G34">
        <f>SUMIFS(banco!I:I,banco!$C:$C,$B34,banco!$A:$A,$A34)</f>
        <v>697</v>
      </c>
      <c r="H34" s="12">
        <f>IFERROR(G34/$O34,0)</f>
        <v>0.39400791407574903</v>
      </c>
      <c r="I34">
        <f>SUMIFS(banco!K:K,banco!$C:$C,$B34,banco!$A:$A,$A34)</f>
        <v>7</v>
      </c>
      <c r="J34" s="12">
        <f>IFERROR(I34/$P34,0)</f>
        <v>0.33333333333333331</v>
      </c>
      <c r="K34">
        <f>SUMIFS(banco!M:M,banco!$C:$C,$B34,banco!$A:$A,$A34)</f>
        <v>777</v>
      </c>
      <c r="L34" s="12">
        <f>IFERROR(K34/$O34,0)</f>
        <v>0.43923120407009608</v>
      </c>
      <c r="M34">
        <f>SUMIFS(banco!O:O,banco!$C:$C,$B34,banco!$A:$A,$A34)</f>
        <v>9</v>
      </c>
      <c r="N34" s="12">
        <f>IFERROR(M34/$P34,0)</f>
        <v>0.42857142857142855</v>
      </c>
      <c r="O34">
        <f>SUMIFS(banco!Q:Q,banco!$C:$C,$B34,banco!$A:$A,$A34)</f>
        <v>1769</v>
      </c>
      <c r="P34">
        <f>SUMIFS(banco!R:R,banco!$C:$C,$B34,banco!$A:$A,$A34)</f>
        <v>21</v>
      </c>
      <c r="Q34">
        <v>9797</v>
      </c>
    </row>
    <row r="35" spans="1:17" x14ac:dyDescent="0.25">
      <c r="A35" s="20">
        <v>2020</v>
      </c>
      <c r="B35" s="18" t="s">
        <v>145</v>
      </c>
      <c r="C35">
        <f>SUMIFS(banco!E:E,banco!$C:$C,$B35,banco!$A:$A,$A35)</f>
        <v>607</v>
      </c>
      <c r="D35" s="12">
        <f>IFERROR(C35/$O35,0)</f>
        <v>0.15324413027013381</v>
      </c>
      <c r="E35">
        <f>SUMIFS(banco!G:G,banco!$C:$C,$B35,banco!$A:$A,$A35)</f>
        <v>4</v>
      </c>
      <c r="F35" s="12">
        <f>IFERROR(E35/$P35,0)</f>
        <v>0.08</v>
      </c>
      <c r="G35">
        <f>SUMIFS(banco!I:I,banco!$C:$C,$B35,banco!$A:$A,$A35)</f>
        <v>1641</v>
      </c>
      <c r="H35" s="12">
        <f>IFERROR(G35/$O35,0)</f>
        <v>0.41428932087856601</v>
      </c>
      <c r="I35">
        <f>SUMIFS(banco!K:K,banco!$C:$C,$B35,banco!$A:$A,$A35)</f>
        <v>21</v>
      </c>
      <c r="J35" s="12">
        <f>IFERROR(I35/$P35,0)</f>
        <v>0.42</v>
      </c>
      <c r="K35">
        <f>SUMIFS(banco!M:M,banco!$C:$C,$B35,banco!$A:$A,$A35)</f>
        <v>1713</v>
      </c>
      <c r="L35" s="12">
        <f>IFERROR(K35/$O35,0)</f>
        <v>0.4324665488513002</v>
      </c>
      <c r="M35">
        <f>SUMIFS(banco!O:O,banco!$C:$C,$B35,banco!$A:$A,$A35)</f>
        <v>25</v>
      </c>
      <c r="N35" s="12">
        <f>IFERROR(M35/$P35,0)</f>
        <v>0.5</v>
      </c>
      <c r="O35">
        <f>SUMIFS(banco!Q:Q,banco!$C:$C,$B35,banco!$A:$A,$A35)</f>
        <v>3961</v>
      </c>
      <c r="P35">
        <f>SUMIFS(banco!R:R,banco!$C:$C,$B35,banco!$A:$A,$A35)</f>
        <v>50</v>
      </c>
      <c r="Q35">
        <v>17696</v>
      </c>
    </row>
    <row r="36" spans="1:17" x14ac:dyDescent="0.25">
      <c r="A36" s="20">
        <v>2020</v>
      </c>
      <c r="B36" s="18" t="s">
        <v>144</v>
      </c>
      <c r="C36">
        <f>SUMIFS(banco!E:E,banco!$C:$C,$B36,banco!$A:$A,$A36)</f>
        <v>219</v>
      </c>
      <c r="D36" s="12">
        <f>IFERROR(C36/$O36,0)</f>
        <v>0.14038461538461539</v>
      </c>
      <c r="E36">
        <f>SUMIFS(banco!G:G,banco!$C:$C,$B36,banco!$A:$A,$A36)</f>
        <v>7</v>
      </c>
      <c r="F36" s="12">
        <f>IFERROR(E36/$P36,0)</f>
        <v>0.17073170731707318</v>
      </c>
      <c r="G36">
        <f>SUMIFS(banco!I:I,banco!$C:$C,$B36,banco!$A:$A,$A36)</f>
        <v>670</v>
      </c>
      <c r="H36" s="12">
        <f>IFERROR(G36/$O36,0)</f>
        <v>0.42948717948717946</v>
      </c>
      <c r="I36">
        <f>SUMIFS(banco!K:K,banco!$C:$C,$B36,banco!$A:$A,$A36)</f>
        <v>13</v>
      </c>
      <c r="J36" s="12">
        <f>IFERROR(I36/$P36,0)</f>
        <v>0.31707317073170732</v>
      </c>
      <c r="K36">
        <f>SUMIFS(banco!M:M,banco!$C:$C,$B36,banco!$A:$A,$A36)</f>
        <v>671</v>
      </c>
      <c r="L36" s="12">
        <f>IFERROR(K36/$O36,0)</f>
        <v>0.43012820512820515</v>
      </c>
      <c r="M36">
        <f>SUMIFS(banco!O:O,banco!$C:$C,$B36,banco!$A:$A,$A36)</f>
        <v>21</v>
      </c>
      <c r="N36" s="12">
        <f>IFERROR(M36/$P36,0)</f>
        <v>0.51219512195121952</v>
      </c>
      <c r="O36">
        <f>SUMIFS(banco!Q:Q,banco!$C:$C,$B36,banco!$A:$A,$A36)</f>
        <v>1560</v>
      </c>
      <c r="P36">
        <f>SUMIFS(banco!R:R,banco!$C:$C,$B36,banco!$A:$A,$A36)</f>
        <v>41</v>
      </c>
      <c r="Q36">
        <v>10108</v>
      </c>
    </row>
    <row r="37" spans="1:17" x14ac:dyDescent="0.25">
      <c r="A37" s="20">
        <v>2020</v>
      </c>
      <c r="B37" s="18" t="s">
        <v>148</v>
      </c>
      <c r="C37">
        <f>SUMIFS(banco!E:E,banco!$C:$C,$B37,banco!$A:$A,$A37)</f>
        <v>551</v>
      </c>
      <c r="D37" s="12">
        <f>IFERROR(C37/$O37,0)</f>
        <v>0.13713290194126432</v>
      </c>
      <c r="E37">
        <f>SUMIFS(banco!G:G,banco!$C:$C,$B37,banco!$A:$A,$A37)</f>
        <v>20</v>
      </c>
      <c r="F37" s="12">
        <f>IFERROR(E37/$P37,0)</f>
        <v>0.16528925619834711</v>
      </c>
      <c r="G37">
        <f>SUMIFS(banco!I:I,banco!$C:$C,$B37,banco!$A:$A,$A37)</f>
        <v>1595</v>
      </c>
      <c r="H37" s="12">
        <f>IFERROR(G37/$O37,0)</f>
        <v>0.39696366351418616</v>
      </c>
      <c r="I37">
        <f>SUMIFS(banco!K:K,banco!$C:$C,$B37,banco!$A:$A,$A37)</f>
        <v>50</v>
      </c>
      <c r="J37" s="12">
        <f>IFERROR(I37/$P37,0)</f>
        <v>0.41322314049586778</v>
      </c>
      <c r="K37">
        <f>SUMIFS(banco!M:M,banco!$C:$C,$B37,banco!$A:$A,$A37)</f>
        <v>1872</v>
      </c>
      <c r="L37" s="12">
        <f>IFERROR(K37/$O37,0)</f>
        <v>0.46590343454454952</v>
      </c>
      <c r="M37">
        <f>SUMIFS(banco!O:O,banco!$C:$C,$B37,banco!$A:$A,$A37)</f>
        <v>51</v>
      </c>
      <c r="N37" s="12">
        <f>IFERROR(M37/$P37,0)</f>
        <v>0.42148760330578511</v>
      </c>
      <c r="O37">
        <f>SUMIFS(banco!Q:Q,banco!$C:$C,$B37,banco!$A:$A,$A37)</f>
        <v>4018</v>
      </c>
      <c r="P37">
        <f>SUMIFS(banco!R:R,banco!$C:$C,$B37,banco!$A:$A,$A37)</f>
        <v>121</v>
      </c>
      <c r="Q37">
        <v>29712</v>
      </c>
    </row>
    <row r="38" spans="1:17" x14ac:dyDescent="0.25">
      <c r="A38" s="20">
        <v>2020</v>
      </c>
      <c r="B38" s="18" t="s">
        <v>150</v>
      </c>
      <c r="C38">
        <f>SUMIFS(banco!E:E,banco!$C:$C,$B38,banco!$A:$A,$A38)</f>
        <v>253</v>
      </c>
      <c r="D38" s="12">
        <f>IFERROR(C38/$O38,0)</f>
        <v>0.14573732718894009</v>
      </c>
      <c r="E38">
        <f>SUMIFS(banco!G:G,banco!$C:$C,$B38,banco!$A:$A,$A38)</f>
        <v>7</v>
      </c>
      <c r="F38" s="12">
        <f>IFERROR(E38/$P38,0)</f>
        <v>0.17499999999999999</v>
      </c>
      <c r="G38">
        <f>SUMIFS(banco!I:I,banco!$C:$C,$B38,banco!$A:$A,$A38)</f>
        <v>695</v>
      </c>
      <c r="H38" s="12">
        <f>IFERROR(G38/$O38,0)</f>
        <v>0.40034562211981567</v>
      </c>
      <c r="I38">
        <f>SUMIFS(banco!K:K,banco!$C:$C,$B38,banco!$A:$A,$A38)</f>
        <v>14</v>
      </c>
      <c r="J38" s="12">
        <f>IFERROR(I38/$P38,0)</f>
        <v>0.35</v>
      </c>
      <c r="K38">
        <f>SUMIFS(banco!M:M,banco!$C:$C,$B38,banco!$A:$A,$A38)</f>
        <v>788</v>
      </c>
      <c r="L38" s="12">
        <f>IFERROR(K38/$O38,0)</f>
        <v>0.45391705069124422</v>
      </c>
      <c r="M38">
        <f>SUMIFS(banco!O:O,banco!$C:$C,$B38,banco!$A:$A,$A38)</f>
        <v>19</v>
      </c>
      <c r="N38" s="12">
        <f>IFERROR(M38/$P38,0)</f>
        <v>0.47499999999999998</v>
      </c>
      <c r="O38">
        <f>SUMIFS(banco!Q:Q,banco!$C:$C,$B38,banco!$A:$A,$A38)</f>
        <v>1736</v>
      </c>
      <c r="P38">
        <f>SUMIFS(banco!R:R,banco!$C:$C,$B38,banco!$A:$A,$A38)</f>
        <v>40</v>
      </c>
      <c r="Q38">
        <v>12166</v>
      </c>
    </row>
    <row r="39" spans="1:17" x14ac:dyDescent="0.25">
      <c r="A39" s="20">
        <v>2020</v>
      </c>
      <c r="B39" s="18" t="s">
        <v>146</v>
      </c>
      <c r="C39">
        <f>SUMIFS(banco!E:E,banco!$C:$C,$B39,banco!$A:$A,$A39)</f>
        <v>414</v>
      </c>
      <c r="D39" s="12">
        <f>IFERROR(C39/$O39,0)</f>
        <v>0.13672391017173052</v>
      </c>
      <c r="E39">
        <f>SUMIFS(banco!G:G,banco!$C:$C,$B39,banco!$A:$A,$A39)</f>
        <v>9</v>
      </c>
      <c r="F39" s="12">
        <f>IFERROR(E39/$P39,0)</f>
        <v>0.12328767123287671</v>
      </c>
      <c r="G39">
        <f>SUMIFS(banco!I:I,banco!$C:$C,$B39,banco!$A:$A,$A39)</f>
        <v>1183</v>
      </c>
      <c r="H39" s="12">
        <f>IFERROR(G39/$O39,0)</f>
        <v>0.39068692206076616</v>
      </c>
      <c r="I39">
        <f>SUMIFS(banco!K:K,banco!$C:$C,$B39,banco!$A:$A,$A39)</f>
        <v>25</v>
      </c>
      <c r="J39" s="12">
        <f>IFERROR(I39/$P39,0)</f>
        <v>0.34246575342465752</v>
      </c>
      <c r="K39">
        <f>SUMIFS(banco!M:M,banco!$C:$C,$B39,banco!$A:$A,$A39)</f>
        <v>1431</v>
      </c>
      <c r="L39" s="12">
        <f>IFERROR(K39/$O39,0)</f>
        <v>0.47258916776750332</v>
      </c>
      <c r="M39">
        <f>SUMIFS(banco!O:O,banco!$C:$C,$B39,banco!$A:$A,$A39)</f>
        <v>39</v>
      </c>
      <c r="N39" s="12">
        <f>IFERROR(M39/$P39,0)</f>
        <v>0.53424657534246578</v>
      </c>
      <c r="O39">
        <f>SUMIFS(banco!Q:Q,banco!$C:$C,$B39,banco!$A:$A,$A39)</f>
        <v>3028</v>
      </c>
      <c r="P39">
        <f>SUMIFS(banco!R:R,banco!$C:$C,$B39,banco!$A:$A,$A39)</f>
        <v>73</v>
      </c>
      <c r="Q39">
        <v>13131</v>
      </c>
    </row>
    <row r="40" spans="1:17" x14ac:dyDescent="0.25">
      <c r="A40" s="20">
        <v>2020</v>
      </c>
      <c r="B40" s="18" t="s">
        <v>149</v>
      </c>
      <c r="C40">
        <f>SUMIFS(banco!E:E,banco!$C:$C,$B40,banco!$A:$A,$A40)</f>
        <v>636</v>
      </c>
      <c r="D40" s="12">
        <f>IFERROR(C40/$O40,0)</f>
        <v>0.14011896893588896</v>
      </c>
      <c r="E40">
        <f>SUMIFS(banco!G:G,banco!$C:$C,$B40,banco!$A:$A,$A40)</f>
        <v>14</v>
      </c>
      <c r="F40" s="12">
        <f>IFERROR(E40/$P40,0)</f>
        <v>0.15384615384615385</v>
      </c>
      <c r="G40">
        <f>SUMIFS(banco!I:I,banco!$C:$C,$B40,banco!$A:$A,$A40)</f>
        <v>1860</v>
      </c>
      <c r="H40" s="12">
        <f>IFERROR(G40/$O40,0)</f>
        <v>0.40978189028420359</v>
      </c>
      <c r="I40">
        <f>SUMIFS(banco!K:K,banco!$C:$C,$B40,banco!$A:$A,$A40)</f>
        <v>32</v>
      </c>
      <c r="J40" s="12">
        <f>IFERROR(I40/$P40,0)</f>
        <v>0.35164835164835168</v>
      </c>
      <c r="K40">
        <f>SUMIFS(banco!M:M,banco!$C:$C,$B40,banco!$A:$A,$A40)</f>
        <v>2043</v>
      </c>
      <c r="L40" s="12">
        <f>IFERROR(K40/$O40,0)</f>
        <v>0.45009914077990748</v>
      </c>
      <c r="M40">
        <f>SUMIFS(banco!O:O,banco!$C:$C,$B40,banco!$A:$A,$A40)</f>
        <v>45</v>
      </c>
      <c r="N40" s="12">
        <f>IFERROR(M40/$P40,0)</f>
        <v>0.49450549450549453</v>
      </c>
      <c r="O40">
        <f>SUMIFS(banco!Q:Q,banco!$C:$C,$B40,banco!$A:$A,$A40)</f>
        <v>4539</v>
      </c>
      <c r="P40">
        <f>SUMIFS(banco!R:R,banco!$C:$C,$B40,banco!$A:$A,$A40)</f>
        <v>91</v>
      </c>
      <c r="Q40">
        <v>23268</v>
      </c>
    </row>
    <row r="41" spans="1:17" x14ac:dyDescent="0.25">
      <c r="A41" s="20">
        <v>2020</v>
      </c>
      <c r="B41" s="18" t="s">
        <v>147</v>
      </c>
      <c r="C41">
        <f>SUMIFS(banco!E:E,banco!$C:$C,$B41,banco!$A:$A,$A41)</f>
        <v>273</v>
      </c>
      <c r="D41" s="12">
        <f>IFERROR(C41/$O41,0)</f>
        <v>0.19402985074626866</v>
      </c>
      <c r="E41">
        <f>SUMIFS(banco!G:G,banco!$C:$C,$B41,banco!$A:$A,$A41)</f>
        <v>5</v>
      </c>
      <c r="F41" s="12">
        <f>IFERROR(E41/$P41,0)</f>
        <v>0.2</v>
      </c>
      <c r="G41">
        <f>SUMIFS(banco!I:I,banco!$C:$C,$B41,banco!$A:$A,$A41)</f>
        <v>632</v>
      </c>
      <c r="H41" s="12">
        <f>IFERROR(G41/$O41,0)</f>
        <v>0.449182658137882</v>
      </c>
      <c r="I41">
        <f>SUMIFS(banco!K:K,banco!$C:$C,$B41,banco!$A:$A,$A41)</f>
        <v>6</v>
      </c>
      <c r="J41" s="12">
        <f>IFERROR(I41/$P41,0)</f>
        <v>0.24</v>
      </c>
      <c r="K41">
        <f>SUMIFS(banco!M:M,banco!$C:$C,$B41,banco!$A:$A,$A41)</f>
        <v>502</v>
      </c>
      <c r="L41" s="12">
        <f>IFERROR(K41/$O41,0)</f>
        <v>0.35678749111584934</v>
      </c>
      <c r="M41">
        <f>SUMIFS(banco!O:O,banco!$C:$C,$B41,banco!$A:$A,$A41)</f>
        <v>14</v>
      </c>
      <c r="N41" s="12">
        <f>IFERROR(M41/$P41,0)</f>
        <v>0.56000000000000005</v>
      </c>
      <c r="O41">
        <f>SUMIFS(banco!Q:Q,banco!$C:$C,$B41,banco!$A:$A,$A41)</f>
        <v>1407</v>
      </c>
      <c r="P41">
        <f>SUMIFS(banco!R:R,banco!$C:$C,$B41,banco!$A:$A,$A41)</f>
        <v>25</v>
      </c>
      <c r="Q41">
        <v>7239</v>
      </c>
    </row>
    <row r="42" spans="1:17" x14ac:dyDescent="0.25">
      <c r="A42" s="20">
        <v>2019</v>
      </c>
      <c r="B42" s="18" t="s">
        <v>151</v>
      </c>
      <c r="C42">
        <f>SUMIFS(banco!E:E,banco!$C:$C,$B42,banco!$A:$A,$A42)</f>
        <v>423</v>
      </c>
      <c r="D42" s="12">
        <f>IFERROR(C42/$O42,0)</f>
        <v>5.0628366247755838E-2</v>
      </c>
      <c r="E42">
        <f>SUMIFS(banco!G:G,banco!$C:$C,$B42,banco!$A:$A,$A42)</f>
        <v>11</v>
      </c>
      <c r="F42" s="12">
        <f>IFERROR(E42/$P42,0)</f>
        <v>0.10377358490566038</v>
      </c>
      <c r="G42">
        <f>SUMIFS(banco!I:I,banco!$C:$C,$B42,banco!$A:$A,$A42)</f>
        <v>1028</v>
      </c>
      <c r="H42" s="12">
        <f>IFERROR(G42/$O42,0)</f>
        <v>0.12304009575104728</v>
      </c>
      <c r="I42">
        <f>SUMIFS(banco!K:K,banco!$C:$C,$B42,banco!$A:$A,$A42)</f>
        <v>32</v>
      </c>
      <c r="J42" s="12">
        <f>IFERROR(I42/$P42,0)</f>
        <v>0.30188679245283018</v>
      </c>
      <c r="K42">
        <f>SUMIFS(banco!M:M,banco!$C:$C,$B42,banco!$A:$A,$A42)</f>
        <v>1137</v>
      </c>
      <c r="L42" s="12">
        <f>IFERROR(K42/$O42,0)</f>
        <v>0.13608617594254938</v>
      </c>
      <c r="M42">
        <f>SUMIFS(banco!O:O,banco!$C:$C,$B42,banco!$A:$A,$A42)</f>
        <v>63</v>
      </c>
      <c r="N42" s="12">
        <f>IFERROR(M42/$P42,0)</f>
        <v>0.59433962264150941</v>
      </c>
      <c r="O42">
        <f>SUMIFS(banco!Q:Q,banco!$C:$C,$B42,banco!$A:$A,$A42)</f>
        <v>8355</v>
      </c>
      <c r="P42">
        <f>SUMIFS(banco!R:R,banco!$C:$C,$B42,banco!$A:$A,$A42)</f>
        <v>106</v>
      </c>
      <c r="Q42">
        <v>9714</v>
      </c>
    </row>
    <row r="43" spans="1:17" x14ac:dyDescent="0.25">
      <c r="A43" s="20">
        <v>2019</v>
      </c>
      <c r="B43" s="18" t="s">
        <v>145</v>
      </c>
      <c r="C43">
        <f>SUMIFS(banco!E:E,banco!$C:$C,$B43,banco!$A:$A,$A43)</f>
        <v>1007</v>
      </c>
      <c r="D43" s="12">
        <f>IFERROR(C43/$O43,0)</f>
        <v>0.17105486665534228</v>
      </c>
      <c r="E43">
        <f>SUMIFS(banco!G:G,banco!$C:$C,$B43,banco!$A:$A,$A43)</f>
        <v>14</v>
      </c>
      <c r="F43" s="12">
        <f>IFERROR(E43/$P43,0)</f>
        <v>0.11965811965811966</v>
      </c>
      <c r="G43">
        <f>SUMIFS(banco!I:I,banco!$C:$C,$B43,banco!$A:$A,$A43)</f>
        <v>2564</v>
      </c>
      <c r="H43" s="12">
        <f>IFERROR(G43/$O43,0)</f>
        <v>0.4355359266179718</v>
      </c>
      <c r="I43">
        <f>SUMIFS(banco!K:K,banco!$C:$C,$B43,banco!$A:$A,$A43)</f>
        <v>53</v>
      </c>
      <c r="J43" s="12">
        <f>IFERROR(I43/$P43,0)</f>
        <v>0.45299145299145299</v>
      </c>
      <c r="K43">
        <f>SUMIFS(banco!M:M,banco!$C:$C,$B43,banco!$A:$A,$A43)</f>
        <v>2793</v>
      </c>
      <c r="L43" s="12">
        <f>IFERROR(K43/$O43,0)</f>
        <v>0.47443519619500596</v>
      </c>
      <c r="M43">
        <f>SUMIFS(banco!O:O,banco!$C:$C,$B43,banco!$A:$A,$A43)</f>
        <v>50</v>
      </c>
      <c r="N43" s="12">
        <f>IFERROR(M43/$P43,0)</f>
        <v>0.42735042735042733</v>
      </c>
      <c r="O43">
        <f>SUMIFS(banco!Q:Q,banco!$C:$C,$B43,banco!$A:$A,$A43)</f>
        <v>5887</v>
      </c>
      <c r="P43">
        <f>SUMIFS(banco!R:R,banco!$C:$C,$B43,banco!$A:$A,$A43)</f>
        <v>117</v>
      </c>
      <c r="Q43">
        <v>17804</v>
      </c>
    </row>
    <row r="44" spans="1:17" x14ac:dyDescent="0.25">
      <c r="A44" s="20">
        <v>2019</v>
      </c>
      <c r="B44" s="18" t="s">
        <v>144</v>
      </c>
      <c r="C44">
        <f>SUMIFS(banco!E:E,banco!$C:$C,$B44,banco!$A:$A,$A44)</f>
        <v>391</v>
      </c>
      <c r="D44" s="12">
        <f>IFERROR(C44/$O44,0)</f>
        <v>0.10659760087241003</v>
      </c>
      <c r="E44">
        <f>SUMIFS(banco!G:G,banco!$C:$C,$B44,banco!$A:$A,$A44)</f>
        <v>11</v>
      </c>
      <c r="F44" s="12">
        <f>IFERROR(E44/$P44,0)</f>
        <v>0.16666666666666666</v>
      </c>
      <c r="G44">
        <f>SUMIFS(banco!I:I,banco!$C:$C,$B44,banco!$A:$A,$A44)</f>
        <v>1259</v>
      </c>
      <c r="H44" s="12">
        <f>IFERROR(G44/$O44,0)</f>
        <v>0.34323882224645585</v>
      </c>
      <c r="I44">
        <f>SUMIFS(banco!K:K,banco!$C:$C,$B44,banco!$A:$A,$A44)</f>
        <v>31</v>
      </c>
      <c r="J44" s="12">
        <f>IFERROR(I44/$P44,0)</f>
        <v>0.46969696969696972</v>
      </c>
      <c r="K44">
        <f>SUMIFS(banco!M:M,banco!$C:$C,$B44,banco!$A:$A,$A44)</f>
        <v>1262</v>
      </c>
      <c r="L44" s="12">
        <f>IFERROR(K44/$O44,0)</f>
        <v>0.34405670665212651</v>
      </c>
      <c r="M44">
        <f>SUMIFS(banco!O:O,banco!$C:$C,$B44,banco!$A:$A,$A44)</f>
        <v>24</v>
      </c>
      <c r="N44" s="12">
        <f>IFERROR(M44/$P44,0)</f>
        <v>0.36363636363636365</v>
      </c>
      <c r="O44">
        <f>SUMIFS(banco!Q:Q,banco!$C:$C,$B44,banco!$A:$A,$A44)</f>
        <v>3668</v>
      </c>
      <c r="P44">
        <f>SUMIFS(banco!R:R,banco!$C:$C,$B44,banco!$A:$A,$A44)</f>
        <v>66</v>
      </c>
      <c r="Q44">
        <v>9990</v>
      </c>
    </row>
    <row r="45" spans="1:17" x14ac:dyDescent="0.25">
      <c r="A45" s="20">
        <v>2019</v>
      </c>
      <c r="B45" s="18" t="s">
        <v>148</v>
      </c>
      <c r="C45">
        <f>SUMIFS(banco!E:E,banco!$C:$C,$B45,banco!$A:$A,$A45)</f>
        <v>1188</v>
      </c>
      <c r="D45" s="12">
        <f>IFERROR(C45/$O45,0)</f>
        <v>0.42322764517278233</v>
      </c>
      <c r="E45">
        <f>SUMIFS(banco!G:G,banco!$C:$C,$B45,banco!$A:$A,$A45)</f>
        <v>17</v>
      </c>
      <c r="F45" s="12">
        <f>IFERROR(E45/$P45,0)</f>
        <v>0.14655172413793102</v>
      </c>
      <c r="G45">
        <f>SUMIFS(banco!I:I,banco!$C:$C,$B45,banco!$A:$A,$A45)</f>
        <v>3754</v>
      </c>
      <c r="H45" s="12">
        <f>IFERROR(G45/$O45,0)</f>
        <v>1.3373708585678661</v>
      </c>
      <c r="I45">
        <f>SUMIFS(banco!K:K,banco!$C:$C,$B45,banco!$A:$A,$A45)</f>
        <v>50</v>
      </c>
      <c r="J45" s="12">
        <f>IFERROR(I45/$P45,0)</f>
        <v>0.43103448275862066</v>
      </c>
      <c r="K45">
        <f>SUMIFS(banco!M:M,banco!$C:$C,$B45,banco!$A:$A,$A45)</f>
        <v>4386</v>
      </c>
      <c r="L45" s="12">
        <f>IFERROR(K45/$O45,0)</f>
        <v>1.5625222657641611</v>
      </c>
      <c r="M45">
        <f>SUMIFS(banco!O:O,banco!$C:$C,$B45,banco!$A:$A,$A45)</f>
        <v>49</v>
      </c>
      <c r="N45" s="12">
        <f>IFERROR(M45/$P45,0)</f>
        <v>0.42241379310344829</v>
      </c>
      <c r="O45">
        <f>SUMIFS(banco!Q:Q,banco!$C:$C,$B45,banco!$A:$A,$A45)</f>
        <v>2807</v>
      </c>
      <c r="P45">
        <f>SUMIFS(banco!R:R,banco!$C:$C,$B45,banco!$A:$A,$A45)</f>
        <v>116</v>
      </c>
      <c r="Q45">
        <v>29374</v>
      </c>
    </row>
    <row r="46" spans="1:17" x14ac:dyDescent="0.25">
      <c r="A46" s="20">
        <v>2019</v>
      </c>
      <c r="B46" s="18" t="s">
        <v>150</v>
      </c>
      <c r="C46">
        <f>SUMIFS(banco!E:E,banco!$C:$C,$B46,banco!$A:$A,$A46)</f>
        <v>678</v>
      </c>
      <c r="D46" s="12">
        <f>IFERROR(C46/$O46,0)</f>
        <v>0.1572356215213358</v>
      </c>
      <c r="E46">
        <f>SUMIFS(banco!G:G,banco!$C:$C,$B46,banco!$A:$A,$A46)</f>
        <v>16</v>
      </c>
      <c r="F46" s="12">
        <f>IFERROR(E46/$P46,0)</f>
        <v>0.17777777777777778</v>
      </c>
      <c r="G46">
        <f>SUMIFS(banco!I:I,banco!$C:$C,$B46,banco!$A:$A,$A46)</f>
        <v>2021</v>
      </c>
      <c r="H46" s="12">
        <f>IFERROR(G46/$O46,0)</f>
        <v>0.46869202226345086</v>
      </c>
      <c r="I46">
        <f>SUMIFS(banco!K:K,banco!$C:$C,$B46,banco!$A:$A,$A46)</f>
        <v>33</v>
      </c>
      <c r="J46" s="12">
        <f>IFERROR(I46/$P46,0)</f>
        <v>0.36666666666666664</v>
      </c>
      <c r="K46">
        <f>SUMIFS(banco!M:M,banco!$C:$C,$B46,banco!$A:$A,$A46)</f>
        <v>2493</v>
      </c>
      <c r="L46" s="12">
        <f>IFERROR(K46/$O46,0)</f>
        <v>0.57815398886827463</v>
      </c>
      <c r="M46">
        <f>SUMIFS(banco!O:O,banco!$C:$C,$B46,banco!$A:$A,$A46)</f>
        <v>41</v>
      </c>
      <c r="N46" s="12">
        <f>IFERROR(M46/$P46,0)</f>
        <v>0.45555555555555555</v>
      </c>
      <c r="O46">
        <f>SUMIFS(banco!Q:Q,banco!$C:$C,$B46,banco!$A:$A,$A46)</f>
        <v>4312</v>
      </c>
      <c r="P46">
        <f>SUMIFS(banco!R:R,banco!$C:$C,$B46,banco!$A:$A,$A46)</f>
        <v>90</v>
      </c>
      <c r="Q46">
        <v>12150</v>
      </c>
    </row>
    <row r="47" spans="1:17" x14ac:dyDescent="0.25">
      <c r="A47" s="20">
        <v>2019</v>
      </c>
      <c r="B47" s="18" t="s">
        <v>146</v>
      </c>
      <c r="C47">
        <f>SUMIFS(banco!E:E,banco!$C:$C,$B47,banco!$A:$A,$A47)</f>
        <v>619</v>
      </c>
      <c r="D47" s="12">
        <f>IFERROR(C47/$O47,0)</f>
        <v>9.326502938074431E-2</v>
      </c>
      <c r="E47">
        <f>SUMIFS(banco!G:G,banco!$C:$C,$B47,banco!$A:$A,$A47)</f>
        <v>27</v>
      </c>
      <c r="F47" s="12">
        <f>IFERROR(E47/$P47,0)</f>
        <v>0.15697674418604651</v>
      </c>
      <c r="G47">
        <f>SUMIFS(banco!I:I,banco!$C:$C,$B47,banco!$A:$A,$A47)</f>
        <v>1697</v>
      </c>
      <c r="H47" s="12">
        <f>IFERROR(G47/$O47,0)</f>
        <v>0.25568781075787256</v>
      </c>
      <c r="I47">
        <f>SUMIFS(banco!K:K,banco!$C:$C,$B47,banco!$A:$A,$A47)</f>
        <v>89</v>
      </c>
      <c r="J47" s="12">
        <f>IFERROR(I47/$P47,0)</f>
        <v>0.51744186046511631</v>
      </c>
      <c r="K47">
        <f>SUMIFS(banco!M:M,banco!$C:$C,$B47,banco!$A:$A,$A47)</f>
        <v>1922</v>
      </c>
      <c r="L47" s="12">
        <f>IFERROR(K47/$O47,0)</f>
        <v>0.28958866957962937</v>
      </c>
      <c r="M47">
        <f>SUMIFS(banco!O:O,banco!$C:$C,$B47,banco!$A:$A,$A47)</f>
        <v>56</v>
      </c>
      <c r="N47" s="12">
        <f>IFERROR(M47/$P47,0)</f>
        <v>0.32558139534883723</v>
      </c>
      <c r="O47">
        <f>SUMIFS(banco!Q:Q,banco!$C:$C,$B47,banco!$A:$A,$A47)</f>
        <v>6637</v>
      </c>
      <c r="P47">
        <f>SUMIFS(banco!R:R,banco!$C:$C,$B47,banco!$A:$A,$A47)</f>
        <v>172</v>
      </c>
      <c r="Q47">
        <v>13054</v>
      </c>
    </row>
    <row r="48" spans="1:17" x14ac:dyDescent="0.25">
      <c r="A48" s="20">
        <v>2019</v>
      </c>
      <c r="B48" s="18" t="s">
        <v>149</v>
      </c>
      <c r="C48">
        <f>SUMIFS(banco!E:E,banco!$C:$C,$B48,banco!$A:$A,$A48)</f>
        <v>1001</v>
      </c>
      <c r="D48" s="12">
        <f>IFERROR(C48/$O48,0)</f>
        <v>0.16586578293289148</v>
      </c>
      <c r="E48">
        <f>SUMIFS(banco!G:G,banco!$C:$C,$B48,banco!$A:$A,$A48)</f>
        <v>21</v>
      </c>
      <c r="F48" s="12">
        <f>IFERROR(E48/$P48,0)</f>
        <v>0.15909090909090909</v>
      </c>
      <c r="G48">
        <f>SUMIFS(banco!I:I,banco!$C:$C,$B48,banco!$A:$A,$A48)</f>
        <v>2886</v>
      </c>
      <c r="H48" s="12">
        <f>IFERROR(G48/$O48,0)</f>
        <v>0.47821043910521954</v>
      </c>
      <c r="I48">
        <f>SUMIFS(banco!K:K,banco!$C:$C,$B48,banco!$A:$A,$A48)</f>
        <v>43</v>
      </c>
      <c r="J48" s="12">
        <f>IFERROR(I48/$P48,0)</f>
        <v>0.32575757575757575</v>
      </c>
      <c r="K48">
        <f>SUMIFS(banco!M:M,banco!$C:$C,$B48,banco!$A:$A,$A48)</f>
        <v>3308</v>
      </c>
      <c r="L48" s="12">
        <f>IFERROR(K48/$O48,0)</f>
        <v>0.54813587406793707</v>
      </c>
      <c r="M48">
        <f>SUMIFS(banco!O:O,banco!$C:$C,$B48,banco!$A:$A,$A48)</f>
        <v>68</v>
      </c>
      <c r="N48" s="12">
        <f>IFERROR(M48/$P48,0)</f>
        <v>0.51515151515151514</v>
      </c>
      <c r="O48">
        <f>SUMIFS(banco!Q:Q,banco!$C:$C,$B48,banco!$A:$A,$A48)</f>
        <v>6035</v>
      </c>
      <c r="P48">
        <f>SUMIFS(banco!R:R,banco!$C:$C,$B48,banco!$A:$A,$A48)</f>
        <v>132</v>
      </c>
      <c r="Q48">
        <v>23147</v>
      </c>
    </row>
    <row r="49" spans="1:17" x14ac:dyDescent="0.25">
      <c r="A49" s="20">
        <v>2019</v>
      </c>
      <c r="B49" s="18" t="s">
        <v>147</v>
      </c>
      <c r="C49">
        <f>SUMIFS(banco!E:E,banco!$C:$C,$B49,banco!$A:$A,$A49)</f>
        <v>527</v>
      </c>
      <c r="D49" s="12">
        <f>IFERROR(C49/$O49,0)</f>
        <v>0.20426356589147288</v>
      </c>
      <c r="E49">
        <f>SUMIFS(banco!G:G,banco!$C:$C,$B49,banco!$A:$A,$A49)</f>
        <v>12</v>
      </c>
      <c r="F49" s="12">
        <f>IFERROR(E49/$P49,0)</f>
        <v>0.23076923076923078</v>
      </c>
      <c r="G49">
        <f>SUMIFS(banco!I:I,banco!$C:$C,$B49,banco!$A:$A,$A49)</f>
        <v>1030</v>
      </c>
      <c r="H49" s="12">
        <f>IFERROR(G49/$O49,0)</f>
        <v>0.39922480620155038</v>
      </c>
      <c r="I49">
        <f>SUMIFS(banco!K:K,banco!$C:$C,$B49,banco!$A:$A,$A49)</f>
        <v>9</v>
      </c>
      <c r="J49" s="12">
        <f>IFERROR(I49/$P49,0)</f>
        <v>0.17307692307692307</v>
      </c>
      <c r="K49">
        <f>SUMIFS(banco!M:M,banco!$C:$C,$B49,banco!$A:$A,$A49)</f>
        <v>970</v>
      </c>
      <c r="L49" s="12">
        <f>IFERROR(K49/$O49,0)</f>
        <v>0.37596899224806202</v>
      </c>
      <c r="M49">
        <f>SUMIFS(banco!O:O,banco!$C:$C,$B49,banco!$A:$A,$A49)</f>
        <v>31</v>
      </c>
      <c r="N49" s="12">
        <f>IFERROR(M49/$P49,0)</f>
        <v>0.59615384615384615</v>
      </c>
      <c r="O49">
        <f>SUMIFS(banco!Q:Q,banco!$C:$C,$B49,banco!$A:$A,$A49)</f>
        <v>2580</v>
      </c>
      <c r="P49">
        <f>SUMIFS(banco!R:R,banco!$C:$C,$B49,banco!$A:$A,$A49)</f>
        <v>52</v>
      </c>
      <c r="Q49">
        <v>7349</v>
      </c>
    </row>
    <row r="50" spans="1:17" x14ac:dyDescent="0.25">
      <c r="A50" s="20">
        <v>2018</v>
      </c>
      <c r="B50" s="18" t="s">
        <v>151</v>
      </c>
      <c r="C50">
        <f>SUMIFS(banco!E:E,banco!$C:$C,$B50,banco!$A:$A,$A50)</f>
        <v>0</v>
      </c>
      <c r="D50" s="12">
        <f>IFERROR(C50/$O50,0)</f>
        <v>0</v>
      </c>
      <c r="E50">
        <f>SUMIFS(banco!G:G,banco!$C:$C,$B50,banco!$A:$A,$A50)</f>
        <v>0</v>
      </c>
      <c r="F50" s="12">
        <f>IFERROR(E50/$P50,0)</f>
        <v>0</v>
      </c>
      <c r="G50">
        <f>SUMIFS(banco!I:I,banco!$C:$C,$B50,banco!$A:$A,$A50)</f>
        <v>0</v>
      </c>
      <c r="H50" s="12">
        <f>IFERROR(G50/$O50,0)</f>
        <v>0</v>
      </c>
      <c r="I50">
        <f>SUMIFS(banco!K:K,banco!$C:$C,$B50,banco!$A:$A,$A50)</f>
        <v>0</v>
      </c>
      <c r="J50" s="12">
        <f>IFERROR(I50/$P50,0)</f>
        <v>0</v>
      </c>
      <c r="K50">
        <f>SUMIFS(banco!M:M,banco!$C:$C,$B50,banco!$A:$A,$A50)</f>
        <v>0</v>
      </c>
      <c r="L50" s="12">
        <f>IFERROR(K50/$O50,0)</f>
        <v>0</v>
      </c>
      <c r="M50">
        <f>SUMIFS(banco!O:O,banco!$C:$C,$B50,banco!$A:$A,$A50)</f>
        <v>0</v>
      </c>
      <c r="N50" s="12">
        <f>IFERROR(M50/$P50,0)</f>
        <v>0</v>
      </c>
      <c r="O50">
        <f>SUMIFS(banco!Q:Q,banco!$C:$C,$B50,banco!$A:$A,$A50)</f>
        <v>0</v>
      </c>
      <c r="P50">
        <f>SUMIFS(banco!R:R,banco!$C:$C,$B50,banco!$A:$A,$A50)</f>
        <v>0</v>
      </c>
      <c r="Q50">
        <v>9727</v>
      </c>
    </row>
    <row r="51" spans="1:17" x14ac:dyDescent="0.25">
      <c r="A51" s="20">
        <v>2018</v>
      </c>
      <c r="B51" s="18" t="s">
        <v>145</v>
      </c>
      <c r="C51">
        <f>SUMIFS(banco!E:E,banco!$C:$C,$B51,banco!$A:$A,$A51)</f>
        <v>0</v>
      </c>
      <c r="D51" s="12">
        <f>IFERROR(C51/$O51,0)</f>
        <v>0</v>
      </c>
      <c r="E51">
        <f>SUMIFS(banco!G:G,banco!$C:$C,$B51,banco!$A:$A,$A51)</f>
        <v>0</v>
      </c>
      <c r="F51" s="12">
        <f>IFERROR(E51/$P51,0)</f>
        <v>0</v>
      </c>
      <c r="G51">
        <f>SUMIFS(banco!I:I,banco!$C:$C,$B51,banco!$A:$A,$A51)</f>
        <v>0</v>
      </c>
      <c r="H51" s="12">
        <f>IFERROR(G51/$O51,0)</f>
        <v>0</v>
      </c>
      <c r="I51">
        <f>SUMIFS(banco!K:K,banco!$C:$C,$B51,banco!$A:$A,$A51)</f>
        <v>0</v>
      </c>
      <c r="J51" s="12">
        <f>IFERROR(I51/$P51,0)</f>
        <v>0</v>
      </c>
      <c r="K51">
        <f>SUMIFS(banco!M:M,banco!$C:$C,$B51,banco!$A:$A,$A51)</f>
        <v>0</v>
      </c>
      <c r="L51" s="12">
        <f>IFERROR(K51/$O51,0)</f>
        <v>0</v>
      </c>
      <c r="M51">
        <f>SUMIFS(banco!O:O,banco!$C:$C,$B51,banco!$A:$A,$A51)</f>
        <v>0</v>
      </c>
      <c r="N51" s="12">
        <f>IFERROR(M51/$P51,0)</f>
        <v>0</v>
      </c>
      <c r="O51">
        <f>SUMIFS(banco!Q:Q,banco!$C:$C,$B51,banco!$A:$A,$A51)</f>
        <v>0</v>
      </c>
      <c r="P51">
        <f>SUMIFS(banco!R:R,banco!$C:$C,$B51,banco!$A:$A,$A51)</f>
        <v>0</v>
      </c>
      <c r="Q51">
        <v>18079</v>
      </c>
    </row>
    <row r="52" spans="1:17" x14ac:dyDescent="0.25">
      <c r="A52" s="20">
        <v>2018</v>
      </c>
      <c r="B52" s="18" t="s">
        <v>144</v>
      </c>
      <c r="C52">
        <f>SUMIFS(banco!E:E,banco!$C:$C,$B52,banco!$A:$A,$A52)</f>
        <v>0</v>
      </c>
      <c r="D52" s="12">
        <f>IFERROR(C52/$O52,0)</f>
        <v>0</v>
      </c>
      <c r="E52">
        <f>SUMIFS(banco!G:G,banco!$C:$C,$B52,banco!$A:$A,$A52)</f>
        <v>0</v>
      </c>
      <c r="F52" s="12">
        <f>IFERROR(E52/$P52,0)</f>
        <v>0</v>
      </c>
      <c r="G52">
        <f>SUMIFS(banco!I:I,banco!$C:$C,$B52,banco!$A:$A,$A52)</f>
        <v>0</v>
      </c>
      <c r="H52" s="12">
        <f>IFERROR(G52/$O52,0)</f>
        <v>0</v>
      </c>
      <c r="I52">
        <f>SUMIFS(banco!K:K,banco!$C:$C,$B52,banco!$A:$A,$A52)</f>
        <v>0</v>
      </c>
      <c r="J52" s="12">
        <f>IFERROR(I52/$P52,0)</f>
        <v>0</v>
      </c>
      <c r="K52">
        <f>SUMIFS(banco!M:M,banco!$C:$C,$B52,banco!$A:$A,$A52)</f>
        <v>0</v>
      </c>
      <c r="L52" s="12">
        <f>IFERROR(K52/$O52,0)</f>
        <v>0</v>
      </c>
      <c r="M52">
        <f>SUMIFS(banco!O:O,banco!$C:$C,$B52,banco!$A:$A,$A52)</f>
        <v>0</v>
      </c>
      <c r="N52" s="12">
        <f>IFERROR(M52/$P52,0)</f>
        <v>0</v>
      </c>
      <c r="O52">
        <f>SUMIFS(banco!Q:Q,banco!$C:$C,$B52,banco!$A:$A,$A52)</f>
        <v>0</v>
      </c>
      <c r="P52">
        <f>SUMIFS(banco!R:R,banco!$C:$C,$B52,banco!$A:$A,$A52)</f>
        <v>0</v>
      </c>
      <c r="Q52">
        <v>9974</v>
      </c>
    </row>
    <row r="53" spans="1:17" x14ac:dyDescent="0.25">
      <c r="A53" s="20">
        <v>2018</v>
      </c>
      <c r="B53" s="18" t="s">
        <v>148</v>
      </c>
      <c r="C53">
        <f>SUMIFS(banco!E:E,banco!$C:$C,$B53,banco!$A:$A,$A53)</f>
        <v>0</v>
      </c>
      <c r="D53" s="12">
        <f>IFERROR(C53/$O53,0)</f>
        <v>0</v>
      </c>
      <c r="E53">
        <f>SUMIFS(banco!G:G,banco!$C:$C,$B53,banco!$A:$A,$A53)</f>
        <v>0</v>
      </c>
      <c r="F53" s="12">
        <f>IFERROR(E53/$P53,0)</f>
        <v>0</v>
      </c>
      <c r="G53">
        <f>SUMIFS(banco!I:I,banco!$C:$C,$B53,banco!$A:$A,$A53)</f>
        <v>0</v>
      </c>
      <c r="H53" s="12">
        <f>IFERROR(G53/$O53,0)</f>
        <v>0</v>
      </c>
      <c r="I53">
        <f>SUMIFS(banco!K:K,banco!$C:$C,$B53,banco!$A:$A,$A53)</f>
        <v>0</v>
      </c>
      <c r="J53" s="12">
        <f>IFERROR(I53/$P53,0)</f>
        <v>0</v>
      </c>
      <c r="K53">
        <f>SUMIFS(banco!M:M,banco!$C:$C,$B53,banco!$A:$A,$A53)</f>
        <v>0</v>
      </c>
      <c r="L53" s="12">
        <f>IFERROR(K53/$O53,0)</f>
        <v>0</v>
      </c>
      <c r="M53">
        <f>SUMIFS(banco!O:O,banco!$C:$C,$B53,banco!$A:$A,$A53)</f>
        <v>0</v>
      </c>
      <c r="N53" s="12">
        <f>IFERROR(M53/$P53,0)</f>
        <v>0</v>
      </c>
      <c r="O53">
        <f>SUMIFS(banco!Q:Q,banco!$C:$C,$B53,banco!$A:$A,$A53)</f>
        <v>0</v>
      </c>
      <c r="P53">
        <f>SUMIFS(banco!R:R,banco!$C:$C,$B53,banco!$A:$A,$A53)</f>
        <v>0</v>
      </c>
      <c r="Q53">
        <v>29309</v>
      </c>
    </row>
    <row r="54" spans="1:17" x14ac:dyDescent="0.25">
      <c r="A54" s="20">
        <v>2018</v>
      </c>
      <c r="B54" s="18" t="s">
        <v>150</v>
      </c>
      <c r="C54">
        <f>SUMIFS(banco!E:E,banco!$C:$C,$B54,banco!$A:$A,$A54)</f>
        <v>0</v>
      </c>
      <c r="D54" s="12">
        <f>IFERROR(C54/$O54,0)</f>
        <v>0</v>
      </c>
      <c r="E54">
        <f>SUMIFS(banco!G:G,banco!$C:$C,$B54,banco!$A:$A,$A54)</f>
        <v>0</v>
      </c>
      <c r="F54" s="12">
        <f>IFERROR(E54/$P54,0)</f>
        <v>0</v>
      </c>
      <c r="G54">
        <f>SUMIFS(banco!I:I,banco!$C:$C,$B54,banco!$A:$A,$A54)</f>
        <v>0</v>
      </c>
      <c r="H54" s="12">
        <f>IFERROR(G54/$O54,0)</f>
        <v>0</v>
      </c>
      <c r="I54">
        <f>SUMIFS(banco!K:K,banco!$C:$C,$B54,banco!$A:$A,$A54)</f>
        <v>0</v>
      </c>
      <c r="J54" s="12">
        <f>IFERROR(I54/$P54,0)</f>
        <v>0</v>
      </c>
      <c r="K54">
        <f>SUMIFS(banco!M:M,banco!$C:$C,$B54,banco!$A:$A,$A54)</f>
        <v>0</v>
      </c>
      <c r="L54" s="12">
        <f>IFERROR(K54/$O54,0)</f>
        <v>0</v>
      </c>
      <c r="M54">
        <f>SUMIFS(banco!O:O,banco!$C:$C,$B54,banco!$A:$A,$A54)</f>
        <v>0</v>
      </c>
      <c r="N54" s="12">
        <f>IFERROR(M54/$P54,0)</f>
        <v>0</v>
      </c>
      <c r="O54">
        <f>SUMIFS(banco!Q:Q,banco!$C:$C,$B54,banco!$A:$A,$A54)</f>
        <v>0</v>
      </c>
      <c r="P54">
        <f>SUMIFS(banco!R:R,banco!$C:$C,$B54,banco!$A:$A,$A54)</f>
        <v>0</v>
      </c>
      <c r="Q54">
        <v>12246</v>
      </c>
    </row>
    <row r="55" spans="1:17" x14ac:dyDescent="0.25">
      <c r="A55" s="20">
        <v>2018</v>
      </c>
      <c r="B55" s="18" t="s">
        <v>146</v>
      </c>
      <c r="C55">
        <f>SUMIFS(banco!E:E,banco!$C:$C,$B55,banco!$A:$A,$A55)</f>
        <v>0</v>
      </c>
      <c r="D55" s="12">
        <f>IFERROR(C55/$O55,0)</f>
        <v>0</v>
      </c>
      <c r="E55">
        <f>SUMIFS(banco!G:G,banco!$C:$C,$B55,banco!$A:$A,$A55)</f>
        <v>0</v>
      </c>
      <c r="F55" s="12">
        <f>IFERROR(E55/$P55,0)</f>
        <v>0</v>
      </c>
      <c r="G55">
        <f>SUMIFS(banco!I:I,banco!$C:$C,$B55,banco!$A:$A,$A55)</f>
        <v>0</v>
      </c>
      <c r="H55" s="12">
        <f>IFERROR(G55/$O55,0)</f>
        <v>0</v>
      </c>
      <c r="I55">
        <f>SUMIFS(banco!K:K,banco!$C:$C,$B55,banco!$A:$A,$A55)</f>
        <v>0</v>
      </c>
      <c r="J55" s="12">
        <f>IFERROR(I55/$P55,0)</f>
        <v>0</v>
      </c>
      <c r="K55">
        <f>SUMIFS(banco!M:M,banco!$C:$C,$B55,banco!$A:$A,$A55)</f>
        <v>0</v>
      </c>
      <c r="L55" s="12">
        <f>IFERROR(K55/$O55,0)</f>
        <v>0</v>
      </c>
      <c r="M55">
        <f>SUMIFS(banco!O:O,banco!$C:$C,$B55,banco!$A:$A,$A55)</f>
        <v>0</v>
      </c>
      <c r="N55" s="12">
        <f>IFERROR(M55/$P55,0)</f>
        <v>0</v>
      </c>
      <c r="O55">
        <f>SUMIFS(banco!Q:Q,banco!$C:$C,$B55,banco!$A:$A,$A55)</f>
        <v>0</v>
      </c>
      <c r="P55">
        <f>SUMIFS(banco!R:R,banco!$C:$C,$B55,banco!$A:$A,$A55)</f>
        <v>0</v>
      </c>
      <c r="Q55">
        <v>13122</v>
      </c>
    </row>
    <row r="56" spans="1:17" x14ac:dyDescent="0.25">
      <c r="A56" s="20">
        <v>2018</v>
      </c>
      <c r="B56" s="18" t="s">
        <v>149</v>
      </c>
      <c r="C56">
        <f>SUMIFS(banco!E:E,banco!$C:$C,$B56,banco!$A:$A,$A56)</f>
        <v>0</v>
      </c>
      <c r="D56" s="12">
        <f>IFERROR(C56/$O56,0)</f>
        <v>0</v>
      </c>
      <c r="E56">
        <f>SUMIFS(banco!G:G,banco!$C:$C,$B56,banco!$A:$A,$A56)</f>
        <v>0</v>
      </c>
      <c r="F56" s="12">
        <f>IFERROR(E56/$P56,0)</f>
        <v>0</v>
      </c>
      <c r="G56">
        <f>SUMIFS(banco!I:I,banco!$C:$C,$B56,banco!$A:$A,$A56)</f>
        <v>0</v>
      </c>
      <c r="H56" s="12">
        <f>IFERROR(G56/$O56,0)</f>
        <v>0</v>
      </c>
      <c r="I56">
        <f>SUMIFS(banco!K:K,banco!$C:$C,$B56,banco!$A:$A,$A56)</f>
        <v>0</v>
      </c>
      <c r="J56" s="12">
        <f>IFERROR(I56/$P56,0)</f>
        <v>0</v>
      </c>
      <c r="K56">
        <f>SUMIFS(banco!M:M,banco!$C:$C,$B56,banco!$A:$A,$A56)</f>
        <v>0</v>
      </c>
      <c r="L56" s="12">
        <f>IFERROR(K56/$O56,0)</f>
        <v>0</v>
      </c>
      <c r="M56">
        <f>SUMIFS(banco!O:O,banco!$C:$C,$B56,banco!$A:$A,$A56)</f>
        <v>0</v>
      </c>
      <c r="N56" s="12">
        <f>IFERROR(M56/$P56,0)</f>
        <v>0</v>
      </c>
      <c r="O56">
        <f>SUMIFS(banco!Q:Q,banco!$C:$C,$B56,banco!$A:$A,$A56)</f>
        <v>0</v>
      </c>
      <c r="P56">
        <f>SUMIFS(banco!R:R,banco!$C:$C,$B56,banco!$A:$A,$A56)</f>
        <v>0</v>
      </c>
      <c r="Q56">
        <v>23222</v>
      </c>
    </row>
    <row r="57" spans="1:17" x14ac:dyDescent="0.25">
      <c r="A57" s="20">
        <v>2018</v>
      </c>
      <c r="B57" s="18" t="s">
        <v>147</v>
      </c>
      <c r="C57">
        <f>SUMIFS(banco!E:E,banco!$C:$C,$B57,banco!$A:$A,$A57)</f>
        <v>0</v>
      </c>
      <c r="D57" s="12">
        <f>IFERROR(C57/$O57,0)</f>
        <v>0</v>
      </c>
      <c r="E57">
        <f>SUMIFS(banco!G:G,banco!$C:$C,$B57,banco!$A:$A,$A57)</f>
        <v>0</v>
      </c>
      <c r="F57" s="12">
        <f>IFERROR(E57/$P57,0)</f>
        <v>0</v>
      </c>
      <c r="G57">
        <f>SUMIFS(banco!I:I,banco!$C:$C,$B57,banco!$A:$A,$A57)</f>
        <v>0</v>
      </c>
      <c r="H57" s="12">
        <f>IFERROR(G57/$O57,0)</f>
        <v>0</v>
      </c>
      <c r="I57">
        <f>SUMIFS(banco!K:K,banco!$C:$C,$B57,banco!$A:$A,$A57)</f>
        <v>0</v>
      </c>
      <c r="J57" s="12">
        <f>IFERROR(I57/$P57,0)</f>
        <v>0</v>
      </c>
      <c r="K57">
        <f>SUMIFS(banco!M:M,banco!$C:$C,$B57,banco!$A:$A,$A57)</f>
        <v>0</v>
      </c>
      <c r="L57" s="12">
        <f>IFERROR(K57/$O57,0)</f>
        <v>0</v>
      </c>
      <c r="M57">
        <f>SUMIFS(banco!O:O,banco!$C:$C,$B57,banco!$A:$A,$A57)</f>
        <v>0</v>
      </c>
      <c r="N57" s="12">
        <f>IFERROR(M57/$P57,0)</f>
        <v>0</v>
      </c>
      <c r="O57">
        <f>SUMIFS(banco!Q:Q,banco!$C:$C,$B57,banco!$A:$A,$A57)</f>
        <v>0</v>
      </c>
      <c r="P57">
        <f>SUMIFS(banco!R:R,banco!$C:$C,$B57,banco!$A:$A,$A57)</f>
        <v>0</v>
      </c>
      <c r="Q57">
        <v>7525</v>
      </c>
    </row>
    <row r="58" spans="1:17" x14ac:dyDescent="0.25">
      <c r="A58" s="20">
        <v>2017</v>
      </c>
      <c r="B58" s="18" t="s">
        <v>151</v>
      </c>
      <c r="C58">
        <f>SUMIFS(banco!E:E,banco!$C:$C,$B58,banco!$A:$A,$A58)</f>
        <v>0</v>
      </c>
      <c r="D58" s="12">
        <f>IFERROR(C58/$O58,0)</f>
        <v>0</v>
      </c>
      <c r="E58">
        <f>SUMIFS(banco!G:G,banco!$C:$C,$B58,banco!$A:$A,$A58)</f>
        <v>0</v>
      </c>
      <c r="F58" s="12">
        <f>IFERROR(E58/$P58,0)</f>
        <v>0</v>
      </c>
      <c r="G58">
        <f>SUMIFS(banco!I:I,banco!$C:$C,$B58,banco!$A:$A,$A58)</f>
        <v>0</v>
      </c>
      <c r="H58" s="12">
        <f>IFERROR(G58/$O58,0)</f>
        <v>0</v>
      </c>
      <c r="I58">
        <f>SUMIFS(banco!K:K,banco!$C:$C,$B58,banco!$A:$A,$A58)</f>
        <v>0</v>
      </c>
      <c r="J58" s="12">
        <f>IFERROR(I58/$P58,0)</f>
        <v>0</v>
      </c>
      <c r="K58">
        <f>SUMIFS(banco!M:M,banco!$C:$C,$B58,banco!$A:$A,$A58)</f>
        <v>0</v>
      </c>
      <c r="L58" s="12">
        <f>IFERROR(K58/$O58,0)</f>
        <v>0</v>
      </c>
      <c r="M58">
        <f>SUMIFS(banco!O:O,banco!$C:$C,$B58,banco!$A:$A,$A58)</f>
        <v>0</v>
      </c>
      <c r="N58" s="12">
        <f>IFERROR(M58/$P58,0)</f>
        <v>0</v>
      </c>
      <c r="O58">
        <f>SUMIFS(banco!Q:Q,banco!$C:$C,$B58,banco!$A:$A,$A58)</f>
        <v>0</v>
      </c>
      <c r="P58">
        <f>SUMIFS(banco!R:R,banco!$C:$C,$B58,banco!$A:$A,$A58)</f>
        <v>0</v>
      </c>
      <c r="Q58">
        <v>9763</v>
      </c>
    </row>
    <row r="59" spans="1:17" x14ac:dyDescent="0.25">
      <c r="A59" s="20">
        <v>2017</v>
      </c>
      <c r="B59" s="18" t="s">
        <v>145</v>
      </c>
      <c r="C59">
        <f>SUMIFS(banco!E:E,banco!$C:$C,$B59,banco!$A:$A,$A59)</f>
        <v>0</v>
      </c>
      <c r="D59" s="12">
        <f>IFERROR(C59/$O59,0)</f>
        <v>0</v>
      </c>
      <c r="E59">
        <f>SUMIFS(banco!G:G,banco!$C:$C,$B59,banco!$A:$A,$A59)</f>
        <v>0</v>
      </c>
      <c r="F59" s="12">
        <f>IFERROR(E59/$P59,0)</f>
        <v>0</v>
      </c>
      <c r="G59">
        <f>SUMIFS(banco!I:I,banco!$C:$C,$B59,banco!$A:$A,$A59)</f>
        <v>0</v>
      </c>
      <c r="H59" s="12">
        <f>IFERROR(G59/$O59,0)</f>
        <v>0</v>
      </c>
      <c r="I59">
        <f>SUMIFS(banco!K:K,banco!$C:$C,$B59,banco!$A:$A,$A59)</f>
        <v>0</v>
      </c>
      <c r="J59" s="12">
        <f>IFERROR(I59/$P59,0)</f>
        <v>0</v>
      </c>
      <c r="K59">
        <f>SUMIFS(banco!M:M,banco!$C:$C,$B59,banco!$A:$A,$A59)</f>
        <v>0</v>
      </c>
      <c r="L59" s="12">
        <f>IFERROR(K59/$O59,0)</f>
        <v>0</v>
      </c>
      <c r="M59">
        <f>SUMIFS(banco!O:O,banco!$C:$C,$B59,banco!$A:$A,$A59)</f>
        <v>0</v>
      </c>
      <c r="N59" s="12">
        <f>IFERROR(M59/$P59,0)</f>
        <v>0</v>
      </c>
      <c r="O59">
        <f>SUMIFS(banco!Q:Q,banco!$C:$C,$B59,banco!$A:$A,$A59)</f>
        <v>0</v>
      </c>
      <c r="P59">
        <f>SUMIFS(banco!R:R,banco!$C:$C,$B59,banco!$A:$A,$A59)</f>
        <v>0</v>
      </c>
      <c r="Q59">
        <v>18401</v>
      </c>
    </row>
    <row r="60" spans="1:17" x14ac:dyDescent="0.25">
      <c r="A60" s="20">
        <v>2017</v>
      </c>
      <c r="B60" s="18" t="s">
        <v>144</v>
      </c>
      <c r="C60">
        <f>SUMIFS(banco!E:E,banco!$C:$C,$B60,banco!$A:$A,$A60)</f>
        <v>0</v>
      </c>
      <c r="D60" s="12">
        <f>IFERROR(C60/$O60,0)</f>
        <v>0</v>
      </c>
      <c r="E60">
        <f>SUMIFS(banco!G:G,banco!$C:$C,$B60,banco!$A:$A,$A60)</f>
        <v>0</v>
      </c>
      <c r="F60" s="12">
        <f>IFERROR(E60/$P60,0)</f>
        <v>0</v>
      </c>
      <c r="G60">
        <f>SUMIFS(banco!I:I,banco!$C:$C,$B60,banco!$A:$A,$A60)</f>
        <v>0</v>
      </c>
      <c r="H60" s="12">
        <f>IFERROR(G60/$O60,0)</f>
        <v>0</v>
      </c>
      <c r="I60">
        <f>SUMIFS(banco!K:K,banco!$C:$C,$B60,banco!$A:$A,$A60)</f>
        <v>0</v>
      </c>
      <c r="J60" s="12">
        <f>IFERROR(I60/$P60,0)</f>
        <v>0</v>
      </c>
      <c r="K60">
        <f>SUMIFS(banco!M:M,banco!$C:$C,$B60,banco!$A:$A,$A60)</f>
        <v>0</v>
      </c>
      <c r="L60" s="12">
        <f>IFERROR(K60/$O60,0)</f>
        <v>0</v>
      </c>
      <c r="M60">
        <f>SUMIFS(banco!O:O,banco!$C:$C,$B60,banco!$A:$A,$A60)</f>
        <v>0</v>
      </c>
      <c r="N60" s="12">
        <f>IFERROR(M60/$P60,0)</f>
        <v>0</v>
      </c>
      <c r="O60">
        <f>SUMIFS(banco!Q:Q,banco!$C:$C,$B60,banco!$A:$A,$A60)</f>
        <v>0</v>
      </c>
      <c r="P60">
        <f>SUMIFS(banco!R:R,banco!$C:$C,$B60,banco!$A:$A,$A60)</f>
        <v>0</v>
      </c>
      <c r="Q60">
        <v>10028</v>
      </c>
    </row>
    <row r="61" spans="1:17" x14ac:dyDescent="0.25">
      <c r="A61" s="20">
        <v>2017</v>
      </c>
      <c r="B61" s="18" t="s">
        <v>148</v>
      </c>
      <c r="C61">
        <f>SUMIFS(banco!E:E,banco!$C:$C,$B61,banco!$A:$A,$A61)</f>
        <v>0</v>
      </c>
      <c r="D61" s="12">
        <f>IFERROR(C61/$O61,0)</f>
        <v>0</v>
      </c>
      <c r="E61">
        <f>SUMIFS(banco!G:G,banco!$C:$C,$B61,banco!$A:$A,$A61)</f>
        <v>0</v>
      </c>
      <c r="F61" s="12">
        <f>IFERROR(E61/$P61,0)</f>
        <v>0</v>
      </c>
      <c r="G61">
        <f>SUMIFS(banco!I:I,banco!$C:$C,$B61,banco!$A:$A,$A61)</f>
        <v>0</v>
      </c>
      <c r="H61" s="12">
        <f>IFERROR(G61/$O61,0)</f>
        <v>0</v>
      </c>
      <c r="I61">
        <f>SUMIFS(banco!K:K,banco!$C:$C,$B61,banco!$A:$A,$A61)</f>
        <v>0</v>
      </c>
      <c r="J61" s="12">
        <f>IFERROR(I61/$P61,0)</f>
        <v>0</v>
      </c>
      <c r="K61">
        <f>SUMIFS(banco!M:M,banco!$C:$C,$B61,banco!$A:$A,$A61)</f>
        <v>0</v>
      </c>
      <c r="L61" s="12">
        <f>IFERROR(K61/$O61,0)</f>
        <v>0</v>
      </c>
      <c r="M61">
        <f>SUMIFS(banco!O:O,banco!$C:$C,$B61,banco!$A:$A,$A61)</f>
        <v>0</v>
      </c>
      <c r="N61" s="12">
        <f>IFERROR(M61/$P61,0)</f>
        <v>0</v>
      </c>
      <c r="O61">
        <f>SUMIFS(banco!Q:Q,banco!$C:$C,$B61,banco!$A:$A,$A61)</f>
        <v>0</v>
      </c>
      <c r="P61">
        <f>SUMIFS(banco!R:R,banco!$C:$C,$B61,banco!$A:$A,$A61)</f>
        <v>0</v>
      </c>
      <c r="Q61">
        <v>29227</v>
      </c>
    </row>
    <row r="62" spans="1:17" x14ac:dyDescent="0.25">
      <c r="A62" s="20">
        <v>2017</v>
      </c>
      <c r="B62" s="18" t="s">
        <v>150</v>
      </c>
      <c r="C62">
        <f>SUMIFS(banco!E:E,banco!$C:$C,$B62,banco!$A:$A,$A62)</f>
        <v>0</v>
      </c>
      <c r="D62" s="12">
        <f>IFERROR(C62/$O62,0)</f>
        <v>0</v>
      </c>
      <c r="E62">
        <f>SUMIFS(banco!G:G,banco!$C:$C,$B62,banco!$A:$A,$A62)</f>
        <v>0</v>
      </c>
      <c r="F62" s="12">
        <f>IFERROR(E62/$P62,0)</f>
        <v>0</v>
      </c>
      <c r="G62">
        <f>SUMIFS(banco!I:I,banco!$C:$C,$B62,banco!$A:$A,$A62)</f>
        <v>0</v>
      </c>
      <c r="H62" s="12">
        <f>IFERROR(G62/$O62,0)</f>
        <v>0</v>
      </c>
      <c r="I62">
        <f>SUMIFS(banco!K:K,banco!$C:$C,$B62,banco!$A:$A,$A62)</f>
        <v>0</v>
      </c>
      <c r="J62" s="12">
        <f>IFERROR(I62/$P62,0)</f>
        <v>0</v>
      </c>
      <c r="K62">
        <f>SUMIFS(banco!M:M,banco!$C:$C,$B62,banco!$A:$A,$A62)</f>
        <v>0</v>
      </c>
      <c r="L62" s="12">
        <f>IFERROR(K62/$O62,0)</f>
        <v>0</v>
      </c>
      <c r="M62">
        <f>SUMIFS(banco!O:O,banco!$C:$C,$B62,banco!$A:$A,$A62)</f>
        <v>0</v>
      </c>
      <c r="N62" s="12">
        <f>IFERROR(M62/$P62,0)</f>
        <v>0</v>
      </c>
      <c r="O62">
        <f>SUMIFS(banco!Q:Q,banco!$C:$C,$B62,banco!$A:$A,$A62)</f>
        <v>0</v>
      </c>
      <c r="P62">
        <f>SUMIFS(banco!R:R,banco!$C:$C,$B62,banco!$A:$A,$A62)</f>
        <v>0</v>
      </c>
      <c r="Q62">
        <v>12420</v>
      </c>
    </row>
    <row r="63" spans="1:17" x14ac:dyDescent="0.25">
      <c r="A63" s="20">
        <v>2017</v>
      </c>
      <c r="B63" s="18" t="s">
        <v>146</v>
      </c>
      <c r="C63">
        <f>SUMIFS(banco!E:E,banco!$C:$C,$B63,banco!$A:$A,$A63)</f>
        <v>0</v>
      </c>
      <c r="D63" s="12">
        <f>IFERROR(C63/$O63,0)</f>
        <v>0</v>
      </c>
      <c r="E63">
        <f>SUMIFS(banco!G:G,banco!$C:$C,$B63,banco!$A:$A,$A63)</f>
        <v>0</v>
      </c>
      <c r="F63" s="12">
        <f>IFERROR(E63/$P63,0)</f>
        <v>0</v>
      </c>
      <c r="G63">
        <f>SUMIFS(banco!I:I,banco!$C:$C,$B63,banco!$A:$A,$A63)</f>
        <v>0</v>
      </c>
      <c r="H63" s="12">
        <f>IFERROR(G63/$O63,0)</f>
        <v>0</v>
      </c>
      <c r="I63">
        <f>SUMIFS(banco!K:K,banco!$C:$C,$B63,banco!$A:$A,$A63)</f>
        <v>0</v>
      </c>
      <c r="J63" s="12">
        <f>IFERROR(I63/$P63,0)</f>
        <v>0</v>
      </c>
      <c r="K63">
        <f>SUMIFS(banco!M:M,banco!$C:$C,$B63,banco!$A:$A,$A63)</f>
        <v>0</v>
      </c>
      <c r="L63" s="12">
        <f>IFERROR(K63/$O63,0)</f>
        <v>0</v>
      </c>
      <c r="M63">
        <f>SUMIFS(banco!O:O,banco!$C:$C,$B63,banco!$A:$A,$A63)</f>
        <v>0</v>
      </c>
      <c r="N63" s="12">
        <f>IFERROR(M63/$P63,0)</f>
        <v>0</v>
      </c>
      <c r="O63">
        <f>SUMIFS(banco!Q:Q,banco!$C:$C,$B63,banco!$A:$A,$A63)</f>
        <v>0</v>
      </c>
      <c r="P63">
        <f>SUMIFS(banco!R:R,banco!$C:$C,$B63,banco!$A:$A,$A63)</f>
        <v>0</v>
      </c>
      <c r="Q63">
        <v>13278</v>
      </c>
    </row>
    <row r="64" spans="1:17" x14ac:dyDescent="0.25">
      <c r="A64" s="20">
        <v>2017</v>
      </c>
      <c r="B64" s="18" t="s">
        <v>149</v>
      </c>
      <c r="C64">
        <f>SUMIFS(banco!E:E,banco!$C:$C,$B64,banco!$A:$A,$A64)</f>
        <v>0</v>
      </c>
      <c r="D64" s="12">
        <f>IFERROR(C64/$O64,0)</f>
        <v>0</v>
      </c>
      <c r="E64">
        <f>SUMIFS(banco!G:G,banco!$C:$C,$B64,banco!$A:$A,$A64)</f>
        <v>0</v>
      </c>
      <c r="F64" s="12">
        <f>IFERROR(E64/$P64,0)</f>
        <v>0</v>
      </c>
      <c r="G64">
        <f>SUMIFS(banco!I:I,banco!$C:$C,$B64,banco!$A:$A,$A64)</f>
        <v>0</v>
      </c>
      <c r="H64" s="12">
        <f>IFERROR(G64/$O64,0)</f>
        <v>0</v>
      </c>
      <c r="I64">
        <f>SUMIFS(banco!K:K,banco!$C:$C,$B64,banco!$A:$A,$A64)</f>
        <v>0</v>
      </c>
      <c r="J64" s="12">
        <f>IFERROR(I64/$P64,0)</f>
        <v>0</v>
      </c>
      <c r="K64">
        <f>SUMIFS(banco!M:M,banco!$C:$C,$B64,banco!$A:$A,$A64)</f>
        <v>0</v>
      </c>
      <c r="L64" s="12">
        <f>IFERROR(K64/$O64,0)</f>
        <v>0</v>
      </c>
      <c r="M64">
        <f>SUMIFS(banco!O:O,banco!$C:$C,$B64,banco!$A:$A,$A64)</f>
        <v>0</v>
      </c>
      <c r="N64" s="12">
        <f>IFERROR(M64/$P64,0)</f>
        <v>0</v>
      </c>
      <c r="O64">
        <f>SUMIFS(banco!Q:Q,banco!$C:$C,$B64,banco!$A:$A,$A64)</f>
        <v>0</v>
      </c>
      <c r="P64">
        <f>SUMIFS(banco!R:R,banco!$C:$C,$B64,banco!$A:$A,$A64)</f>
        <v>0</v>
      </c>
      <c r="Q64">
        <v>23401</v>
      </c>
    </row>
    <row r="65" spans="1:17" x14ac:dyDescent="0.25">
      <c r="A65" s="20">
        <v>2017</v>
      </c>
      <c r="B65" s="18" t="s">
        <v>147</v>
      </c>
      <c r="C65">
        <f>SUMIFS(banco!E:E,banco!$C:$C,$B65,banco!$A:$A,$A65)</f>
        <v>0</v>
      </c>
      <c r="D65" s="12">
        <f>IFERROR(C65/$O65,0)</f>
        <v>0</v>
      </c>
      <c r="E65">
        <f>SUMIFS(banco!G:G,banco!$C:$C,$B65,banco!$A:$A,$A65)</f>
        <v>0</v>
      </c>
      <c r="F65" s="12">
        <f>IFERROR(E65/$P65,0)</f>
        <v>0</v>
      </c>
      <c r="G65">
        <f>SUMIFS(banco!I:I,banco!$C:$C,$B65,banco!$A:$A,$A65)</f>
        <v>0</v>
      </c>
      <c r="H65" s="12">
        <f>IFERROR(G65/$O65,0)</f>
        <v>0</v>
      </c>
      <c r="I65">
        <f>SUMIFS(banco!K:K,banco!$C:$C,$B65,banco!$A:$A,$A65)</f>
        <v>0</v>
      </c>
      <c r="J65" s="12">
        <f>IFERROR(I65/$P65,0)</f>
        <v>0</v>
      </c>
      <c r="K65">
        <f>SUMIFS(banco!M:M,banco!$C:$C,$B65,banco!$A:$A,$A65)</f>
        <v>0</v>
      </c>
      <c r="L65" s="12">
        <f>IFERROR(K65/$O65,0)</f>
        <v>0</v>
      </c>
      <c r="M65">
        <f>SUMIFS(banco!O:O,banco!$C:$C,$B65,banco!$A:$A,$A65)</f>
        <v>0</v>
      </c>
      <c r="N65" s="12">
        <f>IFERROR(M65/$P65,0)</f>
        <v>0</v>
      </c>
      <c r="O65">
        <f>SUMIFS(banco!Q:Q,banco!$C:$C,$B65,banco!$A:$A,$A65)</f>
        <v>0</v>
      </c>
      <c r="P65">
        <f>SUMIFS(banco!R:R,banco!$C:$C,$B65,banco!$A:$A,$A65)</f>
        <v>0</v>
      </c>
      <c r="Q65">
        <v>7736</v>
      </c>
    </row>
    <row r="66" spans="1:17" x14ac:dyDescent="0.25">
      <c r="A66" s="20">
        <v>2016</v>
      </c>
      <c r="B66" s="18" t="s">
        <v>151</v>
      </c>
      <c r="C66">
        <f>SUMIFS(banco!E:E,banco!$C:$C,$B66,banco!$A:$A,$A66)</f>
        <v>0</v>
      </c>
      <c r="D66" s="12">
        <f>IFERROR(C66/$O66,0)</f>
        <v>0</v>
      </c>
      <c r="E66">
        <f>SUMIFS(banco!G:G,banco!$C:$C,$B66,banco!$A:$A,$A66)</f>
        <v>0</v>
      </c>
      <c r="F66" s="12">
        <f>IFERROR(E66/$P66,0)</f>
        <v>0</v>
      </c>
      <c r="G66">
        <f>SUMIFS(banco!I:I,banco!$C:$C,$B66,banco!$A:$A,$A66)</f>
        <v>0</v>
      </c>
      <c r="H66" s="12">
        <f>IFERROR(G66/$O66,0)</f>
        <v>0</v>
      </c>
      <c r="I66">
        <f>SUMIFS(banco!K:K,banco!$C:$C,$B66,banco!$A:$A,$A66)</f>
        <v>0</v>
      </c>
      <c r="J66" s="12">
        <f>IFERROR(I66/$P66,0)</f>
        <v>0</v>
      </c>
      <c r="K66">
        <f>SUMIFS(banco!M:M,banco!$C:$C,$B66,banco!$A:$A,$A66)</f>
        <v>0</v>
      </c>
      <c r="L66" s="12">
        <f>IFERROR(K66/$O66,0)</f>
        <v>0</v>
      </c>
      <c r="M66">
        <f>SUMIFS(banco!O:O,banco!$C:$C,$B66,banco!$A:$A,$A66)</f>
        <v>0</v>
      </c>
      <c r="N66" s="12">
        <f>IFERROR(M66/$P66,0)</f>
        <v>0</v>
      </c>
      <c r="O66">
        <f>SUMIFS(banco!Q:Q,banco!$C:$C,$B66,banco!$A:$A,$A66)</f>
        <v>0</v>
      </c>
      <c r="P66">
        <f>SUMIFS(banco!R:R,banco!$C:$C,$B66,banco!$A:$A,$A66)</f>
        <v>0</v>
      </c>
      <c r="Q66">
        <v>9802</v>
      </c>
    </row>
    <row r="67" spans="1:17" x14ac:dyDescent="0.25">
      <c r="A67" s="20">
        <v>2016</v>
      </c>
      <c r="B67" s="18" t="s">
        <v>145</v>
      </c>
      <c r="C67">
        <f>SUMIFS(banco!E:E,banco!$C:$C,$B67,banco!$A:$A,$A67)</f>
        <v>0</v>
      </c>
      <c r="D67" s="12">
        <f>IFERROR(C67/$O67,0)</f>
        <v>0</v>
      </c>
      <c r="E67">
        <f>SUMIFS(banco!G:G,banco!$C:$C,$B67,banco!$A:$A,$A67)</f>
        <v>0</v>
      </c>
      <c r="F67" s="12">
        <f>IFERROR(E67/$P67,0)</f>
        <v>0</v>
      </c>
      <c r="G67">
        <f>SUMIFS(banco!I:I,banco!$C:$C,$B67,banco!$A:$A,$A67)</f>
        <v>0</v>
      </c>
      <c r="H67" s="12">
        <f>IFERROR(G67/$O67,0)</f>
        <v>0</v>
      </c>
      <c r="I67">
        <f>SUMIFS(banco!K:K,banco!$C:$C,$B67,banco!$A:$A,$A67)</f>
        <v>0</v>
      </c>
      <c r="J67" s="12">
        <f>IFERROR(I67/$P67,0)</f>
        <v>0</v>
      </c>
      <c r="K67">
        <f>SUMIFS(banco!M:M,banco!$C:$C,$B67,banco!$A:$A,$A67)</f>
        <v>0</v>
      </c>
      <c r="L67" s="12">
        <f>IFERROR(K67/$O67,0)</f>
        <v>0</v>
      </c>
      <c r="M67">
        <f>SUMIFS(banco!O:O,banco!$C:$C,$B67,banco!$A:$A,$A67)</f>
        <v>0</v>
      </c>
      <c r="N67" s="12">
        <f>IFERROR(M67/$P67,0)</f>
        <v>0</v>
      </c>
      <c r="O67">
        <f>SUMIFS(banco!Q:Q,banco!$C:$C,$B67,banco!$A:$A,$A67)</f>
        <v>0</v>
      </c>
      <c r="P67">
        <f>SUMIFS(banco!R:R,banco!$C:$C,$B67,banco!$A:$A,$A67)</f>
        <v>0</v>
      </c>
      <c r="Q67">
        <v>18751</v>
      </c>
    </row>
    <row r="68" spans="1:17" x14ac:dyDescent="0.25">
      <c r="A68" s="20">
        <v>2016</v>
      </c>
      <c r="B68" s="18" t="s">
        <v>144</v>
      </c>
      <c r="C68">
        <f>SUMIFS(banco!E:E,banco!$C:$C,$B68,banco!$A:$A,$A68)</f>
        <v>0</v>
      </c>
      <c r="D68" s="12">
        <f>IFERROR(C68/$O68,0)</f>
        <v>0</v>
      </c>
      <c r="E68">
        <f>SUMIFS(banco!G:G,banco!$C:$C,$B68,banco!$A:$A,$A68)</f>
        <v>0</v>
      </c>
      <c r="F68" s="12">
        <f>IFERROR(E68/$P68,0)</f>
        <v>0</v>
      </c>
      <c r="G68">
        <f>SUMIFS(banco!I:I,banco!$C:$C,$B68,banco!$A:$A,$A68)</f>
        <v>0</v>
      </c>
      <c r="H68" s="12">
        <f>IFERROR(G68/$O68,0)</f>
        <v>0</v>
      </c>
      <c r="I68">
        <f>SUMIFS(banco!K:K,banco!$C:$C,$B68,banco!$A:$A,$A68)</f>
        <v>0</v>
      </c>
      <c r="J68" s="12">
        <f>IFERROR(I68/$P68,0)</f>
        <v>0</v>
      </c>
      <c r="K68">
        <f>SUMIFS(banco!M:M,banco!$C:$C,$B68,banco!$A:$A,$A68)</f>
        <v>0</v>
      </c>
      <c r="L68" s="12">
        <f>IFERROR(K68/$O68,0)</f>
        <v>0</v>
      </c>
      <c r="M68">
        <f>SUMIFS(banco!O:O,banco!$C:$C,$B68,banco!$A:$A,$A68)</f>
        <v>0</v>
      </c>
      <c r="N68" s="12">
        <f>IFERROR(M68/$P68,0)</f>
        <v>0</v>
      </c>
      <c r="O68">
        <f>SUMIFS(banco!Q:Q,banco!$C:$C,$B68,banco!$A:$A,$A68)</f>
        <v>0</v>
      </c>
      <c r="P68">
        <f>SUMIFS(banco!R:R,banco!$C:$C,$B68,banco!$A:$A,$A68)</f>
        <v>0</v>
      </c>
      <c r="Q68">
        <v>10125</v>
      </c>
    </row>
    <row r="69" spans="1:17" x14ac:dyDescent="0.25">
      <c r="A69" s="20">
        <v>2016</v>
      </c>
      <c r="B69" s="18" t="s">
        <v>148</v>
      </c>
      <c r="C69">
        <f>SUMIFS(banco!E:E,banco!$C:$C,$B69,banco!$A:$A,$A69)</f>
        <v>0</v>
      </c>
      <c r="D69" s="12">
        <f>IFERROR(C69/$O69,0)</f>
        <v>0</v>
      </c>
      <c r="E69">
        <f>SUMIFS(banco!G:G,banco!$C:$C,$B69,banco!$A:$A,$A69)</f>
        <v>0</v>
      </c>
      <c r="F69" s="12">
        <f>IFERROR(E69/$P69,0)</f>
        <v>0</v>
      </c>
      <c r="G69">
        <f>SUMIFS(banco!I:I,banco!$C:$C,$B69,banco!$A:$A,$A69)</f>
        <v>0</v>
      </c>
      <c r="H69" s="12">
        <f>IFERROR(G69/$O69,0)</f>
        <v>0</v>
      </c>
      <c r="I69">
        <f>SUMIFS(banco!K:K,banco!$C:$C,$B69,banco!$A:$A,$A69)</f>
        <v>0</v>
      </c>
      <c r="J69" s="12">
        <f>IFERROR(I69/$P69,0)</f>
        <v>0</v>
      </c>
      <c r="K69">
        <f>SUMIFS(banco!M:M,banco!$C:$C,$B69,banco!$A:$A,$A69)</f>
        <v>0</v>
      </c>
      <c r="L69" s="12">
        <f>IFERROR(K69/$O69,0)</f>
        <v>0</v>
      </c>
      <c r="M69">
        <f>SUMIFS(banco!O:O,banco!$C:$C,$B69,banco!$A:$A,$A69)</f>
        <v>0</v>
      </c>
      <c r="N69" s="12">
        <f>IFERROR(M69/$P69,0)</f>
        <v>0</v>
      </c>
      <c r="O69">
        <f>SUMIFS(banco!Q:Q,banco!$C:$C,$B69,banco!$A:$A,$A69)</f>
        <v>0</v>
      </c>
      <c r="P69">
        <f>SUMIFS(banco!R:R,banco!$C:$C,$B69,banco!$A:$A,$A69)</f>
        <v>0</v>
      </c>
      <c r="Q69">
        <v>29079</v>
      </c>
    </row>
    <row r="70" spans="1:17" x14ac:dyDescent="0.25">
      <c r="A70" s="20">
        <v>2016</v>
      </c>
      <c r="B70" s="18" t="s">
        <v>150</v>
      </c>
      <c r="C70">
        <f>SUMIFS(banco!E:E,banco!$C:$C,$B70,banco!$A:$A,$A70)</f>
        <v>0</v>
      </c>
      <c r="D70" s="12">
        <f>IFERROR(C70/$O70,0)</f>
        <v>0</v>
      </c>
      <c r="E70">
        <f>SUMIFS(banco!G:G,banco!$C:$C,$B70,banco!$A:$A,$A70)</f>
        <v>0</v>
      </c>
      <c r="F70" s="12">
        <f>IFERROR(E70/$P70,0)</f>
        <v>0</v>
      </c>
      <c r="G70">
        <f>SUMIFS(banco!I:I,banco!$C:$C,$B70,banco!$A:$A,$A70)</f>
        <v>0</v>
      </c>
      <c r="H70" s="12">
        <f>IFERROR(G70/$O70,0)</f>
        <v>0</v>
      </c>
      <c r="I70">
        <f>SUMIFS(banco!K:K,banco!$C:$C,$B70,banco!$A:$A,$A70)</f>
        <v>0</v>
      </c>
      <c r="J70" s="12">
        <f>IFERROR(I70/$P70,0)</f>
        <v>0</v>
      </c>
      <c r="K70">
        <f>SUMIFS(banco!M:M,banco!$C:$C,$B70,banco!$A:$A,$A70)</f>
        <v>0</v>
      </c>
      <c r="L70" s="12">
        <f>IFERROR(K70/$O70,0)</f>
        <v>0</v>
      </c>
      <c r="M70">
        <f>SUMIFS(banco!O:O,banco!$C:$C,$B70,banco!$A:$A,$A70)</f>
        <v>0</v>
      </c>
      <c r="N70" s="12">
        <f>IFERROR(M70/$P70,0)</f>
        <v>0</v>
      </c>
      <c r="O70">
        <f>SUMIFS(banco!Q:Q,banco!$C:$C,$B70,banco!$A:$A,$A70)</f>
        <v>0</v>
      </c>
      <c r="P70">
        <f>SUMIFS(banco!R:R,banco!$C:$C,$B70,banco!$A:$A,$A70)</f>
        <v>0</v>
      </c>
      <c r="Q70">
        <v>12633</v>
      </c>
    </row>
    <row r="71" spans="1:17" x14ac:dyDescent="0.25">
      <c r="A71" s="20">
        <v>2016</v>
      </c>
      <c r="B71" s="18" t="s">
        <v>146</v>
      </c>
      <c r="C71">
        <f>SUMIFS(banco!E:E,banco!$C:$C,$B71,banco!$A:$A,$A71)</f>
        <v>0</v>
      </c>
      <c r="D71" s="12">
        <f>IFERROR(C71/$O71,0)</f>
        <v>0</v>
      </c>
      <c r="E71">
        <f>SUMIFS(banco!G:G,banco!$C:$C,$B71,banco!$A:$A,$A71)</f>
        <v>0</v>
      </c>
      <c r="F71" s="12">
        <f>IFERROR(E71/$P71,0)</f>
        <v>0</v>
      </c>
      <c r="G71">
        <f>SUMIFS(banco!I:I,banco!$C:$C,$B71,banco!$A:$A,$A71)</f>
        <v>0</v>
      </c>
      <c r="H71" s="12">
        <f>IFERROR(G71/$O71,0)</f>
        <v>0</v>
      </c>
      <c r="I71">
        <f>SUMIFS(banco!K:K,banco!$C:$C,$B71,banco!$A:$A,$A71)</f>
        <v>0</v>
      </c>
      <c r="J71" s="12">
        <f>IFERROR(I71/$P71,0)</f>
        <v>0</v>
      </c>
      <c r="K71">
        <f>SUMIFS(banco!M:M,banco!$C:$C,$B71,banco!$A:$A,$A71)</f>
        <v>0</v>
      </c>
      <c r="L71" s="12">
        <f>IFERROR(K71/$O71,0)</f>
        <v>0</v>
      </c>
      <c r="M71">
        <f>SUMIFS(banco!O:O,banco!$C:$C,$B71,banco!$A:$A,$A71)</f>
        <v>0</v>
      </c>
      <c r="N71" s="12">
        <f>IFERROR(M71/$P71,0)</f>
        <v>0</v>
      </c>
      <c r="O71">
        <f>SUMIFS(banco!Q:Q,banco!$C:$C,$B71,banco!$A:$A,$A71)</f>
        <v>0</v>
      </c>
      <c r="P71">
        <f>SUMIFS(banco!R:R,banco!$C:$C,$B71,banco!$A:$A,$A71)</f>
        <v>0</v>
      </c>
      <c r="Q71">
        <v>13489</v>
      </c>
    </row>
    <row r="72" spans="1:17" x14ac:dyDescent="0.25">
      <c r="A72" s="20">
        <v>2016</v>
      </c>
      <c r="B72" s="18" t="s">
        <v>149</v>
      </c>
      <c r="C72">
        <f>SUMIFS(banco!E:E,banco!$C:$C,$B72,banco!$A:$A,$A72)</f>
        <v>0</v>
      </c>
      <c r="D72" s="12">
        <f>IFERROR(C72/$O72,0)</f>
        <v>0</v>
      </c>
      <c r="E72">
        <f>SUMIFS(banco!G:G,banco!$C:$C,$B72,banco!$A:$A,$A72)</f>
        <v>0</v>
      </c>
      <c r="F72" s="12">
        <f>IFERROR(E72/$P72,0)</f>
        <v>0</v>
      </c>
      <c r="G72">
        <f>SUMIFS(banco!I:I,banco!$C:$C,$B72,banco!$A:$A,$A72)</f>
        <v>0</v>
      </c>
      <c r="H72" s="12">
        <f>IFERROR(G72/$O72,0)</f>
        <v>0</v>
      </c>
      <c r="I72">
        <f>SUMIFS(banco!K:K,banco!$C:$C,$B72,banco!$A:$A,$A72)</f>
        <v>0</v>
      </c>
      <c r="J72" s="12">
        <f>IFERROR(I72/$P72,0)</f>
        <v>0</v>
      </c>
      <c r="K72">
        <f>SUMIFS(banco!M:M,banco!$C:$C,$B72,banco!$A:$A,$A72)</f>
        <v>0</v>
      </c>
      <c r="L72" s="12">
        <f>IFERROR(K72/$O72,0)</f>
        <v>0</v>
      </c>
      <c r="M72">
        <f>SUMIFS(banco!O:O,banco!$C:$C,$B72,banco!$A:$A,$A72)</f>
        <v>0</v>
      </c>
      <c r="N72" s="12">
        <f>IFERROR(M72/$P72,0)</f>
        <v>0</v>
      </c>
      <c r="O72">
        <f>SUMIFS(banco!Q:Q,banco!$C:$C,$B72,banco!$A:$A,$A72)</f>
        <v>0</v>
      </c>
      <c r="P72">
        <f>SUMIFS(banco!R:R,banco!$C:$C,$B72,banco!$A:$A,$A72)</f>
        <v>0</v>
      </c>
      <c r="Q72">
        <v>23625</v>
      </c>
    </row>
    <row r="73" spans="1:17" x14ac:dyDescent="0.25">
      <c r="A73" s="20">
        <v>2016</v>
      </c>
      <c r="B73" s="18" t="s">
        <v>147</v>
      </c>
      <c r="C73">
        <f>SUMIFS(banco!E:E,banco!$C:$C,$B73,banco!$A:$A,$A73)</f>
        <v>0</v>
      </c>
      <c r="D73" s="12">
        <f>IFERROR(C73/$O73,0)</f>
        <v>0</v>
      </c>
      <c r="E73">
        <f>SUMIFS(banco!G:G,banco!$C:$C,$B73,banco!$A:$A,$A73)</f>
        <v>0</v>
      </c>
      <c r="F73" s="12">
        <f>IFERROR(E73/$P73,0)</f>
        <v>0</v>
      </c>
      <c r="G73">
        <f>SUMIFS(banco!I:I,banco!$C:$C,$B73,banco!$A:$A,$A73)</f>
        <v>0</v>
      </c>
      <c r="H73" s="12">
        <f>IFERROR(G73/$O73,0)</f>
        <v>0</v>
      </c>
      <c r="I73">
        <f>SUMIFS(banco!K:K,banco!$C:$C,$B73,banco!$A:$A,$A73)</f>
        <v>0</v>
      </c>
      <c r="J73" s="12">
        <f>IFERROR(I73/$P73,0)</f>
        <v>0</v>
      </c>
      <c r="K73">
        <f>SUMIFS(banco!M:M,banco!$C:$C,$B73,banco!$A:$A,$A73)</f>
        <v>0</v>
      </c>
      <c r="L73" s="12">
        <f>IFERROR(K73/$O73,0)</f>
        <v>0</v>
      </c>
      <c r="M73">
        <f>SUMIFS(banco!O:O,banco!$C:$C,$B73,banco!$A:$A,$A73)</f>
        <v>0</v>
      </c>
      <c r="N73" s="12">
        <f>IFERROR(M73/$P73,0)</f>
        <v>0</v>
      </c>
      <c r="O73">
        <f>SUMIFS(banco!Q:Q,banco!$C:$C,$B73,banco!$A:$A,$A73)</f>
        <v>0</v>
      </c>
      <c r="P73">
        <f>SUMIFS(banco!R:R,banco!$C:$C,$B73,banco!$A:$A,$A73)</f>
        <v>0</v>
      </c>
      <c r="Q73">
        <v>7949</v>
      </c>
    </row>
    <row r="74" spans="1:17" x14ac:dyDescent="0.25">
      <c r="A74" s="20">
        <v>2015</v>
      </c>
      <c r="B74" s="18" t="s">
        <v>151</v>
      </c>
      <c r="C74">
        <f>SUMIFS(banco!E:E,banco!$C:$C,$B74,banco!$A:$A,$A74)</f>
        <v>0</v>
      </c>
      <c r="D74" s="12">
        <f>IFERROR(C74/$O74,0)</f>
        <v>0</v>
      </c>
      <c r="E74">
        <f>SUMIFS(banco!G:G,banco!$C:$C,$B74,banco!$A:$A,$A74)</f>
        <v>0</v>
      </c>
      <c r="F74" s="12">
        <f>IFERROR(E74/$P74,0)</f>
        <v>0</v>
      </c>
      <c r="G74">
        <f>SUMIFS(banco!I:I,banco!$C:$C,$B74,banco!$A:$A,$A74)</f>
        <v>0</v>
      </c>
      <c r="H74" s="12">
        <f>IFERROR(G74/$O74,0)</f>
        <v>0</v>
      </c>
      <c r="I74">
        <f>SUMIFS(banco!K:K,banco!$C:$C,$B74,banco!$A:$A,$A74)</f>
        <v>0</v>
      </c>
      <c r="J74" s="12">
        <f>IFERROR(I74/$P74,0)</f>
        <v>0</v>
      </c>
      <c r="K74">
        <f>SUMIFS(banco!M:M,banco!$C:$C,$B74,banco!$A:$A,$A74)</f>
        <v>0</v>
      </c>
      <c r="L74" s="12">
        <f>IFERROR(K74/$O74,0)</f>
        <v>0</v>
      </c>
      <c r="M74">
        <f>SUMIFS(banco!O:O,banco!$C:$C,$B74,banco!$A:$A,$A74)</f>
        <v>0</v>
      </c>
      <c r="N74" s="12">
        <f>IFERROR(M74/$P74,0)</f>
        <v>0</v>
      </c>
      <c r="O74">
        <f>SUMIFS(banco!Q:Q,banco!C:C,Tabela1[[#This Row],[REGIÃO DE SAÚDE]],banco!A:A,Tabela1[[#This Row],[Ano]])</f>
        <v>0</v>
      </c>
      <c r="P74">
        <f>SUMIFS(banco!R:R,banco!$C:$C,$B74,banco!$A:$A,$A74)</f>
        <v>0</v>
      </c>
      <c r="Q74">
        <v>9902</v>
      </c>
    </row>
    <row r="75" spans="1:17" x14ac:dyDescent="0.25">
      <c r="A75" s="20">
        <v>2015</v>
      </c>
      <c r="B75" s="18" t="s">
        <v>145</v>
      </c>
      <c r="C75">
        <f>SUMIFS(banco!E:E,banco!$C:$C,$B75,banco!$A:$A,$A75)</f>
        <v>0</v>
      </c>
      <c r="D75" s="12">
        <f>IFERROR(C75/$O75,0)</f>
        <v>0</v>
      </c>
      <c r="E75">
        <f>SUMIFS(banco!G:G,banco!$C:$C,$B75,banco!$A:$A,$A75)</f>
        <v>0</v>
      </c>
      <c r="F75" s="12">
        <f>IFERROR(E75/$P75,0)</f>
        <v>0</v>
      </c>
      <c r="G75">
        <f>SUMIFS(banco!I:I,banco!$C:$C,$B75,banco!$A:$A,$A75)</f>
        <v>0</v>
      </c>
      <c r="H75" s="12">
        <f>IFERROR(G75/$O75,0)</f>
        <v>0</v>
      </c>
      <c r="I75">
        <f>SUMIFS(banco!K:K,banco!$C:$C,$B75,banco!$A:$A,$A75)</f>
        <v>0</v>
      </c>
      <c r="J75" s="12">
        <f>IFERROR(I75/$P75,0)</f>
        <v>0</v>
      </c>
      <c r="K75">
        <f>SUMIFS(banco!M:M,banco!$C:$C,$B75,banco!$A:$A,$A75)</f>
        <v>0</v>
      </c>
      <c r="L75" s="12">
        <f>IFERROR(K75/$O75,0)</f>
        <v>0</v>
      </c>
      <c r="M75">
        <f>SUMIFS(banco!O:O,banco!$C:$C,$B75,banco!$A:$A,$A75)</f>
        <v>0</v>
      </c>
      <c r="N75" s="12">
        <f>IFERROR(M75/$P75,0)</f>
        <v>0</v>
      </c>
      <c r="O75">
        <f>SUMIFS(banco!Q:Q,banco!$C:$C,$B75,banco!$A:$A,$A75)</f>
        <v>0</v>
      </c>
      <c r="P75">
        <f>SUMIFS(banco!R:R,banco!$C:$C,$B75,banco!$A:$A,$A75)</f>
        <v>0</v>
      </c>
      <c r="Q75">
        <v>19224</v>
      </c>
    </row>
    <row r="76" spans="1:17" x14ac:dyDescent="0.25">
      <c r="A76" s="20">
        <v>2015</v>
      </c>
      <c r="B76" s="18" t="s">
        <v>144</v>
      </c>
      <c r="C76">
        <f>SUMIFS(banco!E:E,banco!$C:$C,$B76,banco!$A:$A,$A76)</f>
        <v>0</v>
      </c>
      <c r="D76" s="12">
        <f>IFERROR(C76/$O76,0)</f>
        <v>0</v>
      </c>
      <c r="E76">
        <f>SUMIFS(banco!G:G,banco!$C:$C,$B76,banco!$A:$A,$A76)</f>
        <v>0</v>
      </c>
      <c r="F76" s="12">
        <f>IFERROR(E76/$P76,0)</f>
        <v>0</v>
      </c>
      <c r="G76">
        <f>SUMIFS(banco!I:I,banco!$C:$C,$B76,banco!$A:$A,$A76)</f>
        <v>0</v>
      </c>
      <c r="H76" s="12">
        <f>IFERROR(G76/$O76,0)</f>
        <v>0</v>
      </c>
      <c r="I76">
        <f>SUMIFS(banco!K:K,banco!$C:$C,$B76,banco!$A:$A,$A76)</f>
        <v>0</v>
      </c>
      <c r="J76" s="12">
        <f>IFERROR(I76/$P76,0)</f>
        <v>0</v>
      </c>
      <c r="K76">
        <f>SUMIFS(banco!M:M,banco!$C:$C,$B76,banco!$A:$A,$A76)</f>
        <v>0</v>
      </c>
      <c r="L76" s="12">
        <f>IFERROR(K76/$O76,0)</f>
        <v>0</v>
      </c>
      <c r="M76">
        <f>SUMIFS(banco!O:O,banco!$C:$C,$B76,banco!$A:$A,$A76)</f>
        <v>0</v>
      </c>
      <c r="N76" s="12">
        <f>IFERROR(M76/$P76,0)</f>
        <v>0</v>
      </c>
      <c r="O76">
        <f>SUMIFS(banco!Q:Q,banco!$C:$C,$B76,banco!$A:$A,$A76)</f>
        <v>0</v>
      </c>
      <c r="P76">
        <f>SUMIFS(banco!R:R,banco!$C:$C,$B76,banco!$A:$A,$A76)</f>
        <v>0</v>
      </c>
      <c r="Q76">
        <v>10333</v>
      </c>
    </row>
    <row r="77" spans="1:17" x14ac:dyDescent="0.25">
      <c r="A77" s="20">
        <v>2015</v>
      </c>
      <c r="B77" s="18" t="s">
        <v>148</v>
      </c>
      <c r="C77">
        <f>SUMIFS(banco!E:E,banco!$C:$C,$B77,banco!$A:$A,$A77)</f>
        <v>0</v>
      </c>
      <c r="D77" s="12">
        <f>IFERROR(C77/$O77,0)</f>
        <v>0</v>
      </c>
      <c r="E77">
        <f>SUMIFS(banco!G:G,banco!$C:$C,$B77,banco!$A:$A,$A77)</f>
        <v>0</v>
      </c>
      <c r="F77" s="12">
        <f>IFERROR(E77/$P77,0)</f>
        <v>0</v>
      </c>
      <c r="G77">
        <f>SUMIFS(banco!I:I,banco!$C:$C,$B77,banco!$A:$A,$A77)</f>
        <v>0</v>
      </c>
      <c r="H77" s="12">
        <f>IFERROR(G77/$O77,0)</f>
        <v>0</v>
      </c>
      <c r="I77">
        <f>SUMIFS(banco!K:K,banco!$C:$C,$B77,banco!$A:$A,$A77)</f>
        <v>0</v>
      </c>
      <c r="J77" s="12">
        <f>IFERROR(I77/$P77,0)</f>
        <v>0</v>
      </c>
      <c r="K77">
        <f>SUMIFS(banco!M:M,banco!$C:$C,$B77,banco!$A:$A,$A77)</f>
        <v>0</v>
      </c>
      <c r="L77" s="12">
        <f>IFERROR(K77/$O77,0)</f>
        <v>0</v>
      </c>
      <c r="M77">
        <f>SUMIFS(banco!O:O,banco!$C:$C,$B77,banco!$A:$A,$A77)</f>
        <v>0</v>
      </c>
      <c r="N77" s="12">
        <f>IFERROR(M77/$P77,0)</f>
        <v>0</v>
      </c>
      <c r="O77">
        <f>SUMIFS(banco!Q:Q,banco!$C:$C,$B77,banco!$A:$A,$A77)</f>
        <v>0</v>
      </c>
      <c r="P77">
        <f>SUMIFS(banco!R:R,banco!$C:$C,$B77,banco!$A:$A,$A77)</f>
        <v>0</v>
      </c>
      <c r="Q77">
        <v>29079</v>
      </c>
    </row>
    <row r="78" spans="1:17" x14ac:dyDescent="0.25">
      <c r="A78" s="20">
        <v>2015</v>
      </c>
      <c r="B78" s="18" t="s">
        <v>150</v>
      </c>
      <c r="C78">
        <f>SUMIFS(banco!E:E,banco!$C:$C,$B78,banco!$A:$A,$A78)</f>
        <v>0</v>
      </c>
      <c r="D78" s="12">
        <f>IFERROR(C78/$O78,0)</f>
        <v>0</v>
      </c>
      <c r="E78">
        <f>SUMIFS(banco!G:G,banco!$C:$C,$B78,banco!$A:$A,$A78)</f>
        <v>0</v>
      </c>
      <c r="F78" s="12">
        <f>IFERROR(E78/$P78,0)</f>
        <v>0</v>
      </c>
      <c r="G78">
        <f>SUMIFS(banco!I:I,banco!$C:$C,$B78,banco!$A:$A,$A78)</f>
        <v>0</v>
      </c>
      <c r="H78" s="12">
        <f>IFERROR(G78/$O78,0)</f>
        <v>0</v>
      </c>
      <c r="I78">
        <f>SUMIFS(banco!K:K,banco!$C:$C,$B78,banco!$A:$A,$A78)</f>
        <v>0</v>
      </c>
      <c r="J78" s="12">
        <f>IFERROR(I78/$P78,0)</f>
        <v>0</v>
      </c>
      <c r="K78">
        <f>SUMIFS(banco!M:M,banco!$C:$C,$B78,banco!$A:$A,$A78)</f>
        <v>0</v>
      </c>
      <c r="L78" s="12">
        <f>IFERROR(K78/$O78,0)</f>
        <v>0</v>
      </c>
      <c r="M78">
        <f>SUMIFS(banco!O:O,banco!$C:$C,$B78,banco!$A:$A,$A78)</f>
        <v>0</v>
      </c>
      <c r="N78" s="12">
        <f>IFERROR(M78/$P78,0)</f>
        <v>0</v>
      </c>
      <c r="O78">
        <f>SUMIFS(banco!Q:Q,banco!$C:$C,$B78,banco!$A:$A,$A78)</f>
        <v>0</v>
      </c>
      <c r="P78">
        <f>SUMIFS(banco!R:R,banco!$C:$C,$B78,banco!$A:$A,$A78)</f>
        <v>0</v>
      </c>
      <c r="Q78">
        <v>12965</v>
      </c>
    </row>
    <row r="79" spans="1:17" x14ac:dyDescent="0.25">
      <c r="A79" s="20">
        <v>2015</v>
      </c>
      <c r="B79" s="18" t="s">
        <v>146</v>
      </c>
      <c r="C79">
        <f>SUMIFS(banco!E:E,banco!$C:$C,$B79,banco!$A:$A,$A79)</f>
        <v>0</v>
      </c>
      <c r="D79" s="12">
        <f>IFERROR(C79/$O79,0)</f>
        <v>0</v>
      </c>
      <c r="E79">
        <f>SUMIFS(banco!G:G,banco!$C:$C,$B79,banco!$A:$A,$A79)</f>
        <v>0</v>
      </c>
      <c r="F79" s="12">
        <f>IFERROR(E79/$P79,0)</f>
        <v>0</v>
      </c>
      <c r="G79">
        <f>SUMIFS(banco!I:I,banco!$C:$C,$B79,banco!$A:$A,$A79)</f>
        <v>0</v>
      </c>
      <c r="H79" s="12">
        <f>IFERROR(G79/$O79,0)</f>
        <v>0</v>
      </c>
      <c r="I79">
        <f>SUMIFS(banco!K:K,banco!$C:$C,$B79,banco!$A:$A,$A79)</f>
        <v>0</v>
      </c>
      <c r="J79" s="12">
        <f>IFERROR(I79/$P79,0)</f>
        <v>0</v>
      </c>
      <c r="K79">
        <f>SUMIFS(banco!M:M,banco!$C:$C,$B79,banco!$A:$A,$A79)</f>
        <v>0</v>
      </c>
      <c r="L79" s="12">
        <f>IFERROR(K79/$O79,0)</f>
        <v>0</v>
      </c>
      <c r="M79">
        <f>SUMIFS(banco!O:O,banco!$C:$C,$B79,banco!$A:$A,$A79)</f>
        <v>0</v>
      </c>
      <c r="N79" s="12">
        <f>IFERROR(M79/$P79,0)</f>
        <v>0</v>
      </c>
      <c r="O79">
        <f>SUMIFS(banco!Q:Q,banco!$C:$C,$B79,banco!$A:$A,$A79)</f>
        <v>0</v>
      </c>
      <c r="P79">
        <f>SUMIFS(banco!R:R,banco!$C:$C,$B79,banco!$A:$A,$A79)</f>
        <v>0</v>
      </c>
      <c r="Q79">
        <v>13861</v>
      </c>
    </row>
    <row r="80" spans="1:17" x14ac:dyDescent="0.25">
      <c r="A80" s="20">
        <v>2015</v>
      </c>
      <c r="B80" s="18" t="s">
        <v>149</v>
      </c>
      <c r="C80">
        <f>SUMIFS(banco!E:E,banco!$C:$C,$B80,banco!$A:$A,$A80)</f>
        <v>0</v>
      </c>
      <c r="D80" s="12">
        <f>IFERROR(C80/$O80,0)</f>
        <v>0</v>
      </c>
      <c r="E80">
        <f>SUMIFS(banco!G:G,banco!$C:$C,$B80,banco!$A:$A,$A80)</f>
        <v>0</v>
      </c>
      <c r="F80" s="12">
        <f>IFERROR(E80/$P80,0)</f>
        <v>0</v>
      </c>
      <c r="G80">
        <f>SUMIFS(banco!I:I,banco!$C:$C,$B80,banco!$A:$A,$A80)</f>
        <v>0</v>
      </c>
      <c r="H80" s="12">
        <f>IFERROR(G80/$O80,0)</f>
        <v>0</v>
      </c>
      <c r="I80">
        <f>SUMIFS(banco!K:K,banco!$C:$C,$B80,banco!$A:$A,$A80)</f>
        <v>0</v>
      </c>
      <c r="J80" s="12">
        <f>IFERROR(I80/$P80,0)</f>
        <v>0</v>
      </c>
      <c r="K80">
        <f>SUMIFS(banco!M:M,banco!$C:$C,$B80,banco!$A:$A,$A80)</f>
        <v>0</v>
      </c>
      <c r="L80" s="12">
        <f>IFERROR(K80/$O80,0)</f>
        <v>0</v>
      </c>
      <c r="M80">
        <f>SUMIFS(banco!O:O,banco!$C:$C,$B80,banco!$A:$A,$A80)</f>
        <v>0</v>
      </c>
      <c r="N80" s="12">
        <f>IFERROR(M80/$P80,0)</f>
        <v>0</v>
      </c>
      <c r="O80">
        <f>SUMIFS(banco!Q:Q,banco!$C:$C,$B80,banco!$A:$A,$A80)</f>
        <v>0</v>
      </c>
      <c r="P80">
        <f>SUMIFS(banco!R:R,banco!$C:$C,$B80,banco!$A:$A,$A80)</f>
        <v>0</v>
      </c>
      <c r="Q80">
        <v>24037</v>
      </c>
    </row>
    <row r="81" spans="1:19" x14ac:dyDescent="0.25">
      <c r="A81" s="20">
        <v>2015</v>
      </c>
      <c r="B81" s="18" t="s">
        <v>147</v>
      </c>
      <c r="C81">
        <f>SUMIFS(banco!E:E,banco!$C:$C,$B81,banco!$A:$A,$A81)</f>
        <v>0</v>
      </c>
      <c r="D81" s="12">
        <f>IFERROR(C81/$O81,0)</f>
        <v>0</v>
      </c>
      <c r="E81">
        <f>SUMIFS(banco!G:G,banco!$C:$C,$B81,banco!$A:$A,$A81)</f>
        <v>0</v>
      </c>
      <c r="F81" s="12">
        <f>IFERROR(E81/$P81,0)</f>
        <v>0</v>
      </c>
      <c r="G81">
        <f>SUMIFS(banco!I:I,banco!$C:$C,$B81,banco!$A:$A,$A81)</f>
        <v>0</v>
      </c>
      <c r="H81" s="12">
        <f>IFERROR(G81/$O81,0)</f>
        <v>0</v>
      </c>
      <c r="I81">
        <f>SUMIFS(banco!K:K,banco!$C:$C,$B81,banco!$A:$A,$A81)</f>
        <v>0</v>
      </c>
      <c r="J81" s="12">
        <f>IFERROR(I81/$P81,0)</f>
        <v>0</v>
      </c>
      <c r="K81">
        <f>SUMIFS(banco!M:M,banco!$C:$C,$B81,banco!$A:$A,$A81)</f>
        <v>0</v>
      </c>
      <c r="L81" s="12">
        <f>IFERROR(K81/$O81,0)</f>
        <v>0</v>
      </c>
      <c r="M81">
        <f>SUMIFS(banco!O:O,banco!$C:$C,$B81,banco!$A:$A,$A81)</f>
        <v>0</v>
      </c>
      <c r="N81" s="12">
        <f>IFERROR(M81/$P81,0)</f>
        <v>0</v>
      </c>
      <c r="O81">
        <f>SUMIFS(banco!Q:Q,banco!$C:$C,$B81,banco!$A:$A,$A81)</f>
        <v>0</v>
      </c>
      <c r="P81">
        <f>SUMIFS(banco!R:R,banco!$C:$C,$B81,banco!$A:$A,$A81)</f>
        <v>0</v>
      </c>
      <c r="Q81">
        <v>8221</v>
      </c>
    </row>
    <row r="82" spans="1:19" x14ac:dyDescent="0.25">
      <c r="A82" s="21"/>
      <c r="B82" s="18"/>
      <c r="D82" s="12"/>
      <c r="F82" s="12"/>
      <c r="H82" s="12"/>
      <c r="J82" s="12"/>
      <c r="L82" s="12"/>
      <c r="N82" s="12"/>
      <c r="P82">
        <f>SUBTOTAL(109,Tabela1[TOTAL_PBF5])</f>
        <v>4109</v>
      </c>
    </row>
    <row r="87" spans="1:19" x14ac:dyDescent="0.25">
      <c r="O87" s="8"/>
      <c r="P87" s="8"/>
      <c r="Q87" s="8"/>
      <c r="R87" s="8"/>
      <c r="S87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392"/>
  <sheetViews>
    <sheetView workbookViewId="0">
      <selection activeCell="AA38" sqref="AA38"/>
    </sheetView>
  </sheetViews>
  <sheetFormatPr defaultRowHeight="15" x14ac:dyDescent="0.25"/>
  <cols>
    <col min="1" max="1" width="7.42578125" bestFit="1" customWidth="1"/>
    <col min="2" max="3" width="34.7109375" customWidth="1"/>
    <col min="16" max="16" width="26" customWidth="1"/>
  </cols>
  <sheetData>
    <row r="1" spans="1:27" x14ac:dyDescent="0.25">
      <c r="A1" t="s">
        <v>152</v>
      </c>
      <c r="B1" t="s">
        <v>316</v>
      </c>
      <c r="C1" t="s">
        <v>312</v>
      </c>
      <c r="D1" t="s">
        <v>302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313</v>
      </c>
      <c r="L1" t="s">
        <v>314</v>
      </c>
      <c r="M1" t="s">
        <v>309</v>
      </c>
    </row>
    <row r="2" spans="1:27" x14ac:dyDescent="0.25">
      <c r="A2">
        <v>170025</v>
      </c>
      <c r="B2" t="str">
        <f>VLOOKUP(Tabela3[[#This Row],[IBGE]],procv!$A$2:$D$142,4,FALSE)</f>
        <v>Cantão</v>
      </c>
      <c r="C2" t="s">
        <v>5</v>
      </c>
      <c r="D2">
        <v>246</v>
      </c>
      <c r="E2">
        <v>233</v>
      </c>
      <c r="F2">
        <v>229</v>
      </c>
      <c r="G2">
        <v>222</v>
      </c>
      <c r="H2">
        <v>218</v>
      </c>
      <c r="I2">
        <v>214</v>
      </c>
      <c r="J2">
        <v>212</v>
      </c>
      <c r="K2">
        <v>209</v>
      </c>
      <c r="L2">
        <v>208</v>
      </c>
      <c r="M2">
        <v>210</v>
      </c>
    </row>
    <row r="3" spans="1:27" x14ac:dyDescent="0.25">
      <c r="A3">
        <v>170030</v>
      </c>
      <c r="B3" t="str">
        <f>VLOOKUP(Tabela3[[#This Row],[IBGE]],procv!$A$2:$D$142,4,FALSE)</f>
        <v>Bico do Papagaio</v>
      </c>
      <c r="C3" t="s">
        <v>6</v>
      </c>
      <c r="D3">
        <v>510</v>
      </c>
      <c r="E3">
        <v>488</v>
      </c>
      <c r="F3">
        <v>467</v>
      </c>
      <c r="G3">
        <v>451</v>
      </c>
      <c r="H3">
        <v>433</v>
      </c>
      <c r="I3">
        <v>423</v>
      </c>
      <c r="J3">
        <v>408</v>
      </c>
      <c r="K3">
        <v>394</v>
      </c>
      <c r="L3">
        <v>384</v>
      </c>
      <c r="M3">
        <v>374</v>
      </c>
      <c r="P3" t="s">
        <v>316</v>
      </c>
      <c r="Q3">
        <v>2015</v>
      </c>
      <c r="R3">
        <v>2016</v>
      </c>
      <c r="S3">
        <v>2017</v>
      </c>
      <c r="T3">
        <v>2018</v>
      </c>
      <c r="U3">
        <v>2019</v>
      </c>
      <c r="V3">
        <v>2020</v>
      </c>
      <c r="W3">
        <v>2021</v>
      </c>
      <c r="X3">
        <v>2022</v>
      </c>
      <c r="Y3">
        <v>2023</v>
      </c>
      <c r="Z3">
        <v>2024</v>
      </c>
    </row>
    <row r="4" spans="1:27" x14ac:dyDescent="0.25">
      <c r="A4">
        <v>170035</v>
      </c>
      <c r="B4" t="str">
        <f>VLOOKUP(Tabela3[[#This Row],[IBGE]],procv!$A$2:$D$142,4,FALSE)</f>
        <v>Ilha do Bananal</v>
      </c>
      <c r="C4" t="s">
        <v>7</v>
      </c>
      <c r="D4">
        <v>423</v>
      </c>
      <c r="E4">
        <v>404</v>
      </c>
      <c r="F4">
        <v>393</v>
      </c>
      <c r="G4">
        <v>386</v>
      </c>
      <c r="H4">
        <v>383</v>
      </c>
      <c r="I4">
        <v>385</v>
      </c>
      <c r="J4">
        <v>383</v>
      </c>
      <c r="K4">
        <v>379</v>
      </c>
      <c r="L4">
        <v>372</v>
      </c>
      <c r="M4">
        <v>363</v>
      </c>
      <c r="P4" s="18" t="s">
        <v>151</v>
      </c>
      <c r="Q4" s="8">
        <v>9902</v>
      </c>
      <c r="R4" s="8">
        <v>9802</v>
      </c>
      <c r="S4" s="8">
        <v>9763</v>
      </c>
      <c r="T4" s="8">
        <v>9727</v>
      </c>
      <c r="U4" s="8">
        <v>9714</v>
      </c>
      <c r="V4" s="8">
        <v>9797</v>
      </c>
      <c r="W4" s="8">
        <v>9804</v>
      </c>
      <c r="X4" s="8">
        <v>9798</v>
      </c>
      <c r="Y4" s="8">
        <v>9855</v>
      </c>
      <c r="Z4" s="8">
        <v>9900</v>
      </c>
      <c r="AA4">
        <f>AVERAGE(Q4:Z4)</f>
        <v>9806.2000000000007</v>
      </c>
    </row>
    <row r="5" spans="1:27" x14ac:dyDescent="0.25">
      <c r="A5">
        <v>170040</v>
      </c>
      <c r="B5" t="str">
        <f>VLOOKUP(Tabela3[[#This Row],[IBGE]],procv!$A$2:$D$142,4,FALSE)</f>
        <v>Sudeste</v>
      </c>
      <c r="C5" t="s">
        <v>8</v>
      </c>
      <c r="D5">
        <v>721</v>
      </c>
      <c r="E5">
        <v>697</v>
      </c>
      <c r="F5">
        <v>676</v>
      </c>
      <c r="G5">
        <v>650</v>
      </c>
      <c r="H5">
        <v>623</v>
      </c>
      <c r="I5">
        <v>603</v>
      </c>
      <c r="J5">
        <v>581</v>
      </c>
      <c r="K5">
        <v>561</v>
      </c>
      <c r="L5">
        <v>550</v>
      </c>
      <c r="M5">
        <v>539</v>
      </c>
      <c r="P5" s="18" t="s">
        <v>145</v>
      </c>
      <c r="Q5" s="8">
        <v>19224</v>
      </c>
      <c r="R5" s="8">
        <v>18751</v>
      </c>
      <c r="S5" s="8">
        <v>18401</v>
      </c>
      <c r="T5" s="8">
        <v>18079</v>
      </c>
      <c r="U5" s="8">
        <v>17804</v>
      </c>
      <c r="V5" s="8">
        <v>17696</v>
      </c>
      <c r="W5" s="8">
        <v>17475</v>
      </c>
      <c r="X5" s="8">
        <v>17226</v>
      </c>
      <c r="Y5" s="8">
        <v>17085</v>
      </c>
      <c r="Z5" s="8">
        <v>16928</v>
      </c>
      <c r="AA5">
        <f t="shared" ref="AA5:AA12" si="0">AVERAGE(Q5:Z5)</f>
        <v>17866.900000000001</v>
      </c>
    </row>
    <row r="6" spans="1:27" x14ac:dyDescent="0.25">
      <c r="A6">
        <v>170070</v>
      </c>
      <c r="B6" t="str">
        <f>VLOOKUP(Tabela3[[#This Row],[IBGE]],procv!$A$2:$D$142,4,FALSE)</f>
        <v>Ilha do Bananal</v>
      </c>
      <c r="C6" t="s">
        <v>9</v>
      </c>
      <c r="D6">
        <v>683</v>
      </c>
      <c r="E6">
        <v>662</v>
      </c>
      <c r="F6">
        <v>647</v>
      </c>
      <c r="G6">
        <v>642</v>
      </c>
      <c r="H6">
        <v>644</v>
      </c>
      <c r="I6">
        <v>653</v>
      </c>
      <c r="J6">
        <v>658</v>
      </c>
      <c r="K6">
        <v>660</v>
      </c>
      <c r="L6">
        <v>667</v>
      </c>
      <c r="M6">
        <v>670</v>
      </c>
      <c r="P6" s="18" t="s">
        <v>144</v>
      </c>
      <c r="Q6" s="8">
        <v>10333</v>
      </c>
      <c r="R6" s="8">
        <v>10125</v>
      </c>
      <c r="S6" s="8">
        <v>10028</v>
      </c>
      <c r="T6" s="8">
        <v>9974</v>
      </c>
      <c r="U6" s="8">
        <v>9990</v>
      </c>
      <c r="V6" s="8">
        <v>10108</v>
      </c>
      <c r="W6" s="8">
        <v>10159</v>
      </c>
      <c r="X6" s="8">
        <v>10172</v>
      </c>
      <c r="Y6" s="8">
        <v>10271</v>
      </c>
      <c r="Z6" s="8">
        <v>10353</v>
      </c>
      <c r="AA6">
        <f t="shared" si="0"/>
        <v>10151.299999999999</v>
      </c>
    </row>
    <row r="7" spans="1:27" x14ac:dyDescent="0.25">
      <c r="A7">
        <v>170100</v>
      </c>
      <c r="B7" t="str">
        <f>VLOOKUP(Tabela3[[#This Row],[IBGE]],procv!$A$2:$D$142,4,FALSE)</f>
        <v>Bico do Papagaio</v>
      </c>
      <c r="C7" t="s">
        <v>10</v>
      </c>
      <c r="D7">
        <v>945</v>
      </c>
      <c r="E7">
        <v>925</v>
      </c>
      <c r="F7">
        <v>912</v>
      </c>
      <c r="G7">
        <v>898</v>
      </c>
      <c r="H7">
        <v>882</v>
      </c>
      <c r="I7">
        <v>874</v>
      </c>
      <c r="J7">
        <v>861</v>
      </c>
      <c r="K7">
        <v>850</v>
      </c>
      <c r="L7">
        <v>846</v>
      </c>
      <c r="M7">
        <v>837</v>
      </c>
      <c r="P7" s="18" t="s">
        <v>148</v>
      </c>
      <c r="Q7" s="8">
        <v>29079</v>
      </c>
      <c r="R7" s="8">
        <v>29079</v>
      </c>
      <c r="S7" s="8">
        <v>29227</v>
      </c>
      <c r="T7" s="8">
        <v>29309</v>
      </c>
      <c r="U7" s="8">
        <v>29374</v>
      </c>
      <c r="V7" s="8">
        <v>29712</v>
      </c>
      <c r="W7" s="8">
        <v>29884</v>
      </c>
      <c r="X7" s="8">
        <v>30022</v>
      </c>
      <c r="Y7" s="8">
        <v>30695</v>
      </c>
      <c r="Z7" s="8">
        <v>31007</v>
      </c>
      <c r="AA7">
        <f t="shared" si="0"/>
        <v>29738.799999999999</v>
      </c>
    </row>
    <row r="8" spans="1:27" x14ac:dyDescent="0.25">
      <c r="A8">
        <v>170105</v>
      </c>
      <c r="B8" t="str">
        <f>VLOOKUP(Tabela3[[#This Row],[IBGE]],procv!$A$2:$D$142,4,FALSE)</f>
        <v>Bico do Papagaio</v>
      </c>
      <c r="C8" t="s">
        <v>11</v>
      </c>
      <c r="D8">
        <v>276</v>
      </c>
      <c r="E8">
        <v>264</v>
      </c>
      <c r="F8">
        <v>258</v>
      </c>
      <c r="G8">
        <v>254</v>
      </c>
      <c r="H8">
        <v>254</v>
      </c>
      <c r="I8">
        <v>255</v>
      </c>
      <c r="J8">
        <v>253</v>
      </c>
      <c r="K8">
        <v>246</v>
      </c>
      <c r="L8">
        <v>234</v>
      </c>
      <c r="M8">
        <v>223</v>
      </c>
      <c r="P8" s="18" t="s">
        <v>150</v>
      </c>
      <c r="Q8" s="8">
        <v>12965</v>
      </c>
      <c r="R8" s="8">
        <v>12633</v>
      </c>
      <c r="S8" s="8">
        <v>12420</v>
      </c>
      <c r="T8" s="8">
        <v>12246</v>
      </c>
      <c r="U8" s="8">
        <v>12150</v>
      </c>
      <c r="V8" s="8">
        <v>12166</v>
      </c>
      <c r="W8" s="8">
        <v>12113</v>
      </c>
      <c r="X8" s="8">
        <v>12024</v>
      </c>
      <c r="Y8" s="8">
        <v>12010</v>
      </c>
      <c r="Z8" s="8">
        <v>11999</v>
      </c>
      <c r="AA8">
        <f t="shared" si="0"/>
        <v>12272.6</v>
      </c>
    </row>
    <row r="9" spans="1:27" x14ac:dyDescent="0.25">
      <c r="A9">
        <v>170110</v>
      </c>
      <c r="B9" t="str">
        <f>VLOOKUP(Tabela3[[#This Row],[IBGE]],procv!$A$2:$D$142,4,FALSE)</f>
        <v>Capim Dourado</v>
      </c>
      <c r="C9" t="s">
        <v>12</v>
      </c>
      <c r="D9">
        <v>432</v>
      </c>
      <c r="E9">
        <v>427</v>
      </c>
      <c r="F9">
        <v>424</v>
      </c>
      <c r="G9">
        <v>417</v>
      </c>
      <c r="H9">
        <v>413</v>
      </c>
      <c r="I9">
        <v>409</v>
      </c>
      <c r="J9">
        <v>402</v>
      </c>
      <c r="K9">
        <v>398</v>
      </c>
      <c r="L9">
        <v>400</v>
      </c>
      <c r="M9">
        <v>400</v>
      </c>
      <c r="P9" s="18" t="s">
        <v>146</v>
      </c>
      <c r="Q9" s="8">
        <v>13861</v>
      </c>
      <c r="R9" s="8">
        <v>13489</v>
      </c>
      <c r="S9" s="8">
        <v>13278</v>
      </c>
      <c r="T9" s="8">
        <v>13122</v>
      </c>
      <c r="U9" s="8">
        <v>13054</v>
      </c>
      <c r="V9" s="8">
        <v>13131</v>
      </c>
      <c r="W9" s="8">
        <v>13112</v>
      </c>
      <c r="X9" s="8">
        <v>13074</v>
      </c>
      <c r="Y9" s="8">
        <v>13128</v>
      </c>
      <c r="Z9" s="8">
        <v>13158</v>
      </c>
      <c r="AA9">
        <f t="shared" si="0"/>
        <v>13240.7</v>
      </c>
    </row>
    <row r="10" spans="1:27" x14ac:dyDescent="0.25">
      <c r="A10">
        <v>170130</v>
      </c>
      <c r="B10" t="str">
        <f>VLOOKUP(Tabela3[[#This Row],[IBGE]],procv!$A$2:$D$142,4,FALSE)</f>
        <v>Médio Norte Araguaia</v>
      </c>
      <c r="C10" t="s">
        <v>13</v>
      </c>
      <c r="D10">
        <v>529</v>
      </c>
      <c r="E10">
        <v>507</v>
      </c>
      <c r="F10">
        <v>489</v>
      </c>
      <c r="G10">
        <v>470</v>
      </c>
      <c r="H10">
        <v>449</v>
      </c>
      <c r="I10">
        <v>433</v>
      </c>
      <c r="J10">
        <v>414</v>
      </c>
      <c r="K10">
        <v>397</v>
      </c>
      <c r="L10">
        <v>389</v>
      </c>
      <c r="M10">
        <v>381</v>
      </c>
      <c r="P10" s="18" t="s">
        <v>149</v>
      </c>
      <c r="Q10" s="8">
        <v>24037</v>
      </c>
      <c r="R10" s="8">
        <v>23625</v>
      </c>
      <c r="S10" s="8">
        <v>23401</v>
      </c>
      <c r="T10" s="8">
        <v>23222</v>
      </c>
      <c r="U10" s="8">
        <v>23147</v>
      </c>
      <c r="V10" s="8">
        <v>23268</v>
      </c>
      <c r="W10" s="8">
        <v>23249</v>
      </c>
      <c r="X10" s="8">
        <v>23176</v>
      </c>
      <c r="Y10" s="8">
        <v>23287</v>
      </c>
      <c r="Z10" s="8">
        <v>23300</v>
      </c>
      <c r="AA10">
        <f t="shared" si="0"/>
        <v>23371.200000000001</v>
      </c>
    </row>
    <row r="11" spans="1:27" x14ac:dyDescent="0.25">
      <c r="A11">
        <v>170190</v>
      </c>
      <c r="B11" t="str">
        <f>VLOOKUP(Tabela3[[#This Row],[IBGE]],procv!$A$2:$D$142,4,FALSE)</f>
        <v>Cantão</v>
      </c>
      <c r="C11" t="s">
        <v>14</v>
      </c>
      <c r="D11">
        <v>560</v>
      </c>
      <c r="E11">
        <v>532</v>
      </c>
      <c r="F11">
        <v>515</v>
      </c>
      <c r="G11">
        <v>505</v>
      </c>
      <c r="H11">
        <v>500</v>
      </c>
      <c r="I11">
        <v>503</v>
      </c>
      <c r="J11">
        <v>502</v>
      </c>
      <c r="K11">
        <v>495</v>
      </c>
      <c r="L11">
        <v>491</v>
      </c>
      <c r="M11">
        <v>482</v>
      </c>
      <c r="P11" s="18" t="s">
        <v>147</v>
      </c>
      <c r="Q11" s="8">
        <v>8221</v>
      </c>
      <c r="R11" s="8">
        <v>7947</v>
      </c>
      <c r="S11" s="8">
        <v>7736</v>
      </c>
      <c r="T11" s="8">
        <v>7525</v>
      </c>
      <c r="U11" s="8">
        <v>7349</v>
      </c>
      <c r="V11" s="8">
        <v>7239</v>
      </c>
      <c r="W11" s="8">
        <v>7087</v>
      </c>
      <c r="X11" s="8">
        <v>6926</v>
      </c>
      <c r="Y11" s="8">
        <v>6824</v>
      </c>
      <c r="Z11" s="8">
        <v>6725</v>
      </c>
      <c r="AA11">
        <f t="shared" si="0"/>
        <v>7357.9</v>
      </c>
    </row>
    <row r="12" spans="1:27" x14ac:dyDescent="0.25">
      <c r="A12">
        <v>170200</v>
      </c>
      <c r="B12" t="str">
        <f>VLOOKUP(Tabela3[[#This Row],[IBGE]],procv!$A$2:$D$142,4,FALSE)</f>
        <v>Ilha do Bananal</v>
      </c>
      <c r="C12" t="s">
        <v>15</v>
      </c>
      <c r="D12">
        <v>586</v>
      </c>
      <c r="E12">
        <v>561</v>
      </c>
      <c r="F12">
        <v>548</v>
      </c>
      <c r="G12">
        <v>542</v>
      </c>
      <c r="H12">
        <v>547</v>
      </c>
      <c r="I12">
        <v>561</v>
      </c>
      <c r="J12">
        <v>567</v>
      </c>
      <c r="K12">
        <v>572</v>
      </c>
      <c r="L12">
        <v>574</v>
      </c>
      <c r="M12">
        <v>576</v>
      </c>
      <c r="P12" s="22" t="s">
        <v>301</v>
      </c>
      <c r="Q12" s="23">
        <v>127622</v>
      </c>
      <c r="R12" s="23">
        <v>125451</v>
      </c>
      <c r="S12" s="23">
        <v>124254</v>
      </c>
      <c r="T12" s="23">
        <v>123204</v>
      </c>
      <c r="U12" s="23">
        <v>122582</v>
      </c>
      <c r="V12" s="23">
        <v>123117</v>
      </c>
      <c r="W12" s="23">
        <v>122883</v>
      </c>
      <c r="X12" s="23">
        <v>122418</v>
      </c>
      <c r="Y12" s="23">
        <v>123155</v>
      </c>
      <c r="Z12" s="23">
        <v>123370</v>
      </c>
      <c r="AA12">
        <f t="shared" si="0"/>
        <v>123805.6</v>
      </c>
    </row>
    <row r="13" spans="1:27" x14ac:dyDescent="0.25">
      <c r="A13">
        <v>170210</v>
      </c>
      <c r="B13" t="str">
        <f>VLOOKUP(Tabela3[[#This Row],[IBGE]],procv!$A$2:$D$142,4,FALSE)</f>
        <v>Médio Norte Araguaia</v>
      </c>
      <c r="C13" t="s">
        <v>16</v>
      </c>
      <c r="D13">
        <v>13534</v>
      </c>
      <c r="E13">
        <v>13444</v>
      </c>
      <c r="F13">
        <v>13447</v>
      </c>
      <c r="G13">
        <v>13464</v>
      </c>
      <c r="H13">
        <v>13525</v>
      </c>
      <c r="I13">
        <v>13710</v>
      </c>
      <c r="J13">
        <v>13801</v>
      </c>
      <c r="K13">
        <v>13864</v>
      </c>
      <c r="L13">
        <v>14049</v>
      </c>
      <c r="M13">
        <v>14162</v>
      </c>
    </row>
    <row r="14" spans="1:27" x14ac:dyDescent="0.25">
      <c r="A14">
        <v>170215</v>
      </c>
      <c r="B14" t="str">
        <f>VLOOKUP(Tabela3[[#This Row],[IBGE]],procv!$A$2:$D$142,4,FALSE)</f>
        <v>Médio Norte Araguaia</v>
      </c>
      <c r="C14" t="s">
        <v>17</v>
      </c>
      <c r="D14">
        <v>437</v>
      </c>
      <c r="E14">
        <v>419</v>
      </c>
      <c r="F14">
        <v>409</v>
      </c>
      <c r="G14">
        <v>402</v>
      </c>
      <c r="H14">
        <v>404</v>
      </c>
      <c r="I14">
        <v>405</v>
      </c>
      <c r="J14">
        <v>406</v>
      </c>
      <c r="K14">
        <v>401</v>
      </c>
      <c r="L14">
        <v>391</v>
      </c>
      <c r="M14">
        <v>380</v>
      </c>
    </row>
    <row r="15" spans="1:27" x14ac:dyDescent="0.25">
      <c r="A15">
        <v>170220</v>
      </c>
      <c r="B15" t="str">
        <f>VLOOKUP(Tabela3[[#This Row],[IBGE]],procv!$A$2:$D$142,4,FALSE)</f>
        <v>Bico do Papagaio</v>
      </c>
      <c r="C15" t="s">
        <v>18</v>
      </c>
      <c r="D15">
        <v>3175</v>
      </c>
      <c r="E15">
        <v>3073</v>
      </c>
      <c r="F15">
        <v>2986</v>
      </c>
      <c r="G15">
        <v>2898</v>
      </c>
      <c r="H15">
        <v>2814</v>
      </c>
      <c r="I15">
        <v>2758</v>
      </c>
      <c r="J15">
        <v>2693</v>
      </c>
      <c r="K15">
        <v>2636</v>
      </c>
      <c r="L15">
        <v>2633</v>
      </c>
      <c r="M15">
        <v>2631</v>
      </c>
    </row>
    <row r="16" spans="1:27" x14ac:dyDescent="0.25">
      <c r="A16">
        <v>170230</v>
      </c>
      <c r="B16" t="str">
        <f>VLOOKUP(Tabela3[[#This Row],[IBGE]],procv!$A$2:$D$142,4,FALSE)</f>
        <v>Cerrado Tocantins Araguaia</v>
      </c>
      <c r="C16" t="s">
        <v>19</v>
      </c>
      <c r="D16">
        <v>526</v>
      </c>
      <c r="E16">
        <v>499</v>
      </c>
      <c r="F16">
        <v>480</v>
      </c>
      <c r="G16">
        <v>461</v>
      </c>
      <c r="H16">
        <v>449</v>
      </c>
      <c r="I16">
        <v>443</v>
      </c>
      <c r="J16">
        <v>433</v>
      </c>
      <c r="K16">
        <v>422</v>
      </c>
      <c r="L16">
        <v>414</v>
      </c>
      <c r="M16">
        <v>408</v>
      </c>
      <c r="S16" t="s">
        <v>319</v>
      </c>
    </row>
    <row r="17" spans="1:27" x14ac:dyDescent="0.25">
      <c r="A17">
        <v>170240</v>
      </c>
      <c r="B17" t="str">
        <f>VLOOKUP(Tabela3[[#This Row],[IBGE]],procv!$A$2:$D$142,4,FALSE)</f>
        <v>Sudeste</v>
      </c>
      <c r="C17" t="s">
        <v>20</v>
      </c>
      <c r="D17">
        <v>884</v>
      </c>
      <c r="E17">
        <v>857</v>
      </c>
      <c r="F17">
        <v>841</v>
      </c>
      <c r="G17">
        <v>825</v>
      </c>
      <c r="H17">
        <v>814</v>
      </c>
      <c r="I17">
        <v>810</v>
      </c>
      <c r="J17">
        <v>800</v>
      </c>
      <c r="K17">
        <v>786</v>
      </c>
      <c r="L17">
        <v>770</v>
      </c>
      <c r="M17">
        <v>752</v>
      </c>
      <c r="P17" s="25" t="s">
        <v>316</v>
      </c>
      <c r="Q17" s="25">
        <v>2015</v>
      </c>
      <c r="R17" s="25">
        <v>2016</v>
      </c>
      <c r="S17" s="25">
        <v>2017</v>
      </c>
      <c r="T17" s="25">
        <v>2018</v>
      </c>
      <c r="U17" s="25">
        <v>2019</v>
      </c>
      <c r="V17" s="25">
        <v>2020</v>
      </c>
      <c r="W17" s="25">
        <v>2021</v>
      </c>
      <c r="X17" s="25">
        <v>2022</v>
      </c>
      <c r="Y17" s="25">
        <v>2023</v>
      </c>
      <c r="Z17" s="25">
        <v>2024</v>
      </c>
      <c r="AA17" s="25" t="s">
        <v>301</v>
      </c>
    </row>
    <row r="18" spans="1:27" x14ac:dyDescent="0.25">
      <c r="A18">
        <v>170255</v>
      </c>
      <c r="B18" t="str">
        <f>VLOOKUP(Tabela3[[#This Row],[IBGE]],procv!$A$2:$D$142,4,FALSE)</f>
        <v>Bico do Papagaio</v>
      </c>
      <c r="C18" t="s">
        <v>21</v>
      </c>
      <c r="D18">
        <v>1599</v>
      </c>
      <c r="E18">
        <v>1577</v>
      </c>
      <c r="F18">
        <v>1561</v>
      </c>
      <c r="G18">
        <v>1535</v>
      </c>
      <c r="H18">
        <v>1510</v>
      </c>
      <c r="I18">
        <v>1498</v>
      </c>
      <c r="J18">
        <v>1476</v>
      </c>
      <c r="K18">
        <v>1460</v>
      </c>
      <c r="L18">
        <v>1471</v>
      </c>
      <c r="M18">
        <v>1480</v>
      </c>
      <c r="P18" s="18" t="s">
        <v>151</v>
      </c>
      <c r="Q18" s="8">
        <v>4094</v>
      </c>
      <c r="R18" s="8">
        <v>4171</v>
      </c>
      <c r="S18" s="8">
        <v>4131</v>
      </c>
      <c r="T18" s="8">
        <v>5556</v>
      </c>
      <c r="U18" s="8">
        <v>6059</v>
      </c>
      <c r="V18" s="8">
        <v>1187</v>
      </c>
      <c r="W18" s="8">
        <v>2979</v>
      </c>
      <c r="X18" s="8">
        <v>6404</v>
      </c>
      <c r="Y18" s="8">
        <v>7397</v>
      </c>
      <c r="Z18" s="8">
        <v>6858</v>
      </c>
      <c r="AA18">
        <f t="shared" ref="AA18:AA26" si="1">AVERAGE(Q18:Z18)</f>
        <v>4883.6000000000004</v>
      </c>
    </row>
    <row r="19" spans="1:27" x14ac:dyDescent="0.25">
      <c r="A19">
        <v>170270</v>
      </c>
      <c r="B19" t="str">
        <f>VLOOKUP(Tabela3[[#This Row],[IBGE]],procv!$A$2:$D$142,4,FALSE)</f>
        <v>Sudeste</v>
      </c>
      <c r="C19" t="s">
        <v>22</v>
      </c>
      <c r="D19">
        <v>279</v>
      </c>
      <c r="E19">
        <v>270</v>
      </c>
      <c r="F19">
        <v>260</v>
      </c>
      <c r="G19">
        <v>247</v>
      </c>
      <c r="H19">
        <v>238</v>
      </c>
      <c r="I19">
        <v>229</v>
      </c>
      <c r="J19">
        <v>218</v>
      </c>
      <c r="K19">
        <v>209</v>
      </c>
      <c r="L19">
        <v>205</v>
      </c>
      <c r="M19">
        <v>206</v>
      </c>
      <c r="P19" s="18" t="s">
        <v>145</v>
      </c>
      <c r="Q19" s="8">
        <v>10457</v>
      </c>
      <c r="R19" s="8">
        <v>9645</v>
      </c>
      <c r="S19" s="8">
        <v>10867</v>
      </c>
      <c r="T19" s="8">
        <v>12416</v>
      </c>
      <c r="U19" s="8">
        <v>11701</v>
      </c>
      <c r="V19" s="8">
        <v>4847</v>
      </c>
      <c r="W19" s="8">
        <v>8988</v>
      </c>
      <c r="X19" s="8">
        <v>12990</v>
      </c>
      <c r="Y19" s="8">
        <v>12984</v>
      </c>
      <c r="Z19" s="8">
        <v>13164</v>
      </c>
      <c r="AA19">
        <f t="shared" si="1"/>
        <v>10805.9</v>
      </c>
    </row>
    <row r="20" spans="1:27" x14ac:dyDescent="0.25">
      <c r="A20">
        <v>170290</v>
      </c>
      <c r="B20" t="str">
        <f>VLOOKUP(Tabela3[[#This Row],[IBGE]],procv!$A$2:$D$142,4,FALSE)</f>
        <v>Bico do Papagaio</v>
      </c>
      <c r="C20" t="s">
        <v>23</v>
      </c>
      <c r="D20">
        <v>955</v>
      </c>
      <c r="E20">
        <v>931</v>
      </c>
      <c r="F20">
        <v>918</v>
      </c>
      <c r="G20">
        <v>909</v>
      </c>
      <c r="H20">
        <v>910</v>
      </c>
      <c r="I20">
        <v>917</v>
      </c>
      <c r="J20">
        <v>924</v>
      </c>
      <c r="K20">
        <v>932</v>
      </c>
      <c r="L20">
        <v>957</v>
      </c>
      <c r="M20">
        <v>984</v>
      </c>
      <c r="P20" s="18" t="s">
        <v>144</v>
      </c>
      <c r="Q20" s="8">
        <v>4092</v>
      </c>
      <c r="R20" s="8">
        <v>3322</v>
      </c>
      <c r="S20" s="8">
        <v>4027</v>
      </c>
      <c r="T20" s="8">
        <v>4532</v>
      </c>
      <c r="U20" s="8">
        <v>4294</v>
      </c>
      <c r="V20" s="8">
        <v>1988</v>
      </c>
      <c r="W20" s="8">
        <v>2909</v>
      </c>
      <c r="X20" s="8">
        <v>5762</v>
      </c>
      <c r="Y20" s="8">
        <v>6508</v>
      </c>
      <c r="Z20" s="8">
        <v>6129</v>
      </c>
      <c r="AA20">
        <f t="shared" si="1"/>
        <v>4356.3</v>
      </c>
    </row>
    <row r="21" spans="1:27" x14ac:dyDescent="0.25">
      <c r="A21">
        <v>170300</v>
      </c>
      <c r="B21" t="str">
        <f>VLOOKUP(Tabela3[[#This Row],[IBGE]],procv!$A$2:$D$142,4,FALSE)</f>
        <v>Médio Norte Araguaia</v>
      </c>
      <c r="C21" t="s">
        <v>24</v>
      </c>
      <c r="D21">
        <v>730</v>
      </c>
      <c r="E21">
        <v>692</v>
      </c>
      <c r="F21">
        <v>665</v>
      </c>
      <c r="G21">
        <v>644</v>
      </c>
      <c r="H21">
        <v>629</v>
      </c>
      <c r="I21">
        <v>619</v>
      </c>
      <c r="J21">
        <v>605</v>
      </c>
      <c r="K21">
        <v>585</v>
      </c>
      <c r="L21">
        <v>562</v>
      </c>
      <c r="M21">
        <v>536</v>
      </c>
      <c r="P21" s="18" t="s">
        <v>148</v>
      </c>
      <c r="Q21" s="8">
        <v>8421</v>
      </c>
      <c r="R21" s="8">
        <v>12403</v>
      </c>
      <c r="S21" s="8">
        <v>12838</v>
      </c>
      <c r="T21" s="8">
        <v>12312</v>
      </c>
      <c r="U21" s="8">
        <v>12372</v>
      </c>
      <c r="V21" s="8">
        <v>5054</v>
      </c>
      <c r="W21" s="8">
        <v>6239</v>
      </c>
      <c r="X21" s="8">
        <v>13206</v>
      </c>
      <c r="Y21" s="8">
        <v>14786</v>
      </c>
      <c r="Z21" s="8">
        <v>15028</v>
      </c>
      <c r="AA21">
        <f t="shared" si="1"/>
        <v>11265.9</v>
      </c>
    </row>
    <row r="22" spans="1:27" x14ac:dyDescent="0.25">
      <c r="A22">
        <v>170305</v>
      </c>
      <c r="B22" t="str">
        <f>VLOOKUP(Tabela3[[#This Row],[IBGE]],procv!$A$2:$D$142,4,FALSE)</f>
        <v>Cerrado Tocantins Araguaia</v>
      </c>
      <c r="C22" t="s">
        <v>25</v>
      </c>
      <c r="D22">
        <v>304</v>
      </c>
      <c r="E22">
        <v>294</v>
      </c>
      <c r="F22">
        <v>283</v>
      </c>
      <c r="G22">
        <v>278</v>
      </c>
      <c r="H22">
        <v>271</v>
      </c>
      <c r="I22">
        <v>267</v>
      </c>
      <c r="J22">
        <v>264</v>
      </c>
      <c r="K22">
        <v>266</v>
      </c>
      <c r="L22">
        <v>270</v>
      </c>
      <c r="M22">
        <v>282</v>
      </c>
      <c r="P22" s="18" t="s">
        <v>150</v>
      </c>
      <c r="Q22" s="8">
        <v>7214</v>
      </c>
      <c r="R22" s="8">
        <v>5650</v>
      </c>
      <c r="S22" s="8">
        <v>5850</v>
      </c>
      <c r="T22" s="8">
        <v>6683</v>
      </c>
      <c r="U22" s="8">
        <v>6934</v>
      </c>
      <c r="V22" s="8">
        <v>2322</v>
      </c>
      <c r="W22" s="8">
        <v>3186</v>
      </c>
      <c r="X22" s="8">
        <v>6752</v>
      </c>
      <c r="Y22" s="8">
        <v>7173</v>
      </c>
      <c r="Z22" s="8">
        <v>7569</v>
      </c>
      <c r="AA22">
        <f t="shared" si="1"/>
        <v>5933.3</v>
      </c>
    </row>
    <row r="23" spans="1:27" x14ac:dyDescent="0.25">
      <c r="A23">
        <v>170307</v>
      </c>
      <c r="B23" t="str">
        <f>VLOOKUP(Tabela3[[#This Row],[IBGE]],procv!$A$2:$D$142,4,FALSE)</f>
        <v>Médio Norte Araguaia</v>
      </c>
      <c r="C23" t="s">
        <v>26</v>
      </c>
      <c r="D23">
        <v>444</v>
      </c>
      <c r="E23">
        <v>431</v>
      </c>
      <c r="F23">
        <v>420</v>
      </c>
      <c r="G23">
        <v>414</v>
      </c>
      <c r="H23">
        <v>407</v>
      </c>
      <c r="I23">
        <v>406</v>
      </c>
      <c r="J23">
        <v>405</v>
      </c>
      <c r="K23">
        <v>401</v>
      </c>
      <c r="L23">
        <v>401</v>
      </c>
      <c r="M23">
        <v>402</v>
      </c>
      <c r="P23" s="18" t="s">
        <v>146</v>
      </c>
      <c r="Q23" s="8">
        <v>6366</v>
      </c>
      <c r="R23" s="8">
        <v>5188</v>
      </c>
      <c r="S23" s="8">
        <v>5125</v>
      </c>
      <c r="T23" s="8">
        <v>6623</v>
      </c>
      <c r="U23" s="8">
        <v>5669</v>
      </c>
      <c r="V23" s="8">
        <v>2352</v>
      </c>
      <c r="W23" s="8">
        <v>4279</v>
      </c>
      <c r="X23" s="8">
        <v>6605</v>
      </c>
      <c r="Y23" s="8">
        <v>7446</v>
      </c>
      <c r="Z23" s="8">
        <v>8116</v>
      </c>
      <c r="AA23">
        <f t="shared" si="1"/>
        <v>5776.9</v>
      </c>
    </row>
    <row r="24" spans="1:27" x14ac:dyDescent="0.25">
      <c r="A24">
        <v>170310</v>
      </c>
      <c r="B24" t="str">
        <f>VLOOKUP(Tabela3[[#This Row],[IBGE]],procv!$A$2:$D$142,4,FALSE)</f>
        <v>Cantão</v>
      </c>
      <c r="C24" t="s">
        <v>27</v>
      </c>
      <c r="D24">
        <v>404</v>
      </c>
      <c r="E24">
        <v>385</v>
      </c>
      <c r="F24">
        <v>373</v>
      </c>
      <c r="G24">
        <v>364</v>
      </c>
      <c r="H24">
        <v>362</v>
      </c>
      <c r="I24">
        <v>361</v>
      </c>
      <c r="J24">
        <v>359</v>
      </c>
      <c r="K24">
        <v>353</v>
      </c>
      <c r="L24">
        <v>342</v>
      </c>
      <c r="M24">
        <v>333</v>
      </c>
      <c r="P24" s="18" t="s">
        <v>149</v>
      </c>
      <c r="Q24" s="8">
        <v>9618</v>
      </c>
      <c r="R24" s="8">
        <v>9278</v>
      </c>
      <c r="S24" s="8">
        <v>10848</v>
      </c>
      <c r="T24" s="8">
        <v>11564</v>
      </c>
      <c r="U24" s="8">
        <v>10363</v>
      </c>
      <c r="V24" s="8">
        <v>3672</v>
      </c>
      <c r="W24" s="8">
        <v>7593</v>
      </c>
      <c r="X24" s="8">
        <v>12578</v>
      </c>
      <c r="Y24" s="8">
        <v>13787</v>
      </c>
      <c r="Z24" s="8">
        <v>14753</v>
      </c>
      <c r="AA24">
        <f t="shared" si="1"/>
        <v>10405.4</v>
      </c>
    </row>
    <row r="25" spans="1:27" x14ac:dyDescent="0.25">
      <c r="A25">
        <v>170320</v>
      </c>
      <c r="B25" t="str">
        <f>VLOOKUP(Tabela3[[#This Row],[IBGE]],procv!$A$2:$D$142,4,FALSE)</f>
        <v>Cerrado Tocantins Araguaia</v>
      </c>
      <c r="C25" t="s">
        <v>28</v>
      </c>
      <c r="D25">
        <v>379</v>
      </c>
      <c r="E25">
        <v>369</v>
      </c>
      <c r="F25">
        <v>363</v>
      </c>
      <c r="G25">
        <v>357</v>
      </c>
      <c r="H25">
        <v>352</v>
      </c>
      <c r="I25">
        <v>350</v>
      </c>
      <c r="J25">
        <v>347</v>
      </c>
      <c r="K25">
        <v>340</v>
      </c>
      <c r="L25">
        <v>335</v>
      </c>
      <c r="M25">
        <v>327</v>
      </c>
      <c r="P25" s="18" t="s">
        <v>147</v>
      </c>
      <c r="Q25" s="8">
        <v>4574</v>
      </c>
      <c r="R25" s="8">
        <v>4244</v>
      </c>
      <c r="S25" s="8">
        <v>4476</v>
      </c>
      <c r="T25" s="8">
        <v>4710</v>
      </c>
      <c r="U25" s="8">
        <v>4379</v>
      </c>
      <c r="V25" s="8">
        <v>1647</v>
      </c>
      <c r="W25" s="8">
        <v>2476</v>
      </c>
      <c r="X25" s="8">
        <v>4702</v>
      </c>
      <c r="Y25" s="8">
        <v>4522</v>
      </c>
      <c r="Z25" s="8">
        <v>4804</v>
      </c>
      <c r="AA25">
        <f t="shared" si="1"/>
        <v>4053.4</v>
      </c>
    </row>
    <row r="26" spans="1:27" x14ac:dyDescent="0.25">
      <c r="A26">
        <v>170330</v>
      </c>
      <c r="B26" t="str">
        <f>VLOOKUP(Tabela3[[#This Row],[IBGE]],procv!$A$2:$D$142,4,FALSE)</f>
        <v>Cerrado Tocantins Araguaia</v>
      </c>
      <c r="C26" t="s">
        <v>29</v>
      </c>
      <c r="D26">
        <v>399</v>
      </c>
      <c r="E26">
        <v>392</v>
      </c>
      <c r="F26">
        <v>388</v>
      </c>
      <c r="G26">
        <v>385</v>
      </c>
      <c r="H26">
        <v>389</v>
      </c>
      <c r="I26">
        <v>392</v>
      </c>
      <c r="J26">
        <v>394</v>
      </c>
      <c r="K26">
        <v>393</v>
      </c>
      <c r="L26">
        <v>396</v>
      </c>
      <c r="M26">
        <v>400</v>
      </c>
      <c r="P26" s="22" t="s">
        <v>301</v>
      </c>
      <c r="Q26" s="23">
        <v>54836</v>
      </c>
      <c r="R26" s="23">
        <v>53901</v>
      </c>
      <c r="S26" s="23">
        <v>58162</v>
      </c>
      <c r="T26" s="23">
        <v>64396</v>
      </c>
      <c r="U26" s="23">
        <v>61771</v>
      </c>
      <c r="V26" s="23">
        <v>23069</v>
      </c>
      <c r="W26" s="23">
        <v>38649</v>
      </c>
      <c r="X26" s="23">
        <v>68999</v>
      </c>
      <c r="Y26" s="23">
        <v>74603</v>
      </c>
      <c r="Z26" s="23">
        <v>76421</v>
      </c>
      <c r="AA26">
        <f t="shared" si="1"/>
        <v>57480.7</v>
      </c>
    </row>
    <row r="27" spans="1:27" x14ac:dyDescent="0.25">
      <c r="A27">
        <v>170360</v>
      </c>
      <c r="B27" t="str">
        <f>VLOOKUP(Tabela3[[#This Row],[IBGE]],procv!$A$2:$D$142,4,FALSE)</f>
        <v>Cerrado Tocantins Araguaia</v>
      </c>
      <c r="C27" t="s">
        <v>30</v>
      </c>
      <c r="D27">
        <v>189</v>
      </c>
      <c r="E27">
        <v>183</v>
      </c>
      <c r="F27">
        <v>179</v>
      </c>
      <c r="G27">
        <v>174</v>
      </c>
      <c r="H27">
        <v>172</v>
      </c>
      <c r="I27">
        <v>171</v>
      </c>
      <c r="J27">
        <v>169</v>
      </c>
      <c r="K27">
        <v>164</v>
      </c>
      <c r="L27">
        <v>156</v>
      </c>
      <c r="M27">
        <v>152</v>
      </c>
    </row>
    <row r="28" spans="1:27" x14ac:dyDescent="0.25">
      <c r="A28">
        <v>170370</v>
      </c>
      <c r="B28" t="str">
        <f>VLOOKUP(Tabela3[[#This Row],[IBGE]],procv!$A$2:$D$142,4,FALSE)</f>
        <v>Amor Perfeito</v>
      </c>
      <c r="C28" t="s">
        <v>31</v>
      </c>
      <c r="D28">
        <v>442</v>
      </c>
      <c r="E28">
        <v>424</v>
      </c>
      <c r="F28">
        <v>410</v>
      </c>
      <c r="G28">
        <v>399</v>
      </c>
      <c r="H28">
        <v>390</v>
      </c>
      <c r="I28">
        <v>386</v>
      </c>
      <c r="J28">
        <v>377</v>
      </c>
      <c r="K28">
        <v>366</v>
      </c>
      <c r="L28">
        <v>358</v>
      </c>
      <c r="M28">
        <v>347</v>
      </c>
      <c r="S28" t="s">
        <v>320</v>
      </c>
    </row>
    <row r="29" spans="1:27" x14ac:dyDescent="0.25">
      <c r="A29">
        <v>170380</v>
      </c>
      <c r="B29" t="str">
        <f>VLOOKUP(Tabela3[[#This Row],[IBGE]],procv!$A$2:$D$142,4,FALSE)</f>
        <v>Bico do Papagaio</v>
      </c>
      <c r="C29" t="s">
        <v>32</v>
      </c>
      <c r="D29">
        <v>910</v>
      </c>
      <c r="E29">
        <v>893</v>
      </c>
      <c r="F29">
        <v>887</v>
      </c>
      <c r="G29">
        <v>892</v>
      </c>
      <c r="H29">
        <v>901</v>
      </c>
      <c r="I29">
        <v>920</v>
      </c>
      <c r="J29">
        <v>931</v>
      </c>
      <c r="K29">
        <v>931</v>
      </c>
      <c r="L29">
        <v>926</v>
      </c>
      <c r="M29">
        <v>909</v>
      </c>
      <c r="P29" s="26"/>
      <c r="Q29" s="27">
        <v>2015</v>
      </c>
      <c r="R29" s="27">
        <v>2016</v>
      </c>
      <c r="S29" s="27">
        <v>2017</v>
      </c>
      <c r="T29" s="27">
        <v>2018</v>
      </c>
      <c r="U29" s="27">
        <v>2019</v>
      </c>
      <c r="V29" s="27">
        <v>2020</v>
      </c>
      <c r="W29" s="27">
        <v>2021</v>
      </c>
      <c r="X29" s="27">
        <v>2022</v>
      </c>
      <c r="Y29" s="27">
        <v>2023</v>
      </c>
      <c r="Z29" s="27">
        <v>2024</v>
      </c>
      <c r="AA29" s="31" t="s">
        <v>321</v>
      </c>
    </row>
    <row r="30" spans="1:27" x14ac:dyDescent="0.25">
      <c r="A30">
        <v>170382</v>
      </c>
      <c r="B30" t="str">
        <f>VLOOKUP(Tabela3[[#This Row],[IBGE]],procv!$A$2:$D$142,4,FALSE)</f>
        <v>Bico do Papagaio</v>
      </c>
      <c r="C30" t="s">
        <v>33</v>
      </c>
      <c r="D30">
        <v>210</v>
      </c>
      <c r="E30">
        <v>205</v>
      </c>
      <c r="F30">
        <v>198</v>
      </c>
      <c r="G30">
        <v>189</v>
      </c>
      <c r="H30">
        <v>176</v>
      </c>
      <c r="I30">
        <v>165</v>
      </c>
      <c r="J30">
        <v>156</v>
      </c>
      <c r="K30">
        <v>151</v>
      </c>
      <c r="L30">
        <v>149</v>
      </c>
      <c r="M30">
        <v>155</v>
      </c>
      <c r="P30" s="28" t="s">
        <v>151</v>
      </c>
      <c r="Q30" s="30">
        <f t="shared" ref="Q30:Q35" si="2">Q18/Q4</f>
        <v>0.41345182791355284</v>
      </c>
      <c r="R30" s="30">
        <f t="shared" ref="R30:Z30" si="3">R18/R4</f>
        <v>0.42552540297898389</v>
      </c>
      <c r="S30" s="30">
        <f t="shared" si="3"/>
        <v>0.42312813684318346</v>
      </c>
      <c r="T30" s="30">
        <f t="shared" si="3"/>
        <v>0.57119358486686544</v>
      </c>
      <c r="U30" s="30">
        <f t="shared" si="3"/>
        <v>0.6237389334980441</v>
      </c>
      <c r="V30" s="30">
        <f t="shared" si="3"/>
        <v>0.1211595386342758</v>
      </c>
      <c r="W30" s="30">
        <f t="shared" si="3"/>
        <v>0.30385556915544676</v>
      </c>
      <c r="X30" s="30">
        <f t="shared" si="3"/>
        <v>0.65360277607675032</v>
      </c>
      <c r="Y30" s="30">
        <f t="shared" si="3"/>
        <v>0.75058346017250122</v>
      </c>
      <c r="Z30" s="30">
        <f t="shared" si="3"/>
        <v>0.69272727272727275</v>
      </c>
      <c r="AA30" s="30">
        <f t="shared" ref="AA30" si="4">AA18/AA4</f>
        <v>0.49801146213619957</v>
      </c>
    </row>
    <row r="31" spans="1:27" x14ac:dyDescent="0.25">
      <c r="A31">
        <v>170384</v>
      </c>
      <c r="B31" t="str">
        <f>VLOOKUP(Tabela3[[#This Row],[IBGE]],procv!$A$2:$D$142,4,FALSE)</f>
        <v>Médio Norte Araguaia</v>
      </c>
      <c r="C31" t="s">
        <v>34</v>
      </c>
      <c r="D31">
        <v>979</v>
      </c>
      <c r="E31">
        <v>956</v>
      </c>
      <c r="F31">
        <v>940</v>
      </c>
      <c r="G31">
        <v>928</v>
      </c>
      <c r="H31">
        <v>919</v>
      </c>
      <c r="I31">
        <v>917</v>
      </c>
      <c r="J31">
        <v>910</v>
      </c>
      <c r="K31">
        <v>902</v>
      </c>
      <c r="L31">
        <v>904</v>
      </c>
      <c r="M31">
        <v>904</v>
      </c>
      <c r="P31" s="28" t="s">
        <v>145</v>
      </c>
      <c r="Q31" s="30">
        <f t="shared" si="2"/>
        <v>0.54395547232625885</v>
      </c>
      <c r="R31" s="30">
        <f t="shared" ref="R31:Z31" si="5">R19/R5</f>
        <v>0.5143725667964375</v>
      </c>
      <c r="S31" s="30">
        <f t="shared" si="5"/>
        <v>0.59056573012336289</v>
      </c>
      <c r="T31" s="30">
        <f t="shared" si="5"/>
        <v>0.68676364843188231</v>
      </c>
      <c r="U31" s="30">
        <f t="shared" si="5"/>
        <v>0.65721186250280839</v>
      </c>
      <c r="V31" s="30">
        <f t="shared" si="5"/>
        <v>0.27390370705244121</v>
      </c>
      <c r="W31" s="30">
        <f t="shared" si="5"/>
        <v>0.51433476394849786</v>
      </c>
      <c r="X31" s="30">
        <f t="shared" si="5"/>
        <v>0.75409265064437481</v>
      </c>
      <c r="Y31" s="30">
        <f t="shared" si="5"/>
        <v>0.75996488147497809</v>
      </c>
      <c r="Z31" s="30">
        <f t="shared" si="5"/>
        <v>0.77764650283553871</v>
      </c>
      <c r="AA31" s="30">
        <f t="shared" ref="AA31" si="6">AA19/AA5</f>
        <v>0.60479993731425141</v>
      </c>
    </row>
    <row r="32" spans="1:27" x14ac:dyDescent="0.25">
      <c r="A32">
        <v>170386</v>
      </c>
      <c r="B32" t="str">
        <f>VLOOKUP(Tabela3[[#This Row],[IBGE]],procv!$A$2:$D$142,4,FALSE)</f>
        <v>Ilha do Bananal</v>
      </c>
      <c r="C32" t="s">
        <v>35</v>
      </c>
      <c r="D32">
        <v>290</v>
      </c>
      <c r="E32">
        <v>285</v>
      </c>
      <c r="F32">
        <v>284</v>
      </c>
      <c r="G32">
        <v>285</v>
      </c>
      <c r="H32">
        <v>287</v>
      </c>
      <c r="I32">
        <v>292</v>
      </c>
      <c r="J32">
        <v>293</v>
      </c>
      <c r="K32">
        <v>294</v>
      </c>
      <c r="L32">
        <v>292</v>
      </c>
      <c r="M32">
        <v>290</v>
      </c>
      <c r="P32" s="28" t="s">
        <v>144</v>
      </c>
      <c r="Q32" s="30">
        <f t="shared" si="2"/>
        <v>0.39601277460563244</v>
      </c>
      <c r="R32" s="30">
        <f t="shared" ref="R32:Z32" si="7">R20/R6</f>
        <v>0.32809876543209876</v>
      </c>
      <c r="S32" s="30">
        <f t="shared" si="7"/>
        <v>0.4015755883526127</v>
      </c>
      <c r="T32" s="30">
        <f t="shared" si="7"/>
        <v>0.45438139161820734</v>
      </c>
      <c r="U32" s="30">
        <f t="shared" si="7"/>
        <v>0.42982982982982981</v>
      </c>
      <c r="V32" s="30">
        <f t="shared" si="7"/>
        <v>0.19667590027700832</v>
      </c>
      <c r="W32" s="30">
        <f t="shared" si="7"/>
        <v>0.28634708140565018</v>
      </c>
      <c r="X32" s="30">
        <f t="shared" si="7"/>
        <v>0.56645694062131335</v>
      </c>
      <c r="Y32" s="30">
        <f t="shared" si="7"/>
        <v>0.6336286632265602</v>
      </c>
      <c r="Z32" s="30">
        <f t="shared" si="7"/>
        <v>0.59200231816864679</v>
      </c>
      <c r="AA32" s="30">
        <f t="shared" ref="AA32" si="8">AA20/AA6</f>
        <v>0.42913715484716247</v>
      </c>
    </row>
    <row r="33" spans="1:27" x14ac:dyDescent="0.25">
      <c r="A33">
        <v>170388</v>
      </c>
      <c r="B33" t="str">
        <f>VLOOKUP(Tabela3[[#This Row],[IBGE]],procv!$A$2:$D$142,4,FALSE)</f>
        <v>Médio Norte Araguaia</v>
      </c>
      <c r="C33" t="s">
        <v>36</v>
      </c>
      <c r="D33">
        <v>203</v>
      </c>
      <c r="E33">
        <v>196</v>
      </c>
      <c r="F33">
        <v>191</v>
      </c>
      <c r="G33">
        <v>185</v>
      </c>
      <c r="H33">
        <v>185</v>
      </c>
      <c r="I33">
        <v>182</v>
      </c>
      <c r="J33">
        <v>181</v>
      </c>
      <c r="K33">
        <v>180</v>
      </c>
      <c r="L33">
        <v>179</v>
      </c>
      <c r="M33">
        <v>181</v>
      </c>
      <c r="P33" s="28" t="s">
        <v>148</v>
      </c>
      <c r="Q33" s="30">
        <f t="shared" si="2"/>
        <v>0.28959042608067675</v>
      </c>
      <c r="R33" s="30">
        <f t="shared" ref="R33:Z33" si="9">R21/R7</f>
        <v>0.42652773479143025</v>
      </c>
      <c r="S33" s="30">
        <f t="shared" si="9"/>
        <v>0.43925137715126422</v>
      </c>
      <c r="T33" s="30">
        <f t="shared" si="9"/>
        <v>0.42007574465181341</v>
      </c>
      <c r="U33" s="30">
        <f t="shared" si="9"/>
        <v>0.42118880642745282</v>
      </c>
      <c r="V33" s="30">
        <f t="shared" si="9"/>
        <v>0.17009962304792675</v>
      </c>
      <c r="W33" s="30">
        <f t="shared" si="9"/>
        <v>0.20877392584660687</v>
      </c>
      <c r="X33" s="30">
        <f t="shared" si="9"/>
        <v>0.4398774232229698</v>
      </c>
      <c r="Y33" s="30">
        <f t="shared" si="9"/>
        <v>0.48170711842319597</v>
      </c>
      <c r="Z33" s="30">
        <f t="shared" si="9"/>
        <v>0.48466475312026319</v>
      </c>
      <c r="AA33" s="30">
        <f t="shared" ref="AA33" si="10">AA21/AA7</f>
        <v>0.37882833201070654</v>
      </c>
    </row>
    <row r="34" spans="1:27" x14ac:dyDescent="0.25">
      <c r="A34">
        <v>170389</v>
      </c>
      <c r="B34" t="str">
        <f>VLOOKUP(Tabela3[[#This Row],[IBGE]],procv!$A$2:$D$142,4,FALSE)</f>
        <v>Bico do Papagaio</v>
      </c>
      <c r="C34" t="s">
        <v>37</v>
      </c>
      <c r="D34">
        <v>400</v>
      </c>
      <c r="E34">
        <v>385</v>
      </c>
      <c r="F34">
        <v>372</v>
      </c>
      <c r="G34">
        <v>355</v>
      </c>
      <c r="H34">
        <v>339</v>
      </c>
      <c r="I34">
        <v>326</v>
      </c>
      <c r="J34">
        <v>312</v>
      </c>
      <c r="K34">
        <v>302</v>
      </c>
      <c r="L34">
        <v>295</v>
      </c>
      <c r="M34">
        <v>293</v>
      </c>
      <c r="P34" s="28" t="s">
        <v>150</v>
      </c>
      <c r="Q34" s="30">
        <f t="shared" si="2"/>
        <v>0.55642113382182801</v>
      </c>
      <c r="R34" s="30">
        <f t="shared" ref="R34:Z34" si="11">R22/R8</f>
        <v>0.44724135201456505</v>
      </c>
      <c r="S34" s="30">
        <f t="shared" si="11"/>
        <v>0.47101449275362317</v>
      </c>
      <c r="T34" s="30">
        <f t="shared" si="11"/>
        <v>0.54572921770373994</v>
      </c>
      <c r="U34" s="30">
        <f t="shared" si="11"/>
        <v>0.57069958847736624</v>
      </c>
      <c r="V34" s="30">
        <f t="shared" si="11"/>
        <v>0.19085977313825414</v>
      </c>
      <c r="W34" s="30">
        <f t="shared" si="11"/>
        <v>0.26302319821679188</v>
      </c>
      <c r="X34" s="30">
        <f t="shared" si="11"/>
        <v>0.56154357950765132</v>
      </c>
      <c r="Y34" s="30">
        <f t="shared" si="11"/>
        <v>0.5972522897585345</v>
      </c>
      <c r="Z34" s="30">
        <f t="shared" si="11"/>
        <v>0.63080256688057335</v>
      </c>
      <c r="AA34" s="30">
        <f t="shared" ref="AA34" si="12">AA22/AA8</f>
        <v>0.48345908772387269</v>
      </c>
    </row>
    <row r="35" spans="1:27" x14ac:dyDescent="0.25">
      <c r="A35">
        <v>170390</v>
      </c>
      <c r="B35" t="str">
        <f>VLOOKUP(Tabela3[[#This Row],[IBGE]],procv!$A$2:$D$142,4,FALSE)</f>
        <v>Cantão</v>
      </c>
      <c r="C35" t="s">
        <v>38</v>
      </c>
      <c r="D35">
        <v>457</v>
      </c>
      <c r="E35">
        <v>439</v>
      </c>
      <c r="F35">
        <v>428</v>
      </c>
      <c r="G35">
        <v>419</v>
      </c>
      <c r="H35">
        <v>414</v>
      </c>
      <c r="I35">
        <v>414</v>
      </c>
      <c r="J35">
        <v>411</v>
      </c>
      <c r="K35">
        <v>411</v>
      </c>
      <c r="L35">
        <v>415</v>
      </c>
      <c r="M35">
        <v>423</v>
      </c>
      <c r="P35" s="28" t="s">
        <v>146</v>
      </c>
      <c r="Q35" s="30">
        <f t="shared" si="2"/>
        <v>0.4592742226390592</v>
      </c>
      <c r="R35" s="30">
        <f t="shared" ref="R35:Z35" si="13">R23/R9</f>
        <v>0.38460968196308104</v>
      </c>
      <c r="S35" s="30">
        <f t="shared" si="13"/>
        <v>0.38597680373550236</v>
      </c>
      <c r="T35" s="30">
        <f t="shared" si="13"/>
        <v>0.5047248894985521</v>
      </c>
      <c r="U35" s="30">
        <f t="shared" si="13"/>
        <v>0.43427301976405697</v>
      </c>
      <c r="V35" s="30">
        <f t="shared" si="13"/>
        <v>0.17911811743203107</v>
      </c>
      <c r="W35" s="30">
        <f t="shared" si="13"/>
        <v>0.32634228187919462</v>
      </c>
      <c r="X35" s="30">
        <f t="shared" si="13"/>
        <v>0.50520116261281933</v>
      </c>
      <c r="Y35" s="30">
        <f t="shared" si="13"/>
        <v>0.56718464351005482</v>
      </c>
      <c r="Z35" s="30">
        <f t="shared" si="13"/>
        <v>0.61681106551147591</v>
      </c>
      <c r="AA35" s="30">
        <f t="shared" ref="AA35" si="14">AA23/AA9</f>
        <v>0.43629868511483527</v>
      </c>
    </row>
    <row r="36" spans="1:27" x14ac:dyDescent="0.25">
      <c r="A36">
        <v>170410</v>
      </c>
      <c r="B36" t="str">
        <f>VLOOKUP(Tabela3[[#This Row],[IBGE]],procv!$A$2:$D$142,4,FALSE)</f>
        <v>Cerrado Tocantins Araguaia</v>
      </c>
      <c r="C36" t="s">
        <v>39</v>
      </c>
      <c r="D36">
        <v>195</v>
      </c>
      <c r="E36">
        <v>181</v>
      </c>
      <c r="F36">
        <v>175</v>
      </c>
      <c r="G36">
        <v>171</v>
      </c>
      <c r="H36">
        <v>169</v>
      </c>
      <c r="I36">
        <v>172</v>
      </c>
      <c r="J36">
        <v>170</v>
      </c>
      <c r="K36">
        <v>164</v>
      </c>
      <c r="L36">
        <v>155</v>
      </c>
      <c r="M36">
        <v>148</v>
      </c>
      <c r="P36" s="28" t="s">
        <v>149</v>
      </c>
      <c r="Q36" s="30">
        <f t="shared" ref="Q36:Z38" si="15">Q24/Q10</f>
        <v>0.40013312809418811</v>
      </c>
      <c r="R36" s="30">
        <f t="shared" si="15"/>
        <v>0.39271957671957675</v>
      </c>
      <c r="S36" s="30">
        <f t="shared" si="15"/>
        <v>0.46356993290885007</v>
      </c>
      <c r="T36" s="30">
        <f t="shared" si="15"/>
        <v>0.4979760571871501</v>
      </c>
      <c r="U36" s="30">
        <f t="shared" si="15"/>
        <v>0.44770380610878302</v>
      </c>
      <c r="V36" s="30">
        <f t="shared" si="15"/>
        <v>0.15781330582774625</v>
      </c>
      <c r="W36" s="30">
        <f t="shared" si="15"/>
        <v>0.32659469224482773</v>
      </c>
      <c r="X36" s="30">
        <f t="shared" si="15"/>
        <v>0.5427166033828098</v>
      </c>
      <c r="Y36" s="30">
        <f t="shared" si="15"/>
        <v>0.59204706488598791</v>
      </c>
      <c r="Z36" s="30">
        <f t="shared" si="15"/>
        <v>0.63317596566523604</v>
      </c>
      <c r="AA36" s="30">
        <f t="shared" ref="AA36" si="16">AA24/AA10</f>
        <v>0.44522318066680355</v>
      </c>
    </row>
    <row r="37" spans="1:27" x14ac:dyDescent="0.25">
      <c r="A37">
        <v>170460</v>
      </c>
      <c r="B37" t="str">
        <f>VLOOKUP(Tabela3[[#This Row],[IBGE]],procv!$A$2:$D$142,4,FALSE)</f>
        <v>Cantão</v>
      </c>
      <c r="C37" t="s">
        <v>41</v>
      </c>
      <c r="D37">
        <v>111</v>
      </c>
      <c r="E37">
        <v>111</v>
      </c>
      <c r="F37">
        <v>111</v>
      </c>
      <c r="G37">
        <v>112</v>
      </c>
      <c r="H37">
        <v>113</v>
      </c>
      <c r="I37">
        <v>115</v>
      </c>
      <c r="J37">
        <v>114</v>
      </c>
      <c r="K37">
        <v>113</v>
      </c>
      <c r="L37">
        <v>113</v>
      </c>
      <c r="M37">
        <v>118</v>
      </c>
      <c r="P37" s="28" t="s">
        <v>147</v>
      </c>
      <c r="Q37" s="30">
        <f t="shared" si="15"/>
        <v>0.55638000243279406</v>
      </c>
      <c r="R37" s="30">
        <f t="shared" si="15"/>
        <v>0.53403800176167104</v>
      </c>
      <c r="S37" s="30">
        <f t="shared" si="15"/>
        <v>0.57859358841778696</v>
      </c>
      <c r="T37" s="30">
        <f t="shared" si="15"/>
        <v>0.62591362126245842</v>
      </c>
      <c r="U37" s="30">
        <f t="shared" si="15"/>
        <v>0.59586338277316642</v>
      </c>
      <c r="V37" s="30">
        <f t="shared" si="15"/>
        <v>0.2275176129299627</v>
      </c>
      <c r="W37" s="30">
        <f t="shared" si="15"/>
        <v>0.34937208974178074</v>
      </c>
      <c r="X37" s="30">
        <f t="shared" si="15"/>
        <v>0.67889113485417263</v>
      </c>
      <c r="Y37" s="30">
        <f t="shared" si="15"/>
        <v>0.66266119577960136</v>
      </c>
      <c r="Z37" s="30">
        <f t="shared" si="15"/>
        <v>0.71434944237918219</v>
      </c>
      <c r="AA37" s="30">
        <f t="shared" ref="AA37" si="17">AA25/AA11</f>
        <v>0.5508908791910736</v>
      </c>
    </row>
    <row r="38" spans="1:27" x14ac:dyDescent="0.25">
      <c r="A38">
        <v>170510</v>
      </c>
      <c r="B38" t="str">
        <f>VLOOKUP(Tabela3[[#This Row],[IBGE]],procv!$A$2:$D$142,4,FALSE)</f>
        <v>Amor Perfeito</v>
      </c>
      <c r="C38" t="s">
        <v>40</v>
      </c>
      <c r="D38">
        <v>285</v>
      </c>
      <c r="E38">
        <v>276</v>
      </c>
      <c r="F38">
        <v>272</v>
      </c>
      <c r="G38">
        <v>268</v>
      </c>
      <c r="H38">
        <v>266</v>
      </c>
      <c r="I38">
        <v>271</v>
      </c>
      <c r="J38">
        <v>270</v>
      </c>
      <c r="K38">
        <v>266</v>
      </c>
      <c r="L38">
        <v>259</v>
      </c>
      <c r="M38">
        <v>256</v>
      </c>
      <c r="P38" s="29" t="s">
        <v>317</v>
      </c>
      <c r="Q38" s="30">
        <f t="shared" si="15"/>
        <v>0.42967513438121951</v>
      </c>
      <c r="R38" s="30">
        <f t="shared" si="15"/>
        <v>0.42965779467680609</v>
      </c>
      <c r="S38" s="30">
        <f t="shared" si="15"/>
        <v>0.46808955848503869</v>
      </c>
      <c r="T38" s="30">
        <f t="shared" si="15"/>
        <v>0.52267783513522292</v>
      </c>
      <c r="U38" s="30">
        <f t="shared" si="15"/>
        <v>0.50391574619438417</v>
      </c>
      <c r="V38" s="30">
        <f t="shared" si="15"/>
        <v>0.18737461114224679</v>
      </c>
      <c r="W38" s="30">
        <f t="shared" si="15"/>
        <v>0.31451868850858133</v>
      </c>
      <c r="X38" s="30">
        <f t="shared" si="15"/>
        <v>0.56363443284484305</v>
      </c>
      <c r="Y38" s="30">
        <f t="shared" si="15"/>
        <v>0.60576509276927448</v>
      </c>
      <c r="Z38" s="30">
        <f t="shared" si="15"/>
        <v>0.61944557023587588</v>
      </c>
      <c r="AA38" s="30">
        <f t="shared" ref="AA38" si="18">AA26/AA12</f>
        <v>0.46428190647272816</v>
      </c>
    </row>
    <row r="39" spans="1:27" x14ac:dyDescent="0.25">
      <c r="A39">
        <v>170550</v>
      </c>
      <c r="B39" t="str">
        <f>VLOOKUP(Tabela3[[#This Row],[IBGE]],procv!$A$2:$D$142,4,FALSE)</f>
        <v>Cerrado Tocantins Araguaia</v>
      </c>
      <c r="C39" t="s">
        <v>42</v>
      </c>
      <c r="D39">
        <v>2792</v>
      </c>
      <c r="E39">
        <v>2756</v>
      </c>
      <c r="F39">
        <v>2744</v>
      </c>
      <c r="G39">
        <v>2740</v>
      </c>
      <c r="H39">
        <v>2755</v>
      </c>
      <c r="I39">
        <v>2793</v>
      </c>
      <c r="J39">
        <v>2811</v>
      </c>
      <c r="K39">
        <v>2827</v>
      </c>
      <c r="L39">
        <v>2862</v>
      </c>
      <c r="M39">
        <v>2882</v>
      </c>
      <c r="V39" s="32"/>
      <c r="W39" s="32"/>
    </row>
    <row r="40" spans="1:27" x14ac:dyDescent="0.25">
      <c r="A40">
        <v>170555</v>
      </c>
      <c r="B40" t="str">
        <f>VLOOKUP(Tabela3[[#This Row],[IBGE]],procv!$A$2:$D$142,4,FALSE)</f>
        <v>Sudeste</v>
      </c>
      <c r="C40" t="s">
        <v>44</v>
      </c>
      <c r="D40">
        <v>410</v>
      </c>
      <c r="E40">
        <v>398</v>
      </c>
      <c r="F40">
        <v>389</v>
      </c>
      <c r="G40">
        <v>380</v>
      </c>
      <c r="H40">
        <v>373</v>
      </c>
      <c r="I40">
        <v>369</v>
      </c>
      <c r="J40">
        <v>360</v>
      </c>
      <c r="K40">
        <v>353</v>
      </c>
      <c r="L40">
        <v>348</v>
      </c>
      <c r="M40">
        <v>346</v>
      </c>
    </row>
    <row r="41" spans="1:27" x14ac:dyDescent="0.25">
      <c r="A41">
        <v>170560</v>
      </c>
      <c r="B41" t="str">
        <f>VLOOKUP(Tabela3[[#This Row],[IBGE]],procv!$A$2:$D$142,4,FALSE)</f>
        <v>Sudeste</v>
      </c>
      <c r="C41" t="s">
        <v>45</v>
      </c>
      <c r="D41">
        <v>402</v>
      </c>
      <c r="E41">
        <v>390</v>
      </c>
      <c r="F41">
        <v>377</v>
      </c>
      <c r="G41">
        <v>363</v>
      </c>
      <c r="H41">
        <v>349</v>
      </c>
      <c r="I41">
        <v>339</v>
      </c>
      <c r="J41">
        <v>329</v>
      </c>
      <c r="K41">
        <v>318</v>
      </c>
      <c r="L41">
        <v>313</v>
      </c>
      <c r="M41">
        <v>314</v>
      </c>
    </row>
    <row r="42" spans="1:27" x14ac:dyDescent="0.25">
      <c r="A42">
        <v>170600</v>
      </c>
      <c r="B42" t="str">
        <f>VLOOKUP(Tabela3[[#This Row],[IBGE]],procv!$A$2:$D$142,4,FALSE)</f>
        <v>Cerrado Tocantins Araguaia</v>
      </c>
      <c r="C42" t="s">
        <v>46</v>
      </c>
      <c r="D42">
        <v>479</v>
      </c>
      <c r="E42">
        <v>469</v>
      </c>
      <c r="F42">
        <v>465</v>
      </c>
      <c r="G42">
        <v>462</v>
      </c>
      <c r="H42">
        <v>465</v>
      </c>
      <c r="I42">
        <v>474</v>
      </c>
      <c r="J42">
        <v>474</v>
      </c>
      <c r="K42">
        <v>471</v>
      </c>
      <c r="L42">
        <v>464</v>
      </c>
      <c r="M42">
        <v>457</v>
      </c>
    </row>
    <row r="43" spans="1:27" x14ac:dyDescent="0.25">
      <c r="A43">
        <v>170610</v>
      </c>
      <c r="B43" t="str">
        <f>VLOOKUP(Tabela3[[#This Row],[IBGE]],procv!$A$2:$D$142,4,FALSE)</f>
        <v>Cantão</v>
      </c>
      <c r="C43" t="s">
        <v>47</v>
      </c>
      <c r="D43">
        <v>539</v>
      </c>
      <c r="E43">
        <v>509</v>
      </c>
      <c r="F43">
        <v>486</v>
      </c>
      <c r="G43">
        <v>469</v>
      </c>
      <c r="H43">
        <v>458</v>
      </c>
      <c r="I43">
        <v>455</v>
      </c>
      <c r="J43">
        <v>446</v>
      </c>
      <c r="K43">
        <v>436</v>
      </c>
      <c r="L43">
        <v>433</v>
      </c>
      <c r="M43">
        <v>430</v>
      </c>
    </row>
    <row r="44" spans="1:27" x14ac:dyDescent="0.25">
      <c r="A44">
        <v>170625</v>
      </c>
      <c r="B44" t="str">
        <f>VLOOKUP(Tabela3[[#This Row],[IBGE]],procv!$A$2:$D$142,4,FALSE)</f>
        <v>Ilha do Bananal</v>
      </c>
      <c r="C44" t="s">
        <v>48</v>
      </c>
      <c r="D44">
        <v>127</v>
      </c>
      <c r="E44">
        <v>119</v>
      </c>
      <c r="F44">
        <v>115</v>
      </c>
      <c r="G44">
        <v>112</v>
      </c>
      <c r="H44">
        <v>116</v>
      </c>
      <c r="I44">
        <v>122</v>
      </c>
      <c r="J44">
        <v>122</v>
      </c>
      <c r="K44">
        <v>123</v>
      </c>
      <c r="L44">
        <v>118</v>
      </c>
      <c r="M44">
        <v>116</v>
      </c>
    </row>
    <row r="45" spans="1:27" x14ac:dyDescent="0.25">
      <c r="A45">
        <v>170650</v>
      </c>
      <c r="B45" t="str">
        <f>VLOOKUP(Tabela3[[#This Row],[IBGE]],procv!$A$2:$D$142,4,FALSE)</f>
        <v>Médio Norte Araguaia</v>
      </c>
      <c r="C45" t="s">
        <v>49</v>
      </c>
      <c r="D45">
        <v>547</v>
      </c>
      <c r="E45">
        <v>540</v>
      </c>
      <c r="F45">
        <v>535</v>
      </c>
      <c r="G45">
        <v>524</v>
      </c>
      <c r="H45">
        <v>512</v>
      </c>
      <c r="I45">
        <v>505</v>
      </c>
      <c r="J45">
        <v>495</v>
      </c>
      <c r="K45">
        <v>490</v>
      </c>
      <c r="L45">
        <v>495</v>
      </c>
      <c r="M45">
        <v>502</v>
      </c>
    </row>
    <row r="46" spans="1:27" x14ac:dyDescent="0.25">
      <c r="A46">
        <v>170700</v>
      </c>
      <c r="B46" t="str">
        <f>VLOOKUP(Tabela3[[#This Row],[IBGE]],procv!$A$2:$D$142,4,FALSE)</f>
        <v>Sudeste</v>
      </c>
      <c r="C46" t="s">
        <v>50</v>
      </c>
      <c r="D46">
        <v>1713</v>
      </c>
      <c r="E46">
        <v>1652</v>
      </c>
      <c r="F46">
        <v>1606</v>
      </c>
      <c r="G46">
        <v>1565</v>
      </c>
      <c r="H46">
        <v>1532</v>
      </c>
      <c r="I46">
        <v>1511</v>
      </c>
      <c r="J46">
        <v>1485</v>
      </c>
      <c r="K46">
        <v>1459</v>
      </c>
      <c r="L46">
        <v>1451</v>
      </c>
      <c r="M46">
        <v>1441</v>
      </c>
    </row>
    <row r="47" spans="1:27" x14ac:dyDescent="0.25">
      <c r="A47">
        <v>170710</v>
      </c>
      <c r="B47" t="str">
        <f>VLOOKUP(Tabela3[[#This Row],[IBGE]],procv!$A$2:$D$142,4,FALSE)</f>
        <v>Cantão</v>
      </c>
      <c r="C47" t="s">
        <v>51</v>
      </c>
      <c r="D47">
        <v>554</v>
      </c>
      <c r="E47">
        <v>539</v>
      </c>
      <c r="F47">
        <v>532</v>
      </c>
      <c r="G47">
        <v>524</v>
      </c>
      <c r="H47">
        <v>523</v>
      </c>
      <c r="I47">
        <v>525</v>
      </c>
      <c r="J47">
        <v>526</v>
      </c>
      <c r="K47">
        <v>524</v>
      </c>
      <c r="L47">
        <v>533</v>
      </c>
      <c r="M47">
        <v>539</v>
      </c>
    </row>
    <row r="48" spans="1:27" x14ac:dyDescent="0.25">
      <c r="A48">
        <v>170720</v>
      </c>
      <c r="B48" t="str">
        <f>VLOOKUP(Tabela3[[#This Row],[IBGE]],procv!$A$2:$D$142,4,FALSE)</f>
        <v>Cantão</v>
      </c>
      <c r="C48" t="s">
        <v>52</v>
      </c>
      <c r="D48">
        <v>556</v>
      </c>
      <c r="E48">
        <v>534</v>
      </c>
      <c r="F48">
        <v>516</v>
      </c>
      <c r="G48">
        <v>500</v>
      </c>
      <c r="H48">
        <v>490</v>
      </c>
      <c r="I48">
        <v>483</v>
      </c>
      <c r="J48">
        <v>472</v>
      </c>
      <c r="K48">
        <v>460</v>
      </c>
      <c r="L48">
        <v>455</v>
      </c>
      <c r="M48">
        <v>449</v>
      </c>
    </row>
    <row r="49" spans="1:13" x14ac:dyDescent="0.25">
      <c r="A49">
        <v>170730</v>
      </c>
      <c r="B49" t="str">
        <f>VLOOKUP(Tabela3[[#This Row],[IBGE]],procv!$A$2:$D$142,4,FALSE)</f>
        <v>Ilha do Bananal</v>
      </c>
      <c r="C49" t="s">
        <v>53</v>
      </c>
      <c r="D49">
        <v>361</v>
      </c>
      <c r="E49">
        <v>346</v>
      </c>
      <c r="F49">
        <v>333</v>
      </c>
      <c r="G49">
        <v>325</v>
      </c>
      <c r="H49">
        <v>315</v>
      </c>
      <c r="I49">
        <v>306</v>
      </c>
      <c r="J49">
        <v>297</v>
      </c>
      <c r="K49">
        <v>293</v>
      </c>
      <c r="L49">
        <v>292</v>
      </c>
      <c r="M49">
        <v>294</v>
      </c>
    </row>
    <row r="50" spans="1:13" x14ac:dyDescent="0.25">
      <c r="A50">
        <v>170740</v>
      </c>
      <c r="B50" t="str">
        <f>VLOOKUP(Tabela3[[#This Row],[IBGE]],procv!$A$2:$D$142,4,FALSE)</f>
        <v>Bico do Papagaio</v>
      </c>
      <c r="C50" t="s">
        <v>54</v>
      </c>
      <c r="D50">
        <v>925</v>
      </c>
      <c r="E50">
        <v>878</v>
      </c>
      <c r="F50">
        <v>839</v>
      </c>
      <c r="G50">
        <v>806</v>
      </c>
      <c r="H50">
        <v>778</v>
      </c>
      <c r="I50">
        <v>758</v>
      </c>
      <c r="J50">
        <v>731</v>
      </c>
      <c r="K50">
        <v>701</v>
      </c>
      <c r="L50">
        <v>671</v>
      </c>
      <c r="M50">
        <v>642</v>
      </c>
    </row>
    <row r="51" spans="1:13" x14ac:dyDescent="0.25">
      <c r="A51">
        <v>170755</v>
      </c>
      <c r="B51" t="str">
        <f>VLOOKUP(Tabela3[[#This Row],[IBGE]],procv!$A$2:$D$142,4,FALSE)</f>
        <v>Amor Perfeito</v>
      </c>
      <c r="C51" t="s">
        <v>55</v>
      </c>
      <c r="D51">
        <v>294</v>
      </c>
      <c r="E51">
        <v>279</v>
      </c>
      <c r="F51">
        <v>271</v>
      </c>
      <c r="G51">
        <v>264</v>
      </c>
      <c r="H51">
        <v>260</v>
      </c>
      <c r="I51">
        <v>262</v>
      </c>
      <c r="J51">
        <v>259</v>
      </c>
      <c r="K51">
        <v>258</v>
      </c>
      <c r="L51">
        <v>255</v>
      </c>
      <c r="M51">
        <v>256</v>
      </c>
    </row>
    <row r="52" spans="1:13" x14ac:dyDescent="0.25">
      <c r="A52">
        <v>170765</v>
      </c>
      <c r="B52" t="str">
        <f>VLOOKUP(Tabela3[[#This Row],[IBGE]],procv!$A$2:$D$142,4,FALSE)</f>
        <v>Ilha do Bananal</v>
      </c>
      <c r="C52" t="s">
        <v>56</v>
      </c>
      <c r="D52">
        <v>382</v>
      </c>
      <c r="E52">
        <v>370</v>
      </c>
      <c r="F52">
        <v>364</v>
      </c>
      <c r="G52">
        <v>361</v>
      </c>
      <c r="H52">
        <v>362</v>
      </c>
      <c r="I52">
        <v>368</v>
      </c>
      <c r="J52">
        <v>372</v>
      </c>
      <c r="K52">
        <v>367</v>
      </c>
      <c r="L52">
        <v>365</v>
      </c>
      <c r="M52">
        <v>361</v>
      </c>
    </row>
    <row r="53" spans="1:13" x14ac:dyDescent="0.25">
      <c r="A53">
        <v>170770</v>
      </c>
      <c r="B53" t="str">
        <f>VLOOKUP(Tabela3[[#This Row],[IBGE]],procv!$A$2:$D$142,4,FALSE)</f>
        <v>Médio Norte Araguaia</v>
      </c>
      <c r="C53" t="s">
        <v>57</v>
      </c>
      <c r="D53">
        <v>760</v>
      </c>
      <c r="E53">
        <v>728</v>
      </c>
      <c r="F53">
        <v>701</v>
      </c>
      <c r="G53">
        <v>676</v>
      </c>
      <c r="H53">
        <v>652</v>
      </c>
      <c r="I53">
        <v>634</v>
      </c>
      <c r="J53">
        <v>615</v>
      </c>
      <c r="K53">
        <v>599</v>
      </c>
      <c r="L53">
        <v>589</v>
      </c>
      <c r="M53">
        <v>581</v>
      </c>
    </row>
    <row r="54" spans="1:13" x14ac:dyDescent="0.25">
      <c r="A54">
        <v>170820</v>
      </c>
      <c r="B54" t="str">
        <f>VLOOKUP(Tabela3[[#This Row],[IBGE]],procv!$A$2:$D$142,4,FALSE)</f>
        <v>Ilha do Bananal</v>
      </c>
      <c r="C54" t="s">
        <v>58</v>
      </c>
      <c r="D54">
        <v>1583</v>
      </c>
      <c r="E54">
        <v>1528</v>
      </c>
      <c r="F54">
        <v>1491</v>
      </c>
      <c r="G54">
        <v>1462</v>
      </c>
      <c r="H54">
        <v>1441</v>
      </c>
      <c r="I54">
        <v>1438</v>
      </c>
      <c r="J54">
        <v>1429</v>
      </c>
      <c r="K54">
        <v>1422</v>
      </c>
      <c r="L54">
        <v>1438</v>
      </c>
      <c r="M54">
        <v>1449</v>
      </c>
    </row>
    <row r="55" spans="1:13" x14ac:dyDescent="0.25">
      <c r="A55">
        <v>170825</v>
      </c>
      <c r="B55" t="str">
        <f>VLOOKUP(Tabela3[[#This Row],[IBGE]],procv!$A$2:$D$142,4,FALSE)</f>
        <v>Capim Dourado</v>
      </c>
      <c r="C55" t="s">
        <v>315</v>
      </c>
      <c r="D55">
        <v>242</v>
      </c>
      <c r="E55">
        <v>251</v>
      </c>
      <c r="F55">
        <v>260</v>
      </c>
      <c r="G55">
        <v>269</v>
      </c>
      <c r="H55">
        <v>277</v>
      </c>
      <c r="I55">
        <v>286</v>
      </c>
      <c r="J55">
        <v>295</v>
      </c>
      <c r="K55">
        <v>301</v>
      </c>
      <c r="L55">
        <v>305</v>
      </c>
      <c r="M55">
        <v>308</v>
      </c>
    </row>
    <row r="56" spans="1:13" x14ac:dyDescent="0.25">
      <c r="A56">
        <v>170830</v>
      </c>
      <c r="B56" t="str">
        <f>VLOOKUP(Tabela3[[#This Row],[IBGE]],procv!$A$2:$D$142,4,FALSE)</f>
        <v>Cerrado Tocantins Araguaia</v>
      </c>
      <c r="C56" t="s">
        <v>59</v>
      </c>
      <c r="D56">
        <v>400</v>
      </c>
      <c r="E56">
        <v>380</v>
      </c>
      <c r="F56">
        <v>367</v>
      </c>
      <c r="G56">
        <v>357</v>
      </c>
      <c r="H56">
        <v>349</v>
      </c>
      <c r="I56">
        <v>347</v>
      </c>
      <c r="J56">
        <v>343</v>
      </c>
      <c r="K56">
        <v>339</v>
      </c>
      <c r="L56">
        <v>338</v>
      </c>
      <c r="M56">
        <v>339</v>
      </c>
    </row>
    <row r="57" spans="1:13" x14ac:dyDescent="0.25">
      <c r="A57">
        <v>170900</v>
      </c>
      <c r="B57" t="str">
        <f>VLOOKUP(Tabela3[[#This Row],[IBGE]],procv!$A$2:$D$142,4,FALSE)</f>
        <v>Médio Norte Araguaia</v>
      </c>
      <c r="C57" t="s">
        <v>60</v>
      </c>
      <c r="D57">
        <v>1355</v>
      </c>
      <c r="E57">
        <v>1324</v>
      </c>
      <c r="F57">
        <v>1307</v>
      </c>
      <c r="G57">
        <v>1300</v>
      </c>
      <c r="H57">
        <v>1305</v>
      </c>
      <c r="I57">
        <v>1321</v>
      </c>
      <c r="J57">
        <v>1325</v>
      </c>
      <c r="K57">
        <v>1320</v>
      </c>
      <c r="L57">
        <v>1312</v>
      </c>
      <c r="M57">
        <v>1295</v>
      </c>
    </row>
    <row r="58" spans="1:13" x14ac:dyDescent="0.25">
      <c r="A58">
        <v>170930</v>
      </c>
      <c r="B58" t="str">
        <f>VLOOKUP(Tabela3[[#This Row],[IBGE]],procv!$A$2:$D$142,4,FALSE)</f>
        <v>Cerrado Tocantins Araguaia</v>
      </c>
      <c r="C58" t="s">
        <v>61</v>
      </c>
      <c r="D58">
        <v>1880</v>
      </c>
      <c r="E58">
        <v>1840</v>
      </c>
      <c r="F58">
        <v>1814</v>
      </c>
      <c r="G58">
        <v>1790</v>
      </c>
      <c r="H58">
        <v>1777</v>
      </c>
      <c r="I58">
        <v>1779</v>
      </c>
      <c r="J58">
        <v>1773</v>
      </c>
      <c r="K58">
        <v>1765</v>
      </c>
      <c r="L58">
        <v>1778</v>
      </c>
      <c r="M58">
        <v>1782</v>
      </c>
    </row>
    <row r="59" spans="1:13" x14ac:dyDescent="0.25">
      <c r="A59">
        <v>170950</v>
      </c>
      <c r="B59" t="str">
        <f>VLOOKUP(Tabela3[[#This Row],[IBGE]],procv!$A$2:$D$142,4,FALSE)</f>
        <v>Ilha do Bananal</v>
      </c>
      <c r="C59" t="s">
        <v>62</v>
      </c>
      <c r="D59">
        <v>6266</v>
      </c>
      <c r="E59">
        <v>6182</v>
      </c>
      <c r="F59">
        <v>6151</v>
      </c>
      <c r="G59">
        <v>6132</v>
      </c>
      <c r="H59">
        <v>6142</v>
      </c>
      <c r="I59">
        <v>6211</v>
      </c>
      <c r="J59">
        <v>6241</v>
      </c>
      <c r="K59">
        <v>6257</v>
      </c>
      <c r="L59">
        <v>6335</v>
      </c>
      <c r="M59">
        <v>6379</v>
      </c>
    </row>
    <row r="60" spans="1:13" x14ac:dyDescent="0.25">
      <c r="A60">
        <v>170980</v>
      </c>
      <c r="B60" t="str">
        <f>VLOOKUP(Tabela3[[#This Row],[IBGE]],procv!$A$2:$D$142,4,FALSE)</f>
        <v>Amor Perfeito</v>
      </c>
      <c r="C60" t="s">
        <v>63</v>
      </c>
      <c r="D60">
        <v>162</v>
      </c>
      <c r="E60">
        <v>158</v>
      </c>
      <c r="F60">
        <v>152</v>
      </c>
      <c r="G60">
        <v>146</v>
      </c>
      <c r="H60">
        <v>141</v>
      </c>
      <c r="I60">
        <v>138</v>
      </c>
      <c r="J60">
        <v>130</v>
      </c>
      <c r="K60">
        <v>125</v>
      </c>
      <c r="L60">
        <v>117</v>
      </c>
      <c r="M60">
        <v>116</v>
      </c>
    </row>
    <row r="61" spans="1:13" x14ac:dyDescent="0.25">
      <c r="A61">
        <v>171050</v>
      </c>
      <c r="B61" t="str">
        <f>VLOOKUP(Tabela3[[#This Row],[IBGE]],procv!$A$2:$D$142,4,FALSE)</f>
        <v>Cerrado Tocantins Araguaia</v>
      </c>
      <c r="C61" t="s">
        <v>64</v>
      </c>
      <c r="D61">
        <v>710</v>
      </c>
      <c r="E61">
        <v>689</v>
      </c>
      <c r="F61">
        <v>677</v>
      </c>
      <c r="G61">
        <v>668</v>
      </c>
      <c r="H61">
        <v>664</v>
      </c>
      <c r="I61">
        <v>665</v>
      </c>
      <c r="J61">
        <v>661</v>
      </c>
      <c r="K61">
        <v>653</v>
      </c>
      <c r="L61">
        <v>640</v>
      </c>
      <c r="M61">
        <v>624</v>
      </c>
    </row>
    <row r="62" spans="1:13" x14ac:dyDescent="0.25">
      <c r="A62">
        <v>171070</v>
      </c>
      <c r="B62" t="str">
        <f>VLOOKUP(Tabela3[[#This Row],[IBGE]],procv!$A$2:$D$142,4,FALSE)</f>
        <v>Bico do Papagaio</v>
      </c>
      <c r="C62" t="s">
        <v>65</v>
      </c>
      <c r="D62">
        <v>540</v>
      </c>
      <c r="E62">
        <v>516</v>
      </c>
      <c r="F62">
        <v>493</v>
      </c>
      <c r="G62">
        <v>472</v>
      </c>
      <c r="H62">
        <v>451</v>
      </c>
      <c r="I62">
        <v>434</v>
      </c>
      <c r="J62">
        <v>417</v>
      </c>
      <c r="K62">
        <v>403</v>
      </c>
      <c r="L62">
        <v>393</v>
      </c>
      <c r="M62">
        <v>387</v>
      </c>
    </row>
    <row r="63" spans="1:13" x14ac:dyDescent="0.25">
      <c r="A63">
        <v>171090</v>
      </c>
      <c r="B63" t="str">
        <f>VLOOKUP(Tabela3[[#This Row],[IBGE]],procv!$A$2:$D$142,4,FALSE)</f>
        <v>Cerrado Tocantins Araguaia</v>
      </c>
      <c r="C63" t="s">
        <v>66</v>
      </c>
      <c r="D63">
        <v>316</v>
      </c>
      <c r="E63">
        <v>305</v>
      </c>
      <c r="F63">
        <v>297</v>
      </c>
      <c r="G63">
        <v>291</v>
      </c>
      <c r="H63">
        <v>285</v>
      </c>
      <c r="I63">
        <v>282</v>
      </c>
      <c r="J63">
        <v>278</v>
      </c>
      <c r="K63">
        <v>274</v>
      </c>
      <c r="L63">
        <v>274</v>
      </c>
      <c r="M63">
        <v>279</v>
      </c>
    </row>
    <row r="64" spans="1:13" x14ac:dyDescent="0.25">
      <c r="A64">
        <v>171110</v>
      </c>
      <c r="B64" t="str">
        <f>VLOOKUP(Tabela3[[#This Row],[IBGE]],procv!$A$2:$D$142,4,FALSE)</f>
        <v>Cerrado Tocantins Araguaia</v>
      </c>
      <c r="C64" t="s">
        <v>67</v>
      </c>
      <c r="D64">
        <v>208</v>
      </c>
      <c r="E64">
        <v>203</v>
      </c>
      <c r="F64">
        <v>201</v>
      </c>
      <c r="G64">
        <v>196</v>
      </c>
      <c r="H64">
        <v>194</v>
      </c>
      <c r="I64">
        <v>190</v>
      </c>
      <c r="J64">
        <v>187</v>
      </c>
      <c r="K64">
        <v>183</v>
      </c>
      <c r="L64">
        <v>179</v>
      </c>
      <c r="M64">
        <v>177</v>
      </c>
    </row>
    <row r="65" spans="1:13" x14ac:dyDescent="0.25">
      <c r="A65">
        <v>171150</v>
      </c>
      <c r="B65" t="str">
        <f>VLOOKUP(Tabela3[[#This Row],[IBGE]],procv!$A$2:$D$142,4,FALSE)</f>
        <v>Ilha do Bananal</v>
      </c>
      <c r="C65" t="s">
        <v>68</v>
      </c>
      <c r="D65">
        <v>298</v>
      </c>
      <c r="E65">
        <v>285</v>
      </c>
      <c r="F65">
        <v>275</v>
      </c>
      <c r="G65">
        <v>266</v>
      </c>
      <c r="H65">
        <v>256</v>
      </c>
      <c r="I65">
        <v>249</v>
      </c>
      <c r="J65">
        <v>242</v>
      </c>
      <c r="K65">
        <v>235</v>
      </c>
      <c r="L65">
        <v>231</v>
      </c>
      <c r="M65">
        <v>228</v>
      </c>
    </row>
    <row r="66" spans="1:13" x14ac:dyDescent="0.25">
      <c r="A66">
        <v>171180</v>
      </c>
      <c r="B66" t="str">
        <f>VLOOKUP(Tabela3[[#This Row],[IBGE]],procv!$A$2:$D$142,4,FALSE)</f>
        <v>Cerrado Tocantins Araguaia</v>
      </c>
      <c r="C66" t="s">
        <v>69</v>
      </c>
      <c r="D66">
        <v>194</v>
      </c>
      <c r="E66">
        <v>188</v>
      </c>
      <c r="F66">
        <v>185</v>
      </c>
      <c r="G66">
        <v>184</v>
      </c>
      <c r="H66">
        <v>185</v>
      </c>
      <c r="I66">
        <v>190</v>
      </c>
      <c r="J66">
        <v>194</v>
      </c>
      <c r="K66">
        <v>195</v>
      </c>
      <c r="L66">
        <v>191</v>
      </c>
      <c r="M66">
        <v>189</v>
      </c>
    </row>
    <row r="67" spans="1:13" x14ac:dyDescent="0.25">
      <c r="A67">
        <v>171190</v>
      </c>
      <c r="B67" t="str">
        <f>VLOOKUP(Tabela3[[#This Row],[IBGE]],procv!$A$2:$D$142,4,FALSE)</f>
        <v>Cantão</v>
      </c>
      <c r="C67" t="s">
        <v>70</v>
      </c>
      <c r="D67">
        <v>1263</v>
      </c>
      <c r="E67">
        <v>1277</v>
      </c>
      <c r="F67">
        <v>1297</v>
      </c>
      <c r="G67">
        <v>1315</v>
      </c>
      <c r="H67">
        <v>1331</v>
      </c>
      <c r="I67">
        <v>1362</v>
      </c>
      <c r="J67">
        <v>1387</v>
      </c>
      <c r="K67">
        <v>1415</v>
      </c>
      <c r="L67">
        <v>1470</v>
      </c>
      <c r="M67">
        <v>1527</v>
      </c>
    </row>
    <row r="68" spans="1:13" x14ac:dyDescent="0.25">
      <c r="A68">
        <v>171195</v>
      </c>
      <c r="B68" t="str">
        <f>VLOOKUP(Tabela3[[#This Row],[IBGE]],procv!$A$2:$D$142,4,FALSE)</f>
        <v>Capim Dourado</v>
      </c>
      <c r="C68" t="s">
        <v>71</v>
      </c>
      <c r="D68">
        <v>435</v>
      </c>
      <c r="E68">
        <v>425</v>
      </c>
      <c r="F68">
        <v>413</v>
      </c>
      <c r="G68">
        <v>402</v>
      </c>
      <c r="H68">
        <v>390</v>
      </c>
      <c r="I68">
        <v>378</v>
      </c>
      <c r="J68">
        <v>366</v>
      </c>
      <c r="K68">
        <v>356</v>
      </c>
      <c r="L68">
        <v>348</v>
      </c>
      <c r="M68">
        <v>343</v>
      </c>
    </row>
    <row r="69" spans="1:13" x14ac:dyDescent="0.25">
      <c r="A69">
        <v>171200</v>
      </c>
      <c r="B69" t="str">
        <f>VLOOKUP(Tabela3[[#This Row],[IBGE]],procv!$A$2:$D$142,4,FALSE)</f>
        <v>Capim Dourado</v>
      </c>
      <c r="C69" t="s">
        <v>72</v>
      </c>
      <c r="D69">
        <v>289</v>
      </c>
      <c r="E69">
        <v>286</v>
      </c>
      <c r="F69">
        <v>287</v>
      </c>
      <c r="G69">
        <v>286</v>
      </c>
      <c r="H69">
        <v>285</v>
      </c>
      <c r="I69">
        <v>286</v>
      </c>
      <c r="J69">
        <v>286</v>
      </c>
      <c r="K69">
        <v>286</v>
      </c>
      <c r="L69">
        <v>285</v>
      </c>
      <c r="M69">
        <v>285</v>
      </c>
    </row>
    <row r="70" spans="1:13" x14ac:dyDescent="0.25">
      <c r="A70">
        <v>171215</v>
      </c>
      <c r="B70" t="str">
        <f>VLOOKUP(Tabela3[[#This Row],[IBGE]],procv!$A$2:$D$142,4,FALSE)</f>
        <v>Sudeste</v>
      </c>
      <c r="C70" t="s">
        <v>73</v>
      </c>
      <c r="D70">
        <v>156</v>
      </c>
      <c r="E70">
        <v>152</v>
      </c>
      <c r="F70">
        <v>149</v>
      </c>
      <c r="G70">
        <v>142</v>
      </c>
      <c r="H70">
        <v>138</v>
      </c>
      <c r="I70">
        <v>133</v>
      </c>
      <c r="J70">
        <v>130</v>
      </c>
      <c r="K70">
        <v>124</v>
      </c>
      <c r="L70">
        <v>124</v>
      </c>
      <c r="M70">
        <v>124</v>
      </c>
    </row>
    <row r="71" spans="1:13" x14ac:dyDescent="0.25">
      <c r="A71">
        <v>171240</v>
      </c>
      <c r="B71" t="str">
        <f>VLOOKUP(Tabela3[[#This Row],[IBGE]],procv!$A$2:$D$142,4,FALSE)</f>
        <v>Capim Dourado</v>
      </c>
      <c r="C71" t="s">
        <v>74</v>
      </c>
      <c r="D71">
        <v>344</v>
      </c>
      <c r="E71">
        <v>325</v>
      </c>
      <c r="F71">
        <v>307</v>
      </c>
      <c r="G71">
        <v>291</v>
      </c>
      <c r="H71">
        <v>275</v>
      </c>
      <c r="I71">
        <v>263</v>
      </c>
      <c r="J71">
        <v>247</v>
      </c>
      <c r="K71">
        <v>238</v>
      </c>
      <c r="L71">
        <v>229</v>
      </c>
      <c r="M71">
        <v>231</v>
      </c>
    </row>
    <row r="72" spans="1:13" x14ac:dyDescent="0.25">
      <c r="A72">
        <v>171245</v>
      </c>
      <c r="B72" t="str">
        <f>VLOOKUP(Tabela3[[#This Row],[IBGE]],procv!$A$2:$D$142,4,FALSE)</f>
        <v>Bico do Papagaio</v>
      </c>
      <c r="C72" t="s">
        <v>75</v>
      </c>
      <c r="D72">
        <v>286</v>
      </c>
      <c r="E72">
        <v>283</v>
      </c>
      <c r="F72">
        <v>277</v>
      </c>
      <c r="G72">
        <v>265</v>
      </c>
      <c r="H72">
        <v>253</v>
      </c>
      <c r="I72">
        <v>240</v>
      </c>
      <c r="J72">
        <v>229</v>
      </c>
      <c r="K72">
        <v>221</v>
      </c>
      <c r="L72">
        <v>217</v>
      </c>
      <c r="M72">
        <v>218</v>
      </c>
    </row>
    <row r="73" spans="1:13" x14ac:dyDescent="0.25">
      <c r="A73">
        <v>171250</v>
      </c>
      <c r="B73" t="str">
        <f>VLOOKUP(Tabela3[[#This Row],[IBGE]],procv!$A$2:$D$142,4,FALSE)</f>
        <v>Cantão</v>
      </c>
      <c r="C73" t="s">
        <v>76</v>
      </c>
      <c r="D73">
        <v>422</v>
      </c>
      <c r="E73">
        <v>415</v>
      </c>
      <c r="F73">
        <v>406</v>
      </c>
      <c r="G73">
        <v>397</v>
      </c>
      <c r="H73">
        <v>390</v>
      </c>
      <c r="I73">
        <v>386</v>
      </c>
      <c r="J73">
        <v>381</v>
      </c>
      <c r="K73">
        <v>374</v>
      </c>
      <c r="L73">
        <v>374</v>
      </c>
      <c r="M73">
        <v>370</v>
      </c>
    </row>
    <row r="74" spans="1:13" x14ac:dyDescent="0.25">
      <c r="A74">
        <v>171270</v>
      </c>
      <c r="B74" t="str">
        <f>VLOOKUP(Tabela3[[#This Row],[IBGE]],procv!$A$2:$D$142,4,FALSE)</f>
        <v>Amor Perfeito</v>
      </c>
      <c r="C74" t="s">
        <v>77</v>
      </c>
      <c r="D74">
        <v>299</v>
      </c>
      <c r="E74">
        <v>298</v>
      </c>
      <c r="F74">
        <v>294</v>
      </c>
      <c r="G74">
        <v>282</v>
      </c>
      <c r="H74">
        <v>266</v>
      </c>
      <c r="I74">
        <v>248</v>
      </c>
      <c r="J74">
        <v>236</v>
      </c>
      <c r="K74">
        <v>228</v>
      </c>
      <c r="L74">
        <v>227</v>
      </c>
      <c r="M74">
        <v>234</v>
      </c>
    </row>
    <row r="75" spans="1:13" x14ac:dyDescent="0.25">
      <c r="A75">
        <v>171280</v>
      </c>
      <c r="B75" t="str">
        <f>VLOOKUP(Tabela3[[#This Row],[IBGE]],procv!$A$2:$D$142,4,FALSE)</f>
        <v>Bico do Papagaio</v>
      </c>
      <c r="C75" t="s">
        <v>78</v>
      </c>
      <c r="D75">
        <v>321</v>
      </c>
      <c r="E75">
        <v>315</v>
      </c>
      <c r="F75">
        <v>310</v>
      </c>
      <c r="G75">
        <v>303</v>
      </c>
      <c r="H75">
        <v>298</v>
      </c>
      <c r="I75">
        <v>299</v>
      </c>
      <c r="J75">
        <v>296</v>
      </c>
      <c r="K75">
        <v>291</v>
      </c>
      <c r="L75">
        <v>284</v>
      </c>
      <c r="M75">
        <v>280</v>
      </c>
    </row>
    <row r="76" spans="1:13" x14ac:dyDescent="0.25">
      <c r="A76">
        <v>171320</v>
      </c>
      <c r="B76" t="str">
        <f>VLOOKUP(Tabela3[[#This Row],[IBGE]],procv!$A$2:$D$142,4,FALSE)</f>
        <v>Capim Dourado</v>
      </c>
      <c r="C76" t="s">
        <v>79</v>
      </c>
      <c r="D76">
        <v>1664</v>
      </c>
      <c r="E76">
        <v>1587</v>
      </c>
      <c r="F76">
        <v>1530</v>
      </c>
      <c r="G76">
        <v>1489</v>
      </c>
      <c r="H76">
        <v>1457</v>
      </c>
      <c r="I76">
        <v>1441</v>
      </c>
      <c r="J76">
        <v>1416</v>
      </c>
      <c r="K76">
        <v>1380</v>
      </c>
      <c r="L76">
        <v>1353</v>
      </c>
      <c r="M76">
        <v>1316</v>
      </c>
    </row>
    <row r="77" spans="1:13" x14ac:dyDescent="0.25">
      <c r="A77">
        <v>171330</v>
      </c>
      <c r="B77" t="str">
        <f>VLOOKUP(Tabela3[[#This Row],[IBGE]],procv!$A$2:$D$142,4,FALSE)</f>
        <v>Capim Dourado</v>
      </c>
      <c r="C77" t="s">
        <v>80</v>
      </c>
      <c r="D77">
        <v>1031</v>
      </c>
      <c r="E77">
        <v>1001</v>
      </c>
      <c r="F77">
        <v>978</v>
      </c>
      <c r="G77">
        <v>958</v>
      </c>
      <c r="H77">
        <v>943</v>
      </c>
      <c r="I77">
        <v>935</v>
      </c>
      <c r="J77">
        <v>924</v>
      </c>
      <c r="K77">
        <v>915</v>
      </c>
      <c r="L77">
        <v>918</v>
      </c>
      <c r="M77">
        <v>919</v>
      </c>
    </row>
    <row r="78" spans="1:13" x14ac:dyDescent="0.25">
      <c r="A78">
        <v>171360</v>
      </c>
      <c r="B78" t="str">
        <f>VLOOKUP(Tabela3[[#This Row],[IBGE]],procv!$A$2:$D$142,4,FALSE)</f>
        <v>Amor Perfeito</v>
      </c>
      <c r="C78" t="s">
        <v>81</v>
      </c>
      <c r="D78">
        <v>604</v>
      </c>
      <c r="E78">
        <v>582</v>
      </c>
      <c r="F78">
        <v>562</v>
      </c>
      <c r="G78">
        <v>542</v>
      </c>
      <c r="H78">
        <v>523</v>
      </c>
      <c r="I78">
        <v>506</v>
      </c>
      <c r="J78">
        <v>488</v>
      </c>
      <c r="K78">
        <v>471</v>
      </c>
      <c r="L78">
        <v>459</v>
      </c>
      <c r="M78">
        <v>447</v>
      </c>
    </row>
    <row r="79" spans="1:13" x14ac:dyDescent="0.25">
      <c r="A79">
        <v>171370</v>
      </c>
      <c r="B79" t="str">
        <f>VLOOKUP(Tabela3[[#This Row],[IBGE]],procv!$A$2:$D$142,4,FALSE)</f>
        <v>Cantão</v>
      </c>
      <c r="C79" t="s">
        <v>82</v>
      </c>
      <c r="D79">
        <v>173</v>
      </c>
      <c r="E79">
        <v>171</v>
      </c>
      <c r="F79">
        <v>171</v>
      </c>
      <c r="G79">
        <v>175</v>
      </c>
      <c r="H79">
        <v>179</v>
      </c>
      <c r="I79">
        <v>188</v>
      </c>
      <c r="J79">
        <v>191</v>
      </c>
      <c r="K79">
        <v>189</v>
      </c>
      <c r="L79">
        <v>183</v>
      </c>
      <c r="M79">
        <v>180</v>
      </c>
    </row>
    <row r="80" spans="1:13" x14ac:dyDescent="0.25">
      <c r="A80">
        <v>171380</v>
      </c>
      <c r="B80" t="str">
        <f>VLOOKUP(Tabela3[[#This Row],[IBGE]],procv!$A$2:$D$142,4,FALSE)</f>
        <v>Bico do Papagaio</v>
      </c>
      <c r="C80" t="s">
        <v>94</v>
      </c>
      <c r="D80">
        <v>509</v>
      </c>
      <c r="E80">
        <v>490</v>
      </c>
      <c r="F80">
        <v>476</v>
      </c>
      <c r="G80">
        <v>461</v>
      </c>
      <c r="H80">
        <v>448</v>
      </c>
      <c r="I80">
        <v>438</v>
      </c>
      <c r="J80">
        <v>425</v>
      </c>
      <c r="K80">
        <v>411</v>
      </c>
      <c r="L80">
        <v>396</v>
      </c>
      <c r="M80">
        <v>379</v>
      </c>
    </row>
    <row r="81" spans="1:13" x14ac:dyDescent="0.25">
      <c r="A81">
        <v>171395</v>
      </c>
      <c r="B81" t="str">
        <f>VLOOKUP(Tabela3[[#This Row],[IBGE]],procv!$A$2:$D$142,4,FALSE)</f>
        <v>Médio Norte Araguaia</v>
      </c>
      <c r="C81" t="s">
        <v>83</v>
      </c>
      <c r="D81">
        <v>321</v>
      </c>
      <c r="E81">
        <v>313</v>
      </c>
      <c r="F81">
        <v>306</v>
      </c>
      <c r="G81">
        <v>301</v>
      </c>
      <c r="H81">
        <v>299</v>
      </c>
      <c r="I81">
        <v>299</v>
      </c>
      <c r="J81">
        <v>296</v>
      </c>
      <c r="K81">
        <v>294</v>
      </c>
      <c r="L81">
        <v>290</v>
      </c>
      <c r="M81">
        <v>290</v>
      </c>
    </row>
    <row r="82" spans="1:13" x14ac:dyDescent="0.25">
      <c r="A82">
        <v>171420</v>
      </c>
      <c r="B82" t="str">
        <f>VLOOKUP(Tabela3[[#This Row],[IBGE]],procv!$A$2:$D$142,4,FALSE)</f>
        <v>Amor Perfeito</v>
      </c>
      <c r="C82" t="s">
        <v>84</v>
      </c>
      <c r="D82">
        <v>781</v>
      </c>
      <c r="E82">
        <v>759</v>
      </c>
      <c r="F82">
        <v>739</v>
      </c>
      <c r="G82">
        <v>716</v>
      </c>
      <c r="H82">
        <v>692</v>
      </c>
      <c r="I82">
        <v>675</v>
      </c>
      <c r="J82">
        <v>658</v>
      </c>
      <c r="K82">
        <v>645</v>
      </c>
      <c r="L82">
        <v>644</v>
      </c>
      <c r="M82">
        <v>649</v>
      </c>
    </row>
    <row r="83" spans="1:13" x14ac:dyDescent="0.25">
      <c r="A83">
        <v>171430</v>
      </c>
      <c r="B83" t="str">
        <f>VLOOKUP(Tabela3[[#This Row],[IBGE]],procv!$A$2:$D$142,4,FALSE)</f>
        <v>Bico do Papagaio</v>
      </c>
      <c r="C83" t="s">
        <v>85</v>
      </c>
      <c r="D83">
        <v>414</v>
      </c>
      <c r="E83">
        <v>403</v>
      </c>
      <c r="F83">
        <v>390</v>
      </c>
      <c r="G83">
        <v>374</v>
      </c>
      <c r="H83">
        <v>360</v>
      </c>
      <c r="I83">
        <v>348</v>
      </c>
      <c r="J83">
        <v>335</v>
      </c>
      <c r="K83">
        <v>326</v>
      </c>
      <c r="L83">
        <v>324</v>
      </c>
      <c r="M83">
        <v>325</v>
      </c>
    </row>
    <row r="84" spans="1:13" x14ac:dyDescent="0.25">
      <c r="A84">
        <v>171488</v>
      </c>
      <c r="B84" t="str">
        <f>VLOOKUP(Tabela3[[#This Row],[IBGE]],procv!$A$2:$D$142,4,FALSE)</f>
        <v>Médio Norte Araguaia</v>
      </c>
      <c r="C84" t="s">
        <v>86</v>
      </c>
      <c r="D84">
        <v>1035</v>
      </c>
      <c r="E84">
        <v>1012</v>
      </c>
      <c r="F84">
        <v>992</v>
      </c>
      <c r="G84">
        <v>970</v>
      </c>
      <c r="H84">
        <v>949</v>
      </c>
      <c r="I84">
        <v>935</v>
      </c>
      <c r="J84">
        <v>913</v>
      </c>
      <c r="K84">
        <v>891</v>
      </c>
      <c r="L84">
        <v>873</v>
      </c>
      <c r="M84">
        <v>848</v>
      </c>
    </row>
    <row r="85" spans="1:13" x14ac:dyDescent="0.25">
      <c r="A85">
        <v>171500</v>
      </c>
      <c r="B85" t="str">
        <f>VLOOKUP(Tabela3[[#This Row],[IBGE]],procv!$A$2:$D$142,4,FALSE)</f>
        <v>Cantão</v>
      </c>
      <c r="C85" t="s">
        <v>87</v>
      </c>
      <c r="D85">
        <v>322</v>
      </c>
      <c r="E85">
        <v>308</v>
      </c>
      <c r="F85">
        <v>295</v>
      </c>
      <c r="G85">
        <v>288</v>
      </c>
      <c r="H85">
        <v>281</v>
      </c>
      <c r="I85">
        <v>278</v>
      </c>
      <c r="J85">
        <v>273</v>
      </c>
      <c r="K85">
        <v>267</v>
      </c>
      <c r="L85">
        <v>264</v>
      </c>
      <c r="M85">
        <v>265</v>
      </c>
    </row>
    <row r="86" spans="1:13" x14ac:dyDescent="0.25">
      <c r="A86">
        <v>171510</v>
      </c>
      <c r="B86" t="str">
        <f>VLOOKUP(Tabela3[[#This Row],[IBGE]],procv!$A$2:$D$142,4,FALSE)</f>
        <v>Capim Dourado</v>
      </c>
      <c r="C86" t="s">
        <v>88</v>
      </c>
      <c r="D86">
        <v>372</v>
      </c>
      <c r="E86">
        <v>362</v>
      </c>
      <c r="F86">
        <v>359</v>
      </c>
      <c r="G86">
        <v>355</v>
      </c>
      <c r="H86">
        <v>354</v>
      </c>
      <c r="I86">
        <v>357</v>
      </c>
      <c r="J86">
        <v>356</v>
      </c>
      <c r="K86">
        <v>353</v>
      </c>
      <c r="L86">
        <v>352</v>
      </c>
      <c r="M86">
        <v>348</v>
      </c>
    </row>
    <row r="87" spans="1:13" x14ac:dyDescent="0.25">
      <c r="A87">
        <v>171515</v>
      </c>
      <c r="B87" t="str">
        <f>VLOOKUP(Tabela3[[#This Row],[IBGE]],procv!$A$2:$D$142,4,FALSE)</f>
        <v>Sudeste</v>
      </c>
      <c r="C87" t="s">
        <v>89</v>
      </c>
      <c r="D87">
        <v>168</v>
      </c>
      <c r="E87">
        <v>162</v>
      </c>
      <c r="F87">
        <v>156</v>
      </c>
      <c r="G87">
        <v>147</v>
      </c>
      <c r="H87">
        <v>138</v>
      </c>
      <c r="I87">
        <v>127</v>
      </c>
      <c r="J87">
        <v>118</v>
      </c>
      <c r="K87">
        <v>110</v>
      </c>
      <c r="L87">
        <v>103</v>
      </c>
      <c r="M87">
        <v>100</v>
      </c>
    </row>
    <row r="88" spans="1:13" x14ac:dyDescent="0.25">
      <c r="A88">
        <v>171525</v>
      </c>
      <c r="B88" t="str">
        <f>VLOOKUP(Tabela3[[#This Row],[IBGE]],procv!$A$2:$D$142,4,FALSE)</f>
        <v>Sudeste</v>
      </c>
      <c r="C88" t="s">
        <v>90</v>
      </c>
      <c r="D88">
        <v>256</v>
      </c>
      <c r="E88">
        <v>242</v>
      </c>
      <c r="F88">
        <v>231</v>
      </c>
      <c r="G88">
        <v>221</v>
      </c>
      <c r="H88">
        <v>212</v>
      </c>
      <c r="I88">
        <v>205</v>
      </c>
      <c r="J88">
        <v>198</v>
      </c>
      <c r="K88">
        <v>194</v>
      </c>
      <c r="L88">
        <v>192</v>
      </c>
      <c r="M88">
        <v>193</v>
      </c>
    </row>
    <row r="89" spans="1:13" x14ac:dyDescent="0.25">
      <c r="A89">
        <v>171550</v>
      </c>
      <c r="B89" t="str">
        <f>VLOOKUP(Tabela3[[#This Row],[IBGE]],procv!$A$2:$D$142,4,FALSE)</f>
        <v>Amor Perfeito</v>
      </c>
      <c r="C89" t="s">
        <v>91</v>
      </c>
      <c r="D89">
        <v>112</v>
      </c>
      <c r="E89">
        <v>109</v>
      </c>
      <c r="F89">
        <v>109</v>
      </c>
      <c r="G89">
        <v>109</v>
      </c>
      <c r="H89">
        <v>107</v>
      </c>
      <c r="I89">
        <v>108</v>
      </c>
      <c r="J89">
        <v>106</v>
      </c>
      <c r="K89">
        <v>106</v>
      </c>
      <c r="L89">
        <v>107</v>
      </c>
      <c r="M89">
        <v>109</v>
      </c>
    </row>
    <row r="90" spans="1:13" x14ac:dyDescent="0.25">
      <c r="A90">
        <v>171570</v>
      </c>
      <c r="B90" t="str">
        <f>VLOOKUP(Tabela3[[#This Row],[IBGE]],procv!$A$2:$D$142,4,FALSE)</f>
        <v>Cerrado Tocantins Araguaia</v>
      </c>
      <c r="C90" t="s">
        <v>93</v>
      </c>
      <c r="D90">
        <v>489</v>
      </c>
      <c r="E90">
        <v>471</v>
      </c>
      <c r="F90">
        <v>453</v>
      </c>
      <c r="G90">
        <v>434</v>
      </c>
      <c r="H90">
        <v>413</v>
      </c>
      <c r="I90">
        <v>396</v>
      </c>
      <c r="J90">
        <v>379</v>
      </c>
      <c r="K90">
        <v>364</v>
      </c>
      <c r="L90">
        <v>360</v>
      </c>
      <c r="M90">
        <v>357</v>
      </c>
    </row>
    <row r="91" spans="1:13" x14ac:dyDescent="0.25">
      <c r="A91">
        <v>171575</v>
      </c>
      <c r="B91" t="str">
        <f>VLOOKUP(Tabela3[[#This Row],[IBGE]],procv!$A$2:$D$142,4,FALSE)</f>
        <v>Ilha do Bananal</v>
      </c>
      <c r="C91" t="s">
        <v>95</v>
      </c>
      <c r="D91">
        <v>567</v>
      </c>
      <c r="E91">
        <v>544</v>
      </c>
      <c r="F91">
        <v>529</v>
      </c>
      <c r="G91">
        <v>513</v>
      </c>
      <c r="H91">
        <v>501</v>
      </c>
      <c r="I91">
        <v>497</v>
      </c>
      <c r="J91">
        <v>489</v>
      </c>
      <c r="K91">
        <v>480</v>
      </c>
      <c r="L91">
        <v>480</v>
      </c>
      <c r="M91">
        <v>478</v>
      </c>
    </row>
    <row r="92" spans="1:13" x14ac:dyDescent="0.25">
      <c r="A92">
        <v>171610</v>
      </c>
      <c r="B92" t="str">
        <f>VLOOKUP(Tabela3[[#This Row],[IBGE]],procv!$A$2:$D$142,4,FALSE)</f>
        <v>Cantão</v>
      </c>
      <c r="C92" t="s">
        <v>96</v>
      </c>
      <c r="D92">
        <v>3868</v>
      </c>
      <c r="E92">
        <v>3836</v>
      </c>
      <c r="F92">
        <v>3843</v>
      </c>
      <c r="G92">
        <v>3868</v>
      </c>
      <c r="H92">
        <v>3917</v>
      </c>
      <c r="I92">
        <v>4007</v>
      </c>
      <c r="J92">
        <v>4067</v>
      </c>
      <c r="K92">
        <v>4111</v>
      </c>
      <c r="L92">
        <v>4180</v>
      </c>
      <c r="M92">
        <v>4221</v>
      </c>
    </row>
    <row r="93" spans="1:13" x14ac:dyDescent="0.25">
      <c r="A93">
        <v>171620</v>
      </c>
      <c r="B93" t="str">
        <f>VLOOKUP(Tabela3[[#This Row],[IBGE]],procv!$A$2:$D$142,4,FALSE)</f>
        <v>Sudeste</v>
      </c>
      <c r="C93" t="s">
        <v>97</v>
      </c>
      <c r="D93">
        <v>1006</v>
      </c>
      <c r="E93">
        <v>981</v>
      </c>
      <c r="F93">
        <v>959</v>
      </c>
      <c r="G93">
        <v>932</v>
      </c>
      <c r="H93">
        <v>906</v>
      </c>
      <c r="I93">
        <v>887</v>
      </c>
      <c r="J93">
        <v>863</v>
      </c>
      <c r="K93">
        <v>839</v>
      </c>
      <c r="L93">
        <v>829</v>
      </c>
      <c r="M93">
        <v>816</v>
      </c>
    </row>
    <row r="94" spans="1:13" x14ac:dyDescent="0.25">
      <c r="A94">
        <v>171630</v>
      </c>
      <c r="B94" t="str">
        <f>VLOOKUP(Tabela3[[#This Row],[IBGE]],procv!$A$2:$D$142,4,FALSE)</f>
        <v>Médio Norte Araguaia</v>
      </c>
      <c r="C94" t="s">
        <v>98</v>
      </c>
      <c r="D94">
        <v>382</v>
      </c>
      <c r="E94">
        <v>372</v>
      </c>
      <c r="F94">
        <v>365</v>
      </c>
      <c r="G94">
        <v>357</v>
      </c>
      <c r="H94">
        <v>353</v>
      </c>
      <c r="I94">
        <v>352</v>
      </c>
      <c r="J94">
        <v>350</v>
      </c>
      <c r="K94">
        <v>344</v>
      </c>
      <c r="L94">
        <v>341</v>
      </c>
      <c r="M94">
        <v>335</v>
      </c>
    </row>
    <row r="95" spans="1:13" x14ac:dyDescent="0.25">
      <c r="A95">
        <v>171650</v>
      </c>
      <c r="B95" t="str">
        <f>VLOOKUP(Tabela3[[#This Row],[IBGE]],procv!$A$2:$D$142,4,FALSE)</f>
        <v>Cerrado Tocantins Araguaia</v>
      </c>
      <c r="C95" t="s">
        <v>99</v>
      </c>
      <c r="D95">
        <v>1081</v>
      </c>
      <c r="E95">
        <v>1086</v>
      </c>
      <c r="F95">
        <v>1098</v>
      </c>
      <c r="G95">
        <v>1110</v>
      </c>
      <c r="H95">
        <v>1124</v>
      </c>
      <c r="I95">
        <v>1147</v>
      </c>
      <c r="J95">
        <v>1167</v>
      </c>
      <c r="K95">
        <v>1177</v>
      </c>
      <c r="L95">
        <v>1197</v>
      </c>
      <c r="M95">
        <v>1207</v>
      </c>
    </row>
    <row r="96" spans="1:13" x14ac:dyDescent="0.25">
      <c r="A96">
        <v>171660</v>
      </c>
      <c r="B96" t="str">
        <f>VLOOKUP(Tabela3[[#This Row],[IBGE]],procv!$A$2:$D$142,4,FALSE)</f>
        <v>Ilha do Bananal</v>
      </c>
      <c r="C96" t="s">
        <v>100</v>
      </c>
      <c r="D96">
        <v>821</v>
      </c>
      <c r="E96">
        <v>785</v>
      </c>
      <c r="F96">
        <v>760</v>
      </c>
      <c r="G96">
        <v>737</v>
      </c>
      <c r="H96">
        <v>718</v>
      </c>
      <c r="I96">
        <v>707</v>
      </c>
      <c r="J96">
        <v>691</v>
      </c>
      <c r="K96">
        <v>679</v>
      </c>
      <c r="L96">
        <v>675</v>
      </c>
      <c r="M96">
        <v>669</v>
      </c>
    </row>
    <row r="97" spans="1:13" x14ac:dyDescent="0.25">
      <c r="A97">
        <v>171665</v>
      </c>
      <c r="B97" t="str">
        <f>VLOOKUP(Tabela3[[#This Row],[IBGE]],procv!$A$2:$D$142,4,FALSE)</f>
        <v>Cerrado Tocantins Araguaia</v>
      </c>
      <c r="C97" t="s">
        <v>101</v>
      </c>
      <c r="D97">
        <v>437</v>
      </c>
      <c r="E97">
        <v>419</v>
      </c>
      <c r="F97">
        <v>407</v>
      </c>
      <c r="G97">
        <v>395</v>
      </c>
      <c r="H97">
        <v>387</v>
      </c>
      <c r="I97">
        <v>384</v>
      </c>
      <c r="J97">
        <v>377</v>
      </c>
      <c r="K97">
        <v>367</v>
      </c>
      <c r="L97">
        <v>359</v>
      </c>
      <c r="M97">
        <v>355</v>
      </c>
    </row>
    <row r="98" spans="1:13" x14ac:dyDescent="0.25">
      <c r="A98">
        <v>171670</v>
      </c>
      <c r="B98" t="str">
        <f>VLOOKUP(Tabela3[[#This Row],[IBGE]],procv!$A$2:$D$142,4,FALSE)</f>
        <v>Cerrado Tocantins Araguaia</v>
      </c>
      <c r="C98" t="s">
        <v>43</v>
      </c>
      <c r="D98">
        <v>692</v>
      </c>
      <c r="E98">
        <v>670</v>
      </c>
      <c r="F98">
        <v>655</v>
      </c>
      <c r="G98">
        <v>643</v>
      </c>
      <c r="H98">
        <v>636</v>
      </c>
      <c r="I98">
        <v>633</v>
      </c>
      <c r="J98">
        <v>628</v>
      </c>
      <c r="K98">
        <v>623</v>
      </c>
      <c r="L98">
        <v>626</v>
      </c>
      <c r="M98">
        <v>626</v>
      </c>
    </row>
    <row r="99" spans="1:13" x14ac:dyDescent="0.25">
      <c r="A99">
        <v>171700</v>
      </c>
      <c r="B99" t="str">
        <f>VLOOKUP(Tabela3[[#This Row],[IBGE]],procv!$A$2:$D$142,4,FALSE)</f>
        <v>Amor Perfeito</v>
      </c>
      <c r="C99" t="s">
        <v>102</v>
      </c>
      <c r="D99">
        <v>427</v>
      </c>
      <c r="E99">
        <v>416</v>
      </c>
      <c r="F99">
        <v>405</v>
      </c>
      <c r="G99">
        <v>397</v>
      </c>
      <c r="H99">
        <v>391</v>
      </c>
      <c r="I99">
        <v>390</v>
      </c>
      <c r="J99">
        <v>386</v>
      </c>
      <c r="K99">
        <v>378</v>
      </c>
      <c r="L99">
        <v>367</v>
      </c>
      <c r="M99">
        <v>356</v>
      </c>
    </row>
    <row r="100" spans="1:13" x14ac:dyDescent="0.25">
      <c r="A100">
        <v>171720</v>
      </c>
      <c r="B100" t="str">
        <f>VLOOKUP(Tabela3[[#This Row],[IBGE]],procv!$A$2:$D$142,4,FALSE)</f>
        <v>Médio Norte Araguaia</v>
      </c>
      <c r="C100" t="s">
        <v>103</v>
      </c>
      <c r="D100">
        <v>210</v>
      </c>
      <c r="E100">
        <v>193</v>
      </c>
      <c r="F100">
        <v>185</v>
      </c>
      <c r="G100">
        <v>180</v>
      </c>
      <c r="H100">
        <v>178</v>
      </c>
      <c r="I100">
        <v>177</v>
      </c>
      <c r="J100">
        <v>176</v>
      </c>
      <c r="K100">
        <v>173</v>
      </c>
      <c r="L100">
        <v>170</v>
      </c>
      <c r="M100">
        <v>168</v>
      </c>
    </row>
    <row r="101" spans="1:13" x14ac:dyDescent="0.25">
      <c r="A101">
        <v>171750</v>
      </c>
      <c r="B101" t="str">
        <f>VLOOKUP(Tabela3[[#This Row],[IBGE]],procv!$A$2:$D$142,4,FALSE)</f>
        <v>Cantão</v>
      </c>
      <c r="C101" t="s">
        <v>104</v>
      </c>
      <c r="D101">
        <v>631</v>
      </c>
      <c r="E101">
        <v>619</v>
      </c>
      <c r="F101">
        <v>615</v>
      </c>
      <c r="G101">
        <v>613</v>
      </c>
      <c r="H101">
        <v>616</v>
      </c>
      <c r="I101">
        <v>625</v>
      </c>
      <c r="J101">
        <v>631</v>
      </c>
      <c r="K101">
        <v>633</v>
      </c>
      <c r="L101">
        <v>639</v>
      </c>
      <c r="M101">
        <v>640</v>
      </c>
    </row>
    <row r="102" spans="1:13" x14ac:dyDescent="0.25">
      <c r="A102">
        <v>171780</v>
      </c>
      <c r="B102" t="str">
        <f>VLOOKUP(Tabela3[[#This Row],[IBGE]],procv!$A$2:$D$142,4,FALSE)</f>
        <v>Sudeste</v>
      </c>
      <c r="C102" t="s">
        <v>105</v>
      </c>
      <c r="D102">
        <v>383</v>
      </c>
      <c r="E102">
        <v>371</v>
      </c>
      <c r="F102">
        <v>360</v>
      </c>
      <c r="G102">
        <v>352</v>
      </c>
      <c r="H102">
        <v>345</v>
      </c>
      <c r="I102">
        <v>338</v>
      </c>
      <c r="J102">
        <v>329</v>
      </c>
      <c r="K102">
        <v>319</v>
      </c>
      <c r="L102">
        <v>306</v>
      </c>
      <c r="M102">
        <v>298</v>
      </c>
    </row>
    <row r="103" spans="1:13" x14ac:dyDescent="0.25">
      <c r="A103">
        <v>171790</v>
      </c>
      <c r="B103" t="str">
        <f>VLOOKUP(Tabela3[[#This Row],[IBGE]],procv!$A$2:$D$142,4,FALSE)</f>
        <v>Amor Perfeito</v>
      </c>
      <c r="C103" t="s">
        <v>106</v>
      </c>
      <c r="D103">
        <v>712</v>
      </c>
      <c r="E103">
        <v>698</v>
      </c>
      <c r="F103">
        <v>690</v>
      </c>
      <c r="G103">
        <v>684</v>
      </c>
      <c r="H103">
        <v>678</v>
      </c>
      <c r="I103">
        <v>679</v>
      </c>
      <c r="J103">
        <v>674</v>
      </c>
      <c r="K103">
        <v>666</v>
      </c>
      <c r="L103">
        <v>662</v>
      </c>
      <c r="M103">
        <v>657</v>
      </c>
    </row>
    <row r="104" spans="1:13" x14ac:dyDescent="0.25">
      <c r="A104">
        <v>171800</v>
      </c>
      <c r="B104" t="str">
        <f>VLOOKUP(Tabela3[[#This Row],[IBGE]],procv!$A$2:$D$142,4,FALSE)</f>
        <v>Sudeste</v>
      </c>
      <c r="C104" t="s">
        <v>107</v>
      </c>
      <c r="D104">
        <v>264</v>
      </c>
      <c r="E104">
        <v>261</v>
      </c>
      <c r="F104">
        <v>261</v>
      </c>
      <c r="G104">
        <v>260</v>
      </c>
      <c r="H104">
        <v>260</v>
      </c>
      <c r="I104">
        <v>262</v>
      </c>
      <c r="J104">
        <v>264</v>
      </c>
      <c r="K104">
        <v>261</v>
      </c>
      <c r="L104">
        <v>259</v>
      </c>
      <c r="M104">
        <v>255</v>
      </c>
    </row>
    <row r="105" spans="1:13" x14ac:dyDescent="0.25">
      <c r="A105">
        <v>171820</v>
      </c>
      <c r="B105" t="str">
        <f>VLOOKUP(Tabela3[[#This Row],[IBGE]],procv!$A$2:$D$142,4,FALSE)</f>
        <v>Amor Perfeito</v>
      </c>
      <c r="C105" t="s">
        <v>108</v>
      </c>
      <c r="D105">
        <v>4863</v>
      </c>
      <c r="E105">
        <v>4900</v>
      </c>
      <c r="F105">
        <v>4971</v>
      </c>
      <c r="G105">
        <v>5047</v>
      </c>
      <c r="H105">
        <v>5137</v>
      </c>
      <c r="I105">
        <v>5276</v>
      </c>
      <c r="J105">
        <v>5375</v>
      </c>
      <c r="K105">
        <v>5455</v>
      </c>
      <c r="L105">
        <v>5570</v>
      </c>
      <c r="M105">
        <v>5652</v>
      </c>
    </row>
    <row r="106" spans="1:13" x14ac:dyDescent="0.25">
      <c r="A106">
        <v>171830</v>
      </c>
      <c r="B106" t="str">
        <f>VLOOKUP(Tabela3[[#This Row],[IBGE]],procv!$A$2:$D$142,4,FALSE)</f>
        <v>Bico do Papagaio</v>
      </c>
      <c r="C106" t="s">
        <v>109</v>
      </c>
      <c r="D106">
        <v>942</v>
      </c>
      <c r="E106">
        <v>932</v>
      </c>
      <c r="F106">
        <v>928</v>
      </c>
      <c r="G106">
        <v>927</v>
      </c>
      <c r="H106">
        <v>927</v>
      </c>
      <c r="I106">
        <v>934</v>
      </c>
      <c r="J106">
        <v>931</v>
      </c>
      <c r="K106">
        <v>919</v>
      </c>
      <c r="L106">
        <v>905</v>
      </c>
      <c r="M106">
        <v>883</v>
      </c>
    </row>
    <row r="107" spans="1:13" x14ac:dyDescent="0.25">
      <c r="A107">
        <v>171840</v>
      </c>
      <c r="B107" t="str">
        <f>VLOOKUP(Tabela3[[#This Row],[IBGE]],procv!$A$2:$D$142,4,FALSE)</f>
        <v>Cerrado Tocantins Araguaia</v>
      </c>
      <c r="C107" t="s">
        <v>110</v>
      </c>
      <c r="D107">
        <v>278</v>
      </c>
      <c r="E107">
        <v>259</v>
      </c>
      <c r="F107">
        <v>247</v>
      </c>
      <c r="G107">
        <v>240</v>
      </c>
      <c r="H107">
        <v>236</v>
      </c>
      <c r="I107">
        <v>238</v>
      </c>
      <c r="J107">
        <v>235</v>
      </c>
      <c r="K107">
        <v>232</v>
      </c>
      <c r="L107">
        <v>223</v>
      </c>
      <c r="M107">
        <v>216</v>
      </c>
    </row>
    <row r="108" spans="1:13" x14ac:dyDescent="0.25">
      <c r="A108">
        <v>171845</v>
      </c>
      <c r="B108" t="str">
        <f>VLOOKUP(Tabela3[[#This Row],[IBGE]],procv!$A$2:$D$142,4,FALSE)</f>
        <v>Cantão</v>
      </c>
      <c r="C108" t="s">
        <v>111</v>
      </c>
      <c r="D108">
        <v>227</v>
      </c>
      <c r="E108">
        <v>217</v>
      </c>
      <c r="F108">
        <v>211</v>
      </c>
      <c r="G108">
        <v>203</v>
      </c>
      <c r="H108">
        <v>198</v>
      </c>
      <c r="I108">
        <v>192</v>
      </c>
      <c r="J108">
        <v>187</v>
      </c>
      <c r="K108">
        <v>182</v>
      </c>
      <c r="L108">
        <v>171</v>
      </c>
      <c r="M108">
        <v>166</v>
      </c>
    </row>
    <row r="109" spans="1:13" x14ac:dyDescent="0.25">
      <c r="A109">
        <v>171850</v>
      </c>
      <c r="B109" t="str">
        <f>VLOOKUP(Tabela3[[#This Row],[IBGE]],procv!$A$2:$D$142,4,FALSE)</f>
        <v>Cerrado Tocantins Araguaia</v>
      </c>
      <c r="C109" t="s">
        <v>112</v>
      </c>
      <c r="D109">
        <v>417</v>
      </c>
      <c r="E109">
        <v>394</v>
      </c>
      <c r="F109">
        <v>371</v>
      </c>
      <c r="G109">
        <v>354</v>
      </c>
      <c r="H109">
        <v>336</v>
      </c>
      <c r="I109">
        <v>320</v>
      </c>
      <c r="J109">
        <v>306</v>
      </c>
      <c r="K109">
        <v>293</v>
      </c>
      <c r="L109">
        <v>287</v>
      </c>
      <c r="M109">
        <v>285</v>
      </c>
    </row>
    <row r="110" spans="1:13" x14ac:dyDescent="0.25">
      <c r="A110">
        <v>171855</v>
      </c>
      <c r="B110" t="str">
        <f>VLOOKUP(Tabela3[[#This Row],[IBGE]],procv!$A$2:$D$142,4,FALSE)</f>
        <v>Bico do Papagaio</v>
      </c>
      <c r="C110" t="s">
        <v>113</v>
      </c>
      <c r="D110">
        <v>401</v>
      </c>
      <c r="E110">
        <v>391</v>
      </c>
      <c r="F110">
        <v>382</v>
      </c>
      <c r="G110">
        <v>371</v>
      </c>
      <c r="H110">
        <v>362</v>
      </c>
      <c r="I110">
        <v>358</v>
      </c>
      <c r="J110">
        <v>350</v>
      </c>
      <c r="K110">
        <v>341</v>
      </c>
      <c r="L110">
        <v>330</v>
      </c>
      <c r="M110">
        <v>319</v>
      </c>
    </row>
    <row r="111" spans="1:13" x14ac:dyDescent="0.25">
      <c r="A111">
        <v>171865</v>
      </c>
      <c r="B111" t="str">
        <f>VLOOKUP(Tabela3[[#This Row],[IBGE]],procv!$A$2:$D$142,4,FALSE)</f>
        <v>Sudeste</v>
      </c>
      <c r="C111" t="s">
        <v>114</v>
      </c>
      <c r="D111">
        <v>161</v>
      </c>
      <c r="E111">
        <v>155</v>
      </c>
      <c r="F111">
        <v>153</v>
      </c>
      <c r="G111">
        <v>157</v>
      </c>
      <c r="H111">
        <v>161</v>
      </c>
      <c r="I111">
        <v>172</v>
      </c>
      <c r="J111">
        <v>178</v>
      </c>
      <c r="K111">
        <v>181</v>
      </c>
      <c r="L111">
        <v>178</v>
      </c>
      <c r="M111">
        <v>165</v>
      </c>
    </row>
    <row r="112" spans="1:13" x14ac:dyDescent="0.25">
      <c r="A112">
        <v>171870</v>
      </c>
      <c r="B112" t="str">
        <f>VLOOKUP(Tabela3[[#This Row],[IBGE]],procv!$A$2:$D$142,4,FALSE)</f>
        <v>Capim Dourado</v>
      </c>
      <c r="C112" t="s">
        <v>115</v>
      </c>
      <c r="D112">
        <v>242</v>
      </c>
      <c r="E112">
        <v>236</v>
      </c>
      <c r="F112">
        <v>231</v>
      </c>
      <c r="G112">
        <v>225</v>
      </c>
      <c r="H112">
        <v>220</v>
      </c>
      <c r="I112">
        <v>217</v>
      </c>
      <c r="J112">
        <v>213</v>
      </c>
      <c r="K112">
        <v>210</v>
      </c>
      <c r="L112">
        <v>212</v>
      </c>
      <c r="M112">
        <v>217</v>
      </c>
    </row>
    <row r="113" spans="1:13" x14ac:dyDescent="0.25">
      <c r="A113">
        <v>171875</v>
      </c>
      <c r="B113" t="str">
        <f>VLOOKUP(Tabela3[[#This Row],[IBGE]],procv!$A$2:$D$142,4,FALSE)</f>
        <v>Capim Dourado</v>
      </c>
      <c r="C113" t="s">
        <v>116</v>
      </c>
      <c r="D113">
        <v>489</v>
      </c>
      <c r="E113">
        <v>460</v>
      </c>
      <c r="F113">
        <v>438</v>
      </c>
      <c r="G113">
        <v>419</v>
      </c>
      <c r="H113">
        <v>406</v>
      </c>
      <c r="I113">
        <v>394</v>
      </c>
      <c r="J113">
        <v>383</v>
      </c>
      <c r="K113">
        <v>376</v>
      </c>
      <c r="L113">
        <v>372</v>
      </c>
      <c r="M113">
        <v>367</v>
      </c>
    </row>
    <row r="114" spans="1:13" x14ac:dyDescent="0.25">
      <c r="A114">
        <v>171880</v>
      </c>
      <c r="B114" t="str">
        <f>VLOOKUP(Tabela3[[#This Row],[IBGE]],procv!$A$2:$D$142,4,FALSE)</f>
        <v>Bico do Papagaio</v>
      </c>
      <c r="C114" t="s">
        <v>117</v>
      </c>
      <c r="D114">
        <v>431</v>
      </c>
      <c r="E114">
        <v>419</v>
      </c>
      <c r="F114">
        <v>409</v>
      </c>
      <c r="G114">
        <v>404</v>
      </c>
      <c r="H114">
        <v>401</v>
      </c>
      <c r="I114">
        <v>400</v>
      </c>
      <c r="J114">
        <v>398</v>
      </c>
      <c r="K114">
        <v>393</v>
      </c>
      <c r="L114">
        <v>388</v>
      </c>
      <c r="M114">
        <v>386</v>
      </c>
    </row>
    <row r="115" spans="1:13" x14ac:dyDescent="0.25">
      <c r="A115">
        <v>171884</v>
      </c>
      <c r="B115" t="str">
        <f>VLOOKUP(Tabela3[[#This Row],[IBGE]],procv!$A$2:$D$142,4,FALSE)</f>
        <v>Ilha do Bananal</v>
      </c>
      <c r="C115" t="s">
        <v>118</v>
      </c>
      <c r="D115">
        <v>319</v>
      </c>
      <c r="E115">
        <v>315</v>
      </c>
      <c r="F115">
        <v>310</v>
      </c>
      <c r="G115">
        <v>302</v>
      </c>
      <c r="H115">
        <v>293</v>
      </c>
      <c r="I115">
        <v>288</v>
      </c>
      <c r="J115">
        <v>281</v>
      </c>
      <c r="K115">
        <v>275</v>
      </c>
      <c r="L115">
        <v>276</v>
      </c>
      <c r="M115">
        <v>279</v>
      </c>
    </row>
    <row r="116" spans="1:13" x14ac:dyDescent="0.25">
      <c r="A116">
        <v>171886</v>
      </c>
      <c r="B116" t="str">
        <f>VLOOKUP(Tabela3[[#This Row],[IBGE]],procv!$A$2:$D$142,4,FALSE)</f>
        <v>Médio Norte Araguaia</v>
      </c>
      <c r="C116" t="s">
        <v>119</v>
      </c>
      <c r="D116">
        <v>661</v>
      </c>
      <c r="E116">
        <v>645</v>
      </c>
      <c r="F116">
        <v>638</v>
      </c>
      <c r="G116">
        <v>630</v>
      </c>
      <c r="H116">
        <v>627</v>
      </c>
      <c r="I116">
        <v>628</v>
      </c>
      <c r="J116">
        <v>628</v>
      </c>
      <c r="K116">
        <v>627</v>
      </c>
      <c r="L116">
        <v>632</v>
      </c>
      <c r="M116">
        <v>636</v>
      </c>
    </row>
    <row r="117" spans="1:13" x14ac:dyDescent="0.25">
      <c r="A117">
        <v>171888</v>
      </c>
      <c r="B117" t="str">
        <f>VLOOKUP(Tabela3[[#This Row],[IBGE]],procv!$A$2:$D$142,4,FALSE)</f>
        <v>Cerrado Tocantins Araguaia</v>
      </c>
      <c r="C117" t="s">
        <v>120</v>
      </c>
      <c r="D117">
        <v>273</v>
      </c>
      <c r="E117">
        <v>268</v>
      </c>
      <c r="F117">
        <v>257</v>
      </c>
      <c r="G117">
        <v>248</v>
      </c>
      <c r="H117">
        <v>238</v>
      </c>
      <c r="I117">
        <v>231</v>
      </c>
      <c r="J117">
        <v>225</v>
      </c>
      <c r="K117">
        <v>220</v>
      </c>
      <c r="L117">
        <v>215</v>
      </c>
      <c r="M117">
        <v>216</v>
      </c>
    </row>
    <row r="118" spans="1:13" x14ac:dyDescent="0.25">
      <c r="A118">
        <v>171889</v>
      </c>
      <c r="B118" t="str">
        <f>VLOOKUP(Tabela3[[#This Row],[IBGE]],procv!$A$2:$D$142,4,FALSE)</f>
        <v>Ilha do Bananal</v>
      </c>
      <c r="C118" t="s">
        <v>121</v>
      </c>
      <c r="D118">
        <v>190</v>
      </c>
      <c r="E118">
        <v>183</v>
      </c>
      <c r="F118">
        <v>178</v>
      </c>
      <c r="G118">
        <v>175</v>
      </c>
      <c r="H118">
        <v>173</v>
      </c>
      <c r="I118">
        <v>173</v>
      </c>
      <c r="J118">
        <v>171</v>
      </c>
      <c r="K118">
        <v>171</v>
      </c>
      <c r="L118">
        <v>170</v>
      </c>
      <c r="M118">
        <v>172</v>
      </c>
    </row>
    <row r="119" spans="1:13" x14ac:dyDescent="0.25">
      <c r="A119">
        <v>171890</v>
      </c>
      <c r="B119" t="str">
        <f>VLOOKUP(Tabela3[[#This Row],[IBGE]],procv!$A$2:$D$142,4,FALSE)</f>
        <v>Amor Perfeito</v>
      </c>
      <c r="C119" t="s">
        <v>122</v>
      </c>
      <c r="D119">
        <v>461</v>
      </c>
      <c r="E119">
        <v>445</v>
      </c>
      <c r="F119">
        <v>435</v>
      </c>
      <c r="G119">
        <v>424</v>
      </c>
      <c r="H119">
        <v>417</v>
      </c>
      <c r="I119">
        <v>413</v>
      </c>
      <c r="J119">
        <v>406</v>
      </c>
      <c r="K119">
        <v>401</v>
      </c>
      <c r="L119">
        <v>402</v>
      </c>
      <c r="M119">
        <v>401</v>
      </c>
    </row>
    <row r="120" spans="1:13" x14ac:dyDescent="0.25">
      <c r="A120">
        <v>171900</v>
      </c>
      <c r="B120" t="str">
        <f>VLOOKUP(Tabela3[[#This Row],[IBGE]],procv!$A$2:$D$142,4,FALSE)</f>
        <v>Capim Dourado</v>
      </c>
      <c r="C120" t="s">
        <v>123</v>
      </c>
      <c r="D120">
        <v>262</v>
      </c>
      <c r="E120">
        <v>264</v>
      </c>
      <c r="F120">
        <v>268</v>
      </c>
      <c r="G120">
        <v>268</v>
      </c>
      <c r="H120">
        <v>269</v>
      </c>
      <c r="I120">
        <v>269</v>
      </c>
      <c r="J120">
        <v>268</v>
      </c>
      <c r="K120">
        <v>268</v>
      </c>
      <c r="L120">
        <v>271</v>
      </c>
      <c r="M120">
        <v>278</v>
      </c>
    </row>
    <row r="121" spans="1:13" x14ac:dyDescent="0.25">
      <c r="A121">
        <v>172000</v>
      </c>
      <c r="B121" t="str">
        <f>VLOOKUP(Tabela3[[#This Row],[IBGE]],procv!$A$2:$D$142,4,FALSE)</f>
        <v>Bico do Papagaio</v>
      </c>
      <c r="C121" t="s">
        <v>124</v>
      </c>
      <c r="D121">
        <v>223</v>
      </c>
      <c r="E121">
        <v>217</v>
      </c>
      <c r="F121">
        <v>214</v>
      </c>
      <c r="G121">
        <v>215</v>
      </c>
      <c r="H121">
        <v>215</v>
      </c>
      <c r="I121">
        <v>218</v>
      </c>
      <c r="J121">
        <v>218</v>
      </c>
      <c r="K121">
        <v>217</v>
      </c>
      <c r="L121">
        <v>205</v>
      </c>
      <c r="M121">
        <v>197</v>
      </c>
    </row>
    <row r="122" spans="1:13" x14ac:dyDescent="0.25">
      <c r="A122">
        <v>172010</v>
      </c>
      <c r="B122" t="str">
        <f>VLOOKUP(Tabela3[[#This Row],[IBGE]],procv!$A$2:$D$142,4,FALSE)</f>
        <v>Bico do Papagaio</v>
      </c>
      <c r="C122" t="s">
        <v>125</v>
      </c>
      <c r="D122">
        <v>527</v>
      </c>
      <c r="E122">
        <v>523</v>
      </c>
      <c r="F122">
        <v>522</v>
      </c>
      <c r="G122">
        <v>522</v>
      </c>
      <c r="H122">
        <v>521</v>
      </c>
      <c r="I122">
        <v>525</v>
      </c>
      <c r="J122">
        <v>526</v>
      </c>
      <c r="K122">
        <v>526</v>
      </c>
      <c r="L122">
        <v>528</v>
      </c>
      <c r="M122">
        <v>528</v>
      </c>
    </row>
    <row r="123" spans="1:13" x14ac:dyDescent="0.25">
      <c r="A123">
        <v>172015</v>
      </c>
      <c r="B123" t="str">
        <f>VLOOKUP(Tabela3[[#This Row],[IBGE]],procv!$A$2:$D$142,4,FALSE)</f>
        <v>Capim Dourado</v>
      </c>
      <c r="C123" t="s">
        <v>126</v>
      </c>
      <c r="D123">
        <v>180</v>
      </c>
      <c r="E123">
        <v>182</v>
      </c>
      <c r="F123">
        <v>181</v>
      </c>
      <c r="G123">
        <v>177</v>
      </c>
      <c r="H123">
        <v>172</v>
      </c>
      <c r="I123">
        <v>167</v>
      </c>
      <c r="J123">
        <v>162</v>
      </c>
      <c r="K123">
        <v>160</v>
      </c>
      <c r="L123">
        <v>160</v>
      </c>
      <c r="M123">
        <v>167</v>
      </c>
    </row>
    <row r="124" spans="1:13" x14ac:dyDescent="0.25">
      <c r="A124">
        <v>172020</v>
      </c>
      <c r="B124" t="str">
        <f>VLOOKUP(Tabela3[[#This Row],[IBGE]],procv!$A$2:$D$142,4,FALSE)</f>
        <v>Bico do Papagaio</v>
      </c>
      <c r="C124" t="s">
        <v>127</v>
      </c>
      <c r="D124">
        <v>1192</v>
      </c>
      <c r="E124">
        <v>1176</v>
      </c>
      <c r="F124">
        <v>1173</v>
      </c>
      <c r="G124">
        <v>1176</v>
      </c>
      <c r="H124">
        <v>1186</v>
      </c>
      <c r="I124">
        <v>1206</v>
      </c>
      <c r="J124">
        <v>1215</v>
      </c>
      <c r="K124">
        <v>1220</v>
      </c>
      <c r="L124">
        <v>1224</v>
      </c>
      <c r="M124">
        <v>1223</v>
      </c>
    </row>
    <row r="125" spans="1:13" x14ac:dyDescent="0.25">
      <c r="A125">
        <v>172025</v>
      </c>
      <c r="B125" t="str">
        <f>VLOOKUP(Tabela3[[#This Row],[IBGE]],procv!$A$2:$D$142,4,FALSE)</f>
        <v>Ilha do Bananal</v>
      </c>
      <c r="C125" t="s">
        <v>128</v>
      </c>
      <c r="D125">
        <v>241</v>
      </c>
      <c r="E125">
        <v>227</v>
      </c>
      <c r="F125">
        <v>221</v>
      </c>
      <c r="G125">
        <v>211</v>
      </c>
      <c r="H125">
        <v>204</v>
      </c>
      <c r="I125">
        <v>201</v>
      </c>
      <c r="J125">
        <v>197</v>
      </c>
      <c r="K125">
        <v>191</v>
      </c>
      <c r="L125">
        <v>187</v>
      </c>
      <c r="M125">
        <v>189</v>
      </c>
    </row>
    <row r="126" spans="1:13" x14ac:dyDescent="0.25">
      <c r="A126">
        <v>172030</v>
      </c>
      <c r="B126" t="str">
        <f>VLOOKUP(Tabela3[[#This Row],[IBGE]],procv!$A$2:$D$142,4,FALSE)</f>
        <v>Bico do Papagaio</v>
      </c>
      <c r="C126" t="s">
        <v>129</v>
      </c>
      <c r="D126">
        <v>446</v>
      </c>
      <c r="E126">
        <v>433</v>
      </c>
      <c r="F126">
        <v>420</v>
      </c>
      <c r="G126">
        <v>409</v>
      </c>
      <c r="H126">
        <v>397</v>
      </c>
      <c r="I126">
        <v>389</v>
      </c>
      <c r="J126">
        <v>380</v>
      </c>
      <c r="K126">
        <v>371</v>
      </c>
      <c r="L126">
        <v>363</v>
      </c>
      <c r="M126">
        <v>356</v>
      </c>
    </row>
    <row r="127" spans="1:13" x14ac:dyDescent="0.25">
      <c r="A127">
        <v>172049</v>
      </c>
      <c r="B127" t="str">
        <f>VLOOKUP(Tabela3[[#This Row],[IBGE]],procv!$A$2:$D$142,4,FALSE)</f>
        <v>Ilha do Bananal</v>
      </c>
      <c r="C127" t="s">
        <v>130</v>
      </c>
      <c r="D127">
        <v>386</v>
      </c>
      <c r="E127">
        <v>371</v>
      </c>
      <c r="F127">
        <v>367</v>
      </c>
      <c r="G127">
        <v>364</v>
      </c>
      <c r="H127">
        <v>366</v>
      </c>
      <c r="I127">
        <v>371</v>
      </c>
      <c r="J127">
        <v>370</v>
      </c>
      <c r="K127">
        <v>367</v>
      </c>
      <c r="L127">
        <v>358</v>
      </c>
      <c r="M127">
        <v>349</v>
      </c>
    </row>
    <row r="128" spans="1:13" x14ac:dyDescent="0.25">
      <c r="A128">
        <v>172065</v>
      </c>
      <c r="B128" t="str">
        <f>VLOOKUP(Tabela3[[#This Row],[IBGE]],procv!$A$2:$D$142,4,FALSE)</f>
        <v>Amor Perfeito</v>
      </c>
      <c r="C128" t="s">
        <v>131</v>
      </c>
      <c r="D128">
        <v>460</v>
      </c>
      <c r="E128">
        <v>458</v>
      </c>
      <c r="F128">
        <v>453</v>
      </c>
      <c r="G128">
        <v>449</v>
      </c>
      <c r="H128">
        <v>446</v>
      </c>
      <c r="I128">
        <v>445</v>
      </c>
      <c r="J128">
        <v>439</v>
      </c>
      <c r="K128">
        <v>433</v>
      </c>
      <c r="L128">
        <v>428</v>
      </c>
      <c r="M128">
        <v>420</v>
      </c>
    </row>
    <row r="129" spans="1:13" x14ac:dyDescent="0.25">
      <c r="A129">
        <v>172080</v>
      </c>
      <c r="B129" t="str">
        <f>VLOOKUP(Tabela3[[#This Row],[IBGE]],procv!$A$2:$D$142,4,FALSE)</f>
        <v>Bico do Papagaio</v>
      </c>
      <c r="C129" t="s">
        <v>132</v>
      </c>
      <c r="D129">
        <v>931</v>
      </c>
      <c r="E129">
        <v>917</v>
      </c>
      <c r="F129">
        <v>916</v>
      </c>
      <c r="G129">
        <v>921</v>
      </c>
      <c r="H129">
        <v>933</v>
      </c>
      <c r="I129">
        <v>956</v>
      </c>
      <c r="J129">
        <v>968</v>
      </c>
      <c r="K129">
        <v>969</v>
      </c>
      <c r="L129">
        <v>962</v>
      </c>
      <c r="M129">
        <v>948</v>
      </c>
    </row>
    <row r="130" spans="1:13" x14ac:dyDescent="0.25">
      <c r="A130">
        <v>172085</v>
      </c>
      <c r="B130" t="str">
        <f>VLOOKUP(Tabela3[[#This Row],[IBGE]],procv!$A$2:$D$142,4,FALSE)</f>
        <v>Ilha do Bananal</v>
      </c>
      <c r="C130" t="s">
        <v>133</v>
      </c>
      <c r="D130">
        <v>143</v>
      </c>
      <c r="E130">
        <v>137</v>
      </c>
      <c r="F130">
        <v>133</v>
      </c>
      <c r="G130">
        <v>129</v>
      </c>
      <c r="H130">
        <v>126</v>
      </c>
      <c r="I130">
        <v>126</v>
      </c>
      <c r="J130">
        <v>126</v>
      </c>
      <c r="K130">
        <v>124</v>
      </c>
      <c r="L130">
        <v>117</v>
      </c>
      <c r="M130">
        <v>115</v>
      </c>
    </row>
    <row r="131" spans="1:13" x14ac:dyDescent="0.25">
      <c r="A131">
        <v>172090</v>
      </c>
      <c r="B131" t="str">
        <f>VLOOKUP(Tabela3[[#This Row],[IBGE]],procv!$A$2:$D$142,4,FALSE)</f>
        <v>Sudeste</v>
      </c>
      <c r="C131" t="s">
        <v>135</v>
      </c>
      <c r="D131">
        <v>1234</v>
      </c>
      <c r="E131">
        <v>1181</v>
      </c>
      <c r="F131">
        <v>1142</v>
      </c>
      <c r="G131">
        <v>1112</v>
      </c>
      <c r="H131">
        <v>1088</v>
      </c>
      <c r="I131">
        <v>1081</v>
      </c>
      <c r="J131">
        <v>1060</v>
      </c>
      <c r="K131">
        <v>1037</v>
      </c>
      <c r="L131">
        <v>1021</v>
      </c>
      <c r="M131">
        <v>999</v>
      </c>
    </row>
    <row r="132" spans="1:13" x14ac:dyDescent="0.25">
      <c r="A132">
        <v>172093</v>
      </c>
      <c r="B132" t="str">
        <f>VLOOKUP(Tabela3[[#This Row],[IBGE]],procv!$A$2:$D$142,4,FALSE)</f>
        <v>Sudeste</v>
      </c>
      <c r="C132" t="s">
        <v>136</v>
      </c>
      <c r="D132">
        <v>184</v>
      </c>
      <c r="E132">
        <v>178</v>
      </c>
      <c r="F132">
        <v>176</v>
      </c>
      <c r="G132">
        <v>172</v>
      </c>
      <c r="H132">
        <v>172</v>
      </c>
      <c r="I132">
        <v>173</v>
      </c>
      <c r="J132">
        <v>174</v>
      </c>
      <c r="K132">
        <v>175</v>
      </c>
      <c r="L132">
        <v>175</v>
      </c>
      <c r="M132">
        <v>177</v>
      </c>
    </row>
    <row r="133" spans="1:13" x14ac:dyDescent="0.25">
      <c r="A133">
        <v>172097</v>
      </c>
      <c r="B133" t="str">
        <f>VLOOKUP(Tabela3[[#This Row],[IBGE]],procv!$A$2:$D$142,4,FALSE)</f>
        <v>Ilha do Bananal</v>
      </c>
      <c r="C133" t="s">
        <v>137</v>
      </c>
      <c r="D133">
        <v>195</v>
      </c>
      <c r="E133">
        <v>185</v>
      </c>
      <c r="F133">
        <v>179</v>
      </c>
      <c r="G133">
        <v>178</v>
      </c>
      <c r="H133">
        <v>180</v>
      </c>
      <c r="I133">
        <v>183</v>
      </c>
      <c r="J133">
        <v>183</v>
      </c>
      <c r="K133">
        <v>185</v>
      </c>
      <c r="L133">
        <v>181</v>
      </c>
      <c r="M133">
        <v>181</v>
      </c>
    </row>
    <row r="134" spans="1:13" x14ac:dyDescent="0.25">
      <c r="A134">
        <v>172100</v>
      </c>
      <c r="B134" t="str">
        <f>VLOOKUP(Tabela3[[#This Row],[IBGE]],procv!$A$2:$D$142,4,FALSE)</f>
        <v>Capim Dourado</v>
      </c>
      <c r="C134" t="s">
        <v>92</v>
      </c>
      <c r="D134">
        <v>22232</v>
      </c>
      <c r="E134">
        <v>22414</v>
      </c>
      <c r="F134">
        <v>22688</v>
      </c>
      <c r="G134">
        <v>22887</v>
      </c>
      <c r="H134">
        <v>23037</v>
      </c>
      <c r="I134">
        <v>23417</v>
      </c>
      <c r="J134">
        <v>23665</v>
      </c>
      <c r="K134">
        <v>23879</v>
      </c>
      <c r="L134">
        <v>24582</v>
      </c>
      <c r="M134">
        <v>24925</v>
      </c>
    </row>
    <row r="135" spans="1:13" x14ac:dyDescent="0.25">
      <c r="A135">
        <v>172110</v>
      </c>
      <c r="B135" t="str">
        <f>VLOOKUP(Tabela3[[#This Row],[IBGE]],procv!$A$2:$D$142,4,FALSE)</f>
        <v>Capim Dourado</v>
      </c>
      <c r="C135" t="s">
        <v>138</v>
      </c>
      <c r="D135">
        <v>865</v>
      </c>
      <c r="E135">
        <v>859</v>
      </c>
      <c r="F135">
        <v>863</v>
      </c>
      <c r="G135">
        <v>866</v>
      </c>
      <c r="H135">
        <v>876</v>
      </c>
      <c r="I135">
        <v>893</v>
      </c>
      <c r="J135">
        <v>901</v>
      </c>
      <c r="K135">
        <v>902</v>
      </c>
      <c r="L135">
        <v>908</v>
      </c>
      <c r="M135">
        <v>903</v>
      </c>
    </row>
    <row r="136" spans="1:13" x14ac:dyDescent="0.25">
      <c r="A136">
        <v>172120</v>
      </c>
      <c r="B136" t="str">
        <f>VLOOKUP(Tabela3[[#This Row],[IBGE]],procv!$A$2:$D$142,4,FALSE)</f>
        <v>Bico do Papagaio</v>
      </c>
      <c r="C136" t="s">
        <v>139</v>
      </c>
      <c r="D136">
        <v>2156</v>
      </c>
      <c r="E136">
        <v>2117</v>
      </c>
      <c r="F136">
        <v>2093</v>
      </c>
      <c r="G136">
        <v>2072</v>
      </c>
      <c r="H136">
        <v>2055</v>
      </c>
      <c r="I136">
        <v>2057</v>
      </c>
      <c r="J136">
        <v>2042</v>
      </c>
      <c r="K136">
        <v>2015</v>
      </c>
      <c r="L136">
        <v>2000</v>
      </c>
      <c r="M136">
        <v>1971</v>
      </c>
    </row>
    <row r="137" spans="1:13" x14ac:dyDescent="0.25">
      <c r="A137">
        <v>172125</v>
      </c>
      <c r="B137" t="str">
        <f>VLOOKUP(Tabela3[[#This Row],[IBGE]],procv!$A$2:$D$142,4,FALSE)</f>
        <v>Cerrado Tocantins Araguaia</v>
      </c>
      <c r="C137" t="s">
        <v>140</v>
      </c>
      <c r="D137">
        <v>154</v>
      </c>
      <c r="E137">
        <v>153</v>
      </c>
      <c r="F137">
        <v>156</v>
      </c>
      <c r="G137">
        <v>156</v>
      </c>
      <c r="H137">
        <v>158</v>
      </c>
      <c r="I137">
        <v>160</v>
      </c>
      <c r="J137">
        <v>160</v>
      </c>
      <c r="K137">
        <v>160</v>
      </c>
      <c r="L137">
        <v>161</v>
      </c>
      <c r="M137">
        <v>163</v>
      </c>
    </row>
    <row r="138" spans="1:13" x14ac:dyDescent="0.25">
      <c r="A138">
        <v>172130</v>
      </c>
      <c r="B138" t="str">
        <f>VLOOKUP(Tabela3[[#This Row],[IBGE]],procv!$A$2:$D$142,4,FALSE)</f>
        <v>Cerrado Tocantins Araguaia</v>
      </c>
      <c r="C138" t="s">
        <v>141</v>
      </c>
      <c r="D138">
        <v>173</v>
      </c>
      <c r="E138">
        <v>165</v>
      </c>
      <c r="F138">
        <v>158</v>
      </c>
      <c r="G138">
        <v>152</v>
      </c>
      <c r="H138">
        <v>146</v>
      </c>
      <c r="I138">
        <v>142</v>
      </c>
      <c r="J138">
        <v>138</v>
      </c>
      <c r="K138">
        <v>132</v>
      </c>
      <c r="L138">
        <v>130</v>
      </c>
      <c r="M138">
        <v>128</v>
      </c>
    </row>
    <row r="139" spans="1:13" x14ac:dyDescent="0.25">
      <c r="A139">
        <v>172208</v>
      </c>
      <c r="B139" t="str">
        <f>VLOOKUP(Tabela3[[#This Row],[IBGE]],procv!$A$2:$D$142,4,FALSE)</f>
        <v>Médio Norte Araguaia</v>
      </c>
      <c r="C139" t="s">
        <v>142</v>
      </c>
      <c r="D139">
        <v>945</v>
      </c>
      <c r="E139">
        <v>913</v>
      </c>
      <c r="F139">
        <v>891</v>
      </c>
      <c r="G139">
        <v>878</v>
      </c>
      <c r="H139">
        <v>872</v>
      </c>
      <c r="I139">
        <v>875</v>
      </c>
      <c r="J139">
        <v>872</v>
      </c>
      <c r="K139">
        <v>868</v>
      </c>
      <c r="L139">
        <v>874</v>
      </c>
      <c r="M139">
        <v>871</v>
      </c>
    </row>
    <row r="140" spans="1:13" x14ac:dyDescent="0.25">
      <c r="A140">
        <v>172210</v>
      </c>
      <c r="B140" t="str">
        <f>VLOOKUP(Tabela3[[#This Row],[IBGE]],procv!$A$2:$D$142,4,FALSE)</f>
        <v>Médio Norte Araguaia</v>
      </c>
      <c r="C140" t="s">
        <v>143</v>
      </c>
      <c r="D140">
        <v>965</v>
      </c>
      <c r="E140">
        <v>940</v>
      </c>
      <c r="F140">
        <v>920</v>
      </c>
      <c r="G140">
        <v>899</v>
      </c>
      <c r="H140">
        <v>882</v>
      </c>
      <c r="I140">
        <v>870</v>
      </c>
      <c r="J140">
        <v>857</v>
      </c>
      <c r="K140">
        <v>840</v>
      </c>
      <c r="L140">
        <v>836</v>
      </c>
      <c r="M140">
        <v>828</v>
      </c>
    </row>
    <row r="141" spans="1:13" x14ac:dyDescent="0.25">
      <c r="A141">
        <v>17</v>
      </c>
      <c r="B141" t="s">
        <v>318</v>
      </c>
      <c r="C141" t="s">
        <v>317</v>
      </c>
      <c r="D141">
        <v>127622</v>
      </c>
      <c r="E141">
        <v>125451</v>
      </c>
      <c r="F141">
        <v>124254</v>
      </c>
      <c r="G141">
        <v>123204</v>
      </c>
      <c r="H141">
        <v>122582</v>
      </c>
      <c r="I141">
        <v>123117</v>
      </c>
      <c r="J141">
        <v>122883</v>
      </c>
      <c r="K141">
        <v>122418</v>
      </c>
      <c r="L141">
        <v>123155</v>
      </c>
      <c r="M141">
        <v>123370</v>
      </c>
    </row>
    <row r="142" spans="1:13" x14ac:dyDescent="0.25">
      <c r="D142" s="8"/>
    </row>
    <row r="143" spans="1:13" x14ac:dyDescent="0.25">
      <c r="D143" s="8"/>
    </row>
    <row r="144" spans="1:13" x14ac:dyDescent="0.25">
      <c r="D144" s="8"/>
    </row>
    <row r="145" spans="4:4" x14ac:dyDescent="0.25">
      <c r="D145" s="8"/>
    </row>
    <row r="146" spans="4:4" x14ac:dyDescent="0.25">
      <c r="D146" s="8"/>
    </row>
    <row r="147" spans="4:4" x14ac:dyDescent="0.25">
      <c r="D147" s="8"/>
    </row>
    <row r="148" spans="4:4" x14ac:dyDescent="0.25">
      <c r="D148" s="8"/>
    </row>
    <row r="149" spans="4:4" x14ac:dyDescent="0.25">
      <c r="D149" s="8"/>
    </row>
    <row r="150" spans="4:4" x14ac:dyDescent="0.25">
      <c r="D150" s="8"/>
    </row>
    <row r="151" spans="4:4" x14ac:dyDescent="0.25">
      <c r="D151" s="8"/>
    </row>
    <row r="152" spans="4:4" x14ac:dyDescent="0.25">
      <c r="D152" s="8"/>
    </row>
    <row r="153" spans="4:4" x14ac:dyDescent="0.25">
      <c r="D153" s="8"/>
    </row>
    <row r="154" spans="4:4" x14ac:dyDescent="0.25">
      <c r="D154" s="8"/>
    </row>
    <row r="155" spans="4:4" x14ac:dyDescent="0.25">
      <c r="D155" s="8"/>
    </row>
    <row r="156" spans="4:4" x14ac:dyDescent="0.25">
      <c r="D156" s="8"/>
    </row>
    <row r="157" spans="4:4" x14ac:dyDescent="0.25">
      <c r="D157" s="8"/>
    </row>
    <row r="158" spans="4:4" x14ac:dyDescent="0.25">
      <c r="D158" s="8"/>
    </row>
    <row r="159" spans="4:4" x14ac:dyDescent="0.25">
      <c r="D159" s="8"/>
    </row>
    <row r="160" spans="4:4" x14ac:dyDescent="0.25">
      <c r="D160" s="8"/>
    </row>
    <row r="161" spans="4:4" x14ac:dyDescent="0.25">
      <c r="D161" s="8"/>
    </row>
    <row r="162" spans="4:4" x14ac:dyDescent="0.25">
      <c r="D162" s="8"/>
    </row>
    <row r="163" spans="4:4" x14ac:dyDescent="0.25">
      <c r="D163" s="8"/>
    </row>
    <row r="164" spans="4:4" x14ac:dyDescent="0.25">
      <c r="D164" s="8"/>
    </row>
    <row r="165" spans="4:4" x14ac:dyDescent="0.25">
      <c r="D165" s="8"/>
    </row>
    <row r="166" spans="4:4" x14ac:dyDescent="0.25">
      <c r="D166" s="8"/>
    </row>
    <row r="167" spans="4:4" x14ac:dyDescent="0.25">
      <c r="D167" s="8"/>
    </row>
    <row r="168" spans="4:4" x14ac:dyDescent="0.25">
      <c r="D168" s="8"/>
    </row>
    <row r="169" spans="4:4" x14ac:dyDescent="0.25">
      <c r="D169" s="8"/>
    </row>
    <row r="170" spans="4:4" x14ac:dyDescent="0.25">
      <c r="D170" s="8"/>
    </row>
    <row r="171" spans="4:4" x14ac:dyDescent="0.25">
      <c r="D171" s="8"/>
    </row>
    <row r="172" spans="4:4" x14ac:dyDescent="0.25">
      <c r="D172" s="8"/>
    </row>
    <row r="173" spans="4:4" x14ac:dyDescent="0.25">
      <c r="D173" s="8"/>
    </row>
    <row r="174" spans="4:4" x14ac:dyDescent="0.25">
      <c r="D174" s="8"/>
    </row>
    <row r="175" spans="4:4" x14ac:dyDescent="0.25">
      <c r="D175" s="8"/>
    </row>
    <row r="176" spans="4:4" x14ac:dyDescent="0.25">
      <c r="D176" s="8"/>
    </row>
    <row r="177" spans="4:4" x14ac:dyDescent="0.25">
      <c r="D177" s="8"/>
    </row>
    <row r="178" spans="4:4" x14ac:dyDescent="0.25">
      <c r="D178" s="8"/>
    </row>
    <row r="179" spans="4:4" x14ac:dyDescent="0.25">
      <c r="D179" s="8"/>
    </row>
    <row r="180" spans="4:4" x14ac:dyDescent="0.25">
      <c r="D180" s="8"/>
    </row>
    <row r="181" spans="4:4" x14ac:dyDescent="0.25">
      <c r="D181" s="8"/>
    </row>
    <row r="182" spans="4:4" x14ac:dyDescent="0.25">
      <c r="D182" s="8"/>
    </row>
    <row r="183" spans="4:4" x14ac:dyDescent="0.25">
      <c r="D183" s="8"/>
    </row>
    <row r="184" spans="4:4" x14ac:dyDescent="0.25">
      <c r="D184" s="8"/>
    </row>
    <row r="185" spans="4:4" x14ac:dyDescent="0.25">
      <c r="D185" s="8"/>
    </row>
    <row r="186" spans="4:4" x14ac:dyDescent="0.25">
      <c r="D186" s="8"/>
    </row>
    <row r="187" spans="4:4" x14ac:dyDescent="0.25">
      <c r="D187" s="8"/>
    </row>
    <row r="188" spans="4:4" x14ac:dyDescent="0.25">
      <c r="D188" s="8"/>
    </row>
    <row r="189" spans="4:4" x14ac:dyDescent="0.25">
      <c r="D189" s="8"/>
    </row>
    <row r="190" spans="4:4" x14ac:dyDescent="0.25">
      <c r="D190" s="8"/>
    </row>
    <row r="191" spans="4:4" x14ac:dyDescent="0.25">
      <c r="D191" s="8"/>
    </row>
    <row r="192" spans="4:4" x14ac:dyDescent="0.25">
      <c r="D192" s="8"/>
    </row>
    <row r="193" spans="4:4" x14ac:dyDescent="0.25">
      <c r="D193" s="8"/>
    </row>
    <row r="194" spans="4:4" x14ac:dyDescent="0.25">
      <c r="D194" s="8"/>
    </row>
    <row r="195" spans="4:4" x14ac:dyDescent="0.25">
      <c r="D195" s="8"/>
    </row>
    <row r="196" spans="4:4" x14ac:dyDescent="0.25">
      <c r="D196" s="8"/>
    </row>
    <row r="197" spans="4:4" x14ac:dyDescent="0.25">
      <c r="D197" s="8"/>
    </row>
    <row r="198" spans="4:4" x14ac:dyDescent="0.25">
      <c r="D198" s="8"/>
    </row>
    <row r="199" spans="4:4" x14ac:dyDescent="0.25">
      <c r="D199" s="8"/>
    </row>
    <row r="200" spans="4:4" x14ac:dyDescent="0.25">
      <c r="D200" s="8"/>
    </row>
    <row r="201" spans="4:4" x14ac:dyDescent="0.25">
      <c r="D201" s="8"/>
    </row>
    <row r="202" spans="4:4" x14ac:dyDescent="0.25">
      <c r="D202" s="8"/>
    </row>
    <row r="203" spans="4:4" x14ac:dyDescent="0.25">
      <c r="D203" s="8"/>
    </row>
    <row r="204" spans="4:4" x14ac:dyDescent="0.25">
      <c r="D204" s="8"/>
    </row>
    <row r="205" spans="4:4" x14ac:dyDescent="0.25">
      <c r="D205" s="8"/>
    </row>
    <row r="206" spans="4:4" x14ac:dyDescent="0.25">
      <c r="D206" s="8"/>
    </row>
    <row r="207" spans="4:4" x14ac:dyDescent="0.25">
      <c r="D207" s="8"/>
    </row>
    <row r="208" spans="4:4" x14ac:dyDescent="0.25">
      <c r="D208" s="8"/>
    </row>
    <row r="209" spans="4:4" x14ac:dyDescent="0.25">
      <c r="D209" s="8"/>
    </row>
    <row r="210" spans="4:4" x14ac:dyDescent="0.25">
      <c r="D210" s="8"/>
    </row>
    <row r="211" spans="4:4" x14ac:dyDescent="0.25">
      <c r="D211" s="8"/>
    </row>
    <row r="212" spans="4:4" x14ac:dyDescent="0.25">
      <c r="D212" s="8"/>
    </row>
    <row r="213" spans="4:4" x14ac:dyDescent="0.25">
      <c r="D213" s="8"/>
    </row>
    <row r="214" spans="4:4" x14ac:dyDescent="0.25">
      <c r="D214" s="8"/>
    </row>
    <row r="215" spans="4:4" x14ac:dyDescent="0.25">
      <c r="D215" s="8"/>
    </row>
    <row r="216" spans="4:4" x14ac:dyDescent="0.25">
      <c r="D216" s="8"/>
    </row>
    <row r="217" spans="4:4" x14ac:dyDescent="0.25">
      <c r="D217" s="8"/>
    </row>
    <row r="218" spans="4:4" x14ac:dyDescent="0.25">
      <c r="D218" s="8"/>
    </row>
    <row r="219" spans="4:4" x14ac:dyDescent="0.25">
      <c r="D219" s="8"/>
    </row>
    <row r="220" spans="4:4" x14ac:dyDescent="0.25">
      <c r="D220" s="8"/>
    </row>
    <row r="221" spans="4:4" x14ac:dyDescent="0.25">
      <c r="D221" s="8"/>
    </row>
    <row r="222" spans="4:4" x14ac:dyDescent="0.25">
      <c r="D222" s="8"/>
    </row>
    <row r="223" spans="4:4" x14ac:dyDescent="0.25">
      <c r="D223" s="8"/>
    </row>
    <row r="224" spans="4:4" x14ac:dyDescent="0.25">
      <c r="D224" s="8"/>
    </row>
    <row r="225" spans="4:4" x14ac:dyDescent="0.25">
      <c r="D225" s="8"/>
    </row>
    <row r="226" spans="4:4" x14ac:dyDescent="0.25">
      <c r="D226" s="8"/>
    </row>
    <row r="227" spans="4:4" x14ac:dyDescent="0.25">
      <c r="D227" s="8"/>
    </row>
    <row r="228" spans="4:4" x14ac:dyDescent="0.25">
      <c r="D228" s="8"/>
    </row>
    <row r="229" spans="4:4" x14ac:dyDescent="0.25">
      <c r="D229" s="8"/>
    </row>
    <row r="230" spans="4:4" x14ac:dyDescent="0.25">
      <c r="D230" s="8"/>
    </row>
    <row r="231" spans="4:4" x14ac:dyDescent="0.25">
      <c r="D231" s="8"/>
    </row>
    <row r="232" spans="4:4" x14ac:dyDescent="0.25">
      <c r="D232" s="8"/>
    </row>
    <row r="233" spans="4:4" x14ac:dyDescent="0.25">
      <c r="D233" s="8"/>
    </row>
    <row r="234" spans="4:4" x14ac:dyDescent="0.25">
      <c r="D234" s="8"/>
    </row>
    <row r="235" spans="4:4" x14ac:dyDescent="0.25">
      <c r="D235" s="8"/>
    </row>
    <row r="236" spans="4:4" x14ac:dyDescent="0.25">
      <c r="D236" s="8"/>
    </row>
    <row r="237" spans="4:4" x14ac:dyDescent="0.25">
      <c r="D237" s="8"/>
    </row>
    <row r="238" spans="4:4" x14ac:dyDescent="0.25">
      <c r="D238" s="8"/>
    </row>
    <row r="239" spans="4:4" x14ac:dyDescent="0.25">
      <c r="D239" s="8"/>
    </row>
    <row r="240" spans="4:4" x14ac:dyDescent="0.25">
      <c r="D240" s="8"/>
    </row>
    <row r="241" spans="4:4" x14ac:dyDescent="0.25">
      <c r="D241" s="8"/>
    </row>
    <row r="242" spans="4:4" x14ac:dyDescent="0.25">
      <c r="D242" s="8"/>
    </row>
    <row r="243" spans="4:4" x14ac:dyDescent="0.25">
      <c r="D243" s="8"/>
    </row>
    <row r="244" spans="4:4" x14ac:dyDescent="0.25">
      <c r="D244" s="8"/>
    </row>
    <row r="245" spans="4:4" x14ac:dyDescent="0.25">
      <c r="D245" s="8"/>
    </row>
    <row r="246" spans="4:4" x14ac:dyDescent="0.25">
      <c r="D246" s="8"/>
    </row>
    <row r="247" spans="4:4" x14ac:dyDescent="0.25">
      <c r="D247" s="8"/>
    </row>
    <row r="248" spans="4:4" x14ac:dyDescent="0.25">
      <c r="D248" s="8"/>
    </row>
    <row r="249" spans="4:4" x14ac:dyDescent="0.25">
      <c r="D249" s="8"/>
    </row>
    <row r="250" spans="4:4" x14ac:dyDescent="0.25">
      <c r="D250" s="8"/>
    </row>
    <row r="251" spans="4:4" x14ac:dyDescent="0.25">
      <c r="D251" s="8"/>
    </row>
    <row r="252" spans="4:4" x14ac:dyDescent="0.25">
      <c r="D252" s="8"/>
    </row>
    <row r="253" spans="4:4" x14ac:dyDescent="0.25">
      <c r="D253" s="8"/>
    </row>
    <row r="254" spans="4:4" x14ac:dyDescent="0.25">
      <c r="D254" s="8"/>
    </row>
    <row r="255" spans="4:4" x14ac:dyDescent="0.25">
      <c r="D255" s="8"/>
    </row>
    <row r="256" spans="4:4" x14ac:dyDescent="0.25">
      <c r="D256" s="8"/>
    </row>
    <row r="257" spans="4:4" x14ac:dyDescent="0.25">
      <c r="D257" s="8"/>
    </row>
    <row r="258" spans="4:4" x14ac:dyDescent="0.25">
      <c r="D258" s="8"/>
    </row>
    <row r="259" spans="4:4" x14ac:dyDescent="0.25">
      <c r="D259" s="8"/>
    </row>
    <row r="260" spans="4:4" x14ac:dyDescent="0.25">
      <c r="D260" s="8"/>
    </row>
    <row r="261" spans="4:4" x14ac:dyDescent="0.25">
      <c r="D261" s="8"/>
    </row>
    <row r="262" spans="4:4" x14ac:dyDescent="0.25">
      <c r="D262" s="8"/>
    </row>
    <row r="263" spans="4:4" x14ac:dyDescent="0.25">
      <c r="D263" s="8"/>
    </row>
    <row r="264" spans="4:4" x14ac:dyDescent="0.25">
      <c r="D264" s="8"/>
    </row>
    <row r="265" spans="4:4" x14ac:dyDescent="0.25">
      <c r="D265" s="8"/>
    </row>
    <row r="266" spans="4:4" x14ac:dyDescent="0.25">
      <c r="D266" s="8"/>
    </row>
    <row r="267" spans="4:4" x14ac:dyDescent="0.25">
      <c r="D267" s="8"/>
    </row>
    <row r="268" spans="4:4" x14ac:dyDescent="0.25">
      <c r="D268" s="8"/>
    </row>
    <row r="269" spans="4:4" x14ac:dyDescent="0.25">
      <c r="D269" s="8"/>
    </row>
    <row r="270" spans="4:4" x14ac:dyDescent="0.25">
      <c r="D270" s="8"/>
    </row>
    <row r="271" spans="4:4" x14ac:dyDescent="0.25">
      <c r="D271" s="8"/>
    </row>
    <row r="272" spans="4:4" x14ac:dyDescent="0.25">
      <c r="D272" s="8"/>
    </row>
    <row r="273" spans="4:4" x14ac:dyDescent="0.25">
      <c r="D273" s="8"/>
    </row>
    <row r="274" spans="4:4" x14ac:dyDescent="0.25">
      <c r="D274" s="8"/>
    </row>
    <row r="275" spans="4:4" x14ac:dyDescent="0.25">
      <c r="D275" s="8"/>
    </row>
    <row r="276" spans="4:4" x14ac:dyDescent="0.25">
      <c r="D276" s="8"/>
    </row>
    <row r="277" spans="4:4" x14ac:dyDescent="0.25">
      <c r="D277" s="8"/>
    </row>
    <row r="278" spans="4:4" x14ac:dyDescent="0.25">
      <c r="D278" s="8"/>
    </row>
    <row r="279" spans="4:4" x14ac:dyDescent="0.25">
      <c r="D279" s="8"/>
    </row>
    <row r="280" spans="4:4" x14ac:dyDescent="0.25">
      <c r="D280" s="8"/>
    </row>
    <row r="281" spans="4:4" x14ac:dyDescent="0.25">
      <c r="D281" s="8"/>
    </row>
    <row r="282" spans="4:4" x14ac:dyDescent="0.25">
      <c r="D282" s="8"/>
    </row>
    <row r="283" spans="4:4" x14ac:dyDescent="0.25">
      <c r="D283" s="8"/>
    </row>
    <row r="284" spans="4:4" x14ac:dyDescent="0.25">
      <c r="D284" s="8"/>
    </row>
    <row r="285" spans="4:4" x14ac:dyDescent="0.25">
      <c r="D285" s="8"/>
    </row>
    <row r="286" spans="4:4" x14ac:dyDescent="0.25">
      <c r="D286" s="8"/>
    </row>
    <row r="287" spans="4:4" x14ac:dyDescent="0.25">
      <c r="D287" s="8"/>
    </row>
    <row r="288" spans="4:4" x14ac:dyDescent="0.25">
      <c r="D288" s="8"/>
    </row>
    <row r="289" spans="4:4" x14ac:dyDescent="0.25">
      <c r="D289" s="8"/>
    </row>
    <row r="290" spans="4:4" x14ac:dyDescent="0.25">
      <c r="D290" s="8"/>
    </row>
    <row r="291" spans="4:4" x14ac:dyDescent="0.25">
      <c r="D291" s="8"/>
    </row>
    <row r="292" spans="4:4" x14ac:dyDescent="0.25">
      <c r="D292" s="8"/>
    </row>
    <row r="293" spans="4:4" x14ac:dyDescent="0.25">
      <c r="D293" s="8"/>
    </row>
    <row r="294" spans="4:4" x14ac:dyDescent="0.25">
      <c r="D294" s="8"/>
    </row>
    <row r="295" spans="4:4" x14ac:dyDescent="0.25">
      <c r="D295" s="8"/>
    </row>
    <row r="296" spans="4:4" x14ac:dyDescent="0.25">
      <c r="D296" s="8"/>
    </row>
    <row r="297" spans="4:4" x14ac:dyDescent="0.25">
      <c r="D297" s="8"/>
    </row>
    <row r="298" spans="4:4" x14ac:dyDescent="0.25">
      <c r="D298" s="8"/>
    </row>
    <row r="299" spans="4:4" x14ac:dyDescent="0.25">
      <c r="D299" s="8"/>
    </row>
    <row r="300" spans="4:4" x14ac:dyDescent="0.25">
      <c r="D300" s="8"/>
    </row>
    <row r="301" spans="4:4" x14ac:dyDescent="0.25">
      <c r="D301" s="8"/>
    </row>
    <row r="302" spans="4:4" x14ac:dyDescent="0.25">
      <c r="D302" s="8"/>
    </row>
    <row r="303" spans="4:4" x14ac:dyDescent="0.25">
      <c r="D303" s="8"/>
    </row>
    <row r="304" spans="4:4" x14ac:dyDescent="0.25">
      <c r="D304" s="8"/>
    </row>
    <row r="305" spans="4:4" x14ac:dyDescent="0.25">
      <c r="D305" s="8"/>
    </row>
    <row r="306" spans="4:4" x14ac:dyDescent="0.25">
      <c r="D306" s="8"/>
    </row>
    <row r="307" spans="4:4" x14ac:dyDescent="0.25">
      <c r="D307" s="8"/>
    </row>
    <row r="308" spans="4:4" x14ac:dyDescent="0.25">
      <c r="D308" s="8"/>
    </row>
    <row r="309" spans="4:4" x14ac:dyDescent="0.25">
      <c r="D309" s="8"/>
    </row>
    <row r="310" spans="4:4" x14ac:dyDescent="0.25">
      <c r="D310" s="8"/>
    </row>
    <row r="311" spans="4:4" x14ac:dyDescent="0.25">
      <c r="D311" s="8"/>
    </row>
    <row r="312" spans="4:4" x14ac:dyDescent="0.25">
      <c r="D312" s="8"/>
    </row>
    <row r="313" spans="4:4" x14ac:dyDescent="0.25">
      <c r="D313" s="8"/>
    </row>
    <row r="314" spans="4:4" x14ac:dyDescent="0.25">
      <c r="D314" s="8"/>
    </row>
    <row r="315" spans="4:4" x14ac:dyDescent="0.25">
      <c r="D315" s="8"/>
    </row>
    <row r="316" spans="4:4" x14ac:dyDescent="0.25">
      <c r="D316" s="8"/>
    </row>
    <row r="317" spans="4:4" x14ac:dyDescent="0.25">
      <c r="D317" s="8"/>
    </row>
    <row r="318" spans="4:4" x14ac:dyDescent="0.25">
      <c r="D318" s="8"/>
    </row>
    <row r="319" spans="4:4" x14ac:dyDescent="0.25">
      <c r="D319" s="8"/>
    </row>
    <row r="320" spans="4:4" x14ac:dyDescent="0.25">
      <c r="D320" s="8"/>
    </row>
    <row r="321" spans="4:4" x14ac:dyDescent="0.25">
      <c r="D321" s="8"/>
    </row>
    <row r="322" spans="4:4" x14ac:dyDescent="0.25">
      <c r="D322" s="8"/>
    </row>
    <row r="323" spans="4:4" x14ac:dyDescent="0.25">
      <c r="D323" s="8"/>
    </row>
    <row r="324" spans="4:4" x14ac:dyDescent="0.25">
      <c r="D324" s="8"/>
    </row>
    <row r="325" spans="4:4" x14ac:dyDescent="0.25">
      <c r="D325" s="8"/>
    </row>
    <row r="326" spans="4:4" x14ac:dyDescent="0.25">
      <c r="D326" s="8"/>
    </row>
    <row r="327" spans="4:4" x14ac:dyDescent="0.25">
      <c r="D327" s="8"/>
    </row>
    <row r="328" spans="4:4" x14ac:dyDescent="0.25">
      <c r="D328" s="8"/>
    </row>
    <row r="329" spans="4:4" x14ac:dyDescent="0.25">
      <c r="D329" s="8"/>
    </row>
    <row r="330" spans="4:4" x14ac:dyDescent="0.25">
      <c r="D330" s="8"/>
    </row>
    <row r="331" spans="4:4" x14ac:dyDescent="0.25">
      <c r="D331" s="8"/>
    </row>
    <row r="332" spans="4:4" x14ac:dyDescent="0.25">
      <c r="D332" s="8"/>
    </row>
    <row r="333" spans="4:4" x14ac:dyDescent="0.25">
      <c r="D333" s="8"/>
    </row>
    <row r="334" spans="4:4" x14ac:dyDescent="0.25">
      <c r="D334" s="8"/>
    </row>
    <row r="335" spans="4:4" x14ac:dyDescent="0.25">
      <c r="D335" s="8"/>
    </row>
    <row r="336" spans="4:4" x14ac:dyDescent="0.25">
      <c r="D336" s="8"/>
    </row>
    <row r="337" spans="4:4" x14ac:dyDescent="0.25">
      <c r="D337" s="8"/>
    </row>
    <row r="338" spans="4:4" x14ac:dyDescent="0.25">
      <c r="D338" s="8"/>
    </row>
    <row r="339" spans="4:4" x14ac:dyDescent="0.25">
      <c r="D339" s="8"/>
    </row>
    <row r="340" spans="4:4" x14ac:dyDescent="0.25">
      <c r="D340" s="8"/>
    </row>
    <row r="341" spans="4:4" x14ac:dyDescent="0.25">
      <c r="D341" s="8"/>
    </row>
    <row r="342" spans="4:4" x14ac:dyDescent="0.25">
      <c r="D342" s="8"/>
    </row>
    <row r="343" spans="4:4" x14ac:dyDescent="0.25">
      <c r="D343" s="8"/>
    </row>
    <row r="344" spans="4:4" x14ac:dyDescent="0.25">
      <c r="D344" s="8"/>
    </row>
    <row r="345" spans="4:4" x14ac:dyDescent="0.25">
      <c r="D345" s="8"/>
    </row>
    <row r="346" spans="4:4" x14ac:dyDescent="0.25">
      <c r="D346" s="8"/>
    </row>
    <row r="347" spans="4:4" x14ac:dyDescent="0.25">
      <c r="D347" s="8"/>
    </row>
    <row r="348" spans="4:4" x14ac:dyDescent="0.25">
      <c r="D348" s="8"/>
    </row>
    <row r="349" spans="4:4" x14ac:dyDescent="0.25">
      <c r="D349" s="8"/>
    </row>
    <row r="350" spans="4:4" x14ac:dyDescent="0.25">
      <c r="D350" s="8"/>
    </row>
    <row r="351" spans="4:4" x14ac:dyDescent="0.25">
      <c r="D351" s="8"/>
    </row>
    <row r="352" spans="4:4" x14ac:dyDescent="0.25">
      <c r="D352" s="8"/>
    </row>
    <row r="353" spans="4:4" x14ac:dyDescent="0.25">
      <c r="D353" s="8"/>
    </row>
    <row r="354" spans="4:4" x14ac:dyDescent="0.25">
      <c r="D354" s="8"/>
    </row>
    <row r="355" spans="4:4" x14ac:dyDescent="0.25">
      <c r="D355" s="8"/>
    </row>
    <row r="356" spans="4:4" x14ac:dyDescent="0.25">
      <c r="D356" s="8"/>
    </row>
    <row r="357" spans="4:4" x14ac:dyDescent="0.25">
      <c r="D357" s="8"/>
    </row>
    <row r="358" spans="4:4" x14ac:dyDescent="0.25">
      <c r="D358" s="8"/>
    </row>
    <row r="359" spans="4:4" x14ac:dyDescent="0.25">
      <c r="D359" s="8"/>
    </row>
    <row r="360" spans="4:4" x14ac:dyDescent="0.25">
      <c r="D360" s="8"/>
    </row>
    <row r="361" spans="4:4" x14ac:dyDescent="0.25">
      <c r="D361" s="8"/>
    </row>
    <row r="362" spans="4:4" x14ac:dyDescent="0.25">
      <c r="D362" s="8"/>
    </row>
    <row r="363" spans="4:4" x14ac:dyDescent="0.25">
      <c r="D363" s="8"/>
    </row>
    <row r="364" spans="4:4" x14ac:dyDescent="0.25">
      <c r="D364" s="8"/>
    </row>
    <row r="365" spans="4:4" x14ac:dyDescent="0.25">
      <c r="D365" s="8"/>
    </row>
    <row r="366" spans="4:4" x14ac:dyDescent="0.25">
      <c r="D366" s="8"/>
    </row>
    <row r="367" spans="4:4" x14ac:dyDescent="0.25">
      <c r="D367" s="8"/>
    </row>
    <row r="368" spans="4:4" x14ac:dyDescent="0.25">
      <c r="D368" s="8"/>
    </row>
    <row r="369" spans="4:4" x14ac:dyDescent="0.25">
      <c r="D369" s="8"/>
    </row>
    <row r="370" spans="4:4" x14ac:dyDescent="0.25">
      <c r="D370" s="8"/>
    </row>
    <row r="371" spans="4:4" x14ac:dyDescent="0.25">
      <c r="D371" s="8"/>
    </row>
    <row r="372" spans="4:4" x14ac:dyDescent="0.25">
      <c r="D372" s="8"/>
    </row>
    <row r="373" spans="4:4" x14ac:dyDescent="0.25">
      <c r="D373" s="8"/>
    </row>
    <row r="374" spans="4:4" x14ac:dyDescent="0.25">
      <c r="D374" s="8"/>
    </row>
    <row r="375" spans="4:4" x14ac:dyDescent="0.25">
      <c r="D375" s="8"/>
    </row>
    <row r="376" spans="4:4" x14ac:dyDescent="0.25">
      <c r="D376" s="8"/>
    </row>
    <row r="377" spans="4:4" x14ac:dyDescent="0.25">
      <c r="D377" s="8"/>
    </row>
    <row r="378" spans="4:4" x14ac:dyDescent="0.25">
      <c r="D378" s="8"/>
    </row>
    <row r="379" spans="4:4" x14ac:dyDescent="0.25">
      <c r="D379" s="8"/>
    </row>
    <row r="380" spans="4:4" x14ac:dyDescent="0.25">
      <c r="D380" s="8"/>
    </row>
    <row r="381" spans="4:4" x14ac:dyDescent="0.25">
      <c r="D381" s="8"/>
    </row>
    <row r="382" spans="4:4" x14ac:dyDescent="0.25">
      <c r="D382" s="8"/>
    </row>
    <row r="383" spans="4:4" x14ac:dyDescent="0.25">
      <c r="D383" s="8"/>
    </row>
    <row r="384" spans="4:4" x14ac:dyDescent="0.25">
      <c r="D384" s="8"/>
    </row>
    <row r="385" spans="4:4" x14ac:dyDescent="0.25">
      <c r="D385" s="8"/>
    </row>
    <row r="386" spans="4:4" x14ac:dyDescent="0.25">
      <c r="D386" s="8"/>
    </row>
    <row r="387" spans="4:4" x14ac:dyDescent="0.25">
      <c r="D387" s="8"/>
    </row>
    <row r="388" spans="4:4" x14ac:dyDescent="0.25">
      <c r="D388" s="8"/>
    </row>
    <row r="389" spans="4:4" x14ac:dyDescent="0.25">
      <c r="D389" s="8"/>
    </row>
    <row r="390" spans="4:4" x14ac:dyDescent="0.25">
      <c r="D390" s="8"/>
    </row>
    <row r="391" spans="4:4" x14ac:dyDescent="0.25">
      <c r="D391" s="8"/>
    </row>
    <row r="392" spans="4:4" x14ac:dyDescent="0.25">
      <c r="D392" s="8"/>
    </row>
    <row r="393" spans="4:4" x14ac:dyDescent="0.25">
      <c r="D393" s="8"/>
    </row>
    <row r="394" spans="4:4" x14ac:dyDescent="0.25">
      <c r="D394" s="8"/>
    </row>
    <row r="395" spans="4:4" x14ac:dyDescent="0.25">
      <c r="D395" s="8"/>
    </row>
    <row r="396" spans="4:4" x14ac:dyDescent="0.25">
      <c r="D396" s="8"/>
    </row>
    <row r="397" spans="4:4" x14ac:dyDescent="0.25">
      <c r="D397" s="8"/>
    </row>
    <row r="398" spans="4:4" x14ac:dyDescent="0.25">
      <c r="D398" s="8"/>
    </row>
    <row r="399" spans="4:4" x14ac:dyDescent="0.25">
      <c r="D399" s="8"/>
    </row>
    <row r="400" spans="4:4" x14ac:dyDescent="0.25">
      <c r="D400" s="8"/>
    </row>
    <row r="401" spans="4:4" x14ac:dyDescent="0.25">
      <c r="D401" s="8"/>
    </row>
    <row r="402" spans="4:4" x14ac:dyDescent="0.25">
      <c r="D402" s="8"/>
    </row>
    <row r="403" spans="4:4" x14ac:dyDescent="0.25">
      <c r="D403" s="8"/>
    </row>
    <row r="404" spans="4:4" x14ac:dyDescent="0.25">
      <c r="D404" s="8"/>
    </row>
    <row r="405" spans="4:4" x14ac:dyDescent="0.25">
      <c r="D405" s="8"/>
    </row>
    <row r="406" spans="4:4" x14ac:dyDescent="0.25">
      <c r="D406" s="8"/>
    </row>
    <row r="407" spans="4:4" x14ac:dyDescent="0.25">
      <c r="D407" s="8"/>
    </row>
    <row r="408" spans="4:4" x14ac:dyDescent="0.25">
      <c r="D408" s="8"/>
    </row>
    <row r="409" spans="4:4" x14ac:dyDescent="0.25">
      <c r="D409" s="8"/>
    </row>
    <row r="410" spans="4:4" x14ac:dyDescent="0.25">
      <c r="D410" s="8"/>
    </row>
    <row r="411" spans="4:4" x14ac:dyDescent="0.25">
      <c r="D411" s="8"/>
    </row>
    <row r="412" spans="4:4" x14ac:dyDescent="0.25">
      <c r="D412" s="8"/>
    </row>
    <row r="413" spans="4:4" x14ac:dyDescent="0.25">
      <c r="D413" s="8"/>
    </row>
    <row r="414" spans="4:4" x14ac:dyDescent="0.25">
      <c r="D414" s="8"/>
    </row>
    <row r="415" spans="4:4" x14ac:dyDescent="0.25">
      <c r="D415" s="8"/>
    </row>
    <row r="416" spans="4:4" x14ac:dyDescent="0.25">
      <c r="D416" s="8"/>
    </row>
    <row r="417" spans="4:4" x14ac:dyDescent="0.25">
      <c r="D417" s="8"/>
    </row>
    <row r="418" spans="4:4" x14ac:dyDescent="0.25">
      <c r="D418" s="8"/>
    </row>
    <row r="419" spans="4:4" x14ac:dyDescent="0.25">
      <c r="D419" s="8"/>
    </row>
    <row r="420" spans="4:4" x14ac:dyDescent="0.25">
      <c r="D420" s="8"/>
    </row>
    <row r="421" spans="4:4" x14ac:dyDescent="0.25">
      <c r="D421" s="8"/>
    </row>
    <row r="422" spans="4:4" x14ac:dyDescent="0.25">
      <c r="D422" s="8"/>
    </row>
    <row r="423" spans="4:4" x14ac:dyDescent="0.25">
      <c r="D423" s="8"/>
    </row>
    <row r="424" spans="4:4" x14ac:dyDescent="0.25">
      <c r="D424" s="8"/>
    </row>
    <row r="425" spans="4:4" x14ac:dyDescent="0.25">
      <c r="D425" s="8"/>
    </row>
    <row r="426" spans="4:4" x14ac:dyDescent="0.25">
      <c r="D426" s="8"/>
    </row>
    <row r="427" spans="4:4" x14ac:dyDescent="0.25">
      <c r="D427" s="8"/>
    </row>
    <row r="428" spans="4:4" x14ac:dyDescent="0.25">
      <c r="D428" s="8"/>
    </row>
    <row r="429" spans="4:4" x14ac:dyDescent="0.25">
      <c r="D429" s="8"/>
    </row>
    <row r="430" spans="4:4" x14ac:dyDescent="0.25">
      <c r="D430" s="8"/>
    </row>
    <row r="431" spans="4:4" x14ac:dyDescent="0.25">
      <c r="D431" s="8"/>
    </row>
    <row r="432" spans="4:4" x14ac:dyDescent="0.25">
      <c r="D432" s="8"/>
    </row>
    <row r="433" spans="4:4" x14ac:dyDescent="0.25">
      <c r="D433" s="8"/>
    </row>
    <row r="434" spans="4:4" x14ac:dyDescent="0.25">
      <c r="D434" s="8"/>
    </row>
    <row r="435" spans="4:4" x14ac:dyDescent="0.25">
      <c r="D435" s="8"/>
    </row>
    <row r="436" spans="4:4" x14ac:dyDescent="0.25">
      <c r="D436" s="8"/>
    </row>
    <row r="437" spans="4:4" x14ac:dyDescent="0.25">
      <c r="D437" s="8"/>
    </row>
    <row r="438" spans="4:4" x14ac:dyDescent="0.25">
      <c r="D438" s="8"/>
    </row>
    <row r="439" spans="4:4" x14ac:dyDescent="0.25">
      <c r="D439" s="8"/>
    </row>
    <row r="440" spans="4:4" x14ac:dyDescent="0.25">
      <c r="D440" s="8"/>
    </row>
    <row r="441" spans="4:4" x14ac:dyDescent="0.25">
      <c r="D441" s="8"/>
    </row>
    <row r="442" spans="4:4" x14ac:dyDescent="0.25">
      <c r="D442" s="8"/>
    </row>
    <row r="443" spans="4:4" x14ac:dyDescent="0.25">
      <c r="D443" s="8"/>
    </row>
    <row r="444" spans="4:4" x14ac:dyDescent="0.25">
      <c r="D444" s="8"/>
    </row>
    <row r="445" spans="4:4" x14ac:dyDescent="0.25">
      <c r="D445" s="8"/>
    </row>
    <row r="446" spans="4:4" x14ac:dyDescent="0.25">
      <c r="D446" s="8"/>
    </row>
    <row r="447" spans="4:4" x14ac:dyDescent="0.25">
      <c r="D447" s="8"/>
    </row>
    <row r="448" spans="4:4" x14ac:dyDescent="0.25">
      <c r="D448" s="8"/>
    </row>
    <row r="449" spans="4:4" x14ac:dyDescent="0.25">
      <c r="D449" s="8"/>
    </row>
    <row r="450" spans="4:4" x14ac:dyDescent="0.25">
      <c r="D450" s="8"/>
    </row>
    <row r="451" spans="4:4" x14ac:dyDescent="0.25">
      <c r="D451" s="8"/>
    </row>
    <row r="452" spans="4:4" x14ac:dyDescent="0.25">
      <c r="D452" s="8"/>
    </row>
    <row r="453" spans="4:4" x14ac:dyDescent="0.25">
      <c r="D453" s="8"/>
    </row>
    <row r="454" spans="4:4" x14ac:dyDescent="0.25">
      <c r="D454" s="8"/>
    </row>
    <row r="455" spans="4:4" x14ac:dyDescent="0.25">
      <c r="D455" s="8"/>
    </row>
    <row r="456" spans="4:4" x14ac:dyDescent="0.25">
      <c r="D456" s="8"/>
    </row>
    <row r="457" spans="4:4" x14ac:dyDescent="0.25">
      <c r="D457" s="8"/>
    </row>
    <row r="458" spans="4:4" x14ac:dyDescent="0.25">
      <c r="D458" s="8"/>
    </row>
    <row r="459" spans="4:4" x14ac:dyDescent="0.25">
      <c r="D459" s="8"/>
    </row>
    <row r="460" spans="4:4" x14ac:dyDescent="0.25">
      <c r="D460" s="8"/>
    </row>
    <row r="461" spans="4:4" x14ac:dyDescent="0.25">
      <c r="D461" s="8"/>
    </row>
    <row r="462" spans="4:4" x14ac:dyDescent="0.25">
      <c r="D462" s="8"/>
    </row>
    <row r="463" spans="4:4" x14ac:dyDescent="0.25">
      <c r="D463" s="8"/>
    </row>
    <row r="464" spans="4:4" x14ac:dyDescent="0.25">
      <c r="D464" s="8"/>
    </row>
    <row r="465" spans="4:4" x14ac:dyDescent="0.25">
      <c r="D465" s="8"/>
    </row>
    <row r="466" spans="4:4" x14ac:dyDescent="0.25">
      <c r="D466" s="8"/>
    </row>
    <row r="467" spans="4:4" x14ac:dyDescent="0.25">
      <c r="D467" s="8"/>
    </row>
    <row r="468" spans="4:4" x14ac:dyDescent="0.25">
      <c r="D468" s="8"/>
    </row>
    <row r="469" spans="4:4" x14ac:dyDescent="0.25">
      <c r="D469" s="8"/>
    </row>
    <row r="470" spans="4:4" x14ac:dyDescent="0.25">
      <c r="D470" s="8"/>
    </row>
    <row r="471" spans="4:4" x14ac:dyDescent="0.25">
      <c r="D471" s="8"/>
    </row>
    <row r="472" spans="4:4" x14ac:dyDescent="0.25">
      <c r="D472" s="8"/>
    </row>
    <row r="473" spans="4:4" x14ac:dyDescent="0.25">
      <c r="D473" s="8"/>
    </row>
    <row r="474" spans="4:4" x14ac:dyDescent="0.25">
      <c r="D474" s="8"/>
    </row>
    <row r="475" spans="4:4" x14ac:dyDescent="0.25">
      <c r="D475" s="8"/>
    </row>
    <row r="476" spans="4:4" x14ac:dyDescent="0.25">
      <c r="D476" s="8"/>
    </row>
    <row r="477" spans="4:4" x14ac:dyDescent="0.25">
      <c r="D477" s="8"/>
    </row>
    <row r="478" spans="4:4" x14ac:dyDescent="0.25">
      <c r="D478" s="8"/>
    </row>
    <row r="479" spans="4:4" x14ac:dyDescent="0.25">
      <c r="D479" s="8"/>
    </row>
    <row r="480" spans="4:4" x14ac:dyDescent="0.25">
      <c r="D480" s="8"/>
    </row>
    <row r="481" spans="4:4" x14ac:dyDescent="0.25">
      <c r="D481" s="8"/>
    </row>
    <row r="482" spans="4:4" x14ac:dyDescent="0.25">
      <c r="D482" s="8"/>
    </row>
    <row r="483" spans="4:4" x14ac:dyDescent="0.25">
      <c r="D483" s="8"/>
    </row>
    <row r="484" spans="4:4" x14ac:dyDescent="0.25">
      <c r="D484" s="8"/>
    </row>
    <row r="485" spans="4:4" x14ac:dyDescent="0.25">
      <c r="D485" s="8"/>
    </row>
    <row r="486" spans="4:4" x14ac:dyDescent="0.25">
      <c r="D486" s="8"/>
    </row>
    <row r="487" spans="4:4" x14ac:dyDescent="0.25">
      <c r="D487" s="8"/>
    </row>
    <row r="488" spans="4:4" x14ac:dyDescent="0.25">
      <c r="D488" s="8"/>
    </row>
    <row r="489" spans="4:4" x14ac:dyDescent="0.25">
      <c r="D489" s="8"/>
    </row>
    <row r="490" spans="4:4" x14ac:dyDescent="0.25">
      <c r="D490" s="8"/>
    </row>
    <row r="491" spans="4:4" x14ac:dyDescent="0.25">
      <c r="D491" s="8"/>
    </row>
    <row r="492" spans="4:4" x14ac:dyDescent="0.25">
      <c r="D492" s="8"/>
    </row>
    <row r="493" spans="4:4" x14ac:dyDescent="0.25">
      <c r="D493" s="8"/>
    </row>
    <row r="494" spans="4:4" x14ac:dyDescent="0.25">
      <c r="D494" s="8"/>
    </row>
    <row r="495" spans="4:4" x14ac:dyDescent="0.25">
      <c r="D495" s="8"/>
    </row>
    <row r="496" spans="4:4" x14ac:dyDescent="0.25">
      <c r="D496" s="8"/>
    </row>
    <row r="497" spans="4:4" x14ac:dyDescent="0.25">
      <c r="D497" s="8"/>
    </row>
    <row r="498" spans="4:4" x14ac:dyDescent="0.25">
      <c r="D498" s="8"/>
    </row>
    <row r="499" spans="4:4" x14ac:dyDescent="0.25">
      <c r="D499" s="8"/>
    </row>
    <row r="500" spans="4:4" x14ac:dyDescent="0.25">
      <c r="D500" s="8"/>
    </row>
    <row r="501" spans="4:4" x14ac:dyDescent="0.25">
      <c r="D501" s="8"/>
    </row>
    <row r="502" spans="4:4" x14ac:dyDescent="0.25">
      <c r="D502" s="8"/>
    </row>
    <row r="503" spans="4:4" x14ac:dyDescent="0.25">
      <c r="D503" s="8"/>
    </row>
    <row r="504" spans="4:4" x14ac:dyDescent="0.25">
      <c r="D504" s="8"/>
    </row>
    <row r="505" spans="4:4" x14ac:dyDescent="0.25">
      <c r="D505" s="8"/>
    </row>
    <row r="506" spans="4:4" x14ac:dyDescent="0.25">
      <c r="D506" s="8"/>
    </row>
    <row r="507" spans="4:4" x14ac:dyDescent="0.25">
      <c r="D507" s="8"/>
    </row>
    <row r="508" spans="4:4" x14ac:dyDescent="0.25">
      <c r="D508" s="8"/>
    </row>
    <row r="509" spans="4:4" x14ac:dyDescent="0.25">
      <c r="D509" s="8"/>
    </row>
    <row r="510" spans="4:4" x14ac:dyDescent="0.25">
      <c r="D510" s="8"/>
    </row>
    <row r="511" spans="4:4" x14ac:dyDescent="0.25">
      <c r="D511" s="8"/>
    </row>
    <row r="512" spans="4:4" x14ac:dyDescent="0.25">
      <c r="D512" s="8"/>
    </row>
    <row r="513" spans="4:4" x14ac:dyDescent="0.25">
      <c r="D513" s="8"/>
    </row>
    <row r="514" spans="4:4" x14ac:dyDescent="0.25">
      <c r="D514" s="8"/>
    </row>
    <row r="515" spans="4:4" x14ac:dyDescent="0.25">
      <c r="D515" s="8"/>
    </row>
    <row r="516" spans="4:4" x14ac:dyDescent="0.25">
      <c r="D516" s="8"/>
    </row>
    <row r="517" spans="4:4" x14ac:dyDescent="0.25">
      <c r="D517" s="8"/>
    </row>
    <row r="518" spans="4:4" x14ac:dyDescent="0.25">
      <c r="D518" s="8"/>
    </row>
    <row r="519" spans="4:4" x14ac:dyDescent="0.25">
      <c r="D519" s="8"/>
    </row>
    <row r="520" spans="4:4" x14ac:dyDescent="0.25">
      <c r="D520" s="8"/>
    </row>
    <row r="521" spans="4:4" x14ac:dyDescent="0.25">
      <c r="D521" s="8"/>
    </row>
    <row r="522" spans="4:4" x14ac:dyDescent="0.25">
      <c r="D522" s="8"/>
    </row>
    <row r="523" spans="4:4" x14ac:dyDescent="0.25">
      <c r="D523" s="8"/>
    </row>
    <row r="524" spans="4:4" x14ac:dyDescent="0.25">
      <c r="D524" s="8"/>
    </row>
    <row r="525" spans="4:4" x14ac:dyDescent="0.25">
      <c r="D525" s="8"/>
    </row>
    <row r="526" spans="4:4" x14ac:dyDescent="0.25">
      <c r="D526" s="8"/>
    </row>
    <row r="527" spans="4:4" x14ac:dyDescent="0.25">
      <c r="D527" s="8"/>
    </row>
    <row r="528" spans="4:4" x14ac:dyDescent="0.25">
      <c r="D528" s="8"/>
    </row>
    <row r="529" spans="4:4" x14ac:dyDescent="0.25">
      <c r="D529" s="8"/>
    </row>
    <row r="530" spans="4:4" x14ac:dyDescent="0.25">
      <c r="D530" s="8"/>
    </row>
    <row r="531" spans="4:4" x14ac:dyDescent="0.25">
      <c r="D531" s="8"/>
    </row>
    <row r="532" spans="4:4" x14ac:dyDescent="0.25">
      <c r="D532" s="8"/>
    </row>
    <row r="533" spans="4:4" x14ac:dyDescent="0.25">
      <c r="D533" s="8"/>
    </row>
    <row r="534" spans="4:4" x14ac:dyDescent="0.25">
      <c r="D534" s="8"/>
    </row>
    <row r="535" spans="4:4" x14ac:dyDescent="0.25">
      <c r="D535" s="8"/>
    </row>
    <row r="536" spans="4:4" x14ac:dyDescent="0.25">
      <c r="D536" s="8"/>
    </row>
    <row r="537" spans="4:4" x14ac:dyDescent="0.25">
      <c r="D537" s="8"/>
    </row>
    <row r="538" spans="4:4" x14ac:dyDescent="0.25">
      <c r="D538" s="8"/>
    </row>
    <row r="539" spans="4:4" x14ac:dyDescent="0.25">
      <c r="D539" s="8"/>
    </row>
    <row r="540" spans="4:4" x14ac:dyDescent="0.25">
      <c r="D540" s="8"/>
    </row>
    <row r="541" spans="4:4" x14ac:dyDescent="0.25">
      <c r="D541" s="8"/>
    </row>
    <row r="542" spans="4:4" x14ac:dyDescent="0.25">
      <c r="D542" s="8"/>
    </row>
    <row r="543" spans="4:4" x14ac:dyDescent="0.25">
      <c r="D543" s="8"/>
    </row>
    <row r="544" spans="4:4" x14ac:dyDescent="0.25">
      <c r="D544" s="8"/>
    </row>
    <row r="545" spans="4:4" x14ac:dyDescent="0.25">
      <c r="D545" s="8"/>
    </row>
    <row r="546" spans="4:4" x14ac:dyDescent="0.25">
      <c r="D546" s="8"/>
    </row>
    <row r="547" spans="4:4" x14ac:dyDescent="0.25">
      <c r="D547" s="8"/>
    </row>
    <row r="548" spans="4:4" x14ac:dyDescent="0.25">
      <c r="D548" s="8"/>
    </row>
    <row r="549" spans="4:4" x14ac:dyDescent="0.25">
      <c r="D549" s="8"/>
    </row>
    <row r="550" spans="4:4" x14ac:dyDescent="0.25">
      <c r="D550" s="8"/>
    </row>
    <row r="551" spans="4:4" x14ac:dyDescent="0.25">
      <c r="D551" s="8"/>
    </row>
    <row r="552" spans="4:4" x14ac:dyDescent="0.25">
      <c r="D552" s="8"/>
    </row>
    <row r="553" spans="4:4" x14ac:dyDescent="0.25">
      <c r="D553" s="8"/>
    </row>
    <row r="554" spans="4:4" x14ac:dyDescent="0.25">
      <c r="D554" s="8"/>
    </row>
    <row r="555" spans="4:4" x14ac:dyDescent="0.25">
      <c r="D555" s="8"/>
    </row>
    <row r="556" spans="4:4" x14ac:dyDescent="0.25">
      <c r="D556" s="8"/>
    </row>
    <row r="557" spans="4:4" x14ac:dyDescent="0.25">
      <c r="D557" s="8"/>
    </row>
    <row r="558" spans="4:4" x14ac:dyDescent="0.25">
      <c r="D558" s="8"/>
    </row>
    <row r="559" spans="4:4" x14ac:dyDescent="0.25">
      <c r="D559" s="8"/>
    </row>
    <row r="560" spans="4:4" x14ac:dyDescent="0.25">
      <c r="D560" s="8"/>
    </row>
    <row r="561" spans="4:4" x14ac:dyDescent="0.25">
      <c r="D561" s="8"/>
    </row>
    <row r="562" spans="4:4" x14ac:dyDescent="0.25">
      <c r="D562" s="8"/>
    </row>
    <row r="563" spans="4:4" x14ac:dyDescent="0.25">
      <c r="D563" s="8"/>
    </row>
    <row r="564" spans="4:4" x14ac:dyDescent="0.25">
      <c r="D564" s="8"/>
    </row>
    <row r="565" spans="4:4" x14ac:dyDescent="0.25">
      <c r="D565" s="8"/>
    </row>
    <row r="566" spans="4:4" x14ac:dyDescent="0.25">
      <c r="D566" s="8"/>
    </row>
    <row r="567" spans="4:4" x14ac:dyDescent="0.25">
      <c r="D567" s="8"/>
    </row>
    <row r="568" spans="4:4" x14ac:dyDescent="0.25">
      <c r="D568" s="8"/>
    </row>
    <row r="569" spans="4:4" x14ac:dyDescent="0.25">
      <c r="D569" s="8"/>
    </row>
    <row r="570" spans="4:4" x14ac:dyDescent="0.25">
      <c r="D570" s="8"/>
    </row>
    <row r="571" spans="4:4" x14ac:dyDescent="0.25">
      <c r="D571" s="8"/>
    </row>
    <row r="572" spans="4:4" x14ac:dyDescent="0.25">
      <c r="D572" s="8"/>
    </row>
    <row r="573" spans="4:4" x14ac:dyDescent="0.25">
      <c r="D573" s="8"/>
    </row>
    <row r="574" spans="4:4" x14ac:dyDescent="0.25">
      <c r="D574" s="8"/>
    </row>
    <row r="575" spans="4:4" x14ac:dyDescent="0.25">
      <c r="D575" s="8"/>
    </row>
    <row r="576" spans="4:4" x14ac:dyDescent="0.25">
      <c r="D576" s="8"/>
    </row>
    <row r="577" spans="4:4" x14ac:dyDescent="0.25">
      <c r="D577" s="8"/>
    </row>
    <row r="578" spans="4:4" x14ac:dyDescent="0.25">
      <c r="D578" s="8"/>
    </row>
    <row r="579" spans="4:4" x14ac:dyDescent="0.25">
      <c r="D579" s="8"/>
    </row>
    <row r="580" spans="4:4" x14ac:dyDescent="0.25">
      <c r="D580" s="8"/>
    </row>
    <row r="581" spans="4:4" x14ac:dyDescent="0.25">
      <c r="D581" s="8"/>
    </row>
    <row r="582" spans="4:4" x14ac:dyDescent="0.25">
      <c r="D582" s="8"/>
    </row>
    <row r="583" spans="4:4" x14ac:dyDescent="0.25">
      <c r="D583" s="8"/>
    </row>
    <row r="584" spans="4:4" x14ac:dyDescent="0.25">
      <c r="D584" s="8"/>
    </row>
    <row r="585" spans="4:4" x14ac:dyDescent="0.25">
      <c r="D585" s="8"/>
    </row>
    <row r="586" spans="4:4" x14ac:dyDescent="0.25">
      <c r="D586" s="8"/>
    </row>
    <row r="587" spans="4:4" x14ac:dyDescent="0.25">
      <c r="D587" s="8"/>
    </row>
    <row r="588" spans="4:4" x14ac:dyDescent="0.25">
      <c r="D588" s="8"/>
    </row>
    <row r="589" spans="4:4" x14ac:dyDescent="0.25">
      <c r="D589" s="8"/>
    </row>
    <row r="590" spans="4:4" x14ac:dyDescent="0.25">
      <c r="D590" s="8"/>
    </row>
    <row r="591" spans="4:4" x14ac:dyDescent="0.25">
      <c r="D591" s="8"/>
    </row>
    <row r="592" spans="4:4" x14ac:dyDescent="0.25">
      <c r="D592" s="8"/>
    </row>
    <row r="593" spans="4:4" x14ac:dyDescent="0.25">
      <c r="D593" s="8"/>
    </row>
    <row r="594" spans="4:4" x14ac:dyDescent="0.25">
      <c r="D594" s="8"/>
    </row>
    <row r="595" spans="4:4" x14ac:dyDescent="0.25">
      <c r="D595" s="8"/>
    </row>
    <row r="596" spans="4:4" x14ac:dyDescent="0.25">
      <c r="D596" s="8"/>
    </row>
    <row r="597" spans="4:4" x14ac:dyDescent="0.25">
      <c r="D597" s="8"/>
    </row>
    <row r="598" spans="4:4" x14ac:dyDescent="0.25">
      <c r="D598" s="8"/>
    </row>
    <row r="599" spans="4:4" x14ac:dyDescent="0.25">
      <c r="D599" s="8"/>
    </row>
    <row r="600" spans="4:4" x14ac:dyDescent="0.25">
      <c r="D600" s="8"/>
    </row>
    <row r="601" spans="4:4" x14ac:dyDescent="0.25">
      <c r="D601" s="8"/>
    </row>
    <row r="602" spans="4:4" x14ac:dyDescent="0.25">
      <c r="D602" s="8"/>
    </row>
    <row r="603" spans="4:4" x14ac:dyDescent="0.25">
      <c r="D603" s="8"/>
    </row>
    <row r="604" spans="4:4" x14ac:dyDescent="0.25">
      <c r="D604" s="8"/>
    </row>
    <row r="605" spans="4:4" x14ac:dyDescent="0.25">
      <c r="D605" s="8"/>
    </row>
    <row r="606" spans="4:4" x14ac:dyDescent="0.25">
      <c r="D606" s="8"/>
    </row>
    <row r="607" spans="4:4" x14ac:dyDescent="0.25">
      <c r="D607" s="8"/>
    </row>
    <row r="608" spans="4:4" x14ac:dyDescent="0.25">
      <c r="D608" s="8"/>
    </row>
    <row r="609" spans="4:4" x14ac:dyDescent="0.25">
      <c r="D609" s="8"/>
    </row>
    <row r="610" spans="4:4" x14ac:dyDescent="0.25">
      <c r="D610" s="8"/>
    </row>
    <row r="611" spans="4:4" x14ac:dyDescent="0.25">
      <c r="D611" s="8"/>
    </row>
    <row r="612" spans="4:4" x14ac:dyDescent="0.25">
      <c r="D612" s="8"/>
    </row>
    <row r="613" spans="4:4" x14ac:dyDescent="0.25">
      <c r="D613" s="8"/>
    </row>
    <row r="614" spans="4:4" x14ac:dyDescent="0.25">
      <c r="D614" s="8"/>
    </row>
    <row r="615" spans="4:4" x14ac:dyDescent="0.25">
      <c r="D615" s="8"/>
    </row>
    <row r="616" spans="4:4" x14ac:dyDescent="0.25">
      <c r="D616" s="8"/>
    </row>
    <row r="617" spans="4:4" x14ac:dyDescent="0.25">
      <c r="D617" s="8"/>
    </row>
    <row r="618" spans="4:4" x14ac:dyDescent="0.25">
      <c r="D618" s="8"/>
    </row>
    <row r="619" spans="4:4" x14ac:dyDescent="0.25">
      <c r="D619" s="8"/>
    </row>
    <row r="620" spans="4:4" x14ac:dyDescent="0.25">
      <c r="D620" s="8"/>
    </row>
    <row r="621" spans="4:4" x14ac:dyDescent="0.25">
      <c r="D621" s="8"/>
    </row>
    <row r="622" spans="4:4" x14ac:dyDescent="0.25">
      <c r="D622" s="8"/>
    </row>
    <row r="623" spans="4:4" x14ac:dyDescent="0.25">
      <c r="D623" s="8"/>
    </row>
    <row r="624" spans="4:4" x14ac:dyDescent="0.25">
      <c r="D624" s="8"/>
    </row>
    <row r="625" spans="4:4" x14ac:dyDescent="0.25">
      <c r="D625" s="8"/>
    </row>
    <row r="626" spans="4:4" x14ac:dyDescent="0.25">
      <c r="D626" s="8"/>
    </row>
    <row r="627" spans="4:4" x14ac:dyDescent="0.25">
      <c r="D627" s="8"/>
    </row>
    <row r="628" spans="4:4" x14ac:dyDescent="0.25">
      <c r="D628" s="8"/>
    </row>
    <row r="629" spans="4:4" x14ac:dyDescent="0.25">
      <c r="D629" s="8"/>
    </row>
    <row r="630" spans="4:4" x14ac:dyDescent="0.25">
      <c r="D630" s="8"/>
    </row>
    <row r="631" spans="4:4" x14ac:dyDescent="0.25">
      <c r="D631" s="8"/>
    </row>
    <row r="632" spans="4:4" x14ac:dyDescent="0.25">
      <c r="D632" s="8"/>
    </row>
    <row r="633" spans="4:4" x14ac:dyDescent="0.25">
      <c r="D633" s="8"/>
    </row>
    <row r="634" spans="4:4" x14ac:dyDescent="0.25">
      <c r="D634" s="8"/>
    </row>
    <row r="635" spans="4:4" x14ac:dyDescent="0.25">
      <c r="D635" s="8"/>
    </row>
    <row r="636" spans="4:4" x14ac:dyDescent="0.25">
      <c r="D636" s="8"/>
    </row>
    <row r="637" spans="4:4" x14ac:dyDescent="0.25">
      <c r="D637" s="8"/>
    </row>
    <row r="638" spans="4:4" x14ac:dyDescent="0.25">
      <c r="D638" s="8"/>
    </row>
    <row r="639" spans="4:4" x14ac:dyDescent="0.25">
      <c r="D639" s="8"/>
    </row>
    <row r="640" spans="4:4" x14ac:dyDescent="0.25">
      <c r="D640" s="8"/>
    </row>
    <row r="641" spans="4:4" x14ac:dyDescent="0.25">
      <c r="D641" s="8"/>
    </row>
    <row r="642" spans="4:4" x14ac:dyDescent="0.25">
      <c r="D642" s="8"/>
    </row>
    <row r="643" spans="4:4" x14ac:dyDescent="0.25">
      <c r="D643" s="8"/>
    </row>
    <row r="644" spans="4:4" x14ac:dyDescent="0.25">
      <c r="D644" s="8"/>
    </row>
    <row r="645" spans="4:4" x14ac:dyDescent="0.25">
      <c r="D645" s="8"/>
    </row>
    <row r="646" spans="4:4" x14ac:dyDescent="0.25">
      <c r="D646" s="8"/>
    </row>
    <row r="647" spans="4:4" x14ac:dyDescent="0.25">
      <c r="D647" s="8"/>
    </row>
    <row r="648" spans="4:4" x14ac:dyDescent="0.25">
      <c r="D648" s="8"/>
    </row>
    <row r="649" spans="4:4" x14ac:dyDescent="0.25">
      <c r="D649" s="8"/>
    </row>
    <row r="650" spans="4:4" x14ac:dyDescent="0.25">
      <c r="D650" s="8"/>
    </row>
    <row r="651" spans="4:4" x14ac:dyDescent="0.25">
      <c r="D651" s="8"/>
    </row>
    <row r="652" spans="4:4" x14ac:dyDescent="0.25">
      <c r="D652" s="8"/>
    </row>
    <row r="653" spans="4:4" x14ac:dyDescent="0.25">
      <c r="D653" s="8"/>
    </row>
    <row r="654" spans="4:4" x14ac:dyDescent="0.25">
      <c r="D654" s="8"/>
    </row>
    <row r="655" spans="4:4" x14ac:dyDescent="0.25">
      <c r="D655" s="8"/>
    </row>
    <row r="656" spans="4:4" x14ac:dyDescent="0.25">
      <c r="D656" s="8"/>
    </row>
    <row r="657" spans="4:4" x14ac:dyDescent="0.25">
      <c r="D657" s="8"/>
    </row>
    <row r="658" spans="4:4" x14ac:dyDescent="0.25">
      <c r="D658" s="8"/>
    </row>
    <row r="659" spans="4:4" x14ac:dyDescent="0.25">
      <c r="D659" s="8"/>
    </row>
    <row r="660" spans="4:4" x14ac:dyDescent="0.25">
      <c r="D660" s="8"/>
    </row>
    <row r="661" spans="4:4" x14ac:dyDescent="0.25">
      <c r="D661" s="8"/>
    </row>
    <row r="662" spans="4:4" x14ac:dyDescent="0.25">
      <c r="D662" s="8"/>
    </row>
    <row r="663" spans="4:4" x14ac:dyDescent="0.25">
      <c r="D663" s="8"/>
    </row>
    <row r="664" spans="4:4" x14ac:dyDescent="0.25">
      <c r="D664" s="8"/>
    </row>
    <row r="665" spans="4:4" x14ac:dyDescent="0.25">
      <c r="D665" s="8"/>
    </row>
    <row r="666" spans="4:4" x14ac:dyDescent="0.25">
      <c r="D666" s="8"/>
    </row>
    <row r="667" spans="4:4" x14ac:dyDescent="0.25">
      <c r="D667" s="8"/>
    </row>
    <row r="668" spans="4:4" x14ac:dyDescent="0.25">
      <c r="D668" s="8"/>
    </row>
    <row r="669" spans="4:4" x14ac:dyDescent="0.25">
      <c r="D669" s="8"/>
    </row>
    <row r="670" spans="4:4" x14ac:dyDescent="0.25">
      <c r="D670" s="8"/>
    </row>
    <row r="671" spans="4:4" x14ac:dyDescent="0.25">
      <c r="D671" s="8"/>
    </row>
    <row r="672" spans="4:4" x14ac:dyDescent="0.25">
      <c r="D672" s="8"/>
    </row>
    <row r="673" spans="4:4" x14ac:dyDescent="0.25">
      <c r="D673" s="8"/>
    </row>
    <row r="674" spans="4:4" x14ac:dyDescent="0.25">
      <c r="D674" s="8"/>
    </row>
    <row r="675" spans="4:4" x14ac:dyDescent="0.25">
      <c r="D675" s="8"/>
    </row>
    <row r="676" spans="4:4" x14ac:dyDescent="0.25">
      <c r="D676" s="8"/>
    </row>
    <row r="677" spans="4:4" x14ac:dyDescent="0.25">
      <c r="D677" s="8"/>
    </row>
    <row r="678" spans="4:4" x14ac:dyDescent="0.25">
      <c r="D678" s="8"/>
    </row>
    <row r="679" spans="4:4" x14ac:dyDescent="0.25">
      <c r="D679" s="8"/>
    </row>
    <row r="680" spans="4:4" x14ac:dyDescent="0.25">
      <c r="D680" s="8"/>
    </row>
    <row r="681" spans="4:4" x14ac:dyDescent="0.25">
      <c r="D681" s="8"/>
    </row>
    <row r="682" spans="4:4" x14ac:dyDescent="0.25">
      <c r="D682" s="8"/>
    </row>
    <row r="683" spans="4:4" x14ac:dyDescent="0.25">
      <c r="D683" s="8"/>
    </row>
    <row r="684" spans="4:4" x14ac:dyDescent="0.25">
      <c r="D684" s="8"/>
    </row>
    <row r="685" spans="4:4" x14ac:dyDescent="0.25">
      <c r="D685" s="8"/>
    </row>
    <row r="686" spans="4:4" x14ac:dyDescent="0.25">
      <c r="D686" s="8"/>
    </row>
    <row r="687" spans="4:4" x14ac:dyDescent="0.25">
      <c r="D687" s="8"/>
    </row>
    <row r="688" spans="4:4" x14ac:dyDescent="0.25">
      <c r="D688" s="8"/>
    </row>
    <row r="689" spans="4:4" x14ac:dyDescent="0.25">
      <c r="D689" s="8"/>
    </row>
    <row r="690" spans="4:4" x14ac:dyDescent="0.25">
      <c r="D690" s="8"/>
    </row>
    <row r="691" spans="4:4" x14ac:dyDescent="0.25">
      <c r="D691" s="8"/>
    </row>
    <row r="692" spans="4:4" x14ac:dyDescent="0.25">
      <c r="D692" s="8"/>
    </row>
    <row r="693" spans="4:4" x14ac:dyDescent="0.25">
      <c r="D693" s="8"/>
    </row>
    <row r="694" spans="4:4" x14ac:dyDescent="0.25">
      <c r="D694" s="8"/>
    </row>
    <row r="695" spans="4:4" x14ac:dyDescent="0.25">
      <c r="D695" s="8"/>
    </row>
    <row r="696" spans="4:4" x14ac:dyDescent="0.25">
      <c r="D696" s="8"/>
    </row>
    <row r="697" spans="4:4" x14ac:dyDescent="0.25">
      <c r="D697" s="8"/>
    </row>
    <row r="698" spans="4:4" x14ac:dyDescent="0.25">
      <c r="D698" s="8"/>
    </row>
    <row r="699" spans="4:4" x14ac:dyDescent="0.25">
      <c r="D699" s="8"/>
    </row>
    <row r="700" spans="4:4" x14ac:dyDescent="0.25">
      <c r="D700" s="8"/>
    </row>
    <row r="701" spans="4:4" x14ac:dyDescent="0.25">
      <c r="D701" s="8"/>
    </row>
    <row r="702" spans="4:4" x14ac:dyDescent="0.25">
      <c r="D702" s="8"/>
    </row>
    <row r="703" spans="4:4" x14ac:dyDescent="0.25">
      <c r="D703" s="8"/>
    </row>
    <row r="704" spans="4:4" x14ac:dyDescent="0.25">
      <c r="D704" s="8"/>
    </row>
    <row r="705" spans="4:4" x14ac:dyDescent="0.25">
      <c r="D705" s="8"/>
    </row>
    <row r="706" spans="4:4" x14ac:dyDescent="0.25">
      <c r="D706" s="8"/>
    </row>
    <row r="707" spans="4:4" x14ac:dyDescent="0.25">
      <c r="D707" s="8"/>
    </row>
    <row r="708" spans="4:4" x14ac:dyDescent="0.25">
      <c r="D708" s="8"/>
    </row>
    <row r="709" spans="4:4" x14ac:dyDescent="0.25">
      <c r="D709" s="8"/>
    </row>
    <row r="710" spans="4:4" x14ac:dyDescent="0.25">
      <c r="D710" s="8"/>
    </row>
    <row r="711" spans="4:4" x14ac:dyDescent="0.25">
      <c r="D711" s="8"/>
    </row>
    <row r="712" spans="4:4" x14ac:dyDescent="0.25">
      <c r="D712" s="8"/>
    </row>
    <row r="713" spans="4:4" x14ac:dyDescent="0.25">
      <c r="D713" s="8"/>
    </row>
    <row r="714" spans="4:4" x14ac:dyDescent="0.25">
      <c r="D714" s="8"/>
    </row>
    <row r="715" spans="4:4" x14ac:dyDescent="0.25">
      <c r="D715" s="8"/>
    </row>
    <row r="716" spans="4:4" x14ac:dyDescent="0.25">
      <c r="D716" s="8"/>
    </row>
    <row r="717" spans="4:4" x14ac:dyDescent="0.25">
      <c r="D717" s="8"/>
    </row>
    <row r="718" spans="4:4" x14ac:dyDescent="0.25">
      <c r="D718" s="8"/>
    </row>
    <row r="719" spans="4:4" x14ac:dyDescent="0.25">
      <c r="D719" s="8"/>
    </row>
    <row r="720" spans="4:4" x14ac:dyDescent="0.25">
      <c r="D720" s="8"/>
    </row>
    <row r="721" spans="4:4" x14ac:dyDescent="0.25">
      <c r="D721" s="8"/>
    </row>
    <row r="722" spans="4:4" x14ac:dyDescent="0.25">
      <c r="D722" s="8"/>
    </row>
    <row r="723" spans="4:4" x14ac:dyDescent="0.25">
      <c r="D723" s="8"/>
    </row>
    <row r="724" spans="4:4" x14ac:dyDescent="0.25">
      <c r="D724" s="8"/>
    </row>
    <row r="725" spans="4:4" x14ac:dyDescent="0.25">
      <c r="D725" s="8"/>
    </row>
    <row r="726" spans="4:4" x14ac:dyDescent="0.25">
      <c r="D726" s="8"/>
    </row>
    <row r="727" spans="4:4" x14ac:dyDescent="0.25">
      <c r="D727" s="8"/>
    </row>
    <row r="728" spans="4:4" x14ac:dyDescent="0.25">
      <c r="D728" s="8"/>
    </row>
    <row r="729" spans="4:4" x14ac:dyDescent="0.25">
      <c r="D729" s="8"/>
    </row>
    <row r="730" spans="4:4" x14ac:dyDescent="0.25">
      <c r="D730" s="8"/>
    </row>
    <row r="731" spans="4:4" x14ac:dyDescent="0.25">
      <c r="D731" s="8"/>
    </row>
    <row r="732" spans="4:4" x14ac:dyDescent="0.25">
      <c r="D732" s="8"/>
    </row>
    <row r="733" spans="4:4" x14ac:dyDescent="0.25">
      <c r="D733" s="8"/>
    </row>
    <row r="734" spans="4:4" x14ac:dyDescent="0.25">
      <c r="D734" s="8"/>
    </row>
    <row r="735" spans="4:4" x14ac:dyDescent="0.25">
      <c r="D735" s="8"/>
    </row>
    <row r="736" spans="4:4" x14ac:dyDescent="0.25">
      <c r="D736" s="8"/>
    </row>
    <row r="737" spans="4:4" x14ac:dyDescent="0.25">
      <c r="D737" s="8"/>
    </row>
    <row r="738" spans="4:4" x14ac:dyDescent="0.25">
      <c r="D738" s="8"/>
    </row>
    <row r="739" spans="4:4" x14ac:dyDescent="0.25">
      <c r="D739" s="8"/>
    </row>
    <row r="740" spans="4:4" x14ac:dyDescent="0.25">
      <c r="D740" s="8"/>
    </row>
    <row r="741" spans="4:4" x14ac:dyDescent="0.25">
      <c r="D741" s="8"/>
    </row>
    <row r="742" spans="4:4" x14ac:dyDescent="0.25">
      <c r="D742" s="8"/>
    </row>
    <row r="743" spans="4:4" x14ac:dyDescent="0.25">
      <c r="D743" s="8"/>
    </row>
    <row r="744" spans="4:4" x14ac:dyDescent="0.25">
      <c r="D744" s="8"/>
    </row>
    <row r="745" spans="4:4" x14ac:dyDescent="0.25">
      <c r="D745" s="8"/>
    </row>
    <row r="746" spans="4:4" x14ac:dyDescent="0.25">
      <c r="D746" s="8"/>
    </row>
    <row r="747" spans="4:4" x14ac:dyDescent="0.25">
      <c r="D747" s="8"/>
    </row>
    <row r="748" spans="4:4" x14ac:dyDescent="0.25">
      <c r="D748" s="8"/>
    </row>
    <row r="749" spans="4:4" x14ac:dyDescent="0.25">
      <c r="D749" s="8"/>
    </row>
    <row r="750" spans="4:4" x14ac:dyDescent="0.25">
      <c r="D750" s="8"/>
    </row>
    <row r="751" spans="4:4" x14ac:dyDescent="0.25">
      <c r="D751" s="8"/>
    </row>
    <row r="752" spans="4:4" x14ac:dyDescent="0.25">
      <c r="D752" s="8"/>
    </row>
    <row r="753" spans="4:4" x14ac:dyDescent="0.25">
      <c r="D753" s="8"/>
    </row>
    <row r="754" spans="4:4" x14ac:dyDescent="0.25">
      <c r="D754" s="8"/>
    </row>
    <row r="755" spans="4:4" x14ac:dyDescent="0.25">
      <c r="D755" s="8"/>
    </row>
    <row r="756" spans="4:4" x14ac:dyDescent="0.25">
      <c r="D756" s="8"/>
    </row>
    <row r="757" spans="4:4" x14ac:dyDescent="0.25">
      <c r="D757" s="8"/>
    </row>
    <row r="758" spans="4:4" x14ac:dyDescent="0.25">
      <c r="D758" s="8"/>
    </row>
    <row r="759" spans="4:4" x14ac:dyDescent="0.25">
      <c r="D759" s="8"/>
    </row>
    <row r="760" spans="4:4" x14ac:dyDescent="0.25">
      <c r="D760" s="8"/>
    </row>
    <row r="761" spans="4:4" x14ac:dyDescent="0.25">
      <c r="D761" s="8"/>
    </row>
    <row r="762" spans="4:4" x14ac:dyDescent="0.25">
      <c r="D762" s="8"/>
    </row>
    <row r="763" spans="4:4" x14ac:dyDescent="0.25">
      <c r="D763" s="8"/>
    </row>
    <row r="764" spans="4:4" x14ac:dyDescent="0.25">
      <c r="D764" s="8"/>
    </row>
    <row r="765" spans="4:4" x14ac:dyDescent="0.25">
      <c r="D765" s="8"/>
    </row>
    <row r="766" spans="4:4" x14ac:dyDescent="0.25">
      <c r="D766" s="8"/>
    </row>
    <row r="767" spans="4:4" x14ac:dyDescent="0.25">
      <c r="D767" s="8"/>
    </row>
    <row r="768" spans="4:4" x14ac:dyDescent="0.25">
      <c r="D768" s="8"/>
    </row>
    <row r="769" spans="4:4" x14ac:dyDescent="0.25">
      <c r="D769" s="8"/>
    </row>
    <row r="770" spans="4:4" x14ac:dyDescent="0.25">
      <c r="D770" s="8"/>
    </row>
    <row r="771" spans="4:4" x14ac:dyDescent="0.25">
      <c r="D771" s="8"/>
    </row>
    <row r="772" spans="4:4" x14ac:dyDescent="0.25">
      <c r="D772" s="8"/>
    </row>
    <row r="773" spans="4:4" x14ac:dyDescent="0.25">
      <c r="D773" s="8"/>
    </row>
    <row r="774" spans="4:4" x14ac:dyDescent="0.25">
      <c r="D774" s="8"/>
    </row>
    <row r="775" spans="4:4" x14ac:dyDescent="0.25">
      <c r="D775" s="8"/>
    </row>
    <row r="776" spans="4:4" x14ac:dyDescent="0.25">
      <c r="D776" s="8"/>
    </row>
    <row r="777" spans="4:4" x14ac:dyDescent="0.25">
      <c r="D777" s="8"/>
    </row>
    <row r="778" spans="4:4" x14ac:dyDescent="0.25">
      <c r="D778" s="8"/>
    </row>
    <row r="779" spans="4:4" x14ac:dyDescent="0.25">
      <c r="D779" s="8"/>
    </row>
    <row r="780" spans="4:4" x14ac:dyDescent="0.25">
      <c r="D780" s="8"/>
    </row>
    <row r="781" spans="4:4" x14ac:dyDescent="0.25">
      <c r="D781" s="8"/>
    </row>
    <row r="782" spans="4:4" x14ac:dyDescent="0.25">
      <c r="D782" s="8"/>
    </row>
    <row r="783" spans="4:4" x14ac:dyDescent="0.25">
      <c r="D783" s="8"/>
    </row>
    <row r="784" spans="4:4" x14ac:dyDescent="0.25">
      <c r="D784" s="8"/>
    </row>
    <row r="785" spans="4:4" x14ac:dyDescent="0.25">
      <c r="D785" s="8"/>
    </row>
    <row r="786" spans="4:4" x14ac:dyDescent="0.25">
      <c r="D786" s="8"/>
    </row>
    <row r="787" spans="4:4" x14ac:dyDescent="0.25">
      <c r="D787" s="8"/>
    </row>
    <row r="788" spans="4:4" x14ac:dyDescent="0.25">
      <c r="D788" s="8"/>
    </row>
    <row r="789" spans="4:4" x14ac:dyDescent="0.25">
      <c r="D789" s="8"/>
    </row>
    <row r="790" spans="4:4" x14ac:dyDescent="0.25">
      <c r="D790" s="8"/>
    </row>
    <row r="791" spans="4:4" x14ac:dyDescent="0.25">
      <c r="D791" s="8"/>
    </row>
    <row r="792" spans="4:4" x14ac:dyDescent="0.25">
      <c r="D792" s="8"/>
    </row>
    <row r="793" spans="4:4" x14ac:dyDescent="0.25">
      <c r="D793" s="8"/>
    </row>
    <row r="794" spans="4:4" x14ac:dyDescent="0.25">
      <c r="D794" s="8"/>
    </row>
    <row r="795" spans="4:4" x14ac:dyDescent="0.25">
      <c r="D795" s="8"/>
    </row>
    <row r="796" spans="4:4" x14ac:dyDescent="0.25">
      <c r="D796" s="8"/>
    </row>
    <row r="797" spans="4:4" x14ac:dyDescent="0.25">
      <c r="D797" s="8"/>
    </row>
    <row r="798" spans="4:4" x14ac:dyDescent="0.25">
      <c r="D798" s="8"/>
    </row>
    <row r="799" spans="4:4" x14ac:dyDescent="0.25">
      <c r="D799" s="8"/>
    </row>
    <row r="800" spans="4:4" x14ac:dyDescent="0.25">
      <c r="D800" s="8"/>
    </row>
    <row r="801" spans="4:4" x14ac:dyDescent="0.25">
      <c r="D801" s="8"/>
    </row>
    <row r="802" spans="4:4" x14ac:dyDescent="0.25">
      <c r="D802" s="8"/>
    </row>
    <row r="803" spans="4:4" x14ac:dyDescent="0.25">
      <c r="D803" s="8"/>
    </row>
    <row r="804" spans="4:4" x14ac:dyDescent="0.25">
      <c r="D804" s="8"/>
    </row>
    <row r="805" spans="4:4" x14ac:dyDescent="0.25">
      <c r="D805" s="8"/>
    </row>
    <row r="806" spans="4:4" x14ac:dyDescent="0.25">
      <c r="D806" s="8"/>
    </row>
    <row r="807" spans="4:4" x14ac:dyDescent="0.25">
      <c r="D807" s="8"/>
    </row>
    <row r="808" spans="4:4" x14ac:dyDescent="0.25">
      <c r="D808" s="8"/>
    </row>
    <row r="809" spans="4:4" x14ac:dyDescent="0.25">
      <c r="D809" s="8"/>
    </row>
    <row r="810" spans="4:4" x14ac:dyDescent="0.25">
      <c r="D810" s="8"/>
    </row>
    <row r="811" spans="4:4" x14ac:dyDescent="0.25">
      <c r="D811" s="8"/>
    </row>
    <row r="812" spans="4:4" x14ac:dyDescent="0.25">
      <c r="D812" s="8"/>
    </row>
    <row r="813" spans="4:4" x14ac:dyDescent="0.25">
      <c r="D813" s="8"/>
    </row>
    <row r="814" spans="4:4" x14ac:dyDescent="0.25">
      <c r="D814" s="8"/>
    </row>
    <row r="815" spans="4:4" x14ac:dyDescent="0.25">
      <c r="D815" s="8"/>
    </row>
    <row r="816" spans="4:4" x14ac:dyDescent="0.25">
      <c r="D816" s="8"/>
    </row>
    <row r="817" spans="4:4" x14ac:dyDescent="0.25">
      <c r="D817" s="8"/>
    </row>
    <row r="818" spans="4:4" x14ac:dyDescent="0.25">
      <c r="D818" s="8"/>
    </row>
    <row r="819" spans="4:4" x14ac:dyDescent="0.25">
      <c r="D819" s="8"/>
    </row>
    <row r="820" spans="4:4" x14ac:dyDescent="0.25">
      <c r="D820" s="8"/>
    </row>
    <row r="821" spans="4:4" x14ac:dyDescent="0.25">
      <c r="D821" s="8"/>
    </row>
    <row r="822" spans="4:4" x14ac:dyDescent="0.25">
      <c r="D822" s="8"/>
    </row>
    <row r="823" spans="4:4" x14ac:dyDescent="0.25">
      <c r="D823" s="8"/>
    </row>
    <row r="824" spans="4:4" x14ac:dyDescent="0.25">
      <c r="D824" s="8"/>
    </row>
    <row r="825" spans="4:4" x14ac:dyDescent="0.25">
      <c r="D825" s="8"/>
    </row>
    <row r="826" spans="4:4" x14ac:dyDescent="0.25">
      <c r="D826" s="8"/>
    </row>
    <row r="827" spans="4:4" x14ac:dyDescent="0.25">
      <c r="D827" s="8"/>
    </row>
    <row r="828" spans="4:4" x14ac:dyDescent="0.25">
      <c r="D828" s="8"/>
    </row>
    <row r="829" spans="4:4" x14ac:dyDescent="0.25">
      <c r="D829" s="8"/>
    </row>
    <row r="830" spans="4:4" x14ac:dyDescent="0.25">
      <c r="D830" s="8"/>
    </row>
    <row r="831" spans="4:4" x14ac:dyDescent="0.25">
      <c r="D831" s="8"/>
    </row>
    <row r="832" spans="4:4" x14ac:dyDescent="0.25">
      <c r="D832" s="8"/>
    </row>
    <row r="833" spans="4:4" x14ac:dyDescent="0.25">
      <c r="D833" s="8"/>
    </row>
    <row r="834" spans="4:4" x14ac:dyDescent="0.25">
      <c r="D834" s="8"/>
    </row>
    <row r="835" spans="4:4" x14ac:dyDescent="0.25">
      <c r="D835" s="8"/>
    </row>
    <row r="836" spans="4:4" x14ac:dyDescent="0.25">
      <c r="D836" s="8"/>
    </row>
    <row r="837" spans="4:4" x14ac:dyDescent="0.25">
      <c r="D837" s="8"/>
    </row>
    <row r="838" spans="4:4" x14ac:dyDescent="0.25">
      <c r="D838" s="8"/>
    </row>
    <row r="839" spans="4:4" x14ac:dyDescent="0.25">
      <c r="D839" s="8"/>
    </row>
    <row r="840" spans="4:4" x14ac:dyDescent="0.25">
      <c r="D840" s="8"/>
    </row>
    <row r="841" spans="4:4" x14ac:dyDescent="0.25">
      <c r="D841" s="8"/>
    </row>
    <row r="842" spans="4:4" x14ac:dyDescent="0.25">
      <c r="D842" s="8"/>
    </row>
    <row r="843" spans="4:4" x14ac:dyDescent="0.25">
      <c r="D843" s="8"/>
    </row>
    <row r="844" spans="4:4" x14ac:dyDescent="0.25">
      <c r="D844" s="8"/>
    </row>
    <row r="845" spans="4:4" x14ac:dyDescent="0.25">
      <c r="D845" s="8"/>
    </row>
    <row r="846" spans="4:4" x14ac:dyDescent="0.25">
      <c r="D846" s="8"/>
    </row>
    <row r="847" spans="4:4" x14ac:dyDescent="0.25">
      <c r="D847" s="8"/>
    </row>
    <row r="848" spans="4:4" x14ac:dyDescent="0.25">
      <c r="D848" s="8"/>
    </row>
    <row r="849" spans="4:4" x14ac:dyDescent="0.25">
      <c r="D849" s="8"/>
    </row>
    <row r="850" spans="4:4" x14ac:dyDescent="0.25">
      <c r="D850" s="8"/>
    </row>
    <row r="851" spans="4:4" x14ac:dyDescent="0.25">
      <c r="D851" s="8"/>
    </row>
    <row r="852" spans="4:4" x14ac:dyDescent="0.25">
      <c r="D852" s="8"/>
    </row>
    <row r="853" spans="4:4" x14ac:dyDescent="0.25">
      <c r="D853" s="8"/>
    </row>
    <row r="854" spans="4:4" x14ac:dyDescent="0.25">
      <c r="D854" s="8"/>
    </row>
    <row r="855" spans="4:4" x14ac:dyDescent="0.25">
      <c r="D855" s="8"/>
    </row>
    <row r="856" spans="4:4" x14ac:dyDescent="0.25">
      <c r="D856" s="8"/>
    </row>
    <row r="857" spans="4:4" x14ac:dyDescent="0.25">
      <c r="D857" s="8"/>
    </row>
    <row r="858" spans="4:4" x14ac:dyDescent="0.25">
      <c r="D858" s="8"/>
    </row>
    <row r="859" spans="4:4" x14ac:dyDescent="0.25">
      <c r="D859" s="8"/>
    </row>
    <row r="860" spans="4:4" x14ac:dyDescent="0.25">
      <c r="D860" s="8"/>
    </row>
    <row r="861" spans="4:4" x14ac:dyDescent="0.25">
      <c r="D861" s="8"/>
    </row>
    <row r="862" spans="4:4" x14ac:dyDescent="0.25">
      <c r="D862" s="8"/>
    </row>
    <row r="863" spans="4:4" x14ac:dyDescent="0.25">
      <c r="D863" s="8"/>
    </row>
    <row r="864" spans="4:4" x14ac:dyDescent="0.25">
      <c r="D864" s="8"/>
    </row>
    <row r="865" spans="4:4" x14ac:dyDescent="0.25">
      <c r="D865" s="8"/>
    </row>
    <row r="866" spans="4:4" x14ac:dyDescent="0.25">
      <c r="D866" s="8"/>
    </row>
    <row r="867" spans="4:4" x14ac:dyDescent="0.25">
      <c r="D867" s="8"/>
    </row>
    <row r="868" spans="4:4" x14ac:dyDescent="0.25">
      <c r="D868" s="8"/>
    </row>
    <row r="869" spans="4:4" x14ac:dyDescent="0.25">
      <c r="D869" s="8"/>
    </row>
    <row r="870" spans="4:4" x14ac:dyDescent="0.25">
      <c r="D870" s="8"/>
    </row>
    <row r="871" spans="4:4" x14ac:dyDescent="0.25">
      <c r="D871" s="8"/>
    </row>
    <row r="872" spans="4:4" x14ac:dyDescent="0.25">
      <c r="D872" s="8"/>
    </row>
    <row r="873" spans="4:4" x14ac:dyDescent="0.25">
      <c r="D873" s="8"/>
    </row>
    <row r="874" spans="4:4" x14ac:dyDescent="0.25">
      <c r="D874" s="8"/>
    </row>
    <row r="875" spans="4:4" x14ac:dyDescent="0.25">
      <c r="D875" s="8"/>
    </row>
    <row r="876" spans="4:4" x14ac:dyDescent="0.25">
      <c r="D876" s="8"/>
    </row>
    <row r="877" spans="4:4" x14ac:dyDescent="0.25">
      <c r="D877" s="8"/>
    </row>
    <row r="878" spans="4:4" x14ac:dyDescent="0.25">
      <c r="D878" s="8"/>
    </row>
    <row r="879" spans="4:4" x14ac:dyDescent="0.25">
      <c r="D879" s="8"/>
    </row>
    <row r="880" spans="4:4" x14ac:dyDescent="0.25">
      <c r="D880" s="8"/>
    </row>
    <row r="881" spans="4:4" x14ac:dyDescent="0.25">
      <c r="D881" s="8"/>
    </row>
    <row r="882" spans="4:4" x14ac:dyDescent="0.25">
      <c r="D882" s="8"/>
    </row>
    <row r="883" spans="4:4" x14ac:dyDescent="0.25">
      <c r="D883" s="8"/>
    </row>
    <row r="884" spans="4:4" x14ac:dyDescent="0.25">
      <c r="D884" s="8"/>
    </row>
    <row r="885" spans="4:4" x14ac:dyDescent="0.25">
      <c r="D885" s="8"/>
    </row>
    <row r="886" spans="4:4" x14ac:dyDescent="0.25">
      <c r="D886" s="8"/>
    </row>
    <row r="887" spans="4:4" x14ac:dyDescent="0.25">
      <c r="D887" s="8"/>
    </row>
    <row r="888" spans="4:4" x14ac:dyDescent="0.25">
      <c r="D888" s="8"/>
    </row>
    <row r="889" spans="4:4" x14ac:dyDescent="0.25">
      <c r="D889" s="8"/>
    </row>
    <row r="890" spans="4:4" x14ac:dyDescent="0.25">
      <c r="D890" s="8"/>
    </row>
    <row r="891" spans="4:4" x14ac:dyDescent="0.25">
      <c r="D891" s="8"/>
    </row>
    <row r="892" spans="4:4" x14ac:dyDescent="0.25">
      <c r="D892" s="8"/>
    </row>
    <row r="893" spans="4:4" x14ac:dyDescent="0.25">
      <c r="D893" s="8"/>
    </row>
    <row r="894" spans="4:4" x14ac:dyDescent="0.25">
      <c r="D894" s="8"/>
    </row>
    <row r="895" spans="4:4" x14ac:dyDescent="0.25">
      <c r="D895" s="8"/>
    </row>
    <row r="896" spans="4:4" x14ac:dyDescent="0.25">
      <c r="D896" s="8"/>
    </row>
    <row r="897" spans="4:4" x14ac:dyDescent="0.25">
      <c r="D897" s="8"/>
    </row>
    <row r="898" spans="4:4" x14ac:dyDescent="0.25">
      <c r="D898" s="8"/>
    </row>
    <row r="899" spans="4:4" x14ac:dyDescent="0.25">
      <c r="D899" s="8"/>
    </row>
    <row r="900" spans="4:4" x14ac:dyDescent="0.25">
      <c r="D900" s="8"/>
    </row>
    <row r="901" spans="4:4" x14ac:dyDescent="0.25">
      <c r="D901" s="8"/>
    </row>
    <row r="902" spans="4:4" x14ac:dyDescent="0.25">
      <c r="D902" s="8"/>
    </row>
    <row r="903" spans="4:4" x14ac:dyDescent="0.25">
      <c r="D903" s="8"/>
    </row>
    <row r="904" spans="4:4" x14ac:dyDescent="0.25">
      <c r="D904" s="8"/>
    </row>
    <row r="905" spans="4:4" x14ac:dyDescent="0.25">
      <c r="D905" s="8"/>
    </row>
    <row r="906" spans="4:4" x14ac:dyDescent="0.25">
      <c r="D906" s="8"/>
    </row>
    <row r="907" spans="4:4" x14ac:dyDescent="0.25">
      <c r="D907" s="8"/>
    </row>
    <row r="908" spans="4:4" x14ac:dyDescent="0.25">
      <c r="D908" s="8"/>
    </row>
    <row r="909" spans="4:4" x14ac:dyDescent="0.25">
      <c r="D909" s="8"/>
    </row>
    <row r="910" spans="4:4" x14ac:dyDescent="0.25">
      <c r="D910" s="8"/>
    </row>
    <row r="911" spans="4:4" x14ac:dyDescent="0.25">
      <c r="D911" s="8"/>
    </row>
    <row r="912" spans="4:4" x14ac:dyDescent="0.25">
      <c r="D912" s="8"/>
    </row>
    <row r="913" spans="4:4" x14ac:dyDescent="0.25">
      <c r="D913" s="8"/>
    </row>
    <row r="914" spans="4:4" x14ac:dyDescent="0.25">
      <c r="D914" s="8"/>
    </row>
    <row r="915" spans="4:4" x14ac:dyDescent="0.25">
      <c r="D915" s="8"/>
    </row>
    <row r="916" spans="4:4" x14ac:dyDescent="0.25">
      <c r="D916" s="8"/>
    </row>
    <row r="917" spans="4:4" x14ac:dyDescent="0.25">
      <c r="D917" s="8"/>
    </row>
    <row r="918" spans="4:4" x14ac:dyDescent="0.25">
      <c r="D918" s="8"/>
    </row>
    <row r="919" spans="4:4" x14ac:dyDescent="0.25">
      <c r="D919" s="8"/>
    </row>
    <row r="920" spans="4:4" x14ac:dyDescent="0.25">
      <c r="D920" s="8"/>
    </row>
    <row r="921" spans="4:4" x14ac:dyDescent="0.25">
      <c r="D921" s="8"/>
    </row>
    <row r="922" spans="4:4" x14ac:dyDescent="0.25">
      <c r="D922" s="8"/>
    </row>
    <row r="923" spans="4:4" x14ac:dyDescent="0.25">
      <c r="D923" s="8"/>
    </row>
    <row r="924" spans="4:4" x14ac:dyDescent="0.25">
      <c r="D924" s="8"/>
    </row>
    <row r="925" spans="4:4" x14ac:dyDescent="0.25">
      <c r="D925" s="8"/>
    </row>
    <row r="926" spans="4:4" x14ac:dyDescent="0.25">
      <c r="D926" s="8"/>
    </row>
    <row r="927" spans="4:4" x14ac:dyDescent="0.25">
      <c r="D927" s="8"/>
    </row>
    <row r="928" spans="4:4" x14ac:dyDescent="0.25">
      <c r="D928" s="8"/>
    </row>
    <row r="929" spans="4:4" x14ac:dyDescent="0.25">
      <c r="D929" s="8"/>
    </row>
    <row r="930" spans="4:4" x14ac:dyDescent="0.25">
      <c r="D930" s="8"/>
    </row>
    <row r="931" spans="4:4" x14ac:dyDescent="0.25">
      <c r="D931" s="8"/>
    </row>
    <row r="932" spans="4:4" x14ac:dyDescent="0.25">
      <c r="D932" s="8"/>
    </row>
    <row r="933" spans="4:4" x14ac:dyDescent="0.25">
      <c r="D933" s="8"/>
    </row>
    <row r="934" spans="4:4" x14ac:dyDescent="0.25">
      <c r="D934" s="8"/>
    </row>
    <row r="935" spans="4:4" x14ac:dyDescent="0.25">
      <c r="D935" s="8"/>
    </row>
    <row r="936" spans="4:4" x14ac:dyDescent="0.25">
      <c r="D936" s="8"/>
    </row>
    <row r="937" spans="4:4" x14ac:dyDescent="0.25">
      <c r="D937" s="8"/>
    </row>
    <row r="938" spans="4:4" x14ac:dyDescent="0.25">
      <c r="D938" s="8"/>
    </row>
    <row r="939" spans="4:4" x14ac:dyDescent="0.25">
      <c r="D939" s="8"/>
    </row>
    <row r="940" spans="4:4" x14ac:dyDescent="0.25">
      <c r="D940" s="8"/>
    </row>
    <row r="941" spans="4:4" x14ac:dyDescent="0.25">
      <c r="D941" s="8"/>
    </row>
    <row r="942" spans="4:4" x14ac:dyDescent="0.25">
      <c r="D942" s="8"/>
    </row>
    <row r="943" spans="4:4" x14ac:dyDescent="0.25">
      <c r="D943" s="8"/>
    </row>
    <row r="944" spans="4:4" x14ac:dyDescent="0.25">
      <c r="D944" s="8"/>
    </row>
    <row r="945" spans="4:4" x14ac:dyDescent="0.25">
      <c r="D945" s="8"/>
    </row>
    <row r="946" spans="4:4" x14ac:dyDescent="0.25">
      <c r="D946" s="8"/>
    </row>
    <row r="947" spans="4:4" x14ac:dyDescent="0.25">
      <c r="D947" s="8"/>
    </row>
    <row r="948" spans="4:4" x14ac:dyDescent="0.25">
      <c r="D948" s="8"/>
    </row>
    <row r="949" spans="4:4" x14ac:dyDescent="0.25">
      <c r="D949" s="8"/>
    </row>
    <row r="950" spans="4:4" x14ac:dyDescent="0.25">
      <c r="D950" s="8"/>
    </row>
    <row r="951" spans="4:4" x14ac:dyDescent="0.25">
      <c r="D951" s="8"/>
    </row>
    <row r="952" spans="4:4" x14ac:dyDescent="0.25">
      <c r="D952" s="8"/>
    </row>
    <row r="953" spans="4:4" x14ac:dyDescent="0.25">
      <c r="D953" s="8"/>
    </row>
    <row r="954" spans="4:4" x14ac:dyDescent="0.25">
      <c r="D954" s="8"/>
    </row>
    <row r="955" spans="4:4" x14ac:dyDescent="0.25">
      <c r="D955" s="8"/>
    </row>
    <row r="956" spans="4:4" x14ac:dyDescent="0.25">
      <c r="D956" s="8"/>
    </row>
    <row r="957" spans="4:4" x14ac:dyDescent="0.25">
      <c r="D957" s="8"/>
    </row>
    <row r="958" spans="4:4" x14ac:dyDescent="0.25">
      <c r="D958" s="8"/>
    </row>
    <row r="959" spans="4:4" x14ac:dyDescent="0.25">
      <c r="D959" s="8"/>
    </row>
    <row r="960" spans="4:4" x14ac:dyDescent="0.25">
      <c r="D960" s="8"/>
    </row>
    <row r="961" spans="4:4" x14ac:dyDescent="0.25">
      <c r="D961" s="8"/>
    </row>
    <row r="962" spans="4:4" x14ac:dyDescent="0.25">
      <c r="D962" s="8"/>
    </row>
    <row r="963" spans="4:4" x14ac:dyDescent="0.25">
      <c r="D963" s="8"/>
    </row>
    <row r="964" spans="4:4" x14ac:dyDescent="0.25">
      <c r="D964" s="8"/>
    </row>
    <row r="965" spans="4:4" x14ac:dyDescent="0.25">
      <c r="D965" s="8"/>
    </row>
    <row r="966" spans="4:4" x14ac:dyDescent="0.25">
      <c r="D966" s="8"/>
    </row>
    <row r="967" spans="4:4" x14ac:dyDescent="0.25">
      <c r="D967" s="8"/>
    </row>
    <row r="968" spans="4:4" x14ac:dyDescent="0.25">
      <c r="D968" s="8"/>
    </row>
    <row r="969" spans="4:4" x14ac:dyDescent="0.25">
      <c r="D969" s="8"/>
    </row>
    <row r="970" spans="4:4" x14ac:dyDescent="0.25">
      <c r="D970" s="8"/>
    </row>
    <row r="971" spans="4:4" x14ac:dyDescent="0.25">
      <c r="D971" s="8"/>
    </row>
    <row r="972" spans="4:4" x14ac:dyDescent="0.25">
      <c r="D972" s="8"/>
    </row>
    <row r="973" spans="4:4" x14ac:dyDescent="0.25">
      <c r="D973" s="8"/>
    </row>
    <row r="974" spans="4:4" x14ac:dyDescent="0.25">
      <c r="D974" s="8"/>
    </row>
    <row r="975" spans="4:4" x14ac:dyDescent="0.25">
      <c r="D975" s="8"/>
    </row>
    <row r="976" spans="4:4" x14ac:dyDescent="0.25">
      <c r="D976" s="8"/>
    </row>
    <row r="977" spans="4:4" x14ac:dyDescent="0.25">
      <c r="D977" s="8"/>
    </row>
    <row r="978" spans="4:4" x14ac:dyDescent="0.25">
      <c r="D978" s="8"/>
    </row>
    <row r="979" spans="4:4" x14ac:dyDescent="0.25">
      <c r="D979" s="8"/>
    </row>
    <row r="980" spans="4:4" x14ac:dyDescent="0.25">
      <c r="D980" s="8"/>
    </row>
    <row r="981" spans="4:4" x14ac:dyDescent="0.25">
      <c r="D981" s="8"/>
    </row>
    <row r="982" spans="4:4" x14ac:dyDescent="0.25">
      <c r="D982" s="8"/>
    </row>
    <row r="983" spans="4:4" x14ac:dyDescent="0.25">
      <c r="D983" s="8"/>
    </row>
    <row r="984" spans="4:4" x14ac:dyDescent="0.25">
      <c r="D984" s="8"/>
    </row>
    <row r="985" spans="4:4" x14ac:dyDescent="0.25">
      <c r="D985" s="8"/>
    </row>
    <row r="986" spans="4:4" x14ac:dyDescent="0.25">
      <c r="D986" s="8"/>
    </row>
    <row r="987" spans="4:4" x14ac:dyDescent="0.25">
      <c r="D987" s="8"/>
    </row>
    <row r="988" spans="4:4" x14ac:dyDescent="0.25">
      <c r="D988" s="8"/>
    </row>
    <row r="989" spans="4:4" x14ac:dyDescent="0.25">
      <c r="D989" s="8"/>
    </row>
    <row r="990" spans="4:4" x14ac:dyDescent="0.25">
      <c r="D990" s="8"/>
    </row>
    <row r="991" spans="4:4" x14ac:dyDescent="0.25">
      <c r="D991" s="8"/>
    </row>
    <row r="992" spans="4:4" x14ac:dyDescent="0.25">
      <c r="D992" s="8"/>
    </row>
    <row r="993" spans="4:4" x14ac:dyDescent="0.25">
      <c r="D993" s="8"/>
    </row>
    <row r="994" spans="4:4" x14ac:dyDescent="0.25">
      <c r="D994" s="8"/>
    </row>
    <row r="995" spans="4:4" x14ac:dyDescent="0.25">
      <c r="D995" s="8"/>
    </row>
    <row r="996" spans="4:4" x14ac:dyDescent="0.25">
      <c r="D996" s="8"/>
    </row>
    <row r="997" spans="4:4" x14ac:dyDescent="0.25">
      <c r="D997" s="8"/>
    </row>
    <row r="998" spans="4:4" x14ac:dyDescent="0.25">
      <c r="D998" s="8"/>
    </row>
    <row r="999" spans="4:4" x14ac:dyDescent="0.25">
      <c r="D999" s="8"/>
    </row>
    <row r="1000" spans="4:4" x14ac:dyDescent="0.25">
      <c r="D1000" s="8"/>
    </row>
    <row r="1001" spans="4:4" x14ac:dyDescent="0.25">
      <c r="D1001" s="8"/>
    </row>
    <row r="1002" spans="4:4" x14ac:dyDescent="0.25">
      <c r="D1002" s="8"/>
    </row>
    <row r="1003" spans="4:4" x14ac:dyDescent="0.25">
      <c r="D1003" s="8"/>
    </row>
    <row r="1004" spans="4:4" x14ac:dyDescent="0.25">
      <c r="D1004" s="8"/>
    </row>
    <row r="1005" spans="4:4" x14ac:dyDescent="0.25">
      <c r="D1005" s="8"/>
    </row>
    <row r="1006" spans="4:4" x14ac:dyDescent="0.25">
      <c r="D1006" s="8"/>
    </row>
    <row r="1007" spans="4:4" x14ac:dyDescent="0.25">
      <c r="D1007" s="8"/>
    </row>
    <row r="1008" spans="4:4" x14ac:dyDescent="0.25">
      <c r="D1008" s="8"/>
    </row>
    <row r="1009" spans="4:4" x14ac:dyDescent="0.25">
      <c r="D1009" s="8"/>
    </row>
    <row r="1010" spans="4:4" x14ac:dyDescent="0.25">
      <c r="D1010" s="8"/>
    </row>
    <row r="1011" spans="4:4" x14ac:dyDescent="0.25">
      <c r="D1011" s="8"/>
    </row>
    <row r="1012" spans="4:4" x14ac:dyDescent="0.25">
      <c r="D1012" s="8"/>
    </row>
    <row r="1013" spans="4:4" x14ac:dyDescent="0.25">
      <c r="D1013" s="8"/>
    </row>
    <row r="1014" spans="4:4" x14ac:dyDescent="0.25">
      <c r="D1014" s="8"/>
    </row>
    <row r="1015" spans="4:4" x14ac:dyDescent="0.25">
      <c r="D1015" s="8"/>
    </row>
    <row r="1016" spans="4:4" x14ac:dyDescent="0.25">
      <c r="D1016" s="8"/>
    </row>
    <row r="1017" spans="4:4" x14ac:dyDescent="0.25">
      <c r="D1017" s="8"/>
    </row>
    <row r="1018" spans="4:4" x14ac:dyDescent="0.25">
      <c r="D1018" s="8"/>
    </row>
    <row r="1019" spans="4:4" x14ac:dyDescent="0.25">
      <c r="D1019" s="8"/>
    </row>
    <row r="1020" spans="4:4" x14ac:dyDescent="0.25">
      <c r="D1020" s="8"/>
    </row>
    <row r="1021" spans="4:4" x14ac:dyDescent="0.25">
      <c r="D1021" s="8"/>
    </row>
    <row r="1022" spans="4:4" x14ac:dyDescent="0.25">
      <c r="D1022" s="8"/>
    </row>
    <row r="1023" spans="4:4" x14ac:dyDescent="0.25">
      <c r="D1023" s="8"/>
    </row>
    <row r="1024" spans="4:4" x14ac:dyDescent="0.25">
      <c r="D1024" s="8"/>
    </row>
    <row r="1025" spans="4:4" x14ac:dyDescent="0.25">
      <c r="D1025" s="8"/>
    </row>
    <row r="1026" spans="4:4" x14ac:dyDescent="0.25">
      <c r="D1026" s="8"/>
    </row>
    <row r="1027" spans="4:4" x14ac:dyDescent="0.25">
      <c r="D1027" s="8"/>
    </row>
    <row r="1028" spans="4:4" x14ac:dyDescent="0.25">
      <c r="D1028" s="8"/>
    </row>
    <row r="1029" spans="4:4" x14ac:dyDescent="0.25">
      <c r="D1029" s="8"/>
    </row>
    <row r="1030" spans="4:4" x14ac:dyDescent="0.25">
      <c r="D1030" s="8"/>
    </row>
    <row r="1031" spans="4:4" x14ac:dyDescent="0.25">
      <c r="D1031" s="8"/>
    </row>
    <row r="1032" spans="4:4" x14ac:dyDescent="0.25">
      <c r="D1032" s="8"/>
    </row>
    <row r="1033" spans="4:4" x14ac:dyDescent="0.25">
      <c r="D1033" s="8"/>
    </row>
    <row r="1034" spans="4:4" x14ac:dyDescent="0.25">
      <c r="D1034" s="8"/>
    </row>
    <row r="1035" spans="4:4" x14ac:dyDescent="0.25">
      <c r="D1035" s="8"/>
    </row>
    <row r="1036" spans="4:4" x14ac:dyDescent="0.25">
      <c r="D1036" s="8"/>
    </row>
    <row r="1037" spans="4:4" x14ac:dyDescent="0.25">
      <c r="D1037" s="8"/>
    </row>
    <row r="1038" spans="4:4" x14ac:dyDescent="0.25">
      <c r="D1038" s="8"/>
    </row>
    <row r="1039" spans="4:4" x14ac:dyDescent="0.25">
      <c r="D1039" s="8"/>
    </row>
    <row r="1040" spans="4:4" x14ac:dyDescent="0.25">
      <c r="D1040" s="8"/>
    </row>
    <row r="1041" spans="4:4" x14ac:dyDescent="0.25">
      <c r="D1041" s="8"/>
    </row>
    <row r="1042" spans="4:4" x14ac:dyDescent="0.25">
      <c r="D1042" s="8"/>
    </row>
    <row r="1043" spans="4:4" x14ac:dyDescent="0.25">
      <c r="D1043" s="8"/>
    </row>
    <row r="1044" spans="4:4" x14ac:dyDescent="0.25">
      <c r="D1044" s="8"/>
    </row>
    <row r="1045" spans="4:4" x14ac:dyDescent="0.25">
      <c r="D1045" s="8"/>
    </row>
    <row r="1046" spans="4:4" x14ac:dyDescent="0.25">
      <c r="D1046" s="8"/>
    </row>
    <row r="1047" spans="4:4" x14ac:dyDescent="0.25">
      <c r="D1047" s="8"/>
    </row>
    <row r="1048" spans="4:4" x14ac:dyDescent="0.25">
      <c r="D1048" s="8"/>
    </row>
    <row r="1049" spans="4:4" x14ac:dyDescent="0.25">
      <c r="D1049" s="8"/>
    </row>
    <row r="1050" spans="4:4" x14ac:dyDescent="0.25">
      <c r="D1050" s="8"/>
    </row>
    <row r="1051" spans="4:4" x14ac:dyDescent="0.25">
      <c r="D1051" s="8"/>
    </row>
    <row r="1052" spans="4:4" x14ac:dyDescent="0.25">
      <c r="D1052" s="8"/>
    </row>
    <row r="1053" spans="4:4" x14ac:dyDescent="0.25">
      <c r="D1053" s="8"/>
    </row>
    <row r="1054" spans="4:4" x14ac:dyDescent="0.25">
      <c r="D1054" s="8"/>
    </row>
    <row r="1055" spans="4:4" x14ac:dyDescent="0.25">
      <c r="D1055" s="8"/>
    </row>
    <row r="1056" spans="4:4" x14ac:dyDescent="0.25">
      <c r="D1056" s="8"/>
    </row>
    <row r="1057" spans="4:4" x14ac:dyDescent="0.25">
      <c r="D1057" s="8"/>
    </row>
    <row r="1058" spans="4:4" x14ac:dyDescent="0.25">
      <c r="D1058" s="8"/>
    </row>
    <row r="1059" spans="4:4" x14ac:dyDescent="0.25">
      <c r="D1059" s="8"/>
    </row>
    <row r="1060" spans="4:4" x14ac:dyDescent="0.25">
      <c r="D1060" s="8"/>
    </row>
    <row r="1061" spans="4:4" x14ac:dyDescent="0.25">
      <c r="D1061" s="8"/>
    </row>
    <row r="1062" spans="4:4" x14ac:dyDescent="0.25">
      <c r="D1062" s="8"/>
    </row>
    <row r="1063" spans="4:4" x14ac:dyDescent="0.25">
      <c r="D1063" s="8"/>
    </row>
    <row r="1064" spans="4:4" x14ac:dyDescent="0.25">
      <c r="D1064" s="8"/>
    </row>
    <row r="1065" spans="4:4" x14ac:dyDescent="0.25">
      <c r="D1065" s="8"/>
    </row>
    <row r="1066" spans="4:4" x14ac:dyDescent="0.25">
      <c r="D1066" s="8"/>
    </row>
    <row r="1067" spans="4:4" x14ac:dyDescent="0.25">
      <c r="D1067" s="8"/>
    </row>
    <row r="1068" spans="4:4" x14ac:dyDescent="0.25">
      <c r="D1068" s="8"/>
    </row>
    <row r="1069" spans="4:4" x14ac:dyDescent="0.25">
      <c r="D1069" s="8"/>
    </row>
    <row r="1070" spans="4:4" x14ac:dyDescent="0.25">
      <c r="D1070" s="8"/>
    </row>
    <row r="1071" spans="4:4" x14ac:dyDescent="0.25">
      <c r="D1071" s="8"/>
    </row>
    <row r="1072" spans="4:4" x14ac:dyDescent="0.25">
      <c r="D1072" s="8"/>
    </row>
    <row r="1073" spans="4:4" x14ac:dyDescent="0.25">
      <c r="D1073" s="8"/>
    </row>
    <row r="1074" spans="4:4" x14ac:dyDescent="0.25">
      <c r="D1074" s="8"/>
    </row>
    <row r="1075" spans="4:4" x14ac:dyDescent="0.25">
      <c r="D1075" s="8"/>
    </row>
    <row r="1076" spans="4:4" x14ac:dyDescent="0.25">
      <c r="D1076" s="8"/>
    </row>
    <row r="1077" spans="4:4" x14ac:dyDescent="0.25">
      <c r="D1077" s="8"/>
    </row>
    <row r="1078" spans="4:4" x14ac:dyDescent="0.25">
      <c r="D1078" s="8"/>
    </row>
    <row r="1079" spans="4:4" x14ac:dyDescent="0.25">
      <c r="D1079" s="8"/>
    </row>
    <row r="1080" spans="4:4" x14ac:dyDescent="0.25">
      <c r="D1080" s="8"/>
    </row>
    <row r="1081" spans="4:4" x14ac:dyDescent="0.25">
      <c r="D1081" s="8"/>
    </row>
    <row r="1082" spans="4:4" x14ac:dyDescent="0.25">
      <c r="D1082" s="8"/>
    </row>
    <row r="1083" spans="4:4" x14ac:dyDescent="0.25">
      <c r="D1083" s="8"/>
    </row>
    <row r="1084" spans="4:4" x14ac:dyDescent="0.25">
      <c r="D1084" s="8"/>
    </row>
    <row r="1085" spans="4:4" x14ac:dyDescent="0.25">
      <c r="D1085" s="8"/>
    </row>
    <row r="1086" spans="4:4" x14ac:dyDescent="0.25">
      <c r="D1086" s="8"/>
    </row>
    <row r="1087" spans="4:4" x14ac:dyDescent="0.25">
      <c r="D1087" s="8"/>
    </row>
    <row r="1088" spans="4:4" x14ac:dyDescent="0.25">
      <c r="D1088" s="8"/>
    </row>
    <row r="1089" spans="4:4" x14ac:dyDescent="0.25">
      <c r="D1089" s="8"/>
    </row>
    <row r="1090" spans="4:4" x14ac:dyDescent="0.25">
      <c r="D1090" s="8"/>
    </row>
    <row r="1091" spans="4:4" x14ac:dyDescent="0.25">
      <c r="D1091" s="8"/>
    </row>
    <row r="1092" spans="4:4" x14ac:dyDescent="0.25">
      <c r="D1092" s="8"/>
    </row>
    <row r="1093" spans="4:4" x14ac:dyDescent="0.25">
      <c r="D1093" s="8"/>
    </row>
    <row r="1094" spans="4:4" x14ac:dyDescent="0.25">
      <c r="D1094" s="8"/>
    </row>
    <row r="1095" spans="4:4" x14ac:dyDescent="0.25">
      <c r="D1095" s="8"/>
    </row>
    <row r="1096" spans="4:4" x14ac:dyDescent="0.25">
      <c r="D1096" s="8"/>
    </row>
    <row r="1097" spans="4:4" x14ac:dyDescent="0.25">
      <c r="D1097" s="8"/>
    </row>
    <row r="1098" spans="4:4" x14ac:dyDescent="0.25">
      <c r="D1098" s="8"/>
    </row>
    <row r="1099" spans="4:4" x14ac:dyDescent="0.25">
      <c r="D1099" s="8"/>
    </row>
    <row r="1100" spans="4:4" x14ac:dyDescent="0.25">
      <c r="D1100" s="8"/>
    </row>
    <row r="1101" spans="4:4" x14ac:dyDescent="0.25">
      <c r="D1101" s="8"/>
    </row>
    <row r="1102" spans="4:4" x14ac:dyDescent="0.25">
      <c r="D1102" s="8"/>
    </row>
    <row r="1103" spans="4:4" x14ac:dyDescent="0.25">
      <c r="D1103" s="8"/>
    </row>
    <row r="1104" spans="4:4" x14ac:dyDescent="0.25">
      <c r="D1104" s="8"/>
    </row>
    <row r="1105" spans="4:4" x14ac:dyDescent="0.25">
      <c r="D1105" s="8"/>
    </row>
    <row r="1106" spans="4:4" x14ac:dyDescent="0.25">
      <c r="D1106" s="8"/>
    </row>
    <row r="1107" spans="4:4" x14ac:dyDescent="0.25">
      <c r="D1107" s="8"/>
    </row>
    <row r="1108" spans="4:4" x14ac:dyDescent="0.25">
      <c r="D1108" s="8"/>
    </row>
    <row r="1109" spans="4:4" x14ac:dyDescent="0.25">
      <c r="D1109" s="8"/>
    </row>
    <row r="1110" spans="4:4" x14ac:dyDescent="0.25">
      <c r="D1110" s="8"/>
    </row>
    <row r="1111" spans="4:4" x14ac:dyDescent="0.25">
      <c r="D1111" s="8"/>
    </row>
    <row r="1112" spans="4:4" x14ac:dyDescent="0.25">
      <c r="D1112" s="8"/>
    </row>
    <row r="1113" spans="4:4" x14ac:dyDescent="0.25">
      <c r="D1113" s="8"/>
    </row>
    <row r="1114" spans="4:4" x14ac:dyDescent="0.25">
      <c r="D1114" s="8"/>
    </row>
    <row r="1115" spans="4:4" x14ac:dyDescent="0.25">
      <c r="D1115" s="8"/>
    </row>
    <row r="1116" spans="4:4" x14ac:dyDescent="0.25">
      <c r="D1116" s="8"/>
    </row>
    <row r="1117" spans="4:4" x14ac:dyDescent="0.25">
      <c r="D1117" s="8"/>
    </row>
    <row r="1118" spans="4:4" x14ac:dyDescent="0.25">
      <c r="D1118" s="8"/>
    </row>
    <row r="1119" spans="4:4" x14ac:dyDescent="0.25">
      <c r="D1119" s="8"/>
    </row>
    <row r="1120" spans="4:4" x14ac:dyDescent="0.25">
      <c r="D1120" s="8"/>
    </row>
    <row r="1121" spans="4:4" x14ac:dyDescent="0.25">
      <c r="D1121" s="8"/>
    </row>
    <row r="1122" spans="4:4" x14ac:dyDescent="0.25">
      <c r="D1122" s="8"/>
    </row>
    <row r="1123" spans="4:4" x14ac:dyDescent="0.25">
      <c r="D1123" s="8"/>
    </row>
    <row r="1124" spans="4:4" x14ac:dyDescent="0.25">
      <c r="D1124" s="8"/>
    </row>
    <row r="1125" spans="4:4" x14ac:dyDescent="0.25">
      <c r="D1125" s="8"/>
    </row>
    <row r="1126" spans="4:4" x14ac:dyDescent="0.25">
      <c r="D1126" s="8"/>
    </row>
    <row r="1127" spans="4:4" x14ac:dyDescent="0.25">
      <c r="D1127" s="8"/>
    </row>
    <row r="1128" spans="4:4" x14ac:dyDescent="0.25">
      <c r="D1128" s="8"/>
    </row>
    <row r="1129" spans="4:4" x14ac:dyDescent="0.25">
      <c r="D1129" s="8"/>
    </row>
    <row r="1130" spans="4:4" x14ac:dyDescent="0.25">
      <c r="D1130" s="8"/>
    </row>
    <row r="1131" spans="4:4" x14ac:dyDescent="0.25">
      <c r="D1131" s="8"/>
    </row>
    <row r="1132" spans="4:4" x14ac:dyDescent="0.25">
      <c r="D1132" s="8"/>
    </row>
    <row r="1133" spans="4:4" x14ac:dyDescent="0.25">
      <c r="D1133" s="8"/>
    </row>
    <row r="1134" spans="4:4" x14ac:dyDescent="0.25">
      <c r="D1134" s="8"/>
    </row>
    <row r="1135" spans="4:4" x14ac:dyDescent="0.25">
      <c r="D1135" s="8"/>
    </row>
    <row r="1136" spans="4:4" x14ac:dyDescent="0.25">
      <c r="D1136" s="8"/>
    </row>
    <row r="1137" spans="4:4" x14ac:dyDescent="0.25">
      <c r="D1137" s="8"/>
    </row>
    <row r="1138" spans="4:4" x14ac:dyDescent="0.25">
      <c r="D1138" s="8"/>
    </row>
    <row r="1139" spans="4:4" x14ac:dyDescent="0.25">
      <c r="D1139" s="8"/>
    </row>
    <row r="1140" spans="4:4" x14ac:dyDescent="0.25">
      <c r="D1140" s="8"/>
    </row>
    <row r="1141" spans="4:4" x14ac:dyDescent="0.25">
      <c r="D1141" s="8"/>
    </row>
    <row r="1142" spans="4:4" x14ac:dyDescent="0.25">
      <c r="D1142" s="8"/>
    </row>
    <row r="1143" spans="4:4" x14ac:dyDescent="0.25">
      <c r="D1143" s="8"/>
    </row>
    <row r="1144" spans="4:4" x14ac:dyDescent="0.25">
      <c r="D1144" s="8"/>
    </row>
    <row r="1145" spans="4:4" x14ac:dyDescent="0.25">
      <c r="D1145" s="8"/>
    </row>
    <row r="1146" spans="4:4" x14ac:dyDescent="0.25">
      <c r="D1146" s="8"/>
    </row>
    <row r="1147" spans="4:4" x14ac:dyDescent="0.25">
      <c r="D1147" s="8"/>
    </row>
    <row r="1148" spans="4:4" x14ac:dyDescent="0.25">
      <c r="D1148" s="8"/>
    </row>
    <row r="1149" spans="4:4" x14ac:dyDescent="0.25">
      <c r="D1149" s="8"/>
    </row>
    <row r="1150" spans="4:4" x14ac:dyDescent="0.25">
      <c r="D1150" s="8"/>
    </row>
    <row r="1151" spans="4:4" x14ac:dyDescent="0.25">
      <c r="D1151" s="8"/>
    </row>
    <row r="1152" spans="4:4" x14ac:dyDescent="0.25">
      <c r="D1152" s="8"/>
    </row>
    <row r="1153" spans="4:4" x14ac:dyDescent="0.25">
      <c r="D1153" s="8"/>
    </row>
    <row r="1154" spans="4:4" x14ac:dyDescent="0.25">
      <c r="D1154" s="8"/>
    </row>
    <row r="1155" spans="4:4" x14ac:dyDescent="0.25">
      <c r="D1155" s="8"/>
    </row>
    <row r="1156" spans="4:4" x14ac:dyDescent="0.25">
      <c r="D1156" s="8"/>
    </row>
    <row r="1157" spans="4:4" x14ac:dyDescent="0.25">
      <c r="D1157" s="8"/>
    </row>
    <row r="1158" spans="4:4" x14ac:dyDescent="0.25">
      <c r="D1158" s="8"/>
    </row>
    <row r="1159" spans="4:4" x14ac:dyDescent="0.25">
      <c r="D1159" s="8"/>
    </row>
    <row r="1160" spans="4:4" x14ac:dyDescent="0.25">
      <c r="D1160" s="8"/>
    </row>
    <row r="1161" spans="4:4" x14ac:dyDescent="0.25">
      <c r="D1161" s="8"/>
    </row>
    <row r="1162" spans="4:4" x14ac:dyDescent="0.25">
      <c r="D1162" s="8"/>
    </row>
    <row r="1163" spans="4:4" x14ac:dyDescent="0.25">
      <c r="D1163" s="8"/>
    </row>
    <row r="1164" spans="4:4" x14ac:dyDescent="0.25">
      <c r="D1164" s="8"/>
    </row>
    <row r="1165" spans="4:4" x14ac:dyDescent="0.25">
      <c r="D1165" s="8"/>
    </row>
    <row r="1166" spans="4:4" x14ac:dyDescent="0.25">
      <c r="D1166" s="8"/>
    </row>
    <row r="1167" spans="4:4" x14ac:dyDescent="0.25">
      <c r="D1167" s="8"/>
    </row>
    <row r="1168" spans="4:4" x14ac:dyDescent="0.25">
      <c r="D1168" s="8"/>
    </row>
    <row r="1169" spans="4:4" x14ac:dyDescent="0.25">
      <c r="D1169" s="8"/>
    </row>
    <row r="1170" spans="4:4" x14ac:dyDescent="0.25">
      <c r="D1170" s="8"/>
    </row>
    <row r="1171" spans="4:4" x14ac:dyDescent="0.25">
      <c r="D1171" s="8"/>
    </row>
    <row r="1172" spans="4:4" x14ac:dyDescent="0.25">
      <c r="D1172" s="8"/>
    </row>
    <row r="1173" spans="4:4" x14ac:dyDescent="0.25">
      <c r="D1173" s="8"/>
    </row>
    <row r="1174" spans="4:4" x14ac:dyDescent="0.25">
      <c r="D1174" s="8"/>
    </row>
    <row r="1175" spans="4:4" x14ac:dyDescent="0.25">
      <c r="D1175" s="8"/>
    </row>
    <row r="1176" spans="4:4" x14ac:dyDescent="0.25">
      <c r="D1176" s="8"/>
    </row>
    <row r="1177" spans="4:4" x14ac:dyDescent="0.25">
      <c r="D1177" s="8"/>
    </row>
    <row r="1178" spans="4:4" x14ac:dyDescent="0.25">
      <c r="D1178" s="8"/>
    </row>
    <row r="1179" spans="4:4" x14ac:dyDescent="0.25">
      <c r="D1179" s="8"/>
    </row>
    <row r="1180" spans="4:4" x14ac:dyDescent="0.25">
      <c r="D1180" s="8"/>
    </row>
    <row r="1181" spans="4:4" x14ac:dyDescent="0.25">
      <c r="D1181" s="8"/>
    </row>
    <row r="1182" spans="4:4" x14ac:dyDescent="0.25">
      <c r="D1182" s="8"/>
    </row>
    <row r="1183" spans="4:4" x14ac:dyDescent="0.25">
      <c r="D1183" s="8"/>
    </row>
    <row r="1184" spans="4:4" x14ac:dyDescent="0.25">
      <c r="D1184" s="8"/>
    </row>
    <row r="1185" spans="4:4" x14ac:dyDescent="0.25">
      <c r="D1185" s="8"/>
    </row>
    <row r="1186" spans="4:4" x14ac:dyDescent="0.25">
      <c r="D1186" s="8"/>
    </row>
    <row r="1187" spans="4:4" x14ac:dyDescent="0.25">
      <c r="D1187" s="8"/>
    </row>
    <row r="1188" spans="4:4" x14ac:dyDescent="0.25">
      <c r="D1188" s="8"/>
    </row>
    <row r="1189" spans="4:4" x14ac:dyDescent="0.25">
      <c r="D1189" s="8"/>
    </row>
    <row r="1190" spans="4:4" x14ac:dyDescent="0.25">
      <c r="D1190" s="8"/>
    </row>
    <row r="1191" spans="4:4" x14ac:dyDescent="0.25">
      <c r="D1191" s="8"/>
    </row>
    <row r="1192" spans="4:4" x14ac:dyDescent="0.25">
      <c r="D1192" s="8"/>
    </row>
    <row r="1193" spans="4:4" x14ac:dyDescent="0.25">
      <c r="D1193" s="8"/>
    </row>
    <row r="1194" spans="4:4" x14ac:dyDescent="0.25">
      <c r="D1194" s="8"/>
    </row>
    <row r="1195" spans="4:4" x14ac:dyDescent="0.25">
      <c r="D1195" s="8"/>
    </row>
    <row r="1196" spans="4:4" x14ac:dyDescent="0.25">
      <c r="D1196" s="8"/>
    </row>
    <row r="1197" spans="4:4" x14ac:dyDescent="0.25">
      <c r="D1197" s="8"/>
    </row>
    <row r="1198" spans="4:4" x14ac:dyDescent="0.25">
      <c r="D1198" s="8"/>
    </row>
    <row r="1199" spans="4:4" x14ac:dyDescent="0.25">
      <c r="D1199" s="8"/>
    </row>
    <row r="1200" spans="4:4" x14ac:dyDescent="0.25">
      <c r="D1200" s="8"/>
    </row>
    <row r="1201" spans="4:4" x14ac:dyDescent="0.25">
      <c r="D1201" s="8"/>
    </row>
    <row r="1202" spans="4:4" x14ac:dyDescent="0.25">
      <c r="D1202" s="8"/>
    </row>
    <row r="1203" spans="4:4" x14ac:dyDescent="0.25">
      <c r="D1203" s="8"/>
    </row>
    <row r="1204" spans="4:4" x14ac:dyDescent="0.25">
      <c r="D1204" s="8"/>
    </row>
    <row r="1205" spans="4:4" x14ac:dyDescent="0.25">
      <c r="D1205" s="8"/>
    </row>
    <row r="1206" spans="4:4" x14ac:dyDescent="0.25">
      <c r="D1206" s="8"/>
    </row>
    <row r="1207" spans="4:4" x14ac:dyDescent="0.25">
      <c r="D1207" s="8"/>
    </row>
    <row r="1208" spans="4:4" x14ac:dyDescent="0.25">
      <c r="D1208" s="8"/>
    </row>
    <row r="1209" spans="4:4" x14ac:dyDescent="0.25">
      <c r="D1209" s="8"/>
    </row>
    <row r="1210" spans="4:4" x14ac:dyDescent="0.25">
      <c r="D1210" s="8"/>
    </row>
    <row r="1211" spans="4:4" x14ac:dyDescent="0.25">
      <c r="D1211" s="8"/>
    </row>
    <row r="1212" spans="4:4" x14ac:dyDescent="0.25">
      <c r="D1212" s="8"/>
    </row>
    <row r="1213" spans="4:4" x14ac:dyDescent="0.25">
      <c r="D1213" s="8"/>
    </row>
    <row r="1214" spans="4:4" x14ac:dyDescent="0.25">
      <c r="D1214" s="8"/>
    </row>
    <row r="1215" spans="4:4" x14ac:dyDescent="0.25">
      <c r="D1215" s="8"/>
    </row>
    <row r="1216" spans="4:4" x14ac:dyDescent="0.25">
      <c r="D1216" s="8"/>
    </row>
    <row r="1217" spans="4:4" x14ac:dyDescent="0.25">
      <c r="D1217" s="8"/>
    </row>
    <row r="1218" spans="4:4" x14ac:dyDescent="0.25">
      <c r="D1218" s="8"/>
    </row>
    <row r="1219" spans="4:4" x14ac:dyDescent="0.25">
      <c r="D1219" s="8"/>
    </row>
    <row r="1220" spans="4:4" x14ac:dyDescent="0.25">
      <c r="D1220" s="8"/>
    </row>
    <row r="1221" spans="4:4" x14ac:dyDescent="0.25">
      <c r="D1221" s="8"/>
    </row>
    <row r="1222" spans="4:4" x14ac:dyDescent="0.25">
      <c r="D1222" s="8"/>
    </row>
    <row r="1223" spans="4:4" x14ac:dyDescent="0.25">
      <c r="D1223" s="8"/>
    </row>
    <row r="1224" spans="4:4" x14ac:dyDescent="0.25">
      <c r="D1224" s="8"/>
    </row>
    <row r="1225" spans="4:4" x14ac:dyDescent="0.25">
      <c r="D1225" s="8"/>
    </row>
    <row r="1226" spans="4:4" x14ac:dyDescent="0.25">
      <c r="D1226" s="8"/>
    </row>
    <row r="1227" spans="4:4" x14ac:dyDescent="0.25">
      <c r="D1227" s="8"/>
    </row>
    <row r="1228" spans="4:4" x14ac:dyDescent="0.25">
      <c r="D1228" s="8"/>
    </row>
    <row r="1229" spans="4:4" x14ac:dyDescent="0.25">
      <c r="D1229" s="8"/>
    </row>
    <row r="1230" spans="4:4" x14ac:dyDescent="0.25">
      <c r="D1230" s="8"/>
    </row>
    <row r="1231" spans="4:4" x14ac:dyDescent="0.25">
      <c r="D1231" s="8"/>
    </row>
    <row r="1232" spans="4:4" x14ac:dyDescent="0.25">
      <c r="D1232" s="8"/>
    </row>
    <row r="1233" spans="4:4" x14ac:dyDescent="0.25">
      <c r="D1233" s="8"/>
    </row>
    <row r="1234" spans="4:4" x14ac:dyDescent="0.25">
      <c r="D1234" s="8"/>
    </row>
    <row r="1235" spans="4:4" x14ac:dyDescent="0.25">
      <c r="D1235" s="8"/>
    </row>
    <row r="1236" spans="4:4" x14ac:dyDescent="0.25">
      <c r="D1236" s="8"/>
    </row>
    <row r="1237" spans="4:4" x14ac:dyDescent="0.25">
      <c r="D1237" s="8"/>
    </row>
    <row r="1238" spans="4:4" x14ac:dyDescent="0.25">
      <c r="D1238" s="8"/>
    </row>
    <row r="1239" spans="4:4" x14ac:dyDescent="0.25">
      <c r="D1239" s="8"/>
    </row>
    <row r="1240" spans="4:4" x14ac:dyDescent="0.25">
      <c r="D1240" s="8"/>
    </row>
    <row r="1241" spans="4:4" x14ac:dyDescent="0.25">
      <c r="D1241" s="8"/>
    </row>
    <row r="1242" spans="4:4" x14ac:dyDescent="0.25">
      <c r="D1242" s="8"/>
    </row>
    <row r="1243" spans="4:4" x14ac:dyDescent="0.25">
      <c r="D1243" s="8"/>
    </row>
    <row r="1244" spans="4:4" x14ac:dyDescent="0.25">
      <c r="D1244" s="8"/>
    </row>
    <row r="1245" spans="4:4" x14ac:dyDescent="0.25">
      <c r="D1245" s="8"/>
    </row>
    <row r="1246" spans="4:4" x14ac:dyDescent="0.25">
      <c r="D1246" s="8"/>
    </row>
    <row r="1247" spans="4:4" x14ac:dyDescent="0.25">
      <c r="D1247" s="8"/>
    </row>
    <row r="1248" spans="4:4" x14ac:dyDescent="0.25">
      <c r="D1248" s="8"/>
    </row>
    <row r="1249" spans="4:4" x14ac:dyDescent="0.25">
      <c r="D1249" s="8"/>
    </row>
    <row r="1250" spans="4:4" x14ac:dyDescent="0.25">
      <c r="D1250" s="8"/>
    </row>
    <row r="1251" spans="4:4" x14ac:dyDescent="0.25">
      <c r="D1251" s="8"/>
    </row>
    <row r="1252" spans="4:4" x14ac:dyDescent="0.25">
      <c r="D1252" s="8"/>
    </row>
    <row r="1253" spans="4:4" x14ac:dyDescent="0.25">
      <c r="D1253" s="8"/>
    </row>
    <row r="1254" spans="4:4" x14ac:dyDescent="0.25">
      <c r="D1254" s="8"/>
    </row>
    <row r="1255" spans="4:4" x14ac:dyDescent="0.25">
      <c r="D1255" s="8"/>
    </row>
    <row r="1256" spans="4:4" x14ac:dyDescent="0.25">
      <c r="D1256" s="8"/>
    </row>
    <row r="1257" spans="4:4" x14ac:dyDescent="0.25">
      <c r="D1257" s="8"/>
    </row>
    <row r="1258" spans="4:4" x14ac:dyDescent="0.25">
      <c r="D1258" s="8"/>
    </row>
    <row r="1259" spans="4:4" x14ac:dyDescent="0.25">
      <c r="D1259" s="8"/>
    </row>
    <row r="1260" spans="4:4" x14ac:dyDescent="0.25">
      <c r="D1260" s="8"/>
    </row>
    <row r="1261" spans="4:4" x14ac:dyDescent="0.25">
      <c r="D1261" s="8"/>
    </row>
    <row r="1262" spans="4:4" x14ac:dyDescent="0.25">
      <c r="D1262" s="8"/>
    </row>
    <row r="1263" spans="4:4" x14ac:dyDescent="0.25">
      <c r="D1263" s="8"/>
    </row>
    <row r="1264" spans="4:4" x14ac:dyDescent="0.25">
      <c r="D1264" s="8"/>
    </row>
    <row r="1265" spans="4:4" x14ac:dyDescent="0.25">
      <c r="D1265" s="8"/>
    </row>
    <row r="1266" spans="4:4" x14ac:dyDescent="0.25">
      <c r="D1266" s="8"/>
    </row>
    <row r="1267" spans="4:4" x14ac:dyDescent="0.25">
      <c r="D1267" s="8"/>
    </row>
    <row r="1268" spans="4:4" x14ac:dyDescent="0.25">
      <c r="D1268" s="8"/>
    </row>
    <row r="1269" spans="4:4" x14ac:dyDescent="0.25">
      <c r="D1269" s="8"/>
    </row>
    <row r="1270" spans="4:4" x14ac:dyDescent="0.25">
      <c r="D1270" s="8"/>
    </row>
    <row r="1271" spans="4:4" x14ac:dyDescent="0.25">
      <c r="D1271" s="8"/>
    </row>
    <row r="1272" spans="4:4" x14ac:dyDescent="0.25">
      <c r="D1272" s="8"/>
    </row>
    <row r="1273" spans="4:4" x14ac:dyDescent="0.25">
      <c r="D1273" s="8"/>
    </row>
    <row r="1274" spans="4:4" x14ac:dyDescent="0.25">
      <c r="D1274" s="8"/>
    </row>
    <row r="1275" spans="4:4" x14ac:dyDescent="0.25">
      <c r="D1275" s="8"/>
    </row>
    <row r="1276" spans="4:4" x14ac:dyDescent="0.25">
      <c r="D1276" s="8"/>
    </row>
    <row r="1277" spans="4:4" x14ac:dyDescent="0.25">
      <c r="D1277" s="8"/>
    </row>
    <row r="1278" spans="4:4" x14ac:dyDescent="0.25">
      <c r="D1278" s="8"/>
    </row>
    <row r="1279" spans="4:4" x14ac:dyDescent="0.25">
      <c r="D1279" s="8"/>
    </row>
    <row r="1280" spans="4:4" x14ac:dyDescent="0.25">
      <c r="D1280" s="8"/>
    </row>
    <row r="1281" spans="4:4" x14ac:dyDescent="0.25">
      <c r="D1281" s="8"/>
    </row>
    <row r="1282" spans="4:4" x14ac:dyDescent="0.25">
      <c r="D1282" s="8"/>
    </row>
    <row r="1283" spans="4:4" x14ac:dyDescent="0.25">
      <c r="D1283" s="8"/>
    </row>
    <row r="1284" spans="4:4" x14ac:dyDescent="0.25">
      <c r="D1284" s="8"/>
    </row>
    <row r="1285" spans="4:4" x14ac:dyDescent="0.25">
      <c r="D1285" s="8"/>
    </row>
    <row r="1286" spans="4:4" x14ac:dyDescent="0.25">
      <c r="D1286" s="8"/>
    </row>
    <row r="1287" spans="4:4" x14ac:dyDescent="0.25">
      <c r="D1287" s="8"/>
    </row>
    <row r="1288" spans="4:4" x14ac:dyDescent="0.25">
      <c r="D1288" s="8"/>
    </row>
    <row r="1289" spans="4:4" x14ac:dyDescent="0.25">
      <c r="D1289" s="8"/>
    </row>
    <row r="1290" spans="4:4" x14ac:dyDescent="0.25">
      <c r="D1290" s="8"/>
    </row>
    <row r="1291" spans="4:4" x14ac:dyDescent="0.25">
      <c r="D1291" s="8"/>
    </row>
    <row r="1292" spans="4:4" x14ac:dyDescent="0.25">
      <c r="D1292" s="8"/>
    </row>
    <row r="1293" spans="4:4" x14ac:dyDescent="0.25">
      <c r="D1293" s="8"/>
    </row>
    <row r="1294" spans="4:4" x14ac:dyDescent="0.25">
      <c r="D1294" s="8"/>
    </row>
    <row r="1295" spans="4:4" x14ac:dyDescent="0.25">
      <c r="D1295" s="8"/>
    </row>
    <row r="1296" spans="4:4" x14ac:dyDescent="0.25">
      <c r="D1296" s="8"/>
    </row>
    <row r="1297" spans="4:4" x14ac:dyDescent="0.25">
      <c r="D1297" s="8"/>
    </row>
    <row r="1298" spans="4:4" x14ac:dyDescent="0.25">
      <c r="D1298" s="8"/>
    </row>
    <row r="1299" spans="4:4" x14ac:dyDescent="0.25">
      <c r="D1299" s="8"/>
    </row>
    <row r="1300" spans="4:4" x14ac:dyDescent="0.25">
      <c r="D1300" s="8"/>
    </row>
    <row r="1301" spans="4:4" x14ac:dyDescent="0.25">
      <c r="D1301" s="8"/>
    </row>
    <row r="1302" spans="4:4" x14ac:dyDescent="0.25">
      <c r="D1302" s="8"/>
    </row>
    <row r="1303" spans="4:4" x14ac:dyDescent="0.25">
      <c r="D1303" s="8"/>
    </row>
    <row r="1304" spans="4:4" x14ac:dyDescent="0.25">
      <c r="D1304" s="8"/>
    </row>
    <row r="1305" spans="4:4" x14ac:dyDescent="0.25">
      <c r="D1305" s="8"/>
    </row>
    <row r="1306" spans="4:4" x14ac:dyDescent="0.25">
      <c r="D1306" s="8"/>
    </row>
    <row r="1307" spans="4:4" x14ac:dyDescent="0.25">
      <c r="D1307" s="8"/>
    </row>
    <row r="1308" spans="4:4" x14ac:dyDescent="0.25">
      <c r="D1308" s="8"/>
    </row>
    <row r="1309" spans="4:4" x14ac:dyDescent="0.25">
      <c r="D1309" s="8"/>
    </row>
    <row r="1310" spans="4:4" x14ac:dyDescent="0.25">
      <c r="D1310" s="8"/>
    </row>
    <row r="1311" spans="4:4" x14ac:dyDescent="0.25">
      <c r="D1311" s="8"/>
    </row>
    <row r="1312" spans="4:4" x14ac:dyDescent="0.25">
      <c r="D1312" s="8"/>
    </row>
    <row r="1313" spans="4:4" x14ac:dyDescent="0.25">
      <c r="D1313" s="8"/>
    </row>
    <row r="1314" spans="4:4" x14ac:dyDescent="0.25">
      <c r="D1314" s="8"/>
    </row>
    <row r="1315" spans="4:4" x14ac:dyDescent="0.25">
      <c r="D1315" s="8"/>
    </row>
    <row r="1316" spans="4:4" x14ac:dyDescent="0.25">
      <c r="D1316" s="8"/>
    </row>
    <row r="1317" spans="4:4" x14ac:dyDescent="0.25">
      <c r="D1317" s="8"/>
    </row>
    <row r="1318" spans="4:4" x14ac:dyDescent="0.25">
      <c r="D1318" s="8"/>
    </row>
    <row r="1319" spans="4:4" x14ac:dyDescent="0.25">
      <c r="D1319" s="8"/>
    </row>
    <row r="1320" spans="4:4" x14ac:dyDescent="0.25">
      <c r="D1320" s="8"/>
    </row>
    <row r="1321" spans="4:4" x14ac:dyDescent="0.25">
      <c r="D1321" s="8"/>
    </row>
    <row r="1322" spans="4:4" x14ac:dyDescent="0.25">
      <c r="D1322" s="8"/>
    </row>
    <row r="1323" spans="4:4" x14ac:dyDescent="0.25">
      <c r="D1323" s="8"/>
    </row>
    <row r="1324" spans="4:4" x14ac:dyDescent="0.25">
      <c r="D1324" s="8"/>
    </row>
    <row r="1325" spans="4:4" x14ac:dyDescent="0.25">
      <c r="D1325" s="8"/>
    </row>
    <row r="1326" spans="4:4" x14ac:dyDescent="0.25">
      <c r="D1326" s="8"/>
    </row>
    <row r="1327" spans="4:4" x14ac:dyDescent="0.25">
      <c r="D1327" s="8"/>
    </row>
    <row r="1328" spans="4:4" x14ac:dyDescent="0.25">
      <c r="D1328" s="8"/>
    </row>
    <row r="1329" spans="4:4" x14ac:dyDescent="0.25">
      <c r="D1329" s="8"/>
    </row>
    <row r="1330" spans="4:4" x14ac:dyDescent="0.25">
      <c r="D1330" s="8"/>
    </row>
    <row r="1331" spans="4:4" x14ac:dyDescent="0.25">
      <c r="D1331" s="8"/>
    </row>
    <row r="1332" spans="4:4" x14ac:dyDescent="0.25">
      <c r="D1332" s="8"/>
    </row>
    <row r="1333" spans="4:4" x14ac:dyDescent="0.25">
      <c r="D1333" s="8"/>
    </row>
    <row r="1334" spans="4:4" x14ac:dyDescent="0.25">
      <c r="D1334" s="8"/>
    </row>
    <row r="1335" spans="4:4" x14ac:dyDescent="0.25">
      <c r="D1335" s="8"/>
    </row>
    <row r="1336" spans="4:4" x14ac:dyDescent="0.25">
      <c r="D1336" s="8"/>
    </row>
    <row r="1337" spans="4:4" x14ac:dyDescent="0.25">
      <c r="D1337" s="8"/>
    </row>
    <row r="1338" spans="4:4" x14ac:dyDescent="0.25">
      <c r="D1338" s="8"/>
    </row>
    <row r="1339" spans="4:4" x14ac:dyDescent="0.25">
      <c r="D1339" s="8"/>
    </row>
    <row r="1340" spans="4:4" x14ac:dyDescent="0.25">
      <c r="D1340" s="8"/>
    </row>
    <row r="1341" spans="4:4" x14ac:dyDescent="0.25">
      <c r="D1341" s="8"/>
    </row>
    <row r="1342" spans="4:4" x14ac:dyDescent="0.25">
      <c r="D1342" s="8"/>
    </row>
    <row r="1343" spans="4:4" x14ac:dyDescent="0.25">
      <c r="D1343" s="8"/>
    </row>
    <row r="1344" spans="4:4" x14ac:dyDescent="0.25">
      <c r="D1344" s="8"/>
    </row>
    <row r="1345" spans="4:4" x14ac:dyDescent="0.25">
      <c r="D1345" s="8"/>
    </row>
    <row r="1346" spans="4:4" x14ac:dyDescent="0.25">
      <c r="D1346" s="8"/>
    </row>
    <row r="1347" spans="4:4" x14ac:dyDescent="0.25">
      <c r="D1347" s="8"/>
    </row>
    <row r="1348" spans="4:4" x14ac:dyDescent="0.25">
      <c r="D1348" s="8"/>
    </row>
    <row r="1349" spans="4:4" x14ac:dyDescent="0.25">
      <c r="D1349" s="8"/>
    </row>
    <row r="1350" spans="4:4" x14ac:dyDescent="0.25">
      <c r="D1350" s="8"/>
    </row>
    <row r="1351" spans="4:4" x14ac:dyDescent="0.25">
      <c r="D1351" s="8"/>
    </row>
    <row r="1352" spans="4:4" x14ac:dyDescent="0.25">
      <c r="D1352" s="8"/>
    </row>
    <row r="1353" spans="4:4" x14ac:dyDescent="0.25">
      <c r="D1353" s="8"/>
    </row>
    <row r="1354" spans="4:4" x14ac:dyDescent="0.25">
      <c r="D1354" s="8"/>
    </row>
    <row r="1355" spans="4:4" x14ac:dyDescent="0.25">
      <c r="D1355" s="8"/>
    </row>
    <row r="1356" spans="4:4" x14ac:dyDescent="0.25">
      <c r="D1356" s="8"/>
    </row>
    <row r="1357" spans="4:4" x14ac:dyDescent="0.25">
      <c r="D1357" s="8"/>
    </row>
    <row r="1358" spans="4:4" x14ac:dyDescent="0.25">
      <c r="D1358" s="8"/>
    </row>
    <row r="1359" spans="4:4" x14ac:dyDescent="0.25">
      <c r="D1359" s="8"/>
    </row>
    <row r="1360" spans="4:4" x14ac:dyDescent="0.25">
      <c r="D1360" s="8"/>
    </row>
    <row r="1361" spans="4:4" x14ac:dyDescent="0.25">
      <c r="D1361" s="8"/>
    </row>
    <row r="1362" spans="4:4" x14ac:dyDescent="0.25">
      <c r="D1362" s="8"/>
    </row>
    <row r="1363" spans="4:4" x14ac:dyDescent="0.25">
      <c r="D1363" s="8"/>
    </row>
    <row r="1364" spans="4:4" x14ac:dyDescent="0.25">
      <c r="D1364" s="8"/>
    </row>
    <row r="1365" spans="4:4" x14ac:dyDescent="0.25">
      <c r="D1365" s="8"/>
    </row>
    <row r="1366" spans="4:4" x14ac:dyDescent="0.25">
      <c r="D1366" s="8"/>
    </row>
    <row r="1367" spans="4:4" x14ac:dyDescent="0.25">
      <c r="D1367" s="8"/>
    </row>
    <row r="1368" spans="4:4" x14ac:dyDescent="0.25">
      <c r="D1368" s="8"/>
    </row>
    <row r="1369" spans="4:4" x14ac:dyDescent="0.25">
      <c r="D1369" s="8"/>
    </row>
    <row r="1370" spans="4:4" x14ac:dyDescent="0.25">
      <c r="D1370" s="8"/>
    </row>
    <row r="1371" spans="4:4" x14ac:dyDescent="0.25">
      <c r="D1371" s="8"/>
    </row>
    <row r="1372" spans="4:4" x14ac:dyDescent="0.25">
      <c r="D1372" s="8"/>
    </row>
    <row r="1373" spans="4:4" x14ac:dyDescent="0.25">
      <c r="D1373" s="8"/>
    </row>
    <row r="1374" spans="4:4" x14ac:dyDescent="0.25">
      <c r="D1374" s="8"/>
    </row>
    <row r="1375" spans="4:4" x14ac:dyDescent="0.25">
      <c r="D1375" s="8"/>
    </row>
    <row r="1376" spans="4:4" x14ac:dyDescent="0.25">
      <c r="D1376" s="8"/>
    </row>
    <row r="1377" spans="4:4" x14ac:dyDescent="0.25">
      <c r="D1377" s="8"/>
    </row>
    <row r="1378" spans="4:4" x14ac:dyDescent="0.25">
      <c r="D1378" s="8"/>
    </row>
    <row r="1379" spans="4:4" x14ac:dyDescent="0.25">
      <c r="D1379" s="8"/>
    </row>
    <row r="1380" spans="4:4" x14ac:dyDescent="0.25">
      <c r="D1380" s="8"/>
    </row>
    <row r="1381" spans="4:4" x14ac:dyDescent="0.25">
      <c r="D1381" s="8"/>
    </row>
    <row r="1382" spans="4:4" x14ac:dyDescent="0.25">
      <c r="D1382" s="8"/>
    </row>
    <row r="1383" spans="4:4" x14ac:dyDescent="0.25">
      <c r="D1383" s="8"/>
    </row>
    <row r="1384" spans="4:4" x14ac:dyDescent="0.25">
      <c r="D1384" s="8"/>
    </row>
    <row r="1385" spans="4:4" x14ac:dyDescent="0.25">
      <c r="D1385" s="8"/>
    </row>
    <row r="1386" spans="4:4" x14ac:dyDescent="0.25">
      <c r="D1386" s="8"/>
    </row>
    <row r="1387" spans="4:4" x14ac:dyDescent="0.25">
      <c r="D1387" s="8"/>
    </row>
    <row r="1388" spans="4:4" x14ac:dyDescent="0.25">
      <c r="D1388" s="8"/>
    </row>
    <row r="1389" spans="4:4" x14ac:dyDescent="0.25">
      <c r="D1389" s="8"/>
    </row>
    <row r="1390" spans="4:4" x14ac:dyDescent="0.25">
      <c r="D1390" s="8"/>
    </row>
    <row r="1391" spans="4:4" x14ac:dyDescent="0.25">
      <c r="D1391" s="8"/>
    </row>
    <row r="1392" spans="4:4" x14ac:dyDescent="0.25">
      <c r="D1392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banco</vt:lpstr>
      <vt:lpstr>procv</vt:lpstr>
      <vt:lpstr>banco regsau</vt:lpstr>
      <vt:lpstr>população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 Alves de Carvalho Costa</dc:creator>
  <cp:lastModifiedBy>WALTER SOARES BORGES NETO</cp:lastModifiedBy>
  <dcterms:created xsi:type="dcterms:W3CDTF">2025-12-17T20:07:50Z</dcterms:created>
  <dcterms:modified xsi:type="dcterms:W3CDTF">2026-02-06T13:55:04Z</dcterms:modified>
</cp:coreProperties>
</file>